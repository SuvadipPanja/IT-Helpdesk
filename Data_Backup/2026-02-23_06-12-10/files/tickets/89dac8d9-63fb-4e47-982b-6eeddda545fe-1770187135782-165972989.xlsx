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ghamitra\Holiday Calendar\Sumanth\"/>
    </mc:Choice>
  </mc:AlternateContent>
  <xr:revisionPtr revIDLastSave="0" documentId="13_ncr:1_{39F8A197-3092-448C-81D2-2C398CE6EF80}" xr6:coauthVersionLast="47" xr6:coauthVersionMax="47" xr10:uidLastSave="{00000000-0000-0000-0000-000000000000}"/>
  <bookViews>
    <workbookView xWindow="-110" yWindow="-110" windowWidth="19420" windowHeight="11500" firstSheet="5" activeTab="6" xr2:uid="{06CC7851-79D4-4E42-8543-49C744ECD6FA}"/>
  </bookViews>
  <sheets>
    <sheet name="Draft" sheetId="10" state="hidden" r:id="rId1"/>
    <sheet name="New Sheet" sheetId="11" state="hidden" r:id="rId2"/>
    <sheet name="Sheet2" sheetId="12" state="hidden" r:id="rId3"/>
    <sheet name="For Senior grades- 13 days" sheetId="15" state="hidden" r:id="rId4"/>
    <sheet name="For A grades - 11 days" sheetId="17" state="hidden" r:id="rId5"/>
    <sheet name="All ecxept A grades - 13 days" sheetId="18" r:id="rId6"/>
    <sheet name="A Grades - 11 days" sheetId="20" r:id="rId7"/>
    <sheet name="For Senior grades- 13 days (2)" sheetId="19" state="hidden" r:id="rId8"/>
    <sheet name="Conneqt Business Solutions" sheetId="8" state="hidden" r:id="rId9"/>
    <sheet name="Conneqt Digital" sheetId="9" state="hidden" r:id="rId10"/>
    <sheet name="Brainhunter" sheetId="6" state="hidden" r:id="rId11"/>
    <sheet name="Alldigi" sheetId="7" state="hidden" r:id="rId12"/>
    <sheet name="GTS Common" sheetId="4" state="hidden" r:id="rId13"/>
    <sheet name="MFX" sheetId="3" state="hidden" r:id="rId14"/>
    <sheet name="Qtek" sheetId="5" state="hidden" r:id="rId15"/>
  </sheets>
  <definedNames>
    <definedName name="_xlnm._FilterDatabase" localSheetId="6" hidden="1">'A Grades - 11 days'!$A$1:$XDX$195</definedName>
    <definedName name="_xlnm._FilterDatabase" localSheetId="5" hidden="1">'All ecxept A grades - 13 days'!$A$1:$XDX$195</definedName>
    <definedName name="_xlnm._FilterDatabase" localSheetId="11" hidden="1">Alldigi!$A$2:$XDW$40</definedName>
    <definedName name="_xlnm._FilterDatabase" localSheetId="8" hidden="1">'Conneqt Business Solutions'!$A$2:$XEA$2</definedName>
    <definedName name="_xlnm._FilterDatabase" localSheetId="9" hidden="1">'Conneqt Digital'!$A$2:$AO$2</definedName>
    <definedName name="_xlnm._FilterDatabase" localSheetId="0" hidden="1">Draft!$A$2:$XDX$95</definedName>
    <definedName name="_xlnm._FilterDatabase" localSheetId="4" hidden="1">'For A grades - 11 days'!$A$1:$XDX$187</definedName>
    <definedName name="_xlnm._FilterDatabase" localSheetId="3" hidden="1">'For Senior grades- 13 days'!$A$1:$XDX$186</definedName>
    <definedName name="_xlnm._FilterDatabase" localSheetId="7" hidden="1">'For Senior grades- 13 days (2)'!$A$1:$XDX$186</definedName>
    <definedName name="_xlnm._FilterDatabase" localSheetId="12" hidden="1">'GTS Common'!$A$2:$XEJ$37</definedName>
    <definedName name="_xlnm._FilterDatabase" localSheetId="13" hidden="1">MFX!$A$2:$AA$37</definedName>
    <definedName name="_xlnm._FilterDatabase" localSheetId="1" hidden="1">'New Sheet'!$A$2:$XDY$169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7" i="20" l="1"/>
  <c r="AH197" i="20"/>
  <c r="F197" i="20"/>
  <c r="G197" i="20"/>
  <c r="I197" i="20"/>
  <c r="M197" i="20"/>
  <c r="P197" i="20"/>
  <c r="R197" i="20"/>
  <c r="U197" i="20"/>
  <c r="U197" i="18"/>
  <c r="R197" i="18"/>
  <c r="P197" i="18"/>
  <c r="M197" i="18"/>
  <c r="I197" i="18"/>
  <c r="G197" i="18"/>
  <c r="U203" i="18"/>
  <c r="M202" i="20"/>
  <c r="M200" i="20"/>
  <c r="M199" i="20"/>
  <c r="M198" i="20"/>
  <c r="M203" i="20"/>
  <c r="G200" i="18"/>
  <c r="G203" i="18"/>
  <c r="G202" i="18"/>
  <c r="G201" i="18"/>
  <c r="F190" i="20"/>
  <c r="F173" i="20"/>
  <c r="F152" i="20"/>
  <c r="F77" i="20"/>
  <c r="F71" i="20"/>
  <c r="F53" i="20"/>
  <c r="F37" i="20"/>
  <c r="F12" i="20"/>
  <c r="F140" i="20"/>
  <c r="F21" i="20"/>
  <c r="Z203" i="18" l="1"/>
  <c r="Z199" i="18"/>
  <c r="Z200" i="18"/>
  <c r="Z201" i="18"/>
  <c r="Z198" i="18"/>
  <c r="Z202" i="18"/>
  <c r="U198" i="18"/>
  <c r="U199" i="18"/>
  <c r="U201" i="18"/>
  <c r="U202" i="18"/>
  <c r="U200" i="18"/>
  <c r="M201" i="20"/>
  <c r="I203" i="18"/>
  <c r="I199" i="18"/>
  <c r="I198" i="18"/>
  <c r="I200" i="18"/>
  <c r="I201" i="18"/>
  <c r="I202" i="18"/>
  <c r="G199" i="18"/>
  <c r="G198" i="18"/>
  <c r="K197" i="18" l="1"/>
  <c r="K197" i="20"/>
  <c r="AH43" i="20" l="1"/>
  <c r="AH21" i="20"/>
  <c r="AH53" i="20"/>
  <c r="AH140" i="20"/>
  <c r="AH190" i="20"/>
  <c r="AH197" i="18"/>
  <c r="AK197" i="18"/>
  <c r="AC197" i="20"/>
  <c r="AC190" i="20"/>
  <c r="AC173" i="20"/>
  <c r="AC152" i="20"/>
  <c r="AC140" i="20"/>
  <c r="AC71" i="20"/>
  <c r="AC53" i="20"/>
  <c r="AC43" i="20"/>
  <c r="AC36" i="20"/>
  <c r="AC21" i="20"/>
  <c r="AC13" i="20"/>
  <c r="AC197" i="18"/>
  <c r="F197" i="18"/>
  <c r="E21" i="20"/>
  <c r="E37" i="20"/>
  <c r="E45" i="20"/>
  <c r="E53" i="20"/>
  <c r="E77" i="20"/>
  <c r="E90" i="20"/>
  <c r="E140" i="20"/>
  <c r="E152" i="20"/>
  <c r="E173" i="20"/>
  <c r="E190" i="20"/>
  <c r="Y205" i="20"/>
  <c r="X205" i="20"/>
  <c r="L206" i="20"/>
  <c r="K206" i="20"/>
  <c r="I206" i="20"/>
  <c r="AI205" i="20"/>
  <c r="AG205" i="20"/>
  <c r="AF205" i="20"/>
  <c r="AE205" i="20"/>
  <c r="AD205" i="20"/>
  <c r="AB205" i="20"/>
  <c r="AA205" i="20"/>
  <c r="Z205" i="20"/>
  <c r="V205" i="20"/>
  <c r="U205" i="20"/>
  <c r="S205" i="20"/>
  <c r="R205" i="20"/>
  <c r="Q205" i="20"/>
  <c r="P205" i="20"/>
  <c r="O205" i="20"/>
  <c r="M205" i="20"/>
  <c r="L205" i="20"/>
  <c r="K205" i="20"/>
  <c r="I205" i="20"/>
  <c r="AJ203" i="20"/>
  <c r="AI203" i="20"/>
  <c r="AG203" i="20"/>
  <c r="AF203" i="20"/>
  <c r="AE203" i="20"/>
  <c r="AD203" i="20"/>
  <c r="AB203" i="20"/>
  <c r="AA203" i="20"/>
  <c r="Z203" i="20"/>
  <c r="V203" i="20"/>
  <c r="U203" i="20"/>
  <c r="S203" i="20"/>
  <c r="R203" i="20"/>
  <c r="Q203" i="20"/>
  <c r="P203" i="20"/>
  <c r="O203" i="20"/>
  <c r="L203" i="20"/>
  <c r="K203" i="20"/>
  <c r="I203" i="20"/>
  <c r="G203" i="20"/>
  <c r="F203" i="20"/>
  <c r="AJ202" i="20"/>
  <c r="AI202" i="20"/>
  <c r="AG202" i="20"/>
  <c r="AF202" i="20"/>
  <c r="AE202" i="20"/>
  <c r="AD202" i="20"/>
  <c r="AB202" i="20"/>
  <c r="AA202" i="20"/>
  <c r="Z202" i="20"/>
  <c r="V202" i="20"/>
  <c r="U202" i="20"/>
  <c r="S202" i="20"/>
  <c r="R202" i="20"/>
  <c r="Q202" i="20"/>
  <c r="P202" i="20"/>
  <c r="O202" i="20"/>
  <c r="L202" i="20"/>
  <c r="K202" i="20"/>
  <c r="I202" i="20"/>
  <c r="G202" i="20"/>
  <c r="F202" i="20"/>
  <c r="AJ201" i="20"/>
  <c r="AI201" i="20"/>
  <c r="AG201" i="20"/>
  <c r="AF201" i="20"/>
  <c r="AE201" i="20"/>
  <c r="AD201" i="20"/>
  <c r="AB201" i="20"/>
  <c r="AA201" i="20"/>
  <c r="Z201" i="20"/>
  <c r="V201" i="20"/>
  <c r="U201" i="20"/>
  <c r="S201" i="20"/>
  <c r="R201" i="20"/>
  <c r="Q201" i="20"/>
  <c r="P201" i="20"/>
  <c r="O201" i="20"/>
  <c r="L201" i="20"/>
  <c r="K201" i="20"/>
  <c r="I201" i="20"/>
  <c r="G201" i="20"/>
  <c r="F201" i="20"/>
  <c r="AJ200" i="20"/>
  <c r="AI200" i="20"/>
  <c r="AG200" i="20"/>
  <c r="AF200" i="20"/>
  <c r="AE200" i="20"/>
  <c r="AD200" i="20"/>
  <c r="AB200" i="20"/>
  <c r="AA200" i="20"/>
  <c r="Z200" i="20"/>
  <c r="V200" i="20"/>
  <c r="U200" i="20"/>
  <c r="S200" i="20"/>
  <c r="R200" i="20"/>
  <c r="Q200" i="20"/>
  <c r="P200" i="20"/>
  <c r="O200" i="20"/>
  <c r="L200" i="20"/>
  <c r="K200" i="20"/>
  <c r="I200" i="20"/>
  <c r="G200" i="20"/>
  <c r="F200" i="20"/>
  <c r="AJ199" i="20"/>
  <c r="AI199" i="20"/>
  <c r="AG199" i="20"/>
  <c r="AF199" i="20"/>
  <c r="AE199" i="20"/>
  <c r="AD199" i="20"/>
  <c r="AB199" i="20"/>
  <c r="AA199" i="20"/>
  <c r="Z199" i="20"/>
  <c r="V199" i="20"/>
  <c r="U199" i="20"/>
  <c r="S199" i="20"/>
  <c r="R199" i="20"/>
  <c r="Q199" i="20"/>
  <c r="P199" i="20"/>
  <c r="O199" i="20"/>
  <c r="L199" i="20"/>
  <c r="K199" i="20"/>
  <c r="I199" i="20"/>
  <c r="G199" i="20"/>
  <c r="F199" i="20"/>
  <c r="AJ198" i="20"/>
  <c r="AI198" i="20"/>
  <c r="AG198" i="20"/>
  <c r="AF198" i="20"/>
  <c r="AE198" i="20"/>
  <c r="AD198" i="20"/>
  <c r="AB198" i="20"/>
  <c r="AA198" i="20"/>
  <c r="Z198" i="20"/>
  <c r="V198" i="20"/>
  <c r="U198" i="20"/>
  <c r="S198" i="20"/>
  <c r="R198" i="20"/>
  <c r="Q198" i="20"/>
  <c r="P198" i="20"/>
  <c r="O198" i="20"/>
  <c r="L198" i="20"/>
  <c r="K198" i="20"/>
  <c r="I198" i="20"/>
  <c r="G198" i="20"/>
  <c r="F198" i="20"/>
  <c r="AJ197" i="20"/>
  <c r="AI197" i="20"/>
  <c r="AG197" i="20"/>
  <c r="AF197" i="20"/>
  <c r="AE197" i="20"/>
  <c r="AD197" i="20"/>
  <c r="Y197" i="20"/>
  <c r="X197" i="20"/>
  <c r="W197" i="20"/>
  <c r="S197" i="20"/>
  <c r="Q197" i="20"/>
  <c r="O197" i="20"/>
  <c r="N197" i="20"/>
  <c r="J197" i="20"/>
  <c r="H197" i="20"/>
  <c r="F198" i="18"/>
  <c r="K198" i="18"/>
  <c r="L198" i="18"/>
  <c r="M198" i="18"/>
  <c r="O198" i="18"/>
  <c r="P198" i="18"/>
  <c r="Q198" i="18"/>
  <c r="R198" i="18"/>
  <c r="S198" i="18"/>
  <c r="V198" i="18"/>
  <c r="X198" i="18"/>
  <c r="Y198" i="18"/>
  <c r="AA198" i="18"/>
  <c r="AB198" i="18"/>
  <c r="AD198" i="18"/>
  <c r="AE198" i="18"/>
  <c r="AF198" i="18"/>
  <c r="AG198" i="18"/>
  <c r="AI198" i="18"/>
  <c r="AJ198" i="18"/>
  <c r="F199" i="18"/>
  <c r="K199" i="18"/>
  <c r="L199" i="18"/>
  <c r="M199" i="18"/>
  <c r="O199" i="18"/>
  <c r="P199" i="18"/>
  <c r="Q199" i="18"/>
  <c r="R199" i="18"/>
  <c r="S199" i="18"/>
  <c r="V199" i="18"/>
  <c r="X199" i="18"/>
  <c r="Y199" i="18"/>
  <c r="AA199" i="18"/>
  <c r="AB199" i="18"/>
  <c r="AD199" i="18"/>
  <c r="AE199" i="18"/>
  <c r="AF199" i="18"/>
  <c r="AG199" i="18"/>
  <c r="AI199" i="18"/>
  <c r="AJ199" i="18"/>
  <c r="F200" i="18"/>
  <c r="K200" i="18"/>
  <c r="L200" i="18"/>
  <c r="M200" i="18"/>
  <c r="O200" i="18"/>
  <c r="P200" i="18"/>
  <c r="Q200" i="18"/>
  <c r="R200" i="18"/>
  <c r="S200" i="18"/>
  <c r="V200" i="18"/>
  <c r="X200" i="18"/>
  <c r="Y200" i="18"/>
  <c r="AA200" i="18"/>
  <c r="AB200" i="18"/>
  <c r="AD200" i="18"/>
  <c r="AE200" i="18"/>
  <c r="AF200" i="18"/>
  <c r="AG200" i="18"/>
  <c r="AI200" i="18"/>
  <c r="AJ200" i="18"/>
  <c r="F201" i="18"/>
  <c r="K201" i="18"/>
  <c r="L201" i="18"/>
  <c r="M201" i="18"/>
  <c r="O201" i="18"/>
  <c r="P201" i="18"/>
  <c r="Q201" i="18"/>
  <c r="R201" i="18"/>
  <c r="S201" i="18"/>
  <c r="V201" i="18"/>
  <c r="X201" i="18"/>
  <c r="Y201" i="18"/>
  <c r="AA201" i="18"/>
  <c r="AB201" i="18"/>
  <c r="AD201" i="18"/>
  <c r="AE201" i="18"/>
  <c r="AF201" i="18"/>
  <c r="AG201" i="18"/>
  <c r="AI201" i="18"/>
  <c r="AJ201" i="18"/>
  <c r="F202" i="18"/>
  <c r="K202" i="18"/>
  <c r="L202" i="18"/>
  <c r="M202" i="18"/>
  <c r="O202" i="18"/>
  <c r="P202" i="18"/>
  <c r="Q202" i="18"/>
  <c r="R202" i="18"/>
  <c r="S202" i="18"/>
  <c r="V202" i="18"/>
  <c r="X202" i="18"/>
  <c r="Y202" i="18"/>
  <c r="AA202" i="18"/>
  <c r="AB202" i="18"/>
  <c r="AD202" i="18"/>
  <c r="AE202" i="18"/>
  <c r="AF202" i="18"/>
  <c r="AG202" i="18"/>
  <c r="AI202" i="18"/>
  <c r="AJ202" i="18"/>
  <c r="F203" i="18"/>
  <c r="K203" i="18"/>
  <c r="L203" i="18"/>
  <c r="M203" i="18"/>
  <c r="O203" i="18"/>
  <c r="P203" i="18"/>
  <c r="Q203" i="18"/>
  <c r="R203" i="18"/>
  <c r="S203" i="18"/>
  <c r="V203" i="18"/>
  <c r="X203" i="18"/>
  <c r="Y203" i="18"/>
  <c r="AA203" i="18"/>
  <c r="AB203" i="18"/>
  <c r="AD203" i="18"/>
  <c r="AE203" i="18"/>
  <c r="AF203" i="18"/>
  <c r="AG203" i="18"/>
  <c r="AI203" i="18"/>
  <c r="AJ203" i="18"/>
  <c r="AH199" i="20" l="1"/>
  <c r="AH198" i="20"/>
  <c r="AH202" i="20"/>
  <c r="AH203" i="20"/>
  <c r="AH200" i="20"/>
  <c r="AH205" i="20"/>
  <c r="AH201" i="20"/>
  <c r="AH201" i="18"/>
  <c r="AH199" i="18"/>
  <c r="AH200" i="18"/>
  <c r="AH202" i="18"/>
  <c r="AH198" i="18"/>
  <c r="AH203" i="18"/>
  <c r="AK201" i="20"/>
  <c r="AK199" i="20"/>
  <c r="AK198" i="20"/>
  <c r="AK200" i="20"/>
  <c r="AK203" i="20"/>
  <c r="AK202" i="20"/>
  <c r="AK203" i="18"/>
  <c r="AK198" i="18"/>
  <c r="AK200" i="18"/>
  <c r="AK201" i="18"/>
  <c r="AK199" i="18"/>
  <c r="AK202" i="18"/>
  <c r="Y199" i="20"/>
  <c r="AC203" i="20"/>
  <c r="AC198" i="20"/>
  <c r="AC202" i="20"/>
  <c r="AC201" i="20"/>
  <c r="AC205" i="20"/>
  <c r="AC200" i="20"/>
  <c r="AC199" i="20"/>
  <c r="F204" i="18"/>
  <c r="Y203" i="20"/>
  <c r="Y198" i="20"/>
  <c r="Y200" i="20"/>
  <c r="Y202" i="20"/>
  <c r="Y201" i="20"/>
  <c r="AC199" i="18"/>
  <c r="AC198" i="18"/>
  <c r="AC201" i="18"/>
  <c r="AC202" i="18"/>
  <c r="AC203" i="18"/>
  <c r="AC200" i="18"/>
  <c r="AI204" i="20"/>
  <c r="AI206" i="20" s="1"/>
  <c r="AI207" i="20" s="1"/>
  <c r="X203" i="20"/>
  <c r="X202" i="20"/>
  <c r="L204" i="20"/>
  <c r="L207" i="20" s="1"/>
  <c r="L208" i="20" s="1"/>
  <c r="X201" i="20"/>
  <c r="X200" i="20"/>
  <c r="X199" i="20"/>
  <c r="X198" i="20"/>
  <c r="E201" i="20"/>
  <c r="E199" i="20"/>
  <c r="E203" i="20"/>
  <c r="E198" i="20"/>
  <c r="E200" i="20"/>
  <c r="E202" i="20"/>
  <c r="I204" i="18"/>
  <c r="AJ204" i="18"/>
  <c r="AI204" i="18"/>
  <c r="AG204" i="18"/>
  <c r="Q204" i="18"/>
  <c r="U204" i="18"/>
  <c r="V204" i="18"/>
  <c r="P204" i="18"/>
  <c r="O204" i="18"/>
  <c r="AD204" i="18"/>
  <c r="Z204" i="18"/>
  <c r="G204" i="18"/>
  <c r="E200" i="18"/>
  <c r="E201" i="18"/>
  <c r="E198" i="18"/>
  <c r="E202" i="18"/>
  <c r="E203" i="18"/>
  <c r="E199" i="18"/>
  <c r="K204" i="18"/>
  <c r="Y204" i="18"/>
  <c r="AA204" i="18"/>
  <c r="X204" i="18"/>
  <c r="S204" i="18"/>
  <c r="R204" i="18"/>
  <c r="AB204" i="18"/>
  <c r="AF204" i="18"/>
  <c r="AE204" i="18"/>
  <c r="M204" i="18"/>
  <c r="L204" i="18"/>
  <c r="AB204" i="20"/>
  <c r="AB206" i="20" s="1"/>
  <c r="AB207" i="20" s="1"/>
  <c r="M204" i="20"/>
  <c r="M206" i="20" s="1"/>
  <c r="AJ204" i="20"/>
  <c r="Q204" i="20"/>
  <c r="Q206" i="20" s="1"/>
  <c r="Q207" i="20" s="1"/>
  <c r="Q208" i="20" s="1"/>
  <c r="V204" i="20"/>
  <c r="V206" i="20" s="1"/>
  <c r="G204" i="20"/>
  <c r="AA204" i="20"/>
  <c r="AA206" i="20" s="1"/>
  <c r="AA207" i="20" s="1"/>
  <c r="AE204" i="20"/>
  <c r="AE206" i="20" s="1"/>
  <c r="I204" i="20"/>
  <c r="I207" i="20" s="1"/>
  <c r="I208" i="20" s="1"/>
  <c r="Z204" i="20"/>
  <c r="Z206" i="20" s="1"/>
  <c r="J201" i="20"/>
  <c r="AD204" i="20"/>
  <c r="AD206" i="20" s="1"/>
  <c r="AD207" i="20" s="1"/>
  <c r="AF204" i="20"/>
  <c r="AF206" i="20" s="1"/>
  <c r="AF207" i="20" s="1"/>
  <c r="N203" i="20"/>
  <c r="W201" i="20"/>
  <c r="K204" i="20"/>
  <c r="K207" i="20" s="1"/>
  <c r="K208" i="20" s="1"/>
  <c r="T199" i="20"/>
  <c r="W200" i="20"/>
  <c r="H201" i="20"/>
  <c r="F204" i="20"/>
  <c r="AG204" i="20"/>
  <c r="J199" i="20"/>
  <c r="W198" i="20"/>
  <c r="N201" i="20"/>
  <c r="S204" i="20"/>
  <c r="S206" i="20" s="1"/>
  <c r="S207" i="20" s="1"/>
  <c r="O204" i="20"/>
  <c r="O206" i="20" s="1"/>
  <c r="O207" i="20" s="1"/>
  <c r="T200" i="20"/>
  <c r="T202" i="20"/>
  <c r="H205" i="20"/>
  <c r="H206" i="20"/>
  <c r="H199" i="20"/>
  <c r="W205" i="20"/>
  <c r="W202" i="20"/>
  <c r="N198" i="20"/>
  <c r="W199" i="20"/>
  <c r="H202" i="20"/>
  <c r="J205" i="20"/>
  <c r="J206" i="20"/>
  <c r="T203" i="20"/>
  <c r="P204" i="20"/>
  <c r="N205" i="20"/>
  <c r="N199" i="20"/>
  <c r="H203" i="20"/>
  <c r="H200" i="20"/>
  <c r="T198" i="20"/>
  <c r="J200" i="20"/>
  <c r="N202" i="20"/>
  <c r="W203" i="20"/>
  <c r="R204" i="20"/>
  <c r="R206" i="20" s="1"/>
  <c r="T201" i="20"/>
  <c r="J203" i="20"/>
  <c r="J202" i="20"/>
  <c r="U204" i="20"/>
  <c r="U206" i="20" s="1"/>
  <c r="U207" i="20" s="1"/>
  <c r="J198" i="20"/>
  <c r="N200" i="20"/>
  <c r="T205" i="20"/>
  <c r="H198" i="20"/>
  <c r="AH204" i="20" l="1"/>
  <c r="AH206" i="20" s="1"/>
  <c r="AH207" i="20" s="1"/>
  <c r="AH204" i="18"/>
  <c r="AK204" i="20"/>
  <c r="AK204" i="18"/>
  <c r="Y204" i="20"/>
  <c r="Y206" i="20" s="1"/>
  <c r="AC204" i="20"/>
  <c r="AC206" i="20" s="1"/>
  <c r="X204" i="20"/>
  <c r="X206" i="20" s="1"/>
  <c r="X207" i="20" s="1"/>
  <c r="AC204" i="18"/>
  <c r="E204" i="20"/>
  <c r="E204" i="18"/>
  <c r="AG206" i="20"/>
  <c r="AG207" i="20" s="1"/>
  <c r="AG208" i="20" s="1"/>
  <c r="L209" i="20"/>
  <c r="L210" i="20" s="1"/>
  <c r="AA208" i="20"/>
  <c r="AA209" i="20" s="1"/>
  <c r="AA210" i="20" s="1"/>
  <c r="O208" i="20"/>
  <c r="P206" i="20"/>
  <c r="P207" i="20" s="1"/>
  <c r="Q209" i="20"/>
  <c r="AB208" i="20"/>
  <c r="AB209" i="20" s="1"/>
  <c r="T204" i="20"/>
  <c r="T206" i="20" s="1"/>
  <c r="T207" i="20" s="1"/>
  <c r="T208" i="20" s="1"/>
  <c r="AI208" i="20"/>
  <c r="AI209" i="20" s="1"/>
  <c r="AI210" i="20" s="1"/>
  <c r="J204" i="20"/>
  <c r="J207" i="20" s="1"/>
  <c r="V207" i="20"/>
  <c r="V208" i="20" s="1"/>
  <c r="AD208" i="20"/>
  <c r="AD209" i="20" s="1"/>
  <c r="N204" i="20"/>
  <c r="U208" i="20"/>
  <c r="AF208" i="20"/>
  <c r="AE207" i="20"/>
  <c r="AE208" i="20" s="1"/>
  <c r="Z207" i="20"/>
  <c r="W204" i="20"/>
  <c r="R207" i="20"/>
  <c r="R208" i="20" s="1"/>
  <c r="M207" i="20"/>
  <c r="I209" i="20"/>
  <c r="K209" i="20"/>
  <c r="K210" i="20" s="1"/>
  <c r="S208" i="20"/>
  <c r="S209" i="20" s="1"/>
  <c r="S210" i="20" s="1"/>
  <c r="H204" i="20"/>
  <c r="H207" i="20" s="1"/>
  <c r="X208" i="20" l="1"/>
  <c r="X209" i="20" s="1"/>
  <c r="Y207" i="20"/>
  <c r="Y208" i="20" s="1"/>
  <c r="Y209" i="20" s="1"/>
  <c r="AC207" i="20"/>
  <c r="AC208" i="20" s="1"/>
  <c r="AD210" i="20"/>
  <c r="AD211" i="20" s="1"/>
  <c r="AD212" i="20" s="1"/>
  <c r="J208" i="20"/>
  <c r="J209" i="20" s="1"/>
  <c r="O209" i="20"/>
  <c r="O210" i="20" s="1"/>
  <c r="O211" i="20" s="1"/>
  <c r="O212" i="20" s="1"/>
  <c r="L211" i="20"/>
  <c r="L212" i="20" s="1"/>
  <c r="AG209" i="20"/>
  <c r="AG210" i="20" s="1"/>
  <c r="AB210" i="20"/>
  <c r="AB211" i="20" s="1"/>
  <c r="AB212" i="20" s="1"/>
  <c r="AF209" i="20"/>
  <c r="AI211" i="20"/>
  <c r="AI212" i="20" s="1"/>
  <c r="Q210" i="20"/>
  <c r="Q211" i="20" s="1"/>
  <c r="P208" i="20"/>
  <c r="AH208" i="20"/>
  <c r="AH209" i="20" s="1"/>
  <c r="AH210" i="20" s="1"/>
  <c r="AH211" i="20" s="1"/>
  <c r="AH212" i="20" s="1"/>
  <c r="K211" i="20"/>
  <c r="K212" i="20" s="1"/>
  <c r="V209" i="20"/>
  <c r="T209" i="20"/>
  <c r="M208" i="20"/>
  <c r="M209" i="20" s="1"/>
  <c r="U209" i="20"/>
  <c r="U210" i="20" s="1"/>
  <c r="U211" i="20" s="1"/>
  <c r="U212" i="20" s="1"/>
  <c r="Z208" i="20"/>
  <c r="Z209" i="20" s="1"/>
  <c r="N206" i="20"/>
  <c r="AA211" i="20"/>
  <c r="AA212" i="20" s="1"/>
  <c r="R209" i="20"/>
  <c r="R210" i="20" s="1"/>
  <c r="I210" i="20"/>
  <c r="I211" i="20" s="1"/>
  <c r="W206" i="20"/>
  <c r="H208" i="20"/>
  <c r="H209" i="20" s="1"/>
  <c r="S211" i="20"/>
  <c r="S212" i="20" s="1"/>
  <c r="AE209" i="20"/>
  <c r="X210" i="20" l="1"/>
  <c r="X211" i="20" s="1"/>
  <c r="X212" i="20" s="1"/>
  <c r="Y210" i="20"/>
  <c r="Y211" i="20" s="1"/>
  <c r="Y212" i="20" s="1"/>
  <c r="AC209" i="20"/>
  <c r="AC210" i="20" s="1"/>
  <c r="Q212" i="20"/>
  <c r="J210" i="20"/>
  <c r="J211" i="20" s="1"/>
  <c r="J212" i="20" s="1"/>
  <c r="AE210" i="20"/>
  <c r="AE211" i="20" s="1"/>
  <c r="AE212" i="20" s="1"/>
  <c r="I212" i="20"/>
  <c r="H210" i="20"/>
  <c r="H211" i="20" s="1"/>
  <c r="H212" i="20" s="1"/>
  <c r="AF210" i="20"/>
  <c r="AF211" i="20" s="1"/>
  <c r="AF212" i="20" s="1"/>
  <c r="P209" i="20"/>
  <c r="P210" i="20" s="1"/>
  <c r="R211" i="20"/>
  <c r="R212" i="20" s="1"/>
  <c r="T210" i="20"/>
  <c r="T211" i="20" s="1"/>
  <c r="Z210" i="20"/>
  <c r="Z211" i="20" s="1"/>
  <c r="Z212" i="20" s="1"/>
  <c r="V210" i="20"/>
  <c r="V211" i="20" s="1"/>
  <c r="V212" i="20" s="1"/>
  <c r="AG211" i="20"/>
  <c r="AG212" i="20" s="1"/>
  <c r="N207" i="20"/>
  <c r="N208" i="20" s="1"/>
  <c r="M210" i="20"/>
  <c r="M211" i="20" s="1"/>
  <c r="M212" i="20" s="1"/>
  <c r="W207" i="20"/>
  <c r="W208" i="20" s="1"/>
  <c r="W209" i="20" s="1"/>
  <c r="AC211" i="20" l="1"/>
  <c r="AC212" i="20" s="1"/>
  <c r="T212" i="20"/>
  <c r="P211" i="20"/>
  <c r="P212" i="20" s="1"/>
  <c r="W210" i="20"/>
  <c r="W211" i="20" s="1"/>
  <c r="W212" i="20" s="1"/>
  <c r="N209" i="20"/>
  <c r="N210" i="20" s="1"/>
  <c r="N211" i="20" s="1"/>
  <c r="N212" i="20" s="1"/>
  <c r="AJ197" i="18" l="1"/>
  <c r="AI197" i="18"/>
  <c r="AG197" i="18"/>
  <c r="AF197" i="18"/>
  <c r="AE197" i="18"/>
  <c r="AD197" i="18"/>
  <c r="Y197" i="18"/>
  <c r="X197" i="18"/>
  <c r="W197" i="18"/>
  <c r="S197" i="18"/>
  <c r="Q197" i="18"/>
  <c r="O197" i="18"/>
  <c r="N197" i="18"/>
  <c r="J197" i="18"/>
  <c r="H197" i="18"/>
  <c r="H197" i="19"/>
  <c r="W191" i="19"/>
  <c r="W190" i="19"/>
  <c r="N190" i="19"/>
  <c r="M190" i="19"/>
  <c r="AK189" i="19"/>
  <c r="AI189" i="19"/>
  <c r="AH189" i="19"/>
  <c r="AG189" i="19"/>
  <c r="AF189" i="19"/>
  <c r="AE189" i="19"/>
  <c r="AD189" i="19"/>
  <c r="AD190" i="19" s="1"/>
  <c r="AC189" i="19"/>
  <c r="AC190" i="19" s="1"/>
  <c r="AB189" i="19"/>
  <c r="AB190" i="19" s="1"/>
  <c r="AA189" i="19"/>
  <c r="AA190" i="19" s="1"/>
  <c r="Z189" i="19"/>
  <c r="Z190" i="19" s="1"/>
  <c r="Y189" i="19"/>
  <c r="X189" i="19"/>
  <c r="W189" i="19"/>
  <c r="V189" i="19"/>
  <c r="V190" i="19" s="1"/>
  <c r="V191" i="19" s="1"/>
  <c r="U189" i="19"/>
  <c r="T189" i="19"/>
  <c r="S189" i="19"/>
  <c r="R189" i="19"/>
  <c r="Q189" i="19"/>
  <c r="P189" i="19"/>
  <c r="P190" i="19" s="1"/>
  <c r="O189" i="19"/>
  <c r="O190" i="19" s="1"/>
  <c r="N189" i="19"/>
  <c r="M189" i="19"/>
  <c r="L189" i="19"/>
  <c r="L190" i="19" s="1"/>
  <c r="K189" i="19"/>
  <c r="J189" i="19"/>
  <c r="I189" i="19"/>
  <c r="H189" i="19"/>
  <c r="G189" i="19"/>
  <c r="F189" i="19"/>
  <c r="E189" i="19"/>
  <c r="AJ181" i="19"/>
  <c r="AJ164" i="19"/>
  <c r="AJ157" i="19"/>
  <c r="AJ156" i="19"/>
  <c r="AJ154" i="19"/>
  <c r="AJ153" i="19"/>
  <c r="AJ150" i="19"/>
  <c r="AJ145" i="19"/>
  <c r="AJ133" i="19"/>
  <c r="AJ125" i="19"/>
  <c r="AJ122" i="19"/>
  <c r="AJ121" i="19"/>
  <c r="AJ118" i="19"/>
  <c r="AJ117" i="19"/>
  <c r="AJ116" i="19"/>
  <c r="AJ113" i="19"/>
  <c r="AJ112" i="19"/>
  <c r="AJ110" i="19"/>
  <c r="AJ105" i="19"/>
  <c r="AJ104" i="19"/>
  <c r="AJ102" i="19"/>
  <c r="AJ99" i="19"/>
  <c r="AJ98" i="19"/>
  <c r="AJ96" i="19"/>
  <c r="AJ95" i="19"/>
  <c r="AJ94" i="19"/>
  <c r="AJ86" i="19"/>
  <c r="AJ85" i="19"/>
  <c r="AJ81" i="19"/>
  <c r="AJ75" i="19"/>
  <c r="AJ74" i="19"/>
  <c r="AJ70" i="19"/>
  <c r="AJ66" i="19"/>
  <c r="AJ65" i="19"/>
  <c r="AJ63" i="19"/>
  <c r="AJ58" i="19"/>
  <c r="AJ57" i="19"/>
  <c r="AJ52" i="19"/>
  <c r="AJ51" i="19"/>
  <c r="AJ50" i="19"/>
  <c r="AJ49" i="19"/>
  <c r="AJ47" i="19"/>
  <c r="AJ44" i="19"/>
  <c r="AJ42" i="19"/>
  <c r="AJ39" i="19"/>
  <c r="AJ37" i="19"/>
  <c r="AJ36" i="19"/>
  <c r="AJ29" i="19"/>
  <c r="AJ27" i="19"/>
  <c r="AJ24" i="19"/>
  <c r="AJ21" i="19"/>
  <c r="AJ13" i="19"/>
  <c r="AJ12" i="19"/>
  <c r="AJ2" i="19"/>
  <c r="L206" i="18"/>
  <c r="K206" i="18"/>
  <c r="I206" i="18"/>
  <c r="AI205" i="18"/>
  <c r="AH205" i="18"/>
  <c r="AG205" i="18"/>
  <c r="AF205" i="18"/>
  <c r="AE205" i="18"/>
  <c r="AD205" i="18"/>
  <c r="AC205" i="18"/>
  <c r="AB205" i="18"/>
  <c r="AA205" i="18"/>
  <c r="Z205" i="18"/>
  <c r="Y205" i="18"/>
  <c r="X205" i="18"/>
  <c r="V205" i="18"/>
  <c r="U205" i="18"/>
  <c r="S205" i="18"/>
  <c r="R205" i="18"/>
  <c r="Q205" i="18"/>
  <c r="P205" i="18"/>
  <c r="O205" i="18"/>
  <c r="M205" i="18"/>
  <c r="L205" i="18"/>
  <c r="K205" i="18"/>
  <c r="I205" i="18"/>
  <c r="K195" i="17"/>
  <c r="I195" i="17"/>
  <c r="K194" i="17"/>
  <c r="I194" i="17"/>
  <c r="L195" i="17"/>
  <c r="N182" i="17"/>
  <c r="N181" i="17"/>
  <c r="N180" i="17"/>
  <c r="N177" i="17"/>
  <c r="N165" i="17"/>
  <c r="N162" i="17"/>
  <c r="N161" i="17"/>
  <c r="N158" i="17"/>
  <c r="N156" i="17"/>
  <c r="N155" i="17"/>
  <c r="N151" i="17"/>
  <c r="N149" i="17"/>
  <c r="N146" i="17"/>
  <c r="N145" i="17"/>
  <c r="N138" i="17"/>
  <c r="N134" i="17"/>
  <c r="N128" i="17"/>
  <c r="N124" i="17"/>
  <c r="N117" i="17"/>
  <c r="N113" i="17"/>
  <c r="N111" i="17"/>
  <c r="N106" i="17"/>
  <c r="N101" i="17"/>
  <c r="N87" i="17"/>
  <c r="N86" i="17"/>
  <c r="N77" i="17"/>
  <c r="N76" i="17"/>
  <c r="N73" i="17"/>
  <c r="N70" i="17"/>
  <c r="N63" i="17"/>
  <c r="N61" i="17"/>
  <c r="N58" i="17"/>
  <c r="N55" i="17"/>
  <c r="N54" i="17"/>
  <c r="N53" i="17"/>
  <c r="N52" i="17"/>
  <c r="N50" i="17"/>
  <c r="N49" i="17"/>
  <c r="N47" i="17"/>
  <c r="N45" i="17"/>
  <c r="N44" i="17"/>
  <c r="N42" i="17"/>
  <c r="N40" i="17"/>
  <c r="N38" i="17"/>
  <c r="N37" i="17"/>
  <c r="N35" i="17"/>
  <c r="N29" i="17"/>
  <c r="N27" i="17"/>
  <c r="N25" i="17"/>
  <c r="N21" i="17"/>
  <c r="N19" i="17"/>
  <c r="N18" i="17"/>
  <c r="N12" i="17"/>
  <c r="N5" i="17"/>
  <c r="N4" i="17"/>
  <c r="N2" i="17"/>
  <c r="W182" i="17"/>
  <c r="W173" i="17"/>
  <c r="W158" i="17"/>
  <c r="W156" i="17"/>
  <c r="W152" i="17"/>
  <c r="W149" i="17"/>
  <c r="W145" i="17"/>
  <c r="W138" i="17"/>
  <c r="W134" i="17"/>
  <c r="W132" i="17"/>
  <c r="W117" i="17"/>
  <c r="W111" i="17"/>
  <c r="W106" i="17"/>
  <c r="W104" i="17"/>
  <c r="W97" i="17"/>
  <c r="W76" i="17"/>
  <c r="W70" i="17"/>
  <c r="W67" i="17"/>
  <c r="W58" i="17"/>
  <c r="W52" i="17"/>
  <c r="W44" i="17"/>
  <c r="W42" i="17"/>
  <c r="W37" i="17"/>
  <c r="W36" i="17"/>
  <c r="W29" i="17"/>
  <c r="W21" i="17"/>
  <c r="W7" i="17"/>
  <c r="W2" i="17"/>
  <c r="I191" i="19" l="1"/>
  <c r="H190" i="19"/>
  <c r="H191" i="19" s="1"/>
  <c r="I190" i="19"/>
  <c r="J203" i="18"/>
  <c r="J200" i="18"/>
  <c r="J201" i="18"/>
  <c r="J202" i="18"/>
  <c r="J198" i="18"/>
  <c r="J199" i="18"/>
  <c r="H200" i="18"/>
  <c r="H201" i="18"/>
  <c r="H198" i="18"/>
  <c r="H202" i="18"/>
  <c r="H199" i="18"/>
  <c r="H203" i="18"/>
  <c r="T201" i="18"/>
  <c r="T199" i="18"/>
  <c r="T198" i="18"/>
  <c r="T202" i="18"/>
  <c r="T203" i="18"/>
  <c r="T200" i="18"/>
  <c r="N202" i="18"/>
  <c r="N199" i="18"/>
  <c r="N203" i="18"/>
  <c r="N200" i="18"/>
  <c r="N201" i="18"/>
  <c r="N198" i="18"/>
  <c r="AJ189" i="19"/>
  <c r="AJ190" i="19" s="1"/>
  <c r="W203" i="18"/>
  <c r="W200" i="18"/>
  <c r="W198" i="18"/>
  <c r="W201" i="18"/>
  <c r="W202" i="18"/>
  <c r="W199" i="18"/>
  <c r="Z206" i="18"/>
  <c r="Z207" i="18" s="1"/>
  <c r="Y206" i="18"/>
  <c r="Y207" i="18" s="1"/>
  <c r="V206" i="18"/>
  <c r="V207" i="18" s="1"/>
  <c r="AF206" i="18"/>
  <c r="AF207" i="18" s="1"/>
  <c r="AF208" i="18" s="1"/>
  <c r="P206" i="18"/>
  <c r="P207" i="18" s="1"/>
  <c r="AE206" i="18"/>
  <c r="AE207" i="18" s="1"/>
  <c r="O206" i="18"/>
  <c r="O207" i="18" s="1"/>
  <c r="AI206" i="18"/>
  <c r="AI207" i="18" s="1"/>
  <c r="S206" i="18"/>
  <c r="S207" i="18" s="1"/>
  <c r="AH206" i="18"/>
  <c r="AH207" i="18" s="1"/>
  <c r="R206" i="18"/>
  <c r="U206" i="18"/>
  <c r="U207" i="18" s="1"/>
  <c r="AG206" i="18"/>
  <c r="AG207" i="18" s="1"/>
  <c r="Q206" i="18"/>
  <c r="X206" i="18"/>
  <c r="X207" i="18" s="1"/>
  <c r="AD206" i="18"/>
  <c r="AD207" i="18" s="1"/>
  <c r="M206" i="18"/>
  <c r="M207" i="18" s="1"/>
  <c r="AC206" i="18"/>
  <c r="AC207" i="18" s="1"/>
  <c r="AC208" i="18" s="1"/>
  <c r="AB206" i="18"/>
  <c r="AB207" i="18" s="1"/>
  <c r="AB208" i="18" s="1"/>
  <c r="AA206" i="18"/>
  <c r="L207" i="18"/>
  <c r="L208" i="18" s="1"/>
  <c r="L209" i="18" s="1"/>
  <c r="W205" i="18"/>
  <c r="Q190" i="19"/>
  <c r="Q191" i="19" s="1"/>
  <c r="AE190" i="19"/>
  <c r="AE191" i="19" s="1"/>
  <c r="L191" i="19"/>
  <c r="L192" i="19" s="1"/>
  <c r="Z191" i="19"/>
  <c r="R190" i="19"/>
  <c r="R191" i="19" s="1"/>
  <c r="R192" i="19" s="1"/>
  <c r="AF190" i="19"/>
  <c r="M191" i="19"/>
  <c r="M192" i="19" s="1"/>
  <c r="M193" i="19" s="1"/>
  <c r="AA191" i="19"/>
  <c r="AA192" i="19" s="1"/>
  <c r="V192" i="19"/>
  <c r="E190" i="19"/>
  <c r="E191" i="19" s="1"/>
  <c r="S190" i="19"/>
  <c r="AG190" i="19"/>
  <c r="N191" i="19"/>
  <c r="AB191" i="19"/>
  <c r="I192" i="19"/>
  <c r="I193" i="19" s="1"/>
  <c r="W192" i="19"/>
  <c r="F190" i="19"/>
  <c r="T190" i="19"/>
  <c r="AH190" i="19"/>
  <c r="O191" i="19"/>
  <c r="AC191" i="19"/>
  <c r="AC192" i="19" s="1"/>
  <c r="G190" i="19"/>
  <c r="U190" i="19"/>
  <c r="U191" i="19" s="1"/>
  <c r="AI190" i="19"/>
  <c r="AI191" i="19" s="1"/>
  <c r="P191" i="19"/>
  <c r="P192" i="19" s="1"/>
  <c r="AD191" i="19"/>
  <c r="AD192" i="19" s="1"/>
  <c r="Z192" i="19"/>
  <c r="AK190" i="19"/>
  <c r="V193" i="19"/>
  <c r="J190" i="19"/>
  <c r="X190" i="19"/>
  <c r="W193" i="19"/>
  <c r="W194" i="19" s="1"/>
  <c r="N205" i="18"/>
  <c r="K190" i="19"/>
  <c r="Y190" i="19"/>
  <c r="H205" i="18"/>
  <c r="I207" i="18"/>
  <c r="H206" i="18"/>
  <c r="J205" i="18"/>
  <c r="J206" i="18"/>
  <c r="K207" i="18"/>
  <c r="K208" i="18" s="1"/>
  <c r="T205" i="18"/>
  <c r="K196" i="17"/>
  <c r="K197" i="17" s="1"/>
  <c r="K198" i="17" s="1"/>
  <c r="I196" i="17"/>
  <c r="I197" i="17" s="1"/>
  <c r="H197" i="15"/>
  <c r="F189" i="15"/>
  <c r="F190" i="15" s="1"/>
  <c r="G189" i="15"/>
  <c r="G190" i="15" s="1"/>
  <c r="H189" i="15"/>
  <c r="I189" i="15"/>
  <c r="J189" i="15"/>
  <c r="K189" i="15"/>
  <c r="E189" i="15"/>
  <c r="E190" i="15" s="1"/>
  <c r="AK189" i="15"/>
  <c r="AK190" i="15" s="1"/>
  <c r="J182" i="17"/>
  <c r="J170" i="17"/>
  <c r="J165" i="17"/>
  <c r="J155" i="17"/>
  <c r="J146" i="17"/>
  <c r="J134" i="17"/>
  <c r="J117" i="17"/>
  <c r="J113" i="17"/>
  <c r="J111" i="17"/>
  <c r="J106" i="17"/>
  <c r="J101" i="17"/>
  <c r="J92" i="17"/>
  <c r="J87" i="17"/>
  <c r="J85" i="17"/>
  <c r="J82" i="17"/>
  <c r="J79" i="17"/>
  <c r="J76" i="17"/>
  <c r="J70" i="17"/>
  <c r="J58" i="17"/>
  <c r="J52" i="17"/>
  <c r="J47" i="17"/>
  <c r="J44" i="17"/>
  <c r="J43" i="17"/>
  <c r="J42" i="17"/>
  <c r="J40" i="17"/>
  <c r="J37" i="17"/>
  <c r="J36" i="17"/>
  <c r="J30" i="17"/>
  <c r="J29" i="17"/>
  <c r="J21" i="17"/>
  <c r="J15" i="17"/>
  <c r="J11" i="17"/>
  <c r="J5" i="17"/>
  <c r="J4" i="17"/>
  <c r="H182" i="17"/>
  <c r="H181" i="17"/>
  <c r="H165" i="17"/>
  <c r="H158" i="17"/>
  <c r="H156" i="17"/>
  <c r="H155" i="17"/>
  <c r="H150" i="17"/>
  <c r="H149" i="17"/>
  <c r="H146" i="17"/>
  <c r="H145" i="17"/>
  <c r="H134" i="17"/>
  <c r="H122" i="17"/>
  <c r="H117" i="17"/>
  <c r="H113" i="17"/>
  <c r="H106" i="17"/>
  <c r="H89" i="17"/>
  <c r="H87" i="17"/>
  <c r="H81" i="17"/>
  <c r="H76" i="17"/>
  <c r="H73" i="17"/>
  <c r="H70" i="17"/>
  <c r="H63" i="17"/>
  <c r="H59" i="17"/>
  <c r="H58" i="17"/>
  <c r="H54" i="17"/>
  <c r="H52" i="17"/>
  <c r="H49" i="17"/>
  <c r="H47" i="17"/>
  <c r="H44" i="17"/>
  <c r="H37" i="17"/>
  <c r="H29" i="17"/>
  <c r="H28" i="17"/>
  <c r="H25" i="17"/>
  <c r="H21" i="17"/>
  <c r="H20" i="17"/>
  <c r="H18" i="17"/>
  <c r="H12" i="17"/>
  <c r="H2" i="17"/>
  <c r="H193" i="19" l="1"/>
  <c r="H192" i="19"/>
  <c r="H194" i="19" s="1"/>
  <c r="AF192" i="19"/>
  <c r="AF191" i="19"/>
  <c r="AF193" i="19" s="1"/>
  <c r="AA193" i="19"/>
  <c r="O192" i="19"/>
  <c r="W204" i="18"/>
  <c r="W206" i="18" s="1"/>
  <c r="W207" i="18" s="1"/>
  <c r="AI192" i="19"/>
  <c r="AJ191" i="19"/>
  <c r="AJ192" i="19" s="1"/>
  <c r="H204" i="18"/>
  <c r="N204" i="18"/>
  <c r="N206" i="18" s="1"/>
  <c r="N207" i="18" s="1"/>
  <c r="J204" i="18"/>
  <c r="J207" i="18" s="1"/>
  <c r="J208" i="18" s="1"/>
  <c r="J209" i="18" s="1"/>
  <c r="T204" i="18"/>
  <c r="T206" i="18" s="1"/>
  <c r="T207" i="18" s="1"/>
  <c r="Y208" i="18"/>
  <c r="Y209" i="18" s="1"/>
  <c r="Y210" i="18" s="1"/>
  <c r="O208" i="18"/>
  <c r="O209" i="18" s="1"/>
  <c r="AE208" i="18"/>
  <c r="AE209" i="18" s="1"/>
  <c r="AE210" i="18" s="1"/>
  <c r="U208" i="18"/>
  <c r="U209" i="18" s="1"/>
  <c r="U210" i="18" s="1"/>
  <c r="V208" i="18"/>
  <c r="V209" i="18" s="1"/>
  <c r="AD193" i="19"/>
  <c r="AD194" i="19" s="1"/>
  <c r="AD195" i="19" s="1"/>
  <c r="AD196" i="19" s="1"/>
  <c r="R193" i="19"/>
  <c r="R194" i="19"/>
  <c r="AF194" i="19"/>
  <c r="AF195" i="19" s="1"/>
  <c r="AC193" i="19"/>
  <c r="E192" i="19"/>
  <c r="E194" i="19"/>
  <c r="W195" i="19"/>
  <c r="W196" i="19" s="1"/>
  <c r="G191" i="19"/>
  <c r="I194" i="19"/>
  <c r="I195" i="19" s="1"/>
  <c r="I196" i="19" s="1"/>
  <c r="F193" i="19"/>
  <c r="P193" i="19"/>
  <c r="P194" i="19" s="1"/>
  <c r="AB192" i="19"/>
  <c r="Y192" i="19"/>
  <c r="AB193" i="19"/>
  <c r="N192" i="19"/>
  <c r="U192" i="19"/>
  <c r="U193" i="19" s="1"/>
  <c r="F192" i="19"/>
  <c r="V194" i="19"/>
  <c r="AI193" i="19"/>
  <c r="AI195" i="19" s="1"/>
  <c r="AG191" i="19"/>
  <c r="AG192" i="19" s="1"/>
  <c r="AA194" i="19"/>
  <c r="AA195" i="19" s="1"/>
  <c r="AA196" i="19" s="1"/>
  <c r="AB194" i="19"/>
  <c r="S191" i="19"/>
  <c r="AK191" i="19"/>
  <c r="E193" i="19"/>
  <c r="M194" i="19"/>
  <c r="Z193" i="19"/>
  <c r="K191" i="19"/>
  <c r="AI194" i="19"/>
  <c r="L193" i="19"/>
  <c r="X191" i="19"/>
  <c r="N193" i="19"/>
  <c r="AH191" i="19"/>
  <c r="T191" i="19"/>
  <c r="Y191" i="19"/>
  <c r="AE192" i="19"/>
  <c r="J191" i="19"/>
  <c r="Q192" i="19"/>
  <c r="F191" i="19"/>
  <c r="AH208" i="18"/>
  <c r="AH209" i="18" s="1"/>
  <c r="AF209" i="18"/>
  <c r="AF210" i="18" s="1"/>
  <c r="AD208" i="18"/>
  <c r="AD209" i="18" s="1"/>
  <c r="AB209" i="18"/>
  <c r="AI208" i="18"/>
  <c r="AI209" i="18" s="1"/>
  <c r="R207" i="18"/>
  <c r="AG208" i="18"/>
  <c r="Q207" i="18"/>
  <c r="P208" i="18"/>
  <c r="P209" i="18" s="1"/>
  <c r="S208" i="18"/>
  <c r="Z208" i="18"/>
  <c r="X208" i="18"/>
  <c r="X209" i="18" s="1"/>
  <c r="AC209" i="18"/>
  <c r="AC210" i="18" s="1"/>
  <c r="AC211" i="18" s="1"/>
  <c r="K209" i="18"/>
  <c r="K210" i="18" s="1"/>
  <c r="M208" i="18"/>
  <c r="M209" i="18" s="1"/>
  <c r="I208" i="18"/>
  <c r="AA207" i="18"/>
  <c r="L210" i="18"/>
  <c r="L211" i="18" s="1"/>
  <c r="L212" i="18" s="1"/>
  <c r="K199" i="17"/>
  <c r="K200" i="17" s="1"/>
  <c r="K201" i="17" s="1"/>
  <c r="J195" i="17"/>
  <c r="J194" i="17"/>
  <c r="H195" i="17"/>
  <c r="H194" i="17"/>
  <c r="I198" i="17"/>
  <c r="I199" i="17" s="1"/>
  <c r="I200" i="17" s="1"/>
  <c r="AK191" i="15"/>
  <c r="AK192" i="15" s="1"/>
  <c r="AK193" i="15" s="1"/>
  <c r="G191" i="15"/>
  <c r="G192" i="15" s="1"/>
  <c r="G193" i="15" s="1"/>
  <c r="J190" i="15"/>
  <c r="I190" i="15"/>
  <c r="F191" i="15"/>
  <c r="F192" i="15" s="1"/>
  <c r="H190" i="15"/>
  <c r="H191" i="15" s="1"/>
  <c r="K190" i="15"/>
  <c r="E191" i="15"/>
  <c r="AJ133" i="15"/>
  <c r="AJ117" i="15"/>
  <c r="AJ113" i="15"/>
  <c r="AJ104" i="15"/>
  <c r="AJ99" i="15"/>
  <c r="AJ98" i="15"/>
  <c r="AJ95" i="15"/>
  <c r="AJ94" i="15"/>
  <c r="AJ74" i="15"/>
  <c r="AJ39" i="15"/>
  <c r="AJ181" i="15"/>
  <c r="AJ164" i="15"/>
  <c r="AJ157" i="15"/>
  <c r="AJ156" i="15"/>
  <c r="AJ154" i="15"/>
  <c r="AJ153" i="15"/>
  <c r="AJ150" i="15"/>
  <c r="AJ145" i="15"/>
  <c r="AJ125" i="15"/>
  <c r="AJ122" i="15"/>
  <c r="AJ121" i="15"/>
  <c r="AJ118" i="15"/>
  <c r="AJ116" i="15"/>
  <c r="AJ112" i="15"/>
  <c r="AJ110" i="15"/>
  <c r="AJ105" i="15"/>
  <c r="AJ102" i="15"/>
  <c r="AJ96" i="15"/>
  <c r="AJ86" i="15"/>
  <c r="AJ85" i="15"/>
  <c r="AJ81" i="15"/>
  <c r="AJ75" i="15"/>
  <c r="AJ70" i="15"/>
  <c r="AJ66" i="15"/>
  <c r="AJ65" i="15"/>
  <c r="AJ63" i="15"/>
  <c r="AJ58" i="15"/>
  <c r="AJ57" i="15"/>
  <c r="AJ52" i="15"/>
  <c r="AJ51" i="15"/>
  <c r="AJ50" i="15"/>
  <c r="AJ49" i="15"/>
  <c r="AJ47" i="15"/>
  <c r="AJ44" i="15"/>
  <c r="AJ42" i="15"/>
  <c r="AJ37" i="15"/>
  <c r="AJ36" i="15"/>
  <c r="AJ29" i="15"/>
  <c r="AJ27" i="15"/>
  <c r="AJ24" i="15"/>
  <c r="AJ21" i="15"/>
  <c r="AJ13" i="15"/>
  <c r="AJ12" i="15"/>
  <c r="AJ2" i="15"/>
  <c r="H196" i="19" l="1"/>
  <c r="AI196" i="19"/>
  <c r="AE193" i="19"/>
  <c r="K192" i="19"/>
  <c r="AB195" i="19"/>
  <c r="AB196" i="19" s="1"/>
  <c r="O193" i="19"/>
  <c r="O194" i="19" s="1"/>
  <c r="R195" i="19"/>
  <c r="R196" i="19" s="1"/>
  <c r="F194" i="19"/>
  <c r="H195" i="19"/>
  <c r="AH192" i="19"/>
  <c r="AH193" i="19" s="1"/>
  <c r="AH194" i="19" s="1"/>
  <c r="AH195" i="19" s="1"/>
  <c r="AJ193" i="19"/>
  <c r="AJ194" i="19" s="1"/>
  <c r="N208" i="18"/>
  <c r="N209" i="18" s="1"/>
  <c r="N210" i="18" s="1"/>
  <c r="W208" i="18"/>
  <c r="W209" i="18" s="1"/>
  <c r="H207" i="18"/>
  <c r="H208" i="18" s="1"/>
  <c r="H209" i="18" s="1"/>
  <c r="AI210" i="18"/>
  <c r="AI211" i="18" s="1"/>
  <c r="AI212" i="18" s="1"/>
  <c r="Z209" i="18"/>
  <c r="Z210" i="18" s="1"/>
  <c r="M210" i="18"/>
  <c r="M211" i="18" s="1"/>
  <c r="M212" i="18" s="1"/>
  <c r="Y211" i="18"/>
  <c r="Y212" i="18" s="1"/>
  <c r="T208" i="18"/>
  <c r="T209" i="18" s="1"/>
  <c r="T210" i="18" s="1"/>
  <c r="T211" i="18" s="1"/>
  <c r="T212" i="18" s="1"/>
  <c r="U194" i="19"/>
  <c r="U195" i="19" s="1"/>
  <c r="U196" i="19" s="1"/>
  <c r="Z194" i="19"/>
  <c r="Z195" i="19" s="1"/>
  <c r="E195" i="19"/>
  <c r="E196" i="19" s="1"/>
  <c r="Y193" i="19"/>
  <c r="J192" i="19"/>
  <c r="P195" i="19"/>
  <c r="P196" i="19" s="1"/>
  <c r="M195" i="19"/>
  <c r="M196" i="19" s="1"/>
  <c r="AC194" i="19"/>
  <c r="AC195" i="19" s="1"/>
  <c r="AC196" i="19" s="1"/>
  <c r="L194" i="19"/>
  <c r="L195" i="19" s="1"/>
  <c r="L196" i="19" s="1"/>
  <c r="J193" i="19"/>
  <c r="AK192" i="19"/>
  <c r="AK193" i="19" s="1"/>
  <c r="T192" i="19"/>
  <c r="T193" i="19" s="1"/>
  <c r="G192" i="19"/>
  <c r="J210" i="18"/>
  <c r="J211" i="18" s="1"/>
  <c r="X192" i="19"/>
  <c r="X193" i="19" s="1"/>
  <c r="S192" i="19"/>
  <c r="S193" i="19" s="1"/>
  <c r="S194" i="19" s="1"/>
  <c r="V195" i="19"/>
  <c r="V196" i="19" s="1"/>
  <c r="Q193" i="19"/>
  <c r="Q194" i="19" s="1"/>
  <c r="N194" i="19"/>
  <c r="N195" i="19" s="1"/>
  <c r="N196" i="19" s="1"/>
  <c r="AF196" i="19"/>
  <c r="F195" i="19"/>
  <c r="F196" i="19" s="1"/>
  <c r="T194" i="19"/>
  <c r="AG193" i="19"/>
  <c r="AE211" i="18"/>
  <c r="AE212" i="18" s="1"/>
  <c r="O210" i="18"/>
  <c r="R208" i="18"/>
  <c r="R209" i="18" s="1"/>
  <c r="AF211" i="18"/>
  <c r="AF212" i="18" s="1"/>
  <c r="X210" i="18"/>
  <c r="X211" i="18" s="1"/>
  <c r="X212" i="18" s="1"/>
  <c r="AA208" i="18"/>
  <c r="S209" i="18"/>
  <c r="S210" i="18" s="1"/>
  <c r="S211" i="18" s="1"/>
  <c r="S212" i="18" s="1"/>
  <c r="I209" i="18"/>
  <c r="I210" i="18" s="1"/>
  <c r="P210" i="18"/>
  <c r="P211" i="18" s="1"/>
  <c r="P212" i="18" s="1"/>
  <c r="V210" i="18"/>
  <c r="V211" i="18" s="1"/>
  <c r="K211" i="18"/>
  <c r="K212" i="18" s="1"/>
  <c r="Q208" i="18"/>
  <c r="Q209" i="18" s="1"/>
  <c r="Q210" i="18" s="1"/>
  <c r="AC212" i="18"/>
  <c r="AB210" i="18"/>
  <c r="AB211" i="18" s="1"/>
  <c r="AB212" i="18" s="1"/>
  <c r="AG209" i="18"/>
  <c r="AG210" i="18" s="1"/>
  <c r="AH210" i="18"/>
  <c r="U211" i="18"/>
  <c r="U212" i="18" s="1"/>
  <c r="AD210" i="18"/>
  <c r="AD211" i="18" s="1"/>
  <c r="AD212" i="18" s="1"/>
  <c r="H196" i="17"/>
  <c r="H197" i="17" s="1"/>
  <c r="H198" i="17" s="1"/>
  <c r="J196" i="17"/>
  <c r="J197" i="17" s="1"/>
  <c r="J198" i="17" s="1"/>
  <c r="J199" i="17" s="1"/>
  <c r="J200" i="17" s="1"/>
  <c r="J201" i="17" s="1"/>
  <c r="I201" i="17"/>
  <c r="E192" i="15"/>
  <c r="E193" i="15" s="1"/>
  <c r="E194" i="15" s="1"/>
  <c r="K191" i="15"/>
  <c r="F193" i="15"/>
  <c r="F194" i="15" s="1"/>
  <c r="F195" i="15" s="1"/>
  <c r="F196" i="15" s="1"/>
  <c r="H192" i="15"/>
  <c r="G194" i="15"/>
  <c r="G195" i="15" s="1"/>
  <c r="I191" i="15"/>
  <c r="I192" i="15" s="1"/>
  <c r="AJ189" i="15"/>
  <c r="AJ190" i="15" s="1"/>
  <c r="J191" i="15"/>
  <c r="J192" i="15" s="1"/>
  <c r="AK194" i="15"/>
  <c r="T161" i="17"/>
  <c r="T158" i="17"/>
  <c r="T155" i="17"/>
  <c r="T144" i="17"/>
  <c r="T137" i="17"/>
  <c r="T117" i="17"/>
  <c r="T106" i="17"/>
  <c r="T90" i="17"/>
  <c r="T76" i="17"/>
  <c r="T58" i="17"/>
  <c r="T53" i="17"/>
  <c r="T49" i="17"/>
  <c r="T47" i="17"/>
  <c r="T44" i="17"/>
  <c r="T29" i="17"/>
  <c r="T18" i="17"/>
  <c r="T10" i="17"/>
  <c r="O196" i="19" l="1"/>
  <c r="O195" i="19"/>
  <c r="K194" i="19"/>
  <c r="K195" i="19" s="1"/>
  <c r="K196" i="19" s="1"/>
  <c r="AK194" i="19"/>
  <c r="AK195" i="19" s="1"/>
  <c r="AK196" i="19" s="1"/>
  <c r="K193" i="19"/>
  <c r="AE194" i="19"/>
  <c r="Z196" i="19"/>
  <c r="AJ195" i="19"/>
  <c r="AJ196" i="19" s="1"/>
  <c r="V212" i="18"/>
  <c r="J212" i="18"/>
  <c r="Z211" i="18"/>
  <c r="Z212" i="18" s="1"/>
  <c r="Q196" i="19"/>
  <c r="Q195" i="19"/>
  <c r="AH196" i="19"/>
  <c r="AG194" i="19"/>
  <c r="AG195" i="19" s="1"/>
  <c r="AG196" i="19" s="1"/>
  <c r="T195" i="19"/>
  <c r="T196" i="19" s="1"/>
  <c r="X194" i="19"/>
  <c r="X195" i="19" s="1"/>
  <c r="X196" i="19" s="1"/>
  <c r="S195" i="19"/>
  <c r="S196" i="19" s="1"/>
  <c r="W210" i="18"/>
  <c r="W211" i="18" s="1"/>
  <c r="W212" i="18" s="1"/>
  <c r="N211" i="18"/>
  <c r="N212" i="18" s="1"/>
  <c r="J194" i="19"/>
  <c r="J195" i="19" s="1"/>
  <c r="J196" i="19" s="1"/>
  <c r="G193" i="19"/>
  <c r="G194" i="19" s="1"/>
  <c r="Y194" i="19"/>
  <c r="Y195" i="19" s="1"/>
  <c r="H210" i="18"/>
  <c r="H211" i="18" s="1"/>
  <c r="H212" i="18" s="1"/>
  <c r="Q211" i="18"/>
  <c r="Q212" i="18" s="1"/>
  <c r="AG211" i="18"/>
  <c r="AG212" i="18" s="1"/>
  <c r="AA209" i="18"/>
  <c r="R210" i="18"/>
  <c r="R211" i="18" s="1"/>
  <c r="I211" i="18"/>
  <c r="I212" i="18" s="1"/>
  <c r="AH211" i="18"/>
  <c r="AH212" i="18" s="1"/>
  <c r="O211" i="18"/>
  <c r="O212" i="18" s="1"/>
  <c r="H199" i="17"/>
  <c r="AK195" i="15"/>
  <c r="AK196" i="15" s="1"/>
  <c r="K192" i="15"/>
  <c r="AJ191" i="15"/>
  <c r="AJ192" i="15" s="1"/>
  <c r="J193" i="15"/>
  <c r="J194" i="15" s="1"/>
  <c r="I193" i="15"/>
  <c r="G196" i="15"/>
  <c r="H193" i="15"/>
  <c r="H194" i="15" s="1"/>
  <c r="E195" i="15"/>
  <c r="E196" i="15" s="1"/>
  <c r="AI194" i="17"/>
  <c r="AI195" i="17" s="1"/>
  <c r="AH194" i="17"/>
  <c r="AH195" i="17" s="1"/>
  <c r="AH196" i="17" s="1"/>
  <c r="AG194" i="17"/>
  <c r="AG195" i="17" s="1"/>
  <c r="AG196" i="17" s="1"/>
  <c r="AF194" i="17"/>
  <c r="AF195" i="17" s="1"/>
  <c r="AE194" i="17"/>
  <c r="AE195" i="17" s="1"/>
  <c r="AD194" i="17"/>
  <c r="AD195" i="17" s="1"/>
  <c r="AC194" i="17"/>
  <c r="AC195" i="17" s="1"/>
  <c r="AB194" i="17"/>
  <c r="AA194" i="17"/>
  <c r="Z194" i="17"/>
  <c r="Y194" i="17"/>
  <c r="X194" i="17"/>
  <c r="W194" i="17"/>
  <c r="V194" i="17"/>
  <c r="U194" i="17"/>
  <c r="T194" i="17"/>
  <c r="T195" i="17" s="1"/>
  <c r="T196" i="17" s="1"/>
  <c r="S194" i="17"/>
  <c r="S195" i="17" s="1"/>
  <c r="S196" i="17" s="1"/>
  <c r="R194" i="17"/>
  <c r="R195" i="17" s="1"/>
  <c r="Q194" i="17"/>
  <c r="Q195" i="17" s="1"/>
  <c r="P194" i="17"/>
  <c r="P195" i="17" s="1"/>
  <c r="O194" i="17"/>
  <c r="O195" i="17" s="1"/>
  <c r="N194" i="17"/>
  <c r="M194" i="17"/>
  <c r="L194" i="17"/>
  <c r="AE195" i="19" l="1"/>
  <c r="AE196" i="19" s="1"/>
  <c r="G195" i="19"/>
  <c r="G196" i="19" s="1"/>
  <c r="Y196" i="19"/>
  <c r="AA210" i="18"/>
  <c r="AA211" i="18" s="1"/>
  <c r="AA212" i="18" s="1"/>
  <c r="R212" i="18"/>
  <c r="H200" i="17"/>
  <c r="H201" i="17" s="1"/>
  <c r="K193" i="15"/>
  <c r="K194" i="15" s="1"/>
  <c r="H195" i="15"/>
  <c r="H196" i="15" s="1"/>
  <c r="J195" i="15"/>
  <c r="J196" i="15" s="1"/>
  <c r="I194" i="15"/>
  <c r="I195" i="15" s="1"/>
  <c r="I196" i="15" s="1"/>
  <c r="AJ193" i="15"/>
  <c r="AJ194" i="15" s="1"/>
  <c r="AJ195" i="15" s="1"/>
  <c r="U195" i="17"/>
  <c r="U196" i="17" s="1"/>
  <c r="U197" i="17" s="1"/>
  <c r="AI196" i="17"/>
  <c r="AI197" i="17" s="1"/>
  <c r="V195" i="17"/>
  <c r="V196" i="17" s="1"/>
  <c r="V197" i="17" s="1"/>
  <c r="V198" i="17" s="1"/>
  <c r="V199" i="17" s="1"/>
  <c r="R196" i="17"/>
  <c r="R197" i="17" s="1"/>
  <c r="AF196" i="17"/>
  <c r="AF197" i="17" s="1"/>
  <c r="AF198" i="17" s="1"/>
  <c r="T197" i="17"/>
  <c r="T198" i="17" s="1"/>
  <c r="T199" i="17" s="1"/>
  <c r="AH197" i="17"/>
  <c r="W195" i="17"/>
  <c r="X195" i="17"/>
  <c r="Y195" i="17"/>
  <c r="Y196" i="17" s="1"/>
  <c r="O196" i="17"/>
  <c r="O197" i="17" s="1"/>
  <c r="AC196" i="17"/>
  <c r="S197" i="17"/>
  <c r="S198" i="17" s="1"/>
  <c r="AG197" i="17"/>
  <c r="AG198" i="17" s="1"/>
  <c r="L196" i="17"/>
  <c r="Z195" i="17"/>
  <c r="P196" i="17"/>
  <c r="AD196" i="17"/>
  <c r="AD197" i="17" s="1"/>
  <c r="M195" i="17"/>
  <c r="M196" i="17" s="1"/>
  <c r="AA195" i="17"/>
  <c r="Q196" i="17"/>
  <c r="AE196" i="17"/>
  <c r="AE197" i="17" s="1"/>
  <c r="N195" i="17"/>
  <c r="AB195" i="17"/>
  <c r="K195" i="15" l="1"/>
  <c r="K196" i="15" s="1"/>
  <c r="AJ196" i="15"/>
  <c r="M197" i="17"/>
  <c r="Z196" i="17"/>
  <c r="Z197" i="17" s="1"/>
  <c r="AC197" i="17"/>
  <c r="AC198" i="17" s="1"/>
  <c r="AB196" i="17"/>
  <c r="AB197" i="17" s="1"/>
  <c r="AB198" i="17" s="1"/>
  <c r="AB199" i="17" s="1"/>
  <c r="U198" i="17"/>
  <c r="U199" i="17" s="1"/>
  <c r="S199" i="17"/>
  <c r="S200" i="17" s="1"/>
  <c r="S201" i="17" s="1"/>
  <c r="P197" i="17"/>
  <c r="N196" i="17"/>
  <c r="V200" i="17"/>
  <c r="V201" i="17" s="1"/>
  <c r="W196" i="17"/>
  <c r="W197" i="17" s="1"/>
  <c r="X196" i="17"/>
  <c r="R198" i="17"/>
  <c r="R199" i="17" s="1"/>
  <c r="R200" i="17" s="1"/>
  <c r="R201" i="17" s="1"/>
  <c r="AD198" i="17"/>
  <c r="AD199" i="17" s="1"/>
  <c r="T200" i="17"/>
  <c r="T201" i="17" s="1"/>
  <c r="AG199" i="17"/>
  <c r="Y197" i="17"/>
  <c r="Y198" i="17" s="1"/>
  <c r="O198" i="17"/>
  <c r="O199" i="17" s="1"/>
  <c r="AH198" i="17"/>
  <c r="AH199" i="17" s="1"/>
  <c r="AE198" i="17"/>
  <c r="L197" i="17"/>
  <c r="AI198" i="17"/>
  <c r="AF199" i="17"/>
  <c r="AF200" i="17" s="1"/>
  <c r="AF201" i="17" s="1"/>
  <c r="Q197" i="17"/>
  <c r="AA196" i="17"/>
  <c r="U200" i="17" l="1"/>
  <c r="U201" i="17" s="1"/>
  <c r="Z198" i="17"/>
  <c r="Z199" i="17" s="1"/>
  <c r="P198" i="17"/>
  <c r="P199" i="17" s="1"/>
  <c r="P200" i="17" s="1"/>
  <c r="P201" i="17" s="1"/>
  <c r="N197" i="17"/>
  <c r="N198" i="17" s="1"/>
  <c r="AC199" i="17"/>
  <c r="AC200" i="17" s="1"/>
  <c r="AC201" i="17" s="1"/>
  <c r="Y199" i="17"/>
  <c r="Y200" i="17" s="1"/>
  <c r="AG200" i="17"/>
  <c r="AG201" i="17" s="1"/>
  <c r="M198" i="17"/>
  <c r="M199" i="17" s="1"/>
  <c r="AD200" i="17"/>
  <c r="AD201" i="17" s="1"/>
  <c r="AB200" i="17"/>
  <c r="AB201" i="17" s="1"/>
  <c r="O200" i="17"/>
  <c r="O201" i="17" s="1"/>
  <c r="X197" i="17"/>
  <c r="X198" i="17" s="1"/>
  <c r="L198" i="17"/>
  <c r="L199" i="17" s="1"/>
  <c r="L200" i="17" s="1"/>
  <c r="L201" i="17" s="1"/>
  <c r="W198" i="17"/>
  <c r="AA197" i="17"/>
  <c r="AA198" i="17" s="1"/>
  <c r="AE199" i="17"/>
  <c r="Q198" i="17"/>
  <c r="AI199" i="17"/>
  <c r="AH200" i="17"/>
  <c r="AH201" i="17" s="1"/>
  <c r="Z200" i="17" l="1"/>
  <c r="Z201" i="17" s="1"/>
  <c r="N199" i="17"/>
  <c r="N200" i="17" s="1"/>
  <c r="N201" i="17" s="1"/>
  <c r="Y201" i="17"/>
  <c r="M200" i="17"/>
  <c r="M201" i="17" s="1"/>
  <c r="W199" i="17"/>
  <c r="W200" i="17" s="1"/>
  <c r="W201" i="17" s="1"/>
  <c r="X199" i="17"/>
  <c r="X200" i="17" s="1"/>
  <c r="X201" i="17" s="1"/>
  <c r="AI200" i="17"/>
  <c r="AI201" i="17" s="1"/>
  <c r="Q199" i="17"/>
  <c r="AA199" i="17"/>
  <c r="AA200" i="17" s="1"/>
  <c r="AA201" i="17" s="1"/>
  <c r="AE200" i="17"/>
  <c r="AE201" i="17" s="1"/>
  <c r="Q200" i="17" l="1"/>
  <c r="Q201" i="17" s="1"/>
  <c r="M189" i="15" l="1"/>
  <c r="M190" i="15" s="1"/>
  <c r="M191" i="15" s="1"/>
  <c r="N189" i="15"/>
  <c r="N190" i="15" s="1"/>
  <c r="N191" i="15" s="1"/>
  <c r="O189" i="15"/>
  <c r="O190" i="15" s="1"/>
  <c r="O191" i="15" s="1"/>
  <c r="P189" i="15"/>
  <c r="P190" i="15" s="1"/>
  <c r="P191" i="15" s="1"/>
  <c r="Q189" i="15"/>
  <c r="Q190" i="15" s="1"/>
  <c r="Q191" i="15" s="1"/>
  <c r="R189" i="15"/>
  <c r="R190" i="15" s="1"/>
  <c r="S189" i="15"/>
  <c r="S190" i="15" s="1"/>
  <c r="T189" i="15"/>
  <c r="T190" i="15" s="1"/>
  <c r="U189" i="15"/>
  <c r="U190" i="15" s="1"/>
  <c r="V189" i="15"/>
  <c r="V190" i="15" s="1"/>
  <c r="W189" i="15"/>
  <c r="W190" i="15" s="1"/>
  <c r="X189" i="15"/>
  <c r="X190" i="15" s="1"/>
  <c r="X191" i="15" s="1"/>
  <c r="Y189" i="15"/>
  <c r="Y190" i="15" s="1"/>
  <c r="Z189" i="15"/>
  <c r="Z190" i="15" s="1"/>
  <c r="AA189" i="15"/>
  <c r="AA190" i="15" s="1"/>
  <c r="AA191" i="15" s="1"/>
  <c r="AB189" i="15"/>
  <c r="AB190" i="15" s="1"/>
  <c r="AC189" i="15"/>
  <c r="AC190" i="15" s="1"/>
  <c r="AD189" i="15"/>
  <c r="AD190" i="15" s="1"/>
  <c r="AE189" i="15"/>
  <c r="AE190" i="15" s="1"/>
  <c r="AE191" i="15" s="1"/>
  <c r="AF189" i="15"/>
  <c r="AF190" i="15" s="1"/>
  <c r="AG189" i="15"/>
  <c r="AG190" i="15" s="1"/>
  <c r="AH189" i="15"/>
  <c r="AH190" i="15" s="1"/>
  <c r="AI189" i="15"/>
  <c r="AI190" i="15" s="1"/>
  <c r="L189" i="15"/>
  <c r="L190" i="15" s="1"/>
  <c r="AB191" i="15" l="1"/>
  <c r="AB192" i="15" s="1"/>
  <c r="AC191" i="15"/>
  <c r="AC192" i="15" s="1"/>
  <c r="AC193" i="15" s="1"/>
  <c r="Y191" i="15"/>
  <c r="Y192" i="15" s="1"/>
  <c r="Y193" i="15" s="1"/>
  <c r="Y194" i="15" s="1"/>
  <c r="Z191" i="15"/>
  <c r="W191" i="15"/>
  <c r="W192" i="15" s="1"/>
  <c r="AD191" i="15"/>
  <c r="AD192" i="15" s="1"/>
  <c r="AD193" i="15" s="1"/>
  <c r="X192" i="15"/>
  <c r="X193" i="15" s="1"/>
  <c r="V191" i="15"/>
  <c r="U191" i="15"/>
  <c r="U192" i="15" s="1"/>
  <c r="P192" i="15"/>
  <c r="P193" i="15" s="1"/>
  <c r="AH191" i="15"/>
  <c r="Q192" i="15"/>
  <c r="Q193" i="15" s="1"/>
  <c r="T191" i="15"/>
  <c r="AG191" i="15"/>
  <c r="S191" i="15"/>
  <c r="S192" i="15" s="1"/>
  <c r="N192" i="15"/>
  <c r="AE192" i="15"/>
  <c r="AE193" i="15" s="1"/>
  <c r="AI191" i="15"/>
  <c r="O192" i="15"/>
  <c r="O193" i="15" s="1"/>
  <c r="AF191" i="15"/>
  <c r="AF192" i="15" s="1"/>
  <c r="R191" i="15"/>
  <c r="AA192" i="15"/>
  <c r="M192" i="15"/>
  <c r="L191" i="15"/>
  <c r="V192" i="15" l="1"/>
  <c r="V193" i="15" s="1"/>
  <c r="V194" i="15" s="1"/>
  <c r="AA193" i="15"/>
  <c r="AA194" i="15" s="1"/>
  <c r="AA195" i="15" s="1"/>
  <c r="AA196" i="15" s="1"/>
  <c r="W193" i="15"/>
  <c r="W194" i="15" s="1"/>
  <c r="W195" i="15" s="1"/>
  <c r="W196" i="15" s="1"/>
  <c r="Y195" i="15"/>
  <c r="Y196" i="15" s="1"/>
  <c r="X194" i="15"/>
  <c r="X195" i="15" s="1"/>
  <c r="X196" i="15" s="1"/>
  <c r="Z192" i="15"/>
  <c r="AH192" i="15"/>
  <c r="N193" i="15"/>
  <c r="N194" i="15" s="1"/>
  <c r="N195" i="15" s="1"/>
  <c r="AB193" i="15"/>
  <c r="S193" i="15"/>
  <c r="S194" i="15" s="1"/>
  <c r="AE194" i="15"/>
  <c r="AI192" i="15"/>
  <c r="AC194" i="15"/>
  <c r="Q194" i="15"/>
  <c r="Q195" i="15" s="1"/>
  <c r="AD194" i="15"/>
  <c r="AD195" i="15" s="1"/>
  <c r="AD196" i="15" s="1"/>
  <c r="T192" i="15"/>
  <c r="P194" i="15"/>
  <c r="AF193" i="15"/>
  <c r="AF194" i="15" s="1"/>
  <c r="U193" i="15"/>
  <c r="U194" i="15" s="1"/>
  <c r="O194" i="15"/>
  <c r="R192" i="15"/>
  <c r="M193" i="15"/>
  <c r="M194" i="15" s="1"/>
  <c r="AG192" i="15"/>
  <c r="L192" i="15"/>
  <c r="L193" i="15" s="1"/>
  <c r="V195" i="15" l="1"/>
  <c r="V196" i="15" s="1"/>
  <c r="Q196" i="15"/>
  <c r="Z193" i="15"/>
  <c r="Z194" i="15" s="1"/>
  <c r="T193" i="15"/>
  <c r="AF195" i="15"/>
  <c r="AF196" i="15" s="1"/>
  <c r="R193" i="15"/>
  <c r="R194" i="15" s="1"/>
  <c r="AC195" i="15"/>
  <c r="AC196" i="15" s="1"/>
  <c r="N196" i="15"/>
  <c r="AE195" i="15"/>
  <c r="AE196" i="15" s="1"/>
  <c r="U195" i="15"/>
  <c r="U196" i="15" s="1"/>
  <c r="O195" i="15"/>
  <c r="O196" i="15" s="1"/>
  <c r="AI193" i="15"/>
  <c r="AI194" i="15" s="1"/>
  <c r="M195" i="15"/>
  <c r="M196" i="15" s="1"/>
  <c r="AG193" i="15"/>
  <c r="AH193" i="15"/>
  <c r="AH194" i="15" s="1"/>
  <c r="S195" i="15"/>
  <c r="S196" i="15" s="1"/>
  <c r="AB194" i="15"/>
  <c r="AB195" i="15" s="1"/>
  <c r="AB196" i="15" s="1"/>
  <c r="P195" i="15"/>
  <c r="P196" i="15" s="1"/>
  <c r="L194" i="15"/>
  <c r="L195" i="15" s="1"/>
  <c r="AI195" i="15" l="1"/>
  <c r="AI196" i="15" s="1"/>
  <c r="AH195" i="15"/>
  <c r="AH196" i="15" s="1"/>
  <c r="T194" i="15"/>
  <c r="T195" i="15" s="1"/>
  <c r="T196" i="15" s="1"/>
  <c r="Z195" i="15"/>
  <c r="Z196" i="15" s="1"/>
  <c r="AG194" i="15"/>
  <c r="AG195" i="15" s="1"/>
  <c r="R195" i="15"/>
  <c r="R196" i="15" s="1"/>
  <c r="L196" i="15"/>
  <c r="AG196" i="15" l="1"/>
  <c r="O40" i="5" l="1"/>
  <c r="N40" i="5"/>
  <c r="M40" i="5"/>
  <c r="L40" i="5"/>
  <c r="K40" i="5"/>
  <c r="J40" i="5"/>
  <c r="I40" i="5"/>
  <c r="H40" i="5"/>
  <c r="G40" i="5"/>
  <c r="F40" i="5"/>
  <c r="E40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P40" i="4"/>
  <c r="O40" i="4"/>
  <c r="N40" i="4"/>
  <c r="M40" i="4"/>
  <c r="L40" i="4"/>
  <c r="K40" i="4"/>
  <c r="J40" i="4"/>
  <c r="I40" i="4"/>
  <c r="H40" i="4"/>
  <c r="G40" i="4"/>
  <c r="F40" i="4"/>
  <c r="E40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L44" i="7"/>
  <c r="K44" i="7"/>
  <c r="J44" i="7"/>
  <c r="I44" i="7"/>
  <c r="H44" i="7"/>
  <c r="G44" i="7"/>
  <c r="F44" i="7"/>
  <c r="E44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P44" i="6"/>
  <c r="O44" i="6"/>
  <c r="N44" i="6"/>
  <c r="M44" i="6"/>
  <c r="L44" i="6"/>
  <c r="K44" i="6"/>
  <c r="J44" i="6"/>
  <c r="I44" i="6"/>
  <c r="H44" i="6"/>
  <c r="G44" i="6"/>
  <c r="F44" i="6"/>
  <c r="E44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L46" i="6" s="1"/>
  <c r="D7" i="6"/>
  <c r="I46" i="6" s="1"/>
  <c r="D6" i="6"/>
  <c r="D5" i="6"/>
  <c r="D4" i="6"/>
  <c r="D3" i="6"/>
  <c r="O43" i="9"/>
  <c r="J42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AN40" i="9"/>
  <c r="AO40" i="9" s="1"/>
  <c r="AI40" i="9"/>
  <c r="E40" i="9"/>
  <c r="AN39" i="9"/>
  <c r="AO39" i="9" s="1"/>
  <c r="AI39" i="9"/>
  <c r="E39" i="9"/>
  <c r="AN38" i="9"/>
  <c r="AO38" i="9" s="1"/>
  <c r="AI38" i="9"/>
  <c r="E38" i="9"/>
  <c r="AN37" i="9"/>
  <c r="AO37" i="9" s="1"/>
  <c r="AI37" i="9"/>
  <c r="E37" i="9"/>
  <c r="AN36" i="9"/>
  <c r="AO36" i="9" s="1"/>
  <c r="AI36" i="9"/>
  <c r="E36" i="9"/>
  <c r="AN35" i="9"/>
  <c r="AO35" i="9" s="1"/>
  <c r="AI35" i="9"/>
  <c r="E35" i="9"/>
  <c r="AN34" i="9"/>
  <c r="AO34" i="9" s="1"/>
  <c r="AI34" i="9"/>
  <c r="E34" i="9"/>
  <c r="AN33" i="9"/>
  <c r="AO33" i="9" s="1"/>
  <c r="AI33" i="9"/>
  <c r="E33" i="9"/>
  <c r="AN32" i="9"/>
  <c r="AO32" i="9" s="1"/>
  <c r="AI32" i="9"/>
  <c r="E32" i="9"/>
  <c r="AN31" i="9"/>
  <c r="AO31" i="9" s="1"/>
  <c r="AI31" i="9"/>
  <c r="E31" i="9"/>
  <c r="AN30" i="9"/>
  <c r="AO30" i="9" s="1"/>
  <c r="AI30" i="9"/>
  <c r="E30" i="9"/>
  <c r="AN29" i="9"/>
  <c r="AO29" i="9" s="1"/>
  <c r="AI29" i="9"/>
  <c r="E29" i="9"/>
  <c r="AN28" i="9"/>
  <c r="AO28" i="9" s="1"/>
  <c r="AI28" i="9"/>
  <c r="E28" i="9"/>
  <c r="AN27" i="9"/>
  <c r="AO27" i="9" s="1"/>
  <c r="AI27" i="9"/>
  <c r="E27" i="9"/>
  <c r="AN26" i="9"/>
  <c r="AO26" i="9" s="1"/>
  <c r="AI26" i="9"/>
  <c r="E26" i="9"/>
  <c r="AN25" i="9"/>
  <c r="AO25" i="9" s="1"/>
  <c r="AI25" i="9"/>
  <c r="E25" i="9"/>
  <c r="AN24" i="9"/>
  <c r="AO24" i="9" s="1"/>
  <c r="AI24" i="9"/>
  <c r="E24" i="9"/>
  <c r="AN23" i="9"/>
  <c r="AO23" i="9" s="1"/>
  <c r="AI23" i="9"/>
  <c r="E23" i="9"/>
  <c r="AN22" i="9"/>
  <c r="AO22" i="9" s="1"/>
  <c r="AI22" i="9"/>
  <c r="E22" i="9"/>
  <c r="AN21" i="9"/>
  <c r="AO21" i="9" s="1"/>
  <c r="AI21" i="9"/>
  <c r="E21" i="9"/>
  <c r="AN20" i="9"/>
  <c r="AO20" i="9" s="1"/>
  <c r="AI20" i="9"/>
  <c r="E20" i="9"/>
  <c r="AN19" i="9"/>
  <c r="AO19" i="9" s="1"/>
  <c r="AI19" i="9"/>
  <c r="E19" i="9"/>
  <c r="AN18" i="9"/>
  <c r="AO18" i="9" s="1"/>
  <c r="AI18" i="9"/>
  <c r="E18" i="9"/>
  <c r="AN17" i="9"/>
  <c r="AO17" i="9" s="1"/>
  <c r="AI17" i="9"/>
  <c r="E17" i="9"/>
  <c r="AN16" i="9"/>
  <c r="AO16" i="9" s="1"/>
  <c r="AI16" i="9"/>
  <c r="E16" i="9"/>
  <c r="AN15" i="9"/>
  <c r="AO15" i="9" s="1"/>
  <c r="AI15" i="9"/>
  <c r="E15" i="9"/>
  <c r="AN14" i="9"/>
  <c r="AO14" i="9" s="1"/>
  <c r="AI14" i="9"/>
  <c r="E14" i="9"/>
  <c r="P43" i="9" s="1"/>
  <c r="AN13" i="9"/>
  <c r="AO13" i="9" s="1"/>
  <c r="AI13" i="9"/>
  <c r="E13" i="9"/>
  <c r="AN12" i="9"/>
  <c r="AO12" i="9" s="1"/>
  <c r="AI12" i="9"/>
  <c r="E12" i="9"/>
  <c r="AG42" i="9" s="1"/>
  <c r="AN11" i="9"/>
  <c r="AO11" i="9" s="1"/>
  <c r="AI11" i="9"/>
  <c r="E11" i="9"/>
  <c r="AN10" i="9"/>
  <c r="AO10" i="9" s="1"/>
  <c r="AI10" i="9"/>
  <c r="E10" i="9"/>
  <c r="AN9" i="9"/>
  <c r="AO9" i="9" s="1"/>
  <c r="AI9" i="9"/>
  <c r="E9" i="9"/>
  <c r="AN8" i="9"/>
  <c r="AO8" i="9" s="1"/>
  <c r="AI8" i="9"/>
  <c r="E8" i="9"/>
  <c r="S43" i="9" s="1"/>
  <c r="AN7" i="9"/>
  <c r="AO7" i="9" s="1"/>
  <c r="AI7" i="9"/>
  <c r="E7" i="9"/>
  <c r="AF43" i="9" s="1"/>
  <c r="AN6" i="9"/>
  <c r="AO6" i="9" s="1"/>
  <c r="AI6" i="9"/>
  <c r="E6" i="9"/>
  <c r="AN5" i="9"/>
  <c r="AO5" i="9" s="1"/>
  <c r="AI5" i="9"/>
  <c r="E5" i="9"/>
  <c r="AN4" i="9"/>
  <c r="AO4" i="9" s="1"/>
  <c r="AI4" i="9"/>
  <c r="E4" i="9"/>
  <c r="AN3" i="9"/>
  <c r="AO3" i="9" s="1"/>
  <c r="AI3" i="9"/>
  <c r="E3" i="9"/>
  <c r="AE43" i="9" s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43" i="9" l="1"/>
  <c r="G43" i="9"/>
  <c r="I42" i="9"/>
  <c r="H43" i="9"/>
  <c r="G42" i="3"/>
  <c r="M42" i="9"/>
  <c r="R43" i="9"/>
  <c r="J42" i="3"/>
  <c r="L42" i="9"/>
  <c r="N42" i="9"/>
  <c r="V42" i="3"/>
  <c r="U42" i="9"/>
  <c r="T43" i="9"/>
  <c r="G46" i="6"/>
  <c r="F42" i="3"/>
  <c r="F41" i="3"/>
  <c r="V42" i="9"/>
  <c r="AA43" i="9"/>
  <c r="J46" i="7"/>
  <c r="U41" i="3"/>
  <c r="R41" i="3"/>
  <c r="X42" i="9"/>
  <c r="AB43" i="9"/>
  <c r="G45" i="7"/>
  <c r="S42" i="3"/>
  <c r="Y42" i="9"/>
  <c r="AD43" i="9"/>
  <c r="J42" i="5"/>
  <c r="Z42" i="9"/>
  <c r="I45" i="7"/>
  <c r="E42" i="4"/>
  <c r="I41" i="5"/>
  <c r="AC43" i="9"/>
  <c r="AH42" i="9"/>
  <c r="E46" i="6"/>
  <c r="J45" i="7"/>
  <c r="K46" i="7"/>
  <c r="N42" i="5"/>
  <c r="F42" i="4"/>
  <c r="G42" i="4"/>
  <c r="P42" i="4"/>
  <c r="H42" i="4"/>
  <c r="K45" i="6"/>
  <c r="L42" i="3"/>
  <c r="M42" i="3"/>
  <c r="J45" i="6"/>
  <c r="J46" i="6"/>
  <c r="K45" i="7"/>
  <c r="H41" i="4"/>
  <c r="J41" i="3"/>
  <c r="V41" i="3"/>
  <c r="K42" i="3"/>
  <c r="W42" i="3"/>
  <c r="N41" i="5"/>
  <c r="O42" i="5"/>
  <c r="K46" i="6"/>
  <c r="L45" i="7"/>
  <c r="I41" i="4"/>
  <c r="I42" i="4"/>
  <c r="K41" i="3"/>
  <c r="W41" i="3"/>
  <c r="X42" i="3"/>
  <c r="O41" i="5"/>
  <c r="O42" i="9"/>
  <c r="AA42" i="9"/>
  <c r="I43" i="9"/>
  <c r="U43" i="9"/>
  <c r="AG43" i="9"/>
  <c r="L45" i="6"/>
  <c r="E46" i="7"/>
  <c r="J41" i="4"/>
  <c r="J42" i="4"/>
  <c r="L41" i="3"/>
  <c r="X41" i="3"/>
  <c r="Y42" i="3"/>
  <c r="E42" i="5"/>
  <c r="P42" i="9"/>
  <c r="AB42" i="9"/>
  <c r="J43" i="9"/>
  <c r="V43" i="9"/>
  <c r="AH43" i="9"/>
  <c r="M45" i="6"/>
  <c r="M46" i="6"/>
  <c r="F46" i="7"/>
  <c r="K41" i="4"/>
  <c r="K42" i="4"/>
  <c r="M41" i="3"/>
  <c r="Y41" i="3"/>
  <c r="N42" i="3"/>
  <c r="Z42" i="3"/>
  <c r="E41" i="5"/>
  <c r="F42" i="5"/>
  <c r="AC42" i="9"/>
  <c r="E42" i="9"/>
  <c r="K43" i="9"/>
  <c r="N45" i="6"/>
  <c r="L41" i="4"/>
  <c r="Z41" i="3"/>
  <c r="AA42" i="3"/>
  <c r="G42" i="5"/>
  <c r="AD42" i="9"/>
  <c r="X43" i="9"/>
  <c r="O45" i="6"/>
  <c r="M42" i="4"/>
  <c r="AA41" i="3"/>
  <c r="G41" i="5"/>
  <c r="G42" i="9"/>
  <c r="S42" i="9"/>
  <c r="AE42" i="9"/>
  <c r="M43" i="9"/>
  <c r="Y43" i="9"/>
  <c r="P45" i="6"/>
  <c r="P46" i="6"/>
  <c r="E45" i="7"/>
  <c r="I46" i="7"/>
  <c r="N41" i="4"/>
  <c r="N42" i="4"/>
  <c r="P41" i="3"/>
  <c r="E42" i="3"/>
  <c r="Q42" i="3"/>
  <c r="H41" i="5"/>
  <c r="I42" i="5"/>
  <c r="Q42" i="9"/>
  <c r="W43" i="9"/>
  <c r="N46" i="6"/>
  <c r="G46" i="7"/>
  <c r="L42" i="4"/>
  <c r="N41" i="3"/>
  <c r="O42" i="3"/>
  <c r="F41" i="5"/>
  <c r="F42" i="9"/>
  <c r="R42" i="9"/>
  <c r="L43" i="9"/>
  <c r="O46" i="6"/>
  <c r="H46" i="7"/>
  <c r="M41" i="4"/>
  <c r="O41" i="3"/>
  <c r="P42" i="3"/>
  <c r="H42" i="5"/>
  <c r="H42" i="9"/>
  <c r="T42" i="9"/>
  <c r="AF42" i="9"/>
  <c r="N43" i="9"/>
  <c r="Z43" i="9"/>
  <c r="E45" i="6"/>
  <c r="F45" i="7"/>
  <c r="O41" i="4"/>
  <c r="O42" i="4"/>
  <c r="E41" i="3"/>
  <c r="Q41" i="3"/>
  <c r="R42" i="3"/>
  <c r="F45" i="6"/>
  <c r="F46" i="6"/>
  <c r="P41" i="4"/>
  <c r="J41" i="5"/>
  <c r="K42" i="5"/>
  <c r="G45" i="6"/>
  <c r="H45" i="7"/>
  <c r="L46" i="7"/>
  <c r="E41" i="4"/>
  <c r="G41" i="3"/>
  <c r="S41" i="3"/>
  <c r="H42" i="3"/>
  <c r="T42" i="3"/>
  <c r="K41" i="5"/>
  <c r="L42" i="5"/>
  <c r="E41" i="9"/>
  <c r="E43" i="9" s="1"/>
  <c r="K42" i="9"/>
  <c r="W42" i="9"/>
  <c r="Q43" i="9"/>
  <c r="H45" i="6"/>
  <c r="H46" i="6"/>
  <c r="F41" i="4"/>
  <c r="H41" i="3"/>
  <c r="T41" i="3"/>
  <c r="I42" i="3"/>
  <c r="U42" i="3"/>
  <c r="L41" i="5"/>
  <c r="M42" i="5"/>
  <c r="I45" i="6"/>
  <c r="G41" i="4"/>
  <c r="I41" i="3"/>
  <c r="M41" i="5"/>
</calcChain>
</file>

<file path=xl/sharedStrings.xml><?xml version="1.0" encoding="utf-8"?>
<sst xmlns="http://schemas.openxmlformats.org/spreadsheetml/2006/main" count="8142" uniqueCount="373">
  <si>
    <t>-</t>
  </si>
  <si>
    <t>South</t>
  </si>
  <si>
    <t>East</t>
  </si>
  <si>
    <t>West</t>
  </si>
  <si>
    <t>North</t>
  </si>
  <si>
    <t>S.no</t>
  </si>
  <si>
    <t>Date</t>
  </si>
  <si>
    <t>Festival</t>
  </si>
  <si>
    <t>Day</t>
  </si>
  <si>
    <t>Telangana</t>
  </si>
  <si>
    <t>Kerala</t>
  </si>
  <si>
    <t>Karnataka</t>
  </si>
  <si>
    <t>Tamil Nadu</t>
  </si>
  <si>
    <t>Jharkhand</t>
  </si>
  <si>
    <t>Madhya Pradesh</t>
  </si>
  <si>
    <t>Tripura</t>
  </si>
  <si>
    <t>Meghalaya</t>
  </si>
  <si>
    <t>Assam</t>
  </si>
  <si>
    <t>Odisha</t>
  </si>
  <si>
    <t>West Bengal</t>
  </si>
  <si>
    <t>Gujarat</t>
  </si>
  <si>
    <t>Maharastra</t>
  </si>
  <si>
    <t>Delhi</t>
  </si>
  <si>
    <t>Haryana</t>
  </si>
  <si>
    <t>Punjab</t>
  </si>
  <si>
    <t>Uttar Pradesh</t>
  </si>
  <si>
    <t>Yes</t>
  </si>
  <si>
    <t>New Year's Day</t>
  </si>
  <si>
    <t>Pongal/Makara Sankranti  Festival Uttarayana Punyakala</t>
  </si>
  <si>
    <t>Pongal/Sankranti/ Thiruvalluvar Day/ Magh Bihu</t>
  </si>
  <si>
    <t>Republic Day</t>
  </si>
  <si>
    <t>Maha Shivratri</t>
  </si>
  <si>
    <t>Holi/Dhulandi/Yaosang</t>
  </si>
  <si>
    <t>Ugadi/ Gudi  Padava/  Telugu New Year</t>
  </si>
  <si>
    <t>Ramzan Id/Eid-ul-Fitar/ Idul  Fitr</t>
  </si>
  <si>
    <t>Mahavir Jayanti</t>
  </si>
  <si>
    <t>Dr Ambedkar Jayanti/ Tamil New Year Day/ Mahavir Jayanti/Vaisakhi/Cheiraoba/Bengali New Year/Bohag Bihu</t>
  </si>
  <si>
    <t>Bohag Bihu/Bengali New year/ Himachal Day</t>
  </si>
  <si>
    <t>Good Friday</t>
  </si>
  <si>
    <t>May Day/Gujarat/Maharastra Day</t>
  </si>
  <si>
    <t>Buddha Purnima</t>
  </si>
  <si>
    <t xml:space="preserve">Muharram/Ashura (Tentative Date)/d-ul-Ad’ha (Bakrid)* </t>
  </si>
  <si>
    <t>Muharram/Ashura (Tentative Date)/d-ul-Ad’ha (Bakrid)* /Iduljuha</t>
  </si>
  <si>
    <t>Rath Yatra</t>
  </si>
  <si>
    <t>Raksha Bandhan</t>
  </si>
  <si>
    <t>Patriots Day</t>
  </si>
  <si>
    <t>Independence Day</t>
  </si>
  <si>
    <t>Ganesh Chaturthi/Vinayaka Chavithi/Samvatsari (Chaturthi Paksha)</t>
  </si>
  <si>
    <t>Ganesh Chaturthi/Ayyankali Jayanthi</t>
  </si>
  <si>
    <t>First Onam</t>
  </si>
  <si>
    <t>Thiruvonam/ Milad  - i- sherif/Eid e Milad</t>
  </si>
  <si>
    <t>Maha Ashtami</t>
  </si>
  <si>
    <t>Mahanavami/Navaratni endsMaha Navami/Ayutha Pooja</t>
  </si>
  <si>
    <t xml:space="preserve">Mahatma Gandhi Jayanti/Vijaya Dasami/Dussehra/Durga Puja </t>
  </si>
  <si>
    <t>Diwali/Deepavali/Kali Puja</t>
  </si>
  <si>
    <t>Diwali/Deepavali/Kali Puja/Deepavali Balipadyami/Govardhan Puja</t>
  </si>
  <si>
    <t>Chhat Puja</t>
  </si>
  <si>
    <t>Maha Saptami</t>
  </si>
  <si>
    <t>Karnataka Rajyothsava/Puducherry Liberation Day</t>
  </si>
  <si>
    <t>Guru Nanak Jayanti/ Rahas Purnima</t>
  </si>
  <si>
    <t>Goa Liberation Day</t>
  </si>
  <si>
    <t>Christmas Day</t>
  </si>
  <si>
    <t>Total</t>
  </si>
  <si>
    <t>Sunday</t>
  </si>
  <si>
    <t>Saturday</t>
  </si>
  <si>
    <t>Maharashtra</t>
  </si>
  <si>
    <t>Uttarakhand</t>
  </si>
  <si>
    <t>Rajasthan</t>
  </si>
  <si>
    <t>Jammu and Kashmir </t>
  </si>
  <si>
    <t>Himachal Pradesh</t>
  </si>
  <si>
    <t>Chandigarh</t>
  </si>
  <si>
    <t>Chhattisgarh</t>
  </si>
  <si>
    <t>Bihar</t>
  </si>
  <si>
    <t>Andhra Pradesh</t>
  </si>
  <si>
    <t>YES</t>
  </si>
  <si>
    <t>All</t>
  </si>
  <si>
    <t>remove</t>
  </si>
  <si>
    <t>Proposed</t>
  </si>
  <si>
    <t>Goa</t>
  </si>
  <si>
    <t>Manipur</t>
  </si>
  <si>
    <t>Arunachal Pradesh</t>
  </si>
  <si>
    <t>Pondicherry</t>
  </si>
  <si>
    <t>g</t>
  </si>
  <si>
    <t xml:space="preserve"> </t>
  </si>
  <si>
    <t>North India</t>
  </si>
  <si>
    <t>Jammu &amp; Kashmir</t>
  </si>
  <si>
    <t>Ladakh</t>
  </si>
  <si>
    <t>Central India</t>
  </si>
  <si>
    <t>East India</t>
  </si>
  <si>
    <t>Northeast India</t>
  </si>
  <si>
    <t>Mizoram</t>
  </si>
  <si>
    <t>Nagaland</t>
  </si>
  <si>
    <t>Sikkim</t>
  </si>
  <si>
    <t>South India</t>
  </si>
  <si>
    <t>Puducherry</t>
  </si>
  <si>
    <t>West India</t>
  </si>
  <si>
    <t>Thursday</t>
  </si>
  <si>
    <t>Wednesday</t>
  </si>
  <si>
    <t>Monday</t>
  </si>
  <si>
    <t>Holi</t>
  </si>
  <si>
    <t>Ram Navami</t>
  </si>
  <si>
    <t>Tuesday</t>
  </si>
  <si>
    <t>01-Jan-2026</t>
  </si>
  <si>
    <t>14-Jan-2026</t>
  </si>
  <si>
    <t>26-Jan-2026</t>
  </si>
  <si>
    <t>04-Mar-2026</t>
  </si>
  <si>
    <t>21-Mar-2026</t>
  </si>
  <si>
    <t>26-Mar-2026</t>
  </si>
  <si>
    <t>31-Mar-2026</t>
  </si>
  <si>
    <t>03-Apr-2026</t>
  </si>
  <si>
    <t>01-May-2026</t>
  </si>
  <si>
    <t>27-May-2026</t>
  </si>
  <si>
    <t>26-Jun-2026</t>
  </si>
  <si>
    <t>15-Aug-2026</t>
  </si>
  <si>
    <t>26-Aug-2026</t>
  </si>
  <si>
    <t>04-Sep-2026</t>
  </si>
  <si>
    <t>02-Oct-2026</t>
  </si>
  <si>
    <t>20-Oct-2026</t>
  </si>
  <si>
    <t>08-Nov-2026</t>
  </si>
  <si>
    <t>24-Nov-2026</t>
  </si>
  <si>
    <t>25-Dec-2026</t>
  </si>
  <si>
    <t>New Year’s Day</t>
  </si>
  <si>
    <t>Muharram</t>
  </si>
  <si>
    <t>Janmashtami</t>
  </si>
  <si>
    <t>Gandhi Jayanti</t>
  </si>
  <si>
    <t>Guru Nanak Jayanti</t>
  </si>
  <si>
    <t>Christmas</t>
  </si>
  <si>
    <t>Friday</t>
  </si>
  <si>
    <t>Mannam Jayanthi</t>
  </si>
  <si>
    <t>Maundy Thursday</t>
  </si>
  <si>
    <t>Karkadaka Vavu</t>
  </si>
  <si>
    <t>First Onam/ Milad-i-Sherif* (Birthday of Prophet Muhammed)</t>
  </si>
  <si>
    <t>Milad-un-Nabi / Id-e-Milad / Thiruvonam</t>
  </si>
  <si>
    <t>Third Onam</t>
  </si>
  <si>
    <t>Sree Narayana Guru Samadhi Day</t>
  </si>
  <si>
    <t>Easter</t>
  </si>
  <si>
    <t>Mahasivarathri</t>
  </si>
  <si>
    <t>Basava Jayanthi, Akshaya Tritiya</t>
  </si>
  <si>
    <t>Bakrid</t>
  </si>
  <si>
    <t>Muharram / Last Day of Moharam</t>
  </si>
  <si>
    <t>Kanakadasa Jayanthi</t>
  </si>
  <si>
    <t>Id-ul-Fitr (Tentative) / Khutub-E-Ramzan</t>
  </si>
  <si>
    <t>Uttarayana Punyakala, Makara Sankranti Festival/Pongal</t>
  </si>
  <si>
    <t>Uzhavar Thirunal</t>
  </si>
  <si>
    <t>Thai Poosam</t>
  </si>
  <si>
    <t>Varasiddhi Vinayaka Vrata Vinayaka Chaturthi</t>
  </si>
  <si>
    <t>Puducherry Liberation Day</t>
  </si>
  <si>
    <t>Feast of St, Francis Xavier</t>
  </si>
  <si>
    <t>Goa Liberation day</t>
  </si>
  <si>
    <t>Shree Ram Navami</t>
  </si>
  <si>
    <t>Ganesh Chaturthi (Day 2) / Naukhai</t>
  </si>
  <si>
    <t>Ayutha Pooja / Mahanavami</t>
  </si>
  <si>
    <t>Bihar Diwas</t>
  </si>
  <si>
    <t>Durga Pooja</t>
  </si>
  <si>
    <t>Chat Puja</t>
  </si>
  <si>
    <t>Beh Deinkhlam</t>
  </si>
  <si>
    <t>Death. AnnIversary of U Tirot Sing</t>
  </si>
  <si>
    <t>Wangala Festival</t>
  </si>
  <si>
    <t xml:space="preserve">Seng Kut Snem </t>
  </si>
  <si>
    <t>Death Annivarsay of Pa-Togan Nengminja Sangma</t>
  </si>
  <si>
    <t>Death Annivarsary of U Soso Tham</t>
  </si>
  <si>
    <t>Death Anniversay of U Kiang Nongbah</t>
  </si>
  <si>
    <t>State Day</t>
  </si>
  <si>
    <t>Chapchar Kut</t>
  </si>
  <si>
    <t>Raja Sankranti / YMA Day</t>
  </si>
  <si>
    <t>Remna Ni</t>
  </si>
  <si>
    <t>MHIP Day</t>
  </si>
  <si>
    <t>New Years Eve</t>
  </si>
  <si>
    <t>Lohri</t>
  </si>
  <si>
    <t>Dussehra / Mahanavami/ Ayudhapooja / Karwa Chauth</t>
  </si>
  <si>
    <t>Vijayadasami / Dussehra</t>
  </si>
  <si>
    <t>Balipadyami, Deepavali / bhai Dooj</t>
  </si>
  <si>
    <t>Maharana Pratap Jayanti</t>
  </si>
  <si>
    <t>Sant Guru Kabir Jayanti</t>
  </si>
  <si>
    <t>Shab-i-Qadr</t>
  </si>
  <si>
    <t>Guru Hargobind Ji’s Birthday</t>
  </si>
  <si>
    <t>Guru Gobind Singh Jayanti / Losar (Tibetan New Year)</t>
  </si>
  <si>
    <t>Fourth Onam/ Sree Narayana Guru Jayanthi/Ayyankali Jayanthi / Raksha Bandhan</t>
  </si>
  <si>
    <t>Rath Yatra / Harela (Important Uttarakhand festival)</t>
  </si>
  <si>
    <r>
      <t>Accession Day</t>
    </r>
    <r>
      <rPr>
        <sz val="11"/>
        <color theme="1"/>
        <rFont val="Calibri"/>
        <family val="2"/>
        <scheme val="minor"/>
      </rPr>
      <t xml:space="preserve"> (J&amp;K-specific)</t>
    </r>
    <r>
      <rPr>
        <b/>
        <sz val="11"/>
        <color theme="1"/>
        <rFont val="Calibri"/>
        <family val="2"/>
        <scheme val="minor"/>
      </rPr>
      <t xml:space="preserve"> / Maharishi Valmiki Birthday</t>
    </r>
  </si>
  <si>
    <t>Birthday of Swami Vivekananda</t>
  </si>
  <si>
    <t xml:space="preserve">Basanta Panchami / Netaji Subhas Chandra Bose’s Birthday </t>
  </si>
  <si>
    <t>Holi (Dhulivandana) / Doljatra (Holi festival)</t>
  </si>
  <si>
    <t>Birthday of Rabindranath Tagore</t>
  </si>
  <si>
    <t>Diwali / Kali Puja</t>
  </si>
  <si>
    <t>Vishu / Himachal Day / Bohag Bihu</t>
  </si>
  <si>
    <t>Pongal / Makar Sankranti/Magh Bihu &amp; Tusu Puja</t>
  </si>
  <si>
    <t>Gwthar Bathou San (Assam-specific)</t>
  </si>
  <si>
    <t>Bohag Bihu - Day 3</t>
  </si>
  <si>
    <t>Khongjom Day</t>
  </si>
  <si>
    <t>Ningol Chakkouba</t>
  </si>
  <si>
    <t>Thursaday</t>
  </si>
  <si>
    <t>Naga Army Day</t>
  </si>
  <si>
    <t>Bakrid / Id-ul-Zuha / Saga Dawa (Buddhist festival)</t>
  </si>
  <si>
    <t>Sonam Lhosar / Sonam Lhochhar</t>
  </si>
  <si>
    <t>Losar (Tibetan New Year)</t>
  </si>
  <si>
    <t>Sikkim State Day</t>
  </si>
  <si>
    <t>Bhai Dooj</t>
  </si>
  <si>
    <t>Guru Gobind Singh Jayanti /Saraswati Puja</t>
  </si>
  <si>
    <t>Dr. B. R. Ambedkar Jayanthi / Tamil New Year / Maha Visuva Shankranti / Bohag Bihu (Assamese New Year) / Cheiraoba (Manipuri New Year)/Bengali New Year / Pohela Boishakh</t>
  </si>
  <si>
    <t>Kharchi Puja (major Tripura festival)</t>
  </si>
  <si>
    <t>Thiruvalluvar Day / Mattu Pongal / Kanuma (AP only)</t>
  </si>
  <si>
    <t>Id-ul-Fitr (Ramzan)* / Gudi Padwa / Ugadi (Telugu New Year)</t>
  </si>
  <si>
    <t>BuddhaPurnima</t>
  </si>
  <si>
    <t xml:space="preserve">Ugadi Festival / Telegu New Year  /Gudi Padava / 904082 </t>
  </si>
  <si>
    <t>Govardhan Puja / Lhabab Duchen (Buddhist festival) / Vikram Sambat New Year Day</t>
  </si>
  <si>
    <t>Guru Rinpoche Day (commonly given in Leh) / Chhatrapati Shivaji Maharaj Jayanti</t>
  </si>
  <si>
    <t>Buddha Purnima/May day / Maharashtra Day</t>
  </si>
  <si>
    <t>Source</t>
  </si>
  <si>
    <t>https://www.qppstudio.net/publicholidays2026/india</t>
  </si>
  <si>
    <t>MYES</t>
  </si>
  <si>
    <t>MWEYES</t>
  </si>
  <si>
    <t>National</t>
  </si>
  <si>
    <t>Regional</t>
  </si>
  <si>
    <t>Public</t>
  </si>
  <si>
    <t>Optional</t>
  </si>
  <si>
    <t>Gwthar Bathou San (Assam-specific)/Sri Madvanavami</t>
  </si>
  <si>
    <t>Shab-e-Barath</t>
  </si>
  <si>
    <t>National-WE</t>
  </si>
  <si>
    <t>Regional-WE</t>
  </si>
  <si>
    <t>Public-WE</t>
  </si>
  <si>
    <t>Optional-WE</t>
  </si>
  <si>
    <t>Holy Saturday</t>
  </si>
  <si>
    <t>Sri Shankarayacharya Jayanthi</t>
  </si>
  <si>
    <t>Varamahalakshmi Vrata</t>
  </si>
  <si>
    <t>Third Onam / Yajur Upakarma</t>
  </si>
  <si>
    <t>Kanya Mariyamma Jayanthi</t>
  </si>
  <si>
    <t>Vishwakarma Jayanthi</t>
  </si>
  <si>
    <t>Ananta Padmanabha Vrata</t>
  </si>
  <si>
    <t>Huttari Festival</t>
  </si>
  <si>
    <t>Christmas Eve</t>
  </si>
  <si>
    <t>Deonarayan Jayanti</t>
  </si>
  <si>
    <t>Mahatma Jyotiba Phule Jayanti</t>
  </si>
  <si>
    <t>Parshuram Jayanti</t>
  </si>
  <si>
    <t>World Tribal Day</t>
  </si>
  <si>
    <t>Sree Narayana Guru Samadhi Day / Ramdev Jayanti, Teja Dashami &amp; Khejadi Shahid Diwas</t>
  </si>
  <si>
    <t>Ayutha Pooja / Mahanavami / Durga Ashtami</t>
  </si>
  <si>
    <t>Maa Shakambhari Jayanti &amp; Cherchera / Birthday of Hazarat Ali / Savitribai Phule Jayanti</t>
  </si>
  <si>
    <t>Naga Army Day /Rajim Bhaktin Mata Jayanti</t>
  </si>
  <si>
    <t>World Hindi Day</t>
  </si>
  <si>
    <t>Shaheed Gaindsingh Shahadat Diwas</t>
  </si>
  <si>
    <t>Shab-e-Barat</t>
  </si>
  <si>
    <t>Maharshi Dayanand Saraswati Jayanti</t>
  </si>
  <si>
    <t>Bhai-Dooj (Holi)</t>
  </si>
  <si>
    <t xml:space="preserve">Ugadi Festival / Telegu New Year  /Gudi Padava </t>
  </si>
  <si>
    <t>Id-ul-Fitr (Ramzan)* / Gudi Padwa / Ugadi (Telugu New Year)/Cheti Chand/ 	Jamat-ul-Vida</t>
  </si>
  <si>
    <t>Devara Daseemaiah Jayanthi / Guha Nishadraj Jayanti</t>
  </si>
  <si>
    <t>Annual Account Closing for Banks / Hatkeshwar Jayanti</t>
  </si>
  <si>
    <t>Maundy Thursday / Dharti Pooja (Khaddi Parv)</t>
  </si>
  <si>
    <t>Shrimad Vallabhacharya Jayanti</t>
  </si>
  <si>
    <t>Dr. B. R. Ambedkar Jayanthi / Tamil New Year / Maha Visuva Shankranti / Bohag Bihu (Assamese New Year) / Cheiraoba (Manipuri New Year)/Bengali New Year /Vaisakhi/ Pohela Boishakh</t>
  </si>
  <si>
    <t>Basava Jayanthi, Akshaya Tritiya / Parshuram Jayanti</t>
  </si>
  <si>
    <t>Shankaracharya Jayanti</t>
  </si>
  <si>
    <t>Chhatrasal Jayanti / Maharana Pratap Jayanti</t>
  </si>
  <si>
    <t>Mahesh Navami (Jyeshtha Shukla-9)</t>
  </si>
  <si>
    <t>Kharchi Puja (major Tripura festival) / Veerangana Durgavati Sacrifice Day</t>
  </si>
  <si>
    <t>Karkadaka Vavu / Hareli</t>
  </si>
  <si>
    <t xml:space="preserve">Rath Yatra </t>
  </si>
  <si>
    <t>Nag Panchami</t>
  </si>
  <si>
    <t>Milad-un-Nabi / Id-e-Milad / Thiruvonam / Onam</t>
  </si>
  <si>
    <t>Harchhath</t>
  </si>
  <si>
    <t>Pola</t>
  </si>
  <si>
    <t>Varasiddhi Vinayaka Vrata Vinayaka Chaturthi / Haritalika (Teej Festival)</t>
  </si>
  <si>
    <t>Nawakhai</t>
  </si>
  <si>
    <t>Dhol Gyaras</t>
  </si>
  <si>
    <t>Dr. Saiyedna Saheb Ji Birthday</t>
  </si>
  <si>
    <t>Prannath Jayanti</t>
  </si>
  <si>
    <t>Sarva Pitru Moksha Amavasya</t>
  </si>
  <si>
    <t>Karwa Chauth Fast</t>
  </si>
  <si>
    <t>Deepawali (South Indian)</t>
  </si>
  <si>
    <t>Chat Puja / Bhagwan Sahastrabahu Jayanti</t>
  </si>
  <si>
    <t>Namdev Jayanti</t>
  </si>
  <si>
    <t>Shaheed Veer Narayan Singh Sacrifice Day</t>
  </si>
  <si>
    <t>Guru Tegh Bahadur's Martyrdom Day</t>
  </si>
  <si>
    <t>Guru Ghasidas Jayanti</t>
  </si>
  <si>
    <t>Dattatreya Jayanti</t>
  </si>
  <si>
    <t>Karpoori Thakur Jayanti</t>
  </si>
  <si>
    <t>Sant Ravidas Jayanthi</t>
  </si>
  <si>
    <t>Mahashivrathri</t>
  </si>
  <si>
    <t>Holi ka dahan / Ramzan</t>
  </si>
  <si>
    <t>Eid ul Fitr (Eid)</t>
  </si>
  <si>
    <t>Ram Navami / Emperor Ashoka Ashtami</t>
  </si>
  <si>
    <t>Veer Kunwar Singh Jayanthi</t>
  </si>
  <si>
    <t>Janaki Navami</t>
  </si>
  <si>
    <t xml:space="preserve">Ram Navami </t>
  </si>
  <si>
    <t>Anugrah Narayan Sinha Jayanti</t>
  </si>
  <si>
    <t>Chehallum</t>
  </si>
  <si>
    <t>Final hearing Monday Shravana</t>
  </si>
  <si>
    <t>Hazrat Muhammad Sahib Birthday / Raksha Bandhan</t>
  </si>
  <si>
    <t>Jivitputrika Fast</t>
  </si>
  <si>
    <t>Navratra Sthapana &amp; Maharaja Agrasen Jayanti / Jaiprakash Narayan Jayanthi</t>
  </si>
  <si>
    <t>Chhath Puja kharna</t>
  </si>
  <si>
    <t>Durga Pooja (Saptami)</t>
  </si>
  <si>
    <t>Vijayadasami / Dussehra / Shri Krishna Singh Jayanti / Durga Puja (Ekadasi)</t>
  </si>
  <si>
    <t>Dr. Rajendra Prasad Jayanti</t>
  </si>
  <si>
    <t>Guru Nanak Jayanti / Rahas Purnima</t>
  </si>
  <si>
    <t>Me-Dam-Me-Phi</t>
  </si>
  <si>
    <t>Tithi of Damodar Deva</t>
  </si>
  <si>
    <t>Janmotsav of Sri Sri Madhabdeva</t>
  </si>
  <si>
    <t>Tirubhav Tithi of Sri Sri Madhabdeva</t>
  </si>
  <si>
    <t>Tirubhav Tithi of Srimanta Sankardeva</t>
  </si>
  <si>
    <t>Asom Divas(Su-Ka-Pha Divas)</t>
  </si>
  <si>
    <t>National -WE</t>
  </si>
  <si>
    <t>Rev. Thomas Jones Day</t>
  </si>
  <si>
    <t>Christmas Festival</t>
  </si>
  <si>
    <t>Missionary Day</t>
  </si>
  <si>
    <t>Akhil Sikkim Khas Chettri Bahun Kalyan Sangh's Foundation Day</t>
  </si>
  <si>
    <t>Saga Dawa</t>
  </si>
  <si>
    <t>Dasain</t>
  </si>
  <si>
    <t>Tihar/Laxmi Puja</t>
  </si>
  <si>
    <t>Bhatri Dwitya</t>
  </si>
  <si>
    <t>All Souls Day</t>
  </si>
  <si>
    <t>Tendong Lho-Rum-Faat</t>
  </si>
  <si>
    <t>Chasok Tongnam</t>
  </si>
  <si>
    <t>Nyengpa Guzom</t>
  </si>
  <si>
    <t>Barahimijong</t>
  </si>
  <si>
    <t>St. Theresa Festival</t>
  </si>
  <si>
    <t>Accession Day (J&amp;K-specific) / Maharishi Valmiki Birthday</t>
  </si>
  <si>
    <t>Sl.no.</t>
  </si>
  <si>
    <t>Shaheed Veer Narayan Singh Sacrifice Day / Lhabab Dhuechen</t>
  </si>
  <si>
    <t>Puducherry Liberation Day / Karnataka Rajyotsava</t>
  </si>
  <si>
    <t xml:space="preserve">Source </t>
  </si>
  <si>
    <t>https://www.simpliance.in/India/LEI/holiday_list/goa/2026</t>
  </si>
  <si>
    <t>Vishu / Himachal Day / Bohag Bihu/ Bengali New Year</t>
  </si>
  <si>
    <t>Sarva Pitru Moksha Amavasya / Mahalaya</t>
  </si>
  <si>
    <t>Lakshmi Pooja</t>
  </si>
  <si>
    <t>Remna Ni / Hul Diwas</t>
  </si>
  <si>
    <t>Vishu / Himachal Day / Bohag Bihu/Bengali New Year</t>
  </si>
  <si>
    <t>Ugadi Festival / Telegu New Year  /Gudi Padava / Chetichand</t>
  </si>
  <si>
    <t>Sardar Vallabhbhai Patel Jayanti</t>
  </si>
  <si>
    <t>Me-Dam-Me-Phi / Vishwakarma Jayanti</t>
  </si>
  <si>
    <t>Sahahdat-e- hazrat Ali</t>
  </si>
  <si>
    <t>Shavuoth</t>
  </si>
  <si>
    <t>Gatha Gahambae</t>
  </si>
  <si>
    <t>Parsi New Year</t>
  </si>
  <si>
    <t>Khordad Sal</t>
  </si>
  <si>
    <t>Parsi New year Eve</t>
  </si>
  <si>
    <t>Id-e-Maulad</t>
  </si>
  <si>
    <t>Nand Utsav</t>
  </si>
  <si>
    <t>Tisha-Bee-Aav</t>
  </si>
  <si>
    <t>Deonarayan Jayanti / Statehood Day</t>
  </si>
  <si>
    <t>Mahashivrathri / Mela Dosmoche</t>
  </si>
  <si>
    <t>Holi / Tangpe Chongya</t>
  </si>
  <si>
    <t>Patriot's Day</t>
  </si>
  <si>
    <t>Death Anniversary of (L) Maharaja Gambhir Singh</t>
  </si>
  <si>
    <t>Jananeta Irawat Birth Day</t>
  </si>
  <si>
    <t>Easter Monday</t>
  </si>
  <si>
    <t>Chandrashekhar Jayanti</t>
  </si>
  <si>
    <t>Mandatory As per NF&amp;H Act</t>
  </si>
  <si>
    <t>Digitide Holiday</t>
  </si>
  <si>
    <t>Total Digitide Holiday</t>
  </si>
  <si>
    <t>N &amp; F Holiday</t>
  </si>
  <si>
    <t>N &amp; F Holiday-WE</t>
  </si>
  <si>
    <t>Festival -WE</t>
  </si>
  <si>
    <t xml:space="preserve">Digi_National </t>
  </si>
  <si>
    <t xml:space="preserve">Digi_Festival </t>
  </si>
  <si>
    <t>Digi_Optional</t>
  </si>
  <si>
    <t>Digi_National</t>
  </si>
  <si>
    <t>Digi_Festival</t>
  </si>
  <si>
    <t>Gatha Gahambae / Martyrs Day</t>
  </si>
  <si>
    <t>NA State</t>
  </si>
  <si>
    <t>Dejure transfer Day</t>
  </si>
  <si>
    <t>https://www.simpliance.in/India/LEI/national-festival-details/state-wise-details</t>
  </si>
  <si>
    <t>Eid-e-Gadeer</t>
  </si>
  <si>
    <t>Moharram (1447 Hijhri)</t>
  </si>
  <si>
    <t>Hazrath Syed Mohammed Juvanpuri Mehdi's Birthday</t>
  </si>
  <si>
    <t>Puducherry Liberation Day / Karnataka Rajyotsava/ AP foundation day</t>
  </si>
  <si>
    <t>Shahadat Hzt Ali (R.A.)</t>
  </si>
  <si>
    <t>Bonalu</t>
  </si>
  <si>
    <t>Yaz Dahum Shareef</t>
  </si>
  <si>
    <t>Bhaidooj</t>
  </si>
  <si>
    <t>Sant Ravidas Jayanthi Basant Panchami</t>
  </si>
  <si>
    <t>Shrimad Vallabhacharya Jayanti / Vaisakhi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</si>
</sst>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1" x14ac:knownFonts="1">
    <font>
      <sz val="11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name val="Calibri"/>
      <family val="2"/>
      <scheme val="minor"/>
    </font>
    <font>
      <b/>
      <sz val="9.5"/>
      <color rgb="FFFF0000"/>
      <name val="Calibri"/>
      <family val="2"/>
      <scheme val="minor"/>
    </font>
    <font>
      <sz val="9.5"/>
      <color rgb="FF000000"/>
      <name val="Calibri"/>
      <family val="2"/>
    </font>
    <font>
      <sz val="9.5"/>
      <color rgb="FF000000"/>
      <name val="Calibri"/>
      <family val="2"/>
      <scheme val="minor"/>
    </font>
    <font>
      <b/>
      <sz val="9.5"/>
      <color theme="7" tint="0.79998168889431442"/>
      <name val="Calibri"/>
      <family val="2"/>
      <scheme val="minor"/>
    </font>
    <font>
      <sz val="9.5"/>
      <color rgb="FFFF0000"/>
      <name val="Calibri"/>
      <family val="2"/>
      <scheme val="minor"/>
    </font>
    <font>
      <sz val="9.5"/>
      <color rgb="FF00B050"/>
      <name val="Calibri"/>
      <family val="2"/>
      <scheme val="minor"/>
    </font>
    <font>
      <sz val="9.5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Arial"/>
      <family val="2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9.5"/>
      <color theme="0"/>
      <name val="Calibri"/>
      <family val="2"/>
      <scheme val="minor"/>
    </font>
    <font>
      <sz val="7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52D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DEE9FC"/>
      </left>
      <right style="medium">
        <color rgb="FFDEE9FC"/>
      </right>
      <top style="medium">
        <color rgb="FFDEE9FC"/>
      </top>
      <bottom style="medium">
        <color rgb="FFDEE9FC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15" fontId="0" fillId="0" borderId="1" xfId="0" applyNumberFormat="1" applyBorder="1" applyAlignment="1">
      <alignment horizontal="left"/>
    </xf>
    <xf numFmtId="0" fontId="1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15" fontId="0" fillId="8" borderId="1" xfId="0" applyNumberFormat="1" applyFill="1" applyBorder="1" applyAlignment="1">
      <alignment horizontal="left"/>
    </xf>
    <xf numFmtId="0" fontId="0" fillId="8" borderId="1" xfId="0" applyFill="1" applyBorder="1"/>
    <xf numFmtId="0" fontId="2" fillId="8" borderId="0" xfId="0" applyFont="1" applyFill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8" fillId="20" borderId="1" xfId="0" applyFont="1" applyFill="1" applyBorder="1"/>
    <xf numFmtId="0" fontId="9" fillId="0" borderId="1" xfId="0" applyFont="1" applyBorder="1"/>
    <xf numFmtId="0" fontId="2" fillId="8" borderId="1" xfId="0" applyFont="1" applyFill="1" applyBorder="1"/>
    <xf numFmtId="0" fontId="9" fillId="8" borderId="1" xfId="0" applyFont="1" applyFill="1" applyBorder="1"/>
    <xf numFmtId="0" fontId="2" fillId="20" borderId="1" xfId="0" applyFont="1" applyFill="1" applyBorder="1"/>
    <xf numFmtId="0" fontId="0" fillId="0" borderId="1" xfId="0" applyBorder="1" applyAlignment="1">
      <alignment wrapText="1"/>
    </xf>
    <xf numFmtId="0" fontId="11" fillId="0" borderId="1" xfId="0" applyFont="1" applyBorder="1"/>
    <xf numFmtId="0" fontId="10" fillId="0" borderId="1" xfId="0" applyFont="1" applyBorder="1"/>
    <xf numFmtId="0" fontId="13" fillId="7" borderId="1" xfId="0" applyFont="1" applyFill="1" applyBorder="1"/>
    <xf numFmtId="0" fontId="0" fillId="20" borderId="1" xfId="0" applyFill="1" applyBorder="1"/>
    <xf numFmtId="0" fontId="12" fillId="0" borderId="0" xfId="1" applyAlignment="1">
      <alignment horizontal="left"/>
    </xf>
    <xf numFmtId="0" fontId="8" fillId="0" borderId="1" xfId="0" applyFont="1" applyBorder="1"/>
    <xf numFmtId="15" fontId="14" fillId="0" borderId="1" xfId="0" applyNumberFormat="1" applyFont="1" applyBorder="1" applyAlignment="1">
      <alignment horizontal="left"/>
    </xf>
    <xf numFmtId="16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" fillId="2" borderId="6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horizontal="center"/>
    </xf>
    <xf numFmtId="0" fontId="2" fillId="21" borderId="1" xfId="0" applyFont="1" applyFill="1" applyBorder="1"/>
    <xf numFmtId="0" fontId="18" fillId="20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0" fontId="2" fillId="7" borderId="0" xfId="0" applyFont="1" applyFill="1" applyAlignment="1">
      <alignment horizontal="center"/>
    </xf>
    <xf numFmtId="0" fontId="18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wrapText="1"/>
    </xf>
    <xf numFmtId="0" fontId="19" fillId="20" borderId="1" xfId="0" applyFont="1" applyFill="1" applyBorder="1"/>
    <xf numFmtId="0" fontId="8" fillId="8" borderId="1" xfId="0" applyFont="1" applyFill="1" applyBorder="1"/>
    <xf numFmtId="0" fontId="0" fillId="20" borderId="0" xfId="0" applyFill="1"/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/>
    <xf numFmtId="0" fontId="2" fillId="22" borderId="0" xfId="0" applyFont="1" applyFill="1"/>
    <xf numFmtId="0" fontId="8" fillId="21" borderId="1" xfId="0" applyFont="1" applyFill="1" applyBorder="1" applyAlignment="1">
      <alignment horizontal="center"/>
    </xf>
    <xf numFmtId="0" fontId="8" fillId="21" borderId="1" xfId="0" applyFont="1" applyFill="1" applyBorder="1"/>
    <xf numFmtId="0" fontId="8" fillId="0" borderId="0" xfId="0" applyFont="1"/>
    <xf numFmtId="0" fontId="17" fillId="23" borderId="1" xfId="0" applyFont="1" applyFill="1" applyBorder="1" applyAlignment="1">
      <alignment horizontal="left"/>
    </xf>
    <xf numFmtId="0" fontId="20" fillId="0" borderId="0" xfId="0" applyFont="1"/>
    <xf numFmtId="0" fontId="10" fillId="23" borderId="1" xfId="0" applyFont="1" applyFill="1" applyBorder="1"/>
    <xf numFmtId="0" fontId="20" fillId="24" borderId="12" xfId="0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 vertical="center"/>
    </xf>
    <xf numFmtId="15" fontId="14" fillId="7" borderId="1" xfId="0" applyNumberFormat="1" applyFont="1" applyFill="1" applyBorder="1" applyAlignment="1">
      <alignment horizontal="left"/>
    </xf>
    <xf numFmtId="0" fontId="14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8" fillId="7" borderId="1" xfId="0" applyFont="1" applyFill="1" applyBorder="1"/>
    <xf numFmtId="0" fontId="2" fillId="7" borderId="0" xfId="0" applyFont="1" applyFill="1"/>
    <xf numFmtId="0" fontId="0" fillId="19" borderId="0" xfId="0" applyFill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15" fontId="14" fillId="0" borderId="1" xfId="0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2" fillId="0" borderId="0" xfId="0" applyFont="1" applyFill="1"/>
    <xf numFmtId="0" fontId="18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0" fillId="0" borderId="1" xfId="0" applyFont="1" applyFill="1" applyBorder="1"/>
    <xf numFmtId="0" fontId="8" fillId="0" borderId="1" xfId="0" applyFont="1" applyFill="1" applyBorder="1"/>
  </cellXfs>
  <cellStyles count="2">
    <cellStyle name="Hyperlink" xfId="1" builtinId="8"/>
    <cellStyle name="Normal" xfId="0" builtinId="0"/>
  </cellStyles>
  <dxfs count="264"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  <dxf>
      <font>
        <b/>
        <i val="0"/>
      </font>
      <fill>
        <patternFill>
          <bgColor rgb="FF66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qppstudio.net/publicholidays2026/ind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impliance.in/India/LEI/holiday_list/goa/202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impliance.in/India/LEI/national-festival-details/state-wise-detail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impliance.in/India/LEI/national-festival-details/state-wise-detail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impliance.in/India/LEI/holiday_list/goa/202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holidays.in/raksha-bandhan/" TargetMode="External"/><Relationship Id="rId2" Type="http://schemas.openxmlformats.org/officeDocument/2006/relationships/hyperlink" Target="https://publicholidays.in/christmas/" TargetMode="External"/><Relationship Id="rId1" Type="http://schemas.openxmlformats.org/officeDocument/2006/relationships/hyperlink" Target="https://www.calendarlabs.com/holidays/india/maha-shivratri.php" TargetMode="External"/><Relationship Id="rId5" Type="http://schemas.openxmlformats.org/officeDocument/2006/relationships/hyperlink" Target="https://publicholidays.in/durga-puja/" TargetMode="External"/><Relationship Id="rId4" Type="http://schemas.openxmlformats.org/officeDocument/2006/relationships/hyperlink" Target="https://publicholidays.in/mahavir-jayan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C2C9-1DC0-4D3C-BC65-FF6D9C6E515F}">
  <sheetPr>
    <tabColor theme="6" tint="-0.499984740745262"/>
  </sheetPr>
  <dimension ref="A1:XDX9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50.81640625" style="25" customWidth="1"/>
    <col min="4" max="4" width="11.81640625" style="25" customWidth="1"/>
    <col min="5" max="5" width="9.453125" style="3" customWidth="1"/>
    <col min="6" max="6" width="10.36328125" style="3" customWidth="1"/>
    <col min="7" max="10" width="9.453125" style="3" customWidth="1"/>
    <col min="11" max="11" width="12.26953125" style="3" customWidth="1"/>
    <col min="12" max="12" width="9.453125" style="3" customWidth="1"/>
    <col min="13" max="13" width="11.26953125" style="3" customWidth="1"/>
    <col min="14" max="14" width="12.26953125" style="3" customWidth="1"/>
    <col min="15" max="15" width="11.36328125" style="3" customWidth="1"/>
    <col min="16" max="16" width="14.90625" style="3" customWidth="1"/>
    <col min="17" max="18" width="9.453125" style="3" customWidth="1"/>
    <col min="19" max="19" width="8.90625" style="3" customWidth="1"/>
    <col min="20" max="20" width="11.08984375" style="3" customWidth="1"/>
    <col min="21" max="21" width="16.54296875" style="3" customWidth="1"/>
    <col min="22" max="23" width="9.453125" style="3" customWidth="1"/>
    <col min="24" max="24" width="12.1796875" style="3" customWidth="1"/>
    <col min="25" max="27" width="9.453125" style="3" customWidth="1"/>
    <col min="28" max="28" width="9.1796875" style="3" customWidth="1"/>
    <col min="29" max="29" width="9.26953125" style="3" customWidth="1"/>
    <col min="30" max="30" width="10.36328125" style="3" customWidth="1"/>
    <col min="31" max="31" width="6.54296875" style="3" customWidth="1"/>
    <col min="32" max="32" width="15.1796875" style="3" customWidth="1"/>
    <col min="33" max="36" width="9.453125" style="3" customWidth="1"/>
    <col min="37" max="37" width="11.6328125" style="3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7 16352:16352" ht="13.5" customHeight="1" x14ac:dyDescent="0.35">
      <c r="A1" s="49" t="s">
        <v>0</v>
      </c>
      <c r="B1" s="50" t="s">
        <v>0</v>
      </c>
      <c r="C1" s="49" t="s">
        <v>0</v>
      </c>
      <c r="D1" s="49" t="s">
        <v>0</v>
      </c>
      <c r="E1" s="107" t="s">
        <v>84</v>
      </c>
      <c r="F1" s="108"/>
      <c r="G1" s="108"/>
      <c r="H1" s="108"/>
      <c r="I1" s="108"/>
      <c r="J1" s="108"/>
      <c r="K1" s="108"/>
      <c r="L1" s="108"/>
      <c r="M1" s="108"/>
      <c r="N1" s="108"/>
      <c r="O1" s="109" t="s">
        <v>87</v>
      </c>
      <c r="P1" s="109"/>
      <c r="Q1" s="110" t="s">
        <v>88</v>
      </c>
      <c r="R1" s="110"/>
      <c r="S1" s="110"/>
      <c r="T1" s="110"/>
      <c r="U1" s="111" t="s">
        <v>89</v>
      </c>
      <c r="V1" s="111"/>
      <c r="W1" s="111"/>
      <c r="X1" s="111"/>
      <c r="Y1" s="111"/>
      <c r="Z1" s="111"/>
      <c r="AA1" s="111"/>
      <c r="AB1" s="111"/>
      <c r="AC1" s="112" t="s">
        <v>93</v>
      </c>
      <c r="AD1" s="112"/>
      <c r="AE1" s="112"/>
      <c r="AF1" s="112"/>
      <c r="AG1" s="112"/>
      <c r="AH1" s="112"/>
      <c r="AI1" s="105" t="s">
        <v>95</v>
      </c>
      <c r="AJ1" s="105"/>
      <c r="AK1" s="105"/>
    </row>
    <row r="2" spans="1:37 16352:16352" ht="14.5" x14ac:dyDescent="0.35">
      <c r="A2" s="4" t="s">
        <v>5</v>
      </c>
      <c r="B2" s="41" t="s">
        <v>6</v>
      </c>
      <c r="C2" s="4" t="s">
        <v>7</v>
      </c>
      <c r="D2" s="4" t="s">
        <v>8</v>
      </c>
      <c r="E2" s="39" t="s">
        <v>22</v>
      </c>
      <c r="F2" s="39" t="s">
        <v>70</v>
      </c>
      <c r="G2" s="39" t="s">
        <v>23</v>
      </c>
      <c r="H2" s="39" t="s">
        <v>69</v>
      </c>
      <c r="I2" s="39" t="s">
        <v>85</v>
      </c>
      <c r="J2" s="39" t="s">
        <v>86</v>
      </c>
      <c r="K2" s="39" t="s">
        <v>24</v>
      </c>
      <c r="L2" s="39" t="s">
        <v>67</v>
      </c>
      <c r="M2" s="39" t="s">
        <v>66</v>
      </c>
      <c r="N2" s="39" t="s">
        <v>25</v>
      </c>
      <c r="O2" s="39" t="s">
        <v>71</v>
      </c>
      <c r="P2" s="39" t="s">
        <v>14</v>
      </c>
      <c r="Q2" s="39" t="s">
        <v>72</v>
      </c>
      <c r="R2" s="39" t="s">
        <v>13</v>
      </c>
      <c r="S2" s="39" t="s">
        <v>18</v>
      </c>
      <c r="T2" s="39" t="s">
        <v>19</v>
      </c>
      <c r="U2" s="39" t="s">
        <v>80</v>
      </c>
      <c r="V2" s="39" t="s">
        <v>17</v>
      </c>
      <c r="W2" s="39" t="s">
        <v>79</v>
      </c>
      <c r="X2" s="39" t="s">
        <v>16</v>
      </c>
      <c r="Y2" s="39" t="s">
        <v>90</v>
      </c>
      <c r="Z2" s="39" t="s">
        <v>91</v>
      </c>
      <c r="AA2" s="39" t="s">
        <v>92</v>
      </c>
      <c r="AB2" s="39" t="s">
        <v>15</v>
      </c>
      <c r="AC2" s="39" t="s">
        <v>73</v>
      </c>
      <c r="AD2" s="39" t="s">
        <v>11</v>
      </c>
      <c r="AE2" s="39" t="s">
        <v>10</v>
      </c>
      <c r="AF2" s="39" t="s">
        <v>94</v>
      </c>
      <c r="AG2" s="39" t="s">
        <v>12</v>
      </c>
      <c r="AH2" s="39" t="s">
        <v>9</v>
      </c>
      <c r="AI2" s="39" t="s">
        <v>78</v>
      </c>
      <c r="AJ2" s="39" t="s">
        <v>20</v>
      </c>
      <c r="AK2" s="39" t="s">
        <v>65</v>
      </c>
      <c r="XDX2" s="3" t="s">
        <v>26</v>
      </c>
    </row>
    <row r="3" spans="1:37 16352:16352" ht="14.5" x14ac:dyDescent="0.35">
      <c r="A3" s="5">
        <v>1</v>
      </c>
      <c r="B3" s="42" t="s">
        <v>102</v>
      </c>
      <c r="C3" s="39" t="s">
        <v>121</v>
      </c>
      <c r="D3" s="39" t="s">
        <v>96</v>
      </c>
      <c r="E3" s="51" t="s">
        <v>26</v>
      </c>
      <c r="F3" s="51" t="s">
        <v>26</v>
      </c>
      <c r="G3" s="51" t="s">
        <v>26</v>
      </c>
      <c r="H3" s="51" t="s">
        <v>26</v>
      </c>
      <c r="I3" s="51" t="s">
        <v>26</v>
      </c>
      <c r="J3" s="51" t="s">
        <v>26</v>
      </c>
      <c r="K3" s="51" t="s">
        <v>26</v>
      </c>
      <c r="L3" s="51" t="s">
        <v>26</v>
      </c>
      <c r="M3" s="51" t="s">
        <v>26</v>
      </c>
      <c r="N3" s="51" t="s">
        <v>26</v>
      </c>
      <c r="O3" s="51" t="s">
        <v>26</v>
      </c>
      <c r="P3" s="51" t="s">
        <v>26</v>
      </c>
      <c r="Q3" s="51" t="s">
        <v>26</v>
      </c>
      <c r="R3" s="51" t="s">
        <v>26</v>
      </c>
      <c r="S3" s="51" t="s">
        <v>26</v>
      </c>
      <c r="T3" s="51" t="s">
        <v>26</v>
      </c>
      <c r="U3" s="51" t="s">
        <v>26</v>
      </c>
      <c r="V3" s="51" t="s">
        <v>26</v>
      </c>
      <c r="W3" s="51" t="s">
        <v>26</v>
      </c>
      <c r="X3" s="55" t="s">
        <v>26</v>
      </c>
      <c r="Y3" s="55" t="s">
        <v>26</v>
      </c>
      <c r="Z3" s="51" t="s">
        <v>26</v>
      </c>
      <c r="AA3" s="51" t="s">
        <v>26</v>
      </c>
      <c r="AB3" s="51" t="s">
        <v>26</v>
      </c>
      <c r="AC3" s="51" t="s">
        <v>26</v>
      </c>
      <c r="AD3" s="51" t="s">
        <v>26</v>
      </c>
      <c r="AE3" s="51" t="s">
        <v>26</v>
      </c>
      <c r="AF3" s="55" t="s">
        <v>26</v>
      </c>
      <c r="AG3" s="55" t="s">
        <v>26</v>
      </c>
      <c r="AH3" s="60" t="s">
        <v>26</v>
      </c>
      <c r="AI3" s="51" t="s">
        <v>26</v>
      </c>
      <c r="AJ3" s="51" t="s">
        <v>26</v>
      </c>
      <c r="AK3" s="51" t="s">
        <v>26</v>
      </c>
    </row>
    <row r="4" spans="1:37 16352:16352" ht="14.5" x14ac:dyDescent="0.35">
      <c r="A4" s="5">
        <v>2</v>
      </c>
      <c r="B4" s="40">
        <v>46024</v>
      </c>
      <c r="C4" s="39" t="s">
        <v>128</v>
      </c>
      <c r="D4" s="39" t="s">
        <v>127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26</v>
      </c>
      <c r="AF4" s="17"/>
      <c r="AG4" s="17"/>
      <c r="AH4" s="17"/>
      <c r="AI4" s="17"/>
      <c r="AJ4" s="39"/>
      <c r="AK4" s="17"/>
    </row>
    <row r="5" spans="1:37 16352:16352" ht="14.5" x14ac:dyDescent="0.35">
      <c r="A5" s="5">
        <v>3</v>
      </c>
      <c r="B5" s="40">
        <v>46028</v>
      </c>
      <c r="C5" s="39" t="s">
        <v>176</v>
      </c>
      <c r="D5" s="39" t="s">
        <v>101</v>
      </c>
      <c r="E5" s="17"/>
      <c r="F5" s="55" t="s">
        <v>26</v>
      </c>
      <c r="G5" s="17"/>
      <c r="H5" s="17"/>
      <c r="I5" s="17"/>
      <c r="J5" s="55" t="s">
        <v>26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spans="1:37 16352:16352" ht="14.5" x14ac:dyDescent="0.35">
      <c r="A6" s="5">
        <v>4</v>
      </c>
      <c r="B6" s="40">
        <v>46029</v>
      </c>
      <c r="C6" s="39" t="s">
        <v>192</v>
      </c>
      <c r="D6" s="39" t="s">
        <v>97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55" t="s">
        <v>26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 16352:16352" ht="14.5" x14ac:dyDescent="0.35">
      <c r="A7" s="5">
        <v>5</v>
      </c>
      <c r="B7" s="40">
        <v>46034</v>
      </c>
      <c r="C7" s="39" t="s">
        <v>180</v>
      </c>
      <c r="D7" s="39" t="s">
        <v>98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s">
        <v>26</v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spans="1:37 16352:16352" ht="14.5" x14ac:dyDescent="0.35">
      <c r="A8" s="5">
        <v>6</v>
      </c>
      <c r="B8" s="40">
        <v>46035</v>
      </c>
      <c r="C8" s="39" t="s">
        <v>168</v>
      </c>
      <c r="D8" s="39" t="s">
        <v>101</v>
      </c>
      <c r="E8" s="17"/>
      <c r="F8" s="17"/>
      <c r="G8" s="55" t="s">
        <v>26</v>
      </c>
      <c r="H8" s="17"/>
      <c r="I8" s="17"/>
      <c r="J8" s="17"/>
      <c r="K8" s="55" t="s">
        <v>26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spans="1:37 16352:16352" ht="14.5" x14ac:dyDescent="0.35">
      <c r="A9" s="5">
        <v>7</v>
      </c>
      <c r="B9" s="42" t="s">
        <v>103</v>
      </c>
      <c r="C9" s="39" t="s">
        <v>186</v>
      </c>
      <c r="D9" s="39" t="s">
        <v>97</v>
      </c>
      <c r="E9" s="17"/>
      <c r="F9" s="17"/>
      <c r="G9" s="17" t="s">
        <v>26</v>
      </c>
      <c r="H9" s="17"/>
      <c r="I9" s="17"/>
      <c r="J9" s="17"/>
      <c r="K9" s="17" t="s">
        <v>26</v>
      </c>
      <c r="L9" s="17"/>
      <c r="M9" s="17"/>
      <c r="N9" s="17"/>
      <c r="O9" s="17"/>
      <c r="P9" s="17"/>
      <c r="Q9" s="17"/>
      <c r="R9" s="17" t="s">
        <v>26</v>
      </c>
      <c r="S9" s="17" t="s">
        <v>26</v>
      </c>
      <c r="T9" s="17"/>
      <c r="U9" s="55" t="s">
        <v>26</v>
      </c>
      <c r="V9" s="55" t="s">
        <v>26</v>
      </c>
      <c r="W9" s="17"/>
      <c r="X9" s="17"/>
      <c r="Y9" s="17"/>
      <c r="Z9" s="17"/>
      <c r="AA9" s="17" t="s">
        <v>26</v>
      </c>
      <c r="AB9" s="55" t="s">
        <v>26</v>
      </c>
      <c r="AC9" s="17" t="s">
        <v>26</v>
      </c>
      <c r="AD9" s="17"/>
      <c r="AE9" s="17"/>
      <c r="AF9" s="17"/>
      <c r="AG9" s="17"/>
      <c r="AH9" s="60" t="s">
        <v>26</v>
      </c>
      <c r="AI9" s="17"/>
      <c r="AJ9" s="55" t="s">
        <v>26</v>
      </c>
      <c r="AK9" s="17"/>
    </row>
    <row r="10" spans="1:37 16352:16352" ht="14.5" x14ac:dyDescent="0.35">
      <c r="A10" s="5">
        <v>8</v>
      </c>
      <c r="B10" s="40">
        <v>46037</v>
      </c>
      <c r="C10" s="39" t="s">
        <v>142</v>
      </c>
      <c r="D10" s="39" t="s">
        <v>96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55" t="s">
        <v>26</v>
      </c>
      <c r="AE10" s="17"/>
      <c r="AF10" s="55" t="s">
        <v>26</v>
      </c>
      <c r="AG10" s="17" t="s">
        <v>26</v>
      </c>
      <c r="AH10" s="17"/>
      <c r="AI10" s="17"/>
      <c r="AJ10" s="17"/>
      <c r="AK10" s="17"/>
    </row>
    <row r="11" spans="1:37 16352:16352" ht="14.5" x14ac:dyDescent="0.35">
      <c r="A11" s="5">
        <v>9</v>
      </c>
      <c r="B11" s="40">
        <v>46038</v>
      </c>
      <c r="C11" s="39" t="s">
        <v>201</v>
      </c>
      <c r="D11" s="39" t="s">
        <v>127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55" t="s">
        <v>26</v>
      </c>
      <c r="AD11" s="52"/>
      <c r="AE11" s="17"/>
      <c r="AF11" s="17" t="s">
        <v>26</v>
      </c>
      <c r="AG11" s="55" t="s">
        <v>26</v>
      </c>
      <c r="AH11" s="17"/>
      <c r="AI11" s="17"/>
      <c r="AJ11" s="17"/>
      <c r="AK11" s="17"/>
    </row>
    <row r="12" spans="1:37 16352:16352" ht="14.5" x14ac:dyDescent="0.35">
      <c r="A12" s="7">
        <v>10</v>
      </c>
      <c r="B12" s="40">
        <v>46039</v>
      </c>
      <c r="C12" s="39" t="s">
        <v>143</v>
      </c>
      <c r="D12" s="39" t="s">
        <v>64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52"/>
      <c r="AE12" s="17"/>
      <c r="AF12" s="17"/>
      <c r="AG12" s="17" t="s">
        <v>26</v>
      </c>
      <c r="AH12" s="17"/>
      <c r="AI12" s="17"/>
      <c r="AJ12" s="17"/>
      <c r="AK12" s="17"/>
    </row>
    <row r="13" spans="1:37 16352:16352" s="48" customFormat="1" ht="14.5" x14ac:dyDescent="0.35">
      <c r="A13" s="5">
        <v>11</v>
      </c>
      <c r="B13" s="46">
        <v>46041</v>
      </c>
      <c r="C13" s="47" t="s">
        <v>194</v>
      </c>
      <c r="D13" s="47" t="s">
        <v>98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17" t="s">
        <v>26</v>
      </c>
      <c r="AB13" s="53"/>
      <c r="AC13" s="53"/>
      <c r="AD13" s="54"/>
      <c r="AE13" s="53"/>
      <c r="AF13" s="53"/>
      <c r="AG13" s="53"/>
      <c r="AH13" s="53"/>
      <c r="AI13" s="53"/>
      <c r="AJ13" s="53"/>
      <c r="AK13" s="53"/>
    </row>
    <row r="14" spans="1:37 16352:16352" ht="14.5" x14ac:dyDescent="0.35">
      <c r="A14" s="5">
        <v>12</v>
      </c>
      <c r="B14" s="40">
        <v>46045</v>
      </c>
      <c r="C14" s="39" t="s">
        <v>181</v>
      </c>
      <c r="D14" s="39" t="s">
        <v>127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 t="s">
        <v>26</v>
      </c>
      <c r="T14" s="17" t="s">
        <v>26</v>
      </c>
      <c r="U14" s="17"/>
      <c r="V14" s="17" t="s">
        <v>26</v>
      </c>
      <c r="W14" s="17"/>
      <c r="X14" s="17"/>
      <c r="Y14" s="17"/>
      <c r="Z14" s="17"/>
      <c r="AA14" s="17"/>
      <c r="AB14" s="17"/>
      <c r="AC14" s="17"/>
      <c r="AD14" s="52"/>
      <c r="AE14" s="17"/>
      <c r="AF14" s="17"/>
      <c r="AG14" s="17"/>
      <c r="AH14" s="17"/>
      <c r="AI14" s="17"/>
      <c r="AJ14" s="17"/>
      <c r="AK14" s="17"/>
    </row>
    <row r="15" spans="1:37 16352:16352" ht="14.5" x14ac:dyDescent="0.35">
      <c r="A15" s="5">
        <v>13</v>
      </c>
      <c r="B15" s="42" t="s">
        <v>104</v>
      </c>
      <c r="C15" s="39" t="s">
        <v>30</v>
      </c>
      <c r="D15" s="39" t="s">
        <v>98</v>
      </c>
      <c r="E15" s="55" t="s">
        <v>26</v>
      </c>
      <c r="F15" s="55" t="s">
        <v>26</v>
      </c>
      <c r="G15" s="55" t="s">
        <v>26</v>
      </c>
      <c r="H15" s="55" t="s">
        <v>26</v>
      </c>
      <c r="I15" s="55" t="s">
        <v>26</v>
      </c>
      <c r="J15" s="55" t="s">
        <v>26</v>
      </c>
      <c r="K15" s="55" t="s">
        <v>26</v>
      </c>
      <c r="L15" s="55" t="s">
        <v>26</v>
      </c>
      <c r="M15" s="55" t="s">
        <v>26</v>
      </c>
      <c r="N15" s="55" t="s">
        <v>26</v>
      </c>
      <c r="O15" s="55" t="s">
        <v>26</v>
      </c>
      <c r="P15" s="55" t="s">
        <v>26</v>
      </c>
      <c r="Q15" s="55" t="s">
        <v>26</v>
      </c>
      <c r="R15" s="55" t="s">
        <v>26</v>
      </c>
      <c r="S15" s="55" t="s">
        <v>26</v>
      </c>
      <c r="T15" s="55" t="s">
        <v>26</v>
      </c>
      <c r="U15" s="55" t="s">
        <v>26</v>
      </c>
      <c r="V15" s="55" t="s">
        <v>26</v>
      </c>
      <c r="W15" s="55" t="s">
        <v>26</v>
      </c>
      <c r="X15" s="55" t="s">
        <v>26</v>
      </c>
      <c r="Y15" s="55" t="s">
        <v>26</v>
      </c>
      <c r="Z15" s="55" t="s">
        <v>26</v>
      </c>
      <c r="AA15" s="55" t="s">
        <v>26</v>
      </c>
      <c r="AB15" s="55" t="s">
        <v>26</v>
      </c>
      <c r="AC15" s="55" t="s">
        <v>26</v>
      </c>
      <c r="AD15" s="55" t="s">
        <v>210</v>
      </c>
      <c r="AE15" s="55" t="s">
        <v>210</v>
      </c>
      <c r="AF15" s="55" t="s">
        <v>210</v>
      </c>
      <c r="AG15" s="55" t="s">
        <v>210</v>
      </c>
      <c r="AH15" s="55" t="s">
        <v>210</v>
      </c>
      <c r="AI15" s="55" t="s">
        <v>210</v>
      </c>
      <c r="AJ15" s="55" t="s">
        <v>210</v>
      </c>
      <c r="AK15" s="55" t="s">
        <v>210</v>
      </c>
    </row>
    <row r="16" spans="1:37 16352:16352" ht="14.5" x14ac:dyDescent="0.35">
      <c r="A16" s="5">
        <v>14</v>
      </c>
      <c r="B16" s="40">
        <v>46049</v>
      </c>
      <c r="C16" s="39" t="s">
        <v>187</v>
      </c>
      <c r="D16" s="39" t="s">
        <v>101</v>
      </c>
      <c r="E16" s="17"/>
      <c r="F16" s="17"/>
      <c r="G16" s="17"/>
      <c r="H16" s="55"/>
      <c r="I16" s="55"/>
      <c r="J16" s="17"/>
      <c r="K16" s="17"/>
      <c r="L16" s="17"/>
      <c r="M16" s="17"/>
      <c r="N16" s="17"/>
      <c r="O16" s="17"/>
      <c r="P16" s="39"/>
      <c r="Q16" s="17"/>
      <c r="R16" s="17"/>
      <c r="S16" s="17"/>
      <c r="T16" s="17"/>
      <c r="U16" s="17"/>
      <c r="V16" s="17" t="s">
        <v>26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ht="14.5" x14ac:dyDescent="0.35">
      <c r="A17" s="5">
        <v>15</v>
      </c>
      <c r="B17" s="40">
        <v>46051</v>
      </c>
      <c r="C17" s="39" t="s">
        <v>198</v>
      </c>
      <c r="D17" s="39" t="s">
        <v>96</v>
      </c>
      <c r="E17" s="17"/>
      <c r="F17" s="17"/>
      <c r="G17" s="17"/>
      <c r="H17" s="55"/>
      <c r="I17" s="55"/>
      <c r="J17" s="17"/>
      <c r="K17" s="17" t="s">
        <v>26</v>
      </c>
      <c r="L17" s="17"/>
      <c r="M17" s="17"/>
      <c r="N17" s="39" t="s">
        <v>26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 t="s">
        <v>26</v>
      </c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ht="14.5" x14ac:dyDescent="0.35">
      <c r="A18" s="7">
        <v>16</v>
      </c>
      <c r="B18" s="40">
        <v>46054</v>
      </c>
      <c r="C18" s="39" t="s">
        <v>144</v>
      </c>
      <c r="D18" s="39" t="s">
        <v>63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52"/>
      <c r="AE18" s="52"/>
      <c r="AF18" s="17"/>
      <c r="AG18" s="17" t="s">
        <v>26</v>
      </c>
      <c r="AH18" s="17"/>
      <c r="AI18" s="17"/>
      <c r="AJ18" s="17"/>
      <c r="AK18" s="17"/>
    </row>
    <row r="19" spans="1:37" ht="14.5" x14ac:dyDescent="0.35">
      <c r="A19" s="7">
        <v>17</v>
      </c>
      <c r="B19" s="40">
        <v>46068</v>
      </c>
      <c r="C19" s="39" t="s">
        <v>136</v>
      </c>
      <c r="D19" s="59" t="s">
        <v>63</v>
      </c>
      <c r="E19" s="17"/>
      <c r="F19" s="17" t="s">
        <v>26</v>
      </c>
      <c r="G19" s="17" t="s">
        <v>26</v>
      </c>
      <c r="H19" s="17" t="s">
        <v>26</v>
      </c>
      <c r="I19" s="17" t="s">
        <v>26</v>
      </c>
      <c r="J19" s="17" t="s">
        <v>26</v>
      </c>
      <c r="K19" s="17" t="s">
        <v>26</v>
      </c>
      <c r="L19" s="17" t="s">
        <v>26</v>
      </c>
      <c r="M19" s="17" t="s">
        <v>26</v>
      </c>
      <c r="N19" s="17" t="s">
        <v>26</v>
      </c>
      <c r="O19" s="17"/>
      <c r="P19" s="17" t="s">
        <v>26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 t="s">
        <v>26</v>
      </c>
      <c r="AD19" s="17"/>
      <c r="AE19" s="17"/>
      <c r="AF19" s="17"/>
      <c r="AG19" s="17"/>
      <c r="AH19" s="17" t="s">
        <v>26</v>
      </c>
      <c r="AI19" s="17"/>
      <c r="AJ19" s="17" t="s">
        <v>26</v>
      </c>
      <c r="AK19" s="17" t="s">
        <v>26</v>
      </c>
    </row>
    <row r="20" spans="1:37" s="48" customFormat="1" ht="14.5" x14ac:dyDescent="0.35">
      <c r="A20" s="5">
        <v>18</v>
      </c>
      <c r="B20" s="46">
        <v>46071</v>
      </c>
      <c r="C20" s="47" t="s">
        <v>195</v>
      </c>
      <c r="D20" s="47" t="s">
        <v>97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5" t="s">
        <v>26</v>
      </c>
      <c r="AB20" s="53"/>
      <c r="AC20" s="53"/>
      <c r="AD20" s="53"/>
      <c r="AE20" s="53"/>
      <c r="AF20" s="53"/>
      <c r="AG20" s="53"/>
      <c r="AH20" s="53"/>
      <c r="AI20" s="53"/>
      <c r="AJ20" s="53"/>
      <c r="AK20" s="53"/>
    </row>
    <row r="21" spans="1:37" s="48" customFormat="1" ht="14.5" x14ac:dyDescent="0.35">
      <c r="A21" s="5">
        <v>19</v>
      </c>
      <c r="B21" s="46">
        <v>46072</v>
      </c>
      <c r="C21" s="47" t="s">
        <v>206</v>
      </c>
      <c r="D21" s="47" t="s">
        <v>96</v>
      </c>
      <c r="E21" s="53"/>
      <c r="F21" s="53"/>
      <c r="G21" s="53"/>
      <c r="H21" s="53"/>
      <c r="I21" s="53"/>
      <c r="J21" s="55" t="s">
        <v>26</v>
      </c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5" t="s">
        <v>26</v>
      </c>
    </row>
    <row r="22" spans="1:37" ht="14.5" x14ac:dyDescent="0.35">
      <c r="A22" s="5">
        <v>20</v>
      </c>
      <c r="B22" s="40">
        <v>46073</v>
      </c>
      <c r="C22" s="39" t="s">
        <v>162</v>
      </c>
      <c r="D22" s="39" t="s">
        <v>127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55" t="s">
        <v>26</v>
      </c>
      <c r="V22" s="17"/>
      <c r="W22" s="17"/>
      <c r="X22" s="17"/>
      <c r="Y22" s="55" t="s">
        <v>26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ht="14.5" x14ac:dyDescent="0.35">
      <c r="A23" s="5">
        <v>21</v>
      </c>
      <c r="B23" s="40">
        <v>46084</v>
      </c>
      <c r="C23" s="39" t="s">
        <v>182</v>
      </c>
      <c r="D23" s="39" t="s">
        <v>101</v>
      </c>
      <c r="E23" s="55" t="s">
        <v>26</v>
      </c>
      <c r="F23" s="17"/>
      <c r="G23" s="17"/>
      <c r="H23" s="17"/>
      <c r="I23" s="55" t="s">
        <v>26</v>
      </c>
      <c r="J23" s="17"/>
      <c r="K23" s="17"/>
      <c r="L23" s="55" t="s">
        <v>26</v>
      </c>
      <c r="M23" s="55" t="s">
        <v>26</v>
      </c>
      <c r="N23" s="17"/>
      <c r="O23" s="17"/>
      <c r="P23" s="17"/>
      <c r="Q23" s="17"/>
      <c r="R23" s="17"/>
      <c r="S23" s="17"/>
      <c r="T23" s="55" t="s">
        <v>26</v>
      </c>
      <c r="U23" s="17"/>
      <c r="V23" s="55" t="s">
        <v>26</v>
      </c>
      <c r="W23" s="55" t="s">
        <v>26</v>
      </c>
      <c r="X23" s="17"/>
      <c r="Y23" s="17"/>
      <c r="Z23" s="17"/>
      <c r="AA23" s="55" t="s">
        <v>26</v>
      </c>
      <c r="AB23" s="55" t="s">
        <v>26</v>
      </c>
      <c r="AC23" s="17" t="s">
        <v>26</v>
      </c>
      <c r="AD23" s="17"/>
      <c r="AE23" s="17"/>
      <c r="AF23" s="17"/>
      <c r="AG23" s="17"/>
      <c r="AH23" s="17" t="s">
        <v>26</v>
      </c>
      <c r="AI23" s="17" t="s">
        <v>26</v>
      </c>
      <c r="AJ23" s="17"/>
      <c r="AK23" s="17"/>
    </row>
    <row r="24" spans="1:37" ht="14.5" x14ac:dyDescent="0.35">
      <c r="A24" s="5">
        <v>22</v>
      </c>
      <c r="B24" s="42" t="s">
        <v>105</v>
      </c>
      <c r="C24" s="39" t="s">
        <v>99</v>
      </c>
      <c r="D24" s="39" t="s">
        <v>97</v>
      </c>
      <c r="E24" s="17"/>
      <c r="F24" s="55" t="s">
        <v>26</v>
      </c>
      <c r="G24" s="55" t="s">
        <v>26</v>
      </c>
      <c r="H24" s="55" t="s">
        <v>26</v>
      </c>
      <c r="I24" s="17"/>
      <c r="J24" s="55" t="s">
        <v>26</v>
      </c>
      <c r="K24" s="55" t="s">
        <v>26</v>
      </c>
      <c r="L24" s="17" t="s">
        <v>26</v>
      </c>
      <c r="M24" s="17"/>
      <c r="N24" s="55" t="s">
        <v>26</v>
      </c>
      <c r="O24" s="55" t="s">
        <v>26</v>
      </c>
      <c r="P24" s="55" t="s">
        <v>26</v>
      </c>
      <c r="Q24" s="55" t="s">
        <v>26</v>
      </c>
      <c r="R24" s="55" t="s">
        <v>26</v>
      </c>
      <c r="S24" s="55" t="s">
        <v>26</v>
      </c>
      <c r="T24" s="17"/>
      <c r="U24" s="55" t="s">
        <v>26</v>
      </c>
      <c r="V24" s="17"/>
      <c r="W24" s="17"/>
      <c r="X24" s="55" t="s">
        <v>26</v>
      </c>
      <c r="Y24" s="55" t="s">
        <v>26</v>
      </c>
      <c r="Z24" s="55" t="s">
        <v>26</v>
      </c>
      <c r="AA24" s="17"/>
      <c r="AB24" s="17"/>
      <c r="AC24" s="17"/>
      <c r="AD24" s="17"/>
      <c r="AE24" s="17"/>
      <c r="AF24" s="17"/>
      <c r="AG24" s="17"/>
      <c r="AH24" s="17" t="s">
        <v>26</v>
      </c>
      <c r="AI24" s="17"/>
      <c r="AJ24" s="55" t="s">
        <v>26</v>
      </c>
      <c r="AK24" s="55" t="s">
        <v>26</v>
      </c>
    </row>
    <row r="25" spans="1:37" ht="14.5" x14ac:dyDescent="0.35">
      <c r="A25" s="5">
        <v>23</v>
      </c>
      <c r="B25" s="40">
        <v>46094</v>
      </c>
      <c r="C25" s="39" t="s">
        <v>163</v>
      </c>
      <c r="D25" s="39" t="s">
        <v>127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 t="s">
        <v>26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ht="14.5" x14ac:dyDescent="0.35">
      <c r="A26" s="5">
        <v>24</v>
      </c>
      <c r="B26" s="40">
        <v>46098</v>
      </c>
      <c r="C26" s="39" t="s">
        <v>174</v>
      </c>
      <c r="D26" s="39" t="s">
        <v>101</v>
      </c>
      <c r="E26" s="17"/>
      <c r="F26" s="17"/>
      <c r="G26" s="17"/>
      <c r="H26" s="17"/>
      <c r="I26" s="17" t="s">
        <v>26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ht="14.5" x14ac:dyDescent="0.35">
      <c r="A27" s="5">
        <v>25</v>
      </c>
      <c r="B27" s="40">
        <v>46100</v>
      </c>
      <c r="C27" s="39" t="s">
        <v>204</v>
      </c>
      <c r="D27" s="39" t="s">
        <v>96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55" t="s">
        <v>26</v>
      </c>
      <c r="AE27" s="52"/>
      <c r="AF27" s="17"/>
      <c r="AG27" s="55" t="s">
        <v>26</v>
      </c>
      <c r="AH27" s="17"/>
      <c r="AI27" s="17" t="s">
        <v>26</v>
      </c>
      <c r="AJ27" s="17" t="s">
        <v>26</v>
      </c>
      <c r="AK27" s="55" t="s">
        <v>26</v>
      </c>
    </row>
    <row r="28" spans="1:37" ht="14.5" x14ac:dyDescent="0.35">
      <c r="A28" s="5">
        <v>26</v>
      </c>
      <c r="B28" s="40">
        <v>46101</v>
      </c>
      <c r="C28" s="39" t="s">
        <v>202</v>
      </c>
      <c r="D28" s="39" t="s">
        <v>127</v>
      </c>
      <c r="E28" s="17"/>
      <c r="F28" s="17"/>
      <c r="G28" s="17"/>
      <c r="H28" s="17"/>
      <c r="I28" s="55" t="s">
        <v>26</v>
      </c>
      <c r="J28" s="17"/>
      <c r="K28" s="17"/>
      <c r="L28" s="17" t="s">
        <v>26</v>
      </c>
      <c r="M28" s="17" t="s">
        <v>26</v>
      </c>
      <c r="N28" s="17"/>
      <c r="O28" s="17"/>
      <c r="P28" s="55" t="s">
        <v>26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55" t="s">
        <v>26</v>
      </c>
      <c r="AD28" s="52"/>
      <c r="AE28" s="55" t="s">
        <v>26</v>
      </c>
      <c r="AF28" s="17" t="s">
        <v>26</v>
      </c>
      <c r="AG28" s="17"/>
      <c r="AH28" s="17"/>
      <c r="AI28" s="17"/>
      <c r="AJ28" s="17"/>
      <c r="AK28" s="17"/>
    </row>
    <row r="29" spans="1:37" ht="14.5" x14ac:dyDescent="0.35">
      <c r="A29" s="7">
        <v>27</v>
      </c>
      <c r="B29" s="42" t="s">
        <v>106</v>
      </c>
      <c r="C29" s="39" t="s">
        <v>141</v>
      </c>
      <c r="D29" s="59" t="s">
        <v>64</v>
      </c>
      <c r="E29" s="17" t="s">
        <v>26</v>
      </c>
      <c r="F29" s="17" t="s">
        <v>26</v>
      </c>
      <c r="G29" s="17" t="s">
        <v>26</v>
      </c>
      <c r="H29" s="17" t="s">
        <v>26</v>
      </c>
      <c r="I29" s="17"/>
      <c r="J29" s="17" t="s">
        <v>26</v>
      </c>
      <c r="K29" s="17" t="s">
        <v>26</v>
      </c>
      <c r="L29" s="17" t="s">
        <v>26</v>
      </c>
      <c r="M29" s="17"/>
      <c r="N29" s="17" t="s">
        <v>26</v>
      </c>
      <c r="O29" s="17" t="s">
        <v>26</v>
      </c>
      <c r="P29" s="17" t="s">
        <v>26</v>
      </c>
      <c r="Q29" s="17" t="s">
        <v>26</v>
      </c>
      <c r="R29" s="17" t="s">
        <v>26</v>
      </c>
      <c r="S29" s="17" t="s">
        <v>26</v>
      </c>
      <c r="T29" s="17"/>
      <c r="U29" s="17" t="s">
        <v>26</v>
      </c>
      <c r="V29" s="17" t="s">
        <v>26</v>
      </c>
      <c r="W29" s="17" t="s">
        <v>26</v>
      </c>
      <c r="X29" s="17" t="s">
        <v>26</v>
      </c>
      <c r="Y29" s="17" t="s">
        <v>26</v>
      </c>
      <c r="Z29" s="17" t="s">
        <v>26</v>
      </c>
      <c r="AA29" s="17"/>
      <c r="AB29" s="17"/>
      <c r="AC29" s="17" t="s">
        <v>26</v>
      </c>
      <c r="AD29" s="17" t="s">
        <v>26</v>
      </c>
      <c r="AE29" s="17"/>
      <c r="AF29" s="17"/>
      <c r="AG29" s="17" t="s">
        <v>26</v>
      </c>
      <c r="AH29" s="17" t="s">
        <v>26</v>
      </c>
      <c r="AI29" s="17" t="s">
        <v>26</v>
      </c>
      <c r="AJ29" s="17" t="s">
        <v>26</v>
      </c>
      <c r="AK29" s="17" t="s">
        <v>26</v>
      </c>
    </row>
    <row r="30" spans="1:37" ht="14.5" x14ac:dyDescent="0.35">
      <c r="A30" s="7">
        <v>28</v>
      </c>
      <c r="B30" s="40">
        <v>46103</v>
      </c>
      <c r="C30" s="39" t="s">
        <v>152</v>
      </c>
      <c r="D30" s="39" t="s">
        <v>63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 t="s">
        <v>26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ht="14.5" x14ac:dyDescent="0.35">
      <c r="A31" s="5">
        <v>29</v>
      </c>
      <c r="B31" s="42" t="s">
        <v>107</v>
      </c>
      <c r="C31" s="39" t="s">
        <v>100</v>
      </c>
      <c r="D31" s="39" t="s">
        <v>96</v>
      </c>
      <c r="E31" s="55" t="s">
        <v>26</v>
      </c>
      <c r="F31" s="17" t="s">
        <v>26</v>
      </c>
      <c r="G31" s="17" t="s">
        <v>26</v>
      </c>
      <c r="H31" s="17" t="s">
        <v>26</v>
      </c>
      <c r="I31" s="17" t="s">
        <v>26</v>
      </c>
      <c r="J31" s="17" t="s">
        <v>26</v>
      </c>
      <c r="K31" s="17" t="s">
        <v>26</v>
      </c>
      <c r="L31" s="17" t="s">
        <v>26</v>
      </c>
      <c r="M31" s="17" t="s">
        <v>26</v>
      </c>
      <c r="N31" s="17" t="s">
        <v>26</v>
      </c>
      <c r="O31" s="17"/>
      <c r="P31" s="17" t="s">
        <v>26</v>
      </c>
      <c r="Q31" s="17"/>
      <c r="R31" s="17" t="s">
        <v>26</v>
      </c>
      <c r="S31" s="17"/>
      <c r="T31" s="17" t="s">
        <v>26</v>
      </c>
      <c r="U31" s="17"/>
      <c r="V31" s="17"/>
      <c r="W31" s="17"/>
      <c r="X31" s="17"/>
      <c r="Y31" s="17" t="s">
        <v>26</v>
      </c>
      <c r="Z31" s="17"/>
      <c r="AA31" s="17" t="s">
        <v>26</v>
      </c>
      <c r="AB31" s="17"/>
      <c r="AC31" s="17" t="s">
        <v>26</v>
      </c>
      <c r="AD31" s="17"/>
      <c r="AE31" s="17"/>
      <c r="AF31" s="17"/>
      <c r="AG31" s="17"/>
      <c r="AH31" s="17" t="s">
        <v>26</v>
      </c>
      <c r="AI31" s="17" t="s">
        <v>26</v>
      </c>
      <c r="AJ31" s="17"/>
      <c r="AK31" s="17" t="s">
        <v>26</v>
      </c>
    </row>
    <row r="32" spans="1:37" ht="14.5" x14ac:dyDescent="0.35">
      <c r="A32" s="5">
        <v>30</v>
      </c>
      <c r="B32" s="40">
        <v>46108</v>
      </c>
      <c r="C32" s="39" t="s">
        <v>149</v>
      </c>
      <c r="D32" s="39" t="s">
        <v>127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 t="s">
        <v>26</v>
      </c>
      <c r="R32" s="17"/>
      <c r="S32" s="17" t="s">
        <v>26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 t="s">
        <v>26</v>
      </c>
      <c r="AK32" s="17"/>
    </row>
    <row r="33" spans="1:37" ht="14.5" x14ac:dyDescent="0.35">
      <c r="A33" s="5">
        <v>31</v>
      </c>
      <c r="B33" s="42" t="s">
        <v>108</v>
      </c>
      <c r="C33" s="39" t="s">
        <v>35</v>
      </c>
      <c r="D33" s="39" t="s">
        <v>101</v>
      </c>
      <c r="E33" s="17" t="s">
        <v>26</v>
      </c>
      <c r="F33" s="17" t="s">
        <v>26</v>
      </c>
      <c r="G33" s="17" t="s">
        <v>26</v>
      </c>
      <c r="H33" s="17"/>
      <c r="I33" s="17"/>
      <c r="J33" s="17" t="s">
        <v>26</v>
      </c>
      <c r="K33" s="17" t="s">
        <v>26</v>
      </c>
      <c r="L33" s="17" t="s">
        <v>26</v>
      </c>
      <c r="M33" s="17" t="s">
        <v>26</v>
      </c>
      <c r="N33" s="17" t="s">
        <v>26</v>
      </c>
      <c r="O33" s="17" t="s">
        <v>26</v>
      </c>
      <c r="P33" s="17" t="s">
        <v>26</v>
      </c>
      <c r="Q33" s="17" t="s">
        <v>26</v>
      </c>
      <c r="R33" s="17" t="s">
        <v>26</v>
      </c>
      <c r="S33" s="17"/>
      <c r="T33" s="17" t="s">
        <v>26</v>
      </c>
      <c r="U33" s="17"/>
      <c r="V33" s="17"/>
      <c r="W33" s="17"/>
      <c r="X33" s="17"/>
      <c r="Y33" s="17" t="s">
        <v>26</v>
      </c>
      <c r="Z33" s="17"/>
      <c r="AA33" s="17"/>
      <c r="AB33" s="17"/>
      <c r="AC33" s="17"/>
      <c r="AD33" s="17" t="s">
        <v>26</v>
      </c>
      <c r="AE33" s="17"/>
      <c r="AF33" s="17"/>
      <c r="AG33" s="17" t="s">
        <v>26</v>
      </c>
      <c r="AH33" s="17"/>
      <c r="AI33" s="17"/>
      <c r="AJ33" s="17" t="s">
        <v>26</v>
      </c>
      <c r="AK33" s="17" t="s">
        <v>26</v>
      </c>
    </row>
    <row r="34" spans="1:37" ht="14.5" x14ac:dyDescent="0.35">
      <c r="A34" s="5">
        <v>32</v>
      </c>
      <c r="B34" s="40">
        <v>46114</v>
      </c>
      <c r="C34" s="39" t="s">
        <v>129</v>
      </c>
      <c r="D34" s="39" t="s">
        <v>96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 t="s">
        <v>26</v>
      </c>
      <c r="AF34" s="17"/>
      <c r="AG34" s="17"/>
      <c r="AH34" s="17"/>
      <c r="AI34" s="17"/>
      <c r="AJ34" s="17"/>
      <c r="AK34" s="17"/>
    </row>
    <row r="35" spans="1:37" ht="14.5" x14ac:dyDescent="0.35">
      <c r="A35" s="5">
        <v>33</v>
      </c>
      <c r="B35" s="42" t="s">
        <v>109</v>
      </c>
      <c r="C35" s="39" t="s">
        <v>38</v>
      </c>
      <c r="D35" s="39" t="s">
        <v>127</v>
      </c>
      <c r="E35" s="55" t="s">
        <v>26</v>
      </c>
      <c r="F35" s="55" t="s">
        <v>26</v>
      </c>
      <c r="G35" s="55" t="s">
        <v>26</v>
      </c>
      <c r="H35" s="55" t="s">
        <v>26</v>
      </c>
      <c r="I35" s="17"/>
      <c r="J35" s="55" t="s">
        <v>26</v>
      </c>
      <c r="K35" s="55" t="s">
        <v>26</v>
      </c>
      <c r="L35" s="55" t="s">
        <v>26</v>
      </c>
      <c r="M35" s="55" t="s">
        <v>26</v>
      </c>
      <c r="N35" s="55" t="s">
        <v>26</v>
      </c>
      <c r="O35" s="55" t="s">
        <v>26</v>
      </c>
      <c r="P35" s="55" t="s">
        <v>26</v>
      </c>
      <c r="Q35" s="55" t="s">
        <v>26</v>
      </c>
      <c r="R35" s="55" t="s">
        <v>26</v>
      </c>
      <c r="S35" s="55" t="s">
        <v>26</v>
      </c>
      <c r="T35" s="55" t="s">
        <v>26</v>
      </c>
      <c r="U35" s="55" t="s">
        <v>26</v>
      </c>
      <c r="V35" s="55" t="s">
        <v>26</v>
      </c>
      <c r="W35" s="55" t="s">
        <v>26</v>
      </c>
      <c r="X35" s="55" t="s">
        <v>26</v>
      </c>
      <c r="Y35" s="55" t="s">
        <v>26</v>
      </c>
      <c r="Z35" s="55" t="s">
        <v>26</v>
      </c>
      <c r="AA35" s="55" t="s">
        <v>26</v>
      </c>
      <c r="AB35" s="55" t="s">
        <v>26</v>
      </c>
      <c r="AC35" s="55" t="s">
        <v>26</v>
      </c>
      <c r="AD35" s="55" t="s">
        <v>26</v>
      </c>
      <c r="AE35" s="55" t="s">
        <v>26</v>
      </c>
      <c r="AF35" s="55" t="s">
        <v>26</v>
      </c>
      <c r="AG35" s="55" t="s">
        <v>26</v>
      </c>
      <c r="AH35" s="60" t="s">
        <v>26</v>
      </c>
      <c r="AI35" s="55" t="s">
        <v>26</v>
      </c>
      <c r="AJ35" s="55" t="s">
        <v>26</v>
      </c>
      <c r="AK35" s="55" t="s">
        <v>26</v>
      </c>
    </row>
    <row r="36" spans="1:37" ht="14.5" x14ac:dyDescent="0.35">
      <c r="A36" s="7">
        <v>34</v>
      </c>
      <c r="B36" s="40">
        <v>46117</v>
      </c>
      <c r="C36" s="39" t="s">
        <v>135</v>
      </c>
      <c r="D36" s="39" t="s">
        <v>63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 t="s">
        <v>26</v>
      </c>
      <c r="AD36" s="17"/>
      <c r="AE36" s="17"/>
      <c r="AF36" s="17"/>
      <c r="AG36" s="17"/>
      <c r="AH36" s="17"/>
      <c r="AI36" s="17"/>
      <c r="AJ36" s="17"/>
      <c r="AK36" s="17"/>
    </row>
    <row r="37" spans="1:37" ht="58" x14ac:dyDescent="0.35">
      <c r="A37" s="5">
        <v>35</v>
      </c>
      <c r="B37" s="40">
        <v>46126</v>
      </c>
      <c r="C37" s="56" t="s">
        <v>199</v>
      </c>
      <c r="D37" s="39" t="s">
        <v>101</v>
      </c>
      <c r="E37" s="17"/>
      <c r="F37" s="17" t="s">
        <v>26</v>
      </c>
      <c r="G37" s="17" t="s">
        <v>26</v>
      </c>
      <c r="H37" s="17" t="s">
        <v>26</v>
      </c>
      <c r="I37" s="17" t="s">
        <v>26</v>
      </c>
      <c r="J37" s="17" t="s">
        <v>26</v>
      </c>
      <c r="K37" s="17" t="s">
        <v>26</v>
      </c>
      <c r="L37" s="17" t="s">
        <v>26</v>
      </c>
      <c r="M37" s="17" t="s">
        <v>26</v>
      </c>
      <c r="N37" s="17" t="s">
        <v>26</v>
      </c>
      <c r="O37" s="17"/>
      <c r="P37" s="17" t="s">
        <v>26</v>
      </c>
      <c r="Q37" s="17" t="s">
        <v>26</v>
      </c>
      <c r="R37" s="17" t="s">
        <v>26</v>
      </c>
      <c r="S37" s="17" t="s">
        <v>26</v>
      </c>
      <c r="T37" s="17" t="s">
        <v>26</v>
      </c>
      <c r="U37" s="17"/>
      <c r="V37" s="55" t="s">
        <v>26</v>
      </c>
      <c r="W37" s="55" t="s">
        <v>26</v>
      </c>
      <c r="X37" s="17"/>
      <c r="Y37" s="17"/>
      <c r="Z37" s="17"/>
      <c r="AA37" s="17" t="s">
        <v>26</v>
      </c>
      <c r="AB37" s="55" t="s">
        <v>26</v>
      </c>
      <c r="AC37" s="55" t="s">
        <v>26</v>
      </c>
      <c r="AD37" s="17" t="s">
        <v>26</v>
      </c>
      <c r="AE37" s="17" t="s">
        <v>26</v>
      </c>
      <c r="AF37" s="55" t="s">
        <v>26</v>
      </c>
      <c r="AG37" s="55" t="s">
        <v>26</v>
      </c>
      <c r="AH37" s="60" t="s">
        <v>26</v>
      </c>
      <c r="AI37" s="17" t="s">
        <v>26</v>
      </c>
      <c r="AJ37" s="17" t="s">
        <v>26</v>
      </c>
      <c r="AK37" s="17" t="s">
        <v>26</v>
      </c>
    </row>
    <row r="38" spans="1:37" ht="14.5" x14ac:dyDescent="0.35">
      <c r="A38" s="5">
        <v>36</v>
      </c>
      <c r="B38" s="40">
        <v>46127</v>
      </c>
      <c r="C38" s="39" t="s">
        <v>185</v>
      </c>
      <c r="D38" s="39" t="s">
        <v>97</v>
      </c>
      <c r="E38" s="17"/>
      <c r="F38" s="17"/>
      <c r="G38" s="17"/>
      <c r="H38" s="55" t="s">
        <v>26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55" t="s">
        <v>26</v>
      </c>
      <c r="V38" s="17" t="s">
        <v>26</v>
      </c>
      <c r="W38" s="17"/>
      <c r="X38" s="17"/>
      <c r="Y38" s="17"/>
      <c r="Z38" s="17"/>
      <c r="AA38" s="17"/>
      <c r="AB38" s="17"/>
      <c r="AC38" s="17"/>
      <c r="AD38" s="17"/>
      <c r="AE38" s="55" t="s">
        <v>26</v>
      </c>
      <c r="AF38" s="17"/>
      <c r="AG38" s="17"/>
      <c r="AH38" s="17"/>
      <c r="AI38" s="17"/>
      <c r="AJ38" s="17"/>
      <c r="AK38" s="17"/>
    </row>
    <row r="39" spans="1:37" ht="14.5" x14ac:dyDescent="0.35">
      <c r="A39" s="5">
        <v>37</v>
      </c>
      <c r="B39" s="40">
        <v>46128</v>
      </c>
      <c r="C39" s="39" t="s">
        <v>188</v>
      </c>
      <c r="D39" s="39" t="s">
        <v>96</v>
      </c>
      <c r="E39" s="17"/>
      <c r="F39" s="17"/>
      <c r="G39" s="17"/>
      <c r="H39" s="55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 t="s">
        <v>26</v>
      </c>
      <c r="W39" s="17"/>
      <c r="X39" s="17"/>
      <c r="Y39" s="17"/>
      <c r="Z39" s="17"/>
      <c r="AA39" s="17"/>
      <c r="AB39" s="17"/>
      <c r="AC39" s="17"/>
      <c r="AD39" s="17"/>
      <c r="AE39" s="52"/>
      <c r="AF39" s="17"/>
      <c r="AG39" s="17"/>
      <c r="AH39" s="17"/>
      <c r="AI39" s="17"/>
      <c r="AJ39" s="17"/>
      <c r="AK39" s="17"/>
    </row>
    <row r="40" spans="1:37" ht="14.5" x14ac:dyDescent="0.35">
      <c r="A40" s="5">
        <v>38</v>
      </c>
      <c r="B40" s="40">
        <v>46132</v>
      </c>
      <c r="C40" s="39" t="s">
        <v>137</v>
      </c>
      <c r="D40" s="39" t="s">
        <v>98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 t="s">
        <v>26</v>
      </c>
      <c r="AE40" s="52"/>
      <c r="AF40" s="17"/>
      <c r="AG40" s="17"/>
      <c r="AH40" s="17"/>
      <c r="AI40" s="17"/>
      <c r="AJ40" s="17"/>
      <c r="AK40" s="17"/>
    </row>
    <row r="41" spans="1:37" ht="14.5" x14ac:dyDescent="0.35">
      <c r="A41" s="5">
        <v>39</v>
      </c>
      <c r="B41" s="40">
        <v>46135</v>
      </c>
      <c r="C41" s="39" t="s">
        <v>189</v>
      </c>
      <c r="D41" s="39" t="s">
        <v>96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55" t="s">
        <v>26</v>
      </c>
      <c r="X41" s="17"/>
      <c r="Y41" s="17"/>
      <c r="Z41" s="17"/>
      <c r="AA41" s="17"/>
      <c r="AB41" s="17"/>
      <c r="AC41" s="17"/>
      <c r="AD41" s="17"/>
      <c r="AE41" s="52"/>
      <c r="AF41" s="17"/>
      <c r="AG41" s="17"/>
      <c r="AH41" s="17"/>
      <c r="AI41" s="17"/>
      <c r="AJ41" s="17"/>
      <c r="AK41" s="17"/>
    </row>
    <row r="42" spans="1:37" ht="14.5" x14ac:dyDescent="0.35">
      <c r="A42" s="5">
        <v>40</v>
      </c>
      <c r="B42" s="42" t="s">
        <v>110</v>
      </c>
      <c r="C42" s="39" t="s">
        <v>207</v>
      </c>
      <c r="D42" s="39" t="s">
        <v>127</v>
      </c>
      <c r="E42" s="55" t="s">
        <v>26</v>
      </c>
      <c r="F42" s="55" t="s">
        <v>26</v>
      </c>
      <c r="G42" s="55" t="s">
        <v>26</v>
      </c>
      <c r="H42" s="55" t="s">
        <v>26</v>
      </c>
      <c r="I42" s="55" t="s">
        <v>26</v>
      </c>
      <c r="J42" s="55" t="s">
        <v>26</v>
      </c>
      <c r="K42" s="55" t="s">
        <v>26</v>
      </c>
      <c r="L42" s="55" t="s">
        <v>26</v>
      </c>
      <c r="M42" s="55" t="s">
        <v>26</v>
      </c>
      <c r="N42" s="55" t="s">
        <v>26</v>
      </c>
      <c r="O42" s="55" t="s">
        <v>26</v>
      </c>
      <c r="P42" s="55" t="s">
        <v>26</v>
      </c>
      <c r="Q42" s="55" t="s">
        <v>26</v>
      </c>
      <c r="R42" s="55" t="s">
        <v>26</v>
      </c>
      <c r="S42" s="55" t="s">
        <v>26</v>
      </c>
      <c r="T42" s="55" t="s">
        <v>26</v>
      </c>
      <c r="U42" s="55" t="s">
        <v>26</v>
      </c>
      <c r="V42" s="55" t="s">
        <v>26</v>
      </c>
      <c r="W42" s="55" t="s">
        <v>26</v>
      </c>
      <c r="X42" s="55" t="s">
        <v>26</v>
      </c>
      <c r="Y42" s="55" t="s">
        <v>26</v>
      </c>
      <c r="Z42" s="55" t="s">
        <v>26</v>
      </c>
      <c r="AA42" s="55" t="s">
        <v>26</v>
      </c>
      <c r="AB42" s="55" t="s">
        <v>26</v>
      </c>
      <c r="AC42" s="55" t="s">
        <v>26</v>
      </c>
      <c r="AD42" s="55" t="s">
        <v>26</v>
      </c>
      <c r="AE42" s="55" t="s">
        <v>26</v>
      </c>
      <c r="AF42" s="55" t="s">
        <v>26</v>
      </c>
      <c r="AG42" s="55" t="s">
        <v>26</v>
      </c>
      <c r="AH42" s="55" t="s">
        <v>26</v>
      </c>
      <c r="AI42" s="55" t="s">
        <v>26</v>
      </c>
      <c r="AJ42" s="55" t="s">
        <v>26</v>
      </c>
      <c r="AK42" s="55" t="s">
        <v>26</v>
      </c>
    </row>
    <row r="43" spans="1:37" ht="14.5" x14ac:dyDescent="0.35">
      <c r="A43" s="5">
        <v>41</v>
      </c>
      <c r="B43" s="40">
        <v>46149</v>
      </c>
      <c r="C43" s="39" t="s">
        <v>203</v>
      </c>
      <c r="D43" s="39" t="s">
        <v>96</v>
      </c>
      <c r="E43" s="17"/>
      <c r="F43" s="17"/>
      <c r="G43" s="17"/>
      <c r="H43" s="55"/>
      <c r="I43" s="55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 t="s">
        <v>26</v>
      </c>
      <c r="AK43" s="17"/>
    </row>
    <row r="44" spans="1:37" ht="14.5" x14ac:dyDescent="0.35">
      <c r="A44" s="5">
        <v>42</v>
      </c>
      <c r="B44" s="40">
        <v>46150</v>
      </c>
      <c r="C44" s="39" t="s">
        <v>183</v>
      </c>
      <c r="D44" s="39" t="s">
        <v>127</v>
      </c>
      <c r="E44" s="17"/>
      <c r="F44" s="17"/>
      <c r="G44" s="17"/>
      <c r="H44" s="55"/>
      <c r="I44" s="55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 t="s">
        <v>26</v>
      </c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ht="14.5" x14ac:dyDescent="0.35">
      <c r="A45" s="5">
        <v>43</v>
      </c>
      <c r="B45" s="40">
        <v>46158</v>
      </c>
      <c r="C45" s="39" t="s">
        <v>196</v>
      </c>
      <c r="D45" s="39" t="s">
        <v>64</v>
      </c>
      <c r="E45" s="17"/>
      <c r="F45" s="17"/>
      <c r="G45" s="17"/>
      <c r="H45" s="55"/>
      <c r="I45" s="55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 t="s">
        <v>26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ht="14.5" x14ac:dyDescent="0.35">
      <c r="A46" s="5">
        <v>44</v>
      </c>
      <c r="B46" s="42" t="s">
        <v>111</v>
      </c>
      <c r="C46" s="39" t="s">
        <v>193</v>
      </c>
      <c r="D46" s="39" t="s">
        <v>97</v>
      </c>
      <c r="E46" s="55" t="s">
        <v>26</v>
      </c>
      <c r="F46" s="55" t="s">
        <v>26</v>
      </c>
      <c r="G46" s="55" t="s">
        <v>26</v>
      </c>
      <c r="H46" s="55" t="s">
        <v>26</v>
      </c>
      <c r="I46" s="55" t="s">
        <v>26</v>
      </c>
      <c r="J46" s="55" t="s">
        <v>26</v>
      </c>
      <c r="K46" s="55" t="s">
        <v>26</v>
      </c>
      <c r="L46" s="17" t="s">
        <v>26</v>
      </c>
      <c r="M46" s="55" t="s">
        <v>26</v>
      </c>
      <c r="N46" s="55" t="s">
        <v>26</v>
      </c>
      <c r="O46" s="55" t="s">
        <v>26</v>
      </c>
      <c r="P46" s="55" t="s">
        <v>26</v>
      </c>
      <c r="Q46" s="17"/>
      <c r="R46" s="55" t="s">
        <v>26</v>
      </c>
      <c r="S46" s="17"/>
      <c r="T46" s="55" t="s">
        <v>26</v>
      </c>
      <c r="U46" s="17"/>
      <c r="V46" s="55" t="s">
        <v>26</v>
      </c>
      <c r="W46" s="55" t="s">
        <v>26</v>
      </c>
      <c r="X46" s="55" t="s">
        <v>26</v>
      </c>
      <c r="Y46" s="55" t="s">
        <v>26</v>
      </c>
      <c r="Z46" s="55" t="s">
        <v>26</v>
      </c>
      <c r="AA46" s="55" t="s">
        <v>26</v>
      </c>
      <c r="AB46" s="55" t="s">
        <v>26</v>
      </c>
      <c r="AC46" s="55" t="s">
        <v>26</v>
      </c>
      <c r="AD46" s="17"/>
      <c r="AE46" s="17" t="s">
        <v>26</v>
      </c>
      <c r="AF46" s="17"/>
      <c r="AG46" s="17"/>
      <c r="AH46" s="60" t="s">
        <v>26</v>
      </c>
      <c r="AI46" s="17"/>
      <c r="AJ46" s="55" t="s">
        <v>26</v>
      </c>
      <c r="AK46" s="55" t="s">
        <v>26</v>
      </c>
    </row>
    <row r="47" spans="1:37" ht="14.5" x14ac:dyDescent="0.35">
      <c r="A47" s="5">
        <v>45</v>
      </c>
      <c r="B47" s="40">
        <v>46170</v>
      </c>
      <c r="C47" s="39" t="s">
        <v>138</v>
      </c>
      <c r="D47" s="39" t="s">
        <v>96</v>
      </c>
      <c r="E47" s="17"/>
      <c r="F47" s="17"/>
      <c r="G47" s="17"/>
      <c r="H47" s="17"/>
      <c r="I47" s="17"/>
      <c r="J47" s="17"/>
      <c r="K47" s="17"/>
      <c r="L47" s="55" t="s">
        <v>26</v>
      </c>
      <c r="M47" s="17"/>
      <c r="N47" s="17"/>
      <c r="O47" s="17"/>
      <c r="P47" s="17"/>
      <c r="Q47" s="55" t="s">
        <v>26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55" t="s">
        <v>26</v>
      </c>
      <c r="AE47" s="17"/>
      <c r="AF47" s="55" t="s">
        <v>26</v>
      </c>
      <c r="AG47" s="55" t="s">
        <v>26</v>
      </c>
      <c r="AH47" s="17"/>
      <c r="AI47" s="55" t="s">
        <v>26</v>
      </c>
      <c r="AJ47" s="17"/>
      <c r="AK47" s="17"/>
    </row>
    <row r="48" spans="1:37" ht="14.5" x14ac:dyDescent="0.35">
      <c r="A48" s="5">
        <v>46</v>
      </c>
      <c r="B48" s="40">
        <v>46188</v>
      </c>
      <c r="C48" s="39" t="s">
        <v>164</v>
      </c>
      <c r="D48" s="39" t="s">
        <v>98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 t="s">
        <v>26</v>
      </c>
      <c r="T48" s="17"/>
      <c r="U48" s="17"/>
      <c r="V48" s="17"/>
      <c r="W48" s="17"/>
      <c r="X48" s="17"/>
      <c r="Y48" s="17" t="s">
        <v>26</v>
      </c>
      <c r="Z48" s="17"/>
      <c r="AA48" s="17"/>
      <c r="AB48" s="17"/>
      <c r="AC48" s="17"/>
      <c r="AD48" s="52"/>
      <c r="AE48" s="17"/>
      <c r="AF48" s="17"/>
      <c r="AG48" s="17"/>
      <c r="AH48" s="17"/>
      <c r="AI48" s="17"/>
      <c r="AJ48" s="17"/>
      <c r="AK48" s="17"/>
    </row>
    <row r="49" spans="1:37" ht="14.5" x14ac:dyDescent="0.35">
      <c r="A49" s="5">
        <v>47</v>
      </c>
      <c r="B49" s="40">
        <v>46190</v>
      </c>
      <c r="C49" s="39" t="s">
        <v>172</v>
      </c>
      <c r="D49" s="39" t="s">
        <v>97</v>
      </c>
      <c r="E49" s="17"/>
      <c r="F49" s="17"/>
      <c r="G49" s="17"/>
      <c r="H49" s="17" t="s">
        <v>26</v>
      </c>
      <c r="I49" s="17"/>
      <c r="J49" s="17"/>
      <c r="K49" s="17"/>
      <c r="L49" s="17" t="s">
        <v>26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52"/>
      <c r="AE49" s="17"/>
      <c r="AF49" s="17"/>
      <c r="AG49" s="17"/>
      <c r="AH49" s="17"/>
      <c r="AI49" s="17"/>
      <c r="AJ49" s="17"/>
      <c r="AK49" s="17"/>
    </row>
    <row r="50" spans="1:37" ht="14.5" x14ac:dyDescent="0.35">
      <c r="A50" s="5">
        <v>48</v>
      </c>
      <c r="B50" s="40">
        <v>46197</v>
      </c>
      <c r="C50" s="39" t="s">
        <v>200</v>
      </c>
      <c r="D50" s="39" t="s">
        <v>97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55" t="s">
        <v>26</v>
      </c>
      <c r="AC50" s="17"/>
      <c r="AD50" s="52"/>
      <c r="AE50" s="17"/>
      <c r="AF50" s="17"/>
      <c r="AG50" s="17"/>
      <c r="AH50" s="17"/>
      <c r="AI50" s="17"/>
      <c r="AJ50" s="17"/>
      <c r="AK50" s="17"/>
    </row>
    <row r="51" spans="1:37" ht="14.5" x14ac:dyDescent="0.35">
      <c r="A51" s="5">
        <v>49</v>
      </c>
      <c r="B51" s="40">
        <v>46198</v>
      </c>
      <c r="C51" s="39" t="s">
        <v>122</v>
      </c>
      <c r="D51" s="39" t="s">
        <v>96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55" t="s">
        <v>26</v>
      </c>
      <c r="U51" s="17"/>
      <c r="V51" s="17"/>
      <c r="W51" s="17"/>
      <c r="X51" s="17"/>
      <c r="Y51" s="17"/>
      <c r="Z51" s="17"/>
      <c r="AA51" s="17"/>
      <c r="AB51" s="17"/>
      <c r="AC51" s="55" t="s">
        <v>26</v>
      </c>
      <c r="AD51" s="17"/>
      <c r="AE51" s="55" t="s">
        <v>26</v>
      </c>
      <c r="AF51" s="17"/>
      <c r="AG51" s="17"/>
      <c r="AH51" s="60" t="s">
        <v>26</v>
      </c>
      <c r="AI51" s="17"/>
      <c r="AJ51" s="17"/>
      <c r="AK51" s="17"/>
    </row>
    <row r="52" spans="1:37" ht="14.5" x14ac:dyDescent="0.35">
      <c r="A52" s="5">
        <v>50</v>
      </c>
      <c r="B52" s="42" t="s">
        <v>112</v>
      </c>
      <c r="C52" s="39" t="s">
        <v>139</v>
      </c>
      <c r="D52" s="39" t="s">
        <v>127</v>
      </c>
      <c r="E52" s="55" t="s">
        <v>26</v>
      </c>
      <c r="F52" s="55" t="s">
        <v>26</v>
      </c>
      <c r="G52" s="55" t="s">
        <v>26</v>
      </c>
      <c r="H52" s="17" t="s">
        <v>26</v>
      </c>
      <c r="I52" s="55" t="s">
        <v>26</v>
      </c>
      <c r="J52" s="55" t="s">
        <v>26</v>
      </c>
      <c r="K52" s="55" t="s">
        <v>26</v>
      </c>
      <c r="L52" s="55" t="s">
        <v>26</v>
      </c>
      <c r="M52" s="55" t="s">
        <v>26</v>
      </c>
      <c r="N52" s="55" t="s">
        <v>26</v>
      </c>
      <c r="O52" s="55" t="s">
        <v>26</v>
      </c>
      <c r="P52" s="17" t="s">
        <v>26</v>
      </c>
      <c r="Q52" s="55" t="s">
        <v>26</v>
      </c>
      <c r="R52" s="55" t="s">
        <v>26</v>
      </c>
      <c r="S52" s="17"/>
      <c r="T52" s="17"/>
      <c r="U52" s="17"/>
      <c r="V52" s="17"/>
      <c r="W52" s="17"/>
      <c r="X52" s="17"/>
      <c r="Y52" s="55" t="s">
        <v>26</v>
      </c>
      <c r="Z52" s="17"/>
      <c r="AA52" s="17"/>
      <c r="AB52" s="17"/>
      <c r="AC52" s="17"/>
      <c r="AD52" s="17" t="s">
        <v>26</v>
      </c>
      <c r="AE52" s="17"/>
      <c r="AF52" s="17"/>
      <c r="AG52" s="55" t="s">
        <v>26</v>
      </c>
      <c r="AH52" s="17"/>
      <c r="AI52" s="17"/>
      <c r="AJ52" s="55" t="s">
        <v>26</v>
      </c>
      <c r="AK52" s="55" t="s">
        <v>26</v>
      </c>
    </row>
    <row r="53" spans="1:37" ht="14.5" x14ac:dyDescent="0.35">
      <c r="A53" s="5">
        <v>51</v>
      </c>
      <c r="B53" s="40">
        <v>46202</v>
      </c>
      <c r="C53" s="39" t="s">
        <v>173</v>
      </c>
      <c r="D53" s="39" t="s">
        <v>98</v>
      </c>
      <c r="E53" s="17"/>
      <c r="F53" s="17"/>
      <c r="G53" s="17"/>
      <c r="H53" s="17" t="s">
        <v>26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ht="14.5" x14ac:dyDescent="0.35">
      <c r="A54" s="5">
        <v>52</v>
      </c>
      <c r="B54" s="40">
        <v>46203</v>
      </c>
      <c r="C54" s="39" t="s">
        <v>165</v>
      </c>
      <c r="D54" s="39" t="s">
        <v>101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 t="s">
        <v>26</v>
      </c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ht="14.5" x14ac:dyDescent="0.35">
      <c r="A55" s="5">
        <v>53</v>
      </c>
      <c r="B55" s="40">
        <v>46204</v>
      </c>
      <c r="C55" s="39" t="s">
        <v>175</v>
      </c>
      <c r="D55" s="39" t="s">
        <v>97</v>
      </c>
      <c r="E55" s="17"/>
      <c r="F55" s="17"/>
      <c r="G55" s="17"/>
      <c r="H55" s="17"/>
      <c r="I55" s="17" t="s">
        <v>26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ht="14.5" x14ac:dyDescent="0.35">
      <c r="A56" s="5">
        <v>54</v>
      </c>
      <c r="B56" s="40">
        <v>46209</v>
      </c>
      <c r="C56" s="39" t="s">
        <v>166</v>
      </c>
      <c r="D56" s="39" t="s">
        <v>98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 t="s">
        <v>26</v>
      </c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ht="14.5" x14ac:dyDescent="0.35">
      <c r="A57" s="5">
        <v>55</v>
      </c>
      <c r="B57" s="40">
        <v>46212</v>
      </c>
      <c r="C57" s="39" t="s">
        <v>155</v>
      </c>
      <c r="D57" s="39" t="s">
        <v>96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55" t="s">
        <v>26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ht="14.5" x14ac:dyDescent="0.35">
      <c r="A58" s="5">
        <v>56</v>
      </c>
      <c r="B58" s="40">
        <v>46219</v>
      </c>
      <c r="C58" s="39" t="s">
        <v>178</v>
      </c>
      <c r="D58" s="39" t="s">
        <v>96</v>
      </c>
      <c r="E58" s="17"/>
      <c r="F58" s="17"/>
      <c r="G58" s="17"/>
      <c r="H58" s="17"/>
      <c r="I58" s="17"/>
      <c r="J58" s="17"/>
      <c r="K58" s="17"/>
      <c r="L58" s="17"/>
      <c r="M58" s="55" t="s">
        <v>26</v>
      </c>
      <c r="N58" s="17"/>
      <c r="O58" s="17"/>
      <c r="P58" s="55" t="s">
        <v>26</v>
      </c>
      <c r="Q58" s="17"/>
      <c r="R58" s="17"/>
      <c r="S58" s="55" t="s">
        <v>26</v>
      </c>
      <c r="T58" s="17"/>
      <c r="U58" s="17"/>
      <c r="V58" s="17"/>
      <c r="W58" s="17" t="s">
        <v>26</v>
      </c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ht="14.5" x14ac:dyDescent="0.35">
      <c r="A59" s="5">
        <v>57</v>
      </c>
      <c r="B59" s="40">
        <v>46220</v>
      </c>
      <c r="C59" s="39" t="s">
        <v>156</v>
      </c>
      <c r="D59" s="39" t="s">
        <v>127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s">
        <v>26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ht="14.5" x14ac:dyDescent="0.35">
      <c r="A60" s="5">
        <v>58</v>
      </c>
      <c r="B60" s="40">
        <v>46246</v>
      </c>
      <c r="C60" s="39" t="s">
        <v>130</v>
      </c>
      <c r="D60" s="39" t="s">
        <v>97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 t="s">
        <v>26</v>
      </c>
      <c r="AF60" s="17"/>
      <c r="AG60" s="17"/>
      <c r="AH60" s="17"/>
      <c r="AI60" s="17"/>
      <c r="AJ60" s="17"/>
      <c r="AK60" s="17"/>
    </row>
    <row r="61" spans="1:37" ht="14.5" x14ac:dyDescent="0.35">
      <c r="A61" s="7">
        <v>59</v>
      </c>
      <c r="B61" s="42" t="s">
        <v>113</v>
      </c>
      <c r="C61" s="39" t="s">
        <v>46</v>
      </c>
      <c r="D61" s="59" t="s">
        <v>64</v>
      </c>
      <c r="E61" s="17" t="s">
        <v>26</v>
      </c>
      <c r="F61" s="17" t="s">
        <v>26</v>
      </c>
      <c r="G61" s="17" t="s">
        <v>26</v>
      </c>
      <c r="H61" s="17" t="s">
        <v>26</v>
      </c>
      <c r="I61" s="17" t="s">
        <v>26</v>
      </c>
      <c r="J61" s="17" t="s">
        <v>26</v>
      </c>
      <c r="K61" s="17" t="s">
        <v>26</v>
      </c>
      <c r="L61" s="17" t="s">
        <v>26</v>
      </c>
      <c r="M61" s="17" t="s">
        <v>26</v>
      </c>
      <c r="N61" s="17" t="s">
        <v>26</v>
      </c>
      <c r="O61" s="17" t="s">
        <v>26</v>
      </c>
      <c r="P61" s="17" t="s">
        <v>26</v>
      </c>
      <c r="Q61" s="17" t="s">
        <v>26</v>
      </c>
      <c r="R61" s="17" t="s">
        <v>26</v>
      </c>
      <c r="S61" s="17" t="s">
        <v>26</v>
      </c>
      <c r="T61" s="17" t="s">
        <v>26</v>
      </c>
      <c r="U61" s="17" t="s">
        <v>26</v>
      </c>
      <c r="V61" s="17" t="s">
        <v>26</v>
      </c>
      <c r="W61" s="17" t="s">
        <v>26</v>
      </c>
      <c r="X61" s="17" t="s">
        <v>26</v>
      </c>
      <c r="Y61" s="17" t="s">
        <v>26</v>
      </c>
      <c r="Z61" s="17" t="s">
        <v>26</v>
      </c>
      <c r="AA61" s="17" t="s">
        <v>26</v>
      </c>
      <c r="AB61" s="17" t="s">
        <v>26</v>
      </c>
      <c r="AC61" s="17" t="s">
        <v>26</v>
      </c>
      <c r="AD61" s="17" t="s">
        <v>211</v>
      </c>
      <c r="AE61" s="17" t="s">
        <v>26</v>
      </c>
      <c r="AF61" s="17" t="s">
        <v>26</v>
      </c>
      <c r="AG61" s="17" t="s">
        <v>26</v>
      </c>
      <c r="AH61" s="17" t="s">
        <v>26</v>
      </c>
      <c r="AI61" s="17" t="s">
        <v>26</v>
      </c>
      <c r="AJ61" s="17" t="s">
        <v>26</v>
      </c>
      <c r="AK61" s="17" t="s">
        <v>26</v>
      </c>
    </row>
    <row r="62" spans="1:37" ht="14.5" x14ac:dyDescent="0.35">
      <c r="A62" s="5">
        <v>60</v>
      </c>
      <c r="B62" s="40">
        <v>46259</v>
      </c>
      <c r="C62" s="39" t="s">
        <v>131</v>
      </c>
      <c r="D62" s="39" t="s">
        <v>101</v>
      </c>
      <c r="E62" s="17"/>
      <c r="F62" s="17"/>
      <c r="G62" s="17"/>
      <c r="H62" s="17"/>
      <c r="I62" s="55" t="s">
        <v>26</v>
      </c>
      <c r="J62" s="17"/>
      <c r="K62" s="17"/>
      <c r="L62" s="55"/>
      <c r="M62" s="17"/>
      <c r="N62" s="17" t="s">
        <v>26</v>
      </c>
      <c r="O62" s="17"/>
      <c r="P62" s="17" t="s">
        <v>26</v>
      </c>
      <c r="Q62" s="17"/>
      <c r="R62" s="17"/>
      <c r="S62" s="17"/>
      <c r="T62" s="17"/>
      <c r="U62" s="17"/>
      <c r="V62" s="17"/>
      <c r="W62" s="17" t="s">
        <v>26</v>
      </c>
      <c r="X62" s="17"/>
      <c r="Y62" s="17"/>
      <c r="Z62" s="17" t="s">
        <v>26</v>
      </c>
      <c r="AA62" s="17"/>
      <c r="AB62" s="17"/>
      <c r="AC62" s="17" t="s">
        <v>26</v>
      </c>
      <c r="AD62" s="17"/>
      <c r="AE62" s="55" t="s">
        <v>26</v>
      </c>
      <c r="AF62" s="17"/>
      <c r="AG62" s="17"/>
      <c r="AH62" s="60" t="s">
        <v>26</v>
      </c>
      <c r="AI62" s="17"/>
      <c r="AJ62" s="17"/>
      <c r="AK62" s="17"/>
    </row>
    <row r="63" spans="1:37" ht="14.5" x14ac:dyDescent="0.35">
      <c r="A63" s="5">
        <v>61</v>
      </c>
      <c r="B63" s="42" t="s">
        <v>114</v>
      </c>
      <c r="C63" s="39" t="s">
        <v>132</v>
      </c>
      <c r="D63" s="39" t="s">
        <v>97</v>
      </c>
      <c r="E63" s="17"/>
      <c r="F63" s="17"/>
      <c r="G63" s="17"/>
      <c r="H63" s="17"/>
      <c r="I63" s="17"/>
      <c r="J63" s="17"/>
      <c r="K63" s="17"/>
      <c r="L63" s="17" t="s">
        <v>26</v>
      </c>
      <c r="M63" s="17"/>
      <c r="N63" s="17"/>
      <c r="O63" s="55" t="s">
        <v>26</v>
      </c>
      <c r="P63" s="17"/>
      <c r="Q63" s="17" t="s">
        <v>26</v>
      </c>
      <c r="R63" s="17"/>
      <c r="S63" s="17"/>
      <c r="T63" s="17"/>
      <c r="U63" s="17"/>
      <c r="V63" s="17"/>
      <c r="W63" s="17"/>
      <c r="X63" s="17"/>
      <c r="Y63" s="17" t="s">
        <v>26</v>
      </c>
      <c r="Z63" s="17"/>
      <c r="AA63" s="17"/>
      <c r="AB63" s="17"/>
      <c r="AC63" s="17"/>
      <c r="AD63" s="17" t="s">
        <v>26</v>
      </c>
      <c r="AE63" s="55" t="s">
        <v>26</v>
      </c>
      <c r="AF63" s="55" t="s">
        <v>26</v>
      </c>
      <c r="AG63" s="17" t="s">
        <v>26</v>
      </c>
      <c r="AH63" s="17"/>
      <c r="AI63" s="17"/>
      <c r="AJ63" s="17" t="s">
        <v>26</v>
      </c>
      <c r="AK63" s="17" t="s">
        <v>26</v>
      </c>
    </row>
    <row r="64" spans="1:37" ht="14.5" x14ac:dyDescent="0.35">
      <c r="A64" s="5">
        <v>62</v>
      </c>
      <c r="B64" s="40">
        <v>46261</v>
      </c>
      <c r="C64" s="39" t="s">
        <v>133</v>
      </c>
      <c r="D64" s="39" t="s">
        <v>96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 t="s">
        <v>26</v>
      </c>
      <c r="AF64" s="17"/>
      <c r="AG64" s="17"/>
      <c r="AH64" s="17"/>
      <c r="AI64" s="17"/>
      <c r="AJ64" s="17"/>
      <c r="AK64" s="17"/>
    </row>
    <row r="65" spans="1:37" ht="14.5" x14ac:dyDescent="0.35">
      <c r="A65" s="5">
        <v>63</v>
      </c>
      <c r="B65" s="40">
        <v>46262</v>
      </c>
      <c r="C65" s="39" t="s">
        <v>177</v>
      </c>
      <c r="D65" s="39" t="s">
        <v>127</v>
      </c>
      <c r="E65" s="17"/>
      <c r="F65" s="17"/>
      <c r="G65" s="17"/>
      <c r="H65" s="17"/>
      <c r="I65" s="17" t="s">
        <v>26</v>
      </c>
      <c r="J65" s="17"/>
      <c r="K65" s="17"/>
      <c r="L65" s="17" t="s">
        <v>26</v>
      </c>
      <c r="M65" s="17" t="s">
        <v>26</v>
      </c>
      <c r="N65" s="17" t="s">
        <v>26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 t="s">
        <v>26</v>
      </c>
      <c r="AF65" s="17"/>
      <c r="AG65" s="17"/>
      <c r="AH65" s="17"/>
      <c r="AI65" s="17"/>
      <c r="AJ65" s="17" t="s">
        <v>26</v>
      </c>
      <c r="AK65" s="17"/>
    </row>
    <row r="66" spans="1:37" ht="14.5" x14ac:dyDescent="0.35">
      <c r="A66" s="5">
        <v>64</v>
      </c>
      <c r="B66" s="42" t="s">
        <v>115</v>
      </c>
      <c r="C66" s="39" t="s">
        <v>123</v>
      </c>
      <c r="D66" s="39" t="s">
        <v>127</v>
      </c>
      <c r="E66" s="17" t="s">
        <v>26</v>
      </c>
      <c r="F66" s="17" t="s">
        <v>26</v>
      </c>
      <c r="G66" s="17" t="s">
        <v>26</v>
      </c>
      <c r="H66" s="55" t="s">
        <v>26</v>
      </c>
      <c r="I66" s="17" t="s">
        <v>26</v>
      </c>
      <c r="J66" s="17" t="s">
        <v>26</v>
      </c>
      <c r="K66" s="17" t="s">
        <v>26</v>
      </c>
      <c r="L66" s="55" t="s">
        <v>26</v>
      </c>
      <c r="M66" s="55" t="s">
        <v>26</v>
      </c>
      <c r="N66" s="55" t="s">
        <v>26</v>
      </c>
      <c r="O66" s="17" t="s">
        <v>26</v>
      </c>
      <c r="P66" s="17" t="s">
        <v>26</v>
      </c>
      <c r="Q66" s="17" t="s">
        <v>26</v>
      </c>
      <c r="R66" s="17" t="s">
        <v>26</v>
      </c>
      <c r="S66" s="55" t="s">
        <v>26</v>
      </c>
      <c r="T66" s="17"/>
      <c r="U66" s="17"/>
      <c r="V66" s="17" t="s">
        <v>26</v>
      </c>
      <c r="W66" s="17"/>
      <c r="X66" s="17" t="s">
        <v>26</v>
      </c>
      <c r="Y66" s="17" t="s">
        <v>26</v>
      </c>
      <c r="Z66" s="55" t="s">
        <v>26</v>
      </c>
      <c r="AA66" s="17" t="s">
        <v>26</v>
      </c>
      <c r="AB66" s="17"/>
      <c r="AC66" s="17" t="s">
        <v>26</v>
      </c>
      <c r="AD66" s="17"/>
      <c r="AE66" s="17" t="s">
        <v>26</v>
      </c>
      <c r="AF66" s="17"/>
      <c r="AG66" s="17" t="s">
        <v>26</v>
      </c>
      <c r="AH66" s="39" t="s">
        <v>26</v>
      </c>
      <c r="AI66" s="17"/>
      <c r="AJ66" s="55" t="s">
        <v>26</v>
      </c>
      <c r="AK66" s="17"/>
    </row>
    <row r="67" spans="1:37" ht="14.5" x14ac:dyDescent="0.35">
      <c r="A67" s="5">
        <v>65</v>
      </c>
      <c r="B67" s="40">
        <v>46279</v>
      </c>
      <c r="C67" s="39" t="s">
        <v>145</v>
      </c>
      <c r="D67" s="39" t="s">
        <v>98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 t="s">
        <v>26</v>
      </c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55" t="s">
        <v>26</v>
      </c>
      <c r="AE67" s="17"/>
      <c r="AF67" s="17" t="s">
        <v>26</v>
      </c>
      <c r="AG67" s="17" t="s">
        <v>26</v>
      </c>
      <c r="AH67" s="17"/>
      <c r="AI67" s="55" t="s">
        <v>26</v>
      </c>
      <c r="AJ67" s="17"/>
      <c r="AK67" s="55" t="s">
        <v>26</v>
      </c>
    </row>
    <row r="68" spans="1:37" ht="14.5" x14ac:dyDescent="0.35">
      <c r="A68" s="5">
        <v>66</v>
      </c>
      <c r="B68" s="40">
        <v>46280</v>
      </c>
      <c r="C68" s="39" t="s">
        <v>150</v>
      </c>
      <c r="D68" s="39" t="s">
        <v>101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 t="s">
        <v>26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52"/>
      <c r="AE68" s="17"/>
      <c r="AF68" s="17"/>
      <c r="AG68" s="17"/>
      <c r="AH68" s="17"/>
      <c r="AI68" s="55" t="s">
        <v>26</v>
      </c>
      <c r="AJ68" s="17"/>
      <c r="AK68" s="17"/>
    </row>
    <row r="69" spans="1:37" ht="14.5" x14ac:dyDescent="0.35">
      <c r="A69" s="5">
        <v>67</v>
      </c>
      <c r="B69" s="40">
        <v>46286</v>
      </c>
      <c r="C69" s="39" t="s">
        <v>134</v>
      </c>
      <c r="D69" s="39" t="s">
        <v>98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 t="s">
        <v>26</v>
      </c>
      <c r="AF69" s="17"/>
      <c r="AG69" s="17"/>
      <c r="AH69" s="17"/>
      <c r="AI69" s="17"/>
      <c r="AJ69" s="17"/>
      <c r="AK69" s="17"/>
    </row>
    <row r="70" spans="1:37" ht="14.5" x14ac:dyDescent="0.35">
      <c r="A70" s="5">
        <v>68</v>
      </c>
      <c r="B70" s="42" t="s">
        <v>116</v>
      </c>
      <c r="C70" s="39" t="s">
        <v>124</v>
      </c>
      <c r="D70" s="39" t="s">
        <v>127</v>
      </c>
      <c r="E70" s="55" t="s">
        <v>26</v>
      </c>
      <c r="F70" s="55" t="s">
        <v>26</v>
      </c>
      <c r="G70" s="55" t="s">
        <v>26</v>
      </c>
      <c r="H70" s="55" t="s">
        <v>26</v>
      </c>
      <c r="I70" s="55" t="s">
        <v>26</v>
      </c>
      <c r="J70" s="55" t="s">
        <v>26</v>
      </c>
      <c r="K70" s="55" t="s">
        <v>26</v>
      </c>
      <c r="L70" s="55" t="s">
        <v>26</v>
      </c>
      <c r="M70" s="55" t="s">
        <v>26</v>
      </c>
      <c r="N70" s="55" t="s">
        <v>26</v>
      </c>
      <c r="O70" s="55" t="s">
        <v>26</v>
      </c>
      <c r="P70" s="55" t="s">
        <v>26</v>
      </c>
      <c r="Q70" s="55" t="s">
        <v>26</v>
      </c>
      <c r="R70" s="55" t="s">
        <v>26</v>
      </c>
      <c r="S70" s="55" t="s">
        <v>26</v>
      </c>
      <c r="T70" s="55" t="s">
        <v>26</v>
      </c>
      <c r="U70" s="55" t="s">
        <v>26</v>
      </c>
      <c r="V70" s="55" t="s">
        <v>26</v>
      </c>
      <c r="W70" s="55" t="s">
        <v>26</v>
      </c>
      <c r="X70" s="55" t="s">
        <v>26</v>
      </c>
      <c r="Y70" s="55" t="s">
        <v>26</v>
      </c>
      <c r="Z70" s="55" t="s">
        <v>26</v>
      </c>
      <c r="AA70" s="55" t="s">
        <v>26</v>
      </c>
      <c r="AB70" s="55" t="s">
        <v>26</v>
      </c>
      <c r="AC70" s="55" t="s">
        <v>26</v>
      </c>
      <c r="AD70" s="55" t="s">
        <v>210</v>
      </c>
      <c r="AE70" s="55" t="s">
        <v>26</v>
      </c>
      <c r="AF70" s="55" t="s">
        <v>26</v>
      </c>
      <c r="AG70" s="55" t="s">
        <v>26</v>
      </c>
      <c r="AH70" s="55" t="s">
        <v>26</v>
      </c>
      <c r="AI70" s="55" t="s">
        <v>26</v>
      </c>
      <c r="AJ70" s="55" t="s">
        <v>26</v>
      </c>
      <c r="AK70" s="55" t="s">
        <v>26</v>
      </c>
    </row>
    <row r="71" spans="1:37" ht="14.5" x14ac:dyDescent="0.35">
      <c r="A71" s="7">
        <v>69</v>
      </c>
      <c r="B71" s="40">
        <v>46313</v>
      </c>
      <c r="C71" s="39" t="s">
        <v>153</v>
      </c>
      <c r="D71" s="59" t="s">
        <v>63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 t="s">
        <v>26</v>
      </c>
      <c r="R71" s="17"/>
      <c r="S71" s="17"/>
      <c r="T71" s="17" t="s">
        <v>26</v>
      </c>
      <c r="U71" s="17"/>
      <c r="V71" s="17" t="s">
        <v>26</v>
      </c>
      <c r="W71" s="17"/>
      <c r="X71" s="17"/>
      <c r="Y71" s="17"/>
      <c r="Z71" s="17"/>
      <c r="AA71" s="17"/>
      <c r="AB71" s="17"/>
      <c r="AC71" s="17"/>
      <c r="AD71" s="52"/>
      <c r="AE71" s="52"/>
      <c r="AF71" s="17"/>
      <c r="AG71" s="17"/>
      <c r="AH71" s="17"/>
      <c r="AI71" s="17"/>
      <c r="AJ71" s="17"/>
      <c r="AK71" s="17"/>
    </row>
    <row r="72" spans="1:37" ht="14.5" x14ac:dyDescent="0.35">
      <c r="A72" s="5">
        <v>70</v>
      </c>
      <c r="B72" s="40">
        <v>46314</v>
      </c>
      <c r="C72" s="39" t="s">
        <v>151</v>
      </c>
      <c r="D72" s="39" t="s">
        <v>98</v>
      </c>
      <c r="E72" s="17"/>
      <c r="F72" s="17"/>
      <c r="G72" s="17"/>
      <c r="H72" s="17"/>
      <c r="I72" s="17"/>
      <c r="J72" s="17"/>
      <c r="K72" s="17"/>
      <c r="L72" s="55" t="s">
        <v>26</v>
      </c>
      <c r="M72" s="17"/>
      <c r="N72" s="17"/>
      <c r="O72" s="17"/>
      <c r="P72" s="17"/>
      <c r="Q72" s="55" t="s">
        <v>26</v>
      </c>
      <c r="R72" s="17"/>
      <c r="S72" s="55" t="s">
        <v>26</v>
      </c>
      <c r="T72" s="55" t="s">
        <v>26</v>
      </c>
      <c r="U72" s="17"/>
      <c r="V72" s="55" t="s">
        <v>26</v>
      </c>
      <c r="W72" s="55" t="s">
        <v>26</v>
      </c>
      <c r="X72" s="55" t="s">
        <v>26</v>
      </c>
      <c r="Y72" s="17"/>
      <c r="Z72" s="17"/>
      <c r="AA72" s="17"/>
      <c r="AB72" s="17"/>
      <c r="AC72" s="17"/>
      <c r="AD72" s="52"/>
      <c r="AE72" s="52"/>
      <c r="AF72" s="55" t="s">
        <v>26</v>
      </c>
      <c r="AG72" s="17" t="s">
        <v>26</v>
      </c>
      <c r="AH72" s="17"/>
      <c r="AI72" s="17"/>
      <c r="AJ72" s="17"/>
      <c r="AK72" s="17"/>
    </row>
    <row r="73" spans="1:37" ht="14.5" x14ac:dyDescent="0.35">
      <c r="A73" s="5">
        <v>71</v>
      </c>
      <c r="B73" s="42" t="s">
        <v>117</v>
      </c>
      <c r="C73" s="39" t="s">
        <v>169</v>
      </c>
      <c r="D73" s="39" t="s">
        <v>101</v>
      </c>
      <c r="E73" s="55" t="s">
        <v>26</v>
      </c>
      <c r="F73" s="17"/>
      <c r="G73" s="55" t="s">
        <v>26</v>
      </c>
      <c r="H73" s="55" t="s">
        <v>26</v>
      </c>
      <c r="I73" s="17"/>
      <c r="J73" s="17"/>
      <c r="K73" s="17"/>
      <c r="L73" s="55" t="s">
        <v>26</v>
      </c>
      <c r="M73" s="17"/>
      <c r="N73" s="55" t="s">
        <v>26</v>
      </c>
      <c r="O73" s="55" t="s">
        <v>26</v>
      </c>
      <c r="P73" s="55" t="s">
        <v>26</v>
      </c>
      <c r="Q73" s="55" t="s">
        <v>26</v>
      </c>
      <c r="R73" s="17"/>
      <c r="S73" s="55" t="s">
        <v>26</v>
      </c>
      <c r="T73" s="55" t="s">
        <v>26</v>
      </c>
      <c r="U73" s="55" t="s">
        <v>26</v>
      </c>
      <c r="V73" s="55" t="s">
        <v>26</v>
      </c>
      <c r="W73" s="17"/>
      <c r="X73" s="55" t="s">
        <v>26</v>
      </c>
      <c r="Y73" s="55" t="s">
        <v>26</v>
      </c>
      <c r="Z73" s="55" t="s">
        <v>26</v>
      </c>
      <c r="AA73" s="55" t="s">
        <v>26</v>
      </c>
      <c r="AB73" s="17"/>
      <c r="AC73" s="55" t="s">
        <v>26</v>
      </c>
      <c r="AD73" s="55" t="s">
        <v>26</v>
      </c>
      <c r="AE73" s="55" t="s">
        <v>26</v>
      </c>
      <c r="AF73" s="17"/>
      <c r="AG73" s="55" t="s">
        <v>26</v>
      </c>
      <c r="AH73" s="60" t="s">
        <v>26</v>
      </c>
      <c r="AI73" s="55" t="s">
        <v>26</v>
      </c>
      <c r="AJ73" s="55" t="s">
        <v>26</v>
      </c>
      <c r="AK73" s="55" t="s">
        <v>26</v>
      </c>
    </row>
    <row r="74" spans="1:37" ht="14.5" x14ac:dyDescent="0.35">
      <c r="A74" s="5">
        <v>72</v>
      </c>
      <c r="B74" s="40">
        <v>46316</v>
      </c>
      <c r="C74" s="39" t="s">
        <v>170</v>
      </c>
      <c r="D74" s="39" t="s">
        <v>97</v>
      </c>
      <c r="E74" s="17"/>
      <c r="F74" s="55" t="s">
        <v>26</v>
      </c>
      <c r="G74" s="17" t="s">
        <v>26</v>
      </c>
      <c r="H74" s="17"/>
      <c r="I74" s="55" t="s">
        <v>26</v>
      </c>
      <c r="J74" s="55" t="s">
        <v>26</v>
      </c>
      <c r="K74" s="55" t="s">
        <v>26</v>
      </c>
      <c r="L74" s="17"/>
      <c r="M74" s="55" t="s">
        <v>26</v>
      </c>
      <c r="N74" s="17"/>
      <c r="O74" s="17"/>
      <c r="P74" s="17"/>
      <c r="Q74" s="17"/>
      <c r="R74" s="55" t="s">
        <v>26</v>
      </c>
      <c r="S74" s="17"/>
      <c r="T74" s="55" t="s">
        <v>26</v>
      </c>
      <c r="U74" s="55" t="s">
        <v>26</v>
      </c>
      <c r="V74" s="17" t="s">
        <v>26</v>
      </c>
      <c r="W74" s="17"/>
      <c r="X74" s="17"/>
      <c r="Y74" s="17"/>
      <c r="Z74" s="17"/>
      <c r="AA74" s="17"/>
      <c r="AB74" s="55" t="s">
        <v>26</v>
      </c>
      <c r="AC74" s="17"/>
      <c r="AD74" s="17" t="s">
        <v>26</v>
      </c>
      <c r="AE74" s="55" t="s">
        <v>26</v>
      </c>
      <c r="AF74" s="17"/>
      <c r="AG74" s="17"/>
      <c r="AH74" s="17"/>
      <c r="AI74" s="17"/>
      <c r="AJ74" s="17"/>
      <c r="AK74" s="17"/>
    </row>
    <row r="75" spans="1:37" ht="14.5" x14ac:dyDescent="0.35">
      <c r="A75" s="5">
        <v>73</v>
      </c>
      <c r="B75" s="40">
        <v>46321</v>
      </c>
      <c r="C75" s="57" t="s">
        <v>179</v>
      </c>
      <c r="D75" s="39" t="s">
        <v>98</v>
      </c>
      <c r="E75" s="17"/>
      <c r="F75" s="17"/>
      <c r="G75" s="17"/>
      <c r="H75" s="17"/>
      <c r="I75" s="55" t="s">
        <v>26</v>
      </c>
      <c r="J75" s="17"/>
      <c r="K75" s="17"/>
      <c r="L75" s="17"/>
      <c r="M75" s="17"/>
      <c r="N75" s="17"/>
      <c r="O75" s="17"/>
      <c r="P75" s="55" t="s">
        <v>26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52"/>
      <c r="AE75" s="52"/>
      <c r="AF75" s="17"/>
      <c r="AG75" s="17"/>
      <c r="AH75" s="17"/>
      <c r="AI75" s="17"/>
      <c r="AJ75" s="17"/>
      <c r="AK75" s="17"/>
    </row>
    <row r="76" spans="1:37" ht="14.5" x14ac:dyDescent="0.35">
      <c r="A76" s="7">
        <v>74</v>
      </c>
      <c r="B76" s="40">
        <v>46327</v>
      </c>
      <c r="C76" s="39" t="s">
        <v>146</v>
      </c>
      <c r="D76" s="39" t="s">
        <v>63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52"/>
      <c r="AE76" s="52"/>
      <c r="AF76" s="55" t="s">
        <v>26</v>
      </c>
      <c r="AG76" s="17"/>
      <c r="AH76" s="17"/>
      <c r="AI76" s="17"/>
      <c r="AJ76" s="17"/>
      <c r="AK76" s="17"/>
    </row>
    <row r="77" spans="1:37" ht="20" customHeight="1" x14ac:dyDescent="0.35">
      <c r="A77" s="7">
        <v>75</v>
      </c>
      <c r="B77" s="42" t="s">
        <v>118</v>
      </c>
      <c r="C77" s="39" t="s">
        <v>184</v>
      </c>
      <c r="D77" s="59" t="s">
        <v>63</v>
      </c>
      <c r="E77" s="17" t="s">
        <v>26</v>
      </c>
      <c r="F77" s="17" t="s">
        <v>26</v>
      </c>
      <c r="G77" s="17" t="s">
        <v>26</v>
      </c>
      <c r="H77" s="17" t="s">
        <v>26</v>
      </c>
      <c r="I77" s="17" t="s">
        <v>26</v>
      </c>
      <c r="J77" s="17" t="s">
        <v>26</v>
      </c>
      <c r="K77" s="17" t="s">
        <v>26</v>
      </c>
      <c r="L77" s="17" t="s">
        <v>26</v>
      </c>
      <c r="M77" s="17" t="s">
        <v>26</v>
      </c>
      <c r="N77" s="17" t="s">
        <v>26</v>
      </c>
      <c r="O77" s="17"/>
      <c r="P77" s="17" t="s">
        <v>26</v>
      </c>
      <c r="Q77" s="17" t="s">
        <v>26</v>
      </c>
      <c r="R77" s="17" t="s">
        <v>26</v>
      </c>
      <c r="S77" s="17"/>
      <c r="T77" s="17" t="s">
        <v>26</v>
      </c>
      <c r="U77" s="17" t="s">
        <v>26</v>
      </c>
      <c r="V77" s="17" t="s">
        <v>26</v>
      </c>
      <c r="W77" s="17" t="s">
        <v>26</v>
      </c>
      <c r="X77" s="17" t="s">
        <v>26</v>
      </c>
      <c r="Y77" s="17" t="s">
        <v>26</v>
      </c>
      <c r="Z77" s="17" t="s">
        <v>26</v>
      </c>
      <c r="AA77" s="17" t="s">
        <v>26</v>
      </c>
      <c r="AB77" s="17" t="s">
        <v>26</v>
      </c>
      <c r="AC77" s="17" t="s">
        <v>26</v>
      </c>
      <c r="AD77" s="17"/>
      <c r="AE77" s="58"/>
      <c r="AF77" s="17" t="s">
        <v>26</v>
      </c>
      <c r="AG77" s="17" t="s">
        <v>26</v>
      </c>
      <c r="AH77" s="17" t="s">
        <v>26</v>
      </c>
      <c r="AI77" s="17" t="s">
        <v>26</v>
      </c>
      <c r="AJ77" s="17" t="s">
        <v>26</v>
      </c>
      <c r="AK77" s="17" t="s">
        <v>26</v>
      </c>
    </row>
    <row r="78" spans="1:37" ht="20" customHeight="1" x14ac:dyDescent="0.35">
      <c r="A78" s="5">
        <v>76</v>
      </c>
      <c r="B78" s="40">
        <v>46335</v>
      </c>
      <c r="C78" s="39" t="s">
        <v>205</v>
      </c>
      <c r="D78" s="39" t="s">
        <v>98</v>
      </c>
      <c r="E78" s="17"/>
      <c r="F78" s="17" t="s">
        <v>26</v>
      </c>
      <c r="G78" s="17"/>
      <c r="H78" s="17"/>
      <c r="I78" s="17"/>
      <c r="J78" s="17"/>
      <c r="K78" s="17"/>
      <c r="L78" s="17" t="s">
        <v>26</v>
      </c>
      <c r="M78" s="17"/>
      <c r="N78" s="17"/>
      <c r="O78" s="17"/>
      <c r="P78" s="17"/>
      <c r="Q78" s="17"/>
      <c r="R78" s="17" t="s">
        <v>26</v>
      </c>
      <c r="S78" s="17"/>
      <c r="T78" s="17"/>
      <c r="U78" s="17"/>
      <c r="V78" s="17"/>
      <c r="W78" s="17"/>
      <c r="X78" s="17"/>
      <c r="Y78" s="17"/>
      <c r="Z78" s="17"/>
      <c r="AA78" s="55" t="s">
        <v>26</v>
      </c>
      <c r="AB78" s="17"/>
      <c r="AC78" s="17"/>
      <c r="AD78" s="17"/>
      <c r="AE78" s="58"/>
      <c r="AF78" s="17"/>
      <c r="AG78" s="17"/>
      <c r="AH78" s="17"/>
      <c r="AI78" s="17"/>
      <c r="AJ78" s="17" t="s">
        <v>26</v>
      </c>
      <c r="AK78" s="17" t="s">
        <v>26</v>
      </c>
    </row>
    <row r="79" spans="1:37" ht="14.5" x14ac:dyDescent="0.35">
      <c r="A79" s="5">
        <v>77</v>
      </c>
      <c r="B79" s="40">
        <v>46336</v>
      </c>
      <c r="C79" s="39" t="s">
        <v>171</v>
      </c>
      <c r="D79" s="39" t="s">
        <v>101</v>
      </c>
      <c r="E79" s="17"/>
      <c r="F79" s="17"/>
      <c r="G79" s="17" t="s">
        <v>26</v>
      </c>
      <c r="H79" s="17"/>
      <c r="I79" s="17"/>
      <c r="J79" s="17"/>
      <c r="K79" s="17" t="s">
        <v>26</v>
      </c>
      <c r="L79" s="17"/>
      <c r="M79" s="17" t="s">
        <v>26</v>
      </c>
      <c r="N79" s="17" t="s">
        <v>26</v>
      </c>
      <c r="O79" s="17"/>
      <c r="P79" s="17"/>
      <c r="Q79" s="17"/>
      <c r="R79" s="17" t="s">
        <v>26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55" t="s">
        <v>26</v>
      </c>
      <c r="AE79" s="17"/>
      <c r="AF79" s="17"/>
      <c r="AG79" s="17"/>
      <c r="AH79" s="17"/>
      <c r="AI79" s="17"/>
      <c r="AJ79" s="17"/>
      <c r="AK79" s="17"/>
    </row>
    <row r="80" spans="1:37" ht="14.5" x14ac:dyDescent="0.35">
      <c r="A80" s="5">
        <v>78</v>
      </c>
      <c r="B80" s="40">
        <v>46337</v>
      </c>
      <c r="C80" s="39" t="s">
        <v>197</v>
      </c>
      <c r="D80" s="39" t="s">
        <v>97</v>
      </c>
      <c r="E80" s="17"/>
      <c r="F80" s="17"/>
      <c r="G80" s="17"/>
      <c r="H80" s="17"/>
      <c r="I80" s="17"/>
      <c r="J80" s="17"/>
      <c r="K80" s="17"/>
      <c r="L80" s="17" t="s">
        <v>26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55" t="s">
        <v>26</v>
      </c>
      <c r="AB80" s="17"/>
      <c r="AC80" s="17"/>
      <c r="AD80" s="52"/>
      <c r="AE80" s="17"/>
      <c r="AF80" s="17"/>
      <c r="AG80" s="17"/>
      <c r="AH80" s="17"/>
      <c r="AI80" s="17"/>
      <c r="AJ80" s="17" t="s">
        <v>26</v>
      </c>
      <c r="AK80" s="17"/>
    </row>
    <row r="81" spans="1:37" ht="14.5" x14ac:dyDescent="0.35">
      <c r="A81" s="5">
        <v>79</v>
      </c>
      <c r="B81" s="40">
        <v>46338</v>
      </c>
      <c r="C81" s="39" t="s">
        <v>190</v>
      </c>
      <c r="D81" s="39" t="s">
        <v>191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55" t="s">
        <v>26</v>
      </c>
      <c r="X81" s="17"/>
      <c r="Y81" s="17"/>
      <c r="Z81" s="17"/>
      <c r="AA81" s="17"/>
      <c r="AB81" s="17"/>
      <c r="AC81" s="17"/>
      <c r="AD81" s="52"/>
      <c r="AE81" s="17"/>
      <c r="AF81" s="17"/>
      <c r="AG81" s="17"/>
      <c r="AH81" s="17"/>
      <c r="AI81" s="17"/>
      <c r="AJ81" s="17"/>
      <c r="AK81" s="17"/>
    </row>
    <row r="82" spans="1:37" ht="14.5" x14ac:dyDescent="0.35">
      <c r="A82" s="5">
        <v>80</v>
      </c>
      <c r="B82" s="40">
        <v>46339</v>
      </c>
      <c r="C82" s="39" t="s">
        <v>157</v>
      </c>
      <c r="D82" s="39" t="s">
        <v>127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55" t="s">
        <v>26</v>
      </c>
      <c r="Y82" s="17"/>
      <c r="Z82" s="17"/>
      <c r="AA82" s="17"/>
      <c r="AB82" s="17"/>
      <c r="AC82" s="17"/>
      <c r="AD82" s="52"/>
      <c r="AE82" s="17"/>
      <c r="AF82" s="17"/>
      <c r="AG82" s="17"/>
      <c r="AH82" s="17"/>
      <c r="AI82" s="17"/>
      <c r="AJ82" s="17"/>
      <c r="AK82" s="17"/>
    </row>
    <row r="83" spans="1:37" ht="14.5" x14ac:dyDescent="0.35">
      <c r="A83" s="5">
        <v>81</v>
      </c>
      <c r="B83" s="40">
        <v>46341</v>
      </c>
      <c r="C83" s="39" t="s">
        <v>154</v>
      </c>
      <c r="D83" s="39" t="s">
        <v>63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55" t="s">
        <v>26</v>
      </c>
      <c r="R83" s="55" t="s">
        <v>26</v>
      </c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52"/>
      <c r="AE83" s="17"/>
      <c r="AF83" s="17"/>
      <c r="AG83" s="17"/>
      <c r="AH83" s="17"/>
      <c r="AI83" s="17"/>
      <c r="AJ83" s="17"/>
      <c r="AK83" s="17"/>
    </row>
    <row r="84" spans="1:37" ht="14.5" x14ac:dyDescent="0.35">
      <c r="A84" s="5">
        <v>82</v>
      </c>
      <c r="B84" s="40">
        <v>46342</v>
      </c>
      <c r="C84" s="39" t="s">
        <v>154</v>
      </c>
      <c r="D84" s="39" t="s">
        <v>98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 t="s">
        <v>26</v>
      </c>
      <c r="R84" s="17" t="s">
        <v>26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52"/>
      <c r="AE84" s="17"/>
      <c r="AF84" s="17"/>
      <c r="AG84" s="17"/>
      <c r="AH84" s="17"/>
      <c r="AI84" s="17"/>
      <c r="AJ84" s="17"/>
      <c r="AK84" s="17"/>
    </row>
    <row r="85" spans="1:37" ht="14.5" x14ac:dyDescent="0.35">
      <c r="A85" s="5">
        <v>83</v>
      </c>
      <c r="B85" s="40">
        <v>46349</v>
      </c>
      <c r="C85" s="39" t="s">
        <v>158</v>
      </c>
      <c r="D85" s="39" t="s">
        <v>98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s">
        <v>26</v>
      </c>
      <c r="Y85" s="17"/>
      <c r="Z85" s="17"/>
      <c r="AA85" s="17"/>
      <c r="AB85" s="17"/>
      <c r="AC85" s="17"/>
      <c r="AD85" s="52"/>
      <c r="AE85" s="17"/>
      <c r="AF85" s="17"/>
      <c r="AG85" s="17"/>
      <c r="AH85" s="17"/>
      <c r="AI85" s="17"/>
      <c r="AJ85" s="17"/>
      <c r="AK85" s="17"/>
    </row>
    <row r="86" spans="1:37" ht="14.5" x14ac:dyDescent="0.35">
      <c r="A86" s="5">
        <v>84</v>
      </c>
      <c r="B86" s="42" t="s">
        <v>119</v>
      </c>
      <c r="C86" s="39" t="s">
        <v>125</v>
      </c>
      <c r="D86" s="39" t="s">
        <v>101</v>
      </c>
      <c r="E86" s="55" t="s">
        <v>26</v>
      </c>
      <c r="F86" s="55" t="s">
        <v>26</v>
      </c>
      <c r="G86" s="55" t="s">
        <v>26</v>
      </c>
      <c r="H86" s="55" t="s">
        <v>26</v>
      </c>
      <c r="I86" s="17" t="s">
        <v>26</v>
      </c>
      <c r="J86" s="17" t="s">
        <v>26</v>
      </c>
      <c r="K86" s="55" t="s">
        <v>26</v>
      </c>
      <c r="L86" s="17" t="s">
        <v>26</v>
      </c>
      <c r="M86" s="17" t="s">
        <v>26</v>
      </c>
      <c r="N86" s="55" t="s">
        <v>26</v>
      </c>
      <c r="O86" s="55" t="s">
        <v>26</v>
      </c>
      <c r="P86" s="17" t="s">
        <v>26</v>
      </c>
      <c r="Q86" s="17"/>
      <c r="R86" s="55" t="s">
        <v>26</v>
      </c>
      <c r="S86" s="55" t="s">
        <v>26</v>
      </c>
      <c r="T86" s="17" t="s">
        <v>26</v>
      </c>
      <c r="U86" s="17" t="s">
        <v>26</v>
      </c>
      <c r="V86" s="17" t="s">
        <v>26</v>
      </c>
      <c r="W86" s="17"/>
      <c r="X86" s="17"/>
      <c r="Y86" s="55" t="s">
        <v>26</v>
      </c>
      <c r="Z86" s="55" t="s">
        <v>26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 t="s">
        <v>26</v>
      </c>
      <c r="AK86" s="17" t="s">
        <v>26</v>
      </c>
    </row>
    <row r="87" spans="1:37" ht="14.5" x14ac:dyDescent="0.35">
      <c r="A87" s="5">
        <v>85</v>
      </c>
      <c r="B87" s="40">
        <v>46353</v>
      </c>
      <c r="C87" s="39" t="s">
        <v>140</v>
      </c>
      <c r="D87" s="39" t="s">
        <v>127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 t="s">
        <v>26</v>
      </c>
      <c r="AE87" s="17"/>
      <c r="AF87" s="17"/>
      <c r="AG87" s="17"/>
      <c r="AH87" s="17"/>
      <c r="AI87" s="17"/>
      <c r="AJ87" s="17"/>
      <c r="AK87" s="17"/>
    </row>
    <row r="88" spans="1:37" ht="14.5" x14ac:dyDescent="0.35">
      <c r="A88" s="5">
        <v>86</v>
      </c>
      <c r="B88" s="40">
        <v>46359</v>
      </c>
      <c r="C88" s="39" t="s">
        <v>147</v>
      </c>
      <c r="D88" s="39" t="s">
        <v>96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55" t="s">
        <v>26</v>
      </c>
      <c r="AJ88" s="17"/>
      <c r="AK88" s="17"/>
    </row>
    <row r="89" spans="1:37" ht="14.5" x14ac:dyDescent="0.35">
      <c r="A89" s="7">
        <v>87</v>
      </c>
      <c r="B89" s="40">
        <v>46368</v>
      </c>
      <c r="C89" s="39" t="s">
        <v>159</v>
      </c>
      <c r="D89" s="39" t="s">
        <v>64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s">
        <v>26</v>
      </c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ht="14.5" x14ac:dyDescent="0.35">
      <c r="A90" s="5">
        <v>88</v>
      </c>
      <c r="B90" s="40">
        <v>46374</v>
      </c>
      <c r="C90" s="39" t="s">
        <v>160</v>
      </c>
      <c r="D90" s="39" t="s">
        <v>127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s">
        <v>26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ht="14.5" x14ac:dyDescent="0.35">
      <c r="A91" s="5">
        <v>89</v>
      </c>
      <c r="B91" s="40">
        <v>46375</v>
      </c>
      <c r="C91" s="39" t="s">
        <v>148</v>
      </c>
      <c r="D91" s="39" t="s">
        <v>64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55" t="s">
        <v>26</v>
      </c>
      <c r="AJ91" s="17"/>
      <c r="AK91" s="17"/>
    </row>
    <row r="92" spans="1:37" ht="14.5" x14ac:dyDescent="0.35">
      <c r="A92" s="5">
        <v>90</v>
      </c>
      <c r="B92" s="42" t="s">
        <v>120</v>
      </c>
      <c r="C92" s="39" t="s">
        <v>126</v>
      </c>
      <c r="D92" s="39" t="s">
        <v>127</v>
      </c>
      <c r="E92" s="55" t="s">
        <v>26</v>
      </c>
      <c r="F92" s="55" t="s">
        <v>26</v>
      </c>
      <c r="G92" s="55" t="s">
        <v>26</v>
      </c>
      <c r="H92" s="55" t="s">
        <v>26</v>
      </c>
      <c r="I92" s="55" t="s">
        <v>26</v>
      </c>
      <c r="J92" s="55" t="s">
        <v>26</v>
      </c>
      <c r="K92" s="55" t="s">
        <v>26</v>
      </c>
      <c r="L92" s="55" t="s">
        <v>26</v>
      </c>
      <c r="M92" s="55" t="s">
        <v>26</v>
      </c>
      <c r="N92" s="55" t="s">
        <v>26</v>
      </c>
      <c r="O92" s="55" t="s">
        <v>26</v>
      </c>
      <c r="P92" s="55" t="s">
        <v>26</v>
      </c>
      <c r="Q92" s="55" t="s">
        <v>26</v>
      </c>
      <c r="R92" s="55" t="s">
        <v>26</v>
      </c>
      <c r="S92" s="55" t="s">
        <v>26</v>
      </c>
      <c r="T92" s="55" t="s">
        <v>26</v>
      </c>
      <c r="U92" s="55" t="s">
        <v>26</v>
      </c>
      <c r="V92" s="55" t="s">
        <v>26</v>
      </c>
      <c r="W92" s="55" t="s">
        <v>26</v>
      </c>
      <c r="X92" s="55" t="s">
        <v>26</v>
      </c>
      <c r="Y92" s="55" t="s">
        <v>26</v>
      </c>
      <c r="Z92" s="55" t="s">
        <v>26</v>
      </c>
      <c r="AA92" s="55" t="s">
        <v>26</v>
      </c>
      <c r="AB92" s="55" t="s">
        <v>26</v>
      </c>
      <c r="AC92" s="55" t="s">
        <v>26</v>
      </c>
      <c r="AD92" s="55" t="s">
        <v>26</v>
      </c>
      <c r="AE92" s="55" t="s">
        <v>26</v>
      </c>
      <c r="AF92" s="55" t="s">
        <v>26</v>
      </c>
      <c r="AG92" s="55" t="s">
        <v>26</v>
      </c>
      <c r="AH92" s="60" t="s">
        <v>26</v>
      </c>
      <c r="AI92" s="55" t="s">
        <v>26</v>
      </c>
      <c r="AJ92" s="55" t="s">
        <v>26</v>
      </c>
      <c r="AK92" s="55" t="s">
        <v>26</v>
      </c>
    </row>
    <row r="93" spans="1:37" x14ac:dyDescent="0.3">
      <c r="A93" s="5">
        <v>91</v>
      </c>
      <c r="B93" s="43">
        <v>46386</v>
      </c>
      <c r="C93" s="45" t="s">
        <v>161</v>
      </c>
      <c r="D93" s="7" t="s">
        <v>97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s">
        <v>26</v>
      </c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x14ac:dyDescent="0.3">
      <c r="A94" s="5">
        <v>92</v>
      </c>
      <c r="B94" s="43">
        <v>46387</v>
      </c>
      <c r="C94" s="45" t="s">
        <v>167</v>
      </c>
      <c r="D94" s="7" t="s">
        <v>96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 t="s">
        <v>26</v>
      </c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x14ac:dyDescent="0.3">
      <c r="A95" s="106" t="s">
        <v>62</v>
      </c>
      <c r="B95" s="106"/>
      <c r="C95" s="106"/>
      <c r="D95" s="10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7" spans="1:2" ht="14.5" x14ac:dyDescent="0.35">
      <c r="A97" s="25" t="s">
        <v>208</v>
      </c>
      <c r="B97" s="61" t="s">
        <v>209</v>
      </c>
    </row>
  </sheetData>
  <autoFilter ref="A2:XDX95" xr:uid="{4EC94D76-E0D5-4DB7-BD4C-FE2AE5E1DB85}"/>
  <mergeCells count="7">
    <mergeCell ref="AI1:AK1"/>
    <mergeCell ref="A95:D95"/>
    <mergeCell ref="E1:N1"/>
    <mergeCell ref="O1:P1"/>
    <mergeCell ref="Q1:T1"/>
    <mergeCell ref="U1:AB1"/>
    <mergeCell ref="AC1:AH1"/>
  </mergeCells>
  <hyperlinks>
    <hyperlink ref="B97" r:id="rId1" xr:uid="{02465A85-9D38-43FA-9C0B-F55916BC1048}"/>
  </hyperlinks>
  <pageMargins left="0.7" right="0.7" top="0.75" bottom="0.75" header="0.3" footer="0.3"/>
  <pageSetup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5B6E-13AF-428F-84AD-9B8B6187ADB9}">
  <sheetPr>
    <tabColor theme="6" tint="-0.499984740745262"/>
  </sheetPr>
  <dimension ref="A1:XDX171"/>
  <sheetViews>
    <sheetView zoomScale="110" zoomScaleNormal="110" workbookViewId="0">
      <selection activeCell="C20" sqref="C20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62.26953125" style="25" customWidth="1"/>
    <col min="4" max="4" width="11.81640625" style="25" customWidth="1"/>
    <col min="5" max="5" width="9.453125" style="3" customWidth="1"/>
    <col min="6" max="6" width="10.36328125" style="3" customWidth="1"/>
    <col min="7" max="10" width="9.453125" style="3" customWidth="1"/>
    <col min="11" max="11" width="12.26953125" style="3" customWidth="1"/>
    <col min="12" max="12" width="11.26953125" style="3" bestFit="1" customWidth="1"/>
    <col min="13" max="13" width="11.26953125" style="3" customWidth="1"/>
    <col min="14" max="14" width="12.26953125" style="3" customWidth="1"/>
    <col min="15" max="15" width="11.36328125" style="3" customWidth="1"/>
    <col min="16" max="16" width="14.90625" style="3" customWidth="1"/>
    <col min="17" max="19" width="9.453125" style="3" customWidth="1"/>
    <col min="20" max="20" width="11.08984375" style="3" customWidth="1"/>
    <col min="21" max="21" width="16.54296875" style="3" customWidth="1"/>
    <col min="22" max="23" width="9.453125" style="3" customWidth="1"/>
    <col min="24" max="24" width="12.1796875" style="3" customWidth="1"/>
    <col min="25" max="27" width="9.453125" style="3" customWidth="1"/>
    <col min="28" max="28" width="9.1796875" style="3" customWidth="1"/>
    <col min="29" max="29" width="9.26953125" style="3" customWidth="1"/>
    <col min="30" max="30" width="10.36328125" style="3" customWidth="1"/>
    <col min="31" max="31" width="9.6328125" style="3" bestFit="1" customWidth="1"/>
    <col min="32" max="32" width="15.1796875" style="3" customWidth="1"/>
    <col min="33" max="36" width="9.453125" style="3" customWidth="1"/>
    <col min="37" max="37" width="11.6328125" style="3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7 16352:16352" ht="13.5" customHeight="1" x14ac:dyDescent="0.35">
      <c r="A1" s="113" t="s">
        <v>318</v>
      </c>
      <c r="B1" s="113" t="s">
        <v>6</v>
      </c>
      <c r="C1" s="113" t="s">
        <v>7</v>
      </c>
      <c r="D1" s="113" t="s">
        <v>8</v>
      </c>
      <c r="E1" s="107" t="s">
        <v>84</v>
      </c>
      <c r="F1" s="108"/>
      <c r="G1" s="108"/>
      <c r="H1" s="108"/>
      <c r="I1" s="108"/>
      <c r="J1" s="108"/>
      <c r="K1" s="108"/>
      <c r="L1" s="108"/>
      <c r="M1" s="108"/>
      <c r="N1" s="108"/>
      <c r="O1" s="109" t="s">
        <v>87</v>
      </c>
      <c r="P1" s="109"/>
      <c r="Q1" s="110" t="s">
        <v>88</v>
      </c>
      <c r="R1" s="110"/>
      <c r="S1" s="110"/>
      <c r="T1" s="110"/>
      <c r="U1" s="111" t="s">
        <v>89</v>
      </c>
      <c r="V1" s="111"/>
      <c r="W1" s="111"/>
      <c r="X1" s="111"/>
      <c r="Y1" s="111"/>
      <c r="Z1" s="111"/>
      <c r="AA1" s="111"/>
      <c r="AB1" s="111"/>
      <c r="AC1" s="112" t="s">
        <v>93</v>
      </c>
      <c r="AD1" s="112"/>
      <c r="AE1" s="112"/>
      <c r="AF1" s="112"/>
      <c r="AG1" s="112"/>
      <c r="AH1" s="112"/>
      <c r="AI1" s="105" t="s">
        <v>95</v>
      </c>
      <c r="AJ1" s="105"/>
      <c r="AK1" s="105"/>
    </row>
    <row r="2" spans="1:37 16352:16352" ht="14.5" x14ac:dyDescent="0.35">
      <c r="A2" s="114"/>
      <c r="B2" s="114"/>
      <c r="C2" s="114"/>
      <c r="D2" s="114"/>
      <c r="E2" s="39" t="s">
        <v>22</v>
      </c>
      <c r="F2" s="39" t="s">
        <v>70</v>
      </c>
      <c r="G2" s="39" t="s">
        <v>23</v>
      </c>
      <c r="H2" s="39" t="s">
        <v>69</v>
      </c>
      <c r="I2" s="39" t="s">
        <v>85</v>
      </c>
      <c r="J2" s="39" t="s">
        <v>86</v>
      </c>
      <c r="K2" s="39" t="s">
        <v>24</v>
      </c>
      <c r="L2" s="39" t="s">
        <v>67</v>
      </c>
      <c r="M2" s="39" t="s">
        <v>66</v>
      </c>
      <c r="N2" s="39" t="s">
        <v>25</v>
      </c>
      <c r="O2" s="39" t="s">
        <v>71</v>
      </c>
      <c r="P2" s="39" t="s">
        <v>14</v>
      </c>
      <c r="Q2" s="39" t="s">
        <v>72</v>
      </c>
      <c r="R2" s="39" t="s">
        <v>13</v>
      </c>
      <c r="S2" s="39" t="s">
        <v>18</v>
      </c>
      <c r="T2" s="39" t="s">
        <v>19</v>
      </c>
      <c r="U2" s="39" t="s">
        <v>80</v>
      </c>
      <c r="V2" s="39" t="s">
        <v>17</v>
      </c>
      <c r="W2" s="39" t="s">
        <v>79</v>
      </c>
      <c r="X2" s="39" t="s">
        <v>16</v>
      </c>
      <c r="Y2" s="39" t="s">
        <v>90</v>
      </c>
      <c r="Z2" s="39" t="s">
        <v>91</v>
      </c>
      <c r="AA2" s="39" t="s">
        <v>92</v>
      </c>
      <c r="AB2" s="39" t="s">
        <v>15</v>
      </c>
      <c r="AC2" s="39" t="s">
        <v>73</v>
      </c>
      <c r="AD2" s="39" t="s">
        <v>11</v>
      </c>
      <c r="AE2" s="39" t="s">
        <v>10</v>
      </c>
      <c r="AF2" s="39" t="s">
        <v>94</v>
      </c>
      <c r="AG2" s="39" t="s">
        <v>12</v>
      </c>
      <c r="AH2" s="39" t="s">
        <v>9</v>
      </c>
      <c r="AI2" s="39" t="s">
        <v>78</v>
      </c>
      <c r="AJ2" s="39" t="s">
        <v>20</v>
      </c>
      <c r="AK2" s="39" t="s">
        <v>65</v>
      </c>
      <c r="XDX2" s="3" t="s">
        <v>26</v>
      </c>
    </row>
    <row r="3" spans="1:37 16352:16352" x14ac:dyDescent="0.3">
      <c r="A3" s="65">
        <v>1</v>
      </c>
      <c r="B3" s="63">
        <v>46023</v>
      </c>
      <c r="C3" s="66" t="s">
        <v>121</v>
      </c>
      <c r="D3" s="66" t="s">
        <v>96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 t="s">
        <v>213</v>
      </c>
      <c r="P3" s="67"/>
      <c r="Q3" s="67" t="s">
        <v>215</v>
      </c>
      <c r="R3" s="67"/>
      <c r="S3" s="67" t="s">
        <v>215</v>
      </c>
      <c r="T3" s="67"/>
      <c r="U3" s="67"/>
      <c r="V3" s="67"/>
      <c r="W3" s="67"/>
      <c r="X3" s="67" t="s">
        <v>215</v>
      </c>
      <c r="Y3" s="67" t="s">
        <v>215</v>
      </c>
      <c r="Z3" s="67"/>
      <c r="AA3" s="67" t="s">
        <v>215</v>
      </c>
      <c r="AB3" s="67"/>
      <c r="AC3" s="67"/>
      <c r="AD3" s="67" t="s">
        <v>213</v>
      </c>
      <c r="AE3" s="67" t="s">
        <v>215</v>
      </c>
      <c r="AF3" s="67" t="s">
        <v>215</v>
      </c>
      <c r="AG3" s="67" t="s">
        <v>215</v>
      </c>
      <c r="AH3" s="67"/>
      <c r="AI3" s="67" t="s">
        <v>215</v>
      </c>
      <c r="AJ3" s="62"/>
      <c r="AK3" s="62"/>
    </row>
    <row r="4" spans="1:37 16352:16352" x14ac:dyDescent="0.3">
      <c r="A4" s="65">
        <v>2</v>
      </c>
      <c r="B4" s="63">
        <v>46024</v>
      </c>
      <c r="C4" s="66" t="s">
        <v>128</v>
      </c>
      <c r="D4" s="66" t="s">
        <v>127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2"/>
      <c r="AK4" s="62"/>
    </row>
    <row r="5" spans="1:37 16352:16352" x14ac:dyDescent="0.3">
      <c r="A5" s="65"/>
      <c r="B5" s="63">
        <v>46025</v>
      </c>
      <c r="C5" s="66" t="s">
        <v>237</v>
      </c>
      <c r="D5" s="66" t="s">
        <v>64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 t="s">
        <v>219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2"/>
      <c r="AK5" s="62"/>
    </row>
    <row r="6" spans="1:37 16352:16352" x14ac:dyDescent="0.3">
      <c r="A6" s="65">
        <v>3</v>
      </c>
      <c r="B6" s="63">
        <v>46028</v>
      </c>
      <c r="C6" s="66" t="s">
        <v>176</v>
      </c>
      <c r="D6" s="66" t="s">
        <v>101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2"/>
      <c r="AK6" s="62"/>
    </row>
    <row r="7" spans="1:37 16352:16352" x14ac:dyDescent="0.3">
      <c r="A7" s="65">
        <v>4</v>
      </c>
      <c r="B7" s="63">
        <v>46029</v>
      </c>
      <c r="C7" s="66" t="s">
        <v>238</v>
      </c>
      <c r="D7" s="66" t="s">
        <v>97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 t="s">
        <v>213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2"/>
      <c r="AK7" s="62"/>
    </row>
    <row r="8" spans="1:37 16352:16352" x14ac:dyDescent="0.3">
      <c r="A8" s="65"/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 t="s">
        <v>219</v>
      </c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2"/>
      <c r="AK8" s="62"/>
    </row>
    <row r="9" spans="1:37 16352:16352" x14ac:dyDescent="0.3">
      <c r="A9" s="65"/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2"/>
      <c r="AK9" s="62"/>
    </row>
    <row r="10" spans="1:37 16352:16352" x14ac:dyDescent="0.3">
      <c r="A10" s="65">
        <v>5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2"/>
      <c r="AK10" s="62"/>
    </row>
    <row r="11" spans="1:37 16352:16352" x14ac:dyDescent="0.3">
      <c r="A11" s="65">
        <v>6</v>
      </c>
      <c r="B11" s="63">
        <v>46035</v>
      </c>
      <c r="C11" s="66" t="s">
        <v>168</v>
      </c>
      <c r="D11" s="66" t="s">
        <v>101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2"/>
      <c r="AK11" s="62"/>
    </row>
    <row r="12" spans="1:37 16352:16352" x14ac:dyDescent="0.3">
      <c r="A12" s="65">
        <v>7</v>
      </c>
      <c r="B12" s="63">
        <v>46036</v>
      </c>
      <c r="C12" s="66" t="s">
        <v>186</v>
      </c>
      <c r="D12" s="66" t="s">
        <v>97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 t="s">
        <v>213</v>
      </c>
      <c r="P12" s="67"/>
      <c r="Q12" s="67" t="s">
        <v>213</v>
      </c>
      <c r="R12" s="67"/>
      <c r="S12" s="67"/>
      <c r="T12" s="67"/>
      <c r="U12" s="67"/>
      <c r="V12" s="67" t="s">
        <v>213</v>
      </c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2"/>
      <c r="AK12" s="62"/>
    </row>
    <row r="13" spans="1:37 16352:16352" x14ac:dyDescent="0.3">
      <c r="A13" s="65">
        <v>8</v>
      </c>
      <c r="B13" s="63">
        <v>46037</v>
      </c>
      <c r="C13" s="66" t="s">
        <v>142</v>
      </c>
      <c r="D13" s="66" t="s">
        <v>96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 t="s">
        <v>213</v>
      </c>
      <c r="T13" s="67"/>
      <c r="U13" s="67"/>
      <c r="V13" s="67" t="s">
        <v>213</v>
      </c>
      <c r="W13" s="67"/>
      <c r="X13" s="67" t="s">
        <v>213</v>
      </c>
      <c r="Y13" s="67" t="s">
        <v>213</v>
      </c>
      <c r="Z13" s="67"/>
      <c r="AA13" s="67" t="s">
        <v>213</v>
      </c>
      <c r="AB13" s="67"/>
      <c r="AC13" s="67"/>
      <c r="AD13" s="67" t="s">
        <v>213</v>
      </c>
      <c r="AE13" s="67" t="s">
        <v>213</v>
      </c>
      <c r="AF13" s="67" t="s">
        <v>213</v>
      </c>
      <c r="AG13" s="67" t="s">
        <v>213</v>
      </c>
      <c r="AH13" s="67"/>
      <c r="AI13" s="67"/>
      <c r="AJ13" s="62"/>
      <c r="AK13" s="62"/>
    </row>
    <row r="14" spans="1:37 16352:16352" x14ac:dyDescent="0.3">
      <c r="A14" s="65">
        <v>9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 t="s">
        <v>213</v>
      </c>
      <c r="AF14" s="67" t="s">
        <v>213</v>
      </c>
      <c r="AG14" s="67" t="s">
        <v>213</v>
      </c>
      <c r="AH14" s="67"/>
      <c r="AI14" s="67"/>
      <c r="AJ14" s="62"/>
      <c r="AK14" s="62"/>
    </row>
    <row r="15" spans="1:37 16352:16352" x14ac:dyDescent="0.3">
      <c r="A15" s="65">
        <v>10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 t="s">
        <v>219</v>
      </c>
      <c r="AF15" s="67" t="s">
        <v>219</v>
      </c>
      <c r="AG15" s="67" t="s">
        <v>219</v>
      </c>
      <c r="AH15" s="67"/>
      <c r="AI15" s="67"/>
      <c r="AJ15" s="62"/>
      <c r="AK15" s="62"/>
    </row>
    <row r="16" spans="1:37 16352:16352" s="48" customFormat="1" x14ac:dyDescent="0.3">
      <c r="A16" s="65">
        <v>11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 t="s">
        <v>215</v>
      </c>
      <c r="T16" s="67"/>
      <c r="U16" s="67"/>
      <c r="V16" s="67"/>
      <c r="W16" s="67"/>
      <c r="X16" s="67" t="s">
        <v>215</v>
      </c>
      <c r="Y16" s="67" t="s">
        <v>215</v>
      </c>
      <c r="Z16" s="67"/>
      <c r="AA16" s="67" t="s">
        <v>215</v>
      </c>
      <c r="AB16" s="67"/>
      <c r="AC16" s="67"/>
      <c r="AD16" s="67"/>
      <c r="AE16" s="67"/>
      <c r="AF16" s="67"/>
      <c r="AG16" s="67"/>
      <c r="AH16" s="67"/>
      <c r="AI16" s="67"/>
      <c r="AJ16" s="62"/>
      <c r="AK16" s="62"/>
    </row>
    <row r="17" spans="1:37" s="48" customFormat="1" x14ac:dyDescent="0.3">
      <c r="A17" s="65"/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 t="s">
        <v>213</v>
      </c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2"/>
      <c r="AK17" s="62"/>
    </row>
    <row r="18" spans="1:37" x14ac:dyDescent="0.3">
      <c r="A18" s="65">
        <v>12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 t="s">
        <v>213</v>
      </c>
      <c r="P18" s="67"/>
      <c r="Q18" s="67" t="s">
        <v>213</v>
      </c>
      <c r="R18" s="67"/>
      <c r="S18" s="67"/>
      <c r="T18" s="67"/>
      <c r="U18" s="67"/>
      <c r="V18" s="67" t="s">
        <v>213</v>
      </c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2"/>
      <c r="AK18" s="62"/>
    </row>
    <row r="19" spans="1:37" x14ac:dyDescent="0.3">
      <c r="A19" s="65"/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 t="s">
        <v>219</v>
      </c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2"/>
      <c r="AK19" s="62"/>
    </row>
    <row r="20" spans="1:37" x14ac:dyDescent="0.3">
      <c r="A20" s="65"/>
      <c r="B20" s="63">
        <v>46047</v>
      </c>
      <c r="C20" s="66" t="s">
        <v>231</v>
      </c>
      <c r="D20" s="66" t="s">
        <v>63</v>
      </c>
      <c r="E20" s="67"/>
      <c r="F20" s="67"/>
      <c r="G20" s="67"/>
      <c r="H20" s="67"/>
      <c r="I20" s="67"/>
      <c r="J20" s="67"/>
      <c r="K20" s="67"/>
      <c r="L20" s="67" t="s">
        <v>219</v>
      </c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2"/>
      <c r="AK20" s="62"/>
    </row>
    <row r="21" spans="1:37" x14ac:dyDescent="0.3">
      <c r="A21" s="65">
        <v>13</v>
      </c>
      <c r="B21" s="63">
        <v>46048</v>
      </c>
      <c r="C21" s="66" t="s">
        <v>30</v>
      </c>
      <c r="D21" s="66" t="s">
        <v>98</v>
      </c>
      <c r="E21" s="67"/>
      <c r="F21" s="67"/>
      <c r="G21" s="67"/>
      <c r="H21" s="67"/>
      <c r="I21" s="67"/>
      <c r="J21" s="67"/>
      <c r="K21" s="67"/>
      <c r="L21" s="67" t="s">
        <v>212</v>
      </c>
      <c r="M21" s="67"/>
      <c r="N21" s="67"/>
      <c r="O21" s="67" t="s">
        <v>212</v>
      </c>
      <c r="P21" s="67"/>
      <c r="Q21" s="67" t="s">
        <v>212</v>
      </c>
      <c r="R21" s="67"/>
      <c r="S21" s="67" t="s">
        <v>212</v>
      </c>
      <c r="T21" s="67"/>
      <c r="U21" s="67"/>
      <c r="V21" s="67" t="s">
        <v>212</v>
      </c>
      <c r="W21" s="67"/>
      <c r="X21" s="67" t="s">
        <v>212</v>
      </c>
      <c r="Y21" s="67" t="s">
        <v>212</v>
      </c>
      <c r="Z21" s="67"/>
      <c r="AA21" s="67" t="s">
        <v>212</v>
      </c>
      <c r="AB21" s="67"/>
      <c r="AC21" s="67"/>
      <c r="AD21" s="67" t="s">
        <v>212</v>
      </c>
      <c r="AE21" s="67" t="s">
        <v>212</v>
      </c>
      <c r="AF21" s="67" t="s">
        <v>212</v>
      </c>
      <c r="AG21" s="67" t="s">
        <v>212</v>
      </c>
      <c r="AH21" s="67"/>
      <c r="AI21" s="67" t="s">
        <v>212</v>
      </c>
      <c r="AJ21" s="62"/>
      <c r="AK21" s="62"/>
    </row>
    <row r="22" spans="1:37" x14ac:dyDescent="0.3">
      <c r="A22" s="65">
        <v>14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 t="s">
        <v>213</v>
      </c>
      <c r="W22" s="67"/>
      <c r="X22" s="67"/>
      <c r="Y22" s="67"/>
      <c r="Z22" s="67"/>
      <c r="AA22" s="67"/>
      <c r="AB22" s="67"/>
      <c r="AC22" s="67"/>
      <c r="AD22" s="67" t="s">
        <v>213</v>
      </c>
      <c r="AE22" s="67"/>
      <c r="AF22" s="67"/>
      <c r="AG22" s="67"/>
      <c r="AH22" s="67"/>
      <c r="AI22" s="67"/>
      <c r="AJ22" s="62"/>
      <c r="AK22" s="62"/>
    </row>
    <row r="23" spans="1:37" x14ac:dyDescent="0.3">
      <c r="A23" s="65">
        <v>15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2"/>
      <c r="AK23" s="62"/>
    </row>
    <row r="24" spans="1:37" x14ac:dyDescent="0.3">
      <c r="A24" s="65"/>
      <c r="B24" s="63">
        <v>46053</v>
      </c>
      <c r="C24" s="66" t="s">
        <v>296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 t="s">
        <v>219</v>
      </c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2"/>
      <c r="AK24" s="62"/>
    </row>
    <row r="25" spans="1:37" x14ac:dyDescent="0.3">
      <c r="A25" s="65">
        <v>16</v>
      </c>
      <c r="B25" s="63">
        <v>46054</v>
      </c>
      <c r="C25" s="66" t="s">
        <v>277</v>
      </c>
      <c r="D25" s="66" t="s">
        <v>63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 t="s">
        <v>219</v>
      </c>
      <c r="R25" s="67"/>
      <c r="S25" s="67"/>
      <c r="T25" s="67"/>
      <c r="U25" s="67"/>
      <c r="V25" s="67" t="s">
        <v>219</v>
      </c>
      <c r="W25" s="67"/>
      <c r="X25" s="67"/>
      <c r="Y25" s="67"/>
      <c r="Z25" s="67"/>
      <c r="AA25" s="67"/>
      <c r="AB25" s="67"/>
      <c r="AC25" s="67"/>
      <c r="AD25" s="67"/>
      <c r="AE25" s="67" t="s">
        <v>219</v>
      </c>
      <c r="AF25" s="67" t="s">
        <v>219</v>
      </c>
      <c r="AG25" s="67" t="s">
        <v>219</v>
      </c>
      <c r="AH25" s="67"/>
      <c r="AI25" s="67"/>
      <c r="AJ25" s="62"/>
      <c r="AK25" s="62"/>
    </row>
    <row r="26" spans="1:37" x14ac:dyDescent="0.3">
      <c r="A26" s="65"/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 t="s">
        <v>213</v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2"/>
      <c r="AK26" s="62"/>
    </row>
    <row r="27" spans="1:37" x14ac:dyDescent="0.3">
      <c r="A27" s="65"/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 t="s">
        <v>213</v>
      </c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 t="s">
        <v>213</v>
      </c>
      <c r="AE27" s="67"/>
      <c r="AF27" s="67"/>
      <c r="AG27" s="67"/>
      <c r="AH27" s="67"/>
      <c r="AI27" s="67"/>
      <c r="AJ27" s="62"/>
      <c r="AK27" s="62"/>
    </row>
    <row r="28" spans="1:37" x14ac:dyDescent="0.3">
      <c r="A28" s="65"/>
      <c r="B28" s="63">
        <v>46065</v>
      </c>
      <c r="C28" s="66" t="s">
        <v>242</v>
      </c>
      <c r="D28" s="66" t="s">
        <v>96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 t="s">
        <v>213</v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2"/>
      <c r="AK28" s="62"/>
    </row>
    <row r="29" spans="1:37" x14ac:dyDescent="0.3">
      <c r="A29" s="65">
        <v>17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7"/>
      <c r="I29" s="67"/>
      <c r="J29" s="67"/>
      <c r="K29" s="67"/>
      <c r="L29" s="67" t="s">
        <v>219</v>
      </c>
      <c r="M29" s="67"/>
      <c r="N29" s="67"/>
      <c r="O29" s="67"/>
      <c r="P29" s="67"/>
      <c r="Q29" s="67"/>
      <c r="R29" s="67"/>
      <c r="S29" s="67" t="s">
        <v>219</v>
      </c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 t="s">
        <v>219</v>
      </c>
      <c r="AJ29" s="62"/>
      <c r="AK29" s="62"/>
    </row>
    <row r="30" spans="1:37" x14ac:dyDescent="0.3">
      <c r="A30" s="65"/>
      <c r="B30" s="63">
        <v>46069</v>
      </c>
      <c r="C30" s="66" t="s">
        <v>278</v>
      </c>
      <c r="D30" s="69" t="s">
        <v>98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 t="s">
        <v>213</v>
      </c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2"/>
      <c r="AK30" s="62"/>
    </row>
    <row r="31" spans="1:37" s="48" customFormat="1" x14ac:dyDescent="0.3">
      <c r="A31" s="65">
        <v>18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 t="s">
        <v>213</v>
      </c>
      <c r="T31" s="67"/>
      <c r="U31" s="67"/>
      <c r="V31" s="67"/>
      <c r="W31" s="67"/>
      <c r="X31" s="67" t="s">
        <v>213</v>
      </c>
      <c r="Y31" s="67" t="s">
        <v>213</v>
      </c>
      <c r="Z31" s="67"/>
      <c r="AA31" s="67" t="s">
        <v>213</v>
      </c>
      <c r="AB31" s="67"/>
      <c r="AC31" s="67"/>
      <c r="AD31" s="67"/>
      <c r="AE31" s="67"/>
      <c r="AF31" s="67"/>
      <c r="AG31" s="67"/>
      <c r="AH31" s="67"/>
      <c r="AI31" s="67"/>
      <c r="AJ31" s="62"/>
      <c r="AK31" s="62"/>
    </row>
    <row r="32" spans="1:37" s="48" customFormat="1" x14ac:dyDescent="0.3">
      <c r="A32" s="65">
        <v>19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 t="s">
        <v>213</v>
      </c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2"/>
      <c r="AK32" s="62"/>
    </row>
    <row r="33" spans="1:37" x14ac:dyDescent="0.3">
      <c r="A33" s="65">
        <v>20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2"/>
      <c r="AK33" s="62"/>
    </row>
    <row r="34" spans="1:37" x14ac:dyDescent="0.3">
      <c r="A34" s="65"/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 t="s">
        <v>213</v>
      </c>
      <c r="T34" s="67"/>
      <c r="U34" s="67"/>
      <c r="V34" s="67"/>
      <c r="W34" s="67"/>
      <c r="X34" s="67" t="s">
        <v>213</v>
      </c>
      <c r="Y34" s="67" t="s">
        <v>213</v>
      </c>
      <c r="Z34" s="67"/>
      <c r="AA34" s="67" t="s">
        <v>213</v>
      </c>
      <c r="AB34" s="67"/>
      <c r="AC34" s="67"/>
      <c r="AD34" s="67"/>
      <c r="AE34" s="67"/>
      <c r="AF34" s="67"/>
      <c r="AG34" s="67"/>
      <c r="AH34" s="67"/>
      <c r="AI34" s="67"/>
      <c r="AJ34" s="62"/>
      <c r="AK34" s="62"/>
    </row>
    <row r="35" spans="1:37" x14ac:dyDescent="0.3">
      <c r="A35" s="65"/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67" t="s">
        <v>213</v>
      </c>
      <c r="M35" s="67"/>
      <c r="N35" s="67"/>
      <c r="O35" s="67"/>
      <c r="P35" s="67"/>
      <c r="Q35" s="67" t="s">
        <v>213</v>
      </c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 t="s">
        <v>213</v>
      </c>
      <c r="AE35" s="67"/>
      <c r="AF35" s="67"/>
      <c r="AG35" s="67"/>
      <c r="AH35" s="67"/>
      <c r="AI35" s="67"/>
      <c r="AJ35" s="62"/>
      <c r="AK35" s="62"/>
    </row>
    <row r="36" spans="1:37" x14ac:dyDescent="0.3">
      <c r="A36" s="65">
        <v>21</v>
      </c>
      <c r="B36" s="63">
        <v>46084</v>
      </c>
      <c r="C36" s="66" t="s">
        <v>99</v>
      </c>
      <c r="D36" s="66" t="s">
        <v>101</v>
      </c>
      <c r="E36" s="67"/>
      <c r="F36" s="67"/>
      <c r="G36" s="67"/>
      <c r="H36" s="67"/>
      <c r="I36" s="67"/>
      <c r="J36" s="67"/>
      <c r="K36" s="67"/>
      <c r="L36" s="67" t="s">
        <v>213</v>
      </c>
      <c r="M36" s="67"/>
      <c r="N36" s="67"/>
      <c r="O36" s="67" t="s">
        <v>213</v>
      </c>
      <c r="P36" s="67"/>
      <c r="Q36" s="67" t="s">
        <v>213</v>
      </c>
      <c r="R36" s="67"/>
      <c r="S36" s="67" t="s">
        <v>213</v>
      </c>
      <c r="T36" s="67"/>
      <c r="U36" s="67"/>
      <c r="V36" s="67" t="s">
        <v>213</v>
      </c>
      <c r="W36" s="67"/>
      <c r="X36" s="67" t="s">
        <v>213</v>
      </c>
      <c r="Y36" s="67" t="s">
        <v>213</v>
      </c>
      <c r="Z36" s="67"/>
      <c r="AA36" s="67" t="s">
        <v>213</v>
      </c>
      <c r="AB36" s="67"/>
      <c r="AC36" s="67"/>
      <c r="AD36" s="67"/>
      <c r="AE36" s="67"/>
      <c r="AF36" s="67"/>
      <c r="AG36" s="67"/>
      <c r="AH36" s="67"/>
      <c r="AI36" s="67" t="s">
        <v>213</v>
      </c>
      <c r="AJ36" s="62"/>
      <c r="AK36" s="62"/>
    </row>
    <row r="37" spans="1:37" x14ac:dyDescent="0.3">
      <c r="A37" s="65">
        <v>22</v>
      </c>
      <c r="B37" s="63">
        <v>46085</v>
      </c>
      <c r="C37" s="66" t="s">
        <v>99</v>
      </c>
      <c r="D37" s="66" t="s">
        <v>97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 t="s">
        <v>213</v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2"/>
      <c r="AK37" s="62"/>
    </row>
    <row r="38" spans="1:37" x14ac:dyDescent="0.3">
      <c r="A38" s="65"/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 t="s">
        <v>213</v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2"/>
      <c r="AK38" s="62"/>
    </row>
    <row r="39" spans="1:37" x14ac:dyDescent="0.3">
      <c r="A39" s="65">
        <v>23</v>
      </c>
      <c r="B39" s="63">
        <v>46094</v>
      </c>
      <c r="C39" s="66" t="s">
        <v>163</v>
      </c>
      <c r="D39" s="66" t="s">
        <v>127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2"/>
      <c r="AK39" s="62"/>
    </row>
    <row r="40" spans="1:37" x14ac:dyDescent="0.3">
      <c r="A40" s="65">
        <v>24</v>
      </c>
      <c r="B40" s="63">
        <v>46098</v>
      </c>
      <c r="C40" s="66" t="s">
        <v>174</v>
      </c>
      <c r="D40" s="66" t="s">
        <v>101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 t="s">
        <v>213</v>
      </c>
      <c r="AE40" s="67"/>
      <c r="AF40" s="67"/>
      <c r="AG40" s="67"/>
      <c r="AH40" s="67"/>
      <c r="AI40" s="67"/>
      <c r="AJ40" s="62"/>
      <c r="AK40" s="62"/>
    </row>
    <row r="41" spans="1:37" x14ac:dyDescent="0.3">
      <c r="A41" s="65">
        <v>25</v>
      </c>
      <c r="B41" s="63">
        <v>46100</v>
      </c>
      <c r="C41" s="66" t="s">
        <v>244</v>
      </c>
      <c r="D41" s="66" t="s">
        <v>96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 t="s">
        <v>213</v>
      </c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 t="s">
        <v>213</v>
      </c>
      <c r="AE41" s="67" t="s">
        <v>213</v>
      </c>
      <c r="AF41" s="67" t="s">
        <v>213</v>
      </c>
      <c r="AG41" s="67" t="s">
        <v>213</v>
      </c>
      <c r="AH41" s="67"/>
      <c r="AI41" s="67" t="s">
        <v>213</v>
      </c>
      <c r="AJ41" s="62"/>
      <c r="AK41" s="62"/>
    </row>
    <row r="42" spans="1:37" x14ac:dyDescent="0.3">
      <c r="A42" s="65">
        <v>26</v>
      </c>
      <c r="B42" s="63">
        <v>46101</v>
      </c>
      <c r="C42" s="66" t="s">
        <v>245</v>
      </c>
      <c r="D42" s="66" t="s">
        <v>127</v>
      </c>
      <c r="E42" s="67"/>
      <c r="F42" s="67"/>
      <c r="G42" s="67"/>
      <c r="H42" s="67"/>
      <c r="I42" s="67"/>
      <c r="J42" s="67"/>
      <c r="K42" s="67"/>
      <c r="L42" s="67" t="s">
        <v>213</v>
      </c>
      <c r="M42" s="67"/>
      <c r="N42" s="67"/>
      <c r="O42" s="67" t="s">
        <v>213</v>
      </c>
      <c r="P42" s="67"/>
      <c r="Q42" s="67"/>
      <c r="R42" s="67"/>
      <c r="S42" s="67" t="s">
        <v>213</v>
      </c>
      <c r="T42" s="67"/>
      <c r="U42" s="67"/>
      <c r="V42" s="67"/>
      <c r="W42" s="67"/>
      <c r="X42" s="67" t="s">
        <v>213</v>
      </c>
      <c r="Y42" s="67" t="s">
        <v>213</v>
      </c>
      <c r="Z42" s="67"/>
      <c r="AA42" s="67" t="s">
        <v>213</v>
      </c>
      <c r="AB42" s="67"/>
      <c r="AC42" s="67"/>
      <c r="AD42" s="67" t="s">
        <v>213</v>
      </c>
      <c r="AE42" s="67"/>
      <c r="AF42" s="67"/>
      <c r="AG42" s="67"/>
      <c r="AH42" s="67"/>
      <c r="AI42" s="67"/>
      <c r="AJ42" s="62"/>
      <c r="AK42" s="62"/>
    </row>
    <row r="43" spans="1:37" x14ac:dyDescent="0.3">
      <c r="A43" s="65">
        <v>27</v>
      </c>
      <c r="B43" s="63">
        <v>46102</v>
      </c>
      <c r="C43" s="66" t="s">
        <v>141</v>
      </c>
      <c r="D43" s="67" t="s">
        <v>64</v>
      </c>
      <c r="E43" s="67"/>
      <c r="F43" s="67"/>
      <c r="G43" s="67"/>
      <c r="H43" s="67"/>
      <c r="I43" s="67"/>
      <c r="J43" s="67"/>
      <c r="K43" s="67"/>
      <c r="L43" s="67" t="s">
        <v>219</v>
      </c>
      <c r="M43" s="67"/>
      <c r="N43" s="67"/>
      <c r="O43" s="67" t="s">
        <v>219</v>
      </c>
      <c r="P43" s="67"/>
      <c r="Q43" s="67" t="s">
        <v>219</v>
      </c>
      <c r="R43" s="67"/>
      <c r="S43" s="67" t="s">
        <v>219</v>
      </c>
      <c r="T43" s="67"/>
      <c r="U43" s="67"/>
      <c r="V43" s="67" t="s">
        <v>219</v>
      </c>
      <c r="W43" s="67"/>
      <c r="X43" s="67"/>
      <c r="Y43" s="67"/>
      <c r="Z43" s="67"/>
      <c r="AA43" s="67"/>
      <c r="AB43" s="67"/>
      <c r="AC43" s="67"/>
      <c r="AD43" s="67" t="s">
        <v>219</v>
      </c>
      <c r="AE43" s="67" t="s">
        <v>219</v>
      </c>
      <c r="AF43" s="67" t="s">
        <v>219</v>
      </c>
      <c r="AG43" s="67" t="s">
        <v>219</v>
      </c>
      <c r="AH43" s="67"/>
      <c r="AI43" s="67" t="s">
        <v>219</v>
      </c>
      <c r="AJ43" s="62"/>
      <c r="AK43" s="62"/>
    </row>
    <row r="44" spans="1:37" x14ac:dyDescent="0.3">
      <c r="A44" s="65">
        <v>28</v>
      </c>
      <c r="B44" s="63">
        <v>46103</v>
      </c>
      <c r="C44" s="66" t="s">
        <v>280</v>
      </c>
      <c r="D44" s="66" t="s">
        <v>63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 t="s">
        <v>219</v>
      </c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2"/>
      <c r="AK44" s="62"/>
    </row>
    <row r="45" spans="1:37" x14ac:dyDescent="0.3">
      <c r="A45" s="65"/>
      <c r="B45" s="63">
        <v>46104</v>
      </c>
      <c r="C45" s="66" t="s">
        <v>246</v>
      </c>
      <c r="D45" s="66" t="s">
        <v>98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 t="s">
        <v>213</v>
      </c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 t="s">
        <v>213</v>
      </c>
      <c r="AE45" s="67"/>
      <c r="AF45" s="67"/>
      <c r="AG45" s="67"/>
      <c r="AH45" s="67"/>
      <c r="AI45" s="67"/>
      <c r="AJ45" s="62"/>
      <c r="AK45" s="62"/>
    </row>
    <row r="46" spans="1:37" x14ac:dyDescent="0.3">
      <c r="A46" s="65">
        <v>29</v>
      </c>
      <c r="B46" s="63">
        <v>46107</v>
      </c>
      <c r="C46" s="66" t="s">
        <v>281</v>
      </c>
      <c r="D46" s="66" t="s">
        <v>96</v>
      </c>
      <c r="E46" s="67"/>
      <c r="F46" s="67"/>
      <c r="G46" s="67"/>
      <c r="H46" s="67"/>
      <c r="I46" s="67"/>
      <c r="J46" s="67"/>
      <c r="K46" s="67"/>
      <c r="L46" s="67" t="s">
        <v>213</v>
      </c>
      <c r="M46" s="67"/>
      <c r="N46" s="67"/>
      <c r="O46" s="67" t="s">
        <v>213</v>
      </c>
      <c r="P46" s="67"/>
      <c r="Q46" s="67" t="s">
        <v>213</v>
      </c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 t="s">
        <v>213</v>
      </c>
      <c r="AJ46" s="62"/>
      <c r="AK46" s="62"/>
    </row>
    <row r="47" spans="1:37" x14ac:dyDescent="0.3">
      <c r="A47" s="65">
        <v>30</v>
      </c>
      <c r="B47" s="63">
        <v>46108</v>
      </c>
      <c r="C47" s="66" t="s">
        <v>149</v>
      </c>
      <c r="D47" s="66" t="s">
        <v>127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 t="s">
        <v>213</v>
      </c>
      <c r="AE47" s="67"/>
      <c r="AF47" s="67"/>
      <c r="AG47" s="67"/>
      <c r="AH47" s="67"/>
      <c r="AI47" s="67"/>
      <c r="AJ47" s="62"/>
      <c r="AK47" s="62"/>
    </row>
    <row r="48" spans="1:37" x14ac:dyDescent="0.3">
      <c r="A48" s="65">
        <v>31</v>
      </c>
      <c r="B48" s="63">
        <v>46112</v>
      </c>
      <c r="C48" s="66" t="s">
        <v>35</v>
      </c>
      <c r="D48" s="66" t="s">
        <v>101</v>
      </c>
      <c r="E48" s="67"/>
      <c r="F48" s="67"/>
      <c r="G48" s="67"/>
      <c r="H48" s="67"/>
      <c r="I48" s="67"/>
      <c r="J48" s="67"/>
      <c r="K48" s="67"/>
      <c r="L48" s="67" t="s">
        <v>213</v>
      </c>
      <c r="M48" s="67"/>
      <c r="N48" s="67"/>
      <c r="O48" s="67" t="s">
        <v>213</v>
      </c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 t="s">
        <v>213</v>
      </c>
      <c r="AE48" s="67" t="s">
        <v>213</v>
      </c>
      <c r="AF48" s="67" t="s">
        <v>213</v>
      </c>
      <c r="AG48" s="67" t="s">
        <v>213</v>
      </c>
      <c r="AH48" s="67"/>
      <c r="AI48" s="67"/>
      <c r="AJ48" s="62"/>
      <c r="AK48" s="62"/>
    </row>
    <row r="49" spans="1:37" x14ac:dyDescent="0.3">
      <c r="A49" s="65"/>
      <c r="B49" s="63">
        <v>46113</v>
      </c>
      <c r="C49" s="66" t="s">
        <v>247</v>
      </c>
      <c r="D49" s="66" t="s">
        <v>97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 t="s">
        <v>213</v>
      </c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 t="s">
        <v>213</v>
      </c>
      <c r="AF49" s="67" t="s">
        <v>213</v>
      </c>
      <c r="AG49" s="67" t="s">
        <v>213</v>
      </c>
      <c r="AH49" s="67"/>
      <c r="AI49" s="67" t="s">
        <v>215</v>
      </c>
      <c r="AJ49" s="62"/>
      <c r="AK49" s="62"/>
    </row>
    <row r="50" spans="1:37" x14ac:dyDescent="0.3">
      <c r="A50" s="65">
        <v>32</v>
      </c>
      <c r="B50" s="63">
        <v>46114</v>
      </c>
      <c r="C50" s="66" t="s">
        <v>248</v>
      </c>
      <c r="D50" s="66" t="s">
        <v>96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 t="s">
        <v>213</v>
      </c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2"/>
      <c r="AK50" s="62"/>
    </row>
    <row r="51" spans="1:37" x14ac:dyDescent="0.3">
      <c r="A51" s="65">
        <v>33</v>
      </c>
      <c r="B51" s="63">
        <v>46115</v>
      </c>
      <c r="C51" s="66" t="s">
        <v>38</v>
      </c>
      <c r="D51" s="66" t="s">
        <v>127</v>
      </c>
      <c r="E51" s="67"/>
      <c r="F51" s="67"/>
      <c r="G51" s="67"/>
      <c r="H51" s="67"/>
      <c r="I51" s="67"/>
      <c r="J51" s="67"/>
      <c r="K51" s="67"/>
      <c r="L51" s="67" t="s">
        <v>213</v>
      </c>
      <c r="M51" s="67"/>
      <c r="N51" s="67"/>
      <c r="O51" s="67" t="s">
        <v>213</v>
      </c>
      <c r="P51" s="67"/>
      <c r="Q51" s="67" t="s">
        <v>213</v>
      </c>
      <c r="R51" s="67"/>
      <c r="S51" s="67" t="s">
        <v>213</v>
      </c>
      <c r="T51" s="67"/>
      <c r="U51" s="67"/>
      <c r="V51" s="67" t="s">
        <v>213</v>
      </c>
      <c r="W51" s="67"/>
      <c r="X51" s="67" t="s">
        <v>213</v>
      </c>
      <c r="Y51" s="67" t="s">
        <v>213</v>
      </c>
      <c r="Z51" s="67"/>
      <c r="AA51" s="67" t="s">
        <v>213</v>
      </c>
      <c r="AB51" s="67"/>
      <c r="AC51" s="67"/>
      <c r="AD51" s="67" t="s">
        <v>213</v>
      </c>
      <c r="AE51" s="67" t="s">
        <v>213</v>
      </c>
      <c r="AF51" s="67" t="s">
        <v>213</v>
      </c>
      <c r="AG51" s="67" t="s">
        <v>213</v>
      </c>
      <c r="AH51" s="67"/>
      <c r="AI51" s="67" t="s">
        <v>213</v>
      </c>
      <c r="AJ51" s="62"/>
      <c r="AK51" s="62"/>
    </row>
    <row r="52" spans="1:37" x14ac:dyDescent="0.3">
      <c r="A52" s="65"/>
      <c r="B52" s="63">
        <v>46116</v>
      </c>
      <c r="C52" s="66" t="s">
        <v>222</v>
      </c>
      <c r="D52" s="66" t="s">
        <v>64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 t="s">
        <v>219</v>
      </c>
      <c r="AE52" s="67"/>
      <c r="AF52" s="67"/>
      <c r="AG52" s="67"/>
      <c r="AH52" s="67"/>
      <c r="AI52" s="67"/>
      <c r="AJ52" s="62"/>
      <c r="AK52" s="62"/>
    </row>
    <row r="53" spans="1:37" x14ac:dyDescent="0.3">
      <c r="A53" s="65">
        <v>34</v>
      </c>
      <c r="B53" s="63">
        <v>46117</v>
      </c>
      <c r="C53" s="66" t="s">
        <v>135</v>
      </c>
      <c r="D53" s="66" t="s">
        <v>63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 t="s">
        <v>219</v>
      </c>
      <c r="AE53" s="67" t="s">
        <v>219</v>
      </c>
      <c r="AF53" s="67"/>
      <c r="AG53" s="67"/>
      <c r="AH53" s="67"/>
      <c r="AI53" s="67"/>
      <c r="AJ53" s="62"/>
      <c r="AK53" s="62"/>
    </row>
    <row r="54" spans="1:37" x14ac:dyDescent="0.3">
      <c r="A54" s="65"/>
      <c r="B54" s="63">
        <v>46123</v>
      </c>
      <c r="C54" s="66" t="s">
        <v>232</v>
      </c>
      <c r="D54" s="66" t="s">
        <v>64</v>
      </c>
      <c r="E54" s="67"/>
      <c r="F54" s="67"/>
      <c r="G54" s="67"/>
      <c r="H54" s="67"/>
      <c r="I54" s="67"/>
      <c r="J54" s="67"/>
      <c r="K54" s="67"/>
      <c r="L54" s="67" t="s">
        <v>219</v>
      </c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2"/>
      <c r="AK54" s="62"/>
    </row>
    <row r="55" spans="1:37" x14ac:dyDescent="0.3">
      <c r="A55" s="65"/>
      <c r="B55" s="63">
        <v>46125</v>
      </c>
      <c r="C55" s="66" t="s">
        <v>249</v>
      </c>
      <c r="D55" s="66" t="s">
        <v>98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 t="s">
        <v>213</v>
      </c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2"/>
      <c r="AK55" s="62"/>
    </row>
    <row r="56" spans="1:37" ht="36" x14ac:dyDescent="0.3">
      <c r="A56" s="65">
        <v>35</v>
      </c>
      <c r="B56" s="63">
        <v>46126</v>
      </c>
      <c r="C56" s="70" t="s">
        <v>250</v>
      </c>
      <c r="D56" s="66" t="s">
        <v>101</v>
      </c>
      <c r="E56" s="67"/>
      <c r="F56" s="67"/>
      <c r="G56" s="67"/>
      <c r="H56" s="67"/>
      <c r="I56" s="67"/>
      <c r="J56" s="67"/>
      <c r="K56" s="67"/>
      <c r="L56" s="67" t="s">
        <v>212</v>
      </c>
      <c r="M56" s="67"/>
      <c r="N56" s="67"/>
      <c r="O56" s="67" t="s">
        <v>213</v>
      </c>
      <c r="P56" s="67"/>
      <c r="Q56" s="67" t="s">
        <v>213</v>
      </c>
      <c r="R56" s="67"/>
      <c r="S56" s="67" t="s">
        <v>213</v>
      </c>
      <c r="T56" s="67"/>
      <c r="U56" s="67"/>
      <c r="V56" s="67" t="s">
        <v>213</v>
      </c>
      <c r="W56" s="67"/>
      <c r="X56" s="67" t="s">
        <v>213</v>
      </c>
      <c r="Y56" s="67" t="s">
        <v>213</v>
      </c>
      <c r="Z56" s="67"/>
      <c r="AA56" s="67" t="s">
        <v>213</v>
      </c>
      <c r="AB56" s="67"/>
      <c r="AC56" s="67"/>
      <c r="AD56" s="67" t="s">
        <v>213</v>
      </c>
      <c r="AE56" s="67" t="s">
        <v>213</v>
      </c>
      <c r="AF56" s="67" t="s">
        <v>213</v>
      </c>
      <c r="AG56" s="67" t="s">
        <v>213</v>
      </c>
      <c r="AH56" s="67"/>
      <c r="AI56" s="67" t="s">
        <v>213</v>
      </c>
      <c r="AJ56" s="62"/>
      <c r="AK56" s="62"/>
    </row>
    <row r="57" spans="1:37" x14ac:dyDescent="0.3">
      <c r="A57" s="65">
        <v>36</v>
      </c>
      <c r="B57" s="63">
        <v>46127</v>
      </c>
      <c r="C57" s="66" t="s">
        <v>185</v>
      </c>
      <c r="D57" s="66" t="s">
        <v>97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 t="s">
        <v>213</v>
      </c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2"/>
      <c r="AK57" s="62"/>
    </row>
    <row r="58" spans="1:37" x14ac:dyDescent="0.3">
      <c r="A58" s="65">
        <v>37</v>
      </c>
      <c r="B58" s="63">
        <v>46128</v>
      </c>
      <c r="C58" s="66" t="s">
        <v>188</v>
      </c>
      <c r="D58" s="66" t="s">
        <v>96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 t="s">
        <v>213</v>
      </c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2"/>
      <c r="AK58" s="62"/>
    </row>
    <row r="59" spans="1:37" x14ac:dyDescent="0.3">
      <c r="A59" s="65"/>
      <c r="B59" s="63">
        <v>46130</v>
      </c>
      <c r="C59" s="66" t="s">
        <v>297</v>
      </c>
      <c r="D59" s="66" t="s">
        <v>64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 t="s">
        <v>219</v>
      </c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2"/>
      <c r="AK59" s="62"/>
    </row>
    <row r="60" spans="1:37" x14ac:dyDescent="0.3">
      <c r="A60" s="65"/>
      <c r="B60" s="63">
        <v>46131</v>
      </c>
      <c r="C60" s="66" t="s">
        <v>233</v>
      </c>
      <c r="D60" s="66" t="s">
        <v>63</v>
      </c>
      <c r="E60" s="67"/>
      <c r="F60" s="67"/>
      <c r="G60" s="67"/>
      <c r="H60" s="67"/>
      <c r="I60" s="67"/>
      <c r="J60" s="67"/>
      <c r="K60" s="67"/>
      <c r="L60" s="67" t="s">
        <v>219</v>
      </c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2"/>
      <c r="AK60" s="62"/>
    </row>
    <row r="61" spans="1:37" x14ac:dyDescent="0.3">
      <c r="A61" s="65">
        <v>38</v>
      </c>
      <c r="B61" s="63">
        <v>46132</v>
      </c>
      <c r="C61" s="66" t="s">
        <v>251</v>
      </c>
      <c r="D61" s="66" t="s">
        <v>98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 t="s">
        <v>213</v>
      </c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 t="s">
        <v>213</v>
      </c>
      <c r="AE61" s="67"/>
      <c r="AF61" s="67"/>
      <c r="AG61" s="67"/>
      <c r="AH61" s="67"/>
      <c r="AI61" s="67"/>
      <c r="AJ61" s="62"/>
      <c r="AK61" s="62"/>
    </row>
    <row r="62" spans="1:37" x14ac:dyDescent="0.3">
      <c r="A62" s="65"/>
      <c r="B62" s="63">
        <v>46133</v>
      </c>
      <c r="C62" s="66" t="s">
        <v>223</v>
      </c>
      <c r="D62" s="66" t="s">
        <v>101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 t="s">
        <v>213</v>
      </c>
      <c r="W62" s="67"/>
      <c r="X62" s="67"/>
      <c r="Y62" s="67"/>
      <c r="Z62" s="67"/>
      <c r="AA62" s="67"/>
      <c r="AB62" s="67"/>
      <c r="AC62" s="67"/>
      <c r="AD62" s="67" t="s">
        <v>213</v>
      </c>
      <c r="AE62" s="67"/>
      <c r="AF62" s="67"/>
      <c r="AG62" s="67"/>
      <c r="AH62" s="67"/>
      <c r="AI62" s="67"/>
      <c r="AJ62" s="62"/>
      <c r="AK62" s="62"/>
    </row>
    <row r="63" spans="1:37" x14ac:dyDescent="0.3">
      <c r="A63" s="65"/>
      <c r="B63" s="63">
        <v>46134</v>
      </c>
      <c r="C63" s="66" t="s">
        <v>252</v>
      </c>
      <c r="D63" s="66" t="s">
        <v>97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 t="s">
        <v>213</v>
      </c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2"/>
      <c r="AK63" s="62"/>
    </row>
    <row r="64" spans="1:37" x14ac:dyDescent="0.3">
      <c r="A64" s="65">
        <v>39</v>
      </c>
      <c r="B64" s="63">
        <v>46135</v>
      </c>
      <c r="C64" s="66" t="s">
        <v>282</v>
      </c>
      <c r="D64" s="66" t="s">
        <v>96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 t="s">
        <v>213</v>
      </c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 t="s">
        <v>213</v>
      </c>
      <c r="AE64" s="67"/>
      <c r="AF64" s="67"/>
      <c r="AG64" s="67"/>
      <c r="AH64" s="67"/>
      <c r="AI64" s="67"/>
      <c r="AJ64" s="62"/>
      <c r="AK64" s="62"/>
    </row>
    <row r="65" spans="1:37" x14ac:dyDescent="0.3">
      <c r="A65" s="65"/>
      <c r="B65" s="63">
        <v>46137</v>
      </c>
      <c r="C65" s="66" t="s">
        <v>283</v>
      </c>
      <c r="D65" s="66" t="s">
        <v>64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 t="s">
        <v>219</v>
      </c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2"/>
      <c r="AK65" s="62"/>
    </row>
    <row r="66" spans="1:37" x14ac:dyDescent="0.3">
      <c r="A66" s="65"/>
      <c r="B66" s="63">
        <v>46139</v>
      </c>
      <c r="C66" s="66" t="s">
        <v>284</v>
      </c>
      <c r="D66" s="66" t="s">
        <v>98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 t="s">
        <v>213</v>
      </c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2"/>
      <c r="AK66" s="62"/>
    </row>
    <row r="67" spans="1:37" x14ac:dyDescent="0.3">
      <c r="A67" s="65">
        <v>40</v>
      </c>
      <c r="B67" s="63">
        <v>46143</v>
      </c>
      <c r="C67" s="66" t="s">
        <v>207</v>
      </c>
      <c r="D67" s="66" t="s">
        <v>127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 t="s">
        <v>213</v>
      </c>
      <c r="P67" s="67"/>
      <c r="Q67" s="67" t="s">
        <v>213</v>
      </c>
      <c r="R67" s="67"/>
      <c r="S67" s="67"/>
      <c r="T67" s="67"/>
      <c r="U67" s="67"/>
      <c r="V67" s="67" t="s">
        <v>213</v>
      </c>
      <c r="W67" s="67"/>
      <c r="X67" s="67"/>
      <c r="Y67" s="67"/>
      <c r="Z67" s="67"/>
      <c r="AA67" s="67"/>
      <c r="AB67" s="67"/>
      <c r="AC67" s="67"/>
      <c r="AD67" s="67" t="s">
        <v>213</v>
      </c>
      <c r="AE67" s="67" t="s">
        <v>212</v>
      </c>
      <c r="AF67" s="67" t="s">
        <v>212</v>
      </c>
      <c r="AG67" s="67" t="s">
        <v>212</v>
      </c>
      <c r="AH67" s="67"/>
      <c r="AI67" s="67" t="s">
        <v>212</v>
      </c>
      <c r="AJ67" s="62"/>
      <c r="AK67" s="62"/>
    </row>
    <row r="68" spans="1:37" x14ac:dyDescent="0.3">
      <c r="A68" s="65">
        <v>41</v>
      </c>
      <c r="B68" s="63">
        <v>46149</v>
      </c>
      <c r="C68" s="66" t="s">
        <v>203</v>
      </c>
      <c r="D68" s="66" t="s">
        <v>96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2"/>
      <c r="AK68" s="62"/>
    </row>
    <row r="69" spans="1:37" x14ac:dyDescent="0.3">
      <c r="A69" s="65">
        <v>42</v>
      </c>
      <c r="B69" s="63">
        <v>46150</v>
      </c>
      <c r="C69" s="66" t="s">
        <v>183</v>
      </c>
      <c r="D69" s="66" t="s">
        <v>127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2"/>
      <c r="AK69" s="62"/>
    </row>
    <row r="70" spans="1:37" x14ac:dyDescent="0.3">
      <c r="A70" s="65">
        <v>43</v>
      </c>
      <c r="B70" s="63">
        <v>46158</v>
      </c>
      <c r="C70" s="66" t="s">
        <v>196</v>
      </c>
      <c r="D70" s="66" t="s">
        <v>64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2"/>
      <c r="AK70" s="62"/>
    </row>
    <row r="71" spans="1:37" x14ac:dyDescent="0.3">
      <c r="A71" s="65">
        <v>44</v>
      </c>
      <c r="B71" s="63">
        <v>46169</v>
      </c>
      <c r="C71" s="66" t="s">
        <v>193</v>
      </c>
      <c r="D71" s="66" t="s">
        <v>97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 t="s">
        <v>213</v>
      </c>
      <c r="P71" s="67"/>
      <c r="Q71" s="67"/>
      <c r="R71" s="67"/>
      <c r="S71" s="67"/>
      <c r="T71" s="67"/>
      <c r="U71" s="67"/>
      <c r="V71" s="67" t="s">
        <v>213</v>
      </c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2"/>
      <c r="AK71" s="62"/>
    </row>
    <row r="72" spans="1:37" x14ac:dyDescent="0.3">
      <c r="A72" s="65">
        <v>45</v>
      </c>
      <c r="B72" s="63">
        <v>46170</v>
      </c>
      <c r="C72" s="66" t="s">
        <v>138</v>
      </c>
      <c r="D72" s="66" t="s">
        <v>96</v>
      </c>
      <c r="E72" s="67"/>
      <c r="F72" s="67"/>
      <c r="G72" s="67"/>
      <c r="H72" s="67"/>
      <c r="I72" s="67"/>
      <c r="J72" s="67"/>
      <c r="K72" s="67"/>
      <c r="L72" s="67" t="s">
        <v>213</v>
      </c>
      <c r="M72" s="67"/>
      <c r="N72" s="67"/>
      <c r="O72" s="67"/>
      <c r="P72" s="67"/>
      <c r="Q72" s="67" t="s">
        <v>213</v>
      </c>
      <c r="R72" s="67"/>
      <c r="S72" s="67" t="s">
        <v>213</v>
      </c>
      <c r="T72" s="67"/>
      <c r="U72" s="67"/>
      <c r="V72" s="67"/>
      <c r="W72" s="67"/>
      <c r="X72" s="67" t="s">
        <v>213</v>
      </c>
      <c r="Y72" s="67" t="s">
        <v>213</v>
      </c>
      <c r="Z72" s="67"/>
      <c r="AA72" s="67" t="s">
        <v>213</v>
      </c>
      <c r="AB72" s="67"/>
      <c r="AC72" s="67"/>
      <c r="AD72" s="67" t="s">
        <v>213</v>
      </c>
      <c r="AE72" s="67" t="s">
        <v>213</v>
      </c>
      <c r="AF72" s="67" t="s">
        <v>213</v>
      </c>
      <c r="AG72" s="67" t="s">
        <v>213</v>
      </c>
      <c r="AH72" s="67"/>
      <c r="AI72" s="67" t="s">
        <v>213</v>
      </c>
      <c r="AJ72" s="62"/>
      <c r="AK72" s="62"/>
    </row>
    <row r="73" spans="1:37" x14ac:dyDescent="0.3">
      <c r="A73" s="65"/>
      <c r="B73" s="63">
        <v>46174</v>
      </c>
      <c r="C73" s="66" t="s">
        <v>298</v>
      </c>
      <c r="D73" s="66" t="s">
        <v>98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 t="s">
        <v>213</v>
      </c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2"/>
      <c r="AK73" s="62"/>
    </row>
    <row r="74" spans="1:37" x14ac:dyDescent="0.3">
      <c r="A74" s="65"/>
      <c r="B74" s="63">
        <v>46177</v>
      </c>
      <c r="C74" s="66" t="s">
        <v>307</v>
      </c>
      <c r="D74" s="66" t="s">
        <v>96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 t="s">
        <v>213</v>
      </c>
      <c r="T74" s="67"/>
      <c r="U74" s="67"/>
      <c r="V74" s="67"/>
      <c r="W74" s="67"/>
      <c r="X74" s="67" t="s">
        <v>213</v>
      </c>
      <c r="Y74" s="67" t="s">
        <v>213</v>
      </c>
      <c r="Z74" s="67"/>
      <c r="AA74" s="67" t="s">
        <v>213</v>
      </c>
      <c r="AB74" s="67"/>
      <c r="AC74" s="67"/>
      <c r="AD74" s="67"/>
      <c r="AE74" s="67"/>
      <c r="AF74" s="67"/>
      <c r="AG74" s="67"/>
      <c r="AH74" s="67"/>
      <c r="AI74" s="67"/>
      <c r="AJ74" s="62"/>
      <c r="AK74" s="62"/>
    </row>
    <row r="75" spans="1:37" x14ac:dyDescent="0.3">
      <c r="A75" s="65">
        <v>46</v>
      </c>
      <c r="B75" s="63">
        <v>46188</v>
      </c>
      <c r="C75" s="66" t="s">
        <v>164</v>
      </c>
      <c r="D75" s="66" t="s">
        <v>98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 t="s">
        <v>213</v>
      </c>
      <c r="T75" s="67"/>
      <c r="U75" s="67"/>
      <c r="V75" s="67"/>
      <c r="W75" s="67"/>
      <c r="X75" s="67" t="s">
        <v>213</v>
      </c>
      <c r="Y75" s="67" t="s">
        <v>213</v>
      </c>
      <c r="Z75" s="67"/>
      <c r="AA75" s="67" t="s">
        <v>213</v>
      </c>
      <c r="AB75" s="67"/>
      <c r="AC75" s="67"/>
      <c r="AD75" s="67"/>
      <c r="AE75" s="67"/>
      <c r="AF75" s="67"/>
      <c r="AG75" s="67"/>
      <c r="AH75" s="67"/>
      <c r="AI75" s="67"/>
      <c r="AJ75" s="62"/>
      <c r="AK75" s="62"/>
    </row>
    <row r="76" spans="1:37" x14ac:dyDescent="0.3">
      <c r="A76" s="65">
        <v>47</v>
      </c>
      <c r="B76" s="63">
        <v>46190</v>
      </c>
      <c r="C76" s="66" t="s">
        <v>253</v>
      </c>
      <c r="D76" s="66" t="s">
        <v>97</v>
      </c>
      <c r="E76" s="67"/>
      <c r="F76" s="67"/>
      <c r="G76" s="67"/>
      <c r="H76" s="67"/>
      <c r="I76" s="67"/>
      <c r="J76" s="67"/>
      <c r="K76" s="67"/>
      <c r="L76" s="67" t="s">
        <v>213</v>
      </c>
      <c r="M76" s="67"/>
      <c r="N76" s="67"/>
      <c r="O76" s="67" t="s">
        <v>213</v>
      </c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2"/>
      <c r="AK76" s="62"/>
    </row>
    <row r="77" spans="1:37" x14ac:dyDescent="0.3">
      <c r="A77" s="65"/>
      <c r="B77" s="63">
        <v>46191</v>
      </c>
      <c r="C77" s="66" t="s">
        <v>285</v>
      </c>
      <c r="D77" s="66" t="s">
        <v>96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 t="s">
        <v>213</v>
      </c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2"/>
      <c r="AK77" s="62"/>
    </row>
    <row r="78" spans="1:37" x14ac:dyDescent="0.3">
      <c r="A78" s="65"/>
      <c r="B78" s="63">
        <v>46195</v>
      </c>
      <c r="C78" s="66" t="s">
        <v>303</v>
      </c>
      <c r="D78" s="66" t="s">
        <v>98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2"/>
      <c r="AK78" s="62"/>
    </row>
    <row r="79" spans="1:37" x14ac:dyDescent="0.3">
      <c r="A79" s="65"/>
      <c r="B79" s="63">
        <v>46196</v>
      </c>
      <c r="C79" s="66" t="s">
        <v>254</v>
      </c>
      <c r="D79" s="66" t="s">
        <v>101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 t="s">
        <v>213</v>
      </c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2"/>
      <c r="AK79" s="62"/>
    </row>
    <row r="80" spans="1:37" x14ac:dyDescent="0.3">
      <c r="A80" s="65">
        <v>48</v>
      </c>
      <c r="B80" s="63">
        <v>46197</v>
      </c>
      <c r="C80" s="66" t="s">
        <v>255</v>
      </c>
      <c r="D80" s="66" t="s">
        <v>97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 t="s">
        <v>213</v>
      </c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2"/>
      <c r="AK80" s="62"/>
    </row>
    <row r="81" spans="1:37" x14ac:dyDescent="0.3">
      <c r="A81" s="65">
        <v>49</v>
      </c>
      <c r="B81" s="63">
        <v>46198</v>
      </c>
      <c r="C81" s="66" t="s">
        <v>122</v>
      </c>
      <c r="D81" s="66" t="s">
        <v>96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2"/>
      <c r="AK81" s="62"/>
    </row>
    <row r="82" spans="1:37" x14ac:dyDescent="0.3">
      <c r="A82" s="65">
        <v>50</v>
      </c>
      <c r="B82" s="63">
        <v>46199</v>
      </c>
      <c r="C82" s="66" t="s">
        <v>122</v>
      </c>
      <c r="D82" s="66" t="s">
        <v>127</v>
      </c>
      <c r="E82" s="67"/>
      <c r="F82" s="67"/>
      <c r="G82" s="67"/>
      <c r="H82" s="67"/>
      <c r="I82" s="67"/>
      <c r="J82" s="67"/>
      <c r="K82" s="67"/>
      <c r="L82" s="67" t="s">
        <v>213</v>
      </c>
      <c r="M82" s="67"/>
      <c r="N82" s="67"/>
      <c r="O82" s="67" t="s">
        <v>213</v>
      </c>
      <c r="P82" s="67"/>
      <c r="Q82" s="67" t="s">
        <v>213</v>
      </c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 t="s">
        <v>213</v>
      </c>
      <c r="AE82" s="67" t="s">
        <v>213</v>
      </c>
      <c r="AF82" s="67" t="s">
        <v>213</v>
      </c>
      <c r="AG82" s="67" t="s">
        <v>213</v>
      </c>
      <c r="AH82" s="67"/>
      <c r="AI82" s="67"/>
      <c r="AJ82" s="62"/>
      <c r="AK82" s="62"/>
    </row>
    <row r="83" spans="1:37" x14ac:dyDescent="0.3">
      <c r="A83" s="65"/>
      <c r="B83" s="63">
        <v>46200</v>
      </c>
      <c r="C83" s="66" t="s">
        <v>122</v>
      </c>
      <c r="D83" s="66" t="s">
        <v>64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 t="s">
        <v>219</v>
      </c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2"/>
      <c r="AK83" s="62"/>
    </row>
    <row r="84" spans="1:37" x14ac:dyDescent="0.3">
      <c r="A84" s="65">
        <v>51</v>
      </c>
      <c r="B84" s="63">
        <v>46202</v>
      </c>
      <c r="C84" s="66" t="s">
        <v>173</v>
      </c>
      <c r="D84" s="66" t="s">
        <v>98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 t="s">
        <v>213</v>
      </c>
      <c r="P84" s="67"/>
      <c r="Q84" s="67" t="s">
        <v>213</v>
      </c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2"/>
      <c r="AK84" s="62"/>
    </row>
    <row r="85" spans="1:37" x14ac:dyDescent="0.3">
      <c r="A85" s="65">
        <v>52</v>
      </c>
      <c r="B85" s="63">
        <v>46203</v>
      </c>
      <c r="C85" s="66" t="s">
        <v>165</v>
      </c>
      <c r="D85" s="66" t="s">
        <v>101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2"/>
      <c r="AK85" s="62"/>
    </row>
    <row r="86" spans="1:37" x14ac:dyDescent="0.3">
      <c r="A86" s="65">
        <v>53</v>
      </c>
      <c r="B86" s="63">
        <v>46204</v>
      </c>
      <c r="C86" s="66" t="s">
        <v>175</v>
      </c>
      <c r="D86" s="66" t="s">
        <v>97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2"/>
      <c r="AK86" s="62"/>
    </row>
    <row r="87" spans="1:37" x14ac:dyDescent="0.3">
      <c r="A87" s="65">
        <v>54</v>
      </c>
      <c r="B87" s="63">
        <v>46209</v>
      </c>
      <c r="C87" s="66" t="s">
        <v>166</v>
      </c>
      <c r="D87" s="66" t="s">
        <v>98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2"/>
      <c r="AK87" s="62"/>
    </row>
    <row r="88" spans="1:37" x14ac:dyDescent="0.3">
      <c r="A88" s="65">
        <v>55</v>
      </c>
      <c r="B88" s="63">
        <v>46212</v>
      </c>
      <c r="C88" s="66" t="s">
        <v>155</v>
      </c>
      <c r="D88" s="66" t="s">
        <v>96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 t="s">
        <v>213</v>
      </c>
      <c r="T88" s="67"/>
      <c r="U88" s="67"/>
      <c r="V88" s="67"/>
      <c r="W88" s="67"/>
      <c r="X88" s="67" t="s">
        <v>213</v>
      </c>
      <c r="Y88" s="67" t="s">
        <v>213</v>
      </c>
      <c r="Z88" s="67"/>
      <c r="AA88" s="67" t="s">
        <v>213</v>
      </c>
      <c r="AB88" s="67"/>
      <c r="AC88" s="67"/>
      <c r="AD88" s="67"/>
      <c r="AE88" s="67"/>
      <c r="AF88" s="67"/>
      <c r="AG88" s="67"/>
      <c r="AH88" s="67"/>
      <c r="AI88" s="67"/>
      <c r="AJ88" s="62"/>
      <c r="AK88" s="62"/>
    </row>
    <row r="89" spans="1:37" x14ac:dyDescent="0.3">
      <c r="A89" s="65">
        <v>56</v>
      </c>
      <c r="B89" s="63">
        <v>46219</v>
      </c>
      <c r="C89" s="66" t="s">
        <v>257</v>
      </c>
      <c r="D89" s="66" t="s">
        <v>96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 t="s">
        <v>213</v>
      </c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2"/>
      <c r="AK89" s="62"/>
    </row>
    <row r="90" spans="1:37" x14ac:dyDescent="0.3">
      <c r="A90" s="65">
        <v>57</v>
      </c>
      <c r="B90" s="63">
        <v>46220</v>
      </c>
      <c r="C90" s="66" t="s">
        <v>156</v>
      </c>
      <c r="D90" s="66" t="s">
        <v>127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2"/>
      <c r="AK90" s="62"/>
    </row>
    <row r="91" spans="1:37" x14ac:dyDescent="0.3">
      <c r="A91" s="65"/>
      <c r="B91" s="63">
        <v>46238</v>
      </c>
      <c r="C91" s="66" t="s">
        <v>286</v>
      </c>
      <c r="D91" s="66" t="s">
        <v>101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 t="s">
        <v>213</v>
      </c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2"/>
      <c r="AK91" s="62"/>
    </row>
    <row r="92" spans="1:37" x14ac:dyDescent="0.3">
      <c r="A92" s="65"/>
      <c r="B92" s="63">
        <v>46243</v>
      </c>
      <c r="C92" s="66" t="s">
        <v>234</v>
      </c>
      <c r="D92" s="66" t="s">
        <v>63</v>
      </c>
      <c r="E92" s="67"/>
      <c r="F92" s="67"/>
      <c r="G92" s="67"/>
      <c r="H92" s="67"/>
      <c r="I92" s="67"/>
      <c r="J92" s="67"/>
      <c r="K92" s="67"/>
      <c r="L92" s="67" t="s">
        <v>219</v>
      </c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2"/>
      <c r="AK92" s="62"/>
    </row>
    <row r="93" spans="1:37" x14ac:dyDescent="0.3">
      <c r="A93" s="65">
        <v>58</v>
      </c>
      <c r="B93" s="63">
        <v>46246</v>
      </c>
      <c r="C93" s="66" t="s">
        <v>256</v>
      </c>
      <c r="D93" s="66" t="s">
        <v>97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 t="s">
        <v>213</v>
      </c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2"/>
      <c r="AK93" s="62"/>
    </row>
    <row r="94" spans="1:37" x14ac:dyDescent="0.3">
      <c r="A94" s="65">
        <v>59</v>
      </c>
      <c r="B94" s="63">
        <v>46249</v>
      </c>
      <c r="C94" s="66" t="s">
        <v>46</v>
      </c>
      <c r="D94" s="67" t="s">
        <v>64</v>
      </c>
      <c r="E94" s="67"/>
      <c r="F94" s="67"/>
      <c r="G94" s="67"/>
      <c r="H94" s="67"/>
      <c r="I94" s="67"/>
      <c r="J94" s="67"/>
      <c r="K94" s="67"/>
      <c r="L94" s="67" t="s">
        <v>218</v>
      </c>
      <c r="M94" s="67"/>
      <c r="N94" s="67"/>
      <c r="O94" s="67" t="s">
        <v>218</v>
      </c>
      <c r="P94" s="67"/>
      <c r="Q94" s="67" t="s">
        <v>218</v>
      </c>
      <c r="R94" s="67"/>
      <c r="S94" s="67" t="s">
        <v>218</v>
      </c>
      <c r="T94" s="67"/>
      <c r="U94" s="67"/>
      <c r="V94" s="67" t="s">
        <v>302</v>
      </c>
      <c r="W94" s="67"/>
      <c r="X94" s="67" t="s">
        <v>302</v>
      </c>
      <c r="Y94" s="67" t="s">
        <v>302</v>
      </c>
      <c r="Z94" s="67"/>
      <c r="AA94" s="67" t="s">
        <v>302</v>
      </c>
      <c r="AB94" s="67"/>
      <c r="AC94" s="67"/>
      <c r="AD94" s="67" t="s">
        <v>218</v>
      </c>
      <c r="AE94" s="67" t="s">
        <v>218</v>
      </c>
      <c r="AF94" s="67" t="s">
        <v>218</v>
      </c>
      <c r="AG94" s="67" t="s">
        <v>218</v>
      </c>
      <c r="AH94" s="67"/>
      <c r="AI94" s="67" t="s">
        <v>218</v>
      </c>
      <c r="AJ94" s="62"/>
      <c r="AK94" s="62"/>
    </row>
    <row r="95" spans="1:37" x14ac:dyDescent="0.3">
      <c r="A95" s="65"/>
      <c r="B95" s="63">
        <v>46251</v>
      </c>
      <c r="C95" s="66" t="s">
        <v>258</v>
      </c>
      <c r="D95" s="69" t="s">
        <v>98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 t="s">
        <v>213</v>
      </c>
      <c r="P95" s="67"/>
      <c r="Q95" s="67"/>
      <c r="R95" s="67"/>
      <c r="S95" s="67" t="s">
        <v>213</v>
      </c>
      <c r="T95" s="67"/>
      <c r="U95" s="67"/>
      <c r="V95" s="67"/>
      <c r="W95" s="67"/>
      <c r="X95" s="67" t="s">
        <v>213</v>
      </c>
      <c r="Y95" s="67" t="s">
        <v>213</v>
      </c>
      <c r="Z95" s="67"/>
      <c r="AA95" s="67" t="s">
        <v>213</v>
      </c>
      <c r="AB95" s="67"/>
      <c r="AC95" s="67"/>
      <c r="AD95" s="67"/>
      <c r="AE95" s="67"/>
      <c r="AF95" s="67"/>
      <c r="AG95" s="67"/>
      <c r="AH95" s="67"/>
      <c r="AI95" s="67"/>
      <c r="AJ95" s="62"/>
      <c r="AK95" s="62"/>
    </row>
    <row r="96" spans="1:37" x14ac:dyDescent="0.3">
      <c r="A96" s="65"/>
      <c r="B96" s="63">
        <v>46255</v>
      </c>
      <c r="C96" s="66" t="s">
        <v>224</v>
      </c>
      <c r="D96" s="69" t="s">
        <v>127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 t="s">
        <v>213</v>
      </c>
      <c r="AE96" s="67"/>
      <c r="AF96" s="67"/>
      <c r="AG96" s="67"/>
      <c r="AH96" s="67"/>
      <c r="AI96" s="67"/>
      <c r="AJ96" s="62"/>
      <c r="AK96" s="62"/>
    </row>
    <row r="97" spans="1:37" x14ac:dyDescent="0.3">
      <c r="A97" s="65"/>
      <c r="B97" s="63">
        <v>46258</v>
      </c>
      <c r="C97" s="66" t="s">
        <v>287</v>
      </c>
      <c r="D97" s="69" t="s">
        <v>98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 t="s">
        <v>213</v>
      </c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2"/>
      <c r="AK97" s="62"/>
    </row>
    <row r="98" spans="1:37" x14ac:dyDescent="0.3">
      <c r="A98" s="65">
        <v>60</v>
      </c>
      <c r="B98" s="63">
        <v>46259</v>
      </c>
      <c r="C98" s="66" t="s">
        <v>131</v>
      </c>
      <c r="D98" s="66" t="s">
        <v>101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 t="s">
        <v>213</v>
      </c>
      <c r="AJ98" s="62"/>
      <c r="AK98" s="62"/>
    </row>
    <row r="99" spans="1:37" x14ac:dyDescent="0.3">
      <c r="A99" s="65">
        <v>61</v>
      </c>
      <c r="B99" s="63">
        <v>46260</v>
      </c>
      <c r="C99" s="66" t="s">
        <v>259</v>
      </c>
      <c r="D99" s="66" t="s">
        <v>97</v>
      </c>
      <c r="E99" s="67"/>
      <c r="F99" s="67"/>
      <c r="G99" s="67"/>
      <c r="H99" s="67"/>
      <c r="I99" s="67"/>
      <c r="J99" s="67"/>
      <c r="K99" s="67"/>
      <c r="L99" s="67" t="s">
        <v>213</v>
      </c>
      <c r="M99" s="67"/>
      <c r="N99" s="67"/>
      <c r="O99" s="67" t="s">
        <v>213</v>
      </c>
      <c r="P99" s="67"/>
      <c r="Q99" s="67"/>
      <c r="R99" s="67"/>
      <c r="S99" s="67" t="s">
        <v>213</v>
      </c>
      <c r="T99" s="67"/>
      <c r="U99" s="67"/>
      <c r="V99" s="67"/>
      <c r="W99" s="67"/>
      <c r="X99" s="67" t="s">
        <v>213</v>
      </c>
      <c r="Y99" s="67" t="s">
        <v>213</v>
      </c>
      <c r="Z99" s="67"/>
      <c r="AA99" s="67" t="s">
        <v>213</v>
      </c>
      <c r="AB99" s="67"/>
      <c r="AC99" s="67"/>
      <c r="AD99" s="67" t="s">
        <v>213</v>
      </c>
      <c r="AE99" s="67" t="s">
        <v>213</v>
      </c>
      <c r="AF99" s="67" t="s">
        <v>213</v>
      </c>
      <c r="AG99" s="67" t="s">
        <v>213</v>
      </c>
      <c r="AH99" s="67"/>
      <c r="AI99" s="67"/>
      <c r="AJ99" s="62"/>
      <c r="AK99" s="62"/>
    </row>
    <row r="100" spans="1:37" x14ac:dyDescent="0.3">
      <c r="A100" s="65">
        <v>62</v>
      </c>
      <c r="B100" s="63">
        <v>46261</v>
      </c>
      <c r="C100" s="66" t="s">
        <v>225</v>
      </c>
      <c r="D100" s="66" t="s">
        <v>96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 t="s">
        <v>213</v>
      </c>
      <c r="AE100" s="67"/>
      <c r="AF100" s="67"/>
      <c r="AG100" s="67"/>
      <c r="AH100" s="67"/>
      <c r="AI100" s="67"/>
      <c r="AJ100" s="62"/>
      <c r="AK100" s="62"/>
    </row>
    <row r="101" spans="1:37" x14ac:dyDescent="0.3">
      <c r="A101" s="65">
        <v>63</v>
      </c>
      <c r="B101" s="63">
        <v>46262</v>
      </c>
      <c r="C101" s="66" t="s">
        <v>288</v>
      </c>
      <c r="D101" s="66" t="s">
        <v>127</v>
      </c>
      <c r="E101" s="67"/>
      <c r="F101" s="67"/>
      <c r="G101" s="67"/>
      <c r="H101" s="67"/>
      <c r="I101" s="67"/>
      <c r="J101" s="67"/>
      <c r="K101" s="67"/>
      <c r="L101" s="67" t="s">
        <v>213</v>
      </c>
      <c r="M101" s="67"/>
      <c r="N101" s="67"/>
      <c r="O101" s="67" t="s">
        <v>213</v>
      </c>
      <c r="P101" s="67"/>
      <c r="Q101" s="67" t="s">
        <v>213</v>
      </c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 t="s">
        <v>213</v>
      </c>
      <c r="AE101" s="67"/>
      <c r="AF101" s="67"/>
      <c r="AG101" s="67"/>
      <c r="AH101" s="67"/>
      <c r="AI101" s="67"/>
      <c r="AJ101" s="62"/>
      <c r="AK101" s="62"/>
    </row>
    <row r="102" spans="1:37" x14ac:dyDescent="0.3">
      <c r="A102" s="65"/>
      <c r="B102" s="63">
        <v>46266</v>
      </c>
      <c r="C102" s="66" t="s">
        <v>299</v>
      </c>
      <c r="D102" s="66" t="s">
        <v>101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 t="s">
        <v>213</v>
      </c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2"/>
      <c r="AK102" s="62"/>
    </row>
    <row r="103" spans="1:37" x14ac:dyDescent="0.3">
      <c r="A103" s="65"/>
      <c r="B103" s="63">
        <v>46267</v>
      </c>
      <c r="C103" s="66" t="s">
        <v>260</v>
      </c>
      <c r="D103" s="66" t="s">
        <v>97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 t="s">
        <v>213</v>
      </c>
      <c r="P103" s="67"/>
      <c r="Q103" s="67"/>
      <c r="R103" s="67"/>
      <c r="S103" s="67" t="s">
        <v>213</v>
      </c>
      <c r="T103" s="67"/>
      <c r="U103" s="67"/>
      <c r="V103" s="67"/>
      <c r="W103" s="67"/>
      <c r="X103" s="67" t="s">
        <v>213</v>
      </c>
      <c r="Y103" s="67" t="s">
        <v>213</v>
      </c>
      <c r="Z103" s="67"/>
      <c r="AA103" s="67" t="s">
        <v>213</v>
      </c>
      <c r="AB103" s="67"/>
      <c r="AC103" s="67"/>
      <c r="AD103" s="67"/>
      <c r="AE103" s="67"/>
      <c r="AF103" s="67"/>
      <c r="AG103" s="67"/>
      <c r="AH103" s="67"/>
      <c r="AI103" s="67"/>
      <c r="AJ103" s="62"/>
      <c r="AK103" s="62"/>
    </row>
    <row r="104" spans="1:37" x14ac:dyDescent="0.3">
      <c r="A104" s="65">
        <v>64</v>
      </c>
      <c r="B104" s="63">
        <v>46269</v>
      </c>
      <c r="C104" s="66" t="s">
        <v>123</v>
      </c>
      <c r="D104" s="66" t="s">
        <v>127</v>
      </c>
      <c r="E104" s="67"/>
      <c r="F104" s="67"/>
      <c r="G104" s="67"/>
      <c r="H104" s="67"/>
      <c r="I104" s="67"/>
      <c r="J104" s="67"/>
      <c r="K104" s="67"/>
      <c r="L104" s="67" t="s">
        <v>213</v>
      </c>
      <c r="M104" s="67"/>
      <c r="N104" s="67"/>
      <c r="O104" s="67" t="s">
        <v>213</v>
      </c>
      <c r="P104" s="67"/>
      <c r="Q104" s="67" t="s">
        <v>213</v>
      </c>
      <c r="R104" s="67"/>
      <c r="S104" s="67" t="s">
        <v>213</v>
      </c>
      <c r="T104" s="67"/>
      <c r="U104" s="67"/>
      <c r="V104" s="67" t="s">
        <v>213</v>
      </c>
      <c r="W104" s="67"/>
      <c r="X104" s="67" t="s">
        <v>213</v>
      </c>
      <c r="Y104" s="67" t="s">
        <v>213</v>
      </c>
      <c r="Z104" s="67"/>
      <c r="AA104" s="67" t="s">
        <v>213</v>
      </c>
      <c r="AB104" s="67"/>
      <c r="AC104" s="67"/>
      <c r="AD104" s="67" t="s">
        <v>213</v>
      </c>
      <c r="AE104" s="67" t="s">
        <v>213</v>
      </c>
      <c r="AF104" s="67" t="s">
        <v>213</v>
      </c>
      <c r="AG104" s="67" t="s">
        <v>213</v>
      </c>
      <c r="AH104" s="67"/>
      <c r="AI104" s="67"/>
      <c r="AJ104" s="62"/>
      <c r="AK104" s="62"/>
    </row>
    <row r="105" spans="1:37" x14ac:dyDescent="0.3">
      <c r="A105" s="65"/>
      <c r="B105" s="63">
        <v>46273</v>
      </c>
      <c r="C105" s="66" t="s">
        <v>226</v>
      </c>
      <c r="D105" s="66" t="s">
        <v>101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 t="s">
        <v>213</v>
      </c>
      <c r="AE105" s="67"/>
      <c r="AF105" s="67"/>
      <c r="AG105" s="67"/>
      <c r="AH105" s="67"/>
      <c r="AI105" s="67"/>
      <c r="AJ105" s="62"/>
      <c r="AK105" s="62"/>
    </row>
    <row r="106" spans="1:37" x14ac:dyDescent="0.3">
      <c r="A106" s="65"/>
      <c r="B106" s="63">
        <v>46275</v>
      </c>
      <c r="C106" s="66" t="s">
        <v>261</v>
      </c>
      <c r="D106" s="66" t="s">
        <v>96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 t="s">
        <v>213</v>
      </c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2"/>
      <c r="AK106" s="62"/>
    </row>
    <row r="107" spans="1:37" x14ac:dyDescent="0.3">
      <c r="A107" s="65"/>
      <c r="B107" s="63">
        <v>46277</v>
      </c>
      <c r="C107" s="66" t="s">
        <v>300</v>
      </c>
      <c r="D107" s="66" t="s">
        <v>64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 t="s">
        <v>219</v>
      </c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2"/>
      <c r="AK107" s="62"/>
    </row>
    <row r="108" spans="1:37" x14ac:dyDescent="0.3">
      <c r="A108" s="65">
        <v>65</v>
      </c>
      <c r="B108" s="63">
        <v>46279</v>
      </c>
      <c r="C108" s="66" t="s">
        <v>262</v>
      </c>
      <c r="D108" s="66" t="s">
        <v>98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 t="s">
        <v>213</v>
      </c>
      <c r="P108" s="67"/>
      <c r="Q108" s="67" t="s">
        <v>213</v>
      </c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 t="s">
        <v>213</v>
      </c>
      <c r="AE108" s="67" t="s">
        <v>213</v>
      </c>
      <c r="AF108" s="67" t="s">
        <v>213</v>
      </c>
      <c r="AG108" s="67" t="s">
        <v>213</v>
      </c>
      <c r="AH108" s="67"/>
      <c r="AI108" s="67" t="s">
        <v>213</v>
      </c>
      <c r="AJ108" s="62"/>
      <c r="AK108" s="62"/>
    </row>
    <row r="109" spans="1:37" x14ac:dyDescent="0.3">
      <c r="A109" s="65">
        <v>66</v>
      </c>
      <c r="B109" s="63">
        <v>46280</v>
      </c>
      <c r="C109" s="66" t="s">
        <v>150</v>
      </c>
      <c r="D109" s="66" t="s">
        <v>101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 t="s">
        <v>213</v>
      </c>
      <c r="AJ109" s="62"/>
      <c r="AK109" s="62"/>
    </row>
    <row r="110" spans="1:37" x14ac:dyDescent="0.3">
      <c r="A110" s="65"/>
      <c r="B110" s="63">
        <v>46282</v>
      </c>
      <c r="C110" s="66" t="s">
        <v>227</v>
      </c>
      <c r="D110" s="66" t="s">
        <v>96</v>
      </c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 t="s">
        <v>213</v>
      </c>
      <c r="P110" s="67"/>
      <c r="Q110" s="67" t="s">
        <v>213</v>
      </c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 t="s">
        <v>213</v>
      </c>
      <c r="AE110" s="67"/>
      <c r="AF110" s="67"/>
      <c r="AG110" s="67"/>
      <c r="AH110" s="67"/>
      <c r="AI110" s="67"/>
      <c r="AJ110" s="62"/>
      <c r="AK110" s="62"/>
    </row>
    <row r="111" spans="1:37" x14ac:dyDescent="0.3">
      <c r="A111" s="65"/>
      <c r="B111" s="63">
        <v>46283</v>
      </c>
      <c r="C111" s="66" t="s">
        <v>263</v>
      </c>
      <c r="D111" s="66" t="s">
        <v>127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 t="s">
        <v>213</v>
      </c>
      <c r="P111" s="67"/>
      <c r="Q111" s="67"/>
      <c r="R111" s="67"/>
      <c r="S111" s="67" t="s">
        <v>213</v>
      </c>
      <c r="T111" s="67"/>
      <c r="U111" s="67"/>
      <c r="V111" s="67"/>
      <c r="W111" s="67"/>
      <c r="X111" s="67" t="s">
        <v>213</v>
      </c>
      <c r="Y111" s="67" t="s">
        <v>213</v>
      </c>
      <c r="Z111" s="67"/>
      <c r="AA111" s="67" t="s">
        <v>213</v>
      </c>
      <c r="AB111" s="67"/>
      <c r="AC111" s="67"/>
      <c r="AD111" s="67"/>
      <c r="AE111" s="67"/>
      <c r="AF111" s="67"/>
      <c r="AG111" s="67"/>
      <c r="AH111" s="67"/>
      <c r="AI111" s="67"/>
      <c r="AJ111" s="62"/>
      <c r="AK111" s="62"/>
    </row>
    <row r="112" spans="1:37" x14ac:dyDescent="0.3">
      <c r="A112" s="65">
        <v>67</v>
      </c>
      <c r="B112" s="63">
        <v>46286</v>
      </c>
      <c r="C112" s="66" t="s">
        <v>235</v>
      </c>
      <c r="D112" s="66" t="s">
        <v>98</v>
      </c>
      <c r="E112" s="67"/>
      <c r="F112" s="67"/>
      <c r="G112" s="67"/>
      <c r="H112" s="67"/>
      <c r="I112" s="67"/>
      <c r="J112" s="67"/>
      <c r="K112" s="67"/>
      <c r="L112" s="67" t="s">
        <v>213</v>
      </c>
      <c r="M112" s="67"/>
      <c r="N112" s="67"/>
      <c r="O112" s="67"/>
      <c r="P112" s="67"/>
      <c r="Q112" s="67"/>
      <c r="R112" s="67"/>
      <c r="S112" s="67"/>
      <c r="T112" s="67"/>
      <c r="U112" s="67"/>
      <c r="V112" s="67" t="s">
        <v>213</v>
      </c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2"/>
      <c r="AK112" s="62"/>
    </row>
    <row r="113" spans="1:37" x14ac:dyDescent="0.3">
      <c r="A113" s="65"/>
      <c r="B113" s="63">
        <v>46287</v>
      </c>
      <c r="C113" s="66" t="s">
        <v>264</v>
      </c>
      <c r="D113" s="66" t="s">
        <v>101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 t="s">
        <v>213</v>
      </c>
      <c r="P113" s="67"/>
      <c r="Q113" s="67"/>
      <c r="R113" s="67"/>
      <c r="S113" s="67"/>
      <c r="T113" s="67"/>
      <c r="U113" s="67"/>
      <c r="V113" s="67" t="s">
        <v>213</v>
      </c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2"/>
      <c r="AK113" s="62"/>
    </row>
    <row r="114" spans="1:37" x14ac:dyDescent="0.3">
      <c r="A114" s="65"/>
      <c r="B114" s="63">
        <v>46290</v>
      </c>
      <c r="C114" s="66" t="s">
        <v>228</v>
      </c>
      <c r="D114" s="66" t="s">
        <v>127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 t="s">
        <v>213</v>
      </c>
      <c r="P114" s="67"/>
      <c r="Q114" s="67"/>
      <c r="R114" s="67"/>
      <c r="S114" s="67" t="s">
        <v>213</v>
      </c>
      <c r="T114" s="67"/>
      <c r="U114" s="67"/>
      <c r="V114" s="67"/>
      <c r="W114" s="67"/>
      <c r="X114" s="67" t="s">
        <v>213</v>
      </c>
      <c r="Y114" s="67" t="s">
        <v>213</v>
      </c>
      <c r="Z114" s="67"/>
      <c r="AA114" s="67" t="s">
        <v>213</v>
      </c>
      <c r="AB114" s="67"/>
      <c r="AC114" s="67"/>
      <c r="AD114" s="67" t="s">
        <v>213</v>
      </c>
      <c r="AE114" s="67"/>
      <c r="AF114" s="67"/>
      <c r="AG114" s="67"/>
      <c r="AH114" s="67"/>
      <c r="AI114" s="67"/>
      <c r="AJ114" s="62"/>
      <c r="AK114" s="62"/>
    </row>
    <row r="115" spans="1:37" x14ac:dyDescent="0.3">
      <c r="A115" s="65"/>
      <c r="B115" s="63">
        <v>46291</v>
      </c>
      <c r="C115" s="66" t="s">
        <v>308</v>
      </c>
      <c r="D115" s="66" t="s">
        <v>64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 t="s">
        <v>219</v>
      </c>
      <c r="T115" s="67"/>
      <c r="U115" s="67"/>
      <c r="V115" s="67"/>
      <c r="W115" s="67"/>
      <c r="X115" s="67" t="s">
        <v>219</v>
      </c>
      <c r="Y115" s="67" t="s">
        <v>219</v>
      </c>
      <c r="Z115" s="67"/>
      <c r="AA115" s="67" t="s">
        <v>219</v>
      </c>
      <c r="AB115" s="67"/>
      <c r="AC115" s="67"/>
      <c r="AD115" s="67"/>
      <c r="AE115" s="67"/>
      <c r="AF115" s="67"/>
      <c r="AG115" s="67"/>
      <c r="AH115" s="67"/>
      <c r="AI115" s="67"/>
      <c r="AJ115" s="62"/>
      <c r="AK115" s="62"/>
    </row>
    <row r="116" spans="1:37" x14ac:dyDescent="0.3">
      <c r="A116" s="65"/>
      <c r="B116" s="63">
        <v>46292</v>
      </c>
      <c r="C116" s="66" t="s">
        <v>308</v>
      </c>
      <c r="D116" s="66" t="s">
        <v>63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 t="s">
        <v>219</v>
      </c>
      <c r="T116" s="67"/>
      <c r="U116" s="67"/>
      <c r="V116" s="67"/>
      <c r="W116" s="67"/>
      <c r="X116" s="67" t="s">
        <v>219</v>
      </c>
      <c r="Y116" s="67" t="s">
        <v>219</v>
      </c>
      <c r="Z116" s="67"/>
      <c r="AA116" s="67" t="s">
        <v>219</v>
      </c>
      <c r="AB116" s="67"/>
      <c r="AC116" s="67"/>
      <c r="AD116" s="67"/>
      <c r="AE116" s="67"/>
      <c r="AF116" s="67"/>
      <c r="AG116" s="67"/>
      <c r="AH116" s="67"/>
      <c r="AI116" s="67"/>
      <c r="AJ116" s="62"/>
      <c r="AK116" s="62"/>
    </row>
    <row r="117" spans="1:37" x14ac:dyDescent="0.3">
      <c r="A117" s="65"/>
      <c r="B117" s="63">
        <v>46293</v>
      </c>
      <c r="C117" s="66" t="s">
        <v>308</v>
      </c>
      <c r="D117" s="66" t="s">
        <v>98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213</v>
      </c>
      <c r="Y117" s="67" t="s">
        <v>213</v>
      </c>
      <c r="Z117" s="67"/>
      <c r="AA117" s="67" t="s">
        <v>213</v>
      </c>
      <c r="AB117" s="67"/>
      <c r="AC117" s="67"/>
      <c r="AD117" s="67"/>
      <c r="AE117" s="67"/>
      <c r="AF117" s="67"/>
      <c r="AG117" s="67"/>
      <c r="AH117" s="67"/>
      <c r="AI117" s="67"/>
      <c r="AJ117" s="62"/>
      <c r="AK117" s="62"/>
    </row>
    <row r="118" spans="1:37" x14ac:dyDescent="0.3">
      <c r="A118" s="65"/>
      <c r="B118" s="63">
        <v>46296</v>
      </c>
      <c r="C118" s="66" t="s">
        <v>265</v>
      </c>
      <c r="D118" s="66" t="s">
        <v>96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 t="s">
        <v>213</v>
      </c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2"/>
      <c r="AK118" s="62"/>
    </row>
    <row r="119" spans="1:37" x14ac:dyDescent="0.3">
      <c r="A119" s="65">
        <v>68</v>
      </c>
      <c r="B119" s="63">
        <v>46297</v>
      </c>
      <c r="C119" s="66" t="s">
        <v>124</v>
      </c>
      <c r="D119" s="66" t="s">
        <v>127</v>
      </c>
      <c r="E119" s="67"/>
      <c r="F119" s="67"/>
      <c r="G119" s="67"/>
      <c r="H119" s="67"/>
      <c r="I119" s="67"/>
      <c r="J119" s="67"/>
      <c r="K119" s="67"/>
      <c r="L119" s="67" t="s">
        <v>212</v>
      </c>
      <c r="M119" s="67"/>
      <c r="N119" s="67"/>
      <c r="O119" s="67" t="s">
        <v>212</v>
      </c>
      <c r="P119" s="67"/>
      <c r="Q119" s="67" t="s">
        <v>212</v>
      </c>
      <c r="R119" s="67"/>
      <c r="S119" s="67"/>
      <c r="T119" s="67"/>
      <c r="U119" s="67"/>
      <c r="V119" s="67" t="s">
        <v>212</v>
      </c>
      <c r="W119" s="67"/>
      <c r="X119" s="67"/>
      <c r="Y119" s="67" t="s">
        <v>212</v>
      </c>
      <c r="Z119" s="67"/>
      <c r="AA119" s="67" t="s">
        <v>212</v>
      </c>
      <c r="AB119" s="67"/>
      <c r="AC119" s="67"/>
      <c r="AD119" s="67" t="s">
        <v>212</v>
      </c>
      <c r="AE119" s="67" t="s">
        <v>212</v>
      </c>
      <c r="AF119" s="67" t="s">
        <v>212</v>
      </c>
      <c r="AG119" s="67" t="s">
        <v>212</v>
      </c>
      <c r="AH119" s="67"/>
      <c r="AI119" s="67" t="s">
        <v>212</v>
      </c>
      <c r="AJ119" s="62"/>
      <c r="AK119" s="62"/>
    </row>
    <row r="120" spans="1:37" x14ac:dyDescent="0.3">
      <c r="A120" s="65"/>
      <c r="B120" s="63">
        <v>46299</v>
      </c>
      <c r="C120" s="66" t="s">
        <v>289</v>
      </c>
      <c r="D120" s="66" t="s">
        <v>63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 t="s">
        <v>219</v>
      </c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2"/>
      <c r="AK120" s="62"/>
    </row>
    <row r="121" spans="1:37" x14ac:dyDescent="0.3">
      <c r="A121" s="65"/>
      <c r="B121" s="63">
        <v>46304</v>
      </c>
      <c r="C121" s="66" t="s">
        <v>266</v>
      </c>
      <c r="D121" s="66" t="s">
        <v>127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 t="s">
        <v>213</v>
      </c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2"/>
      <c r="AK121" s="62"/>
    </row>
    <row r="122" spans="1:37" x14ac:dyDescent="0.3">
      <c r="A122" s="65"/>
      <c r="B122" s="63">
        <v>46305</v>
      </c>
      <c r="C122" s="66" t="s">
        <v>267</v>
      </c>
      <c r="D122" s="66" t="s">
        <v>64</v>
      </c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 t="s">
        <v>219</v>
      </c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2"/>
      <c r="AK122" s="62"/>
    </row>
    <row r="123" spans="1:37" x14ac:dyDescent="0.3">
      <c r="A123" s="65"/>
      <c r="B123" s="63">
        <v>46306</v>
      </c>
      <c r="C123" s="66" t="s">
        <v>290</v>
      </c>
      <c r="D123" s="66" t="s">
        <v>63</v>
      </c>
      <c r="E123" s="67"/>
      <c r="F123" s="67"/>
      <c r="G123" s="67"/>
      <c r="H123" s="67"/>
      <c r="I123" s="67"/>
      <c r="J123" s="67"/>
      <c r="K123" s="67"/>
      <c r="L123" s="67" t="s">
        <v>219</v>
      </c>
      <c r="M123" s="67"/>
      <c r="N123" s="67"/>
      <c r="O123" s="67"/>
      <c r="P123" s="67"/>
      <c r="Q123" s="67" t="s">
        <v>219</v>
      </c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2"/>
      <c r="AK123" s="62"/>
    </row>
    <row r="124" spans="1:37" x14ac:dyDescent="0.3">
      <c r="A124" s="65"/>
      <c r="B124" s="63">
        <v>46308</v>
      </c>
      <c r="C124" s="66" t="s">
        <v>309</v>
      </c>
      <c r="D124" s="66" t="s">
        <v>101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 t="s">
        <v>213</v>
      </c>
      <c r="Z124" s="67"/>
      <c r="AA124" s="67" t="s">
        <v>213</v>
      </c>
      <c r="AB124" s="67"/>
      <c r="AC124" s="67"/>
      <c r="AD124" s="67"/>
      <c r="AE124" s="67"/>
      <c r="AF124" s="67"/>
      <c r="AG124" s="67"/>
      <c r="AH124" s="67"/>
      <c r="AI124" s="67"/>
      <c r="AJ124" s="62"/>
      <c r="AK124" s="62"/>
    </row>
    <row r="125" spans="1:37" x14ac:dyDescent="0.3">
      <c r="A125" s="65"/>
      <c r="B125" s="63">
        <v>46309</v>
      </c>
      <c r="C125" s="66" t="s">
        <v>291</v>
      </c>
      <c r="D125" s="66" t="s">
        <v>97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 t="s">
        <v>213</v>
      </c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2"/>
      <c r="AK125" s="62"/>
    </row>
    <row r="126" spans="1:37" x14ac:dyDescent="0.3">
      <c r="A126" s="65"/>
      <c r="B126" s="63">
        <v>46310</v>
      </c>
      <c r="C126" s="66" t="s">
        <v>316</v>
      </c>
      <c r="D126" s="66" t="s">
        <v>96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2"/>
      <c r="AK126" s="62"/>
    </row>
    <row r="127" spans="1:37" x14ac:dyDescent="0.3">
      <c r="A127" s="65"/>
      <c r="B127" s="63">
        <v>46311</v>
      </c>
      <c r="C127" s="66" t="s">
        <v>310</v>
      </c>
      <c r="D127" s="66" t="s">
        <v>127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 t="s">
        <v>213</v>
      </c>
      <c r="Z127" s="67"/>
      <c r="AA127" s="67" t="s">
        <v>213</v>
      </c>
      <c r="AB127" s="67"/>
      <c r="AC127" s="67"/>
      <c r="AD127" s="67"/>
      <c r="AE127" s="67"/>
      <c r="AF127" s="67"/>
      <c r="AG127" s="67"/>
      <c r="AH127" s="67"/>
      <c r="AI127" s="67"/>
      <c r="AJ127" s="62"/>
      <c r="AK127" s="62"/>
    </row>
    <row r="128" spans="1:37" x14ac:dyDescent="0.3">
      <c r="A128" s="65"/>
      <c r="B128" s="63">
        <v>46312</v>
      </c>
      <c r="C128" s="66" t="s">
        <v>292</v>
      </c>
      <c r="D128" s="66" t="s">
        <v>64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 t="s">
        <v>219</v>
      </c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2"/>
      <c r="AK128" s="62"/>
    </row>
    <row r="129" spans="1:37" x14ac:dyDescent="0.3">
      <c r="A129" s="65">
        <v>69</v>
      </c>
      <c r="B129" s="63">
        <v>46313</v>
      </c>
      <c r="C129" s="66" t="s">
        <v>153</v>
      </c>
      <c r="D129" s="67" t="s">
        <v>63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 t="s">
        <v>219</v>
      </c>
      <c r="R129" s="67"/>
      <c r="S129" s="67" t="s">
        <v>219</v>
      </c>
      <c r="T129" s="67"/>
      <c r="U129" s="67"/>
      <c r="V129" s="67" t="s">
        <v>219</v>
      </c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2"/>
      <c r="AK129" s="62"/>
    </row>
    <row r="130" spans="1:37" x14ac:dyDescent="0.3">
      <c r="A130" s="65">
        <v>70</v>
      </c>
      <c r="B130" s="63">
        <v>46314</v>
      </c>
      <c r="C130" s="66" t="s">
        <v>236</v>
      </c>
      <c r="D130" s="66" t="s">
        <v>98</v>
      </c>
      <c r="E130" s="67"/>
      <c r="F130" s="67"/>
      <c r="G130" s="67"/>
      <c r="H130" s="67"/>
      <c r="I130" s="67"/>
      <c r="J130" s="67"/>
      <c r="K130" s="67"/>
      <c r="L130" s="67" t="s">
        <v>213</v>
      </c>
      <c r="M130" s="67"/>
      <c r="N130" s="67"/>
      <c r="O130" s="67" t="s">
        <v>213</v>
      </c>
      <c r="P130" s="67"/>
      <c r="Q130" s="67" t="s">
        <v>213</v>
      </c>
      <c r="R130" s="67"/>
      <c r="S130" s="67"/>
      <c r="T130" s="67"/>
      <c r="U130" s="67"/>
      <c r="V130" s="67" t="s">
        <v>213</v>
      </c>
      <c r="W130" s="67"/>
      <c r="X130" s="67"/>
      <c r="Y130" s="67"/>
      <c r="Z130" s="67"/>
      <c r="AA130" s="67"/>
      <c r="AB130" s="67"/>
      <c r="AC130" s="67"/>
      <c r="AD130" s="67"/>
      <c r="AE130" s="67" t="s">
        <v>213</v>
      </c>
      <c r="AF130" s="67" t="s">
        <v>213</v>
      </c>
      <c r="AG130" s="67" t="s">
        <v>213</v>
      </c>
      <c r="AH130" s="67"/>
      <c r="AI130" s="67"/>
      <c r="AJ130" s="62"/>
      <c r="AK130" s="62"/>
    </row>
    <row r="131" spans="1:37" x14ac:dyDescent="0.3">
      <c r="A131" s="65">
        <v>71</v>
      </c>
      <c r="B131" s="63">
        <v>46315</v>
      </c>
      <c r="C131" s="66" t="s">
        <v>169</v>
      </c>
      <c r="D131" s="66" t="s">
        <v>101</v>
      </c>
      <c r="E131" s="67"/>
      <c r="F131" s="67"/>
      <c r="G131" s="67"/>
      <c r="H131" s="67"/>
      <c r="I131" s="67"/>
      <c r="J131" s="67"/>
      <c r="K131" s="67"/>
      <c r="L131" s="67" t="s">
        <v>213</v>
      </c>
      <c r="M131" s="67"/>
      <c r="N131" s="67"/>
      <c r="O131" s="67" t="s">
        <v>213</v>
      </c>
      <c r="P131" s="67"/>
      <c r="Q131" s="67"/>
      <c r="R131" s="67"/>
      <c r="S131" s="67"/>
      <c r="T131" s="67"/>
      <c r="U131" s="67"/>
      <c r="V131" s="67" t="s">
        <v>213</v>
      </c>
      <c r="W131" s="67"/>
      <c r="X131" s="67"/>
      <c r="Y131" s="67"/>
      <c r="Z131" s="67"/>
      <c r="AA131" s="67"/>
      <c r="AB131" s="67"/>
      <c r="AC131" s="67"/>
      <c r="AD131" s="67" t="s">
        <v>213</v>
      </c>
      <c r="AE131" s="67"/>
      <c r="AF131" s="67"/>
      <c r="AG131" s="67" t="s">
        <v>213</v>
      </c>
      <c r="AH131" s="67"/>
      <c r="AI131" s="67" t="s">
        <v>213</v>
      </c>
      <c r="AJ131" s="62"/>
      <c r="AK131" s="62"/>
    </row>
    <row r="132" spans="1:37" x14ac:dyDescent="0.3">
      <c r="A132" s="65">
        <v>72</v>
      </c>
      <c r="B132" s="63">
        <v>46316</v>
      </c>
      <c r="C132" s="66" t="s">
        <v>293</v>
      </c>
      <c r="D132" s="66" t="s">
        <v>97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 t="s">
        <v>213</v>
      </c>
      <c r="R132" s="67"/>
      <c r="S132" s="67"/>
      <c r="T132" s="67"/>
      <c r="U132" s="67"/>
      <c r="V132" s="67" t="s">
        <v>213</v>
      </c>
      <c r="W132" s="67"/>
      <c r="X132" s="67"/>
      <c r="Y132" s="67"/>
      <c r="Z132" s="67"/>
      <c r="AA132" s="67"/>
      <c r="AB132" s="67"/>
      <c r="AC132" s="67"/>
      <c r="AD132" s="67" t="s">
        <v>213</v>
      </c>
      <c r="AE132" s="67"/>
      <c r="AF132" s="67"/>
      <c r="AG132" s="67"/>
      <c r="AH132" s="67"/>
      <c r="AI132" s="67"/>
      <c r="AJ132" s="62"/>
      <c r="AK132" s="62"/>
    </row>
    <row r="133" spans="1:37" x14ac:dyDescent="0.3">
      <c r="A133" s="65">
        <v>73</v>
      </c>
      <c r="B133" s="63">
        <v>46321</v>
      </c>
      <c r="C133" s="66" t="s">
        <v>317</v>
      </c>
      <c r="D133" s="66" t="s">
        <v>98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 t="s">
        <v>213</v>
      </c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2"/>
      <c r="AK133" s="62"/>
    </row>
    <row r="134" spans="1:37" x14ac:dyDescent="0.3">
      <c r="A134" s="65"/>
      <c r="B134" s="63">
        <v>46324</v>
      </c>
      <c r="C134" s="66" t="s">
        <v>268</v>
      </c>
      <c r="D134" s="66" t="s">
        <v>96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 t="s">
        <v>213</v>
      </c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2"/>
      <c r="AK134" s="62"/>
    </row>
    <row r="135" spans="1:37" x14ac:dyDescent="0.3">
      <c r="A135" s="65">
        <v>74</v>
      </c>
      <c r="B135" s="63">
        <v>46327</v>
      </c>
      <c r="C135" s="66" t="s">
        <v>146</v>
      </c>
      <c r="D135" s="66" t="s">
        <v>63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 t="s">
        <v>219</v>
      </c>
      <c r="AF135" s="67" t="s">
        <v>219</v>
      </c>
      <c r="AG135" s="67"/>
      <c r="AH135" s="67"/>
      <c r="AI135" s="67"/>
      <c r="AJ135" s="62"/>
      <c r="AK135" s="62"/>
    </row>
    <row r="136" spans="1:37" x14ac:dyDescent="0.3">
      <c r="A136" s="65"/>
      <c r="B136" s="63">
        <v>46328</v>
      </c>
      <c r="C136" s="66" t="s">
        <v>311</v>
      </c>
      <c r="D136" s="66" t="s">
        <v>98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 t="s">
        <v>213</v>
      </c>
      <c r="Z136" s="67"/>
      <c r="AA136" s="67" t="s">
        <v>213</v>
      </c>
      <c r="AB136" s="67"/>
      <c r="AC136" s="67"/>
      <c r="AD136" s="67"/>
      <c r="AE136" s="67"/>
      <c r="AF136" s="67"/>
      <c r="AG136" s="67"/>
      <c r="AH136" s="67"/>
      <c r="AI136" s="67"/>
      <c r="AJ136" s="62"/>
      <c r="AK136" s="62"/>
    </row>
    <row r="137" spans="1:37" x14ac:dyDescent="0.3">
      <c r="A137" s="65"/>
      <c r="B137" s="63">
        <v>46333</v>
      </c>
      <c r="C137" s="66" t="s">
        <v>269</v>
      </c>
      <c r="D137" s="66" t="s">
        <v>64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 t="s">
        <v>219</v>
      </c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2"/>
      <c r="AK137" s="62"/>
    </row>
    <row r="138" spans="1:37" ht="20" customHeight="1" x14ac:dyDescent="0.3">
      <c r="A138" s="65">
        <v>75</v>
      </c>
      <c r="B138" s="63">
        <v>46334</v>
      </c>
      <c r="C138" s="66" t="s">
        <v>184</v>
      </c>
      <c r="D138" s="67" t="s">
        <v>63</v>
      </c>
      <c r="E138" s="67"/>
      <c r="F138" s="67"/>
      <c r="G138" s="67"/>
      <c r="H138" s="67"/>
      <c r="I138" s="67"/>
      <c r="J138" s="67"/>
      <c r="K138" s="67"/>
      <c r="L138" s="67" t="s">
        <v>219</v>
      </c>
      <c r="M138" s="67"/>
      <c r="N138" s="67"/>
      <c r="O138" s="67" t="s">
        <v>219</v>
      </c>
      <c r="P138" s="67"/>
      <c r="Q138" s="67" t="s">
        <v>219</v>
      </c>
      <c r="R138" s="67"/>
      <c r="S138" s="67" t="s">
        <v>219</v>
      </c>
      <c r="T138" s="67"/>
      <c r="U138" s="67"/>
      <c r="V138" s="67" t="s">
        <v>219</v>
      </c>
      <c r="W138" s="67"/>
      <c r="X138" s="67"/>
      <c r="Y138" s="67"/>
      <c r="Z138" s="67"/>
      <c r="AA138" s="67"/>
      <c r="AB138" s="67"/>
      <c r="AC138" s="67"/>
      <c r="AD138" s="67"/>
      <c r="AE138" s="67" t="s">
        <v>219</v>
      </c>
      <c r="AF138" s="67" t="s">
        <v>219</v>
      </c>
      <c r="AG138" s="67" t="s">
        <v>219</v>
      </c>
      <c r="AH138" s="67"/>
      <c r="AI138" s="67" t="s">
        <v>219</v>
      </c>
      <c r="AJ138" s="62"/>
      <c r="AK138" s="62"/>
    </row>
    <row r="139" spans="1:37" ht="20" customHeight="1" x14ac:dyDescent="0.3">
      <c r="A139" s="65">
        <v>76</v>
      </c>
      <c r="B139" s="63">
        <v>46335</v>
      </c>
      <c r="C139" s="66" t="s">
        <v>205</v>
      </c>
      <c r="D139" s="66" t="s">
        <v>98</v>
      </c>
      <c r="E139" s="67"/>
      <c r="F139" s="67"/>
      <c r="G139" s="67"/>
      <c r="H139" s="67"/>
      <c r="I139" s="67"/>
      <c r="J139" s="67"/>
      <c r="K139" s="67"/>
      <c r="L139" s="67" t="s">
        <v>213</v>
      </c>
      <c r="M139" s="67"/>
      <c r="N139" s="67"/>
      <c r="O139" s="67" t="s">
        <v>213</v>
      </c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2"/>
      <c r="AK139" s="62"/>
    </row>
    <row r="140" spans="1:37" x14ac:dyDescent="0.3">
      <c r="A140" s="65">
        <v>77</v>
      </c>
      <c r="B140" s="63">
        <v>46336</v>
      </c>
      <c r="C140" s="66" t="s">
        <v>171</v>
      </c>
      <c r="D140" s="66" t="s">
        <v>101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 t="s">
        <v>213</v>
      </c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 t="s">
        <v>213</v>
      </c>
      <c r="AE140" s="67"/>
      <c r="AF140" s="67"/>
      <c r="AG140" s="67"/>
      <c r="AH140" s="67"/>
      <c r="AI140" s="67"/>
      <c r="AJ140" s="62"/>
      <c r="AK140" s="62"/>
    </row>
    <row r="141" spans="1:37" x14ac:dyDescent="0.3">
      <c r="A141" s="65">
        <v>78</v>
      </c>
      <c r="B141" s="63">
        <v>46337</v>
      </c>
      <c r="C141" s="66" t="s">
        <v>197</v>
      </c>
      <c r="D141" s="66" t="s">
        <v>97</v>
      </c>
      <c r="E141" s="67"/>
      <c r="F141" s="67"/>
      <c r="G141" s="67"/>
      <c r="H141" s="67"/>
      <c r="I141" s="67"/>
      <c r="J141" s="67"/>
      <c r="K141" s="67"/>
      <c r="L141" s="67" t="s">
        <v>213</v>
      </c>
      <c r="M141" s="67"/>
      <c r="N141" s="67"/>
      <c r="O141" s="67" t="s">
        <v>213</v>
      </c>
      <c r="P141" s="67"/>
      <c r="Q141" s="67"/>
      <c r="R141" s="67"/>
      <c r="S141" s="67"/>
      <c r="T141" s="67"/>
      <c r="U141" s="67"/>
      <c r="V141" s="67" t="s">
        <v>213</v>
      </c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2"/>
      <c r="AK141" s="62"/>
    </row>
    <row r="142" spans="1:37" x14ac:dyDescent="0.3">
      <c r="A142" s="65">
        <v>79</v>
      </c>
      <c r="B142" s="63">
        <v>46338</v>
      </c>
      <c r="C142" s="66" t="s">
        <v>190</v>
      </c>
      <c r="D142" s="66" t="s">
        <v>191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2"/>
      <c r="AK142" s="62"/>
    </row>
    <row r="143" spans="1:37" x14ac:dyDescent="0.3">
      <c r="A143" s="65">
        <v>80</v>
      </c>
      <c r="B143" s="63">
        <v>46339</v>
      </c>
      <c r="C143" s="66" t="s">
        <v>157</v>
      </c>
      <c r="D143" s="66" t="s">
        <v>127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2"/>
      <c r="AK143" s="62"/>
    </row>
    <row r="144" spans="1:37" x14ac:dyDescent="0.3">
      <c r="A144" s="65">
        <v>81</v>
      </c>
      <c r="B144" s="63">
        <v>46341</v>
      </c>
      <c r="C144" s="66" t="s">
        <v>154</v>
      </c>
      <c r="D144" s="66" t="s">
        <v>63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 t="s">
        <v>219</v>
      </c>
      <c r="R144" s="67"/>
      <c r="S144" s="67"/>
      <c r="T144" s="67"/>
      <c r="U144" s="67"/>
      <c r="V144" s="67" t="s">
        <v>219</v>
      </c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2"/>
      <c r="AK144" s="62"/>
    </row>
    <row r="145" spans="1:37" x14ac:dyDescent="0.3">
      <c r="A145" s="65">
        <v>82</v>
      </c>
      <c r="B145" s="63">
        <v>46342</v>
      </c>
      <c r="C145" s="66" t="s">
        <v>270</v>
      </c>
      <c r="D145" s="66" t="s">
        <v>98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 t="s">
        <v>213</v>
      </c>
      <c r="P145" s="67"/>
      <c r="Q145" s="67" t="s">
        <v>213</v>
      </c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2"/>
      <c r="AK145" s="62"/>
    </row>
    <row r="146" spans="1:37" x14ac:dyDescent="0.3">
      <c r="A146" s="65"/>
      <c r="B146" s="63">
        <v>46346</v>
      </c>
      <c r="C146" s="66" t="s">
        <v>271</v>
      </c>
      <c r="D146" s="66" t="s">
        <v>127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 t="s">
        <v>213</v>
      </c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2"/>
      <c r="AK146" s="62"/>
    </row>
    <row r="147" spans="1:37" x14ac:dyDescent="0.3">
      <c r="A147" s="65">
        <v>83</v>
      </c>
      <c r="B147" s="63">
        <v>46349</v>
      </c>
      <c r="C147" s="66" t="s">
        <v>158</v>
      </c>
      <c r="D147" s="66" t="s">
        <v>98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2"/>
      <c r="AK147" s="62"/>
    </row>
    <row r="148" spans="1:37" x14ac:dyDescent="0.3">
      <c r="A148" s="65">
        <v>84</v>
      </c>
      <c r="B148" s="63">
        <v>46350</v>
      </c>
      <c r="C148" s="66" t="s">
        <v>295</v>
      </c>
      <c r="D148" s="66" t="s">
        <v>101</v>
      </c>
      <c r="E148" s="67"/>
      <c r="F148" s="67"/>
      <c r="G148" s="67"/>
      <c r="H148" s="67"/>
      <c r="I148" s="67"/>
      <c r="J148" s="67"/>
      <c r="K148" s="67"/>
      <c r="L148" s="67" t="s">
        <v>213</v>
      </c>
      <c r="M148" s="67"/>
      <c r="N148" s="67"/>
      <c r="O148" s="67" t="s">
        <v>213</v>
      </c>
      <c r="P148" s="67"/>
      <c r="Q148" s="67"/>
      <c r="R148" s="67"/>
      <c r="S148" s="67"/>
      <c r="T148" s="67"/>
      <c r="U148" s="67"/>
      <c r="V148" s="67" t="s">
        <v>213</v>
      </c>
      <c r="W148" s="67"/>
      <c r="X148" s="67"/>
      <c r="Y148" s="67"/>
      <c r="Z148" s="67"/>
      <c r="AA148" s="67" t="s">
        <v>213</v>
      </c>
      <c r="AB148" s="67"/>
      <c r="AC148" s="67"/>
      <c r="AD148" s="67" t="s">
        <v>213</v>
      </c>
      <c r="AE148" s="67"/>
      <c r="AF148" s="67"/>
      <c r="AG148" s="67"/>
      <c r="AH148" s="67"/>
      <c r="AI148" s="67"/>
      <c r="AJ148" s="62"/>
      <c r="AK148" s="62"/>
    </row>
    <row r="149" spans="1:37" x14ac:dyDescent="0.3">
      <c r="A149" s="65"/>
      <c r="B149" s="63">
        <v>46352</v>
      </c>
      <c r="C149" s="66" t="s">
        <v>229</v>
      </c>
      <c r="D149" s="66" t="s">
        <v>96</v>
      </c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 t="s">
        <v>213</v>
      </c>
      <c r="AE149" s="67"/>
      <c r="AF149" s="67"/>
      <c r="AG149" s="67"/>
      <c r="AH149" s="67"/>
      <c r="AI149" s="67"/>
      <c r="AJ149" s="62"/>
      <c r="AK149" s="62"/>
    </row>
    <row r="150" spans="1:37" x14ac:dyDescent="0.3">
      <c r="A150" s="65">
        <v>85</v>
      </c>
      <c r="B150" s="63">
        <v>46353</v>
      </c>
      <c r="C150" s="66" t="s">
        <v>140</v>
      </c>
      <c r="D150" s="66" t="s">
        <v>127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 t="s">
        <v>213</v>
      </c>
      <c r="AE150" s="67"/>
      <c r="AF150" s="67"/>
      <c r="AG150" s="67"/>
      <c r="AH150" s="67"/>
      <c r="AI150" s="67"/>
      <c r="AJ150" s="62"/>
      <c r="AK150" s="62"/>
    </row>
    <row r="151" spans="1:37" x14ac:dyDescent="0.3">
      <c r="A151" s="65"/>
      <c r="B151" s="63">
        <v>46358</v>
      </c>
      <c r="C151" s="66" t="s">
        <v>301</v>
      </c>
      <c r="D151" s="66" t="s">
        <v>97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 t="s">
        <v>213</v>
      </c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2"/>
      <c r="AK151" s="62"/>
    </row>
    <row r="152" spans="1:37" x14ac:dyDescent="0.3">
      <c r="A152" s="65">
        <v>86</v>
      </c>
      <c r="B152" s="63">
        <v>46359</v>
      </c>
      <c r="C152" s="66" t="s">
        <v>147</v>
      </c>
      <c r="D152" s="66" t="s">
        <v>96</v>
      </c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 t="s">
        <v>213</v>
      </c>
      <c r="AJ152" s="62"/>
      <c r="AK152" s="62"/>
    </row>
    <row r="153" spans="1:37" x14ac:dyDescent="0.3">
      <c r="A153" s="65"/>
      <c r="B153" s="63">
        <v>46366</v>
      </c>
      <c r="C153" s="66" t="s">
        <v>272</v>
      </c>
      <c r="D153" s="66" t="s">
        <v>96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 t="s">
        <v>213</v>
      </c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 t="s">
        <v>213</v>
      </c>
      <c r="AB153" s="67"/>
      <c r="AC153" s="67"/>
      <c r="AD153" s="67"/>
      <c r="AE153" s="67"/>
      <c r="AF153" s="67"/>
      <c r="AG153" s="67"/>
      <c r="AH153" s="67"/>
      <c r="AI153" s="67"/>
      <c r="AJ153" s="62"/>
      <c r="AK153" s="62"/>
    </row>
    <row r="154" spans="1:37" x14ac:dyDescent="0.3">
      <c r="A154" s="65"/>
      <c r="B154" s="63">
        <v>46367</v>
      </c>
      <c r="C154" s="66" t="s">
        <v>312</v>
      </c>
      <c r="D154" s="66" t="s">
        <v>127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 t="s">
        <v>213</v>
      </c>
      <c r="AB154" s="67"/>
      <c r="AC154" s="67"/>
      <c r="AD154" s="67"/>
      <c r="AE154" s="67"/>
      <c r="AF154" s="67"/>
      <c r="AG154" s="67"/>
      <c r="AH154" s="67"/>
      <c r="AI154" s="67"/>
      <c r="AJ154" s="62"/>
      <c r="AK154" s="62"/>
    </row>
    <row r="155" spans="1:37" x14ac:dyDescent="0.3">
      <c r="A155" s="65">
        <v>87</v>
      </c>
      <c r="B155" s="63">
        <v>46368</v>
      </c>
      <c r="C155" s="66" t="s">
        <v>159</v>
      </c>
      <c r="D155" s="66" t="s">
        <v>64</v>
      </c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2"/>
      <c r="AK155" s="62"/>
    </row>
    <row r="156" spans="1:37" x14ac:dyDescent="0.3">
      <c r="A156" s="65"/>
      <c r="B156" s="63">
        <v>46369</v>
      </c>
      <c r="C156" s="66" t="s">
        <v>294</v>
      </c>
      <c r="D156" s="66" t="s">
        <v>96</v>
      </c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 t="s">
        <v>213</v>
      </c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2"/>
      <c r="AK156" s="62"/>
    </row>
    <row r="157" spans="1:37" x14ac:dyDescent="0.3">
      <c r="A157" s="65"/>
      <c r="B157" s="63">
        <v>46370</v>
      </c>
      <c r="C157" s="66" t="s">
        <v>273</v>
      </c>
      <c r="D157" s="66" t="s">
        <v>98</v>
      </c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 t="s">
        <v>213</v>
      </c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2"/>
      <c r="AK157" s="62"/>
    </row>
    <row r="158" spans="1:37" x14ac:dyDescent="0.3">
      <c r="A158" s="65"/>
      <c r="B158" s="63">
        <v>46371</v>
      </c>
      <c r="C158" s="66" t="s">
        <v>313</v>
      </c>
      <c r="D158" s="66" t="s">
        <v>101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 t="s">
        <v>213</v>
      </c>
      <c r="AB158" s="67"/>
      <c r="AC158" s="67"/>
      <c r="AD158" s="67"/>
      <c r="AE158" s="67"/>
      <c r="AF158" s="67"/>
      <c r="AG158" s="67"/>
      <c r="AH158" s="67"/>
      <c r="AI158" s="67"/>
      <c r="AJ158" s="62"/>
      <c r="AK158" s="62"/>
    </row>
    <row r="159" spans="1:37" x14ac:dyDescent="0.3">
      <c r="A159" s="65"/>
      <c r="B159" s="63">
        <v>46372</v>
      </c>
      <c r="C159" s="66" t="s">
        <v>314</v>
      </c>
      <c r="D159" s="66" t="s">
        <v>97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 t="s">
        <v>213</v>
      </c>
      <c r="AB159" s="67"/>
      <c r="AC159" s="67"/>
      <c r="AD159" s="67"/>
      <c r="AE159" s="67"/>
      <c r="AF159" s="67"/>
      <c r="AG159" s="67"/>
      <c r="AH159" s="67"/>
      <c r="AI159" s="67"/>
      <c r="AJ159" s="62"/>
      <c r="AK159" s="62"/>
    </row>
    <row r="160" spans="1:37" x14ac:dyDescent="0.3">
      <c r="A160" s="65">
        <v>88</v>
      </c>
      <c r="B160" s="63">
        <v>46374</v>
      </c>
      <c r="C160" s="66" t="s">
        <v>274</v>
      </c>
      <c r="D160" s="66" t="s">
        <v>127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 t="s">
        <v>213</v>
      </c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2"/>
      <c r="AK160" s="62"/>
    </row>
    <row r="161" spans="1:16352" x14ac:dyDescent="0.3">
      <c r="A161" s="65">
        <v>89</v>
      </c>
      <c r="B161" s="63">
        <v>46375</v>
      </c>
      <c r="C161" s="66" t="s">
        <v>148</v>
      </c>
      <c r="D161" s="66" t="s">
        <v>64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 t="s">
        <v>219</v>
      </c>
      <c r="AJ161" s="62"/>
      <c r="AK161" s="62"/>
    </row>
    <row r="162" spans="1:16352" x14ac:dyDescent="0.3">
      <c r="A162" s="65"/>
      <c r="B162" s="63">
        <v>46379</v>
      </c>
      <c r="C162" s="66" t="s">
        <v>275</v>
      </c>
      <c r="D162" s="66" t="s">
        <v>97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 t="s">
        <v>213</v>
      </c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 t="s">
        <v>213</v>
      </c>
      <c r="AB162" s="67"/>
      <c r="AC162" s="67"/>
      <c r="AD162" s="67"/>
      <c r="AE162" s="67"/>
      <c r="AF162" s="67"/>
      <c r="AG162" s="67"/>
      <c r="AH162" s="67"/>
      <c r="AI162" s="67"/>
      <c r="AJ162" s="62"/>
      <c r="AK162" s="62"/>
    </row>
    <row r="163" spans="1:16352" x14ac:dyDescent="0.3">
      <c r="A163" s="65"/>
      <c r="B163" s="63">
        <v>46380</v>
      </c>
      <c r="C163" s="66" t="s">
        <v>230</v>
      </c>
      <c r="D163" s="66" t="s">
        <v>96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 t="s">
        <v>213</v>
      </c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 t="s">
        <v>213</v>
      </c>
      <c r="AE163" s="67"/>
      <c r="AF163" s="67"/>
      <c r="AG163" s="67"/>
      <c r="AH163" s="67"/>
      <c r="AI163" s="67"/>
      <c r="AJ163" s="62"/>
      <c r="AK163" s="62"/>
    </row>
    <row r="164" spans="1:16352" x14ac:dyDescent="0.3">
      <c r="A164" s="65">
        <v>90</v>
      </c>
      <c r="B164" s="63">
        <v>46381</v>
      </c>
      <c r="C164" s="66" t="s">
        <v>126</v>
      </c>
      <c r="D164" s="66" t="s">
        <v>127</v>
      </c>
      <c r="E164" s="67"/>
      <c r="F164" s="67"/>
      <c r="G164" s="67"/>
      <c r="H164" s="67"/>
      <c r="I164" s="67"/>
      <c r="J164" s="67"/>
      <c r="K164" s="67"/>
      <c r="L164" s="67" t="s">
        <v>213</v>
      </c>
      <c r="M164" s="67"/>
      <c r="N164" s="67"/>
      <c r="O164" s="67" t="s">
        <v>213</v>
      </c>
      <c r="P164" s="67"/>
      <c r="Q164" s="67" t="s">
        <v>213</v>
      </c>
      <c r="R164" s="67"/>
      <c r="S164" s="67"/>
      <c r="T164" s="67"/>
      <c r="U164" s="67"/>
      <c r="V164" s="67" t="s">
        <v>213</v>
      </c>
      <c r="W164" s="67"/>
      <c r="X164" s="67"/>
      <c r="Y164" s="67"/>
      <c r="Z164" s="67"/>
      <c r="AA164" s="67" t="s">
        <v>213</v>
      </c>
      <c r="AB164" s="67"/>
      <c r="AC164" s="67"/>
      <c r="AD164" s="67" t="s">
        <v>213</v>
      </c>
      <c r="AE164" s="67"/>
      <c r="AF164" s="67"/>
      <c r="AG164" s="67" t="s">
        <v>213</v>
      </c>
      <c r="AH164" s="67"/>
      <c r="AI164" s="67" t="s">
        <v>213</v>
      </c>
      <c r="AJ164" s="62"/>
      <c r="AK164" s="62"/>
    </row>
    <row r="165" spans="1:16352" x14ac:dyDescent="0.3">
      <c r="A165" s="65"/>
      <c r="B165" s="63">
        <v>46382</v>
      </c>
      <c r="C165" s="66" t="s">
        <v>304</v>
      </c>
      <c r="D165" s="66" t="s">
        <v>64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 t="s">
        <v>219</v>
      </c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2"/>
      <c r="AK165" s="62"/>
    </row>
    <row r="166" spans="1:16352" x14ac:dyDescent="0.3">
      <c r="A166" s="65"/>
      <c r="B166" s="63">
        <v>46383</v>
      </c>
      <c r="C166" s="66" t="s">
        <v>304</v>
      </c>
      <c r="D166" s="66" t="s">
        <v>63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2"/>
      <c r="AK166" s="62"/>
    </row>
    <row r="167" spans="1:16352" x14ac:dyDescent="0.3">
      <c r="A167" s="65"/>
      <c r="B167" s="63">
        <v>46384</v>
      </c>
      <c r="C167" s="66" t="s">
        <v>315</v>
      </c>
      <c r="D167" s="66" t="s">
        <v>98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 t="s">
        <v>213</v>
      </c>
      <c r="AB167" s="67"/>
      <c r="AC167" s="67"/>
      <c r="AD167" s="67"/>
      <c r="AE167" s="67"/>
      <c r="AF167" s="67"/>
      <c r="AG167" s="67"/>
      <c r="AH167" s="67"/>
      <c r="AI167" s="67"/>
      <c r="AJ167" s="62"/>
      <c r="AK167" s="62"/>
    </row>
    <row r="168" spans="1:16352" x14ac:dyDescent="0.3">
      <c r="A168" s="65">
        <v>91</v>
      </c>
      <c r="B168" s="64">
        <v>46386</v>
      </c>
      <c r="C168" s="65" t="s">
        <v>161</v>
      </c>
      <c r="D168" s="65" t="s">
        <v>97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 t="s">
        <v>213</v>
      </c>
      <c r="AB168" s="67"/>
      <c r="AC168" s="67"/>
      <c r="AD168" s="67"/>
      <c r="AE168" s="67"/>
      <c r="AF168" s="67"/>
      <c r="AG168" s="67"/>
      <c r="AH168" s="67"/>
      <c r="AI168" s="67"/>
      <c r="AJ168" s="62"/>
      <c r="AK168" s="62"/>
    </row>
    <row r="169" spans="1:16352" x14ac:dyDescent="0.3">
      <c r="A169" s="65">
        <v>92</v>
      </c>
      <c r="B169" s="64">
        <v>46387</v>
      </c>
      <c r="C169" s="65" t="s">
        <v>167</v>
      </c>
      <c r="D169" s="65" t="s">
        <v>96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2"/>
      <c r="AK169" s="62"/>
    </row>
    <row r="171" spans="1:16352" s="25" customFormat="1" ht="14.5" x14ac:dyDescent="0.35">
      <c r="B171" s="6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  <c r="AAA171" s="3"/>
      <c r="AAB171" s="3"/>
      <c r="AAC171" s="3"/>
      <c r="AAD171" s="3"/>
      <c r="AAE171" s="3"/>
      <c r="AAF171" s="3"/>
      <c r="AAG171" s="3"/>
      <c r="AAH171" s="3"/>
      <c r="AAI171" s="3"/>
      <c r="AAJ171" s="3"/>
      <c r="AAK171" s="3"/>
      <c r="AAL171" s="3"/>
      <c r="AAM171" s="3"/>
      <c r="AAN171" s="3"/>
      <c r="AAO171" s="3"/>
      <c r="AAP171" s="3"/>
      <c r="AAQ171" s="3"/>
      <c r="AAR171" s="3"/>
      <c r="AAS171" s="3"/>
      <c r="AAT171" s="3"/>
      <c r="AAU171" s="3"/>
      <c r="AAV171" s="3"/>
      <c r="AAW171" s="3"/>
      <c r="AAX171" s="3"/>
      <c r="AAY171" s="3"/>
      <c r="AAZ171" s="3"/>
      <c r="ABA171" s="3"/>
      <c r="ABB171" s="3"/>
      <c r="ABC171" s="3"/>
      <c r="ABD171" s="3"/>
      <c r="ABE171" s="3"/>
      <c r="ABF171" s="3"/>
      <c r="ABG171" s="3"/>
      <c r="ABH171" s="3"/>
      <c r="ABI171" s="3"/>
      <c r="ABJ171" s="3"/>
      <c r="ABK171" s="3"/>
      <c r="ABL171" s="3"/>
      <c r="ABM171" s="3"/>
      <c r="ABN171" s="3"/>
      <c r="ABO171" s="3"/>
      <c r="ABP171" s="3"/>
      <c r="ABQ171" s="3"/>
      <c r="ABR171" s="3"/>
      <c r="ABS171" s="3"/>
      <c r="ABT171" s="3"/>
      <c r="ABU171" s="3"/>
      <c r="ABV171" s="3"/>
      <c r="ABW171" s="3"/>
      <c r="ABX171" s="3"/>
      <c r="ABY171" s="3"/>
      <c r="ABZ171" s="3"/>
      <c r="ACA171" s="3"/>
      <c r="ACB171" s="3"/>
      <c r="ACC171" s="3"/>
      <c r="ACD171" s="3"/>
      <c r="ACE171" s="3"/>
      <c r="ACF171" s="3"/>
      <c r="ACG171" s="3"/>
      <c r="ACH171" s="3"/>
      <c r="ACI171" s="3"/>
      <c r="ACJ171" s="3"/>
      <c r="ACK171" s="3"/>
      <c r="ACL171" s="3"/>
      <c r="ACM171" s="3"/>
      <c r="ACN171" s="3"/>
      <c r="ACO171" s="3"/>
      <c r="ACP171" s="3"/>
      <c r="ACQ171" s="3"/>
      <c r="ACR171" s="3"/>
      <c r="ACS171" s="3"/>
      <c r="ACT171" s="3"/>
      <c r="ACU171" s="3"/>
      <c r="ACV171" s="3"/>
      <c r="ACW171" s="3"/>
      <c r="ACX171" s="3"/>
      <c r="ACY171" s="3"/>
      <c r="ACZ171" s="3"/>
      <c r="ADA171" s="3"/>
      <c r="ADB171" s="3"/>
      <c r="ADC171" s="3"/>
      <c r="ADD171" s="3"/>
      <c r="ADE171" s="3"/>
      <c r="ADF171" s="3"/>
      <c r="ADG171" s="3"/>
      <c r="ADH171" s="3"/>
      <c r="ADI171" s="3"/>
      <c r="ADJ171" s="3"/>
      <c r="ADK171" s="3"/>
      <c r="ADL171" s="3"/>
      <c r="ADM171" s="3"/>
      <c r="ADN171" s="3"/>
      <c r="ADO171" s="3"/>
      <c r="ADP171" s="3"/>
      <c r="ADQ171" s="3"/>
      <c r="ADR171" s="3"/>
      <c r="ADS171" s="3"/>
      <c r="ADT171" s="3"/>
      <c r="ADU171" s="3"/>
      <c r="ADV171" s="3"/>
      <c r="ADW171" s="3"/>
      <c r="ADX171" s="3"/>
      <c r="ADY171" s="3"/>
      <c r="ADZ171" s="3"/>
      <c r="AEA171" s="3"/>
      <c r="AEB171" s="3"/>
      <c r="AEC171" s="3"/>
      <c r="AED171" s="3"/>
      <c r="AEE171" s="3"/>
      <c r="AEF171" s="3"/>
      <c r="AEG171" s="3"/>
      <c r="AEH171" s="3"/>
      <c r="AEI171" s="3"/>
      <c r="AEJ171" s="3"/>
      <c r="AEK171" s="3"/>
      <c r="AEL171" s="3"/>
      <c r="AEM171" s="3"/>
      <c r="AEN171" s="3"/>
      <c r="AEO171" s="3"/>
      <c r="AEP171" s="3"/>
      <c r="AEQ171" s="3"/>
      <c r="AER171" s="3"/>
      <c r="AES171" s="3"/>
      <c r="AET171" s="3"/>
      <c r="AEU171" s="3"/>
      <c r="AEV171" s="3"/>
      <c r="AEW171" s="3"/>
      <c r="AEX171" s="3"/>
      <c r="AEY171" s="3"/>
      <c r="AEZ171" s="3"/>
      <c r="AFA171" s="3"/>
      <c r="AFB171" s="3"/>
      <c r="AFC171" s="3"/>
      <c r="AFD171" s="3"/>
      <c r="AFE171" s="3"/>
      <c r="AFF171" s="3"/>
      <c r="AFG171" s="3"/>
      <c r="AFH171" s="3"/>
      <c r="AFI171" s="3"/>
      <c r="AFJ171" s="3"/>
      <c r="AFK171" s="3"/>
      <c r="AFL171" s="3"/>
      <c r="AFM171" s="3"/>
      <c r="AFN171" s="3"/>
      <c r="AFO171" s="3"/>
      <c r="AFP171" s="3"/>
      <c r="AFQ171" s="3"/>
      <c r="AFR171" s="3"/>
      <c r="AFS171" s="3"/>
      <c r="AFT171" s="3"/>
      <c r="AFU171" s="3"/>
      <c r="AFV171" s="3"/>
      <c r="AFW171" s="3"/>
      <c r="AFX171" s="3"/>
      <c r="AFY171" s="3"/>
      <c r="AFZ171" s="3"/>
      <c r="AGA171" s="3"/>
      <c r="AGB171" s="3"/>
      <c r="AGC171" s="3"/>
      <c r="AGD171" s="3"/>
      <c r="AGE171" s="3"/>
      <c r="AGF171" s="3"/>
      <c r="AGG171" s="3"/>
      <c r="AGH171" s="3"/>
      <c r="AGI171" s="3"/>
      <c r="AGJ171" s="3"/>
      <c r="AGK171" s="3"/>
      <c r="AGL171" s="3"/>
      <c r="AGM171" s="3"/>
      <c r="AGN171" s="3"/>
      <c r="AGO171" s="3"/>
      <c r="AGP171" s="3"/>
      <c r="AGQ171" s="3"/>
      <c r="AGR171" s="3"/>
      <c r="AGS171" s="3"/>
      <c r="AGT171" s="3"/>
      <c r="AGU171" s="3"/>
      <c r="AGV171" s="3"/>
      <c r="AGW171" s="3"/>
      <c r="AGX171" s="3"/>
      <c r="AGY171" s="3"/>
      <c r="AGZ171" s="3"/>
      <c r="AHA171" s="3"/>
      <c r="AHB171" s="3"/>
      <c r="AHC171" s="3"/>
      <c r="AHD171" s="3"/>
      <c r="AHE171" s="3"/>
      <c r="AHF171" s="3"/>
      <c r="AHG171" s="3"/>
      <c r="AHH171" s="3"/>
      <c r="AHI171" s="3"/>
      <c r="AHJ171" s="3"/>
      <c r="AHK171" s="3"/>
      <c r="AHL171" s="3"/>
      <c r="AHM171" s="3"/>
      <c r="AHN171" s="3"/>
      <c r="AHO171" s="3"/>
      <c r="AHP171" s="3"/>
      <c r="AHQ171" s="3"/>
      <c r="AHR171" s="3"/>
      <c r="AHS171" s="3"/>
      <c r="AHT171" s="3"/>
      <c r="AHU171" s="3"/>
      <c r="AHV171" s="3"/>
      <c r="AHW171" s="3"/>
      <c r="AHX171" s="3"/>
      <c r="AHY171" s="3"/>
      <c r="AHZ171" s="3"/>
      <c r="AIA171" s="3"/>
      <c r="AIB171" s="3"/>
      <c r="AIC171" s="3"/>
      <c r="AID171" s="3"/>
      <c r="AIE171" s="3"/>
      <c r="AIF171" s="3"/>
      <c r="AIG171" s="3"/>
      <c r="AIH171" s="3"/>
      <c r="AII171" s="3"/>
      <c r="AIJ171" s="3"/>
      <c r="AIK171" s="3"/>
      <c r="AIL171" s="3"/>
      <c r="AIM171" s="3"/>
      <c r="AIN171" s="3"/>
      <c r="AIO171" s="3"/>
      <c r="AIP171" s="3"/>
      <c r="AIQ171" s="3"/>
      <c r="AIR171" s="3"/>
      <c r="AIS171" s="3"/>
      <c r="AIT171" s="3"/>
      <c r="AIU171" s="3"/>
      <c r="AIV171" s="3"/>
      <c r="AIW171" s="3"/>
      <c r="AIX171" s="3"/>
      <c r="AIY171" s="3"/>
      <c r="AIZ171" s="3"/>
      <c r="AJA171" s="3"/>
      <c r="AJB171" s="3"/>
      <c r="AJC171" s="3"/>
      <c r="AJD171" s="3"/>
      <c r="AJE171" s="3"/>
      <c r="AJF171" s="3"/>
      <c r="AJG171" s="3"/>
      <c r="AJH171" s="3"/>
      <c r="AJI171" s="3"/>
      <c r="AJJ171" s="3"/>
      <c r="AJK171" s="3"/>
      <c r="AJL171" s="3"/>
      <c r="AJM171" s="3"/>
      <c r="AJN171" s="3"/>
      <c r="AJO171" s="3"/>
      <c r="AJP171" s="3"/>
      <c r="AJQ171" s="3"/>
      <c r="AJR171" s="3"/>
      <c r="AJS171" s="3"/>
      <c r="AJT171" s="3"/>
      <c r="AJU171" s="3"/>
      <c r="AJV171" s="3"/>
      <c r="AJW171" s="3"/>
      <c r="AJX171" s="3"/>
      <c r="AJY171" s="3"/>
      <c r="AJZ171" s="3"/>
      <c r="AKA171" s="3"/>
      <c r="AKB171" s="3"/>
      <c r="AKC171" s="3"/>
      <c r="AKD171" s="3"/>
      <c r="AKE171" s="3"/>
      <c r="AKF171" s="3"/>
      <c r="AKG171" s="3"/>
      <c r="AKH171" s="3"/>
      <c r="AKI171" s="3"/>
      <c r="AKJ171" s="3"/>
      <c r="AKK171" s="3"/>
      <c r="AKL171" s="3"/>
      <c r="AKM171" s="3"/>
      <c r="AKN171" s="3"/>
      <c r="AKO171" s="3"/>
      <c r="AKP171" s="3"/>
      <c r="AKQ171" s="3"/>
      <c r="AKR171" s="3"/>
      <c r="AKS171" s="3"/>
      <c r="AKT171" s="3"/>
      <c r="AKU171" s="3"/>
      <c r="AKV171" s="3"/>
      <c r="AKW171" s="3"/>
      <c r="AKX171" s="3"/>
      <c r="AKY171" s="3"/>
      <c r="AKZ171" s="3"/>
      <c r="ALA171" s="3"/>
      <c r="ALB171" s="3"/>
      <c r="ALC171" s="3"/>
      <c r="ALD171" s="3"/>
      <c r="ALE171" s="3"/>
      <c r="ALF171" s="3"/>
      <c r="ALG171" s="3"/>
      <c r="ALH171" s="3"/>
      <c r="ALI171" s="3"/>
      <c r="ALJ171" s="3"/>
      <c r="ALK171" s="3"/>
      <c r="ALL171" s="3"/>
      <c r="ALM171" s="3"/>
      <c r="ALN171" s="3"/>
      <c r="ALO171" s="3"/>
      <c r="ALP171" s="3"/>
      <c r="ALQ171" s="3"/>
      <c r="ALR171" s="3"/>
      <c r="ALS171" s="3"/>
      <c r="ALT171" s="3"/>
      <c r="ALU171" s="3"/>
      <c r="ALV171" s="3"/>
      <c r="ALW171" s="3"/>
      <c r="ALX171" s="3"/>
      <c r="ALY171" s="3"/>
      <c r="ALZ171" s="3"/>
      <c r="AMA171" s="3"/>
      <c r="AMB171" s="3"/>
      <c r="AMC171" s="3"/>
      <c r="AMD171" s="3"/>
      <c r="AME171" s="3"/>
      <c r="AMF171" s="3"/>
      <c r="AMG171" s="3"/>
      <c r="AMH171" s="3"/>
      <c r="AMI171" s="3"/>
      <c r="AMJ171" s="3"/>
      <c r="AMK171" s="3"/>
      <c r="AML171" s="3"/>
      <c r="AMM171" s="3"/>
      <c r="AMN171" s="3"/>
      <c r="AMO171" s="3"/>
      <c r="AMP171" s="3"/>
      <c r="AMQ171" s="3"/>
      <c r="AMR171" s="3"/>
      <c r="AMS171" s="3"/>
      <c r="AMT171" s="3"/>
      <c r="AMU171" s="3"/>
      <c r="AMV171" s="3"/>
      <c r="AMW171" s="3"/>
      <c r="AMX171" s="3"/>
      <c r="AMY171" s="3"/>
      <c r="AMZ171" s="3"/>
      <c r="ANA171" s="3"/>
      <c r="ANB171" s="3"/>
      <c r="ANC171" s="3"/>
      <c r="AND171" s="3"/>
      <c r="ANE171" s="3"/>
      <c r="ANF171" s="3"/>
      <c r="ANG171" s="3"/>
      <c r="ANH171" s="3"/>
      <c r="ANI171" s="3"/>
      <c r="ANJ171" s="3"/>
      <c r="ANK171" s="3"/>
      <c r="ANL171" s="3"/>
      <c r="ANM171" s="3"/>
      <c r="ANN171" s="3"/>
      <c r="ANO171" s="3"/>
      <c r="ANP171" s="3"/>
      <c r="ANQ171" s="3"/>
      <c r="ANR171" s="3"/>
      <c r="ANS171" s="3"/>
      <c r="ANT171" s="3"/>
      <c r="ANU171" s="3"/>
      <c r="ANV171" s="3"/>
      <c r="ANW171" s="3"/>
      <c r="ANX171" s="3"/>
      <c r="ANY171" s="3"/>
      <c r="ANZ171" s="3"/>
      <c r="AOA171" s="3"/>
      <c r="AOB171" s="3"/>
      <c r="AOC171" s="3"/>
      <c r="AOD171" s="3"/>
      <c r="AOE171" s="3"/>
      <c r="AOF171" s="3"/>
      <c r="AOG171" s="3"/>
      <c r="AOH171" s="3"/>
      <c r="AOI171" s="3"/>
      <c r="AOJ171" s="3"/>
      <c r="AOK171" s="3"/>
      <c r="AOL171" s="3"/>
      <c r="AOM171" s="3"/>
      <c r="AON171" s="3"/>
      <c r="AOO171" s="3"/>
      <c r="AOP171" s="3"/>
      <c r="AOQ171" s="3"/>
      <c r="AOR171" s="3"/>
      <c r="AOS171" s="3"/>
      <c r="AOT171" s="3"/>
      <c r="AOU171" s="3"/>
      <c r="AOV171" s="3"/>
      <c r="AOW171" s="3"/>
      <c r="AOX171" s="3"/>
      <c r="AOY171" s="3"/>
      <c r="AOZ171" s="3"/>
      <c r="APA171" s="3"/>
      <c r="APB171" s="3"/>
      <c r="APC171" s="3"/>
      <c r="APD171" s="3"/>
      <c r="APE171" s="3"/>
      <c r="APF171" s="3"/>
      <c r="APG171" s="3"/>
      <c r="APH171" s="3"/>
      <c r="API171" s="3"/>
      <c r="APJ171" s="3"/>
      <c r="APK171" s="3"/>
      <c r="APL171" s="3"/>
      <c r="APM171" s="3"/>
      <c r="APN171" s="3"/>
      <c r="APO171" s="3"/>
      <c r="APP171" s="3"/>
      <c r="APQ171" s="3"/>
      <c r="APR171" s="3"/>
      <c r="APS171" s="3"/>
      <c r="APT171" s="3"/>
      <c r="APU171" s="3"/>
      <c r="APV171" s="3"/>
      <c r="APW171" s="3"/>
      <c r="APX171" s="3"/>
      <c r="APY171" s="3"/>
      <c r="APZ171" s="3"/>
      <c r="AQA171" s="3"/>
      <c r="AQB171" s="3"/>
      <c r="AQC171" s="3"/>
      <c r="AQD171" s="3"/>
      <c r="AQE171" s="3"/>
      <c r="AQF171" s="3"/>
      <c r="AQG171" s="3"/>
      <c r="AQH171" s="3"/>
      <c r="AQI171" s="3"/>
      <c r="AQJ171" s="3"/>
      <c r="AQK171" s="3"/>
      <c r="AQL171" s="3"/>
      <c r="AQM171" s="3"/>
      <c r="AQN171" s="3"/>
      <c r="AQO171" s="3"/>
      <c r="AQP171" s="3"/>
      <c r="AQQ171" s="3"/>
      <c r="AQR171" s="3"/>
      <c r="AQS171" s="3"/>
      <c r="AQT171" s="3"/>
      <c r="AQU171" s="3"/>
      <c r="AQV171" s="3"/>
      <c r="AQW171" s="3"/>
      <c r="AQX171" s="3"/>
      <c r="AQY171" s="3"/>
      <c r="AQZ171" s="3"/>
      <c r="ARA171" s="3"/>
      <c r="ARB171" s="3"/>
      <c r="ARC171" s="3"/>
      <c r="ARD171" s="3"/>
      <c r="ARE171" s="3"/>
      <c r="ARF171" s="3"/>
      <c r="ARG171" s="3"/>
      <c r="ARH171" s="3"/>
      <c r="ARI171" s="3"/>
      <c r="ARJ171" s="3"/>
      <c r="ARK171" s="3"/>
      <c r="ARL171" s="3"/>
      <c r="ARM171" s="3"/>
      <c r="ARN171" s="3"/>
      <c r="ARO171" s="3"/>
      <c r="ARP171" s="3"/>
      <c r="ARQ171" s="3"/>
      <c r="ARR171" s="3"/>
      <c r="ARS171" s="3"/>
      <c r="ART171" s="3"/>
      <c r="ARU171" s="3"/>
      <c r="ARV171" s="3"/>
      <c r="ARW171" s="3"/>
      <c r="ARX171" s="3"/>
      <c r="ARY171" s="3"/>
      <c r="ARZ171" s="3"/>
      <c r="ASA171" s="3"/>
      <c r="ASB171" s="3"/>
      <c r="ASC171" s="3"/>
      <c r="ASD171" s="3"/>
      <c r="ASE171" s="3"/>
      <c r="ASF171" s="3"/>
      <c r="ASG171" s="3"/>
      <c r="ASH171" s="3"/>
      <c r="ASI171" s="3"/>
      <c r="ASJ171" s="3"/>
      <c r="ASK171" s="3"/>
      <c r="ASL171" s="3"/>
      <c r="ASM171" s="3"/>
      <c r="ASN171" s="3"/>
      <c r="ASO171" s="3"/>
      <c r="ASP171" s="3"/>
      <c r="ASQ171" s="3"/>
      <c r="ASR171" s="3"/>
      <c r="ASS171" s="3"/>
      <c r="AST171" s="3"/>
      <c r="ASU171" s="3"/>
      <c r="ASV171" s="3"/>
      <c r="ASW171" s="3"/>
      <c r="ASX171" s="3"/>
      <c r="ASY171" s="3"/>
      <c r="ASZ171" s="3"/>
      <c r="ATA171" s="3"/>
      <c r="ATB171" s="3"/>
      <c r="ATC171" s="3"/>
      <c r="ATD171" s="3"/>
      <c r="ATE171" s="3"/>
      <c r="ATF171" s="3"/>
      <c r="ATG171" s="3"/>
      <c r="ATH171" s="3"/>
      <c r="ATI171" s="3"/>
      <c r="ATJ171" s="3"/>
      <c r="ATK171" s="3"/>
      <c r="ATL171" s="3"/>
      <c r="ATM171" s="3"/>
      <c r="ATN171" s="3"/>
      <c r="ATO171" s="3"/>
      <c r="ATP171" s="3"/>
      <c r="ATQ171" s="3"/>
      <c r="ATR171" s="3"/>
      <c r="ATS171" s="3"/>
      <c r="ATT171" s="3"/>
      <c r="ATU171" s="3"/>
      <c r="ATV171" s="3"/>
      <c r="ATW171" s="3"/>
      <c r="ATX171" s="3"/>
      <c r="ATY171" s="3"/>
      <c r="ATZ171" s="3"/>
      <c r="AUA171" s="3"/>
      <c r="AUB171" s="3"/>
      <c r="AUC171" s="3"/>
      <c r="AUD171" s="3"/>
      <c r="AUE171" s="3"/>
      <c r="AUF171" s="3"/>
      <c r="AUG171" s="3"/>
      <c r="AUH171" s="3"/>
      <c r="AUI171" s="3"/>
      <c r="AUJ171" s="3"/>
      <c r="AUK171" s="3"/>
      <c r="AUL171" s="3"/>
      <c r="AUM171" s="3"/>
      <c r="AUN171" s="3"/>
      <c r="AUO171" s="3"/>
      <c r="AUP171" s="3"/>
      <c r="AUQ171" s="3"/>
      <c r="AUR171" s="3"/>
      <c r="AUS171" s="3"/>
      <c r="AUT171" s="3"/>
      <c r="AUU171" s="3"/>
      <c r="AUV171" s="3"/>
      <c r="AUW171" s="3"/>
      <c r="AUX171" s="3"/>
      <c r="AUY171" s="3"/>
      <c r="AUZ171" s="3"/>
      <c r="AVA171" s="3"/>
      <c r="AVB171" s="3"/>
      <c r="AVC171" s="3"/>
      <c r="AVD171" s="3"/>
      <c r="AVE171" s="3"/>
      <c r="AVF171" s="3"/>
      <c r="AVG171" s="3"/>
      <c r="AVH171" s="3"/>
      <c r="AVI171" s="3"/>
      <c r="AVJ171" s="3"/>
      <c r="AVK171" s="3"/>
      <c r="AVL171" s="3"/>
      <c r="AVM171" s="3"/>
      <c r="AVN171" s="3"/>
      <c r="AVO171" s="3"/>
      <c r="AVP171" s="3"/>
      <c r="AVQ171" s="3"/>
      <c r="AVR171" s="3"/>
      <c r="AVS171" s="3"/>
      <c r="AVT171" s="3"/>
      <c r="AVU171" s="3"/>
      <c r="AVV171" s="3"/>
      <c r="AVW171" s="3"/>
      <c r="AVX171" s="3"/>
      <c r="AVY171" s="3"/>
      <c r="AVZ171" s="3"/>
      <c r="AWA171" s="3"/>
      <c r="AWB171" s="3"/>
      <c r="AWC171" s="3"/>
      <c r="AWD171" s="3"/>
      <c r="AWE171" s="3"/>
      <c r="AWF171" s="3"/>
      <c r="AWG171" s="3"/>
      <c r="AWH171" s="3"/>
      <c r="AWI171" s="3"/>
      <c r="AWJ171" s="3"/>
      <c r="AWK171" s="3"/>
      <c r="AWL171" s="3"/>
      <c r="AWM171" s="3"/>
      <c r="AWN171" s="3"/>
      <c r="AWO171" s="3"/>
      <c r="AWP171" s="3"/>
      <c r="AWQ171" s="3"/>
      <c r="AWR171" s="3"/>
      <c r="AWS171" s="3"/>
      <c r="AWT171" s="3"/>
      <c r="AWU171" s="3"/>
      <c r="AWV171" s="3"/>
      <c r="AWW171" s="3"/>
      <c r="AWX171" s="3"/>
      <c r="AWY171" s="3"/>
      <c r="AWZ171" s="3"/>
      <c r="AXA171" s="3"/>
      <c r="AXB171" s="3"/>
      <c r="AXC171" s="3"/>
      <c r="AXD171" s="3"/>
      <c r="AXE171" s="3"/>
      <c r="AXF171" s="3"/>
      <c r="AXG171" s="3"/>
      <c r="AXH171" s="3"/>
      <c r="AXI171" s="3"/>
      <c r="AXJ171" s="3"/>
      <c r="AXK171" s="3"/>
      <c r="AXL171" s="3"/>
      <c r="AXM171" s="3"/>
      <c r="AXN171" s="3"/>
      <c r="AXO171" s="3"/>
      <c r="AXP171" s="3"/>
      <c r="AXQ171" s="3"/>
      <c r="AXR171" s="3"/>
      <c r="AXS171" s="3"/>
      <c r="AXT171" s="3"/>
      <c r="AXU171" s="3"/>
      <c r="AXV171" s="3"/>
      <c r="AXW171" s="3"/>
      <c r="AXX171" s="3"/>
      <c r="AXY171" s="3"/>
      <c r="AXZ171" s="3"/>
      <c r="AYA171" s="3"/>
      <c r="AYB171" s="3"/>
      <c r="AYC171" s="3"/>
      <c r="AYD171" s="3"/>
      <c r="AYE171" s="3"/>
      <c r="AYF171" s="3"/>
      <c r="AYG171" s="3"/>
      <c r="AYH171" s="3"/>
      <c r="AYI171" s="3"/>
      <c r="AYJ171" s="3"/>
      <c r="AYK171" s="3"/>
      <c r="AYL171" s="3"/>
      <c r="AYM171" s="3"/>
      <c r="AYN171" s="3"/>
      <c r="AYO171" s="3"/>
      <c r="AYP171" s="3"/>
      <c r="AYQ171" s="3"/>
      <c r="AYR171" s="3"/>
      <c r="AYS171" s="3"/>
      <c r="AYT171" s="3"/>
      <c r="AYU171" s="3"/>
      <c r="AYV171" s="3"/>
      <c r="AYW171" s="3"/>
      <c r="AYX171" s="3"/>
      <c r="AYY171" s="3"/>
      <c r="AYZ171" s="3"/>
      <c r="AZA171" s="3"/>
      <c r="AZB171" s="3"/>
      <c r="AZC171" s="3"/>
      <c r="AZD171" s="3"/>
      <c r="AZE171" s="3"/>
      <c r="AZF171" s="3"/>
      <c r="AZG171" s="3"/>
      <c r="AZH171" s="3"/>
      <c r="AZI171" s="3"/>
      <c r="AZJ171" s="3"/>
      <c r="AZK171" s="3"/>
      <c r="AZL171" s="3"/>
      <c r="AZM171" s="3"/>
      <c r="AZN171" s="3"/>
      <c r="AZO171" s="3"/>
      <c r="AZP171" s="3"/>
      <c r="AZQ171" s="3"/>
      <c r="AZR171" s="3"/>
      <c r="AZS171" s="3"/>
      <c r="AZT171" s="3"/>
      <c r="AZU171" s="3"/>
      <c r="AZV171" s="3"/>
      <c r="AZW171" s="3"/>
      <c r="AZX171" s="3"/>
      <c r="AZY171" s="3"/>
      <c r="AZZ171" s="3"/>
      <c r="BAA171" s="3"/>
      <c r="BAB171" s="3"/>
      <c r="BAC171" s="3"/>
      <c r="BAD171" s="3"/>
      <c r="BAE171" s="3"/>
      <c r="BAF171" s="3"/>
      <c r="BAG171" s="3"/>
      <c r="BAH171" s="3"/>
      <c r="BAI171" s="3"/>
      <c r="BAJ171" s="3"/>
      <c r="BAK171" s="3"/>
      <c r="BAL171" s="3"/>
      <c r="BAM171" s="3"/>
      <c r="BAN171" s="3"/>
      <c r="BAO171" s="3"/>
      <c r="BAP171" s="3"/>
      <c r="BAQ171" s="3"/>
      <c r="BAR171" s="3"/>
      <c r="BAS171" s="3"/>
      <c r="BAT171" s="3"/>
      <c r="BAU171" s="3"/>
      <c r="BAV171" s="3"/>
      <c r="BAW171" s="3"/>
      <c r="BAX171" s="3"/>
      <c r="BAY171" s="3"/>
      <c r="BAZ171" s="3"/>
      <c r="BBA171" s="3"/>
      <c r="BBB171" s="3"/>
      <c r="BBC171" s="3"/>
      <c r="BBD171" s="3"/>
      <c r="BBE171" s="3"/>
      <c r="BBF171" s="3"/>
      <c r="BBG171" s="3"/>
      <c r="BBH171" s="3"/>
      <c r="BBI171" s="3"/>
      <c r="BBJ171" s="3"/>
      <c r="BBK171" s="3"/>
      <c r="BBL171" s="3"/>
      <c r="BBM171" s="3"/>
      <c r="BBN171" s="3"/>
      <c r="BBO171" s="3"/>
      <c r="BBP171" s="3"/>
      <c r="BBQ171" s="3"/>
      <c r="BBR171" s="3"/>
      <c r="BBS171" s="3"/>
      <c r="BBT171" s="3"/>
      <c r="BBU171" s="3"/>
      <c r="BBV171" s="3"/>
      <c r="BBW171" s="3"/>
      <c r="BBX171" s="3"/>
      <c r="BBY171" s="3"/>
      <c r="BBZ171" s="3"/>
      <c r="BCA171" s="3"/>
      <c r="BCB171" s="3"/>
      <c r="BCC171" s="3"/>
      <c r="BCD171" s="3"/>
      <c r="BCE171" s="3"/>
      <c r="BCF171" s="3"/>
      <c r="BCG171" s="3"/>
      <c r="BCH171" s="3"/>
      <c r="BCI171" s="3"/>
      <c r="BCJ171" s="3"/>
      <c r="BCK171" s="3"/>
      <c r="BCL171" s="3"/>
      <c r="BCM171" s="3"/>
      <c r="BCN171" s="3"/>
      <c r="BCO171" s="3"/>
      <c r="BCP171" s="3"/>
      <c r="BCQ171" s="3"/>
      <c r="BCR171" s="3"/>
      <c r="BCS171" s="3"/>
      <c r="BCT171" s="3"/>
      <c r="BCU171" s="3"/>
      <c r="BCV171" s="3"/>
      <c r="BCW171" s="3"/>
      <c r="BCX171" s="3"/>
      <c r="BCY171" s="3"/>
      <c r="BCZ171" s="3"/>
      <c r="BDA171" s="3"/>
      <c r="BDB171" s="3"/>
      <c r="BDC171" s="3"/>
      <c r="BDD171" s="3"/>
      <c r="BDE171" s="3"/>
      <c r="BDF171" s="3"/>
      <c r="BDG171" s="3"/>
      <c r="BDH171" s="3"/>
      <c r="BDI171" s="3"/>
      <c r="BDJ171" s="3"/>
      <c r="BDK171" s="3"/>
      <c r="BDL171" s="3"/>
      <c r="BDM171" s="3"/>
      <c r="BDN171" s="3"/>
      <c r="BDO171" s="3"/>
      <c r="BDP171" s="3"/>
      <c r="BDQ171" s="3"/>
      <c r="BDR171" s="3"/>
      <c r="BDS171" s="3"/>
      <c r="BDT171" s="3"/>
      <c r="BDU171" s="3"/>
      <c r="BDV171" s="3"/>
      <c r="BDW171" s="3"/>
      <c r="BDX171" s="3"/>
      <c r="BDY171" s="3"/>
      <c r="BDZ171" s="3"/>
      <c r="BEA171" s="3"/>
      <c r="BEB171" s="3"/>
      <c r="BEC171" s="3"/>
      <c r="BED171" s="3"/>
      <c r="BEE171" s="3"/>
      <c r="BEF171" s="3"/>
      <c r="BEG171" s="3"/>
      <c r="BEH171" s="3"/>
      <c r="BEI171" s="3"/>
      <c r="BEJ171" s="3"/>
      <c r="BEK171" s="3"/>
      <c r="BEL171" s="3"/>
      <c r="BEM171" s="3"/>
      <c r="BEN171" s="3"/>
      <c r="BEO171" s="3"/>
      <c r="BEP171" s="3"/>
      <c r="BEQ171" s="3"/>
      <c r="BER171" s="3"/>
      <c r="BES171" s="3"/>
      <c r="BET171" s="3"/>
      <c r="BEU171" s="3"/>
      <c r="BEV171" s="3"/>
      <c r="BEW171" s="3"/>
      <c r="BEX171" s="3"/>
      <c r="BEY171" s="3"/>
      <c r="BEZ171" s="3"/>
      <c r="BFA171" s="3"/>
      <c r="BFB171" s="3"/>
      <c r="BFC171" s="3"/>
      <c r="BFD171" s="3"/>
      <c r="BFE171" s="3"/>
      <c r="BFF171" s="3"/>
      <c r="BFG171" s="3"/>
      <c r="BFH171" s="3"/>
      <c r="BFI171" s="3"/>
      <c r="BFJ171" s="3"/>
      <c r="BFK171" s="3"/>
      <c r="BFL171" s="3"/>
      <c r="BFM171" s="3"/>
      <c r="BFN171" s="3"/>
      <c r="BFO171" s="3"/>
      <c r="BFP171" s="3"/>
      <c r="BFQ171" s="3"/>
      <c r="BFR171" s="3"/>
      <c r="BFS171" s="3"/>
      <c r="BFT171" s="3"/>
      <c r="BFU171" s="3"/>
      <c r="BFV171" s="3"/>
      <c r="BFW171" s="3"/>
      <c r="BFX171" s="3"/>
      <c r="BFY171" s="3"/>
      <c r="BFZ171" s="3"/>
      <c r="BGA171" s="3"/>
      <c r="BGB171" s="3"/>
      <c r="BGC171" s="3"/>
      <c r="BGD171" s="3"/>
      <c r="BGE171" s="3"/>
      <c r="BGF171" s="3"/>
      <c r="BGG171" s="3"/>
      <c r="BGH171" s="3"/>
      <c r="BGI171" s="3"/>
      <c r="BGJ171" s="3"/>
      <c r="BGK171" s="3"/>
      <c r="BGL171" s="3"/>
      <c r="BGM171" s="3"/>
      <c r="BGN171" s="3"/>
      <c r="BGO171" s="3"/>
      <c r="BGP171" s="3"/>
      <c r="BGQ171" s="3"/>
      <c r="BGR171" s="3"/>
      <c r="BGS171" s="3"/>
      <c r="BGT171" s="3"/>
      <c r="BGU171" s="3"/>
      <c r="BGV171" s="3"/>
      <c r="BGW171" s="3"/>
      <c r="BGX171" s="3"/>
      <c r="BGY171" s="3"/>
      <c r="BGZ171" s="3"/>
      <c r="BHA171" s="3"/>
      <c r="BHB171" s="3"/>
      <c r="BHC171" s="3"/>
      <c r="BHD171" s="3"/>
      <c r="BHE171" s="3"/>
      <c r="BHF171" s="3"/>
      <c r="BHG171" s="3"/>
      <c r="BHH171" s="3"/>
      <c r="BHI171" s="3"/>
      <c r="BHJ171" s="3"/>
      <c r="BHK171" s="3"/>
      <c r="BHL171" s="3"/>
      <c r="BHM171" s="3"/>
      <c r="BHN171" s="3"/>
      <c r="BHO171" s="3"/>
      <c r="BHP171" s="3"/>
      <c r="BHQ171" s="3"/>
      <c r="BHR171" s="3"/>
      <c r="BHS171" s="3"/>
      <c r="BHT171" s="3"/>
      <c r="BHU171" s="3"/>
      <c r="BHV171" s="3"/>
      <c r="BHW171" s="3"/>
      <c r="BHX171" s="3"/>
      <c r="BHY171" s="3"/>
      <c r="BHZ171" s="3"/>
      <c r="BIA171" s="3"/>
      <c r="BIB171" s="3"/>
      <c r="BIC171" s="3"/>
      <c r="BID171" s="3"/>
      <c r="BIE171" s="3"/>
      <c r="BIF171" s="3"/>
      <c r="BIG171" s="3"/>
      <c r="BIH171" s="3"/>
      <c r="BII171" s="3"/>
      <c r="BIJ171" s="3"/>
      <c r="BIK171" s="3"/>
      <c r="BIL171" s="3"/>
      <c r="BIM171" s="3"/>
      <c r="BIN171" s="3"/>
      <c r="BIO171" s="3"/>
      <c r="BIP171" s="3"/>
      <c r="BIQ171" s="3"/>
      <c r="BIR171" s="3"/>
      <c r="BIS171" s="3"/>
      <c r="BIT171" s="3"/>
      <c r="BIU171" s="3"/>
      <c r="BIV171" s="3"/>
      <c r="BIW171" s="3"/>
      <c r="BIX171" s="3"/>
      <c r="BIY171" s="3"/>
      <c r="BIZ171" s="3"/>
      <c r="BJA171" s="3"/>
      <c r="BJB171" s="3"/>
      <c r="BJC171" s="3"/>
      <c r="BJD171" s="3"/>
      <c r="BJE171" s="3"/>
      <c r="BJF171" s="3"/>
      <c r="BJG171" s="3"/>
      <c r="BJH171" s="3"/>
      <c r="BJI171" s="3"/>
      <c r="BJJ171" s="3"/>
      <c r="BJK171" s="3"/>
      <c r="BJL171" s="3"/>
      <c r="BJM171" s="3"/>
      <c r="BJN171" s="3"/>
      <c r="BJO171" s="3"/>
      <c r="BJP171" s="3"/>
      <c r="BJQ171" s="3"/>
      <c r="BJR171" s="3"/>
      <c r="BJS171" s="3"/>
      <c r="BJT171" s="3"/>
      <c r="BJU171" s="3"/>
      <c r="BJV171" s="3"/>
      <c r="BJW171" s="3"/>
      <c r="BJX171" s="3"/>
      <c r="BJY171" s="3"/>
      <c r="BJZ171" s="3"/>
      <c r="BKA171" s="3"/>
      <c r="BKB171" s="3"/>
      <c r="BKC171" s="3"/>
      <c r="BKD171" s="3"/>
      <c r="BKE171" s="3"/>
      <c r="BKF171" s="3"/>
      <c r="BKG171" s="3"/>
      <c r="BKH171" s="3"/>
      <c r="BKI171" s="3"/>
      <c r="BKJ171" s="3"/>
      <c r="BKK171" s="3"/>
      <c r="BKL171" s="3"/>
      <c r="BKM171" s="3"/>
      <c r="BKN171" s="3"/>
      <c r="BKO171" s="3"/>
      <c r="BKP171" s="3"/>
      <c r="BKQ171" s="3"/>
      <c r="BKR171" s="3"/>
      <c r="BKS171" s="3"/>
      <c r="BKT171" s="3"/>
      <c r="BKU171" s="3"/>
      <c r="BKV171" s="3"/>
      <c r="BKW171" s="3"/>
      <c r="BKX171" s="3"/>
      <c r="BKY171" s="3"/>
      <c r="BKZ171" s="3"/>
      <c r="BLA171" s="3"/>
      <c r="BLB171" s="3"/>
      <c r="BLC171" s="3"/>
      <c r="BLD171" s="3"/>
      <c r="BLE171" s="3"/>
      <c r="BLF171" s="3"/>
      <c r="BLG171" s="3"/>
      <c r="BLH171" s="3"/>
      <c r="BLI171" s="3"/>
      <c r="BLJ171" s="3"/>
      <c r="BLK171" s="3"/>
      <c r="BLL171" s="3"/>
      <c r="BLM171" s="3"/>
      <c r="BLN171" s="3"/>
      <c r="BLO171" s="3"/>
      <c r="BLP171" s="3"/>
      <c r="BLQ171" s="3"/>
      <c r="BLR171" s="3"/>
      <c r="BLS171" s="3"/>
      <c r="BLT171" s="3"/>
      <c r="BLU171" s="3"/>
      <c r="BLV171" s="3"/>
      <c r="BLW171" s="3"/>
      <c r="BLX171" s="3"/>
      <c r="BLY171" s="3"/>
      <c r="BLZ171" s="3"/>
      <c r="BMA171" s="3"/>
      <c r="BMB171" s="3"/>
      <c r="BMC171" s="3"/>
      <c r="BMD171" s="3"/>
      <c r="BME171" s="3"/>
      <c r="BMF171" s="3"/>
      <c r="BMG171" s="3"/>
      <c r="BMH171" s="3"/>
      <c r="BMI171" s="3"/>
      <c r="BMJ171" s="3"/>
      <c r="BMK171" s="3"/>
      <c r="BML171" s="3"/>
      <c r="BMM171" s="3"/>
      <c r="BMN171" s="3"/>
      <c r="BMO171" s="3"/>
      <c r="BMP171" s="3"/>
      <c r="BMQ171" s="3"/>
      <c r="BMR171" s="3"/>
      <c r="BMS171" s="3"/>
      <c r="BMT171" s="3"/>
      <c r="BMU171" s="3"/>
      <c r="BMV171" s="3"/>
      <c r="BMW171" s="3"/>
      <c r="BMX171" s="3"/>
      <c r="BMY171" s="3"/>
      <c r="BMZ171" s="3"/>
      <c r="BNA171" s="3"/>
      <c r="BNB171" s="3"/>
      <c r="BNC171" s="3"/>
      <c r="BND171" s="3"/>
      <c r="BNE171" s="3"/>
      <c r="BNF171" s="3"/>
      <c r="BNG171" s="3"/>
      <c r="BNH171" s="3"/>
      <c r="BNI171" s="3"/>
      <c r="BNJ171" s="3"/>
      <c r="BNK171" s="3"/>
      <c r="BNL171" s="3"/>
      <c r="BNM171" s="3"/>
      <c r="BNN171" s="3"/>
      <c r="BNO171" s="3"/>
      <c r="BNP171" s="3"/>
      <c r="BNQ171" s="3"/>
      <c r="BNR171" s="3"/>
      <c r="BNS171" s="3"/>
      <c r="BNT171" s="3"/>
      <c r="BNU171" s="3"/>
      <c r="BNV171" s="3"/>
      <c r="BNW171" s="3"/>
      <c r="BNX171" s="3"/>
      <c r="BNY171" s="3"/>
      <c r="BNZ171" s="3"/>
      <c r="BOA171" s="3"/>
      <c r="BOB171" s="3"/>
      <c r="BOC171" s="3"/>
      <c r="BOD171" s="3"/>
      <c r="BOE171" s="3"/>
      <c r="BOF171" s="3"/>
      <c r="BOG171" s="3"/>
      <c r="BOH171" s="3"/>
      <c r="BOI171" s="3"/>
      <c r="BOJ171" s="3"/>
      <c r="BOK171" s="3"/>
      <c r="BOL171" s="3"/>
      <c r="BOM171" s="3"/>
      <c r="BON171" s="3"/>
      <c r="BOO171" s="3"/>
      <c r="BOP171" s="3"/>
      <c r="BOQ171" s="3"/>
      <c r="BOR171" s="3"/>
      <c r="BOS171" s="3"/>
      <c r="BOT171" s="3"/>
      <c r="BOU171" s="3"/>
      <c r="BOV171" s="3"/>
      <c r="BOW171" s="3"/>
      <c r="BOX171" s="3"/>
      <c r="BOY171" s="3"/>
      <c r="BOZ171" s="3"/>
      <c r="BPA171" s="3"/>
      <c r="BPB171" s="3"/>
      <c r="BPC171" s="3"/>
      <c r="BPD171" s="3"/>
      <c r="BPE171" s="3"/>
      <c r="BPF171" s="3"/>
      <c r="BPG171" s="3"/>
      <c r="BPH171" s="3"/>
      <c r="BPI171" s="3"/>
      <c r="BPJ171" s="3"/>
      <c r="BPK171" s="3"/>
      <c r="BPL171" s="3"/>
      <c r="BPM171" s="3"/>
      <c r="BPN171" s="3"/>
      <c r="BPO171" s="3"/>
      <c r="BPP171" s="3"/>
      <c r="BPQ171" s="3"/>
      <c r="BPR171" s="3"/>
      <c r="BPS171" s="3"/>
      <c r="BPT171" s="3"/>
      <c r="BPU171" s="3"/>
      <c r="BPV171" s="3"/>
      <c r="BPW171" s="3"/>
      <c r="BPX171" s="3"/>
      <c r="BPY171" s="3"/>
      <c r="BPZ171" s="3"/>
      <c r="BQA171" s="3"/>
      <c r="BQB171" s="3"/>
      <c r="BQC171" s="3"/>
      <c r="BQD171" s="3"/>
      <c r="BQE171" s="3"/>
      <c r="BQF171" s="3"/>
      <c r="BQG171" s="3"/>
      <c r="BQH171" s="3"/>
      <c r="BQI171" s="3"/>
      <c r="BQJ171" s="3"/>
      <c r="BQK171" s="3"/>
      <c r="BQL171" s="3"/>
      <c r="BQM171" s="3"/>
      <c r="BQN171" s="3"/>
      <c r="BQO171" s="3"/>
      <c r="BQP171" s="3"/>
      <c r="BQQ171" s="3"/>
      <c r="BQR171" s="3"/>
      <c r="BQS171" s="3"/>
      <c r="BQT171" s="3"/>
      <c r="BQU171" s="3"/>
      <c r="BQV171" s="3"/>
      <c r="BQW171" s="3"/>
      <c r="BQX171" s="3"/>
      <c r="BQY171" s="3"/>
      <c r="BQZ171" s="3"/>
      <c r="BRA171" s="3"/>
      <c r="BRB171" s="3"/>
      <c r="BRC171" s="3"/>
      <c r="BRD171" s="3"/>
      <c r="BRE171" s="3"/>
      <c r="BRF171" s="3"/>
      <c r="BRG171" s="3"/>
      <c r="BRH171" s="3"/>
      <c r="BRI171" s="3"/>
      <c r="BRJ171" s="3"/>
      <c r="BRK171" s="3"/>
      <c r="BRL171" s="3"/>
      <c r="BRM171" s="3"/>
      <c r="BRN171" s="3"/>
      <c r="BRO171" s="3"/>
      <c r="BRP171" s="3"/>
      <c r="BRQ171" s="3"/>
      <c r="BRR171" s="3"/>
      <c r="BRS171" s="3"/>
      <c r="BRT171" s="3"/>
      <c r="BRU171" s="3"/>
      <c r="BRV171" s="3"/>
      <c r="BRW171" s="3"/>
      <c r="BRX171" s="3"/>
      <c r="BRY171" s="3"/>
      <c r="BRZ171" s="3"/>
      <c r="BSA171" s="3"/>
      <c r="BSB171" s="3"/>
      <c r="BSC171" s="3"/>
      <c r="BSD171" s="3"/>
      <c r="BSE171" s="3"/>
      <c r="BSF171" s="3"/>
      <c r="BSG171" s="3"/>
      <c r="BSH171" s="3"/>
      <c r="BSI171" s="3"/>
      <c r="BSJ171" s="3"/>
      <c r="BSK171" s="3"/>
      <c r="BSL171" s="3"/>
      <c r="BSM171" s="3"/>
      <c r="BSN171" s="3"/>
      <c r="BSO171" s="3"/>
      <c r="BSP171" s="3"/>
      <c r="BSQ171" s="3"/>
      <c r="BSR171" s="3"/>
      <c r="BSS171" s="3"/>
      <c r="BST171" s="3"/>
      <c r="BSU171" s="3"/>
      <c r="BSV171" s="3"/>
      <c r="BSW171" s="3"/>
      <c r="BSX171" s="3"/>
      <c r="BSY171" s="3"/>
      <c r="BSZ171" s="3"/>
      <c r="BTA171" s="3"/>
      <c r="BTB171" s="3"/>
      <c r="BTC171" s="3"/>
      <c r="BTD171" s="3"/>
      <c r="BTE171" s="3"/>
      <c r="BTF171" s="3"/>
      <c r="BTG171" s="3"/>
      <c r="BTH171" s="3"/>
      <c r="BTI171" s="3"/>
      <c r="BTJ171" s="3"/>
      <c r="BTK171" s="3"/>
      <c r="BTL171" s="3"/>
      <c r="BTM171" s="3"/>
      <c r="BTN171" s="3"/>
      <c r="BTO171" s="3"/>
      <c r="BTP171" s="3"/>
      <c r="BTQ171" s="3"/>
      <c r="BTR171" s="3"/>
      <c r="BTS171" s="3"/>
      <c r="BTT171" s="3"/>
      <c r="BTU171" s="3"/>
      <c r="BTV171" s="3"/>
      <c r="BTW171" s="3"/>
      <c r="BTX171" s="3"/>
      <c r="BTY171" s="3"/>
      <c r="BTZ171" s="3"/>
      <c r="BUA171" s="3"/>
      <c r="BUB171" s="3"/>
      <c r="BUC171" s="3"/>
      <c r="BUD171" s="3"/>
      <c r="BUE171" s="3"/>
      <c r="BUF171" s="3"/>
      <c r="BUG171" s="3"/>
      <c r="BUH171" s="3"/>
      <c r="BUI171" s="3"/>
      <c r="BUJ171" s="3"/>
      <c r="BUK171" s="3"/>
      <c r="BUL171" s="3"/>
      <c r="BUM171" s="3"/>
      <c r="BUN171" s="3"/>
      <c r="BUO171" s="3"/>
      <c r="BUP171" s="3"/>
      <c r="BUQ171" s="3"/>
      <c r="BUR171" s="3"/>
      <c r="BUS171" s="3"/>
      <c r="BUT171" s="3"/>
      <c r="BUU171" s="3"/>
      <c r="BUV171" s="3"/>
      <c r="BUW171" s="3"/>
      <c r="BUX171" s="3"/>
      <c r="BUY171" s="3"/>
      <c r="BUZ171" s="3"/>
      <c r="BVA171" s="3"/>
      <c r="BVB171" s="3"/>
      <c r="BVC171" s="3"/>
      <c r="BVD171" s="3"/>
      <c r="BVE171" s="3"/>
      <c r="BVF171" s="3"/>
      <c r="BVG171" s="3"/>
      <c r="BVH171" s="3"/>
      <c r="BVI171" s="3"/>
      <c r="BVJ171" s="3"/>
      <c r="BVK171" s="3"/>
      <c r="BVL171" s="3"/>
      <c r="BVM171" s="3"/>
      <c r="BVN171" s="3"/>
      <c r="BVO171" s="3"/>
      <c r="BVP171" s="3"/>
      <c r="BVQ171" s="3"/>
      <c r="BVR171" s="3"/>
      <c r="BVS171" s="3"/>
      <c r="BVT171" s="3"/>
      <c r="BVU171" s="3"/>
      <c r="BVV171" s="3"/>
      <c r="BVW171" s="3"/>
      <c r="BVX171" s="3"/>
      <c r="BVY171" s="3"/>
      <c r="BVZ171" s="3"/>
      <c r="BWA171" s="3"/>
      <c r="BWB171" s="3"/>
      <c r="BWC171" s="3"/>
      <c r="BWD171" s="3"/>
      <c r="BWE171" s="3"/>
      <c r="BWF171" s="3"/>
      <c r="BWG171" s="3"/>
      <c r="BWH171" s="3"/>
      <c r="BWI171" s="3"/>
      <c r="BWJ171" s="3"/>
      <c r="BWK171" s="3"/>
      <c r="BWL171" s="3"/>
      <c r="BWM171" s="3"/>
      <c r="BWN171" s="3"/>
      <c r="BWO171" s="3"/>
      <c r="BWP171" s="3"/>
      <c r="BWQ171" s="3"/>
      <c r="BWR171" s="3"/>
      <c r="BWS171" s="3"/>
      <c r="BWT171" s="3"/>
      <c r="BWU171" s="3"/>
      <c r="BWV171" s="3"/>
      <c r="BWW171" s="3"/>
      <c r="BWX171" s="3"/>
      <c r="BWY171" s="3"/>
      <c r="BWZ171" s="3"/>
      <c r="BXA171" s="3"/>
      <c r="BXB171" s="3"/>
      <c r="BXC171" s="3"/>
      <c r="BXD171" s="3"/>
      <c r="BXE171" s="3"/>
      <c r="BXF171" s="3"/>
      <c r="BXG171" s="3"/>
      <c r="BXH171" s="3"/>
      <c r="BXI171" s="3"/>
      <c r="BXJ171" s="3"/>
      <c r="BXK171" s="3"/>
      <c r="BXL171" s="3"/>
      <c r="BXM171" s="3"/>
      <c r="BXN171" s="3"/>
      <c r="BXO171" s="3"/>
      <c r="BXP171" s="3"/>
      <c r="BXQ171" s="3"/>
      <c r="BXR171" s="3"/>
      <c r="BXS171" s="3"/>
      <c r="BXT171" s="3"/>
      <c r="BXU171" s="3"/>
      <c r="BXV171" s="3"/>
      <c r="BXW171" s="3"/>
      <c r="BXX171" s="3"/>
      <c r="BXY171" s="3"/>
      <c r="BXZ171" s="3"/>
      <c r="BYA171" s="3"/>
      <c r="BYB171" s="3"/>
      <c r="BYC171" s="3"/>
      <c r="BYD171" s="3"/>
      <c r="BYE171" s="3"/>
      <c r="BYF171" s="3"/>
      <c r="BYG171" s="3"/>
      <c r="BYH171" s="3"/>
      <c r="BYI171" s="3"/>
      <c r="BYJ171" s="3"/>
      <c r="BYK171" s="3"/>
      <c r="BYL171" s="3"/>
      <c r="BYM171" s="3"/>
      <c r="BYN171" s="3"/>
      <c r="BYO171" s="3"/>
      <c r="BYP171" s="3"/>
      <c r="BYQ171" s="3"/>
      <c r="BYR171" s="3"/>
      <c r="BYS171" s="3"/>
      <c r="BYT171" s="3"/>
      <c r="BYU171" s="3"/>
      <c r="BYV171" s="3"/>
      <c r="BYW171" s="3"/>
      <c r="BYX171" s="3"/>
      <c r="BYY171" s="3"/>
      <c r="BYZ171" s="3"/>
      <c r="BZA171" s="3"/>
      <c r="BZB171" s="3"/>
      <c r="BZC171" s="3"/>
      <c r="BZD171" s="3"/>
      <c r="BZE171" s="3"/>
      <c r="BZF171" s="3"/>
      <c r="BZG171" s="3"/>
      <c r="BZH171" s="3"/>
      <c r="BZI171" s="3"/>
      <c r="BZJ171" s="3"/>
      <c r="BZK171" s="3"/>
      <c r="BZL171" s="3"/>
      <c r="BZM171" s="3"/>
      <c r="BZN171" s="3"/>
      <c r="BZO171" s="3"/>
      <c r="BZP171" s="3"/>
      <c r="BZQ171" s="3"/>
      <c r="BZR171" s="3"/>
      <c r="BZS171" s="3"/>
      <c r="BZT171" s="3"/>
      <c r="BZU171" s="3"/>
      <c r="BZV171" s="3"/>
      <c r="BZW171" s="3"/>
      <c r="BZX171" s="3"/>
      <c r="BZY171" s="3"/>
      <c r="BZZ171" s="3"/>
      <c r="CAA171" s="3"/>
      <c r="CAB171" s="3"/>
      <c r="CAC171" s="3"/>
      <c r="CAD171" s="3"/>
      <c r="CAE171" s="3"/>
      <c r="CAF171" s="3"/>
      <c r="CAG171" s="3"/>
      <c r="CAH171" s="3"/>
      <c r="CAI171" s="3"/>
      <c r="CAJ171" s="3"/>
      <c r="CAK171" s="3"/>
      <c r="CAL171" s="3"/>
      <c r="CAM171" s="3"/>
      <c r="CAN171" s="3"/>
      <c r="CAO171" s="3"/>
      <c r="CAP171" s="3"/>
      <c r="CAQ171" s="3"/>
      <c r="CAR171" s="3"/>
      <c r="CAS171" s="3"/>
      <c r="CAT171" s="3"/>
      <c r="CAU171" s="3"/>
      <c r="CAV171" s="3"/>
      <c r="CAW171" s="3"/>
      <c r="CAX171" s="3"/>
      <c r="CAY171" s="3"/>
      <c r="CAZ171" s="3"/>
      <c r="CBA171" s="3"/>
      <c r="CBB171" s="3"/>
      <c r="CBC171" s="3"/>
      <c r="CBD171" s="3"/>
      <c r="CBE171" s="3"/>
      <c r="CBF171" s="3"/>
      <c r="CBG171" s="3"/>
      <c r="CBH171" s="3"/>
      <c r="CBI171" s="3"/>
      <c r="CBJ171" s="3"/>
      <c r="CBK171" s="3"/>
      <c r="CBL171" s="3"/>
      <c r="CBM171" s="3"/>
      <c r="CBN171" s="3"/>
      <c r="CBO171" s="3"/>
      <c r="CBP171" s="3"/>
      <c r="CBQ171" s="3"/>
      <c r="CBR171" s="3"/>
      <c r="CBS171" s="3"/>
      <c r="CBT171" s="3"/>
      <c r="CBU171" s="3"/>
      <c r="CBV171" s="3"/>
      <c r="CBW171" s="3"/>
      <c r="CBX171" s="3"/>
      <c r="CBY171" s="3"/>
      <c r="CBZ171" s="3"/>
      <c r="CCA171" s="3"/>
      <c r="CCB171" s="3"/>
      <c r="CCC171" s="3"/>
      <c r="CCD171" s="3"/>
      <c r="CCE171" s="3"/>
      <c r="CCF171" s="3"/>
      <c r="CCG171" s="3"/>
      <c r="CCH171" s="3"/>
      <c r="CCI171" s="3"/>
      <c r="CCJ171" s="3"/>
      <c r="CCK171" s="3"/>
      <c r="CCL171" s="3"/>
      <c r="CCM171" s="3"/>
      <c r="CCN171" s="3"/>
      <c r="CCO171" s="3"/>
      <c r="CCP171" s="3"/>
      <c r="CCQ171" s="3"/>
      <c r="CCR171" s="3"/>
      <c r="CCS171" s="3"/>
      <c r="CCT171" s="3"/>
      <c r="CCU171" s="3"/>
      <c r="CCV171" s="3"/>
      <c r="CCW171" s="3"/>
      <c r="CCX171" s="3"/>
      <c r="CCY171" s="3"/>
      <c r="CCZ171" s="3"/>
      <c r="CDA171" s="3"/>
      <c r="CDB171" s="3"/>
      <c r="CDC171" s="3"/>
      <c r="CDD171" s="3"/>
      <c r="CDE171" s="3"/>
      <c r="CDF171" s="3"/>
      <c r="CDG171" s="3"/>
      <c r="CDH171" s="3"/>
      <c r="CDI171" s="3"/>
      <c r="CDJ171" s="3"/>
      <c r="CDK171" s="3"/>
      <c r="CDL171" s="3"/>
      <c r="CDM171" s="3"/>
      <c r="CDN171" s="3"/>
      <c r="CDO171" s="3"/>
      <c r="CDP171" s="3"/>
      <c r="CDQ171" s="3"/>
      <c r="CDR171" s="3"/>
      <c r="CDS171" s="3"/>
      <c r="CDT171" s="3"/>
      <c r="CDU171" s="3"/>
      <c r="CDV171" s="3"/>
      <c r="CDW171" s="3"/>
      <c r="CDX171" s="3"/>
      <c r="CDY171" s="3"/>
      <c r="CDZ171" s="3"/>
      <c r="CEA171" s="3"/>
      <c r="CEB171" s="3"/>
      <c r="CEC171" s="3"/>
      <c r="CED171" s="3"/>
      <c r="CEE171" s="3"/>
      <c r="CEF171" s="3"/>
      <c r="CEG171" s="3"/>
      <c r="CEH171" s="3"/>
      <c r="CEI171" s="3"/>
      <c r="CEJ171" s="3"/>
      <c r="CEK171" s="3"/>
      <c r="CEL171" s="3"/>
      <c r="CEM171" s="3"/>
      <c r="CEN171" s="3"/>
      <c r="CEO171" s="3"/>
      <c r="CEP171" s="3"/>
      <c r="CEQ171" s="3"/>
      <c r="CER171" s="3"/>
      <c r="CES171" s="3"/>
      <c r="CET171" s="3"/>
      <c r="CEU171" s="3"/>
      <c r="CEV171" s="3"/>
      <c r="CEW171" s="3"/>
      <c r="CEX171" s="3"/>
      <c r="CEY171" s="3"/>
      <c r="CEZ171" s="3"/>
      <c r="CFA171" s="3"/>
      <c r="CFB171" s="3"/>
      <c r="CFC171" s="3"/>
      <c r="CFD171" s="3"/>
      <c r="CFE171" s="3"/>
      <c r="CFF171" s="3"/>
      <c r="CFG171" s="3"/>
      <c r="CFH171" s="3"/>
      <c r="CFI171" s="3"/>
      <c r="CFJ171" s="3"/>
      <c r="CFK171" s="3"/>
      <c r="CFL171" s="3"/>
      <c r="CFM171" s="3"/>
      <c r="CFN171" s="3"/>
      <c r="CFO171" s="3"/>
      <c r="CFP171" s="3"/>
      <c r="CFQ171" s="3"/>
      <c r="CFR171" s="3"/>
      <c r="CFS171" s="3"/>
      <c r="CFT171" s="3"/>
      <c r="CFU171" s="3"/>
      <c r="CFV171" s="3"/>
      <c r="CFW171" s="3"/>
      <c r="CFX171" s="3"/>
      <c r="CFY171" s="3"/>
      <c r="CFZ171" s="3"/>
      <c r="CGA171" s="3"/>
      <c r="CGB171" s="3"/>
      <c r="CGC171" s="3"/>
      <c r="CGD171" s="3"/>
      <c r="CGE171" s="3"/>
      <c r="CGF171" s="3"/>
      <c r="CGG171" s="3"/>
      <c r="CGH171" s="3"/>
      <c r="CGI171" s="3"/>
      <c r="CGJ171" s="3"/>
      <c r="CGK171" s="3"/>
      <c r="CGL171" s="3"/>
      <c r="CGM171" s="3"/>
      <c r="CGN171" s="3"/>
      <c r="CGO171" s="3"/>
      <c r="CGP171" s="3"/>
      <c r="CGQ171" s="3"/>
      <c r="CGR171" s="3"/>
      <c r="CGS171" s="3"/>
      <c r="CGT171" s="3"/>
      <c r="CGU171" s="3"/>
      <c r="CGV171" s="3"/>
      <c r="CGW171" s="3"/>
      <c r="CGX171" s="3"/>
      <c r="CGY171" s="3"/>
      <c r="CGZ171" s="3"/>
      <c r="CHA171" s="3"/>
      <c r="CHB171" s="3"/>
      <c r="CHC171" s="3"/>
      <c r="CHD171" s="3"/>
      <c r="CHE171" s="3"/>
      <c r="CHF171" s="3"/>
      <c r="CHG171" s="3"/>
      <c r="CHH171" s="3"/>
      <c r="CHI171" s="3"/>
      <c r="CHJ171" s="3"/>
      <c r="CHK171" s="3"/>
      <c r="CHL171" s="3"/>
      <c r="CHM171" s="3"/>
      <c r="CHN171" s="3"/>
      <c r="CHO171" s="3"/>
      <c r="CHP171" s="3"/>
      <c r="CHQ171" s="3"/>
      <c r="CHR171" s="3"/>
      <c r="CHS171" s="3"/>
      <c r="CHT171" s="3"/>
      <c r="CHU171" s="3"/>
      <c r="CHV171" s="3"/>
      <c r="CHW171" s="3"/>
      <c r="CHX171" s="3"/>
      <c r="CHY171" s="3"/>
      <c r="CHZ171" s="3"/>
      <c r="CIA171" s="3"/>
      <c r="CIB171" s="3"/>
      <c r="CIC171" s="3"/>
      <c r="CID171" s="3"/>
      <c r="CIE171" s="3"/>
      <c r="CIF171" s="3"/>
      <c r="CIG171" s="3"/>
      <c r="CIH171" s="3"/>
      <c r="CII171" s="3"/>
      <c r="CIJ171" s="3"/>
      <c r="CIK171" s="3"/>
      <c r="CIL171" s="3"/>
      <c r="CIM171" s="3"/>
      <c r="CIN171" s="3"/>
      <c r="CIO171" s="3"/>
      <c r="CIP171" s="3"/>
      <c r="CIQ171" s="3"/>
      <c r="CIR171" s="3"/>
      <c r="CIS171" s="3"/>
      <c r="CIT171" s="3"/>
      <c r="CIU171" s="3"/>
      <c r="CIV171" s="3"/>
      <c r="CIW171" s="3"/>
      <c r="CIX171" s="3"/>
      <c r="CIY171" s="3"/>
      <c r="CIZ171" s="3"/>
      <c r="CJA171" s="3"/>
      <c r="CJB171" s="3"/>
      <c r="CJC171" s="3"/>
      <c r="CJD171" s="3"/>
      <c r="CJE171" s="3"/>
      <c r="CJF171" s="3"/>
      <c r="CJG171" s="3"/>
      <c r="CJH171" s="3"/>
      <c r="CJI171" s="3"/>
      <c r="CJJ171" s="3"/>
      <c r="CJK171" s="3"/>
      <c r="CJL171" s="3"/>
      <c r="CJM171" s="3"/>
      <c r="CJN171" s="3"/>
      <c r="CJO171" s="3"/>
      <c r="CJP171" s="3"/>
      <c r="CJQ171" s="3"/>
      <c r="CJR171" s="3"/>
      <c r="CJS171" s="3"/>
      <c r="CJT171" s="3"/>
      <c r="CJU171" s="3"/>
      <c r="CJV171" s="3"/>
      <c r="CJW171" s="3"/>
      <c r="CJX171" s="3"/>
      <c r="CJY171" s="3"/>
      <c r="CJZ171" s="3"/>
      <c r="CKA171" s="3"/>
      <c r="CKB171" s="3"/>
      <c r="CKC171" s="3"/>
      <c r="CKD171" s="3"/>
      <c r="CKE171" s="3"/>
      <c r="CKF171" s="3"/>
      <c r="CKG171" s="3"/>
      <c r="CKH171" s="3"/>
      <c r="CKI171" s="3"/>
      <c r="CKJ171" s="3"/>
      <c r="CKK171" s="3"/>
      <c r="CKL171" s="3"/>
      <c r="CKM171" s="3"/>
      <c r="CKN171" s="3"/>
      <c r="CKO171" s="3"/>
      <c r="CKP171" s="3"/>
      <c r="CKQ171" s="3"/>
      <c r="CKR171" s="3"/>
      <c r="CKS171" s="3"/>
      <c r="CKT171" s="3"/>
      <c r="CKU171" s="3"/>
      <c r="CKV171" s="3"/>
      <c r="CKW171" s="3"/>
      <c r="CKX171" s="3"/>
      <c r="CKY171" s="3"/>
      <c r="CKZ171" s="3"/>
      <c r="CLA171" s="3"/>
      <c r="CLB171" s="3"/>
      <c r="CLC171" s="3"/>
      <c r="CLD171" s="3"/>
      <c r="CLE171" s="3"/>
      <c r="CLF171" s="3"/>
      <c r="CLG171" s="3"/>
      <c r="CLH171" s="3"/>
      <c r="CLI171" s="3"/>
      <c r="CLJ171" s="3"/>
      <c r="CLK171" s="3"/>
      <c r="CLL171" s="3"/>
      <c r="CLM171" s="3"/>
      <c r="CLN171" s="3"/>
      <c r="CLO171" s="3"/>
      <c r="CLP171" s="3"/>
      <c r="CLQ171" s="3"/>
      <c r="CLR171" s="3"/>
      <c r="CLS171" s="3"/>
      <c r="CLT171" s="3"/>
      <c r="CLU171" s="3"/>
      <c r="CLV171" s="3"/>
      <c r="CLW171" s="3"/>
      <c r="CLX171" s="3"/>
      <c r="CLY171" s="3"/>
      <c r="CLZ171" s="3"/>
      <c r="CMA171" s="3"/>
      <c r="CMB171" s="3"/>
      <c r="CMC171" s="3"/>
      <c r="CMD171" s="3"/>
      <c r="CME171" s="3"/>
      <c r="CMF171" s="3"/>
      <c r="CMG171" s="3"/>
      <c r="CMH171" s="3"/>
      <c r="CMI171" s="3"/>
      <c r="CMJ171" s="3"/>
      <c r="CMK171" s="3"/>
      <c r="CML171" s="3"/>
      <c r="CMM171" s="3"/>
      <c r="CMN171" s="3"/>
      <c r="CMO171" s="3"/>
      <c r="CMP171" s="3"/>
      <c r="CMQ171" s="3"/>
      <c r="CMR171" s="3"/>
      <c r="CMS171" s="3"/>
      <c r="CMT171" s="3"/>
      <c r="CMU171" s="3"/>
      <c r="CMV171" s="3"/>
      <c r="CMW171" s="3"/>
      <c r="CMX171" s="3"/>
      <c r="CMY171" s="3"/>
      <c r="CMZ171" s="3"/>
      <c r="CNA171" s="3"/>
      <c r="CNB171" s="3"/>
      <c r="CNC171" s="3"/>
      <c r="CND171" s="3"/>
      <c r="CNE171" s="3"/>
      <c r="CNF171" s="3"/>
      <c r="CNG171" s="3"/>
      <c r="CNH171" s="3"/>
      <c r="CNI171" s="3"/>
      <c r="CNJ171" s="3"/>
      <c r="CNK171" s="3"/>
      <c r="CNL171" s="3"/>
      <c r="CNM171" s="3"/>
      <c r="CNN171" s="3"/>
      <c r="CNO171" s="3"/>
      <c r="CNP171" s="3"/>
      <c r="CNQ171" s="3"/>
      <c r="CNR171" s="3"/>
      <c r="CNS171" s="3"/>
      <c r="CNT171" s="3"/>
      <c r="CNU171" s="3"/>
      <c r="CNV171" s="3"/>
      <c r="CNW171" s="3"/>
      <c r="CNX171" s="3"/>
      <c r="CNY171" s="3"/>
      <c r="CNZ171" s="3"/>
      <c r="COA171" s="3"/>
      <c r="COB171" s="3"/>
      <c r="COC171" s="3"/>
      <c r="COD171" s="3"/>
      <c r="COE171" s="3"/>
      <c r="COF171" s="3"/>
      <c r="COG171" s="3"/>
      <c r="COH171" s="3"/>
      <c r="COI171" s="3"/>
      <c r="COJ171" s="3"/>
      <c r="COK171" s="3"/>
      <c r="COL171" s="3"/>
      <c r="COM171" s="3"/>
      <c r="CON171" s="3"/>
      <c r="COO171" s="3"/>
      <c r="COP171" s="3"/>
      <c r="COQ171" s="3"/>
      <c r="COR171" s="3"/>
      <c r="COS171" s="3"/>
      <c r="COT171" s="3"/>
      <c r="COU171" s="3"/>
      <c r="COV171" s="3"/>
      <c r="COW171" s="3"/>
      <c r="COX171" s="3"/>
      <c r="COY171" s="3"/>
      <c r="COZ171" s="3"/>
      <c r="CPA171" s="3"/>
      <c r="CPB171" s="3"/>
      <c r="CPC171" s="3"/>
      <c r="CPD171" s="3"/>
      <c r="CPE171" s="3"/>
      <c r="CPF171" s="3"/>
      <c r="CPG171" s="3"/>
      <c r="CPH171" s="3"/>
      <c r="CPI171" s="3"/>
      <c r="CPJ171" s="3"/>
      <c r="CPK171" s="3"/>
      <c r="CPL171" s="3"/>
      <c r="CPM171" s="3"/>
      <c r="CPN171" s="3"/>
      <c r="CPO171" s="3"/>
      <c r="CPP171" s="3"/>
      <c r="CPQ171" s="3"/>
      <c r="CPR171" s="3"/>
      <c r="CPS171" s="3"/>
      <c r="CPT171" s="3"/>
      <c r="CPU171" s="3"/>
      <c r="CPV171" s="3"/>
      <c r="CPW171" s="3"/>
      <c r="CPX171" s="3"/>
      <c r="CPY171" s="3"/>
      <c r="CPZ171" s="3"/>
      <c r="CQA171" s="3"/>
      <c r="CQB171" s="3"/>
      <c r="CQC171" s="3"/>
      <c r="CQD171" s="3"/>
      <c r="CQE171" s="3"/>
      <c r="CQF171" s="3"/>
      <c r="CQG171" s="3"/>
      <c r="CQH171" s="3"/>
      <c r="CQI171" s="3"/>
      <c r="CQJ171" s="3"/>
      <c r="CQK171" s="3"/>
      <c r="CQL171" s="3"/>
      <c r="CQM171" s="3"/>
      <c r="CQN171" s="3"/>
      <c r="CQO171" s="3"/>
      <c r="CQP171" s="3"/>
      <c r="CQQ171" s="3"/>
      <c r="CQR171" s="3"/>
      <c r="CQS171" s="3"/>
      <c r="CQT171" s="3"/>
      <c r="CQU171" s="3"/>
      <c r="CQV171" s="3"/>
      <c r="CQW171" s="3"/>
      <c r="CQX171" s="3"/>
      <c r="CQY171" s="3"/>
      <c r="CQZ171" s="3"/>
      <c r="CRA171" s="3"/>
      <c r="CRB171" s="3"/>
      <c r="CRC171" s="3"/>
      <c r="CRD171" s="3"/>
      <c r="CRE171" s="3"/>
      <c r="CRF171" s="3"/>
      <c r="CRG171" s="3"/>
      <c r="CRH171" s="3"/>
      <c r="CRI171" s="3"/>
      <c r="CRJ171" s="3"/>
      <c r="CRK171" s="3"/>
      <c r="CRL171" s="3"/>
      <c r="CRM171" s="3"/>
      <c r="CRN171" s="3"/>
      <c r="CRO171" s="3"/>
      <c r="CRP171" s="3"/>
      <c r="CRQ171" s="3"/>
      <c r="CRR171" s="3"/>
      <c r="CRS171" s="3"/>
      <c r="CRT171" s="3"/>
      <c r="CRU171" s="3"/>
      <c r="CRV171" s="3"/>
      <c r="CRW171" s="3"/>
      <c r="CRX171" s="3"/>
      <c r="CRY171" s="3"/>
      <c r="CRZ171" s="3"/>
      <c r="CSA171" s="3"/>
      <c r="CSB171" s="3"/>
      <c r="CSC171" s="3"/>
      <c r="CSD171" s="3"/>
      <c r="CSE171" s="3"/>
      <c r="CSF171" s="3"/>
      <c r="CSG171" s="3"/>
      <c r="CSH171" s="3"/>
      <c r="CSI171" s="3"/>
      <c r="CSJ171" s="3"/>
      <c r="CSK171" s="3"/>
      <c r="CSL171" s="3"/>
      <c r="CSM171" s="3"/>
      <c r="CSN171" s="3"/>
      <c r="CSO171" s="3"/>
      <c r="CSP171" s="3"/>
      <c r="CSQ171" s="3"/>
      <c r="CSR171" s="3"/>
      <c r="CSS171" s="3"/>
      <c r="CST171" s="3"/>
      <c r="CSU171" s="3"/>
      <c r="CSV171" s="3"/>
      <c r="CSW171" s="3"/>
      <c r="CSX171" s="3"/>
      <c r="CSY171" s="3"/>
      <c r="CSZ171" s="3"/>
      <c r="CTA171" s="3"/>
      <c r="CTB171" s="3"/>
      <c r="CTC171" s="3"/>
      <c r="CTD171" s="3"/>
      <c r="CTE171" s="3"/>
      <c r="CTF171" s="3"/>
      <c r="CTG171" s="3"/>
      <c r="CTH171" s="3"/>
      <c r="CTI171" s="3"/>
      <c r="CTJ171" s="3"/>
      <c r="CTK171" s="3"/>
      <c r="CTL171" s="3"/>
      <c r="CTM171" s="3"/>
      <c r="CTN171" s="3"/>
      <c r="CTO171" s="3"/>
      <c r="CTP171" s="3"/>
      <c r="CTQ171" s="3"/>
      <c r="CTR171" s="3"/>
      <c r="CTS171" s="3"/>
      <c r="CTT171" s="3"/>
      <c r="CTU171" s="3"/>
      <c r="CTV171" s="3"/>
      <c r="CTW171" s="3"/>
      <c r="CTX171" s="3"/>
      <c r="CTY171" s="3"/>
      <c r="CTZ171" s="3"/>
      <c r="CUA171" s="3"/>
      <c r="CUB171" s="3"/>
      <c r="CUC171" s="3"/>
      <c r="CUD171" s="3"/>
      <c r="CUE171" s="3"/>
      <c r="CUF171" s="3"/>
      <c r="CUG171" s="3"/>
      <c r="CUH171" s="3"/>
      <c r="CUI171" s="3"/>
      <c r="CUJ171" s="3"/>
      <c r="CUK171" s="3"/>
      <c r="CUL171" s="3"/>
      <c r="CUM171" s="3"/>
      <c r="CUN171" s="3"/>
      <c r="CUO171" s="3"/>
      <c r="CUP171" s="3"/>
      <c r="CUQ171" s="3"/>
      <c r="CUR171" s="3"/>
      <c r="CUS171" s="3"/>
      <c r="CUT171" s="3"/>
      <c r="CUU171" s="3"/>
      <c r="CUV171" s="3"/>
      <c r="CUW171" s="3"/>
      <c r="CUX171" s="3"/>
      <c r="CUY171" s="3"/>
      <c r="CUZ171" s="3"/>
      <c r="CVA171" s="3"/>
      <c r="CVB171" s="3"/>
      <c r="CVC171" s="3"/>
      <c r="CVD171" s="3"/>
      <c r="CVE171" s="3"/>
      <c r="CVF171" s="3"/>
      <c r="CVG171" s="3"/>
      <c r="CVH171" s="3"/>
      <c r="CVI171" s="3"/>
      <c r="CVJ171" s="3"/>
      <c r="CVK171" s="3"/>
      <c r="CVL171" s="3"/>
      <c r="CVM171" s="3"/>
      <c r="CVN171" s="3"/>
      <c r="CVO171" s="3"/>
      <c r="CVP171" s="3"/>
      <c r="CVQ171" s="3"/>
      <c r="CVR171" s="3"/>
      <c r="CVS171" s="3"/>
      <c r="CVT171" s="3"/>
      <c r="CVU171" s="3"/>
      <c r="CVV171" s="3"/>
      <c r="CVW171" s="3"/>
      <c r="CVX171" s="3"/>
      <c r="CVY171" s="3"/>
      <c r="CVZ171" s="3"/>
      <c r="CWA171" s="3"/>
      <c r="CWB171" s="3"/>
      <c r="CWC171" s="3"/>
      <c r="CWD171" s="3"/>
      <c r="CWE171" s="3"/>
      <c r="CWF171" s="3"/>
      <c r="CWG171" s="3"/>
      <c r="CWH171" s="3"/>
      <c r="CWI171" s="3"/>
      <c r="CWJ171" s="3"/>
      <c r="CWK171" s="3"/>
      <c r="CWL171" s="3"/>
      <c r="CWM171" s="3"/>
      <c r="CWN171" s="3"/>
      <c r="CWO171" s="3"/>
      <c r="CWP171" s="3"/>
      <c r="CWQ171" s="3"/>
      <c r="CWR171" s="3"/>
      <c r="CWS171" s="3"/>
      <c r="CWT171" s="3"/>
      <c r="CWU171" s="3"/>
      <c r="CWV171" s="3"/>
      <c r="CWW171" s="3"/>
      <c r="CWX171" s="3"/>
      <c r="CWY171" s="3"/>
      <c r="CWZ171" s="3"/>
      <c r="CXA171" s="3"/>
      <c r="CXB171" s="3"/>
      <c r="CXC171" s="3"/>
      <c r="CXD171" s="3"/>
      <c r="CXE171" s="3"/>
      <c r="CXF171" s="3"/>
      <c r="CXG171" s="3"/>
      <c r="CXH171" s="3"/>
      <c r="CXI171" s="3"/>
      <c r="CXJ171" s="3"/>
      <c r="CXK171" s="3"/>
      <c r="CXL171" s="3"/>
      <c r="CXM171" s="3"/>
      <c r="CXN171" s="3"/>
      <c r="CXO171" s="3"/>
      <c r="CXP171" s="3"/>
      <c r="CXQ171" s="3"/>
      <c r="CXR171" s="3"/>
      <c r="CXS171" s="3"/>
      <c r="CXT171" s="3"/>
      <c r="CXU171" s="3"/>
      <c r="CXV171" s="3"/>
      <c r="CXW171" s="3"/>
      <c r="CXX171" s="3"/>
      <c r="CXY171" s="3"/>
      <c r="CXZ171" s="3"/>
      <c r="CYA171" s="3"/>
      <c r="CYB171" s="3"/>
      <c r="CYC171" s="3"/>
      <c r="CYD171" s="3"/>
      <c r="CYE171" s="3"/>
      <c r="CYF171" s="3"/>
      <c r="CYG171" s="3"/>
      <c r="CYH171" s="3"/>
      <c r="CYI171" s="3"/>
      <c r="CYJ171" s="3"/>
      <c r="CYK171" s="3"/>
      <c r="CYL171" s="3"/>
      <c r="CYM171" s="3"/>
      <c r="CYN171" s="3"/>
      <c r="CYO171" s="3"/>
      <c r="CYP171" s="3"/>
      <c r="CYQ171" s="3"/>
      <c r="CYR171" s="3"/>
      <c r="CYS171" s="3"/>
      <c r="CYT171" s="3"/>
      <c r="CYU171" s="3"/>
      <c r="CYV171" s="3"/>
      <c r="CYW171" s="3"/>
      <c r="CYX171" s="3"/>
      <c r="CYY171" s="3"/>
      <c r="CYZ171" s="3"/>
      <c r="CZA171" s="3"/>
      <c r="CZB171" s="3"/>
      <c r="CZC171" s="3"/>
      <c r="CZD171" s="3"/>
      <c r="CZE171" s="3"/>
      <c r="CZF171" s="3"/>
      <c r="CZG171" s="3"/>
      <c r="CZH171" s="3"/>
      <c r="CZI171" s="3"/>
      <c r="CZJ171" s="3"/>
      <c r="CZK171" s="3"/>
      <c r="CZL171" s="3"/>
      <c r="CZM171" s="3"/>
      <c r="CZN171" s="3"/>
      <c r="CZO171" s="3"/>
      <c r="CZP171" s="3"/>
      <c r="CZQ171" s="3"/>
      <c r="CZR171" s="3"/>
      <c r="CZS171" s="3"/>
      <c r="CZT171" s="3"/>
      <c r="CZU171" s="3"/>
      <c r="CZV171" s="3"/>
      <c r="CZW171" s="3"/>
      <c r="CZX171" s="3"/>
      <c r="CZY171" s="3"/>
      <c r="CZZ171" s="3"/>
      <c r="DAA171" s="3"/>
      <c r="DAB171" s="3"/>
      <c r="DAC171" s="3"/>
      <c r="DAD171" s="3"/>
      <c r="DAE171" s="3"/>
      <c r="DAF171" s="3"/>
      <c r="DAG171" s="3"/>
      <c r="DAH171" s="3"/>
      <c r="DAI171" s="3"/>
      <c r="DAJ171" s="3"/>
      <c r="DAK171" s="3"/>
      <c r="DAL171" s="3"/>
      <c r="DAM171" s="3"/>
      <c r="DAN171" s="3"/>
      <c r="DAO171" s="3"/>
      <c r="DAP171" s="3"/>
      <c r="DAQ171" s="3"/>
      <c r="DAR171" s="3"/>
      <c r="DAS171" s="3"/>
      <c r="DAT171" s="3"/>
      <c r="DAU171" s="3"/>
      <c r="DAV171" s="3"/>
      <c r="DAW171" s="3"/>
      <c r="DAX171" s="3"/>
      <c r="DAY171" s="3"/>
      <c r="DAZ171" s="3"/>
      <c r="DBA171" s="3"/>
      <c r="DBB171" s="3"/>
      <c r="DBC171" s="3"/>
      <c r="DBD171" s="3"/>
      <c r="DBE171" s="3"/>
      <c r="DBF171" s="3"/>
      <c r="DBG171" s="3"/>
      <c r="DBH171" s="3"/>
      <c r="DBI171" s="3"/>
      <c r="DBJ171" s="3"/>
      <c r="DBK171" s="3"/>
      <c r="DBL171" s="3"/>
      <c r="DBM171" s="3"/>
      <c r="DBN171" s="3"/>
      <c r="DBO171" s="3"/>
      <c r="DBP171" s="3"/>
      <c r="DBQ171" s="3"/>
      <c r="DBR171" s="3"/>
      <c r="DBS171" s="3"/>
      <c r="DBT171" s="3"/>
      <c r="DBU171" s="3"/>
      <c r="DBV171" s="3"/>
      <c r="DBW171" s="3"/>
      <c r="DBX171" s="3"/>
      <c r="DBY171" s="3"/>
      <c r="DBZ171" s="3"/>
      <c r="DCA171" s="3"/>
      <c r="DCB171" s="3"/>
      <c r="DCC171" s="3"/>
      <c r="DCD171" s="3"/>
      <c r="DCE171" s="3"/>
      <c r="DCF171" s="3"/>
      <c r="DCG171" s="3"/>
      <c r="DCH171" s="3"/>
      <c r="DCI171" s="3"/>
      <c r="DCJ171" s="3"/>
      <c r="DCK171" s="3"/>
      <c r="DCL171" s="3"/>
      <c r="DCM171" s="3"/>
      <c r="DCN171" s="3"/>
      <c r="DCO171" s="3"/>
      <c r="DCP171" s="3"/>
      <c r="DCQ171" s="3"/>
      <c r="DCR171" s="3"/>
      <c r="DCS171" s="3"/>
      <c r="DCT171" s="3"/>
      <c r="DCU171" s="3"/>
      <c r="DCV171" s="3"/>
      <c r="DCW171" s="3"/>
      <c r="DCX171" s="3"/>
      <c r="DCY171" s="3"/>
      <c r="DCZ171" s="3"/>
      <c r="DDA171" s="3"/>
      <c r="DDB171" s="3"/>
      <c r="DDC171" s="3"/>
      <c r="DDD171" s="3"/>
      <c r="DDE171" s="3"/>
      <c r="DDF171" s="3"/>
      <c r="DDG171" s="3"/>
      <c r="DDH171" s="3"/>
      <c r="DDI171" s="3"/>
      <c r="DDJ171" s="3"/>
      <c r="DDK171" s="3"/>
      <c r="DDL171" s="3"/>
      <c r="DDM171" s="3"/>
      <c r="DDN171" s="3"/>
      <c r="DDO171" s="3"/>
      <c r="DDP171" s="3"/>
      <c r="DDQ171" s="3"/>
      <c r="DDR171" s="3"/>
      <c r="DDS171" s="3"/>
      <c r="DDT171" s="3"/>
      <c r="DDU171" s="3"/>
      <c r="DDV171" s="3"/>
      <c r="DDW171" s="3"/>
      <c r="DDX171" s="3"/>
      <c r="DDY171" s="3"/>
      <c r="DDZ171" s="3"/>
      <c r="DEA171" s="3"/>
      <c r="DEB171" s="3"/>
      <c r="DEC171" s="3"/>
      <c r="DED171" s="3"/>
      <c r="DEE171" s="3"/>
      <c r="DEF171" s="3"/>
      <c r="DEG171" s="3"/>
      <c r="DEH171" s="3"/>
      <c r="DEI171" s="3"/>
      <c r="DEJ171" s="3"/>
      <c r="DEK171" s="3"/>
      <c r="DEL171" s="3"/>
      <c r="DEM171" s="3"/>
      <c r="DEN171" s="3"/>
      <c r="DEO171" s="3"/>
      <c r="DEP171" s="3"/>
      <c r="DEQ171" s="3"/>
      <c r="DER171" s="3"/>
      <c r="DES171" s="3"/>
      <c r="DET171" s="3"/>
      <c r="DEU171" s="3"/>
      <c r="DEV171" s="3"/>
      <c r="DEW171" s="3"/>
      <c r="DEX171" s="3"/>
      <c r="DEY171" s="3"/>
      <c r="DEZ171" s="3"/>
      <c r="DFA171" s="3"/>
      <c r="DFB171" s="3"/>
      <c r="DFC171" s="3"/>
      <c r="DFD171" s="3"/>
      <c r="DFE171" s="3"/>
      <c r="DFF171" s="3"/>
      <c r="DFG171" s="3"/>
      <c r="DFH171" s="3"/>
      <c r="DFI171" s="3"/>
      <c r="DFJ171" s="3"/>
      <c r="DFK171" s="3"/>
      <c r="DFL171" s="3"/>
      <c r="DFM171" s="3"/>
      <c r="DFN171" s="3"/>
      <c r="DFO171" s="3"/>
      <c r="DFP171" s="3"/>
      <c r="DFQ171" s="3"/>
      <c r="DFR171" s="3"/>
      <c r="DFS171" s="3"/>
      <c r="DFT171" s="3"/>
      <c r="DFU171" s="3"/>
      <c r="DFV171" s="3"/>
      <c r="DFW171" s="3"/>
      <c r="DFX171" s="3"/>
      <c r="DFY171" s="3"/>
      <c r="DFZ171" s="3"/>
      <c r="DGA171" s="3"/>
      <c r="DGB171" s="3"/>
      <c r="DGC171" s="3"/>
      <c r="DGD171" s="3"/>
      <c r="DGE171" s="3"/>
      <c r="DGF171" s="3"/>
      <c r="DGG171" s="3"/>
      <c r="DGH171" s="3"/>
      <c r="DGI171" s="3"/>
      <c r="DGJ171" s="3"/>
      <c r="DGK171" s="3"/>
      <c r="DGL171" s="3"/>
      <c r="DGM171" s="3"/>
      <c r="DGN171" s="3"/>
      <c r="DGO171" s="3"/>
      <c r="DGP171" s="3"/>
      <c r="DGQ171" s="3"/>
      <c r="DGR171" s="3"/>
      <c r="DGS171" s="3"/>
      <c r="DGT171" s="3"/>
      <c r="DGU171" s="3"/>
      <c r="DGV171" s="3"/>
      <c r="DGW171" s="3"/>
      <c r="DGX171" s="3"/>
      <c r="DGY171" s="3"/>
      <c r="DGZ171" s="3"/>
      <c r="DHA171" s="3"/>
      <c r="DHB171" s="3"/>
      <c r="DHC171" s="3"/>
      <c r="DHD171" s="3"/>
      <c r="DHE171" s="3"/>
      <c r="DHF171" s="3"/>
      <c r="DHG171" s="3"/>
      <c r="DHH171" s="3"/>
      <c r="DHI171" s="3"/>
      <c r="DHJ171" s="3"/>
      <c r="DHK171" s="3"/>
      <c r="DHL171" s="3"/>
      <c r="DHM171" s="3"/>
      <c r="DHN171" s="3"/>
      <c r="DHO171" s="3"/>
      <c r="DHP171" s="3"/>
      <c r="DHQ171" s="3"/>
      <c r="DHR171" s="3"/>
      <c r="DHS171" s="3"/>
      <c r="DHT171" s="3"/>
      <c r="DHU171" s="3"/>
      <c r="DHV171" s="3"/>
      <c r="DHW171" s="3"/>
      <c r="DHX171" s="3"/>
      <c r="DHY171" s="3"/>
      <c r="DHZ171" s="3"/>
      <c r="DIA171" s="3"/>
      <c r="DIB171" s="3"/>
      <c r="DIC171" s="3"/>
      <c r="DID171" s="3"/>
      <c r="DIE171" s="3"/>
      <c r="DIF171" s="3"/>
      <c r="DIG171" s="3"/>
      <c r="DIH171" s="3"/>
      <c r="DII171" s="3"/>
      <c r="DIJ171" s="3"/>
      <c r="DIK171" s="3"/>
      <c r="DIL171" s="3"/>
      <c r="DIM171" s="3"/>
      <c r="DIN171" s="3"/>
      <c r="DIO171" s="3"/>
      <c r="DIP171" s="3"/>
      <c r="DIQ171" s="3"/>
      <c r="DIR171" s="3"/>
      <c r="DIS171" s="3"/>
      <c r="DIT171" s="3"/>
      <c r="DIU171" s="3"/>
      <c r="DIV171" s="3"/>
      <c r="DIW171" s="3"/>
      <c r="DIX171" s="3"/>
      <c r="DIY171" s="3"/>
      <c r="DIZ171" s="3"/>
      <c r="DJA171" s="3"/>
      <c r="DJB171" s="3"/>
      <c r="DJC171" s="3"/>
      <c r="DJD171" s="3"/>
      <c r="DJE171" s="3"/>
      <c r="DJF171" s="3"/>
      <c r="DJG171" s="3"/>
      <c r="DJH171" s="3"/>
      <c r="DJI171" s="3"/>
      <c r="DJJ171" s="3"/>
      <c r="DJK171" s="3"/>
      <c r="DJL171" s="3"/>
      <c r="DJM171" s="3"/>
      <c r="DJN171" s="3"/>
      <c r="DJO171" s="3"/>
      <c r="DJP171" s="3"/>
      <c r="DJQ171" s="3"/>
      <c r="DJR171" s="3"/>
      <c r="DJS171" s="3"/>
      <c r="DJT171" s="3"/>
      <c r="DJU171" s="3"/>
      <c r="DJV171" s="3"/>
      <c r="DJW171" s="3"/>
      <c r="DJX171" s="3"/>
      <c r="DJY171" s="3"/>
      <c r="DJZ171" s="3"/>
      <c r="DKA171" s="3"/>
      <c r="DKB171" s="3"/>
      <c r="DKC171" s="3"/>
      <c r="DKD171" s="3"/>
      <c r="DKE171" s="3"/>
      <c r="DKF171" s="3"/>
      <c r="DKG171" s="3"/>
      <c r="DKH171" s="3"/>
      <c r="DKI171" s="3"/>
      <c r="DKJ171" s="3"/>
      <c r="DKK171" s="3"/>
      <c r="DKL171" s="3"/>
      <c r="DKM171" s="3"/>
      <c r="DKN171" s="3"/>
      <c r="DKO171" s="3"/>
      <c r="DKP171" s="3"/>
      <c r="DKQ171" s="3"/>
      <c r="DKR171" s="3"/>
      <c r="DKS171" s="3"/>
      <c r="DKT171" s="3"/>
      <c r="DKU171" s="3"/>
      <c r="DKV171" s="3"/>
      <c r="DKW171" s="3"/>
      <c r="DKX171" s="3"/>
      <c r="DKY171" s="3"/>
      <c r="DKZ171" s="3"/>
      <c r="DLA171" s="3"/>
      <c r="DLB171" s="3"/>
      <c r="DLC171" s="3"/>
      <c r="DLD171" s="3"/>
      <c r="DLE171" s="3"/>
      <c r="DLF171" s="3"/>
      <c r="DLG171" s="3"/>
      <c r="DLH171" s="3"/>
      <c r="DLI171" s="3"/>
      <c r="DLJ171" s="3"/>
      <c r="DLK171" s="3"/>
      <c r="DLL171" s="3"/>
      <c r="DLM171" s="3"/>
      <c r="DLN171" s="3"/>
      <c r="DLO171" s="3"/>
      <c r="DLP171" s="3"/>
      <c r="DLQ171" s="3"/>
      <c r="DLR171" s="3"/>
      <c r="DLS171" s="3"/>
      <c r="DLT171" s="3"/>
      <c r="DLU171" s="3"/>
      <c r="DLV171" s="3"/>
      <c r="DLW171" s="3"/>
      <c r="DLX171" s="3"/>
      <c r="DLY171" s="3"/>
      <c r="DLZ171" s="3"/>
      <c r="DMA171" s="3"/>
      <c r="DMB171" s="3"/>
      <c r="DMC171" s="3"/>
      <c r="DMD171" s="3"/>
      <c r="DME171" s="3"/>
      <c r="DMF171" s="3"/>
      <c r="DMG171" s="3"/>
      <c r="DMH171" s="3"/>
      <c r="DMI171" s="3"/>
      <c r="DMJ171" s="3"/>
      <c r="DMK171" s="3"/>
      <c r="DML171" s="3"/>
      <c r="DMM171" s="3"/>
      <c r="DMN171" s="3"/>
      <c r="DMO171" s="3"/>
      <c r="DMP171" s="3"/>
      <c r="DMQ171" s="3"/>
      <c r="DMR171" s="3"/>
      <c r="DMS171" s="3"/>
      <c r="DMT171" s="3"/>
      <c r="DMU171" s="3"/>
      <c r="DMV171" s="3"/>
      <c r="DMW171" s="3"/>
      <c r="DMX171" s="3"/>
      <c r="DMY171" s="3"/>
      <c r="DMZ171" s="3"/>
      <c r="DNA171" s="3"/>
      <c r="DNB171" s="3"/>
      <c r="DNC171" s="3"/>
      <c r="DND171" s="3"/>
      <c r="DNE171" s="3"/>
      <c r="DNF171" s="3"/>
      <c r="DNG171" s="3"/>
      <c r="DNH171" s="3"/>
      <c r="DNI171" s="3"/>
      <c r="DNJ171" s="3"/>
      <c r="DNK171" s="3"/>
      <c r="DNL171" s="3"/>
      <c r="DNM171" s="3"/>
      <c r="DNN171" s="3"/>
      <c r="DNO171" s="3"/>
      <c r="DNP171" s="3"/>
      <c r="DNQ171" s="3"/>
      <c r="DNR171" s="3"/>
      <c r="DNS171" s="3"/>
      <c r="DNT171" s="3"/>
      <c r="DNU171" s="3"/>
      <c r="DNV171" s="3"/>
      <c r="DNW171" s="3"/>
      <c r="DNX171" s="3"/>
      <c r="DNY171" s="3"/>
      <c r="DNZ171" s="3"/>
      <c r="DOA171" s="3"/>
      <c r="DOB171" s="3"/>
      <c r="DOC171" s="3"/>
      <c r="DOD171" s="3"/>
      <c r="DOE171" s="3"/>
      <c r="DOF171" s="3"/>
      <c r="DOG171" s="3"/>
      <c r="DOH171" s="3"/>
      <c r="DOI171" s="3"/>
      <c r="DOJ171" s="3"/>
      <c r="DOK171" s="3"/>
      <c r="DOL171" s="3"/>
      <c r="DOM171" s="3"/>
      <c r="DON171" s="3"/>
      <c r="DOO171" s="3"/>
      <c r="DOP171" s="3"/>
      <c r="DOQ171" s="3"/>
      <c r="DOR171" s="3"/>
      <c r="DOS171" s="3"/>
      <c r="DOT171" s="3"/>
      <c r="DOU171" s="3"/>
      <c r="DOV171" s="3"/>
      <c r="DOW171" s="3"/>
      <c r="DOX171" s="3"/>
      <c r="DOY171" s="3"/>
      <c r="DOZ171" s="3"/>
      <c r="DPA171" s="3"/>
      <c r="DPB171" s="3"/>
      <c r="DPC171" s="3"/>
      <c r="DPD171" s="3"/>
      <c r="DPE171" s="3"/>
      <c r="DPF171" s="3"/>
      <c r="DPG171" s="3"/>
      <c r="DPH171" s="3"/>
      <c r="DPI171" s="3"/>
      <c r="DPJ171" s="3"/>
      <c r="DPK171" s="3"/>
      <c r="DPL171" s="3"/>
      <c r="DPM171" s="3"/>
      <c r="DPN171" s="3"/>
      <c r="DPO171" s="3"/>
      <c r="DPP171" s="3"/>
      <c r="DPQ171" s="3"/>
      <c r="DPR171" s="3"/>
      <c r="DPS171" s="3"/>
      <c r="DPT171" s="3"/>
      <c r="DPU171" s="3"/>
      <c r="DPV171" s="3"/>
      <c r="DPW171" s="3"/>
      <c r="DPX171" s="3"/>
      <c r="DPY171" s="3"/>
      <c r="DPZ171" s="3"/>
      <c r="DQA171" s="3"/>
      <c r="DQB171" s="3"/>
      <c r="DQC171" s="3"/>
      <c r="DQD171" s="3"/>
      <c r="DQE171" s="3"/>
      <c r="DQF171" s="3"/>
      <c r="DQG171" s="3"/>
      <c r="DQH171" s="3"/>
      <c r="DQI171" s="3"/>
      <c r="DQJ171" s="3"/>
      <c r="DQK171" s="3"/>
      <c r="DQL171" s="3"/>
      <c r="DQM171" s="3"/>
      <c r="DQN171" s="3"/>
      <c r="DQO171" s="3"/>
      <c r="DQP171" s="3"/>
      <c r="DQQ171" s="3"/>
      <c r="DQR171" s="3"/>
      <c r="DQS171" s="3"/>
      <c r="DQT171" s="3"/>
      <c r="DQU171" s="3"/>
      <c r="DQV171" s="3"/>
      <c r="DQW171" s="3"/>
      <c r="DQX171" s="3"/>
      <c r="DQY171" s="3"/>
      <c r="DQZ171" s="3"/>
      <c r="DRA171" s="3"/>
      <c r="DRB171" s="3"/>
      <c r="DRC171" s="3"/>
      <c r="DRD171" s="3"/>
      <c r="DRE171" s="3"/>
      <c r="DRF171" s="3"/>
      <c r="DRG171" s="3"/>
      <c r="DRH171" s="3"/>
      <c r="DRI171" s="3"/>
      <c r="DRJ171" s="3"/>
      <c r="DRK171" s="3"/>
      <c r="DRL171" s="3"/>
      <c r="DRM171" s="3"/>
      <c r="DRN171" s="3"/>
      <c r="DRO171" s="3"/>
      <c r="DRP171" s="3"/>
      <c r="DRQ171" s="3"/>
      <c r="DRR171" s="3"/>
      <c r="DRS171" s="3"/>
      <c r="DRT171" s="3"/>
      <c r="DRU171" s="3"/>
      <c r="DRV171" s="3"/>
      <c r="DRW171" s="3"/>
      <c r="DRX171" s="3"/>
      <c r="DRY171" s="3"/>
      <c r="DRZ171" s="3"/>
      <c r="DSA171" s="3"/>
      <c r="DSB171" s="3"/>
      <c r="DSC171" s="3"/>
      <c r="DSD171" s="3"/>
      <c r="DSE171" s="3"/>
      <c r="DSF171" s="3"/>
      <c r="DSG171" s="3"/>
      <c r="DSH171" s="3"/>
      <c r="DSI171" s="3"/>
      <c r="DSJ171" s="3"/>
      <c r="DSK171" s="3"/>
      <c r="DSL171" s="3"/>
      <c r="DSM171" s="3"/>
      <c r="DSN171" s="3"/>
      <c r="DSO171" s="3"/>
      <c r="DSP171" s="3"/>
      <c r="DSQ171" s="3"/>
      <c r="DSR171" s="3"/>
      <c r="DSS171" s="3"/>
      <c r="DST171" s="3"/>
      <c r="DSU171" s="3"/>
      <c r="DSV171" s="3"/>
      <c r="DSW171" s="3"/>
      <c r="DSX171" s="3"/>
      <c r="DSY171" s="3"/>
      <c r="DSZ171" s="3"/>
      <c r="DTA171" s="3"/>
      <c r="DTB171" s="3"/>
      <c r="DTC171" s="3"/>
      <c r="DTD171" s="3"/>
      <c r="DTE171" s="3"/>
      <c r="DTF171" s="3"/>
      <c r="DTG171" s="3"/>
      <c r="DTH171" s="3"/>
      <c r="DTI171" s="3"/>
      <c r="DTJ171" s="3"/>
      <c r="DTK171" s="3"/>
      <c r="DTL171" s="3"/>
      <c r="DTM171" s="3"/>
      <c r="DTN171" s="3"/>
      <c r="DTO171" s="3"/>
      <c r="DTP171" s="3"/>
      <c r="DTQ171" s="3"/>
      <c r="DTR171" s="3"/>
      <c r="DTS171" s="3"/>
      <c r="DTT171" s="3"/>
      <c r="DTU171" s="3"/>
      <c r="DTV171" s="3"/>
      <c r="DTW171" s="3"/>
      <c r="DTX171" s="3"/>
      <c r="DTY171" s="3"/>
      <c r="DTZ171" s="3"/>
      <c r="DUA171" s="3"/>
      <c r="DUB171" s="3"/>
      <c r="DUC171" s="3"/>
      <c r="DUD171" s="3"/>
      <c r="DUE171" s="3"/>
      <c r="DUF171" s="3"/>
      <c r="DUG171" s="3"/>
      <c r="DUH171" s="3"/>
      <c r="DUI171" s="3"/>
      <c r="DUJ171" s="3"/>
      <c r="DUK171" s="3"/>
      <c r="DUL171" s="3"/>
      <c r="DUM171" s="3"/>
      <c r="DUN171" s="3"/>
      <c r="DUO171" s="3"/>
      <c r="DUP171" s="3"/>
      <c r="DUQ171" s="3"/>
      <c r="DUR171" s="3"/>
      <c r="DUS171" s="3"/>
      <c r="DUT171" s="3"/>
      <c r="DUU171" s="3"/>
      <c r="DUV171" s="3"/>
      <c r="DUW171" s="3"/>
      <c r="DUX171" s="3"/>
      <c r="DUY171" s="3"/>
      <c r="DUZ171" s="3"/>
      <c r="DVA171" s="3"/>
      <c r="DVB171" s="3"/>
      <c r="DVC171" s="3"/>
      <c r="DVD171" s="3"/>
      <c r="DVE171" s="3"/>
      <c r="DVF171" s="3"/>
      <c r="DVG171" s="3"/>
      <c r="DVH171" s="3"/>
      <c r="DVI171" s="3"/>
      <c r="DVJ171" s="3"/>
      <c r="DVK171" s="3"/>
      <c r="DVL171" s="3"/>
      <c r="DVM171" s="3"/>
      <c r="DVN171" s="3"/>
      <c r="DVO171" s="3"/>
      <c r="DVP171" s="3"/>
      <c r="DVQ171" s="3"/>
      <c r="DVR171" s="3"/>
      <c r="DVS171" s="3"/>
      <c r="DVT171" s="3"/>
      <c r="DVU171" s="3"/>
      <c r="DVV171" s="3"/>
      <c r="DVW171" s="3"/>
      <c r="DVX171" s="3"/>
      <c r="DVY171" s="3"/>
      <c r="DVZ171" s="3"/>
      <c r="DWA171" s="3"/>
      <c r="DWB171" s="3"/>
      <c r="DWC171" s="3"/>
      <c r="DWD171" s="3"/>
      <c r="DWE171" s="3"/>
      <c r="DWF171" s="3"/>
      <c r="DWG171" s="3"/>
      <c r="DWH171" s="3"/>
      <c r="DWI171" s="3"/>
      <c r="DWJ171" s="3"/>
      <c r="DWK171" s="3"/>
      <c r="DWL171" s="3"/>
      <c r="DWM171" s="3"/>
      <c r="DWN171" s="3"/>
      <c r="DWO171" s="3"/>
      <c r="DWP171" s="3"/>
      <c r="DWQ171" s="3"/>
      <c r="DWR171" s="3"/>
      <c r="DWS171" s="3"/>
      <c r="DWT171" s="3"/>
      <c r="DWU171" s="3"/>
      <c r="DWV171" s="3"/>
      <c r="DWW171" s="3"/>
      <c r="DWX171" s="3"/>
      <c r="DWY171" s="3"/>
      <c r="DWZ171" s="3"/>
      <c r="DXA171" s="3"/>
      <c r="DXB171" s="3"/>
      <c r="DXC171" s="3"/>
      <c r="DXD171" s="3"/>
      <c r="DXE171" s="3"/>
      <c r="DXF171" s="3"/>
      <c r="DXG171" s="3"/>
      <c r="DXH171" s="3"/>
      <c r="DXI171" s="3"/>
      <c r="DXJ171" s="3"/>
      <c r="DXK171" s="3"/>
      <c r="DXL171" s="3"/>
      <c r="DXM171" s="3"/>
      <c r="DXN171" s="3"/>
      <c r="DXO171" s="3"/>
      <c r="DXP171" s="3"/>
      <c r="DXQ171" s="3"/>
      <c r="DXR171" s="3"/>
      <c r="DXS171" s="3"/>
      <c r="DXT171" s="3"/>
      <c r="DXU171" s="3"/>
      <c r="DXV171" s="3"/>
      <c r="DXW171" s="3"/>
      <c r="DXX171" s="3"/>
      <c r="DXY171" s="3"/>
      <c r="DXZ171" s="3"/>
      <c r="DYA171" s="3"/>
      <c r="DYB171" s="3"/>
      <c r="DYC171" s="3"/>
      <c r="DYD171" s="3"/>
      <c r="DYE171" s="3"/>
      <c r="DYF171" s="3"/>
      <c r="DYG171" s="3"/>
      <c r="DYH171" s="3"/>
      <c r="DYI171" s="3"/>
      <c r="DYJ171" s="3"/>
      <c r="DYK171" s="3"/>
      <c r="DYL171" s="3"/>
      <c r="DYM171" s="3"/>
      <c r="DYN171" s="3"/>
      <c r="DYO171" s="3"/>
      <c r="DYP171" s="3"/>
      <c r="DYQ171" s="3"/>
      <c r="DYR171" s="3"/>
      <c r="DYS171" s="3"/>
      <c r="DYT171" s="3"/>
      <c r="DYU171" s="3"/>
      <c r="DYV171" s="3"/>
      <c r="DYW171" s="3"/>
      <c r="DYX171" s="3"/>
      <c r="DYY171" s="3"/>
      <c r="DYZ171" s="3"/>
      <c r="DZA171" s="3"/>
      <c r="DZB171" s="3"/>
      <c r="DZC171" s="3"/>
      <c r="DZD171" s="3"/>
      <c r="DZE171" s="3"/>
      <c r="DZF171" s="3"/>
      <c r="DZG171" s="3"/>
      <c r="DZH171" s="3"/>
      <c r="DZI171" s="3"/>
      <c r="DZJ171" s="3"/>
      <c r="DZK171" s="3"/>
      <c r="DZL171" s="3"/>
      <c r="DZM171" s="3"/>
      <c r="DZN171" s="3"/>
      <c r="DZO171" s="3"/>
      <c r="DZP171" s="3"/>
      <c r="DZQ171" s="3"/>
      <c r="DZR171" s="3"/>
      <c r="DZS171" s="3"/>
      <c r="DZT171" s="3"/>
      <c r="DZU171" s="3"/>
      <c r="DZV171" s="3"/>
      <c r="DZW171" s="3"/>
      <c r="DZX171" s="3"/>
      <c r="DZY171" s="3"/>
      <c r="DZZ171" s="3"/>
      <c r="EAA171" s="3"/>
      <c r="EAB171" s="3"/>
      <c r="EAC171" s="3"/>
      <c r="EAD171" s="3"/>
      <c r="EAE171" s="3"/>
      <c r="EAF171" s="3"/>
      <c r="EAG171" s="3"/>
      <c r="EAH171" s="3"/>
      <c r="EAI171" s="3"/>
      <c r="EAJ171" s="3"/>
      <c r="EAK171" s="3"/>
      <c r="EAL171" s="3"/>
      <c r="EAM171" s="3"/>
      <c r="EAN171" s="3"/>
      <c r="EAO171" s="3"/>
      <c r="EAP171" s="3"/>
      <c r="EAQ171" s="3"/>
      <c r="EAR171" s="3"/>
      <c r="EAS171" s="3"/>
      <c r="EAT171" s="3"/>
      <c r="EAU171" s="3"/>
      <c r="EAV171" s="3"/>
      <c r="EAW171" s="3"/>
      <c r="EAX171" s="3"/>
      <c r="EAY171" s="3"/>
      <c r="EAZ171" s="3"/>
      <c r="EBA171" s="3"/>
      <c r="EBB171" s="3"/>
      <c r="EBC171" s="3"/>
      <c r="EBD171" s="3"/>
      <c r="EBE171" s="3"/>
      <c r="EBF171" s="3"/>
      <c r="EBG171" s="3"/>
      <c r="EBH171" s="3"/>
      <c r="EBI171" s="3"/>
      <c r="EBJ171" s="3"/>
      <c r="EBK171" s="3"/>
      <c r="EBL171" s="3"/>
      <c r="EBM171" s="3"/>
      <c r="EBN171" s="3"/>
      <c r="EBO171" s="3"/>
      <c r="EBP171" s="3"/>
      <c r="EBQ171" s="3"/>
      <c r="EBR171" s="3"/>
      <c r="EBS171" s="3"/>
      <c r="EBT171" s="3"/>
      <c r="EBU171" s="3"/>
      <c r="EBV171" s="3"/>
      <c r="EBW171" s="3"/>
      <c r="EBX171" s="3"/>
      <c r="EBY171" s="3"/>
      <c r="EBZ171" s="3"/>
      <c r="ECA171" s="3"/>
      <c r="ECB171" s="3"/>
      <c r="ECC171" s="3"/>
      <c r="ECD171" s="3"/>
      <c r="ECE171" s="3"/>
      <c r="ECF171" s="3"/>
      <c r="ECG171" s="3"/>
      <c r="ECH171" s="3"/>
      <c r="ECI171" s="3"/>
      <c r="ECJ171" s="3"/>
      <c r="ECK171" s="3"/>
      <c r="ECL171" s="3"/>
      <c r="ECM171" s="3"/>
      <c r="ECN171" s="3"/>
      <c r="ECO171" s="3"/>
      <c r="ECP171" s="3"/>
      <c r="ECQ171" s="3"/>
      <c r="ECR171" s="3"/>
      <c r="ECS171" s="3"/>
      <c r="ECT171" s="3"/>
      <c r="ECU171" s="3"/>
      <c r="ECV171" s="3"/>
      <c r="ECW171" s="3"/>
      <c r="ECX171" s="3"/>
      <c r="ECY171" s="3"/>
      <c r="ECZ171" s="3"/>
      <c r="EDA171" s="3"/>
      <c r="EDB171" s="3"/>
      <c r="EDC171" s="3"/>
      <c r="EDD171" s="3"/>
      <c r="EDE171" s="3"/>
      <c r="EDF171" s="3"/>
      <c r="EDG171" s="3"/>
      <c r="EDH171" s="3"/>
      <c r="EDI171" s="3"/>
      <c r="EDJ171" s="3"/>
      <c r="EDK171" s="3"/>
      <c r="EDL171" s="3"/>
      <c r="EDM171" s="3"/>
      <c r="EDN171" s="3"/>
      <c r="EDO171" s="3"/>
      <c r="EDP171" s="3"/>
      <c r="EDQ171" s="3"/>
      <c r="EDR171" s="3"/>
      <c r="EDS171" s="3"/>
      <c r="EDT171" s="3"/>
      <c r="EDU171" s="3"/>
      <c r="EDV171" s="3"/>
      <c r="EDW171" s="3"/>
      <c r="EDX171" s="3"/>
      <c r="EDY171" s="3"/>
      <c r="EDZ171" s="3"/>
      <c r="EEA171" s="3"/>
      <c r="EEB171" s="3"/>
      <c r="EEC171" s="3"/>
      <c r="EED171" s="3"/>
      <c r="EEE171" s="3"/>
      <c r="EEF171" s="3"/>
      <c r="EEG171" s="3"/>
      <c r="EEH171" s="3"/>
      <c r="EEI171" s="3"/>
      <c r="EEJ171" s="3"/>
      <c r="EEK171" s="3"/>
      <c r="EEL171" s="3"/>
      <c r="EEM171" s="3"/>
      <c r="EEN171" s="3"/>
      <c r="EEO171" s="3"/>
      <c r="EEP171" s="3"/>
      <c r="EEQ171" s="3"/>
      <c r="EER171" s="3"/>
      <c r="EES171" s="3"/>
      <c r="EET171" s="3"/>
      <c r="EEU171" s="3"/>
      <c r="EEV171" s="3"/>
      <c r="EEW171" s="3"/>
      <c r="EEX171" s="3"/>
      <c r="EEY171" s="3"/>
      <c r="EEZ171" s="3"/>
      <c r="EFA171" s="3"/>
      <c r="EFB171" s="3"/>
      <c r="EFC171" s="3"/>
      <c r="EFD171" s="3"/>
      <c r="EFE171" s="3"/>
      <c r="EFF171" s="3"/>
      <c r="EFG171" s="3"/>
      <c r="EFH171" s="3"/>
      <c r="EFI171" s="3"/>
      <c r="EFJ171" s="3"/>
      <c r="EFK171" s="3"/>
      <c r="EFL171" s="3"/>
      <c r="EFM171" s="3"/>
      <c r="EFN171" s="3"/>
      <c r="EFO171" s="3"/>
      <c r="EFP171" s="3"/>
      <c r="EFQ171" s="3"/>
      <c r="EFR171" s="3"/>
      <c r="EFS171" s="3"/>
      <c r="EFT171" s="3"/>
      <c r="EFU171" s="3"/>
      <c r="EFV171" s="3"/>
      <c r="EFW171" s="3"/>
      <c r="EFX171" s="3"/>
      <c r="EFY171" s="3"/>
      <c r="EFZ171" s="3"/>
      <c r="EGA171" s="3"/>
      <c r="EGB171" s="3"/>
      <c r="EGC171" s="3"/>
      <c r="EGD171" s="3"/>
      <c r="EGE171" s="3"/>
      <c r="EGF171" s="3"/>
      <c r="EGG171" s="3"/>
      <c r="EGH171" s="3"/>
      <c r="EGI171" s="3"/>
      <c r="EGJ171" s="3"/>
      <c r="EGK171" s="3"/>
      <c r="EGL171" s="3"/>
      <c r="EGM171" s="3"/>
      <c r="EGN171" s="3"/>
      <c r="EGO171" s="3"/>
      <c r="EGP171" s="3"/>
      <c r="EGQ171" s="3"/>
      <c r="EGR171" s="3"/>
      <c r="EGS171" s="3"/>
      <c r="EGT171" s="3"/>
      <c r="EGU171" s="3"/>
      <c r="EGV171" s="3"/>
      <c r="EGW171" s="3"/>
      <c r="EGX171" s="3"/>
      <c r="EGY171" s="3"/>
      <c r="EGZ171" s="3"/>
      <c r="EHA171" s="3"/>
      <c r="EHB171" s="3"/>
      <c r="EHC171" s="3"/>
      <c r="EHD171" s="3"/>
      <c r="EHE171" s="3"/>
      <c r="EHF171" s="3"/>
      <c r="EHG171" s="3"/>
      <c r="EHH171" s="3"/>
      <c r="EHI171" s="3"/>
      <c r="EHJ171" s="3"/>
      <c r="EHK171" s="3"/>
      <c r="EHL171" s="3"/>
      <c r="EHM171" s="3"/>
      <c r="EHN171" s="3"/>
      <c r="EHO171" s="3"/>
      <c r="EHP171" s="3"/>
      <c r="EHQ171" s="3"/>
      <c r="EHR171" s="3"/>
      <c r="EHS171" s="3"/>
      <c r="EHT171" s="3"/>
      <c r="EHU171" s="3"/>
      <c r="EHV171" s="3"/>
      <c r="EHW171" s="3"/>
      <c r="EHX171" s="3"/>
      <c r="EHY171" s="3"/>
      <c r="EHZ171" s="3"/>
      <c r="EIA171" s="3"/>
      <c r="EIB171" s="3"/>
      <c r="EIC171" s="3"/>
      <c r="EID171" s="3"/>
      <c r="EIE171" s="3"/>
      <c r="EIF171" s="3"/>
      <c r="EIG171" s="3"/>
      <c r="EIH171" s="3"/>
      <c r="EII171" s="3"/>
      <c r="EIJ171" s="3"/>
      <c r="EIK171" s="3"/>
      <c r="EIL171" s="3"/>
      <c r="EIM171" s="3"/>
      <c r="EIN171" s="3"/>
      <c r="EIO171" s="3"/>
      <c r="EIP171" s="3"/>
      <c r="EIQ171" s="3"/>
      <c r="EIR171" s="3"/>
      <c r="EIS171" s="3"/>
      <c r="EIT171" s="3"/>
      <c r="EIU171" s="3"/>
      <c r="EIV171" s="3"/>
      <c r="EIW171" s="3"/>
      <c r="EIX171" s="3"/>
      <c r="EIY171" s="3"/>
      <c r="EIZ171" s="3"/>
      <c r="EJA171" s="3"/>
      <c r="EJB171" s="3"/>
      <c r="EJC171" s="3"/>
      <c r="EJD171" s="3"/>
      <c r="EJE171" s="3"/>
      <c r="EJF171" s="3"/>
      <c r="EJG171" s="3"/>
      <c r="EJH171" s="3"/>
      <c r="EJI171" s="3"/>
      <c r="EJJ171" s="3"/>
      <c r="EJK171" s="3"/>
      <c r="EJL171" s="3"/>
      <c r="EJM171" s="3"/>
      <c r="EJN171" s="3"/>
      <c r="EJO171" s="3"/>
      <c r="EJP171" s="3"/>
      <c r="EJQ171" s="3"/>
      <c r="EJR171" s="3"/>
      <c r="EJS171" s="3"/>
      <c r="EJT171" s="3"/>
      <c r="EJU171" s="3"/>
      <c r="EJV171" s="3"/>
      <c r="EJW171" s="3"/>
      <c r="EJX171" s="3"/>
      <c r="EJY171" s="3"/>
      <c r="EJZ171" s="3"/>
      <c r="EKA171" s="3"/>
      <c r="EKB171" s="3"/>
      <c r="EKC171" s="3"/>
      <c r="EKD171" s="3"/>
      <c r="EKE171" s="3"/>
      <c r="EKF171" s="3"/>
      <c r="EKG171" s="3"/>
      <c r="EKH171" s="3"/>
      <c r="EKI171" s="3"/>
      <c r="EKJ171" s="3"/>
      <c r="EKK171" s="3"/>
      <c r="EKL171" s="3"/>
      <c r="EKM171" s="3"/>
      <c r="EKN171" s="3"/>
      <c r="EKO171" s="3"/>
      <c r="EKP171" s="3"/>
      <c r="EKQ171" s="3"/>
      <c r="EKR171" s="3"/>
      <c r="EKS171" s="3"/>
      <c r="EKT171" s="3"/>
      <c r="EKU171" s="3"/>
      <c r="EKV171" s="3"/>
      <c r="EKW171" s="3"/>
      <c r="EKX171" s="3"/>
      <c r="EKY171" s="3"/>
      <c r="EKZ171" s="3"/>
      <c r="ELA171" s="3"/>
      <c r="ELB171" s="3"/>
      <c r="ELC171" s="3"/>
      <c r="ELD171" s="3"/>
      <c r="ELE171" s="3"/>
      <c r="ELF171" s="3"/>
      <c r="ELG171" s="3"/>
      <c r="ELH171" s="3"/>
      <c r="ELI171" s="3"/>
      <c r="ELJ171" s="3"/>
      <c r="ELK171" s="3"/>
      <c r="ELL171" s="3"/>
      <c r="ELM171" s="3"/>
      <c r="ELN171" s="3"/>
      <c r="ELO171" s="3"/>
      <c r="ELP171" s="3"/>
      <c r="ELQ171" s="3"/>
      <c r="ELR171" s="3"/>
      <c r="ELS171" s="3"/>
      <c r="ELT171" s="3"/>
      <c r="ELU171" s="3"/>
      <c r="ELV171" s="3"/>
      <c r="ELW171" s="3"/>
      <c r="ELX171" s="3"/>
      <c r="ELY171" s="3"/>
      <c r="ELZ171" s="3"/>
      <c r="EMA171" s="3"/>
      <c r="EMB171" s="3"/>
      <c r="EMC171" s="3"/>
      <c r="EMD171" s="3"/>
      <c r="EME171" s="3"/>
      <c r="EMF171" s="3"/>
      <c r="EMG171" s="3"/>
      <c r="EMH171" s="3"/>
      <c r="EMI171" s="3"/>
      <c r="EMJ171" s="3"/>
      <c r="EMK171" s="3"/>
      <c r="EML171" s="3"/>
      <c r="EMM171" s="3"/>
      <c r="EMN171" s="3"/>
      <c r="EMO171" s="3"/>
      <c r="EMP171" s="3"/>
      <c r="EMQ171" s="3"/>
      <c r="EMR171" s="3"/>
      <c r="EMS171" s="3"/>
      <c r="EMT171" s="3"/>
      <c r="EMU171" s="3"/>
      <c r="EMV171" s="3"/>
      <c r="EMW171" s="3"/>
      <c r="EMX171" s="3"/>
      <c r="EMY171" s="3"/>
      <c r="EMZ171" s="3"/>
      <c r="ENA171" s="3"/>
      <c r="ENB171" s="3"/>
      <c r="ENC171" s="3"/>
      <c r="END171" s="3"/>
      <c r="ENE171" s="3"/>
      <c r="ENF171" s="3"/>
      <c r="ENG171" s="3"/>
      <c r="ENH171" s="3"/>
      <c r="ENI171" s="3"/>
      <c r="ENJ171" s="3"/>
      <c r="ENK171" s="3"/>
      <c r="ENL171" s="3"/>
      <c r="ENM171" s="3"/>
      <c r="ENN171" s="3"/>
      <c r="ENO171" s="3"/>
      <c r="ENP171" s="3"/>
      <c r="ENQ171" s="3"/>
      <c r="ENR171" s="3"/>
      <c r="ENS171" s="3"/>
      <c r="ENT171" s="3"/>
      <c r="ENU171" s="3"/>
      <c r="ENV171" s="3"/>
      <c r="ENW171" s="3"/>
      <c r="ENX171" s="3"/>
      <c r="ENY171" s="3"/>
      <c r="ENZ171" s="3"/>
      <c r="EOA171" s="3"/>
      <c r="EOB171" s="3"/>
      <c r="EOC171" s="3"/>
      <c r="EOD171" s="3"/>
      <c r="EOE171" s="3"/>
      <c r="EOF171" s="3"/>
      <c r="EOG171" s="3"/>
      <c r="EOH171" s="3"/>
      <c r="EOI171" s="3"/>
      <c r="EOJ171" s="3"/>
      <c r="EOK171" s="3"/>
      <c r="EOL171" s="3"/>
      <c r="EOM171" s="3"/>
      <c r="EON171" s="3"/>
      <c r="EOO171" s="3"/>
      <c r="EOP171" s="3"/>
      <c r="EOQ171" s="3"/>
      <c r="EOR171" s="3"/>
      <c r="EOS171" s="3"/>
      <c r="EOT171" s="3"/>
      <c r="EOU171" s="3"/>
      <c r="EOV171" s="3"/>
      <c r="EOW171" s="3"/>
      <c r="EOX171" s="3"/>
      <c r="EOY171" s="3"/>
      <c r="EOZ171" s="3"/>
      <c r="EPA171" s="3"/>
      <c r="EPB171" s="3"/>
      <c r="EPC171" s="3"/>
      <c r="EPD171" s="3"/>
      <c r="EPE171" s="3"/>
      <c r="EPF171" s="3"/>
      <c r="EPG171" s="3"/>
      <c r="EPH171" s="3"/>
      <c r="EPI171" s="3"/>
      <c r="EPJ171" s="3"/>
      <c r="EPK171" s="3"/>
      <c r="EPL171" s="3"/>
      <c r="EPM171" s="3"/>
      <c r="EPN171" s="3"/>
      <c r="EPO171" s="3"/>
      <c r="EPP171" s="3"/>
      <c r="EPQ171" s="3"/>
      <c r="EPR171" s="3"/>
      <c r="EPS171" s="3"/>
      <c r="EPT171" s="3"/>
      <c r="EPU171" s="3"/>
      <c r="EPV171" s="3"/>
      <c r="EPW171" s="3"/>
      <c r="EPX171" s="3"/>
      <c r="EPY171" s="3"/>
      <c r="EPZ171" s="3"/>
      <c r="EQA171" s="3"/>
      <c r="EQB171" s="3"/>
      <c r="EQC171" s="3"/>
      <c r="EQD171" s="3"/>
      <c r="EQE171" s="3"/>
      <c r="EQF171" s="3"/>
      <c r="EQG171" s="3"/>
      <c r="EQH171" s="3"/>
      <c r="EQI171" s="3"/>
      <c r="EQJ171" s="3"/>
      <c r="EQK171" s="3"/>
      <c r="EQL171" s="3"/>
      <c r="EQM171" s="3"/>
      <c r="EQN171" s="3"/>
      <c r="EQO171" s="3"/>
      <c r="EQP171" s="3"/>
      <c r="EQQ171" s="3"/>
      <c r="EQR171" s="3"/>
      <c r="EQS171" s="3"/>
      <c r="EQT171" s="3"/>
      <c r="EQU171" s="3"/>
      <c r="EQV171" s="3"/>
      <c r="EQW171" s="3"/>
      <c r="EQX171" s="3"/>
      <c r="EQY171" s="3"/>
      <c r="EQZ171" s="3"/>
      <c r="ERA171" s="3"/>
      <c r="ERB171" s="3"/>
      <c r="ERC171" s="3"/>
      <c r="ERD171" s="3"/>
      <c r="ERE171" s="3"/>
      <c r="ERF171" s="3"/>
      <c r="ERG171" s="3"/>
      <c r="ERH171" s="3"/>
      <c r="ERI171" s="3"/>
      <c r="ERJ171" s="3"/>
      <c r="ERK171" s="3"/>
      <c r="ERL171" s="3"/>
      <c r="ERM171" s="3"/>
      <c r="ERN171" s="3"/>
      <c r="ERO171" s="3"/>
      <c r="ERP171" s="3"/>
      <c r="ERQ171" s="3"/>
      <c r="ERR171" s="3"/>
      <c r="ERS171" s="3"/>
      <c r="ERT171" s="3"/>
      <c r="ERU171" s="3"/>
      <c r="ERV171" s="3"/>
      <c r="ERW171" s="3"/>
      <c r="ERX171" s="3"/>
      <c r="ERY171" s="3"/>
      <c r="ERZ171" s="3"/>
      <c r="ESA171" s="3"/>
      <c r="ESB171" s="3"/>
      <c r="ESC171" s="3"/>
      <c r="ESD171" s="3"/>
      <c r="ESE171" s="3"/>
      <c r="ESF171" s="3"/>
      <c r="ESG171" s="3"/>
      <c r="ESH171" s="3"/>
      <c r="ESI171" s="3"/>
      <c r="ESJ171" s="3"/>
      <c r="ESK171" s="3"/>
      <c r="ESL171" s="3"/>
      <c r="ESM171" s="3"/>
      <c r="ESN171" s="3"/>
      <c r="ESO171" s="3"/>
      <c r="ESP171" s="3"/>
      <c r="ESQ171" s="3"/>
      <c r="ESR171" s="3"/>
      <c r="ESS171" s="3"/>
      <c r="EST171" s="3"/>
      <c r="ESU171" s="3"/>
      <c r="ESV171" s="3"/>
      <c r="ESW171" s="3"/>
      <c r="ESX171" s="3"/>
      <c r="ESY171" s="3"/>
      <c r="ESZ171" s="3"/>
      <c r="ETA171" s="3"/>
      <c r="ETB171" s="3"/>
      <c r="ETC171" s="3"/>
      <c r="ETD171" s="3"/>
      <c r="ETE171" s="3"/>
      <c r="ETF171" s="3"/>
      <c r="ETG171" s="3"/>
      <c r="ETH171" s="3"/>
      <c r="ETI171" s="3"/>
      <c r="ETJ171" s="3"/>
      <c r="ETK171" s="3"/>
      <c r="ETL171" s="3"/>
      <c r="ETM171" s="3"/>
      <c r="ETN171" s="3"/>
      <c r="ETO171" s="3"/>
      <c r="ETP171" s="3"/>
      <c r="ETQ171" s="3"/>
      <c r="ETR171" s="3"/>
      <c r="ETS171" s="3"/>
      <c r="ETT171" s="3"/>
      <c r="ETU171" s="3"/>
      <c r="ETV171" s="3"/>
      <c r="ETW171" s="3"/>
      <c r="ETX171" s="3"/>
      <c r="ETY171" s="3"/>
      <c r="ETZ171" s="3"/>
      <c r="EUA171" s="3"/>
      <c r="EUB171" s="3"/>
      <c r="EUC171" s="3"/>
      <c r="EUD171" s="3"/>
      <c r="EUE171" s="3"/>
      <c r="EUF171" s="3"/>
      <c r="EUG171" s="3"/>
      <c r="EUH171" s="3"/>
      <c r="EUI171" s="3"/>
      <c r="EUJ171" s="3"/>
      <c r="EUK171" s="3"/>
      <c r="EUL171" s="3"/>
      <c r="EUM171" s="3"/>
      <c r="EUN171" s="3"/>
      <c r="EUO171" s="3"/>
      <c r="EUP171" s="3"/>
      <c r="EUQ171" s="3"/>
      <c r="EUR171" s="3"/>
      <c r="EUS171" s="3"/>
      <c r="EUT171" s="3"/>
      <c r="EUU171" s="3"/>
      <c r="EUV171" s="3"/>
      <c r="EUW171" s="3"/>
      <c r="EUX171" s="3"/>
      <c r="EUY171" s="3"/>
      <c r="EUZ171" s="3"/>
      <c r="EVA171" s="3"/>
      <c r="EVB171" s="3"/>
      <c r="EVC171" s="3"/>
      <c r="EVD171" s="3"/>
      <c r="EVE171" s="3"/>
      <c r="EVF171" s="3"/>
      <c r="EVG171" s="3"/>
      <c r="EVH171" s="3"/>
      <c r="EVI171" s="3"/>
      <c r="EVJ171" s="3"/>
      <c r="EVK171" s="3"/>
      <c r="EVL171" s="3"/>
      <c r="EVM171" s="3"/>
      <c r="EVN171" s="3"/>
      <c r="EVO171" s="3"/>
      <c r="EVP171" s="3"/>
      <c r="EVQ171" s="3"/>
      <c r="EVR171" s="3"/>
      <c r="EVS171" s="3"/>
      <c r="EVT171" s="3"/>
      <c r="EVU171" s="3"/>
      <c r="EVV171" s="3"/>
      <c r="EVW171" s="3"/>
      <c r="EVX171" s="3"/>
      <c r="EVY171" s="3"/>
      <c r="EVZ171" s="3"/>
      <c r="EWA171" s="3"/>
      <c r="EWB171" s="3"/>
      <c r="EWC171" s="3"/>
      <c r="EWD171" s="3"/>
      <c r="EWE171" s="3"/>
      <c r="EWF171" s="3"/>
      <c r="EWG171" s="3"/>
      <c r="EWH171" s="3"/>
      <c r="EWI171" s="3"/>
      <c r="EWJ171" s="3"/>
      <c r="EWK171" s="3"/>
      <c r="EWL171" s="3"/>
      <c r="EWM171" s="3"/>
      <c r="EWN171" s="3"/>
      <c r="EWO171" s="3"/>
      <c r="EWP171" s="3"/>
      <c r="EWQ171" s="3"/>
      <c r="EWR171" s="3"/>
      <c r="EWS171" s="3"/>
      <c r="EWT171" s="3"/>
      <c r="EWU171" s="3"/>
      <c r="EWV171" s="3"/>
      <c r="EWW171" s="3"/>
      <c r="EWX171" s="3"/>
      <c r="EWY171" s="3"/>
      <c r="EWZ171" s="3"/>
      <c r="EXA171" s="3"/>
      <c r="EXB171" s="3"/>
      <c r="EXC171" s="3"/>
      <c r="EXD171" s="3"/>
      <c r="EXE171" s="3"/>
      <c r="EXF171" s="3"/>
      <c r="EXG171" s="3"/>
      <c r="EXH171" s="3"/>
      <c r="EXI171" s="3"/>
      <c r="EXJ171" s="3"/>
      <c r="EXK171" s="3"/>
      <c r="EXL171" s="3"/>
      <c r="EXM171" s="3"/>
      <c r="EXN171" s="3"/>
      <c r="EXO171" s="3"/>
      <c r="EXP171" s="3"/>
      <c r="EXQ171" s="3"/>
      <c r="EXR171" s="3"/>
      <c r="EXS171" s="3"/>
      <c r="EXT171" s="3"/>
      <c r="EXU171" s="3"/>
      <c r="EXV171" s="3"/>
      <c r="EXW171" s="3"/>
      <c r="EXX171" s="3"/>
      <c r="EXY171" s="3"/>
      <c r="EXZ171" s="3"/>
      <c r="EYA171" s="3"/>
      <c r="EYB171" s="3"/>
      <c r="EYC171" s="3"/>
      <c r="EYD171" s="3"/>
      <c r="EYE171" s="3"/>
      <c r="EYF171" s="3"/>
      <c r="EYG171" s="3"/>
      <c r="EYH171" s="3"/>
      <c r="EYI171" s="3"/>
      <c r="EYJ171" s="3"/>
      <c r="EYK171" s="3"/>
      <c r="EYL171" s="3"/>
      <c r="EYM171" s="3"/>
      <c r="EYN171" s="3"/>
      <c r="EYO171" s="3"/>
      <c r="EYP171" s="3"/>
      <c r="EYQ171" s="3"/>
      <c r="EYR171" s="3"/>
      <c r="EYS171" s="3"/>
      <c r="EYT171" s="3"/>
      <c r="EYU171" s="3"/>
      <c r="EYV171" s="3"/>
      <c r="EYW171" s="3"/>
      <c r="EYX171" s="3"/>
      <c r="EYY171" s="3"/>
      <c r="EYZ171" s="3"/>
      <c r="EZA171" s="3"/>
      <c r="EZB171" s="3"/>
      <c r="EZC171" s="3"/>
      <c r="EZD171" s="3"/>
      <c r="EZE171" s="3"/>
      <c r="EZF171" s="3"/>
      <c r="EZG171" s="3"/>
      <c r="EZH171" s="3"/>
      <c r="EZI171" s="3"/>
      <c r="EZJ171" s="3"/>
      <c r="EZK171" s="3"/>
      <c r="EZL171" s="3"/>
      <c r="EZM171" s="3"/>
      <c r="EZN171" s="3"/>
      <c r="EZO171" s="3"/>
      <c r="EZP171" s="3"/>
      <c r="EZQ171" s="3"/>
      <c r="EZR171" s="3"/>
      <c r="EZS171" s="3"/>
      <c r="EZT171" s="3"/>
      <c r="EZU171" s="3"/>
      <c r="EZV171" s="3"/>
      <c r="EZW171" s="3"/>
      <c r="EZX171" s="3"/>
      <c r="EZY171" s="3"/>
      <c r="EZZ171" s="3"/>
      <c r="FAA171" s="3"/>
      <c r="FAB171" s="3"/>
      <c r="FAC171" s="3"/>
      <c r="FAD171" s="3"/>
      <c r="FAE171" s="3"/>
      <c r="FAF171" s="3"/>
      <c r="FAG171" s="3"/>
      <c r="FAH171" s="3"/>
      <c r="FAI171" s="3"/>
      <c r="FAJ171" s="3"/>
      <c r="FAK171" s="3"/>
      <c r="FAL171" s="3"/>
      <c r="FAM171" s="3"/>
      <c r="FAN171" s="3"/>
      <c r="FAO171" s="3"/>
      <c r="FAP171" s="3"/>
      <c r="FAQ171" s="3"/>
      <c r="FAR171" s="3"/>
      <c r="FAS171" s="3"/>
      <c r="FAT171" s="3"/>
      <c r="FAU171" s="3"/>
      <c r="FAV171" s="3"/>
      <c r="FAW171" s="3"/>
      <c r="FAX171" s="3"/>
      <c r="FAY171" s="3"/>
      <c r="FAZ171" s="3"/>
      <c r="FBA171" s="3"/>
      <c r="FBB171" s="3"/>
      <c r="FBC171" s="3"/>
      <c r="FBD171" s="3"/>
      <c r="FBE171" s="3"/>
      <c r="FBF171" s="3"/>
      <c r="FBG171" s="3"/>
      <c r="FBH171" s="3"/>
      <c r="FBI171" s="3"/>
      <c r="FBJ171" s="3"/>
      <c r="FBK171" s="3"/>
      <c r="FBL171" s="3"/>
      <c r="FBM171" s="3"/>
      <c r="FBN171" s="3"/>
      <c r="FBO171" s="3"/>
      <c r="FBP171" s="3"/>
      <c r="FBQ171" s="3"/>
      <c r="FBR171" s="3"/>
      <c r="FBS171" s="3"/>
      <c r="FBT171" s="3"/>
      <c r="FBU171" s="3"/>
      <c r="FBV171" s="3"/>
      <c r="FBW171" s="3"/>
      <c r="FBX171" s="3"/>
      <c r="FBY171" s="3"/>
      <c r="FBZ171" s="3"/>
      <c r="FCA171" s="3"/>
      <c r="FCB171" s="3"/>
      <c r="FCC171" s="3"/>
      <c r="FCD171" s="3"/>
      <c r="FCE171" s="3"/>
      <c r="FCF171" s="3"/>
      <c r="FCG171" s="3"/>
      <c r="FCH171" s="3"/>
      <c r="FCI171" s="3"/>
      <c r="FCJ171" s="3"/>
      <c r="FCK171" s="3"/>
      <c r="FCL171" s="3"/>
      <c r="FCM171" s="3"/>
      <c r="FCN171" s="3"/>
      <c r="FCO171" s="3"/>
      <c r="FCP171" s="3"/>
      <c r="FCQ171" s="3"/>
      <c r="FCR171" s="3"/>
      <c r="FCS171" s="3"/>
      <c r="FCT171" s="3"/>
      <c r="FCU171" s="3"/>
      <c r="FCV171" s="3"/>
      <c r="FCW171" s="3"/>
      <c r="FCX171" s="3"/>
      <c r="FCY171" s="3"/>
      <c r="FCZ171" s="3"/>
      <c r="FDA171" s="3"/>
      <c r="FDB171" s="3"/>
      <c r="FDC171" s="3"/>
      <c r="FDD171" s="3"/>
      <c r="FDE171" s="3"/>
      <c r="FDF171" s="3"/>
      <c r="FDG171" s="3"/>
      <c r="FDH171" s="3"/>
      <c r="FDI171" s="3"/>
      <c r="FDJ171" s="3"/>
      <c r="FDK171" s="3"/>
      <c r="FDL171" s="3"/>
      <c r="FDM171" s="3"/>
      <c r="FDN171" s="3"/>
      <c r="FDO171" s="3"/>
      <c r="FDP171" s="3"/>
      <c r="FDQ171" s="3"/>
      <c r="FDR171" s="3"/>
      <c r="FDS171" s="3"/>
      <c r="FDT171" s="3"/>
      <c r="FDU171" s="3"/>
      <c r="FDV171" s="3"/>
      <c r="FDW171" s="3"/>
      <c r="FDX171" s="3"/>
      <c r="FDY171" s="3"/>
      <c r="FDZ171" s="3"/>
      <c r="FEA171" s="3"/>
      <c r="FEB171" s="3"/>
      <c r="FEC171" s="3"/>
      <c r="FED171" s="3"/>
      <c r="FEE171" s="3"/>
      <c r="FEF171" s="3"/>
      <c r="FEG171" s="3"/>
      <c r="FEH171" s="3"/>
      <c r="FEI171" s="3"/>
      <c r="FEJ171" s="3"/>
      <c r="FEK171" s="3"/>
      <c r="FEL171" s="3"/>
      <c r="FEM171" s="3"/>
      <c r="FEN171" s="3"/>
      <c r="FEO171" s="3"/>
      <c r="FEP171" s="3"/>
      <c r="FEQ171" s="3"/>
      <c r="FER171" s="3"/>
      <c r="FES171" s="3"/>
      <c r="FET171" s="3"/>
      <c r="FEU171" s="3"/>
      <c r="FEV171" s="3"/>
      <c r="FEW171" s="3"/>
      <c r="FEX171" s="3"/>
      <c r="FEY171" s="3"/>
      <c r="FEZ171" s="3"/>
      <c r="FFA171" s="3"/>
      <c r="FFB171" s="3"/>
      <c r="FFC171" s="3"/>
      <c r="FFD171" s="3"/>
      <c r="FFE171" s="3"/>
      <c r="FFF171" s="3"/>
      <c r="FFG171" s="3"/>
      <c r="FFH171" s="3"/>
      <c r="FFI171" s="3"/>
      <c r="FFJ171" s="3"/>
      <c r="FFK171" s="3"/>
      <c r="FFL171" s="3"/>
      <c r="FFM171" s="3"/>
      <c r="FFN171" s="3"/>
      <c r="FFO171" s="3"/>
      <c r="FFP171" s="3"/>
      <c r="FFQ171" s="3"/>
      <c r="FFR171" s="3"/>
      <c r="FFS171" s="3"/>
      <c r="FFT171" s="3"/>
      <c r="FFU171" s="3"/>
      <c r="FFV171" s="3"/>
      <c r="FFW171" s="3"/>
      <c r="FFX171" s="3"/>
      <c r="FFY171" s="3"/>
      <c r="FFZ171" s="3"/>
      <c r="FGA171" s="3"/>
      <c r="FGB171" s="3"/>
      <c r="FGC171" s="3"/>
      <c r="FGD171" s="3"/>
      <c r="FGE171" s="3"/>
      <c r="FGF171" s="3"/>
      <c r="FGG171" s="3"/>
      <c r="FGH171" s="3"/>
      <c r="FGI171" s="3"/>
      <c r="FGJ171" s="3"/>
      <c r="FGK171" s="3"/>
      <c r="FGL171" s="3"/>
      <c r="FGM171" s="3"/>
      <c r="FGN171" s="3"/>
      <c r="FGO171" s="3"/>
      <c r="FGP171" s="3"/>
      <c r="FGQ171" s="3"/>
      <c r="FGR171" s="3"/>
      <c r="FGS171" s="3"/>
      <c r="FGT171" s="3"/>
      <c r="FGU171" s="3"/>
      <c r="FGV171" s="3"/>
      <c r="FGW171" s="3"/>
      <c r="FGX171" s="3"/>
      <c r="FGY171" s="3"/>
      <c r="FGZ171" s="3"/>
      <c r="FHA171" s="3"/>
      <c r="FHB171" s="3"/>
      <c r="FHC171" s="3"/>
      <c r="FHD171" s="3"/>
      <c r="FHE171" s="3"/>
      <c r="FHF171" s="3"/>
      <c r="FHG171" s="3"/>
      <c r="FHH171" s="3"/>
      <c r="FHI171" s="3"/>
      <c r="FHJ171" s="3"/>
      <c r="FHK171" s="3"/>
      <c r="FHL171" s="3"/>
      <c r="FHM171" s="3"/>
      <c r="FHN171" s="3"/>
      <c r="FHO171" s="3"/>
      <c r="FHP171" s="3"/>
      <c r="FHQ171" s="3"/>
      <c r="FHR171" s="3"/>
      <c r="FHS171" s="3"/>
      <c r="FHT171" s="3"/>
      <c r="FHU171" s="3"/>
      <c r="FHV171" s="3"/>
      <c r="FHW171" s="3"/>
      <c r="FHX171" s="3"/>
      <c r="FHY171" s="3"/>
      <c r="FHZ171" s="3"/>
      <c r="FIA171" s="3"/>
      <c r="FIB171" s="3"/>
      <c r="FIC171" s="3"/>
      <c r="FID171" s="3"/>
      <c r="FIE171" s="3"/>
      <c r="FIF171" s="3"/>
      <c r="FIG171" s="3"/>
      <c r="FIH171" s="3"/>
      <c r="FII171" s="3"/>
      <c r="FIJ171" s="3"/>
      <c r="FIK171" s="3"/>
      <c r="FIL171" s="3"/>
      <c r="FIM171" s="3"/>
      <c r="FIN171" s="3"/>
      <c r="FIO171" s="3"/>
      <c r="FIP171" s="3"/>
      <c r="FIQ171" s="3"/>
      <c r="FIR171" s="3"/>
      <c r="FIS171" s="3"/>
      <c r="FIT171" s="3"/>
      <c r="FIU171" s="3"/>
      <c r="FIV171" s="3"/>
      <c r="FIW171" s="3"/>
      <c r="FIX171" s="3"/>
      <c r="FIY171" s="3"/>
      <c r="FIZ171" s="3"/>
      <c r="FJA171" s="3"/>
      <c r="FJB171" s="3"/>
      <c r="FJC171" s="3"/>
      <c r="FJD171" s="3"/>
      <c r="FJE171" s="3"/>
      <c r="FJF171" s="3"/>
      <c r="FJG171" s="3"/>
      <c r="FJH171" s="3"/>
      <c r="FJI171" s="3"/>
      <c r="FJJ171" s="3"/>
      <c r="FJK171" s="3"/>
      <c r="FJL171" s="3"/>
      <c r="FJM171" s="3"/>
      <c r="FJN171" s="3"/>
      <c r="FJO171" s="3"/>
      <c r="FJP171" s="3"/>
      <c r="FJQ171" s="3"/>
      <c r="FJR171" s="3"/>
      <c r="FJS171" s="3"/>
      <c r="FJT171" s="3"/>
      <c r="FJU171" s="3"/>
      <c r="FJV171" s="3"/>
      <c r="FJW171" s="3"/>
      <c r="FJX171" s="3"/>
      <c r="FJY171" s="3"/>
      <c r="FJZ171" s="3"/>
      <c r="FKA171" s="3"/>
      <c r="FKB171" s="3"/>
      <c r="FKC171" s="3"/>
      <c r="FKD171" s="3"/>
      <c r="FKE171" s="3"/>
      <c r="FKF171" s="3"/>
      <c r="FKG171" s="3"/>
      <c r="FKH171" s="3"/>
      <c r="FKI171" s="3"/>
      <c r="FKJ171" s="3"/>
      <c r="FKK171" s="3"/>
      <c r="FKL171" s="3"/>
      <c r="FKM171" s="3"/>
      <c r="FKN171" s="3"/>
      <c r="FKO171" s="3"/>
      <c r="FKP171" s="3"/>
      <c r="FKQ171" s="3"/>
      <c r="FKR171" s="3"/>
      <c r="FKS171" s="3"/>
      <c r="FKT171" s="3"/>
      <c r="FKU171" s="3"/>
      <c r="FKV171" s="3"/>
      <c r="FKW171" s="3"/>
      <c r="FKX171" s="3"/>
      <c r="FKY171" s="3"/>
      <c r="FKZ171" s="3"/>
      <c r="FLA171" s="3"/>
      <c r="FLB171" s="3"/>
      <c r="FLC171" s="3"/>
      <c r="FLD171" s="3"/>
      <c r="FLE171" s="3"/>
      <c r="FLF171" s="3"/>
      <c r="FLG171" s="3"/>
      <c r="FLH171" s="3"/>
      <c r="FLI171" s="3"/>
      <c r="FLJ171" s="3"/>
      <c r="FLK171" s="3"/>
      <c r="FLL171" s="3"/>
      <c r="FLM171" s="3"/>
      <c r="FLN171" s="3"/>
      <c r="FLO171" s="3"/>
      <c r="FLP171" s="3"/>
      <c r="FLQ171" s="3"/>
      <c r="FLR171" s="3"/>
      <c r="FLS171" s="3"/>
      <c r="FLT171" s="3"/>
      <c r="FLU171" s="3"/>
      <c r="FLV171" s="3"/>
      <c r="FLW171" s="3"/>
      <c r="FLX171" s="3"/>
      <c r="FLY171" s="3"/>
      <c r="FLZ171" s="3"/>
      <c r="FMA171" s="3"/>
      <c r="FMB171" s="3"/>
      <c r="FMC171" s="3"/>
      <c r="FMD171" s="3"/>
      <c r="FME171" s="3"/>
      <c r="FMF171" s="3"/>
      <c r="FMG171" s="3"/>
      <c r="FMH171" s="3"/>
      <c r="FMI171" s="3"/>
      <c r="FMJ171" s="3"/>
      <c r="FMK171" s="3"/>
      <c r="FML171" s="3"/>
      <c r="FMM171" s="3"/>
      <c r="FMN171" s="3"/>
      <c r="FMO171" s="3"/>
      <c r="FMP171" s="3"/>
      <c r="FMQ171" s="3"/>
      <c r="FMR171" s="3"/>
      <c r="FMS171" s="3"/>
      <c r="FMT171" s="3"/>
      <c r="FMU171" s="3"/>
      <c r="FMV171" s="3"/>
      <c r="FMW171" s="3"/>
      <c r="FMX171" s="3"/>
      <c r="FMY171" s="3"/>
      <c r="FMZ171" s="3"/>
      <c r="FNA171" s="3"/>
      <c r="FNB171" s="3"/>
      <c r="FNC171" s="3"/>
      <c r="FND171" s="3"/>
      <c r="FNE171" s="3"/>
      <c r="FNF171" s="3"/>
      <c r="FNG171" s="3"/>
      <c r="FNH171" s="3"/>
      <c r="FNI171" s="3"/>
      <c r="FNJ171" s="3"/>
      <c r="FNK171" s="3"/>
      <c r="FNL171" s="3"/>
      <c r="FNM171" s="3"/>
      <c r="FNN171" s="3"/>
      <c r="FNO171" s="3"/>
      <c r="FNP171" s="3"/>
      <c r="FNQ171" s="3"/>
      <c r="FNR171" s="3"/>
      <c r="FNS171" s="3"/>
      <c r="FNT171" s="3"/>
      <c r="FNU171" s="3"/>
      <c r="FNV171" s="3"/>
      <c r="FNW171" s="3"/>
      <c r="FNX171" s="3"/>
      <c r="FNY171" s="3"/>
      <c r="FNZ171" s="3"/>
      <c r="FOA171" s="3"/>
      <c r="FOB171" s="3"/>
      <c r="FOC171" s="3"/>
      <c r="FOD171" s="3"/>
      <c r="FOE171" s="3"/>
      <c r="FOF171" s="3"/>
      <c r="FOG171" s="3"/>
      <c r="FOH171" s="3"/>
      <c r="FOI171" s="3"/>
      <c r="FOJ171" s="3"/>
      <c r="FOK171" s="3"/>
      <c r="FOL171" s="3"/>
      <c r="FOM171" s="3"/>
      <c r="FON171" s="3"/>
      <c r="FOO171" s="3"/>
      <c r="FOP171" s="3"/>
      <c r="FOQ171" s="3"/>
      <c r="FOR171" s="3"/>
      <c r="FOS171" s="3"/>
      <c r="FOT171" s="3"/>
      <c r="FOU171" s="3"/>
      <c r="FOV171" s="3"/>
      <c r="FOW171" s="3"/>
      <c r="FOX171" s="3"/>
      <c r="FOY171" s="3"/>
      <c r="FOZ171" s="3"/>
      <c r="FPA171" s="3"/>
      <c r="FPB171" s="3"/>
      <c r="FPC171" s="3"/>
      <c r="FPD171" s="3"/>
      <c r="FPE171" s="3"/>
      <c r="FPF171" s="3"/>
      <c r="FPG171" s="3"/>
      <c r="FPH171" s="3"/>
      <c r="FPI171" s="3"/>
      <c r="FPJ171" s="3"/>
      <c r="FPK171" s="3"/>
      <c r="FPL171" s="3"/>
      <c r="FPM171" s="3"/>
      <c r="FPN171" s="3"/>
      <c r="FPO171" s="3"/>
      <c r="FPP171" s="3"/>
      <c r="FPQ171" s="3"/>
      <c r="FPR171" s="3"/>
      <c r="FPS171" s="3"/>
      <c r="FPT171" s="3"/>
      <c r="FPU171" s="3"/>
      <c r="FPV171" s="3"/>
      <c r="FPW171" s="3"/>
      <c r="FPX171" s="3"/>
      <c r="FPY171" s="3"/>
      <c r="FPZ171" s="3"/>
      <c r="FQA171" s="3"/>
      <c r="FQB171" s="3"/>
      <c r="FQC171" s="3"/>
      <c r="FQD171" s="3"/>
      <c r="FQE171" s="3"/>
      <c r="FQF171" s="3"/>
      <c r="FQG171" s="3"/>
      <c r="FQH171" s="3"/>
      <c r="FQI171" s="3"/>
      <c r="FQJ171" s="3"/>
      <c r="FQK171" s="3"/>
      <c r="FQL171" s="3"/>
      <c r="FQM171" s="3"/>
      <c r="FQN171" s="3"/>
      <c r="FQO171" s="3"/>
      <c r="FQP171" s="3"/>
      <c r="FQQ171" s="3"/>
      <c r="FQR171" s="3"/>
      <c r="FQS171" s="3"/>
      <c r="FQT171" s="3"/>
      <c r="FQU171" s="3"/>
      <c r="FQV171" s="3"/>
      <c r="FQW171" s="3"/>
      <c r="FQX171" s="3"/>
      <c r="FQY171" s="3"/>
      <c r="FQZ171" s="3"/>
      <c r="FRA171" s="3"/>
      <c r="FRB171" s="3"/>
      <c r="FRC171" s="3"/>
      <c r="FRD171" s="3"/>
      <c r="FRE171" s="3"/>
      <c r="FRF171" s="3"/>
      <c r="FRG171" s="3"/>
      <c r="FRH171" s="3"/>
      <c r="FRI171" s="3"/>
      <c r="FRJ171" s="3"/>
      <c r="FRK171" s="3"/>
      <c r="FRL171" s="3"/>
      <c r="FRM171" s="3"/>
      <c r="FRN171" s="3"/>
      <c r="FRO171" s="3"/>
      <c r="FRP171" s="3"/>
      <c r="FRQ171" s="3"/>
      <c r="FRR171" s="3"/>
      <c r="FRS171" s="3"/>
      <c r="FRT171" s="3"/>
      <c r="FRU171" s="3"/>
      <c r="FRV171" s="3"/>
      <c r="FRW171" s="3"/>
      <c r="FRX171" s="3"/>
      <c r="FRY171" s="3"/>
      <c r="FRZ171" s="3"/>
      <c r="FSA171" s="3"/>
      <c r="FSB171" s="3"/>
      <c r="FSC171" s="3"/>
      <c r="FSD171" s="3"/>
      <c r="FSE171" s="3"/>
      <c r="FSF171" s="3"/>
      <c r="FSG171" s="3"/>
      <c r="FSH171" s="3"/>
      <c r="FSI171" s="3"/>
      <c r="FSJ171" s="3"/>
      <c r="FSK171" s="3"/>
      <c r="FSL171" s="3"/>
      <c r="FSM171" s="3"/>
      <c r="FSN171" s="3"/>
      <c r="FSO171" s="3"/>
      <c r="FSP171" s="3"/>
      <c r="FSQ171" s="3"/>
      <c r="FSR171" s="3"/>
      <c r="FSS171" s="3"/>
      <c r="FST171" s="3"/>
      <c r="FSU171" s="3"/>
      <c r="FSV171" s="3"/>
      <c r="FSW171" s="3"/>
      <c r="FSX171" s="3"/>
      <c r="FSY171" s="3"/>
      <c r="FSZ171" s="3"/>
      <c r="FTA171" s="3"/>
      <c r="FTB171" s="3"/>
      <c r="FTC171" s="3"/>
      <c r="FTD171" s="3"/>
      <c r="FTE171" s="3"/>
      <c r="FTF171" s="3"/>
      <c r="FTG171" s="3"/>
      <c r="FTH171" s="3"/>
      <c r="FTI171" s="3"/>
      <c r="FTJ171" s="3"/>
      <c r="FTK171" s="3"/>
      <c r="FTL171" s="3"/>
      <c r="FTM171" s="3"/>
      <c r="FTN171" s="3"/>
      <c r="FTO171" s="3"/>
      <c r="FTP171" s="3"/>
      <c r="FTQ171" s="3"/>
      <c r="FTR171" s="3"/>
      <c r="FTS171" s="3"/>
      <c r="FTT171" s="3"/>
      <c r="FTU171" s="3"/>
      <c r="FTV171" s="3"/>
      <c r="FTW171" s="3"/>
      <c r="FTX171" s="3"/>
      <c r="FTY171" s="3"/>
      <c r="FTZ171" s="3"/>
      <c r="FUA171" s="3"/>
      <c r="FUB171" s="3"/>
      <c r="FUC171" s="3"/>
      <c r="FUD171" s="3"/>
      <c r="FUE171" s="3"/>
      <c r="FUF171" s="3"/>
      <c r="FUG171" s="3"/>
      <c r="FUH171" s="3"/>
      <c r="FUI171" s="3"/>
      <c r="FUJ171" s="3"/>
      <c r="FUK171" s="3"/>
      <c r="FUL171" s="3"/>
      <c r="FUM171" s="3"/>
      <c r="FUN171" s="3"/>
      <c r="FUO171" s="3"/>
      <c r="FUP171" s="3"/>
      <c r="FUQ171" s="3"/>
      <c r="FUR171" s="3"/>
      <c r="FUS171" s="3"/>
      <c r="FUT171" s="3"/>
      <c r="FUU171" s="3"/>
      <c r="FUV171" s="3"/>
      <c r="FUW171" s="3"/>
      <c r="FUX171" s="3"/>
      <c r="FUY171" s="3"/>
      <c r="FUZ171" s="3"/>
      <c r="FVA171" s="3"/>
      <c r="FVB171" s="3"/>
      <c r="FVC171" s="3"/>
      <c r="FVD171" s="3"/>
      <c r="FVE171" s="3"/>
      <c r="FVF171" s="3"/>
      <c r="FVG171" s="3"/>
      <c r="FVH171" s="3"/>
      <c r="FVI171" s="3"/>
      <c r="FVJ171" s="3"/>
      <c r="FVK171" s="3"/>
      <c r="FVL171" s="3"/>
      <c r="FVM171" s="3"/>
      <c r="FVN171" s="3"/>
      <c r="FVO171" s="3"/>
      <c r="FVP171" s="3"/>
      <c r="FVQ171" s="3"/>
      <c r="FVR171" s="3"/>
      <c r="FVS171" s="3"/>
      <c r="FVT171" s="3"/>
      <c r="FVU171" s="3"/>
      <c r="FVV171" s="3"/>
      <c r="FVW171" s="3"/>
      <c r="FVX171" s="3"/>
      <c r="FVY171" s="3"/>
      <c r="FVZ171" s="3"/>
      <c r="FWA171" s="3"/>
      <c r="FWB171" s="3"/>
      <c r="FWC171" s="3"/>
      <c r="FWD171" s="3"/>
      <c r="FWE171" s="3"/>
      <c r="FWF171" s="3"/>
      <c r="FWG171" s="3"/>
      <c r="FWH171" s="3"/>
      <c r="FWI171" s="3"/>
      <c r="FWJ171" s="3"/>
      <c r="FWK171" s="3"/>
      <c r="FWL171" s="3"/>
      <c r="FWM171" s="3"/>
      <c r="FWN171" s="3"/>
      <c r="FWO171" s="3"/>
      <c r="FWP171" s="3"/>
      <c r="FWQ171" s="3"/>
      <c r="FWR171" s="3"/>
      <c r="FWS171" s="3"/>
      <c r="FWT171" s="3"/>
      <c r="FWU171" s="3"/>
      <c r="FWV171" s="3"/>
      <c r="FWW171" s="3"/>
      <c r="FWX171" s="3"/>
      <c r="FWY171" s="3"/>
      <c r="FWZ171" s="3"/>
      <c r="FXA171" s="3"/>
      <c r="FXB171" s="3"/>
      <c r="FXC171" s="3"/>
      <c r="FXD171" s="3"/>
      <c r="FXE171" s="3"/>
      <c r="FXF171" s="3"/>
      <c r="FXG171" s="3"/>
      <c r="FXH171" s="3"/>
      <c r="FXI171" s="3"/>
      <c r="FXJ171" s="3"/>
      <c r="FXK171" s="3"/>
      <c r="FXL171" s="3"/>
      <c r="FXM171" s="3"/>
      <c r="FXN171" s="3"/>
      <c r="FXO171" s="3"/>
      <c r="FXP171" s="3"/>
      <c r="FXQ171" s="3"/>
      <c r="FXR171" s="3"/>
      <c r="FXS171" s="3"/>
      <c r="FXT171" s="3"/>
      <c r="FXU171" s="3"/>
      <c r="FXV171" s="3"/>
      <c r="FXW171" s="3"/>
      <c r="FXX171" s="3"/>
      <c r="FXY171" s="3"/>
      <c r="FXZ171" s="3"/>
      <c r="FYA171" s="3"/>
      <c r="FYB171" s="3"/>
      <c r="FYC171" s="3"/>
      <c r="FYD171" s="3"/>
      <c r="FYE171" s="3"/>
      <c r="FYF171" s="3"/>
      <c r="FYG171" s="3"/>
      <c r="FYH171" s="3"/>
      <c r="FYI171" s="3"/>
      <c r="FYJ171" s="3"/>
      <c r="FYK171" s="3"/>
      <c r="FYL171" s="3"/>
      <c r="FYM171" s="3"/>
      <c r="FYN171" s="3"/>
      <c r="FYO171" s="3"/>
      <c r="FYP171" s="3"/>
      <c r="FYQ171" s="3"/>
      <c r="FYR171" s="3"/>
      <c r="FYS171" s="3"/>
      <c r="FYT171" s="3"/>
      <c r="FYU171" s="3"/>
      <c r="FYV171" s="3"/>
      <c r="FYW171" s="3"/>
      <c r="FYX171" s="3"/>
      <c r="FYY171" s="3"/>
      <c r="FYZ171" s="3"/>
      <c r="FZA171" s="3"/>
      <c r="FZB171" s="3"/>
      <c r="FZC171" s="3"/>
      <c r="FZD171" s="3"/>
      <c r="FZE171" s="3"/>
      <c r="FZF171" s="3"/>
      <c r="FZG171" s="3"/>
      <c r="FZH171" s="3"/>
      <c r="FZI171" s="3"/>
      <c r="FZJ171" s="3"/>
      <c r="FZK171" s="3"/>
      <c r="FZL171" s="3"/>
      <c r="FZM171" s="3"/>
      <c r="FZN171" s="3"/>
      <c r="FZO171" s="3"/>
      <c r="FZP171" s="3"/>
      <c r="FZQ171" s="3"/>
      <c r="FZR171" s="3"/>
      <c r="FZS171" s="3"/>
      <c r="FZT171" s="3"/>
      <c r="FZU171" s="3"/>
      <c r="FZV171" s="3"/>
      <c r="FZW171" s="3"/>
      <c r="FZX171" s="3"/>
      <c r="FZY171" s="3"/>
      <c r="FZZ171" s="3"/>
      <c r="GAA171" s="3"/>
      <c r="GAB171" s="3"/>
      <c r="GAC171" s="3"/>
      <c r="GAD171" s="3"/>
      <c r="GAE171" s="3"/>
      <c r="GAF171" s="3"/>
      <c r="GAG171" s="3"/>
      <c r="GAH171" s="3"/>
      <c r="GAI171" s="3"/>
      <c r="GAJ171" s="3"/>
      <c r="GAK171" s="3"/>
      <c r="GAL171" s="3"/>
      <c r="GAM171" s="3"/>
      <c r="GAN171" s="3"/>
      <c r="GAO171" s="3"/>
      <c r="GAP171" s="3"/>
      <c r="GAQ171" s="3"/>
      <c r="GAR171" s="3"/>
      <c r="GAS171" s="3"/>
      <c r="GAT171" s="3"/>
      <c r="GAU171" s="3"/>
      <c r="GAV171" s="3"/>
      <c r="GAW171" s="3"/>
      <c r="GAX171" s="3"/>
      <c r="GAY171" s="3"/>
      <c r="GAZ171" s="3"/>
      <c r="GBA171" s="3"/>
      <c r="GBB171" s="3"/>
      <c r="GBC171" s="3"/>
      <c r="GBD171" s="3"/>
      <c r="GBE171" s="3"/>
      <c r="GBF171" s="3"/>
      <c r="GBG171" s="3"/>
      <c r="GBH171" s="3"/>
      <c r="GBI171" s="3"/>
      <c r="GBJ171" s="3"/>
      <c r="GBK171" s="3"/>
      <c r="GBL171" s="3"/>
      <c r="GBM171" s="3"/>
      <c r="GBN171" s="3"/>
      <c r="GBO171" s="3"/>
      <c r="GBP171" s="3"/>
      <c r="GBQ171" s="3"/>
      <c r="GBR171" s="3"/>
      <c r="GBS171" s="3"/>
      <c r="GBT171" s="3"/>
      <c r="GBU171" s="3"/>
      <c r="GBV171" s="3"/>
      <c r="GBW171" s="3"/>
      <c r="GBX171" s="3"/>
      <c r="GBY171" s="3"/>
      <c r="GBZ171" s="3"/>
      <c r="GCA171" s="3"/>
      <c r="GCB171" s="3"/>
      <c r="GCC171" s="3"/>
      <c r="GCD171" s="3"/>
      <c r="GCE171" s="3"/>
      <c r="GCF171" s="3"/>
      <c r="GCG171" s="3"/>
      <c r="GCH171" s="3"/>
      <c r="GCI171" s="3"/>
      <c r="GCJ171" s="3"/>
      <c r="GCK171" s="3"/>
      <c r="GCL171" s="3"/>
      <c r="GCM171" s="3"/>
      <c r="GCN171" s="3"/>
      <c r="GCO171" s="3"/>
      <c r="GCP171" s="3"/>
      <c r="GCQ171" s="3"/>
      <c r="GCR171" s="3"/>
      <c r="GCS171" s="3"/>
      <c r="GCT171" s="3"/>
      <c r="GCU171" s="3"/>
      <c r="GCV171" s="3"/>
      <c r="GCW171" s="3"/>
      <c r="GCX171" s="3"/>
      <c r="GCY171" s="3"/>
      <c r="GCZ171" s="3"/>
      <c r="GDA171" s="3"/>
      <c r="GDB171" s="3"/>
      <c r="GDC171" s="3"/>
      <c r="GDD171" s="3"/>
      <c r="GDE171" s="3"/>
      <c r="GDF171" s="3"/>
      <c r="GDG171" s="3"/>
      <c r="GDH171" s="3"/>
      <c r="GDI171" s="3"/>
      <c r="GDJ171" s="3"/>
      <c r="GDK171" s="3"/>
      <c r="GDL171" s="3"/>
      <c r="GDM171" s="3"/>
      <c r="GDN171" s="3"/>
      <c r="GDO171" s="3"/>
      <c r="GDP171" s="3"/>
      <c r="GDQ171" s="3"/>
      <c r="GDR171" s="3"/>
      <c r="GDS171" s="3"/>
      <c r="GDT171" s="3"/>
      <c r="GDU171" s="3"/>
      <c r="GDV171" s="3"/>
      <c r="GDW171" s="3"/>
      <c r="GDX171" s="3"/>
      <c r="GDY171" s="3"/>
      <c r="GDZ171" s="3"/>
      <c r="GEA171" s="3"/>
      <c r="GEB171" s="3"/>
      <c r="GEC171" s="3"/>
      <c r="GED171" s="3"/>
      <c r="GEE171" s="3"/>
      <c r="GEF171" s="3"/>
      <c r="GEG171" s="3"/>
      <c r="GEH171" s="3"/>
      <c r="GEI171" s="3"/>
      <c r="GEJ171" s="3"/>
      <c r="GEK171" s="3"/>
      <c r="GEL171" s="3"/>
      <c r="GEM171" s="3"/>
      <c r="GEN171" s="3"/>
      <c r="GEO171" s="3"/>
      <c r="GEP171" s="3"/>
      <c r="GEQ171" s="3"/>
      <c r="GER171" s="3"/>
      <c r="GES171" s="3"/>
      <c r="GET171" s="3"/>
      <c r="GEU171" s="3"/>
      <c r="GEV171" s="3"/>
      <c r="GEW171" s="3"/>
      <c r="GEX171" s="3"/>
      <c r="GEY171" s="3"/>
      <c r="GEZ171" s="3"/>
      <c r="GFA171" s="3"/>
      <c r="GFB171" s="3"/>
      <c r="GFC171" s="3"/>
      <c r="GFD171" s="3"/>
      <c r="GFE171" s="3"/>
      <c r="GFF171" s="3"/>
      <c r="GFG171" s="3"/>
      <c r="GFH171" s="3"/>
      <c r="GFI171" s="3"/>
      <c r="GFJ171" s="3"/>
      <c r="GFK171" s="3"/>
      <c r="GFL171" s="3"/>
      <c r="GFM171" s="3"/>
      <c r="GFN171" s="3"/>
      <c r="GFO171" s="3"/>
      <c r="GFP171" s="3"/>
      <c r="GFQ171" s="3"/>
      <c r="GFR171" s="3"/>
      <c r="GFS171" s="3"/>
      <c r="GFT171" s="3"/>
      <c r="GFU171" s="3"/>
      <c r="GFV171" s="3"/>
      <c r="GFW171" s="3"/>
      <c r="GFX171" s="3"/>
      <c r="GFY171" s="3"/>
      <c r="GFZ171" s="3"/>
      <c r="GGA171" s="3"/>
      <c r="GGB171" s="3"/>
      <c r="GGC171" s="3"/>
      <c r="GGD171" s="3"/>
      <c r="GGE171" s="3"/>
      <c r="GGF171" s="3"/>
      <c r="GGG171" s="3"/>
      <c r="GGH171" s="3"/>
      <c r="GGI171" s="3"/>
      <c r="GGJ171" s="3"/>
      <c r="GGK171" s="3"/>
      <c r="GGL171" s="3"/>
      <c r="GGM171" s="3"/>
      <c r="GGN171" s="3"/>
      <c r="GGO171" s="3"/>
      <c r="GGP171" s="3"/>
      <c r="GGQ171" s="3"/>
      <c r="GGR171" s="3"/>
      <c r="GGS171" s="3"/>
      <c r="GGT171" s="3"/>
      <c r="GGU171" s="3"/>
      <c r="GGV171" s="3"/>
      <c r="GGW171" s="3"/>
      <c r="GGX171" s="3"/>
      <c r="GGY171" s="3"/>
      <c r="GGZ171" s="3"/>
      <c r="GHA171" s="3"/>
      <c r="GHB171" s="3"/>
      <c r="GHC171" s="3"/>
      <c r="GHD171" s="3"/>
      <c r="GHE171" s="3"/>
      <c r="GHF171" s="3"/>
      <c r="GHG171" s="3"/>
      <c r="GHH171" s="3"/>
      <c r="GHI171" s="3"/>
      <c r="GHJ171" s="3"/>
      <c r="GHK171" s="3"/>
      <c r="GHL171" s="3"/>
      <c r="GHM171" s="3"/>
      <c r="GHN171" s="3"/>
      <c r="GHO171" s="3"/>
      <c r="GHP171" s="3"/>
      <c r="GHQ171" s="3"/>
      <c r="GHR171" s="3"/>
      <c r="GHS171" s="3"/>
      <c r="GHT171" s="3"/>
      <c r="GHU171" s="3"/>
      <c r="GHV171" s="3"/>
      <c r="GHW171" s="3"/>
      <c r="GHX171" s="3"/>
      <c r="GHY171" s="3"/>
      <c r="GHZ171" s="3"/>
      <c r="GIA171" s="3"/>
      <c r="GIB171" s="3"/>
      <c r="GIC171" s="3"/>
      <c r="GID171" s="3"/>
      <c r="GIE171" s="3"/>
      <c r="GIF171" s="3"/>
      <c r="GIG171" s="3"/>
      <c r="GIH171" s="3"/>
      <c r="GII171" s="3"/>
      <c r="GIJ171" s="3"/>
      <c r="GIK171" s="3"/>
      <c r="GIL171" s="3"/>
      <c r="GIM171" s="3"/>
      <c r="GIN171" s="3"/>
      <c r="GIO171" s="3"/>
      <c r="GIP171" s="3"/>
      <c r="GIQ171" s="3"/>
      <c r="GIR171" s="3"/>
      <c r="GIS171" s="3"/>
      <c r="GIT171" s="3"/>
      <c r="GIU171" s="3"/>
      <c r="GIV171" s="3"/>
      <c r="GIW171" s="3"/>
      <c r="GIX171" s="3"/>
      <c r="GIY171" s="3"/>
      <c r="GIZ171" s="3"/>
      <c r="GJA171" s="3"/>
      <c r="GJB171" s="3"/>
      <c r="GJC171" s="3"/>
      <c r="GJD171" s="3"/>
      <c r="GJE171" s="3"/>
      <c r="GJF171" s="3"/>
      <c r="GJG171" s="3"/>
      <c r="GJH171" s="3"/>
      <c r="GJI171" s="3"/>
      <c r="GJJ171" s="3"/>
      <c r="GJK171" s="3"/>
      <c r="GJL171" s="3"/>
      <c r="GJM171" s="3"/>
      <c r="GJN171" s="3"/>
      <c r="GJO171" s="3"/>
      <c r="GJP171" s="3"/>
      <c r="GJQ171" s="3"/>
      <c r="GJR171" s="3"/>
      <c r="GJS171" s="3"/>
      <c r="GJT171" s="3"/>
      <c r="GJU171" s="3"/>
      <c r="GJV171" s="3"/>
      <c r="GJW171" s="3"/>
      <c r="GJX171" s="3"/>
      <c r="GJY171" s="3"/>
      <c r="GJZ171" s="3"/>
      <c r="GKA171" s="3"/>
      <c r="GKB171" s="3"/>
      <c r="GKC171" s="3"/>
      <c r="GKD171" s="3"/>
      <c r="GKE171" s="3"/>
      <c r="GKF171" s="3"/>
      <c r="GKG171" s="3"/>
      <c r="GKH171" s="3"/>
      <c r="GKI171" s="3"/>
      <c r="GKJ171" s="3"/>
      <c r="GKK171" s="3"/>
      <c r="GKL171" s="3"/>
      <c r="GKM171" s="3"/>
      <c r="GKN171" s="3"/>
      <c r="GKO171" s="3"/>
      <c r="GKP171" s="3"/>
      <c r="GKQ171" s="3"/>
      <c r="GKR171" s="3"/>
      <c r="GKS171" s="3"/>
      <c r="GKT171" s="3"/>
      <c r="GKU171" s="3"/>
      <c r="GKV171" s="3"/>
      <c r="GKW171" s="3"/>
      <c r="GKX171" s="3"/>
      <c r="GKY171" s="3"/>
      <c r="GKZ171" s="3"/>
      <c r="GLA171" s="3"/>
      <c r="GLB171" s="3"/>
      <c r="GLC171" s="3"/>
      <c r="GLD171" s="3"/>
      <c r="GLE171" s="3"/>
      <c r="GLF171" s="3"/>
      <c r="GLG171" s="3"/>
      <c r="GLH171" s="3"/>
      <c r="GLI171" s="3"/>
      <c r="GLJ171" s="3"/>
      <c r="GLK171" s="3"/>
      <c r="GLL171" s="3"/>
      <c r="GLM171" s="3"/>
      <c r="GLN171" s="3"/>
      <c r="GLO171" s="3"/>
      <c r="GLP171" s="3"/>
      <c r="GLQ171" s="3"/>
      <c r="GLR171" s="3"/>
      <c r="GLS171" s="3"/>
      <c r="GLT171" s="3"/>
      <c r="GLU171" s="3"/>
      <c r="GLV171" s="3"/>
      <c r="GLW171" s="3"/>
      <c r="GLX171" s="3"/>
      <c r="GLY171" s="3"/>
      <c r="GLZ171" s="3"/>
      <c r="GMA171" s="3"/>
      <c r="GMB171" s="3"/>
      <c r="GMC171" s="3"/>
      <c r="GMD171" s="3"/>
      <c r="GME171" s="3"/>
      <c r="GMF171" s="3"/>
      <c r="GMG171" s="3"/>
      <c r="GMH171" s="3"/>
      <c r="GMI171" s="3"/>
      <c r="GMJ171" s="3"/>
      <c r="GMK171" s="3"/>
      <c r="GML171" s="3"/>
      <c r="GMM171" s="3"/>
      <c r="GMN171" s="3"/>
      <c r="GMO171" s="3"/>
      <c r="GMP171" s="3"/>
      <c r="GMQ171" s="3"/>
      <c r="GMR171" s="3"/>
      <c r="GMS171" s="3"/>
      <c r="GMT171" s="3"/>
      <c r="GMU171" s="3"/>
      <c r="GMV171" s="3"/>
      <c r="GMW171" s="3"/>
      <c r="GMX171" s="3"/>
      <c r="GMY171" s="3"/>
      <c r="GMZ171" s="3"/>
      <c r="GNA171" s="3"/>
      <c r="GNB171" s="3"/>
      <c r="GNC171" s="3"/>
      <c r="GND171" s="3"/>
      <c r="GNE171" s="3"/>
      <c r="GNF171" s="3"/>
      <c r="GNG171" s="3"/>
      <c r="GNH171" s="3"/>
      <c r="GNI171" s="3"/>
      <c r="GNJ171" s="3"/>
      <c r="GNK171" s="3"/>
      <c r="GNL171" s="3"/>
      <c r="GNM171" s="3"/>
      <c r="GNN171" s="3"/>
      <c r="GNO171" s="3"/>
      <c r="GNP171" s="3"/>
      <c r="GNQ171" s="3"/>
      <c r="GNR171" s="3"/>
      <c r="GNS171" s="3"/>
      <c r="GNT171" s="3"/>
      <c r="GNU171" s="3"/>
      <c r="GNV171" s="3"/>
      <c r="GNW171" s="3"/>
      <c r="GNX171" s="3"/>
      <c r="GNY171" s="3"/>
      <c r="GNZ171" s="3"/>
      <c r="GOA171" s="3"/>
      <c r="GOB171" s="3"/>
      <c r="GOC171" s="3"/>
      <c r="GOD171" s="3"/>
      <c r="GOE171" s="3"/>
      <c r="GOF171" s="3"/>
      <c r="GOG171" s="3"/>
      <c r="GOH171" s="3"/>
      <c r="GOI171" s="3"/>
      <c r="GOJ171" s="3"/>
      <c r="GOK171" s="3"/>
      <c r="GOL171" s="3"/>
      <c r="GOM171" s="3"/>
      <c r="GON171" s="3"/>
      <c r="GOO171" s="3"/>
      <c r="GOP171" s="3"/>
      <c r="GOQ171" s="3"/>
      <c r="GOR171" s="3"/>
      <c r="GOS171" s="3"/>
      <c r="GOT171" s="3"/>
      <c r="GOU171" s="3"/>
      <c r="GOV171" s="3"/>
      <c r="GOW171" s="3"/>
      <c r="GOX171" s="3"/>
      <c r="GOY171" s="3"/>
      <c r="GOZ171" s="3"/>
      <c r="GPA171" s="3"/>
      <c r="GPB171" s="3"/>
      <c r="GPC171" s="3"/>
      <c r="GPD171" s="3"/>
      <c r="GPE171" s="3"/>
      <c r="GPF171" s="3"/>
      <c r="GPG171" s="3"/>
      <c r="GPH171" s="3"/>
      <c r="GPI171" s="3"/>
      <c r="GPJ171" s="3"/>
      <c r="GPK171" s="3"/>
      <c r="GPL171" s="3"/>
      <c r="GPM171" s="3"/>
      <c r="GPN171" s="3"/>
      <c r="GPO171" s="3"/>
      <c r="GPP171" s="3"/>
      <c r="GPQ171" s="3"/>
      <c r="GPR171" s="3"/>
      <c r="GPS171" s="3"/>
      <c r="GPT171" s="3"/>
      <c r="GPU171" s="3"/>
      <c r="GPV171" s="3"/>
      <c r="GPW171" s="3"/>
      <c r="GPX171" s="3"/>
      <c r="GPY171" s="3"/>
      <c r="GPZ171" s="3"/>
      <c r="GQA171" s="3"/>
      <c r="GQB171" s="3"/>
      <c r="GQC171" s="3"/>
      <c r="GQD171" s="3"/>
      <c r="GQE171" s="3"/>
      <c r="GQF171" s="3"/>
      <c r="GQG171" s="3"/>
      <c r="GQH171" s="3"/>
      <c r="GQI171" s="3"/>
      <c r="GQJ171" s="3"/>
      <c r="GQK171" s="3"/>
      <c r="GQL171" s="3"/>
      <c r="GQM171" s="3"/>
      <c r="GQN171" s="3"/>
      <c r="GQO171" s="3"/>
      <c r="GQP171" s="3"/>
      <c r="GQQ171" s="3"/>
      <c r="GQR171" s="3"/>
      <c r="GQS171" s="3"/>
      <c r="GQT171" s="3"/>
      <c r="GQU171" s="3"/>
      <c r="GQV171" s="3"/>
      <c r="GQW171" s="3"/>
      <c r="GQX171" s="3"/>
      <c r="GQY171" s="3"/>
      <c r="GQZ171" s="3"/>
      <c r="GRA171" s="3"/>
      <c r="GRB171" s="3"/>
      <c r="GRC171" s="3"/>
      <c r="GRD171" s="3"/>
      <c r="GRE171" s="3"/>
      <c r="GRF171" s="3"/>
      <c r="GRG171" s="3"/>
      <c r="GRH171" s="3"/>
      <c r="GRI171" s="3"/>
      <c r="GRJ171" s="3"/>
      <c r="GRK171" s="3"/>
      <c r="GRL171" s="3"/>
      <c r="GRM171" s="3"/>
      <c r="GRN171" s="3"/>
      <c r="GRO171" s="3"/>
      <c r="GRP171" s="3"/>
      <c r="GRQ171" s="3"/>
      <c r="GRR171" s="3"/>
      <c r="GRS171" s="3"/>
      <c r="GRT171" s="3"/>
      <c r="GRU171" s="3"/>
      <c r="GRV171" s="3"/>
      <c r="GRW171" s="3"/>
      <c r="GRX171" s="3"/>
      <c r="GRY171" s="3"/>
      <c r="GRZ171" s="3"/>
      <c r="GSA171" s="3"/>
      <c r="GSB171" s="3"/>
      <c r="GSC171" s="3"/>
      <c r="GSD171" s="3"/>
      <c r="GSE171" s="3"/>
      <c r="GSF171" s="3"/>
      <c r="GSG171" s="3"/>
      <c r="GSH171" s="3"/>
      <c r="GSI171" s="3"/>
      <c r="GSJ171" s="3"/>
      <c r="GSK171" s="3"/>
      <c r="GSL171" s="3"/>
      <c r="GSM171" s="3"/>
      <c r="GSN171" s="3"/>
      <c r="GSO171" s="3"/>
      <c r="GSP171" s="3"/>
      <c r="GSQ171" s="3"/>
      <c r="GSR171" s="3"/>
      <c r="GSS171" s="3"/>
      <c r="GST171" s="3"/>
      <c r="GSU171" s="3"/>
      <c r="GSV171" s="3"/>
      <c r="GSW171" s="3"/>
      <c r="GSX171" s="3"/>
      <c r="GSY171" s="3"/>
      <c r="GSZ171" s="3"/>
      <c r="GTA171" s="3"/>
      <c r="GTB171" s="3"/>
      <c r="GTC171" s="3"/>
      <c r="GTD171" s="3"/>
      <c r="GTE171" s="3"/>
      <c r="GTF171" s="3"/>
      <c r="GTG171" s="3"/>
      <c r="GTH171" s="3"/>
      <c r="GTI171" s="3"/>
      <c r="GTJ171" s="3"/>
      <c r="GTK171" s="3"/>
      <c r="GTL171" s="3"/>
      <c r="GTM171" s="3"/>
      <c r="GTN171" s="3"/>
      <c r="GTO171" s="3"/>
      <c r="GTP171" s="3"/>
      <c r="GTQ171" s="3"/>
      <c r="GTR171" s="3"/>
      <c r="GTS171" s="3"/>
      <c r="GTT171" s="3"/>
      <c r="GTU171" s="3"/>
      <c r="GTV171" s="3"/>
      <c r="GTW171" s="3"/>
      <c r="GTX171" s="3"/>
      <c r="GTY171" s="3"/>
      <c r="GTZ171" s="3"/>
      <c r="GUA171" s="3"/>
      <c r="GUB171" s="3"/>
      <c r="GUC171" s="3"/>
      <c r="GUD171" s="3"/>
      <c r="GUE171" s="3"/>
      <c r="GUF171" s="3"/>
      <c r="GUG171" s="3"/>
      <c r="GUH171" s="3"/>
      <c r="GUI171" s="3"/>
      <c r="GUJ171" s="3"/>
      <c r="GUK171" s="3"/>
      <c r="GUL171" s="3"/>
      <c r="GUM171" s="3"/>
      <c r="GUN171" s="3"/>
      <c r="GUO171" s="3"/>
      <c r="GUP171" s="3"/>
      <c r="GUQ171" s="3"/>
      <c r="GUR171" s="3"/>
      <c r="GUS171" s="3"/>
      <c r="GUT171" s="3"/>
      <c r="GUU171" s="3"/>
      <c r="GUV171" s="3"/>
      <c r="GUW171" s="3"/>
      <c r="GUX171" s="3"/>
      <c r="GUY171" s="3"/>
      <c r="GUZ171" s="3"/>
      <c r="GVA171" s="3"/>
      <c r="GVB171" s="3"/>
      <c r="GVC171" s="3"/>
      <c r="GVD171" s="3"/>
      <c r="GVE171" s="3"/>
      <c r="GVF171" s="3"/>
      <c r="GVG171" s="3"/>
      <c r="GVH171" s="3"/>
      <c r="GVI171" s="3"/>
      <c r="GVJ171" s="3"/>
      <c r="GVK171" s="3"/>
      <c r="GVL171" s="3"/>
      <c r="GVM171" s="3"/>
      <c r="GVN171" s="3"/>
      <c r="GVO171" s="3"/>
      <c r="GVP171" s="3"/>
      <c r="GVQ171" s="3"/>
      <c r="GVR171" s="3"/>
      <c r="GVS171" s="3"/>
      <c r="GVT171" s="3"/>
      <c r="GVU171" s="3"/>
      <c r="GVV171" s="3"/>
      <c r="GVW171" s="3"/>
      <c r="GVX171" s="3"/>
      <c r="GVY171" s="3"/>
      <c r="GVZ171" s="3"/>
      <c r="GWA171" s="3"/>
      <c r="GWB171" s="3"/>
      <c r="GWC171" s="3"/>
      <c r="GWD171" s="3"/>
      <c r="GWE171" s="3"/>
      <c r="GWF171" s="3"/>
      <c r="GWG171" s="3"/>
      <c r="GWH171" s="3"/>
      <c r="GWI171" s="3"/>
      <c r="GWJ171" s="3"/>
      <c r="GWK171" s="3"/>
      <c r="GWL171" s="3"/>
      <c r="GWM171" s="3"/>
      <c r="GWN171" s="3"/>
      <c r="GWO171" s="3"/>
      <c r="GWP171" s="3"/>
      <c r="GWQ171" s="3"/>
      <c r="GWR171" s="3"/>
      <c r="GWS171" s="3"/>
      <c r="GWT171" s="3"/>
      <c r="GWU171" s="3"/>
      <c r="GWV171" s="3"/>
      <c r="GWW171" s="3"/>
      <c r="GWX171" s="3"/>
      <c r="GWY171" s="3"/>
      <c r="GWZ171" s="3"/>
      <c r="GXA171" s="3"/>
      <c r="GXB171" s="3"/>
      <c r="GXC171" s="3"/>
      <c r="GXD171" s="3"/>
      <c r="GXE171" s="3"/>
      <c r="GXF171" s="3"/>
      <c r="GXG171" s="3"/>
      <c r="GXH171" s="3"/>
      <c r="GXI171" s="3"/>
      <c r="GXJ171" s="3"/>
      <c r="GXK171" s="3"/>
      <c r="GXL171" s="3"/>
      <c r="GXM171" s="3"/>
      <c r="GXN171" s="3"/>
      <c r="GXO171" s="3"/>
      <c r="GXP171" s="3"/>
      <c r="GXQ171" s="3"/>
      <c r="GXR171" s="3"/>
      <c r="GXS171" s="3"/>
      <c r="GXT171" s="3"/>
      <c r="GXU171" s="3"/>
      <c r="GXV171" s="3"/>
      <c r="GXW171" s="3"/>
      <c r="GXX171" s="3"/>
      <c r="GXY171" s="3"/>
      <c r="GXZ171" s="3"/>
      <c r="GYA171" s="3"/>
      <c r="GYB171" s="3"/>
      <c r="GYC171" s="3"/>
      <c r="GYD171" s="3"/>
      <c r="GYE171" s="3"/>
      <c r="GYF171" s="3"/>
      <c r="GYG171" s="3"/>
      <c r="GYH171" s="3"/>
      <c r="GYI171" s="3"/>
      <c r="GYJ171" s="3"/>
      <c r="GYK171" s="3"/>
      <c r="GYL171" s="3"/>
      <c r="GYM171" s="3"/>
      <c r="GYN171" s="3"/>
      <c r="GYO171" s="3"/>
      <c r="GYP171" s="3"/>
      <c r="GYQ171" s="3"/>
      <c r="GYR171" s="3"/>
      <c r="GYS171" s="3"/>
      <c r="GYT171" s="3"/>
      <c r="GYU171" s="3"/>
      <c r="GYV171" s="3"/>
      <c r="GYW171" s="3"/>
      <c r="GYX171" s="3"/>
      <c r="GYY171" s="3"/>
      <c r="GYZ171" s="3"/>
      <c r="GZA171" s="3"/>
      <c r="GZB171" s="3"/>
      <c r="GZC171" s="3"/>
      <c r="GZD171" s="3"/>
      <c r="GZE171" s="3"/>
      <c r="GZF171" s="3"/>
      <c r="GZG171" s="3"/>
      <c r="GZH171" s="3"/>
      <c r="GZI171" s="3"/>
      <c r="GZJ171" s="3"/>
      <c r="GZK171" s="3"/>
      <c r="GZL171" s="3"/>
      <c r="GZM171" s="3"/>
      <c r="GZN171" s="3"/>
      <c r="GZO171" s="3"/>
      <c r="GZP171" s="3"/>
      <c r="GZQ171" s="3"/>
      <c r="GZR171" s="3"/>
      <c r="GZS171" s="3"/>
      <c r="GZT171" s="3"/>
      <c r="GZU171" s="3"/>
      <c r="GZV171" s="3"/>
      <c r="GZW171" s="3"/>
      <c r="GZX171" s="3"/>
      <c r="GZY171" s="3"/>
      <c r="GZZ171" s="3"/>
      <c r="HAA171" s="3"/>
      <c r="HAB171" s="3"/>
      <c r="HAC171" s="3"/>
      <c r="HAD171" s="3"/>
      <c r="HAE171" s="3"/>
      <c r="HAF171" s="3"/>
      <c r="HAG171" s="3"/>
      <c r="HAH171" s="3"/>
      <c r="HAI171" s="3"/>
      <c r="HAJ171" s="3"/>
      <c r="HAK171" s="3"/>
      <c r="HAL171" s="3"/>
      <c r="HAM171" s="3"/>
      <c r="HAN171" s="3"/>
      <c r="HAO171" s="3"/>
      <c r="HAP171" s="3"/>
      <c r="HAQ171" s="3"/>
      <c r="HAR171" s="3"/>
      <c r="HAS171" s="3"/>
      <c r="HAT171" s="3"/>
      <c r="HAU171" s="3"/>
      <c r="HAV171" s="3"/>
      <c r="HAW171" s="3"/>
      <c r="HAX171" s="3"/>
      <c r="HAY171" s="3"/>
      <c r="HAZ171" s="3"/>
      <c r="HBA171" s="3"/>
      <c r="HBB171" s="3"/>
      <c r="HBC171" s="3"/>
      <c r="HBD171" s="3"/>
      <c r="HBE171" s="3"/>
      <c r="HBF171" s="3"/>
      <c r="HBG171" s="3"/>
      <c r="HBH171" s="3"/>
      <c r="HBI171" s="3"/>
      <c r="HBJ171" s="3"/>
      <c r="HBK171" s="3"/>
      <c r="HBL171" s="3"/>
      <c r="HBM171" s="3"/>
      <c r="HBN171" s="3"/>
      <c r="HBO171" s="3"/>
      <c r="HBP171" s="3"/>
      <c r="HBQ171" s="3"/>
      <c r="HBR171" s="3"/>
      <c r="HBS171" s="3"/>
      <c r="HBT171" s="3"/>
      <c r="HBU171" s="3"/>
      <c r="HBV171" s="3"/>
      <c r="HBW171" s="3"/>
      <c r="HBX171" s="3"/>
      <c r="HBY171" s="3"/>
      <c r="HBZ171" s="3"/>
      <c r="HCA171" s="3"/>
      <c r="HCB171" s="3"/>
      <c r="HCC171" s="3"/>
      <c r="HCD171" s="3"/>
      <c r="HCE171" s="3"/>
      <c r="HCF171" s="3"/>
      <c r="HCG171" s="3"/>
      <c r="HCH171" s="3"/>
      <c r="HCI171" s="3"/>
      <c r="HCJ171" s="3"/>
      <c r="HCK171" s="3"/>
      <c r="HCL171" s="3"/>
      <c r="HCM171" s="3"/>
      <c r="HCN171" s="3"/>
      <c r="HCO171" s="3"/>
      <c r="HCP171" s="3"/>
      <c r="HCQ171" s="3"/>
      <c r="HCR171" s="3"/>
      <c r="HCS171" s="3"/>
      <c r="HCT171" s="3"/>
      <c r="HCU171" s="3"/>
      <c r="HCV171" s="3"/>
      <c r="HCW171" s="3"/>
      <c r="HCX171" s="3"/>
      <c r="HCY171" s="3"/>
      <c r="HCZ171" s="3"/>
      <c r="HDA171" s="3"/>
      <c r="HDB171" s="3"/>
      <c r="HDC171" s="3"/>
      <c r="HDD171" s="3"/>
      <c r="HDE171" s="3"/>
      <c r="HDF171" s="3"/>
      <c r="HDG171" s="3"/>
      <c r="HDH171" s="3"/>
      <c r="HDI171" s="3"/>
      <c r="HDJ171" s="3"/>
      <c r="HDK171" s="3"/>
      <c r="HDL171" s="3"/>
      <c r="HDM171" s="3"/>
      <c r="HDN171" s="3"/>
      <c r="HDO171" s="3"/>
      <c r="HDP171" s="3"/>
      <c r="HDQ171" s="3"/>
      <c r="HDR171" s="3"/>
      <c r="HDS171" s="3"/>
      <c r="HDT171" s="3"/>
      <c r="HDU171" s="3"/>
      <c r="HDV171" s="3"/>
      <c r="HDW171" s="3"/>
      <c r="HDX171" s="3"/>
      <c r="HDY171" s="3"/>
      <c r="HDZ171" s="3"/>
      <c r="HEA171" s="3"/>
      <c r="HEB171" s="3"/>
      <c r="HEC171" s="3"/>
      <c r="HED171" s="3"/>
      <c r="HEE171" s="3"/>
      <c r="HEF171" s="3"/>
      <c r="HEG171" s="3"/>
      <c r="HEH171" s="3"/>
      <c r="HEI171" s="3"/>
      <c r="HEJ171" s="3"/>
      <c r="HEK171" s="3"/>
      <c r="HEL171" s="3"/>
      <c r="HEM171" s="3"/>
      <c r="HEN171" s="3"/>
      <c r="HEO171" s="3"/>
      <c r="HEP171" s="3"/>
      <c r="HEQ171" s="3"/>
      <c r="HER171" s="3"/>
      <c r="HES171" s="3"/>
      <c r="HET171" s="3"/>
      <c r="HEU171" s="3"/>
      <c r="HEV171" s="3"/>
      <c r="HEW171" s="3"/>
      <c r="HEX171" s="3"/>
      <c r="HEY171" s="3"/>
      <c r="HEZ171" s="3"/>
      <c r="HFA171" s="3"/>
      <c r="HFB171" s="3"/>
      <c r="HFC171" s="3"/>
      <c r="HFD171" s="3"/>
      <c r="HFE171" s="3"/>
      <c r="HFF171" s="3"/>
      <c r="HFG171" s="3"/>
      <c r="HFH171" s="3"/>
      <c r="HFI171" s="3"/>
      <c r="HFJ171" s="3"/>
      <c r="HFK171" s="3"/>
      <c r="HFL171" s="3"/>
      <c r="HFM171" s="3"/>
      <c r="HFN171" s="3"/>
      <c r="HFO171" s="3"/>
      <c r="HFP171" s="3"/>
      <c r="HFQ171" s="3"/>
      <c r="HFR171" s="3"/>
      <c r="HFS171" s="3"/>
      <c r="HFT171" s="3"/>
      <c r="HFU171" s="3"/>
      <c r="HFV171" s="3"/>
      <c r="HFW171" s="3"/>
      <c r="HFX171" s="3"/>
      <c r="HFY171" s="3"/>
      <c r="HFZ171" s="3"/>
      <c r="HGA171" s="3"/>
      <c r="HGB171" s="3"/>
      <c r="HGC171" s="3"/>
      <c r="HGD171" s="3"/>
      <c r="HGE171" s="3"/>
      <c r="HGF171" s="3"/>
      <c r="HGG171" s="3"/>
      <c r="HGH171" s="3"/>
      <c r="HGI171" s="3"/>
      <c r="HGJ171" s="3"/>
      <c r="HGK171" s="3"/>
      <c r="HGL171" s="3"/>
      <c r="HGM171" s="3"/>
      <c r="HGN171" s="3"/>
      <c r="HGO171" s="3"/>
      <c r="HGP171" s="3"/>
      <c r="HGQ171" s="3"/>
      <c r="HGR171" s="3"/>
      <c r="HGS171" s="3"/>
      <c r="HGT171" s="3"/>
      <c r="HGU171" s="3"/>
      <c r="HGV171" s="3"/>
      <c r="HGW171" s="3"/>
      <c r="HGX171" s="3"/>
      <c r="HGY171" s="3"/>
      <c r="HGZ171" s="3"/>
      <c r="HHA171" s="3"/>
      <c r="HHB171" s="3"/>
      <c r="HHC171" s="3"/>
      <c r="HHD171" s="3"/>
      <c r="HHE171" s="3"/>
      <c r="HHF171" s="3"/>
      <c r="HHG171" s="3"/>
      <c r="HHH171" s="3"/>
      <c r="HHI171" s="3"/>
      <c r="HHJ171" s="3"/>
      <c r="HHK171" s="3"/>
      <c r="HHL171" s="3"/>
      <c r="HHM171" s="3"/>
      <c r="HHN171" s="3"/>
      <c r="HHO171" s="3"/>
      <c r="HHP171" s="3"/>
      <c r="HHQ171" s="3"/>
      <c r="HHR171" s="3"/>
      <c r="HHS171" s="3"/>
      <c r="HHT171" s="3"/>
      <c r="HHU171" s="3"/>
      <c r="HHV171" s="3"/>
      <c r="HHW171" s="3"/>
      <c r="HHX171" s="3"/>
      <c r="HHY171" s="3"/>
      <c r="HHZ171" s="3"/>
      <c r="HIA171" s="3"/>
      <c r="HIB171" s="3"/>
      <c r="HIC171" s="3"/>
      <c r="HID171" s="3"/>
      <c r="HIE171" s="3"/>
      <c r="HIF171" s="3"/>
      <c r="HIG171" s="3"/>
      <c r="HIH171" s="3"/>
      <c r="HII171" s="3"/>
      <c r="HIJ171" s="3"/>
      <c r="HIK171" s="3"/>
      <c r="HIL171" s="3"/>
      <c r="HIM171" s="3"/>
      <c r="HIN171" s="3"/>
      <c r="HIO171" s="3"/>
      <c r="HIP171" s="3"/>
      <c r="HIQ171" s="3"/>
      <c r="HIR171" s="3"/>
      <c r="HIS171" s="3"/>
      <c r="HIT171" s="3"/>
      <c r="HIU171" s="3"/>
      <c r="HIV171" s="3"/>
      <c r="HIW171" s="3"/>
      <c r="HIX171" s="3"/>
      <c r="HIY171" s="3"/>
      <c r="HIZ171" s="3"/>
      <c r="HJA171" s="3"/>
      <c r="HJB171" s="3"/>
      <c r="HJC171" s="3"/>
      <c r="HJD171" s="3"/>
      <c r="HJE171" s="3"/>
      <c r="HJF171" s="3"/>
      <c r="HJG171" s="3"/>
      <c r="HJH171" s="3"/>
      <c r="HJI171" s="3"/>
      <c r="HJJ171" s="3"/>
      <c r="HJK171" s="3"/>
      <c r="HJL171" s="3"/>
      <c r="HJM171" s="3"/>
      <c r="HJN171" s="3"/>
      <c r="HJO171" s="3"/>
      <c r="HJP171" s="3"/>
      <c r="HJQ171" s="3"/>
      <c r="HJR171" s="3"/>
      <c r="HJS171" s="3"/>
      <c r="HJT171" s="3"/>
      <c r="HJU171" s="3"/>
      <c r="HJV171" s="3"/>
      <c r="HJW171" s="3"/>
      <c r="HJX171" s="3"/>
      <c r="HJY171" s="3"/>
      <c r="HJZ171" s="3"/>
      <c r="HKA171" s="3"/>
      <c r="HKB171" s="3"/>
      <c r="HKC171" s="3"/>
      <c r="HKD171" s="3"/>
      <c r="HKE171" s="3"/>
      <c r="HKF171" s="3"/>
      <c r="HKG171" s="3"/>
      <c r="HKH171" s="3"/>
      <c r="HKI171" s="3"/>
      <c r="HKJ171" s="3"/>
      <c r="HKK171" s="3"/>
      <c r="HKL171" s="3"/>
      <c r="HKM171" s="3"/>
      <c r="HKN171" s="3"/>
      <c r="HKO171" s="3"/>
      <c r="HKP171" s="3"/>
      <c r="HKQ171" s="3"/>
      <c r="HKR171" s="3"/>
      <c r="HKS171" s="3"/>
      <c r="HKT171" s="3"/>
      <c r="HKU171" s="3"/>
      <c r="HKV171" s="3"/>
      <c r="HKW171" s="3"/>
      <c r="HKX171" s="3"/>
      <c r="HKY171" s="3"/>
      <c r="HKZ171" s="3"/>
      <c r="HLA171" s="3"/>
      <c r="HLB171" s="3"/>
      <c r="HLC171" s="3"/>
      <c r="HLD171" s="3"/>
      <c r="HLE171" s="3"/>
      <c r="HLF171" s="3"/>
      <c r="HLG171" s="3"/>
      <c r="HLH171" s="3"/>
      <c r="HLI171" s="3"/>
      <c r="HLJ171" s="3"/>
      <c r="HLK171" s="3"/>
      <c r="HLL171" s="3"/>
      <c r="HLM171" s="3"/>
      <c r="HLN171" s="3"/>
      <c r="HLO171" s="3"/>
      <c r="HLP171" s="3"/>
      <c r="HLQ171" s="3"/>
      <c r="HLR171" s="3"/>
      <c r="HLS171" s="3"/>
      <c r="HLT171" s="3"/>
      <c r="HLU171" s="3"/>
      <c r="HLV171" s="3"/>
      <c r="HLW171" s="3"/>
      <c r="HLX171" s="3"/>
      <c r="HLY171" s="3"/>
      <c r="HLZ171" s="3"/>
      <c r="HMA171" s="3"/>
      <c r="HMB171" s="3"/>
      <c r="HMC171" s="3"/>
      <c r="HMD171" s="3"/>
      <c r="HME171" s="3"/>
      <c r="HMF171" s="3"/>
      <c r="HMG171" s="3"/>
      <c r="HMH171" s="3"/>
      <c r="HMI171" s="3"/>
      <c r="HMJ171" s="3"/>
      <c r="HMK171" s="3"/>
      <c r="HML171" s="3"/>
      <c r="HMM171" s="3"/>
      <c r="HMN171" s="3"/>
      <c r="HMO171" s="3"/>
      <c r="HMP171" s="3"/>
      <c r="HMQ171" s="3"/>
      <c r="HMR171" s="3"/>
      <c r="HMS171" s="3"/>
      <c r="HMT171" s="3"/>
      <c r="HMU171" s="3"/>
      <c r="HMV171" s="3"/>
      <c r="HMW171" s="3"/>
      <c r="HMX171" s="3"/>
      <c r="HMY171" s="3"/>
      <c r="HMZ171" s="3"/>
      <c r="HNA171" s="3"/>
      <c r="HNB171" s="3"/>
      <c r="HNC171" s="3"/>
      <c r="HND171" s="3"/>
      <c r="HNE171" s="3"/>
      <c r="HNF171" s="3"/>
      <c r="HNG171" s="3"/>
      <c r="HNH171" s="3"/>
      <c r="HNI171" s="3"/>
      <c r="HNJ171" s="3"/>
      <c r="HNK171" s="3"/>
      <c r="HNL171" s="3"/>
      <c r="HNM171" s="3"/>
      <c r="HNN171" s="3"/>
      <c r="HNO171" s="3"/>
      <c r="HNP171" s="3"/>
      <c r="HNQ171" s="3"/>
      <c r="HNR171" s="3"/>
      <c r="HNS171" s="3"/>
      <c r="HNT171" s="3"/>
      <c r="HNU171" s="3"/>
      <c r="HNV171" s="3"/>
      <c r="HNW171" s="3"/>
      <c r="HNX171" s="3"/>
      <c r="HNY171" s="3"/>
      <c r="HNZ171" s="3"/>
      <c r="HOA171" s="3"/>
      <c r="HOB171" s="3"/>
      <c r="HOC171" s="3"/>
      <c r="HOD171" s="3"/>
      <c r="HOE171" s="3"/>
      <c r="HOF171" s="3"/>
      <c r="HOG171" s="3"/>
      <c r="HOH171" s="3"/>
      <c r="HOI171" s="3"/>
      <c r="HOJ171" s="3"/>
      <c r="HOK171" s="3"/>
      <c r="HOL171" s="3"/>
      <c r="HOM171" s="3"/>
      <c r="HON171" s="3"/>
      <c r="HOO171" s="3"/>
      <c r="HOP171" s="3"/>
      <c r="HOQ171" s="3"/>
      <c r="HOR171" s="3"/>
      <c r="HOS171" s="3"/>
      <c r="HOT171" s="3"/>
      <c r="HOU171" s="3"/>
      <c r="HOV171" s="3"/>
      <c r="HOW171" s="3"/>
      <c r="HOX171" s="3"/>
      <c r="HOY171" s="3"/>
      <c r="HOZ171" s="3"/>
      <c r="HPA171" s="3"/>
      <c r="HPB171" s="3"/>
      <c r="HPC171" s="3"/>
      <c r="HPD171" s="3"/>
      <c r="HPE171" s="3"/>
      <c r="HPF171" s="3"/>
      <c r="HPG171" s="3"/>
      <c r="HPH171" s="3"/>
      <c r="HPI171" s="3"/>
      <c r="HPJ171" s="3"/>
      <c r="HPK171" s="3"/>
      <c r="HPL171" s="3"/>
      <c r="HPM171" s="3"/>
      <c r="HPN171" s="3"/>
      <c r="HPO171" s="3"/>
      <c r="HPP171" s="3"/>
      <c r="HPQ171" s="3"/>
      <c r="HPR171" s="3"/>
      <c r="HPS171" s="3"/>
      <c r="HPT171" s="3"/>
      <c r="HPU171" s="3"/>
      <c r="HPV171" s="3"/>
      <c r="HPW171" s="3"/>
      <c r="HPX171" s="3"/>
      <c r="HPY171" s="3"/>
      <c r="HPZ171" s="3"/>
      <c r="HQA171" s="3"/>
      <c r="HQB171" s="3"/>
      <c r="HQC171" s="3"/>
      <c r="HQD171" s="3"/>
      <c r="HQE171" s="3"/>
      <c r="HQF171" s="3"/>
      <c r="HQG171" s="3"/>
      <c r="HQH171" s="3"/>
      <c r="HQI171" s="3"/>
      <c r="HQJ171" s="3"/>
      <c r="HQK171" s="3"/>
      <c r="HQL171" s="3"/>
      <c r="HQM171" s="3"/>
      <c r="HQN171" s="3"/>
      <c r="HQO171" s="3"/>
      <c r="HQP171" s="3"/>
      <c r="HQQ171" s="3"/>
      <c r="HQR171" s="3"/>
      <c r="HQS171" s="3"/>
      <c r="HQT171" s="3"/>
      <c r="HQU171" s="3"/>
      <c r="HQV171" s="3"/>
      <c r="HQW171" s="3"/>
      <c r="HQX171" s="3"/>
      <c r="HQY171" s="3"/>
      <c r="HQZ171" s="3"/>
      <c r="HRA171" s="3"/>
      <c r="HRB171" s="3"/>
      <c r="HRC171" s="3"/>
      <c r="HRD171" s="3"/>
      <c r="HRE171" s="3"/>
      <c r="HRF171" s="3"/>
      <c r="HRG171" s="3"/>
      <c r="HRH171" s="3"/>
      <c r="HRI171" s="3"/>
      <c r="HRJ171" s="3"/>
      <c r="HRK171" s="3"/>
      <c r="HRL171" s="3"/>
      <c r="HRM171" s="3"/>
      <c r="HRN171" s="3"/>
      <c r="HRO171" s="3"/>
      <c r="HRP171" s="3"/>
      <c r="HRQ171" s="3"/>
      <c r="HRR171" s="3"/>
      <c r="HRS171" s="3"/>
      <c r="HRT171" s="3"/>
      <c r="HRU171" s="3"/>
      <c r="HRV171" s="3"/>
      <c r="HRW171" s="3"/>
      <c r="HRX171" s="3"/>
      <c r="HRY171" s="3"/>
      <c r="HRZ171" s="3"/>
      <c r="HSA171" s="3"/>
      <c r="HSB171" s="3"/>
      <c r="HSC171" s="3"/>
      <c r="HSD171" s="3"/>
      <c r="HSE171" s="3"/>
      <c r="HSF171" s="3"/>
      <c r="HSG171" s="3"/>
      <c r="HSH171" s="3"/>
      <c r="HSI171" s="3"/>
      <c r="HSJ171" s="3"/>
      <c r="HSK171" s="3"/>
      <c r="HSL171" s="3"/>
      <c r="HSM171" s="3"/>
      <c r="HSN171" s="3"/>
      <c r="HSO171" s="3"/>
      <c r="HSP171" s="3"/>
      <c r="HSQ171" s="3"/>
      <c r="HSR171" s="3"/>
      <c r="HSS171" s="3"/>
      <c r="HST171" s="3"/>
      <c r="HSU171" s="3"/>
      <c r="HSV171" s="3"/>
      <c r="HSW171" s="3"/>
      <c r="HSX171" s="3"/>
      <c r="HSY171" s="3"/>
      <c r="HSZ171" s="3"/>
      <c r="HTA171" s="3"/>
      <c r="HTB171" s="3"/>
      <c r="HTC171" s="3"/>
      <c r="HTD171" s="3"/>
      <c r="HTE171" s="3"/>
      <c r="HTF171" s="3"/>
      <c r="HTG171" s="3"/>
      <c r="HTH171" s="3"/>
      <c r="HTI171" s="3"/>
      <c r="HTJ171" s="3"/>
      <c r="HTK171" s="3"/>
      <c r="HTL171" s="3"/>
      <c r="HTM171" s="3"/>
      <c r="HTN171" s="3"/>
      <c r="HTO171" s="3"/>
      <c r="HTP171" s="3"/>
      <c r="HTQ171" s="3"/>
      <c r="HTR171" s="3"/>
      <c r="HTS171" s="3"/>
      <c r="HTT171" s="3"/>
      <c r="HTU171" s="3"/>
      <c r="HTV171" s="3"/>
      <c r="HTW171" s="3"/>
      <c r="HTX171" s="3"/>
      <c r="HTY171" s="3"/>
      <c r="HTZ171" s="3"/>
      <c r="HUA171" s="3"/>
      <c r="HUB171" s="3"/>
      <c r="HUC171" s="3"/>
      <c r="HUD171" s="3"/>
      <c r="HUE171" s="3"/>
      <c r="HUF171" s="3"/>
      <c r="HUG171" s="3"/>
      <c r="HUH171" s="3"/>
      <c r="HUI171" s="3"/>
      <c r="HUJ171" s="3"/>
      <c r="HUK171" s="3"/>
      <c r="HUL171" s="3"/>
      <c r="HUM171" s="3"/>
      <c r="HUN171" s="3"/>
      <c r="HUO171" s="3"/>
      <c r="HUP171" s="3"/>
      <c r="HUQ171" s="3"/>
      <c r="HUR171" s="3"/>
      <c r="HUS171" s="3"/>
      <c r="HUT171" s="3"/>
      <c r="HUU171" s="3"/>
      <c r="HUV171" s="3"/>
      <c r="HUW171" s="3"/>
      <c r="HUX171" s="3"/>
      <c r="HUY171" s="3"/>
      <c r="HUZ171" s="3"/>
      <c r="HVA171" s="3"/>
      <c r="HVB171" s="3"/>
      <c r="HVC171" s="3"/>
      <c r="HVD171" s="3"/>
      <c r="HVE171" s="3"/>
      <c r="HVF171" s="3"/>
      <c r="HVG171" s="3"/>
      <c r="HVH171" s="3"/>
      <c r="HVI171" s="3"/>
      <c r="HVJ171" s="3"/>
      <c r="HVK171" s="3"/>
      <c r="HVL171" s="3"/>
      <c r="HVM171" s="3"/>
      <c r="HVN171" s="3"/>
      <c r="HVO171" s="3"/>
      <c r="HVP171" s="3"/>
      <c r="HVQ171" s="3"/>
      <c r="HVR171" s="3"/>
      <c r="HVS171" s="3"/>
      <c r="HVT171" s="3"/>
      <c r="HVU171" s="3"/>
      <c r="HVV171" s="3"/>
      <c r="HVW171" s="3"/>
      <c r="HVX171" s="3"/>
      <c r="HVY171" s="3"/>
      <c r="HVZ171" s="3"/>
      <c r="HWA171" s="3"/>
      <c r="HWB171" s="3"/>
      <c r="HWC171" s="3"/>
      <c r="HWD171" s="3"/>
      <c r="HWE171" s="3"/>
      <c r="HWF171" s="3"/>
      <c r="HWG171" s="3"/>
      <c r="HWH171" s="3"/>
      <c r="HWI171" s="3"/>
      <c r="HWJ171" s="3"/>
      <c r="HWK171" s="3"/>
      <c r="HWL171" s="3"/>
      <c r="HWM171" s="3"/>
      <c r="HWN171" s="3"/>
      <c r="HWO171" s="3"/>
      <c r="HWP171" s="3"/>
      <c r="HWQ171" s="3"/>
      <c r="HWR171" s="3"/>
      <c r="HWS171" s="3"/>
      <c r="HWT171" s="3"/>
      <c r="HWU171" s="3"/>
      <c r="HWV171" s="3"/>
      <c r="HWW171" s="3"/>
      <c r="HWX171" s="3"/>
      <c r="HWY171" s="3"/>
      <c r="HWZ171" s="3"/>
      <c r="HXA171" s="3"/>
      <c r="HXB171" s="3"/>
      <c r="HXC171" s="3"/>
      <c r="HXD171" s="3"/>
      <c r="HXE171" s="3"/>
      <c r="HXF171" s="3"/>
      <c r="HXG171" s="3"/>
      <c r="HXH171" s="3"/>
      <c r="HXI171" s="3"/>
      <c r="HXJ171" s="3"/>
      <c r="HXK171" s="3"/>
      <c r="HXL171" s="3"/>
      <c r="HXM171" s="3"/>
      <c r="HXN171" s="3"/>
      <c r="HXO171" s="3"/>
      <c r="HXP171" s="3"/>
      <c r="HXQ171" s="3"/>
      <c r="HXR171" s="3"/>
      <c r="HXS171" s="3"/>
      <c r="HXT171" s="3"/>
      <c r="HXU171" s="3"/>
      <c r="HXV171" s="3"/>
      <c r="HXW171" s="3"/>
      <c r="HXX171" s="3"/>
      <c r="HXY171" s="3"/>
      <c r="HXZ171" s="3"/>
      <c r="HYA171" s="3"/>
      <c r="HYB171" s="3"/>
      <c r="HYC171" s="3"/>
      <c r="HYD171" s="3"/>
      <c r="HYE171" s="3"/>
      <c r="HYF171" s="3"/>
      <c r="HYG171" s="3"/>
      <c r="HYH171" s="3"/>
      <c r="HYI171" s="3"/>
      <c r="HYJ171" s="3"/>
      <c r="HYK171" s="3"/>
      <c r="HYL171" s="3"/>
      <c r="HYM171" s="3"/>
      <c r="HYN171" s="3"/>
      <c r="HYO171" s="3"/>
      <c r="HYP171" s="3"/>
      <c r="HYQ171" s="3"/>
      <c r="HYR171" s="3"/>
      <c r="HYS171" s="3"/>
      <c r="HYT171" s="3"/>
      <c r="HYU171" s="3"/>
      <c r="HYV171" s="3"/>
      <c r="HYW171" s="3"/>
      <c r="HYX171" s="3"/>
      <c r="HYY171" s="3"/>
      <c r="HYZ171" s="3"/>
      <c r="HZA171" s="3"/>
      <c r="HZB171" s="3"/>
      <c r="HZC171" s="3"/>
      <c r="HZD171" s="3"/>
      <c r="HZE171" s="3"/>
      <c r="HZF171" s="3"/>
      <c r="HZG171" s="3"/>
      <c r="HZH171" s="3"/>
      <c r="HZI171" s="3"/>
      <c r="HZJ171" s="3"/>
      <c r="HZK171" s="3"/>
      <c r="HZL171" s="3"/>
      <c r="HZM171" s="3"/>
      <c r="HZN171" s="3"/>
      <c r="HZO171" s="3"/>
      <c r="HZP171" s="3"/>
      <c r="HZQ171" s="3"/>
      <c r="HZR171" s="3"/>
      <c r="HZS171" s="3"/>
      <c r="HZT171" s="3"/>
      <c r="HZU171" s="3"/>
      <c r="HZV171" s="3"/>
      <c r="HZW171" s="3"/>
      <c r="HZX171" s="3"/>
      <c r="HZY171" s="3"/>
      <c r="HZZ171" s="3"/>
      <c r="IAA171" s="3"/>
      <c r="IAB171" s="3"/>
      <c r="IAC171" s="3"/>
      <c r="IAD171" s="3"/>
      <c r="IAE171" s="3"/>
      <c r="IAF171" s="3"/>
      <c r="IAG171" s="3"/>
      <c r="IAH171" s="3"/>
      <c r="IAI171" s="3"/>
      <c r="IAJ171" s="3"/>
      <c r="IAK171" s="3"/>
      <c r="IAL171" s="3"/>
      <c r="IAM171" s="3"/>
      <c r="IAN171" s="3"/>
      <c r="IAO171" s="3"/>
      <c r="IAP171" s="3"/>
      <c r="IAQ171" s="3"/>
      <c r="IAR171" s="3"/>
      <c r="IAS171" s="3"/>
      <c r="IAT171" s="3"/>
      <c r="IAU171" s="3"/>
      <c r="IAV171" s="3"/>
      <c r="IAW171" s="3"/>
      <c r="IAX171" s="3"/>
      <c r="IAY171" s="3"/>
      <c r="IAZ171" s="3"/>
      <c r="IBA171" s="3"/>
      <c r="IBB171" s="3"/>
      <c r="IBC171" s="3"/>
      <c r="IBD171" s="3"/>
      <c r="IBE171" s="3"/>
      <c r="IBF171" s="3"/>
      <c r="IBG171" s="3"/>
      <c r="IBH171" s="3"/>
      <c r="IBI171" s="3"/>
      <c r="IBJ171" s="3"/>
      <c r="IBK171" s="3"/>
      <c r="IBL171" s="3"/>
      <c r="IBM171" s="3"/>
      <c r="IBN171" s="3"/>
      <c r="IBO171" s="3"/>
      <c r="IBP171" s="3"/>
      <c r="IBQ171" s="3"/>
      <c r="IBR171" s="3"/>
      <c r="IBS171" s="3"/>
      <c r="IBT171" s="3"/>
      <c r="IBU171" s="3"/>
      <c r="IBV171" s="3"/>
      <c r="IBW171" s="3"/>
      <c r="IBX171" s="3"/>
      <c r="IBY171" s="3"/>
      <c r="IBZ171" s="3"/>
      <c r="ICA171" s="3"/>
      <c r="ICB171" s="3"/>
      <c r="ICC171" s="3"/>
      <c r="ICD171" s="3"/>
      <c r="ICE171" s="3"/>
      <c r="ICF171" s="3"/>
      <c r="ICG171" s="3"/>
      <c r="ICH171" s="3"/>
      <c r="ICI171" s="3"/>
      <c r="ICJ171" s="3"/>
      <c r="ICK171" s="3"/>
      <c r="ICL171" s="3"/>
      <c r="ICM171" s="3"/>
      <c r="ICN171" s="3"/>
      <c r="ICO171" s="3"/>
      <c r="ICP171" s="3"/>
      <c r="ICQ171" s="3"/>
      <c r="ICR171" s="3"/>
      <c r="ICS171" s="3"/>
      <c r="ICT171" s="3"/>
      <c r="ICU171" s="3"/>
      <c r="ICV171" s="3"/>
      <c r="ICW171" s="3"/>
      <c r="ICX171" s="3"/>
      <c r="ICY171" s="3"/>
      <c r="ICZ171" s="3"/>
      <c r="IDA171" s="3"/>
      <c r="IDB171" s="3"/>
      <c r="IDC171" s="3"/>
      <c r="IDD171" s="3"/>
      <c r="IDE171" s="3"/>
      <c r="IDF171" s="3"/>
      <c r="IDG171" s="3"/>
      <c r="IDH171" s="3"/>
      <c r="IDI171" s="3"/>
      <c r="IDJ171" s="3"/>
      <c r="IDK171" s="3"/>
      <c r="IDL171" s="3"/>
      <c r="IDM171" s="3"/>
      <c r="IDN171" s="3"/>
      <c r="IDO171" s="3"/>
      <c r="IDP171" s="3"/>
      <c r="IDQ171" s="3"/>
      <c r="IDR171" s="3"/>
      <c r="IDS171" s="3"/>
      <c r="IDT171" s="3"/>
      <c r="IDU171" s="3"/>
      <c r="IDV171" s="3"/>
      <c r="IDW171" s="3"/>
      <c r="IDX171" s="3"/>
      <c r="IDY171" s="3"/>
      <c r="IDZ171" s="3"/>
      <c r="IEA171" s="3"/>
      <c r="IEB171" s="3"/>
      <c r="IEC171" s="3"/>
      <c r="IED171" s="3"/>
      <c r="IEE171" s="3"/>
      <c r="IEF171" s="3"/>
      <c r="IEG171" s="3"/>
      <c r="IEH171" s="3"/>
      <c r="IEI171" s="3"/>
      <c r="IEJ171" s="3"/>
      <c r="IEK171" s="3"/>
      <c r="IEL171" s="3"/>
      <c r="IEM171" s="3"/>
      <c r="IEN171" s="3"/>
      <c r="IEO171" s="3"/>
      <c r="IEP171" s="3"/>
      <c r="IEQ171" s="3"/>
      <c r="IER171" s="3"/>
      <c r="IES171" s="3"/>
      <c r="IET171" s="3"/>
      <c r="IEU171" s="3"/>
      <c r="IEV171" s="3"/>
      <c r="IEW171" s="3"/>
      <c r="IEX171" s="3"/>
      <c r="IEY171" s="3"/>
      <c r="IEZ171" s="3"/>
      <c r="IFA171" s="3"/>
      <c r="IFB171" s="3"/>
      <c r="IFC171" s="3"/>
      <c r="IFD171" s="3"/>
      <c r="IFE171" s="3"/>
      <c r="IFF171" s="3"/>
      <c r="IFG171" s="3"/>
      <c r="IFH171" s="3"/>
      <c r="IFI171" s="3"/>
      <c r="IFJ171" s="3"/>
      <c r="IFK171" s="3"/>
      <c r="IFL171" s="3"/>
      <c r="IFM171" s="3"/>
      <c r="IFN171" s="3"/>
      <c r="IFO171" s="3"/>
      <c r="IFP171" s="3"/>
      <c r="IFQ171" s="3"/>
      <c r="IFR171" s="3"/>
      <c r="IFS171" s="3"/>
      <c r="IFT171" s="3"/>
      <c r="IFU171" s="3"/>
      <c r="IFV171" s="3"/>
      <c r="IFW171" s="3"/>
      <c r="IFX171" s="3"/>
      <c r="IFY171" s="3"/>
      <c r="IFZ171" s="3"/>
      <c r="IGA171" s="3"/>
      <c r="IGB171" s="3"/>
      <c r="IGC171" s="3"/>
      <c r="IGD171" s="3"/>
      <c r="IGE171" s="3"/>
      <c r="IGF171" s="3"/>
      <c r="IGG171" s="3"/>
      <c r="IGH171" s="3"/>
      <c r="IGI171" s="3"/>
      <c r="IGJ171" s="3"/>
      <c r="IGK171" s="3"/>
      <c r="IGL171" s="3"/>
      <c r="IGM171" s="3"/>
      <c r="IGN171" s="3"/>
      <c r="IGO171" s="3"/>
      <c r="IGP171" s="3"/>
      <c r="IGQ171" s="3"/>
      <c r="IGR171" s="3"/>
      <c r="IGS171" s="3"/>
      <c r="IGT171" s="3"/>
      <c r="IGU171" s="3"/>
      <c r="IGV171" s="3"/>
      <c r="IGW171" s="3"/>
      <c r="IGX171" s="3"/>
      <c r="IGY171" s="3"/>
      <c r="IGZ171" s="3"/>
      <c r="IHA171" s="3"/>
      <c r="IHB171" s="3"/>
      <c r="IHC171" s="3"/>
      <c r="IHD171" s="3"/>
      <c r="IHE171" s="3"/>
      <c r="IHF171" s="3"/>
      <c r="IHG171" s="3"/>
      <c r="IHH171" s="3"/>
      <c r="IHI171" s="3"/>
      <c r="IHJ171" s="3"/>
      <c r="IHK171" s="3"/>
      <c r="IHL171" s="3"/>
      <c r="IHM171" s="3"/>
      <c r="IHN171" s="3"/>
      <c r="IHO171" s="3"/>
      <c r="IHP171" s="3"/>
      <c r="IHQ171" s="3"/>
      <c r="IHR171" s="3"/>
      <c r="IHS171" s="3"/>
      <c r="IHT171" s="3"/>
      <c r="IHU171" s="3"/>
      <c r="IHV171" s="3"/>
      <c r="IHW171" s="3"/>
      <c r="IHX171" s="3"/>
      <c r="IHY171" s="3"/>
      <c r="IHZ171" s="3"/>
      <c r="IIA171" s="3"/>
      <c r="IIB171" s="3"/>
      <c r="IIC171" s="3"/>
      <c r="IID171" s="3"/>
      <c r="IIE171" s="3"/>
      <c r="IIF171" s="3"/>
      <c r="IIG171" s="3"/>
      <c r="IIH171" s="3"/>
      <c r="III171" s="3"/>
      <c r="IIJ171" s="3"/>
      <c r="IIK171" s="3"/>
      <c r="IIL171" s="3"/>
      <c r="IIM171" s="3"/>
      <c r="IIN171" s="3"/>
      <c r="IIO171" s="3"/>
      <c r="IIP171" s="3"/>
      <c r="IIQ171" s="3"/>
      <c r="IIR171" s="3"/>
      <c r="IIS171" s="3"/>
      <c r="IIT171" s="3"/>
      <c r="IIU171" s="3"/>
      <c r="IIV171" s="3"/>
      <c r="IIW171" s="3"/>
      <c r="IIX171" s="3"/>
      <c r="IIY171" s="3"/>
      <c r="IIZ171" s="3"/>
      <c r="IJA171" s="3"/>
      <c r="IJB171" s="3"/>
      <c r="IJC171" s="3"/>
      <c r="IJD171" s="3"/>
      <c r="IJE171" s="3"/>
      <c r="IJF171" s="3"/>
      <c r="IJG171" s="3"/>
      <c r="IJH171" s="3"/>
      <c r="IJI171" s="3"/>
      <c r="IJJ171" s="3"/>
      <c r="IJK171" s="3"/>
      <c r="IJL171" s="3"/>
      <c r="IJM171" s="3"/>
      <c r="IJN171" s="3"/>
      <c r="IJO171" s="3"/>
      <c r="IJP171" s="3"/>
      <c r="IJQ171" s="3"/>
      <c r="IJR171" s="3"/>
      <c r="IJS171" s="3"/>
      <c r="IJT171" s="3"/>
      <c r="IJU171" s="3"/>
      <c r="IJV171" s="3"/>
      <c r="IJW171" s="3"/>
      <c r="IJX171" s="3"/>
      <c r="IJY171" s="3"/>
      <c r="IJZ171" s="3"/>
      <c r="IKA171" s="3"/>
      <c r="IKB171" s="3"/>
      <c r="IKC171" s="3"/>
      <c r="IKD171" s="3"/>
      <c r="IKE171" s="3"/>
      <c r="IKF171" s="3"/>
      <c r="IKG171" s="3"/>
      <c r="IKH171" s="3"/>
      <c r="IKI171" s="3"/>
      <c r="IKJ171" s="3"/>
      <c r="IKK171" s="3"/>
      <c r="IKL171" s="3"/>
      <c r="IKM171" s="3"/>
      <c r="IKN171" s="3"/>
      <c r="IKO171" s="3"/>
      <c r="IKP171" s="3"/>
      <c r="IKQ171" s="3"/>
      <c r="IKR171" s="3"/>
      <c r="IKS171" s="3"/>
      <c r="IKT171" s="3"/>
      <c r="IKU171" s="3"/>
      <c r="IKV171" s="3"/>
      <c r="IKW171" s="3"/>
      <c r="IKX171" s="3"/>
      <c r="IKY171" s="3"/>
      <c r="IKZ171" s="3"/>
      <c r="ILA171" s="3"/>
      <c r="ILB171" s="3"/>
      <c r="ILC171" s="3"/>
      <c r="ILD171" s="3"/>
      <c r="ILE171" s="3"/>
      <c r="ILF171" s="3"/>
      <c r="ILG171" s="3"/>
      <c r="ILH171" s="3"/>
      <c r="ILI171" s="3"/>
      <c r="ILJ171" s="3"/>
      <c r="ILK171" s="3"/>
      <c r="ILL171" s="3"/>
      <c r="ILM171" s="3"/>
      <c r="ILN171" s="3"/>
      <c r="ILO171" s="3"/>
      <c r="ILP171" s="3"/>
      <c r="ILQ171" s="3"/>
      <c r="ILR171" s="3"/>
      <c r="ILS171" s="3"/>
      <c r="ILT171" s="3"/>
      <c r="ILU171" s="3"/>
      <c r="ILV171" s="3"/>
      <c r="ILW171" s="3"/>
      <c r="ILX171" s="3"/>
      <c r="ILY171" s="3"/>
      <c r="ILZ171" s="3"/>
      <c r="IMA171" s="3"/>
      <c r="IMB171" s="3"/>
      <c r="IMC171" s="3"/>
      <c r="IMD171" s="3"/>
      <c r="IME171" s="3"/>
      <c r="IMF171" s="3"/>
      <c r="IMG171" s="3"/>
      <c r="IMH171" s="3"/>
      <c r="IMI171" s="3"/>
      <c r="IMJ171" s="3"/>
      <c r="IMK171" s="3"/>
      <c r="IML171" s="3"/>
      <c r="IMM171" s="3"/>
      <c r="IMN171" s="3"/>
      <c r="IMO171" s="3"/>
      <c r="IMP171" s="3"/>
      <c r="IMQ171" s="3"/>
      <c r="IMR171" s="3"/>
      <c r="IMS171" s="3"/>
      <c r="IMT171" s="3"/>
      <c r="IMU171" s="3"/>
      <c r="IMV171" s="3"/>
      <c r="IMW171" s="3"/>
      <c r="IMX171" s="3"/>
      <c r="IMY171" s="3"/>
      <c r="IMZ171" s="3"/>
      <c r="INA171" s="3"/>
      <c r="INB171" s="3"/>
      <c r="INC171" s="3"/>
      <c r="IND171" s="3"/>
      <c r="INE171" s="3"/>
      <c r="INF171" s="3"/>
      <c r="ING171" s="3"/>
      <c r="INH171" s="3"/>
      <c r="INI171" s="3"/>
      <c r="INJ171" s="3"/>
      <c r="INK171" s="3"/>
      <c r="INL171" s="3"/>
      <c r="INM171" s="3"/>
      <c r="INN171" s="3"/>
      <c r="INO171" s="3"/>
      <c r="INP171" s="3"/>
      <c r="INQ171" s="3"/>
      <c r="INR171" s="3"/>
      <c r="INS171" s="3"/>
      <c r="INT171" s="3"/>
      <c r="INU171" s="3"/>
      <c r="INV171" s="3"/>
      <c r="INW171" s="3"/>
      <c r="INX171" s="3"/>
      <c r="INY171" s="3"/>
      <c r="INZ171" s="3"/>
      <c r="IOA171" s="3"/>
      <c r="IOB171" s="3"/>
      <c r="IOC171" s="3"/>
      <c r="IOD171" s="3"/>
      <c r="IOE171" s="3"/>
      <c r="IOF171" s="3"/>
      <c r="IOG171" s="3"/>
      <c r="IOH171" s="3"/>
      <c r="IOI171" s="3"/>
      <c r="IOJ171" s="3"/>
      <c r="IOK171" s="3"/>
      <c r="IOL171" s="3"/>
      <c r="IOM171" s="3"/>
      <c r="ION171" s="3"/>
      <c r="IOO171" s="3"/>
      <c r="IOP171" s="3"/>
      <c r="IOQ171" s="3"/>
      <c r="IOR171" s="3"/>
      <c r="IOS171" s="3"/>
      <c r="IOT171" s="3"/>
      <c r="IOU171" s="3"/>
      <c r="IOV171" s="3"/>
      <c r="IOW171" s="3"/>
      <c r="IOX171" s="3"/>
      <c r="IOY171" s="3"/>
      <c r="IOZ171" s="3"/>
      <c r="IPA171" s="3"/>
      <c r="IPB171" s="3"/>
      <c r="IPC171" s="3"/>
      <c r="IPD171" s="3"/>
      <c r="IPE171" s="3"/>
      <c r="IPF171" s="3"/>
      <c r="IPG171" s="3"/>
      <c r="IPH171" s="3"/>
      <c r="IPI171" s="3"/>
      <c r="IPJ171" s="3"/>
      <c r="IPK171" s="3"/>
      <c r="IPL171" s="3"/>
      <c r="IPM171" s="3"/>
      <c r="IPN171" s="3"/>
      <c r="IPO171" s="3"/>
      <c r="IPP171" s="3"/>
      <c r="IPQ171" s="3"/>
      <c r="IPR171" s="3"/>
      <c r="IPS171" s="3"/>
      <c r="IPT171" s="3"/>
      <c r="IPU171" s="3"/>
      <c r="IPV171" s="3"/>
      <c r="IPW171" s="3"/>
      <c r="IPX171" s="3"/>
      <c r="IPY171" s="3"/>
      <c r="IPZ171" s="3"/>
      <c r="IQA171" s="3"/>
      <c r="IQB171" s="3"/>
      <c r="IQC171" s="3"/>
      <c r="IQD171" s="3"/>
      <c r="IQE171" s="3"/>
      <c r="IQF171" s="3"/>
      <c r="IQG171" s="3"/>
      <c r="IQH171" s="3"/>
      <c r="IQI171" s="3"/>
      <c r="IQJ171" s="3"/>
      <c r="IQK171" s="3"/>
      <c r="IQL171" s="3"/>
      <c r="IQM171" s="3"/>
      <c r="IQN171" s="3"/>
      <c r="IQO171" s="3"/>
      <c r="IQP171" s="3"/>
      <c r="IQQ171" s="3"/>
      <c r="IQR171" s="3"/>
      <c r="IQS171" s="3"/>
      <c r="IQT171" s="3"/>
      <c r="IQU171" s="3"/>
      <c r="IQV171" s="3"/>
      <c r="IQW171" s="3"/>
      <c r="IQX171" s="3"/>
      <c r="IQY171" s="3"/>
      <c r="IQZ171" s="3"/>
      <c r="IRA171" s="3"/>
      <c r="IRB171" s="3"/>
      <c r="IRC171" s="3"/>
      <c r="IRD171" s="3"/>
      <c r="IRE171" s="3"/>
      <c r="IRF171" s="3"/>
      <c r="IRG171" s="3"/>
      <c r="IRH171" s="3"/>
      <c r="IRI171" s="3"/>
      <c r="IRJ171" s="3"/>
      <c r="IRK171" s="3"/>
      <c r="IRL171" s="3"/>
      <c r="IRM171" s="3"/>
      <c r="IRN171" s="3"/>
      <c r="IRO171" s="3"/>
      <c r="IRP171" s="3"/>
      <c r="IRQ171" s="3"/>
      <c r="IRR171" s="3"/>
      <c r="IRS171" s="3"/>
      <c r="IRT171" s="3"/>
      <c r="IRU171" s="3"/>
      <c r="IRV171" s="3"/>
      <c r="IRW171" s="3"/>
      <c r="IRX171" s="3"/>
      <c r="IRY171" s="3"/>
      <c r="IRZ171" s="3"/>
      <c r="ISA171" s="3"/>
      <c r="ISB171" s="3"/>
      <c r="ISC171" s="3"/>
      <c r="ISD171" s="3"/>
      <c r="ISE171" s="3"/>
      <c r="ISF171" s="3"/>
      <c r="ISG171" s="3"/>
      <c r="ISH171" s="3"/>
      <c r="ISI171" s="3"/>
      <c r="ISJ171" s="3"/>
      <c r="ISK171" s="3"/>
      <c r="ISL171" s="3"/>
      <c r="ISM171" s="3"/>
      <c r="ISN171" s="3"/>
      <c r="ISO171" s="3"/>
      <c r="ISP171" s="3"/>
      <c r="ISQ171" s="3"/>
      <c r="ISR171" s="3"/>
      <c r="ISS171" s="3"/>
      <c r="IST171" s="3"/>
      <c r="ISU171" s="3"/>
      <c r="ISV171" s="3"/>
      <c r="ISW171" s="3"/>
      <c r="ISX171" s="3"/>
      <c r="ISY171" s="3"/>
      <c r="ISZ171" s="3"/>
      <c r="ITA171" s="3"/>
      <c r="ITB171" s="3"/>
      <c r="ITC171" s="3"/>
      <c r="ITD171" s="3"/>
      <c r="ITE171" s="3"/>
      <c r="ITF171" s="3"/>
      <c r="ITG171" s="3"/>
      <c r="ITH171" s="3"/>
      <c r="ITI171" s="3"/>
      <c r="ITJ171" s="3"/>
      <c r="ITK171" s="3"/>
      <c r="ITL171" s="3"/>
      <c r="ITM171" s="3"/>
      <c r="ITN171" s="3"/>
      <c r="ITO171" s="3"/>
      <c r="ITP171" s="3"/>
      <c r="ITQ171" s="3"/>
      <c r="ITR171" s="3"/>
      <c r="ITS171" s="3"/>
      <c r="ITT171" s="3"/>
      <c r="ITU171" s="3"/>
      <c r="ITV171" s="3"/>
      <c r="ITW171" s="3"/>
      <c r="ITX171" s="3"/>
      <c r="ITY171" s="3"/>
      <c r="ITZ171" s="3"/>
      <c r="IUA171" s="3"/>
      <c r="IUB171" s="3"/>
      <c r="IUC171" s="3"/>
      <c r="IUD171" s="3"/>
      <c r="IUE171" s="3"/>
      <c r="IUF171" s="3"/>
      <c r="IUG171" s="3"/>
      <c r="IUH171" s="3"/>
      <c r="IUI171" s="3"/>
      <c r="IUJ171" s="3"/>
      <c r="IUK171" s="3"/>
      <c r="IUL171" s="3"/>
      <c r="IUM171" s="3"/>
      <c r="IUN171" s="3"/>
      <c r="IUO171" s="3"/>
      <c r="IUP171" s="3"/>
      <c r="IUQ171" s="3"/>
      <c r="IUR171" s="3"/>
      <c r="IUS171" s="3"/>
      <c r="IUT171" s="3"/>
      <c r="IUU171" s="3"/>
      <c r="IUV171" s="3"/>
      <c r="IUW171" s="3"/>
      <c r="IUX171" s="3"/>
      <c r="IUY171" s="3"/>
      <c r="IUZ171" s="3"/>
      <c r="IVA171" s="3"/>
      <c r="IVB171" s="3"/>
      <c r="IVC171" s="3"/>
      <c r="IVD171" s="3"/>
      <c r="IVE171" s="3"/>
      <c r="IVF171" s="3"/>
      <c r="IVG171" s="3"/>
      <c r="IVH171" s="3"/>
      <c r="IVI171" s="3"/>
      <c r="IVJ171" s="3"/>
      <c r="IVK171" s="3"/>
      <c r="IVL171" s="3"/>
      <c r="IVM171" s="3"/>
      <c r="IVN171" s="3"/>
      <c r="IVO171" s="3"/>
      <c r="IVP171" s="3"/>
      <c r="IVQ171" s="3"/>
      <c r="IVR171" s="3"/>
      <c r="IVS171" s="3"/>
      <c r="IVT171" s="3"/>
      <c r="IVU171" s="3"/>
      <c r="IVV171" s="3"/>
      <c r="IVW171" s="3"/>
      <c r="IVX171" s="3"/>
      <c r="IVY171" s="3"/>
      <c r="IVZ171" s="3"/>
      <c r="IWA171" s="3"/>
      <c r="IWB171" s="3"/>
      <c r="IWC171" s="3"/>
      <c r="IWD171" s="3"/>
      <c r="IWE171" s="3"/>
      <c r="IWF171" s="3"/>
      <c r="IWG171" s="3"/>
      <c r="IWH171" s="3"/>
      <c r="IWI171" s="3"/>
      <c r="IWJ171" s="3"/>
      <c r="IWK171" s="3"/>
      <c r="IWL171" s="3"/>
      <c r="IWM171" s="3"/>
      <c r="IWN171" s="3"/>
      <c r="IWO171" s="3"/>
      <c r="IWP171" s="3"/>
      <c r="IWQ171" s="3"/>
      <c r="IWR171" s="3"/>
      <c r="IWS171" s="3"/>
      <c r="IWT171" s="3"/>
      <c r="IWU171" s="3"/>
      <c r="IWV171" s="3"/>
      <c r="IWW171" s="3"/>
      <c r="IWX171" s="3"/>
      <c r="IWY171" s="3"/>
      <c r="IWZ171" s="3"/>
      <c r="IXA171" s="3"/>
      <c r="IXB171" s="3"/>
      <c r="IXC171" s="3"/>
      <c r="IXD171" s="3"/>
      <c r="IXE171" s="3"/>
      <c r="IXF171" s="3"/>
      <c r="IXG171" s="3"/>
      <c r="IXH171" s="3"/>
      <c r="IXI171" s="3"/>
      <c r="IXJ171" s="3"/>
      <c r="IXK171" s="3"/>
      <c r="IXL171" s="3"/>
      <c r="IXM171" s="3"/>
      <c r="IXN171" s="3"/>
      <c r="IXO171" s="3"/>
      <c r="IXP171" s="3"/>
      <c r="IXQ171" s="3"/>
      <c r="IXR171" s="3"/>
      <c r="IXS171" s="3"/>
      <c r="IXT171" s="3"/>
      <c r="IXU171" s="3"/>
      <c r="IXV171" s="3"/>
      <c r="IXW171" s="3"/>
      <c r="IXX171" s="3"/>
      <c r="IXY171" s="3"/>
      <c r="IXZ171" s="3"/>
      <c r="IYA171" s="3"/>
      <c r="IYB171" s="3"/>
      <c r="IYC171" s="3"/>
      <c r="IYD171" s="3"/>
      <c r="IYE171" s="3"/>
      <c r="IYF171" s="3"/>
      <c r="IYG171" s="3"/>
      <c r="IYH171" s="3"/>
      <c r="IYI171" s="3"/>
      <c r="IYJ171" s="3"/>
      <c r="IYK171" s="3"/>
      <c r="IYL171" s="3"/>
      <c r="IYM171" s="3"/>
      <c r="IYN171" s="3"/>
      <c r="IYO171" s="3"/>
      <c r="IYP171" s="3"/>
      <c r="IYQ171" s="3"/>
      <c r="IYR171" s="3"/>
      <c r="IYS171" s="3"/>
      <c r="IYT171" s="3"/>
      <c r="IYU171" s="3"/>
      <c r="IYV171" s="3"/>
      <c r="IYW171" s="3"/>
      <c r="IYX171" s="3"/>
      <c r="IYY171" s="3"/>
      <c r="IYZ171" s="3"/>
      <c r="IZA171" s="3"/>
      <c r="IZB171" s="3"/>
      <c r="IZC171" s="3"/>
      <c r="IZD171" s="3"/>
      <c r="IZE171" s="3"/>
      <c r="IZF171" s="3"/>
      <c r="IZG171" s="3"/>
      <c r="IZH171" s="3"/>
      <c r="IZI171" s="3"/>
      <c r="IZJ171" s="3"/>
      <c r="IZK171" s="3"/>
      <c r="IZL171" s="3"/>
      <c r="IZM171" s="3"/>
      <c r="IZN171" s="3"/>
      <c r="IZO171" s="3"/>
      <c r="IZP171" s="3"/>
      <c r="IZQ171" s="3"/>
      <c r="IZR171" s="3"/>
      <c r="IZS171" s="3"/>
      <c r="IZT171" s="3"/>
      <c r="IZU171" s="3"/>
      <c r="IZV171" s="3"/>
      <c r="IZW171" s="3"/>
      <c r="IZX171" s="3"/>
      <c r="IZY171" s="3"/>
      <c r="IZZ171" s="3"/>
      <c r="JAA171" s="3"/>
      <c r="JAB171" s="3"/>
      <c r="JAC171" s="3"/>
      <c r="JAD171" s="3"/>
      <c r="JAE171" s="3"/>
      <c r="JAF171" s="3"/>
      <c r="JAG171" s="3"/>
      <c r="JAH171" s="3"/>
      <c r="JAI171" s="3"/>
      <c r="JAJ171" s="3"/>
      <c r="JAK171" s="3"/>
      <c r="JAL171" s="3"/>
      <c r="JAM171" s="3"/>
      <c r="JAN171" s="3"/>
      <c r="JAO171" s="3"/>
      <c r="JAP171" s="3"/>
      <c r="JAQ171" s="3"/>
      <c r="JAR171" s="3"/>
      <c r="JAS171" s="3"/>
      <c r="JAT171" s="3"/>
      <c r="JAU171" s="3"/>
      <c r="JAV171" s="3"/>
      <c r="JAW171" s="3"/>
      <c r="JAX171" s="3"/>
      <c r="JAY171" s="3"/>
      <c r="JAZ171" s="3"/>
      <c r="JBA171" s="3"/>
      <c r="JBB171" s="3"/>
      <c r="JBC171" s="3"/>
      <c r="JBD171" s="3"/>
      <c r="JBE171" s="3"/>
      <c r="JBF171" s="3"/>
      <c r="JBG171" s="3"/>
      <c r="JBH171" s="3"/>
      <c r="JBI171" s="3"/>
      <c r="JBJ171" s="3"/>
      <c r="JBK171" s="3"/>
      <c r="JBL171" s="3"/>
      <c r="JBM171" s="3"/>
      <c r="JBN171" s="3"/>
      <c r="JBO171" s="3"/>
      <c r="JBP171" s="3"/>
      <c r="JBQ171" s="3"/>
      <c r="JBR171" s="3"/>
      <c r="JBS171" s="3"/>
      <c r="JBT171" s="3"/>
      <c r="JBU171" s="3"/>
      <c r="JBV171" s="3"/>
      <c r="JBW171" s="3"/>
      <c r="JBX171" s="3"/>
      <c r="JBY171" s="3"/>
      <c r="JBZ171" s="3"/>
      <c r="JCA171" s="3"/>
      <c r="JCB171" s="3"/>
      <c r="JCC171" s="3"/>
      <c r="JCD171" s="3"/>
      <c r="JCE171" s="3"/>
      <c r="JCF171" s="3"/>
      <c r="JCG171" s="3"/>
      <c r="JCH171" s="3"/>
      <c r="JCI171" s="3"/>
      <c r="JCJ171" s="3"/>
      <c r="JCK171" s="3"/>
      <c r="JCL171" s="3"/>
      <c r="JCM171" s="3"/>
      <c r="JCN171" s="3"/>
      <c r="JCO171" s="3"/>
      <c r="JCP171" s="3"/>
      <c r="JCQ171" s="3"/>
      <c r="JCR171" s="3"/>
      <c r="JCS171" s="3"/>
      <c r="JCT171" s="3"/>
      <c r="JCU171" s="3"/>
      <c r="JCV171" s="3"/>
      <c r="JCW171" s="3"/>
      <c r="JCX171" s="3"/>
      <c r="JCY171" s="3"/>
      <c r="JCZ171" s="3"/>
      <c r="JDA171" s="3"/>
      <c r="JDB171" s="3"/>
      <c r="JDC171" s="3"/>
      <c r="JDD171" s="3"/>
      <c r="JDE171" s="3"/>
      <c r="JDF171" s="3"/>
      <c r="JDG171" s="3"/>
      <c r="JDH171" s="3"/>
      <c r="JDI171" s="3"/>
      <c r="JDJ171" s="3"/>
      <c r="JDK171" s="3"/>
      <c r="JDL171" s="3"/>
      <c r="JDM171" s="3"/>
      <c r="JDN171" s="3"/>
      <c r="JDO171" s="3"/>
      <c r="JDP171" s="3"/>
      <c r="JDQ171" s="3"/>
      <c r="JDR171" s="3"/>
      <c r="JDS171" s="3"/>
      <c r="JDT171" s="3"/>
      <c r="JDU171" s="3"/>
      <c r="JDV171" s="3"/>
      <c r="JDW171" s="3"/>
      <c r="JDX171" s="3"/>
      <c r="JDY171" s="3"/>
      <c r="JDZ171" s="3"/>
      <c r="JEA171" s="3"/>
      <c r="JEB171" s="3"/>
      <c r="JEC171" s="3"/>
      <c r="JED171" s="3"/>
      <c r="JEE171" s="3"/>
      <c r="JEF171" s="3"/>
      <c r="JEG171" s="3"/>
      <c r="JEH171" s="3"/>
      <c r="JEI171" s="3"/>
      <c r="JEJ171" s="3"/>
      <c r="JEK171" s="3"/>
      <c r="JEL171" s="3"/>
      <c r="JEM171" s="3"/>
      <c r="JEN171" s="3"/>
      <c r="JEO171" s="3"/>
      <c r="JEP171" s="3"/>
      <c r="JEQ171" s="3"/>
      <c r="JER171" s="3"/>
      <c r="JES171" s="3"/>
      <c r="JET171" s="3"/>
      <c r="JEU171" s="3"/>
      <c r="JEV171" s="3"/>
      <c r="JEW171" s="3"/>
      <c r="JEX171" s="3"/>
      <c r="JEY171" s="3"/>
      <c r="JEZ171" s="3"/>
      <c r="JFA171" s="3"/>
      <c r="JFB171" s="3"/>
      <c r="JFC171" s="3"/>
      <c r="JFD171" s="3"/>
      <c r="JFE171" s="3"/>
      <c r="JFF171" s="3"/>
      <c r="JFG171" s="3"/>
      <c r="JFH171" s="3"/>
      <c r="JFI171" s="3"/>
      <c r="JFJ171" s="3"/>
      <c r="JFK171" s="3"/>
      <c r="JFL171" s="3"/>
      <c r="JFM171" s="3"/>
      <c r="JFN171" s="3"/>
      <c r="JFO171" s="3"/>
      <c r="JFP171" s="3"/>
      <c r="JFQ171" s="3"/>
      <c r="JFR171" s="3"/>
      <c r="JFS171" s="3"/>
      <c r="JFT171" s="3"/>
      <c r="JFU171" s="3"/>
      <c r="JFV171" s="3"/>
      <c r="JFW171" s="3"/>
      <c r="JFX171" s="3"/>
      <c r="JFY171" s="3"/>
      <c r="JFZ171" s="3"/>
      <c r="JGA171" s="3"/>
      <c r="JGB171" s="3"/>
      <c r="JGC171" s="3"/>
      <c r="JGD171" s="3"/>
      <c r="JGE171" s="3"/>
      <c r="JGF171" s="3"/>
      <c r="JGG171" s="3"/>
      <c r="JGH171" s="3"/>
      <c r="JGI171" s="3"/>
      <c r="JGJ171" s="3"/>
      <c r="JGK171" s="3"/>
      <c r="JGL171" s="3"/>
      <c r="JGM171" s="3"/>
      <c r="JGN171" s="3"/>
      <c r="JGO171" s="3"/>
      <c r="JGP171" s="3"/>
      <c r="JGQ171" s="3"/>
      <c r="JGR171" s="3"/>
      <c r="JGS171" s="3"/>
      <c r="JGT171" s="3"/>
      <c r="JGU171" s="3"/>
      <c r="JGV171" s="3"/>
      <c r="JGW171" s="3"/>
      <c r="JGX171" s="3"/>
      <c r="JGY171" s="3"/>
      <c r="JGZ171" s="3"/>
      <c r="JHA171" s="3"/>
      <c r="JHB171" s="3"/>
      <c r="JHC171" s="3"/>
      <c r="JHD171" s="3"/>
      <c r="JHE171" s="3"/>
      <c r="JHF171" s="3"/>
      <c r="JHG171" s="3"/>
      <c r="JHH171" s="3"/>
      <c r="JHI171" s="3"/>
      <c r="JHJ171" s="3"/>
      <c r="JHK171" s="3"/>
      <c r="JHL171" s="3"/>
      <c r="JHM171" s="3"/>
      <c r="JHN171" s="3"/>
      <c r="JHO171" s="3"/>
      <c r="JHP171" s="3"/>
      <c r="JHQ171" s="3"/>
      <c r="JHR171" s="3"/>
      <c r="JHS171" s="3"/>
      <c r="JHT171" s="3"/>
      <c r="JHU171" s="3"/>
      <c r="JHV171" s="3"/>
      <c r="JHW171" s="3"/>
      <c r="JHX171" s="3"/>
      <c r="JHY171" s="3"/>
      <c r="JHZ171" s="3"/>
      <c r="JIA171" s="3"/>
      <c r="JIB171" s="3"/>
      <c r="JIC171" s="3"/>
      <c r="JID171" s="3"/>
      <c r="JIE171" s="3"/>
      <c r="JIF171" s="3"/>
      <c r="JIG171" s="3"/>
      <c r="JIH171" s="3"/>
      <c r="JII171" s="3"/>
      <c r="JIJ171" s="3"/>
      <c r="JIK171" s="3"/>
      <c r="JIL171" s="3"/>
      <c r="JIM171" s="3"/>
      <c r="JIN171" s="3"/>
      <c r="JIO171" s="3"/>
      <c r="JIP171" s="3"/>
      <c r="JIQ171" s="3"/>
      <c r="JIR171" s="3"/>
      <c r="JIS171" s="3"/>
      <c r="JIT171" s="3"/>
      <c r="JIU171" s="3"/>
      <c r="JIV171" s="3"/>
      <c r="JIW171" s="3"/>
      <c r="JIX171" s="3"/>
      <c r="JIY171" s="3"/>
      <c r="JIZ171" s="3"/>
      <c r="JJA171" s="3"/>
      <c r="JJB171" s="3"/>
      <c r="JJC171" s="3"/>
      <c r="JJD171" s="3"/>
      <c r="JJE171" s="3"/>
      <c r="JJF171" s="3"/>
      <c r="JJG171" s="3"/>
      <c r="JJH171" s="3"/>
      <c r="JJI171" s="3"/>
      <c r="JJJ171" s="3"/>
      <c r="JJK171" s="3"/>
      <c r="JJL171" s="3"/>
      <c r="JJM171" s="3"/>
      <c r="JJN171" s="3"/>
      <c r="JJO171" s="3"/>
      <c r="JJP171" s="3"/>
      <c r="JJQ171" s="3"/>
      <c r="JJR171" s="3"/>
      <c r="JJS171" s="3"/>
      <c r="JJT171" s="3"/>
      <c r="JJU171" s="3"/>
      <c r="JJV171" s="3"/>
      <c r="JJW171" s="3"/>
      <c r="JJX171" s="3"/>
      <c r="JJY171" s="3"/>
      <c r="JJZ171" s="3"/>
      <c r="JKA171" s="3"/>
      <c r="JKB171" s="3"/>
      <c r="JKC171" s="3"/>
      <c r="JKD171" s="3"/>
      <c r="JKE171" s="3"/>
      <c r="JKF171" s="3"/>
      <c r="JKG171" s="3"/>
      <c r="JKH171" s="3"/>
      <c r="JKI171" s="3"/>
      <c r="JKJ171" s="3"/>
      <c r="JKK171" s="3"/>
      <c r="JKL171" s="3"/>
      <c r="JKM171" s="3"/>
      <c r="JKN171" s="3"/>
      <c r="JKO171" s="3"/>
      <c r="JKP171" s="3"/>
      <c r="JKQ171" s="3"/>
      <c r="JKR171" s="3"/>
      <c r="JKS171" s="3"/>
      <c r="JKT171" s="3"/>
      <c r="JKU171" s="3"/>
      <c r="JKV171" s="3"/>
      <c r="JKW171" s="3"/>
      <c r="JKX171" s="3"/>
      <c r="JKY171" s="3"/>
      <c r="JKZ171" s="3"/>
      <c r="JLA171" s="3"/>
      <c r="JLB171" s="3"/>
      <c r="JLC171" s="3"/>
      <c r="JLD171" s="3"/>
      <c r="JLE171" s="3"/>
      <c r="JLF171" s="3"/>
      <c r="JLG171" s="3"/>
      <c r="JLH171" s="3"/>
      <c r="JLI171" s="3"/>
      <c r="JLJ171" s="3"/>
      <c r="JLK171" s="3"/>
      <c r="JLL171" s="3"/>
      <c r="JLM171" s="3"/>
      <c r="JLN171" s="3"/>
      <c r="JLO171" s="3"/>
      <c r="JLP171" s="3"/>
      <c r="JLQ171" s="3"/>
      <c r="JLR171" s="3"/>
      <c r="JLS171" s="3"/>
      <c r="JLT171" s="3"/>
      <c r="JLU171" s="3"/>
      <c r="JLV171" s="3"/>
      <c r="JLW171" s="3"/>
      <c r="JLX171" s="3"/>
      <c r="JLY171" s="3"/>
      <c r="JLZ171" s="3"/>
      <c r="JMA171" s="3"/>
      <c r="JMB171" s="3"/>
      <c r="JMC171" s="3"/>
      <c r="JMD171" s="3"/>
      <c r="JME171" s="3"/>
      <c r="JMF171" s="3"/>
      <c r="JMG171" s="3"/>
      <c r="JMH171" s="3"/>
      <c r="JMI171" s="3"/>
      <c r="JMJ171" s="3"/>
      <c r="JMK171" s="3"/>
      <c r="JML171" s="3"/>
      <c r="JMM171" s="3"/>
      <c r="JMN171" s="3"/>
      <c r="JMO171" s="3"/>
      <c r="JMP171" s="3"/>
      <c r="JMQ171" s="3"/>
      <c r="JMR171" s="3"/>
      <c r="JMS171" s="3"/>
      <c r="JMT171" s="3"/>
      <c r="JMU171" s="3"/>
      <c r="JMV171" s="3"/>
      <c r="JMW171" s="3"/>
      <c r="JMX171" s="3"/>
      <c r="JMY171" s="3"/>
      <c r="JMZ171" s="3"/>
      <c r="JNA171" s="3"/>
      <c r="JNB171" s="3"/>
      <c r="JNC171" s="3"/>
      <c r="JND171" s="3"/>
      <c r="JNE171" s="3"/>
      <c r="JNF171" s="3"/>
      <c r="JNG171" s="3"/>
      <c r="JNH171" s="3"/>
      <c r="JNI171" s="3"/>
      <c r="JNJ171" s="3"/>
      <c r="JNK171" s="3"/>
      <c r="JNL171" s="3"/>
      <c r="JNM171" s="3"/>
      <c r="JNN171" s="3"/>
      <c r="JNO171" s="3"/>
      <c r="JNP171" s="3"/>
      <c r="JNQ171" s="3"/>
      <c r="JNR171" s="3"/>
      <c r="JNS171" s="3"/>
      <c r="JNT171" s="3"/>
      <c r="JNU171" s="3"/>
      <c r="JNV171" s="3"/>
      <c r="JNW171" s="3"/>
      <c r="JNX171" s="3"/>
      <c r="JNY171" s="3"/>
      <c r="JNZ171" s="3"/>
      <c r="JOA171" s="3"/>
      <c r="JOB171" s="3"/>
      <c r="JOC171" s="3"/>
      <c r="JOD171" s="3"/>
      <c r="JOE171" s="3"/>
      <c r="JOF171" s="3"/>
      <c r="JOG171" s="3"/>
      <c r="JOH171" s="3"/>
      <c r="JOI171" s="3"/>
      <c r="JOJ171" s="3"/>
      <c r="JOK171" s="3"/>
      <c r="JOL171" s="3"/>
      <c r="JOM171" s="3"/>
      <c r="JON171" s="3"/>
      <c r="JOO171" s="3"/>
      <c r="JOP171" s="3"/>
      <c r="JOQ171" s="3"/>
      <c r="JOR171" s="3"/>
      <c r="JOS171" s="3"/>
      <c r="JOT171" s="3"/>
      <c r="JOU171" s="3"/>
      <c r="JOV171" s="3"/>
      <c r="JOW171" s="3"/>
      <c r="JOX171" s="3"/>
      <c r="JOY171" s="3"/>
      <c r="JOZ171" s="3"/>
      <c r="JPA171" s="3"/>
      <c r="JPB171" s="3"/>
      <c r="JPC171" s="3"/>
      <c r="JPD171" s="3"/>
      <c r="JPE171" s="3"/>
      <c r="JPF171" s="3"/>
      <c r="JPG171" s="3"/>
      <c r="JPH171" s="3"/>
      <c r="JPI171" s="3"/>
      <c r="JPJ171" s="3"/>
      <c r="JPK171" s="3"/>
      <c r="JPL171" s="3"/>
      <c r="JPM171" s="3"/>
      <c r="JPN171" s="3"/>
      <c r="JPO171" s="3"/>
      <c r="JPP171" s="3"/>
      <c r="JPQ171" s="3"/>
      <c r="JPR171" s="3"/>
      <c r="JPS171" s="3"/>
      <c r="JPT171" s="3"/>
      <c r="JPU171" s="3"/>
      <c r="JPV171" s="3"/>
      <c r="JPW171" s="3"/>
      <c r="JPX171" s="3"/>
      <c r="JPY171" s="3"/>
      <c r="JPZ171" s="3"/>
      <c r="JQA171" s="3"/>
      <c r="JQB171" s="3"/>
      <c r="JQC171" s="3"/>
      <c r="JQD171" s="3"/>
      <c r="JQE171" s="3"/>
      <c r="JQF171" s="3"/>
      <c r="JQG171" s="3"/>
      <c r="JQH171" s="3"/>
      <c r="JQI171" s="3"/>
      <c r="JQJ171" s="3"/>
      <c r="JQK171" s="3"/>
      <c r="JQL171" s="3"/>
      <c r="JQM171" s="3"/>
      <c r="JQN171" s="3"/>
      <c r="JQO171" s="3"/>
      <c r="JQP171" s="3"/>
      <c r="JQQ171" s="3"/>
      <c r="JQR171" s="3"/>
      <c r="JQS171" s="3"/>
      <c r="JQT171" s="3"/>
      <c r="JQU171" s="3"/>
      <c r="JQV171" s="3"/>
      <c r="JQW171" s="3"/>
      <c r="JQX171" s="3"/>
      <c r="JQY171" s="3"/>
      <c r="JQZ171" s="3"/>
      <c r="JRA171" s="3"/>
      <c r="JRB171" s="3"/>
      <c r="JRC171" s="3"/>
      <c r="JRD171" s="3"/>
      <c r="JRE171" s="3"/>
      <c r="JRF171" s="3"/>
      <c r="JRG171" s="3"/>
      <c r="JRH171" s="3"/>
      <c r="JRI171" s="3"/>
      <c r="JRJ171" s="3"/>
      <c r="JRK171" s="3"/>
      <c r="JRL171" s="3"/>
      <c r="JRM171" s="3"/>
      <c r="JRN171" s="3"/>
      <c r="JRO171" s="3"/>
      <c r="JRP171" s="3"/>
      <c r="JRQ171" s="3"/>
      <c r="JRR171" s="3"/>
      <c r="JRS171" s="3"/>
      <c r="JRT171" s="3"/>
      <c r="JRU171" s="3"/>
      <c r="JRV171" s="3"/>
      <c r="JRW171" s="3"/>
      <c r="JRX171" s="3"/>
      <c r="JRY171" s="3"/>
      <c r="JRZ171" s="3"/>
      <c r="JSA171" s="3"/>
      <c r="JSB171" s="3"/>
      <c r="JSC171" s="3"/>
      <c r="JSD171" s="3"/>
      <c r="JSE171" s="3"/>
      <c r="JSF171" s="3"/>
      <c r="JSG171" s="3"/>
      <c r="JSH171" s="3"/>
      <c r="JSI171" s="3"/>
      <c r="JSJ171" s="3"/>
      <c r="JSK171" s="3"/>
      <c r="JSL171" s="3"/>
      <c r="JSM171" s="3"/>
      <c r="JSN171" s="3"/>
      <c r="JSO171" s="3"/>
      <c r="JSP171" s="3"/>
      <c r="JSQ171" s="3"/>
      <c r="JSR171" s="3"/>
      <c r="JSS171" s="3"/>
      <c r="JST171" s="3"/>
      <c r="JSU171" s="3"/>
      <c r="JSV171" s="3"/>
      <c r="JSW171" s="3"/>
      <c r="JSX171" s="3"/>
      <c r="JSY171" s="3"/>
      <c r="JSZ171" s="3"/>
      <c r="JTA171" s="3"/>
      <c r="JTB171" s="3"/>
      <c r="JTC171" s="3"/>
      <c r="JTD171" s="3"/>
      <c r="JTE171" s="3"/>
      <c r="JTF171" s="3"/>
      <c r="JTG171" s="3"/>
      <c r="JTH171" s="3"/>
      <c r="JTI171" s="3"/>
      <c r="JTJ171" s="3"/>
      <c r="JTK171" s="3"/>
      <c r="JTL171" s="3"/>
      <c r="JTM171" s="3"/>
      <c r="JTN171" s="3"/>
      <c r="JTO171" s="3"/>
      <c r="JTP171" s="3"/>
      <c r="JTQ171" s="3"/>
      <c r="JTR171" s="3"/>
      <c r="JTS171" s="3"/>
      <c r="JTT171" s="3"/>
      <c r="JTU171" s="3"/>
      <c r="JTV171" s="3"/>
      <c r="JTW171" s="3"/>
      <c r="JTX171" s="3"/>
      <c r="JTY171" s="3"/>
      <c r="JTZ171" s="3"/>
      <c r="JUA171" s="3"/>
      <c r="JUB171" s="3"/>
      <c r="JUC171" s="3"/>
      <c r="JUD171" s="3"/>
      <c r="JUE171" s="3"/>
      <c r="JUF171" s="3"/>
      <c r="JUG171" s="3"/>
      <c r="JUH171" s="3"/>
      <c r="JUI171" s="3"/>
      <c r="JUJ171" s="3"/>
      <c r="JUK171" s="3"/>
      <c r="JUL171" s="3"/>
      <c r="JUM171" s="3"/>
      <c r="JUN171" s="3"/>
      <c r="JUO171" s="3"/>
      <c r="JUP171" s="3"/>
      <c r="JUQ171" s="3"/>
      <c r="JUR171" s="3"/>
      <c r="JUS171" s="3"/>
      <c r="JUT171" s="3"/>
      <c r="JUU171" s="3"/>
      <c r="JUV171" s="3"/>
      <c r="JUW171" s="3"/>
      <c r="JUX171" s="3"/>
      <c r="JUY171" s="3"/>
      <c r="JUZ171" s="3"/>
      <c r="JVA171" s="3"/>
      <c r="JVB171" s="3"/>
      <c r="JVC171" s="3"/>
      <c r="JVD171" s="3"/>
      <c r="JVE171" s="3"/>
      <c r="JVF171" s="3"/>
      <c r="JVG171" s="3"/>
      <c r="JVH171" s="3"/>
      <c r="JVI171" s="3"/>
      <c r="JVJ171" s="3"/>
      <c r="JVK171" s="3"/>
      <c r="JVL171" s="3"/>
      <c r="JVM171" s="3"/>
      <c r="JVN171" s="3"/>
      <c r="JVO171" s="3"/>
      <c r="JVP171" s="3"/>
      <c r="JVQ171" s="3"/>
      <c r="JVR171" s="3"/>
      <c r="JVS171" s="3"/>
      <c r="JVT171" s="3"/>
      <c r="JVU171" s="3"/>
      <c r="JVV171" s="3"/>
      <c r="JVW171" s="3"/>
      <c r="JVX171" s="3"/>
      <c r="JVY171" s="3"/>
      <c r="JVZ171" s="3"/>
      <c r="JWA171" s="3"/>
      <c r="JWB171" s="3"/>
      <c r="JWC171" s="3"/>
      <c r="JWD171" s="3"/>
      <c r="JWE171" s="3"/>
      <c r="JWF171" s="3"/>
      <c r="JWG171" s="3"/>
      <c r="JWH171" s="3"/>
      <c r="JWI171" s="3"/>
      <c r="JWJ171" s="3"/>
      <c r="JWK171" s="3"/>
      <c r="JWL171" s="3"/>
      <c r="JWM171" s="3"/>
      <c r="JWN171" s="3"/>
      <c r="JWO171" s="3"/>
      <c r="JWP171" s="3"/>
      <c r="JWQ171" s="3"/>
      <c r="JWR171" s="3"/>
      <c r="JWS171" s="3"/>
      <c r="JWT171" s="3"/>
      <c r="JWU171" s="3"/>
      <c r="JWV171" s="3"/>
      <c r="JWW171" s="3"/>
      <c r="JWX171" s="3"/>
      <c r="JWY171" s="3"/>
      <c r="JWZ171" s="3"/>
      <c r="JXA171" s="3"/>
      <c r="JXB171" s="3"/>
      <c r="JXC171" s="3"/>
      <c r="JXD171" s="3"/>
      <c r="JXE171" s="3"/>
      <c r="JXF171" s="3"/>
      <c r="JXG171" s="3"/>
      <c r="JXH171" s="3"/>
      <c r="JXI171" s="3"/>
      <c r="JXJ171" s="3"/>
      <c r="JXK171" s="3"/>
      <c r="JXL171" s="3"/>
      <c r="JXM171" s="3"/>
      <c r="JXN171" s="3"/>
      <c r="JXO171" s="3"/>
      <c r="JXP171" s="3"/>
      <c r="JXQ171" s="3"/>
      <c r="JXR171" s="3"/>
      <c r="JXS171" s="3"/>
      <c r="JXT171" s="3"/>
      <c r="JXU171" s="3"/>
      <c r="JXV171" s="3"/>
      <c r="JXW171" s="3"/>
      <c r="JXX171" s="3"/>
      <c r="JXY171" s="3"/>
      <c r="JXZ171" s="3"/>
      <c r="JYA171" s="3"/>
      <c r="JYB171" s="3"/>
      <c r="JYC171" s="3"/>
      <c r="JYD171" s="3"/>
      <c r="JYE171" s="3"/>
      <c r="JYF171" s="3"/>
      <c r="JYG171" s="3"/>
      <c r="JYH171" s="3"/>
      <c r="JYI171" s="3"/>
      <c r="JYJ171" s="3"/>
      <c r="JYK171" s="3"/>
      <c r="JYL171" s="3"/>
      <c r="JYM171" s="3"/>
      <c r="JYN171" s="3"/>
      <c r="JYO171" s="3"/>
      <c r="JYP171" s="3"/>
      <c r="JYQ171" s="3"/>
      <c r="JYR171" s="3"/>
      <c r="JYS171" s="3"/>
      <c r="JYT171" s="3"/>
      <c r="JYU171" s="3"/>
      <c r="JYV171" s="3"/>
      <c r="JYW171" s="3"/>
      <c r="JYX171" s="3"/>
      <c r="JYY171" s="3"/>
      <c r="JYZ171" s="3"/>
      <c r="JZA171" s="3"/>
      <c r="JZB171" s="3"/>
      <c r="JZC171" s="3"/>
      <c r="JZD171" s="3"/>
      <c r="JZE171" s="3"/>
      <c r="JZF171" s="3"/>
      <c r="JZG171" s="3"/>
      <c r="JZH171" s="3"/>
      <c r="JZI171" s="3"/>
      <c r="JZJ171" s="3"/>
      <c r="JZK171" s="3"/>
      <c r="JZL171" s="3"/>
      <c r="JZM171" s="3"/>
      <c r="JZN171" s="3"/>
      <c r="JZO171" s="3"/>
      <c r="JZP171" s="3"/>
      <c r="JZQ171" s="3"/>
      <c r="JZR171" s="3"/>
      <c r="JZS171" s="3"/>
      <c r="JZT171" s="3"/>
      <c r="JZU171" s="3"/>
      <c r="JZV171" s="3"/>
      <c r="JZW171" s="3"/>
      <c r="JZX171" s="3"/>
      <c r="JZY171" s="3"/>
      <c r="JZZ171" s="3"/>
      <c r="KAA171" s="3"/>
      <c r="KAB171" s="3"/>
      <c r="KAC171" s="3"/>
      <c r="KAD171" s="3"/>
      <c r="KAE171" s="3"/>
      <c r="KAF171" s="3"/>
      <c r="KAG171" s="3"/>
      <c r="KAH171" s="3"/>
      <c r="KAI171" s="3"/>
      <c r="KAJ171" s="3"/>
      <c r="KAK171" s="3"/>
      <c r="KAL171" s="3"/>
      <c r="KAM171" s="3"/>
      <c r="KAN171" s="3"/>
      <c r="KAO171" s="3"/>
      <c r="KAP171" s="3"/>
      <c r="KAQ171" s="3"/>
      <c r="KAR171" s="3"/>
      <c r="KAS171" s="3"/>
      <c r="KAT171" s="3"/>
      <c r="KAU171" s="3"/>
      <c r="KAV171" s="3"/>
      <c r="KAW171" s="3"/>
      <c r="KAX171" s="3"/>
      <c r="KAY171" s="3"/>
      <c r="KAZ171" s="3"/>
      <c r="KBA171" s="3"/>
      <c r="KBB171" s="3"/>
      <c r="KBC171" s="3"/>
      <c r="KBD171" s="3"/>
      <c r="KBE171" s="3"/>
      <c r="KBF171" s="3"/>
      <c r="KBG171" s="3"/>
      <c r="KBH171" s="3"/>
      <c r="KBI171" s="3"/>
      <c r="KBJ171" s="3"/>
      <c r="KBK171" s="3"/>
      <c r="KBL171" s="3"/>
      <c r="KBM171" s="3"/>
      <c r="KBN171" s="3"/>
      <c r="KBO171" s="3"/>
      <c r="KBP171" s="3"/>
      <c r="KBQ171" s="3"/>
      <c r="KBR171" s="3"/>
      <c r="KBS171" s="3"/>
      <c r="KBT171" s="3"/>
      <c r="KBU171" s="3"/>
      <c r="KBV171" s="3"/>
      <c r="KBW171" s="3"/>
      <c r="KBX171" s="3"/>
      <c r="KBY171" s="3"/>
      <c r="KBZ171" s="3"/>
      <c r="KCA171" s="3"/>
      <c r="KCB171" s="3"/>
      <c r="KCC171" s="3"/>
      <c r="KCD171" s="3"/>
      <c r="KCE171" s="3"/>
      <c r="KCF171" s="3"/>
      <c r="KCG171" s="3"/>
      <c r="KCH171" s="3"/>
      <c r="KCI171" s="3"/>
      <c r="KCJ171" s="3"/>
      <c r="KCK171" s="3"/>
      <c r="KCL171" s="3"/>
      <c r="KCM171" s="3"/>
      <c r="KCN171" s="3"/>
      <c r="KCO171" s="3"/>
      <c r="KCP171" s="3"/>
      <c r="KCQ171" s="3"/>
      <c r="KCR171" s="3"/>
      <c r="KCS171" s="3"/>
      <c r="KCT171" s="3"/>
      <c r="KCU171" s="3"/>
      <c r="KCV171" s="3"/>
      <c r="KCW171" s="3"/>
      <c r="KCX171" s="3"/>
      <c r="KCY171" s="3"/>
      <c r="KCZ171" s="3"/>
      <c r="KDA171" s="3"/>
      <c r="KDB171" s="3"/>
      <c r="KDC171" s="3"/>
      <c r="KDD171" s="3"/>
      <c r="KDE171" s="3"/>
      <c r="KDF171" s="3"/>
      <c r="KDG171" s="3"/>
      <c r="KDH171" s="3"/>
      <c r="KDI171" s="3"/>
      <c r="KDJ171" s="3"/>
      <c r="KDK171" s="3"/>
      <c r="KDL171" s="3"/>
      <c r="KDM171" s="3"/>
      <c r="KDN171" s="3"/>
      <c r="KDO171" s="3"/>
      <c r="KDP171" s="3"/>
      <c r="KDQ171" s="3"/>
      <c r="KDR171" s="3"/>
      <c r="KDS171" s="3"/>
      <c r="KDT171" s="3"/>
      <c r="KDU171" s="3"/>
      <c r="KDV171" s="3"/>
      <c r="KDW171" s="3"/>
      <c r="KDX171" s="3"/>
      <c r="KDY171" s="3"/>
      <c r="KDZ171" s="3"/>
      <c r="KEA171" s="3"/>
      <c r="KEB171" s="3"/>
      <c r="KEC171" s="3"/>
      <c r="KED171" s="3"/>
      <c r="KEE171" s="3"/>
      <c r="KEF171" s="3"/>
      <c r="KEG171" s="3"/>
      <c r="KEH171" s="3"/>
      <c r="KEI171" s="3"/>
      <c r="KEJ171" s="3"/>
      <c r="KEK171" s="3"/>
      <c r="KEL171" s="3"/>
      <c r="KEM171" s="3"/>
      <c r="KEN171" s="3"/>
      <c r="KEO171" s="3"/>
      <c r="KEP171" s="3"/>
      <c r="KEQ171" s="3"/>
      <c r="KER171" s="3"/>
      <c r="KES171" s="3"/>
      <c r="KET171" s="3"/>
      <c r="KEU171" s="3"/>
      <c r="KEV171" s="3"/>
      <c r="KEW171" s="3"/>
      <c r="KEX171" s="3"/>
      <c r="KEY171" s="3"/>
      <c r="KEZ171" s="3"/>
      <c r="KFA171" s="3"/>
      <c r="KFB171" s="3"/>
      <c r="KFC171" s="3"/>
      <c r="KFD171" s="3"/>
      <c r="KFE171" s="3"/>
      <c r="KFF171" s="3"/>
      <c r="KFG171" s="3"/>
      <c r="KFH171" s="3"/>
      <c r="KFI171" s="3"/>
      <c r="KFJ171" s="3"/>
      <c r="KFK171" s="3"/>
      <c r="KFL171" s="3"/>
      <c r="KFM171" s="3"/>
      <c r="KFN171" s="3"/>
      <c r="KFO171" s="3"/>
      <c r="KFP171" s="3"/>
      <c r="KFQ171" s="3"/>
      <c r="KFR171" s="3"/>
      <c r="KFS171" s="3"/>
      <c r="KFT171" s="3"/>
      <c r="KFU171" s="3"/>
      <c r="KFV171" s="3"/>
      <c r="KFW171" s="3"/>
      <c r="KFX171" s="3"/>
      <c r="KFY171" s="3"/>
      <c r="KFZ171" s="3"/>
      <c r="KGA171" s="3"/>
      <c r="KGB171" s="3"/>
      <c r="KGC171" s="3"/>
      <c r="KGD171" s="3"/>
      <c r="KGE171" s="3"/>
      <c r="KGF171" s="3"/>
      <c r="KGG171" s="3"/>
      <c r="KGH171" s="3"/>
      <c r="KGI171" s="3"/>
      <c r="KGJ171" s="3"/>
      <c r="KGK171" s="3"/>
      <c r="KGL171" s="3"/>
      <c r="KGM171" s="3"/>
      <c r="KGN171" s="3"/>
      <c r="KGO171" s="3"/>
      <c r="KGP171" s="3"/>
      <c r="KGQ171" s="3"/>
      <c r="KGR171" s="3"/>
      <c r="KGS171" s="3"/>
      <c r="KGT171" s="3"/>
      <c r="KGU171" s="3"/>
      <c r="KGV171" s="3"/>
      <c r="KGW171" s="3"/>
      <c r="KGX171" s="3"/>
      <c r="KGY171" s="3"/>
      <c r="KGZ171" s="3"/>
      <c r="KHA171" s="3"/>
      <c r="KHB171" s="3"/>
      <c r="KHC171" s="3"/>
      <c r="KHD171" s="3"/>
      <c r="KHE171" s="3"/>
      <c r="KHF171" s="3"/>
      <c r="KHG171" s="3"/>
      <c r="KHH171" s="3"/>
      <c r="KHI171" s="3"/>
      <c r="KHJ171" s="3"/>
      <c r="KHK171" s="3"/>
      <c r="KHL171" s="3"/>
      <c r="KHM171" s="3"/>
      <c r="KHN171" s="3"/>
      <c r="KHO171" s="3"/>
      <c r="KHP171" s="3"/>
      <c r="KHQ171" s="3"/>
      <c r="KHR171" s="3"/>
      <c r="KHS171" s="3"/>
      <c r="KHT171" s="3"/>
      <c r="KHU171" s="3"/>
      <c r="KHV171" s="3"/>
      <c r="KHW171" s="3"/>
      <c r="KHX171" s="3"/>
      <c r="KHY171" s="3"/>
      <c r="KHZ171" s="3"/>
      <c r="KIA171" s="3"/>
      <c r="KIB171" s="3"/>
      <c r="KIC171" s="3"/>
      <c r="KID171" s="3"/>
      <c r="KIE171" s="3"/>
      <c r="KIF171" s="3"/>
      <c r="KIG171" s="3"/>
      <c r="KIH171" s="3"/>
      <c r="KII171" s="3"/>
      <c r="KIJ171" s="3"/>
      <c r="KIK171" s="3"/>
      <c r="KIL171" s="3"/>
      <c r="KIM171" s="3"/>
      <c r="KIN171" s="3"/>
      <c r="KIO171" s="3"/>
      <c r="KIP171" s="3"/>
      <c r="KIQ171" s="3"/>
      <c r="KIR171" s="3"/>
      <c r="KIS171" s="3"/>
      <c r="KIT171" s="3"/>
      <c r="KIU171" s="3"/>
      <c r="KIV171" s="3"/>
      <c r="KIW171" s="3"/>
      <c r="KIX171" s="3"/>
      <c r="KIY171" s="3"/>
      <c r="KIZ171" s="3"/>
      <c r="KJA171" s="3"/>
      <c r="KJB171" s="3"/>
      <c r="KJC171" s="3"/>
      <c r="KJD171" s="3"/>
      <c r="KJE171" s="3"/>
      <c r="KJF171" s="3"/>
      <c r="KJG171" s="3"/>
      <c r="KJH171" s="3"/>
      <c r="KJI171" s="3"/>
      <c r="KJJ171" s="3"/>
      <c r="KJK171" s="3"/>
      <c r="KJL171" s="3"/>
      <c r="KJM171" s="3"/>
      <c r="KJN171" s="3"/>
      <c r="KJO171" s="3"/>
      <c r="KJP171" s="3"/>
      <c r="KJQ171" s="3"/>
      <c r="KJR171" s="3"/>
      <c r="KJS171" s="3"/>
      <c r="KJT171" s="3"/>
      <c r="KJU171" s="3"/>
      <c r="KJV171" s="3"/>
      <c r="KJW171" s="3"/>
      <c r="KJX171" s="3"/>
      <c r="KJY171" s="3"/>
      <c r="KJZ171" s="3"/>
      <c r="KKA171" s="3"/>
      <c r="KKB171" s="3"/>
      <c r="KKC171" s="3"/>
      <c r="KKD171" s="3"/>
      <c r="KKE171" s="3"/>
      <c r="KKF171" s="3"/>
      <c r="KKG171" s="3"/>
      <c r="KKH171" s="3"/>
      <c r="KKI171" s="3"/>
      <c r="KKJ171" s="3"/>
      <c r="KKK171" s="3"/>
      <c r="KKL171" s="3"/>
      <c r="KKM171" s="3"/>
      <c r="KKN171" s="3"/>
      <c r="KKO171" s="3"/>
      <c r="KKP171" s="3"/>
      <c r="KKQ171" s="3"/>
      <c r="KKR171" s="3"/>
      <c r="KKS171" s="3"/>
      <c r="KKT171" s="3"/>
      <c r="KKU171" s="3"/>
      <c r="KKV171" s="3"/>
      <c r="KKW171" s="3"/>
      <c r="KKX171" s="3"/>
      <c r="KKY171" s="3"/>
      <c r="KKZ171" s="3"/>
      <c r="KLA171" s="3"/>
      <c r="KLB171" s="3"/>
      <c r="KLC171" s="3"/>
      <c r="KLD171" s="3"/>
      <c r="KLE171" s="3"/>
      <c r="KLF171" s="3"/>
      <c r="KLG171" s="3"/>
      <c r="KLH171" s="3"/>
      <c r="KLI171" s="3"/>
      <c r="KLJ171" s="3"/>
      <c r="KLK171" s="3"/>
      <c r="KLL171" s="3"/>
      <c r="KLM171" s="3"/>
      <c r="KLN171" s="3"/>
      <c r="KLO171" s="3"/>
      <c r="KLP171" s="3"/>
      <c r="KLQ171" s="3"/>
      <c r="KLR171" s="3"/>
      <c r="KLS171" s="3"/>
      <c r="KLT171" s="3"/>
      <c r="KLU171" s="3"/>
      <c r="KLV171" s="3"/>
      <c r="KLW171" s="3"/>
      <c r="KLX171" s="3"/>
      <c r="KLY171" s="3"/>
      <c r="KLZ171" s="3"/>
      <c r="KMA171" s="3"/>
      <c r="KMB171" s="3"/>
      <c r="KMC171" s="3"/>
      <c r="KMD171" s="3"/>
      <c r="KME171" s="3"/>
      <c r="KMF171" s="3"/>
      <c r="KMG171" s="3"/>
      <c r="KMH171" s="3"/>
      <c r="KMI171" s="3"/>
      <c r="KMJ171" s="3"/>
      <c r="KMK171" s="3"/>
      <c r="KML171" s="3"/>
      <c r="KMM171" s="3"/>
      <c r="KMN171" s="3"/>
      <c r="KMO171" s="3"/>
      <c r="KMP171" s="3"/>
      <c r="KMQ171" s="3"/>
      <c r="KMR171" s="3"/>
      <c r="KMS171" s="3"/>
      <c r="KMT171" s="3"/>
      <c r="KMU171" s="3"/>
      <c r="KMV171" s="3"/>
      <c r="KMW171" s="3"/>
      <c r="KMX171" s="3"/>
      <c r="KMY171" s="3"/>
      <c r="KMZ171" s="3"/>
      <c r="KNA171" s="3"/>
      <c r="KNB171" s="3"/>
      <c r="KNC171" s="3"/>
      <c r="KND171" s="3"/>
      <c r="KNE171" s="3"/>
      <c r="KNF171" s="3"/>
      <c r="KNG171" s="3"/>
      <c r="KNH171" s="3"/>
      <c r="KNI171" s="3"/>
      <c r="KNJ171" s="3"/>
      <c r="KNK171" s="3"/>
      <c r="KNL171" s="3"/>
      <c r="KNM171" s="3"/>
      <c r="KNN171" s="3"/>
      <c r="KNO171" s="3"/>
      <c r="KNP171" s="3"/>
      <c r="KNQ171" s="3"/>
      <c r="KNR171" s="3"/>
      <c r="KNS171" s="3"/>
      <c r="KNT171" s="3"/>
      <c r="KNU171" s="3"/>
      <c r="KNV171" s="3"/>
      <c r="KNW171" s="3"/>
      <c r="KNX171" s="3"/>
      <c r="KNY171" s="3"/>
      <c r="KNZ171" s="3"/>
      <c r="KOA171" s="3"/>
      <c r="KOB171" s="3"/>
      <c r="KOC171" s="3"/>
      <c r="KOD171" s="3"/>
      <c r="KOE171" s="3"/>
      <c r="KOF171" s="3"/>
      <c r="KOG171" s="3"/>
      <c r="KOH171" s="3"/>
      <c r="KOI171" s="3"/>
      <c r="KOJ171" s="3"/>
      <c r="KOK171" s="3"/>
      <c r="KOL171" s="3"/>
      <c r="KOM171" s="3"/>
      <c r="KON171" s="3"/>
      <c r="KOO171" s="3"/>
      <c r="KOP171" s="3"/>
      <c r="KOQ171" s="3"/>
      <c r="KOR171" s="3"/>
      <c r="KOS171" s="3"/>
      <c r="KOT171" s="3"/>
      <c r="KOU171" s="3"/>
      <c r="KOV171" s="3"/>
      <c r="KOW171" s="3"/>
      <c r="KOX171" s="3"/>
      <c r="KOY171" s="3"/>
      <c r="KOZ171" s="3"/>
      <c r="KPA171" s="3"/>
      <c r="KPB171" s="3"/>
      <c r="KPC171" s="3"/>
      <c r="KPD171" s="3"/>
      <c r="KPE171" s="3"/>
      <c r="KPF171" s="3"/>
      <c r="KPG171" s="3"/>
      <c r="KPH171" s="3"/>
      <c r="KPI171" s="3"/>
      <c r="KPJ171" s="3"/>
      <c r="KPK171" s="3"/>
      <c r="KPL171" s="3"/>
      <c r="KPM171" s="3"/>
      <c r="KPN171" s="3"/>
      <c r="KPO171" s="3"/>
      <c r="KPP171" s="3"/>
      <c r="KPQ171" s="3"/>
      <c r="KPR171" s="3"/>
      <c r="KPS171" s="3"/>
      <c r="KPT171" s="3"/>
      <c r="KPU171" s="3"/>
      <c r="KPV171" s="3"/>
      <c r="KPW171" s="3"/>
      <c r="KPX171" s="3"/>
      <c r="KPY171" s="3"/>
      <c r="KPZ171" s="3"/>
      <c r="KQA171" s="3"/>
      <c r="KQB171" s="3"/>
      <c r="KQC171" s="3"/>
      <c r="KQD171" s="3"/>
      <c r="KQE171" s="3"/>
      <c r="KQF171" s="3"/>
      <c r="KQG171" s="3"/>
      <c r="KQH171" s="3"/>
      <c r="KQI171" s="3"/>
      <c r="KQJ171" s="3"/>
      <c r="KQK171" s="3"/>
      <c r="KQL171" s="3"/>
      <c r="KQM171" s="3"/>
      <c r="KQN171" s="3"/>
      <c r="KQO171" s="3"/>
      <c r="KQP171" s="3"/>
      <c r="KQQ171" s="3"/>
      <c r="KQR171" s="3"/>
      <c r="KQS171" s="3"/>
      <c r="KQT171" s="3"/>
      <c r="KQU171" s="3"/>
      <c r="KQV171" s="3"/>
      <c r="KQW171" s="3"/>
      <c r="KQX171" s="3"/>
      <c r="KQY171" s="3"/>
      <c r="KQZ171" s="3"/>
      <c r="KRA171" s="3"/>
      <c r="KRB171" s="3"/>
      <c r="KRC171" s="3"/>
      <c r="KRD171" s="3"/>
      <c r="KRE171" s="3"/>
      <c r="KRF171" s="3"/>
      <c r="KRG171" s="3"/>
      <c r="KRH171" s="3"/>
      <c r="KRI171" s="3"/>
      <c r="KRJ171" s="3"/>
      <c r="KRK171" s="3"/>
      <c r="KRL171" s="3"/>
      <c r="KRM171" s="3"/>
      <c r="KRN171" s="3"/>
      <c r="KRO171" s="3"/>
      <c r="KRP171" s="3"/>
      <c r="KRQ171" s="3"/>
      <c r="KRR171" s="3"/>
      <c r="KRS171" s="3"/>
      <c r="KRT171" s="3"/>
      <c r="KRU171" s="3"/>
      <c r="KRV171" s="3"/>
      <c r="KRW171" s="3"/>
      <c r="KRX171" s="3"/>
      <c r="KRY171" s="3"/>
      <c r="KRZ171" s="3"/>
      <c r="KSA171" s="3"/>
      <c r="KSB171" s="3"/>
      <c r="KSC171" s="3"/>
      <c r="KSD171" s="3"/>
      <c r="KSE171" s="3"/>
      <c r="KSF171" s="3"/>
      <c r="KSG171" s="3"/>
      <c r="KSH171" s="3"/>
      <c r="KSI171" s="3"/>
      <c r="KSJ171" s="3"/>
      <c r="KSK171" s="3"/>
      <c r="KSL171" s="3"/>
      <c r="KSM171" s="3"/>
      <c r="KSN171" s="3"/>
      <c r="KSO171" s="3"/>
      <c r="KSP171" s="3"/>
      <c r="KSQ171" s="3"/>
      <c r="KSR171" s="3"/>
      <c r="KSS171" s="3"/>
      <c r="KST171" s="3"/>
      <c r="KSU171" s="3"/>
      <c r="KSV171" s="3"/>
      <c r="KSW171" s="3"/>
      <c r="KSX171" s="3"/>
      <c r="KSY171" s="3"/>
      <c r="KSZ171" s="3"/>
      <c r="KTA171" s="3"/>
      <c r="KTB171" s="3"/>
      <c r="KTC171" s="3"/>
      <c r="KTD171" s="3"/>
      <c r="KTE171" s="3"/>
      <c r="KTF171" s="3"/>
      <c r="KTG171" s="3"/>
      <c r="KTH171" s="3"/>
      <c r="KTI171" s="3"/>
      <c r="KTJ171" s="3"/>
      <c r="KTK171" s="3"/>
      <c r="KTL171" s="3"/>
      <c r="KTM171" s="3"/>
      <c r="KTN171" s="3"/>
      <c r="KTO171" s="3"/>
      <c r="KTP171" s="3"/>
      <c r="KTQ171" s="3"/>
      <c r="KTR171" s="3"/>
      <c r="KTS171" s="3"/>
      <c r="KTT171" s="3"/>
      <c r="KTU171" s="3"/>
      <c r="KTV171" s="3"/>
      <c r="KTW171" s="3"/>
      <c r="KTX171" s="3"/>
      <c r="KTY171" s="3"/>
      <c r="KTZ171" s="3"/>
      <c r="KUA171" s="3"/>
      <c r="KUB171" s="3"/>
      <c r="KUC171" s="3"/>
      <c r="KUD171" s="3"/>
      <c r="KUE171" s="3"/>
      <c r="KUF171" s="3"/>
      <c r="KUG171" s="3"/>
      <c r="KUH171" s="3"/>
      <c r="KUI171" s="3"/>
      <c r="KUJ171" s="3"/>
      <c r="KUK171" s="3"/>
      <c r="KUL171" s="3"/>
      <c r="KUM171" s="3"/>
      <c r="KUN171" s="3"/>
      <c r="KUO171" s="3"/>
      <c r="KUP171" s="3"/>
      <c r="KUQ171" s="3"/>
      <c r="KUR171" s="3"/>
      <c r="KUS171" s="3"/>
      <c r="KUT171" s="3"/>
      <c r="KUU171" s="3"/>
      <c r="KUV171" s="3"/>
      <c r="KUW171" s="3"/>
      <c r="KUX171" s="3"/>
      <c r="KUY171" s="3"/>
      <c r="KUZ171" s="3"/>
      <c r="KVA171" s="3"/>
      <c r="KVB171" s="3"/>
      <c r="KVC171" s="3"/>
      <c r="KVD171" s="3"/>
      <c r="KVE171" s="3"/>
      <c r="KVF171" s="3"/>
      <c r="KVG171" s="3"/>
      <c r="KVH171" s="3"/>
      <c r="KVI171" s="3"/>
      <c r="KVJ171" s="3"/>
      <c r="KVK171" s="3"/>
      <c r="KVL171" s="3"/>
      <c r="KVM171" s="3"/>
      <c r="KVN171" s="3"/>
      <c r="KVO171" s="3"/>
      <c r="KVP171" s="3"/>
      <c r="KVQ171" s="3"/>
      <c r="KVR171" s="3"/>
      <c r="KVS171" s="3"/>
      <c r="KVT171" s="3"/>
      <c r="KVU171" s="3"/>
      <c r="KVV171" s="3"/>
      <c r="KVW171" s="3"/>
      <c r="KVX171" s="3"/>
      <c r="KVY171" s="3"/>
      <c r="KVZ171" s="3"/>
      <c r="KWA171" s="3"/>
      <c r="KWB171" s="3"/>
      <c r="KWC171" s="3"/>
      <c r="KWD171" s="3"/>
      <c r="KWE171" s="3"/>
      <c r="KWF171" s="3"/>
      <c r="KWG171" s="3"/>
      <c r="KWH171" s="3"/>
      <c r="KWI171" s="3"/>
      <c r="KWJ171" s="3"/>
      <c r="KWK171" s="3"/>
      <c r="KWL171" s="3"/>
      <c r="KWM171" s="3"/>
      <c r="KWN171" s="3"/>
      <c r="KWO171" s="3"/>
      <c r="KWP171" s="3"/>
      <c r="KWQ171" s="3"/>
      <c r="KWR171" s="3"/>
      <c r="KWS171" s="3"/>
      <c r="KWT171" s="3"/>
      <c r="KWU171" s="3"/>
      <c r="KWV171" s="3"/>
      <c r="KWW171" s="3"/>
      <c r="KWX171" s="3"/>
      <c r="KWY171" s="3"/>
      <c r="KWZ171" s="3"/>
      <c r="KXA171" s="3"/>
      <c r="KXB171" s="3"/>
      <c r="KXC171" s="3"/>
      <c r="KXD171" s="3"/>
      <c r="KXE171" s="3"/>
      <c r="KXF171" s="3"/>
      <c r="KXG171" s="3"/>
      <c r="KXH171" s="3"/>
      <c r="KXI171" s="3"/>
      <c r="KXJ171" s="3"/>
      <c r="KXK171" s="3"/>
      <c r="KXL171" s="3"/>
      <c r="KXM171" s="3"/>
      <c r="KXN171" s="3"/>
      <c r="KXO171" s="3"/>
      <c r="KXP171" s="3"/>
      <c r="KXQ171" s="3"/>
      <c r="KXR171" s="3"/>
      <c r="KXS171" s="3"/>
      <c r="KXT171" s="3"/>
      <c r="KXU171" s="3"/>
      <c r="KXV171" s="3"/>
      <c r="KXW171" s="3"/>
      <c r="KXX171" s="3"/>
      <c r="KXY171" s="3"/>
      <c r="KXZ171" s="3"/>
      <c r="KYA171" s="3"/>
      <c r="KYB171" s="3"/>
      <c r="KYC171" s="3"/>
      <c r="KYD171" s="3"/>
      <c r="KYE171" s="3"/>
      <c r="KYF171" s="3"/>
      <c r="KYG171" s="3"/>
      <c r="KYH171" s="3"/>
      <c r="KYI171" s="3"/>
      <c r="KYJ171" s="3"/>
      <c r="KYK171" s="3"/>
      <c r="KYL171" s="3"/>
      <c r="KYM171" s="3"/>
      <c r="KYN171" s="3"/>
      <c r="KYO171" s="3"/>
      <c r="KYP171" s="3"/>
      <c r="KYQ171" s="3"/>
      <c r="KYR171" s="3"/>
      <c r="KYS171" s="3"/>
      <c r="KYT171" s="3"/>
      <c r="KYU171" s="3"/>
      <c r="KYV171" s="3"/>
      <c r="KYW171" s="3"/>
      <c r="KYX171" s="3"/>
      <c r="KYY171" s="3"/>
      <c r="KYZ171" s="3"/>
      <c r="KZA171" s="3"/>
      <c r="KZB171" s="3"/>
      <c r="KZC171" s="3"/>
      <c r="KZD171" s="3"/>
      <c r="KZE171" s="3"/>
      <c r="KZF171" s="3"/>
      <c r="KZG171" s="3"/>
      <c r="KZH171" s="3"/>
      <c r="KZI171" s="3"/>
      <c r="KZJ171" s="3"/>
      <c r="KZK171" s="3"/>
      <c r="KZL171" s="3"/>
      <c r="KZM171" s="3"/>
      <c r="KZN171" s="3"/>
      <c r="KZO171" s="3"/>
      <c r="KZP171" s="3"/>
      <c r="KZQ171" s="3"/>
      <c r="KZR171" s="3"/>
      <c r="KZS171" s="3"/>
      <c r="KZT171" s="3"/>
      <c r="KZU171" s="3"/>
      <c r="KZV171" s="3"/>
      <c r="KZW171" s="3"/>
      <c r="KZX171" s="3"/>
      <c r="KZY171" s="3"/>
      <c r="KZZ171" s="3"/>
      <c r="LAA171" s="3"/>
      <c r="LAB171" s="3"/>
      <c r="LAC171" s="3"/>
      <c r="LAD171" s="3"/>
      <c r="LAE171" s="3"/>
      <c r="LAF171" s="3"/>
      <c r="LAG171" s="3"/>
      <c r="LAH171" s="3"/>
      <c r="LAI171" s="3"/>
      <c r="LAJ171" s="3"/>
      <c r="LAK171" s="3"/>
      <c r="LAL171" s="3"/>
      <c r="LAM171" s="3"/>
      <c r="LAN171" s="3"/>
      <c r="LAO171" s="3"/>
      <c r="LAP171" s="3"/>
      <c r="LAQ171" s="3"/>
      <c r="LAR171" s="3"/>
      <c r="LAS171" s="3"/>
      <c r="LAT171" s="3"/>
      <c r="LAU171" s="3"/>
      <c r="LAV171" s="3"/>
      <c r="LAW171" s="3"/>
      <c r="LAX171" s="3"/>
      <c r="LAY171" s="3"/>
      <c r="LAZ171" s="3"/>
      <c r="LBA171" s="3"/>
      <c r="LBB171" s="3"/>
      <c r="LBC171" s="3"/>
      <c r="LBD171" s="3"/>
      <c r="LBE171" s="3"/>
      <c r="LBF171" s="3"/>
      <c r="LBG171" s="3"/>
      <c r="LBH171" s="3"/>
      <c r="LBI171" s="3"/>
      <c r="LBJ171" s="3"/>
      <c r="LBK171" s="3"/>
      <c r="LBL171" s="3"/>
      <c r="LBM171" s="3"/>
      <c r="LBN171" s="3"/>
      <c r="LBO171" s="3"/>
      <c r="LBP171" s="3"/>
      <c r="LBQ171" s="3"/>
      <c r="LBR171" s="3"/>
      <c r="LBS171" s="3"/>
      <c r="LBT171" s="3"/>
      <c r="LBU171" s="3"/>
      <c r="LBV171" s="3"/>
      <c r="LBW171" s="3"/>
      <c r="LBX171" s="3"/>
      <c r="LBY171" s="3"/>
      <c r="LBZ171" s="3"/>
      <c r="LCA171" s="3"/>
      <c r="LCB171" s="3"/>
      <c r="LCC171" s="3"/>
      <c r="LCD171" s="3"/>
      <c r="LCE171" s="3"/>
      <c r="LCF171" s="3"/>
      <c r="LCG171" s="3"/>
      <c r="LCH171" s="3"/>
      <c r="LCI171" s="3"/>
      <c r="LCJ171" s="3"/>
      <c r="LCK171" s="3"/>
      <c r="LCL171" s="3"/>
      <c r="LCM171" s="3"/>
      <c r="LCN171" s="3"/>
      <c r="LCO171" s="3"/>
      <c r="LCP171" s="3"/>
      <c r="LCQ171" s="3"/>
      <c r="LCR171" s="3"/>
      <c r="LCS171" s="3"/>
      <c r="LCT171" s="3"/>
      <c r="LCU171" s="3"/>
      <c r="LCV171" s="3"/>
      <c r="LCW171" s="3"/>
      <c r="LCX171" s="3"/>
      <c r="LCY171" s="3"/>
      <c r="LCZ171" s="3"/>
      <c r="LDA171" s="3"/>
      <c r="LDB171" s="3"/>
      <c r="LDC171" s="3"/>
      <c r="LDD171" s="3"/>
      <c r="LDE171" s="3"/>
      <c r="LDF171" s="3"/>
      <c r="LDG171" s="3"/>
      <c r="LDH171" s="3"/>
      <c r="LDI171" s="3"/>
      <c r="LDJ171" s="3"/>
      <c r="LDK171" s="3"/>
      <c r="LDL171" s="3"/>
      <c r="LDM171" s="3"/>
      <c r="LDN171" s="3"/>
      <c r="LDO171" s="3"/>
      <c r="LDP171" s="3"/>
      <c r="LDQ171" s="3"/>
      <c r="LDR171" s="3"/>
      <c r="LDS171" s="3"/>
      <c r="LDT171" s="3"/>
      <c r="LDU171" s="3"/>
      <c r="LDV171" s="3"/>
      <c r="LDW171" s="3"/>
      <c r="LDX171" s="3"/>
      <c r="LDY171" s="3"/>
      <c r="LDZ171" s="3"/>
      <c r="LEA171" s="3"/>
      <c r="LEB171" s="3"/>
      <c r="LEC171" s="3"/>
      <c r="LED171" s="3"/>
      <c r="LEE171" s="3"/>
      <c r="LEF171" s="3"/>
      <c r="LEG171" s="3"/>
      <c r="LEH171" s="3"/>
      <c r="LEI171" s="3"/>
      <c r="LEJ171" s="3"/>
      <c r="LEK171" s="3"/>
      <c r="LEL171" s="3"/>
      <c r="LEM171" s="3"/>
      <c r="LEN171" s="3"/>
      <c r="LEO171" s="3"/>
      <c r="LEP171" s="3"/>
      <c r="LEQ171" s="3"/>
      <c r="LER171" s="3"/>
      <c r="LES171" s="3"/>
      <c r="LET171" s="3"/>
      <c r="LEU171" s="3"/>
      <c r="LEV171" s="3"/>
      <c r="LEW171" s="3"/>
      <c r="LEX171" s="3"/>
      <c r="LEY171" s="3"/>
      <c r="LEZ171" s="3"/>
      <c r="LFA171" s="3"/>
      <c r="LFB171" s="3"/>
      <c r="LFC171" s="3"/>
      <c r="LFD171" s="3"/>
      <c r="LFE171" s="3"/>
      <c r="LFF171" s="3"/>
      <c r="LFG171" s="3"/>
      <c r="LFH171" s="3"/>
      <c r="LFI171" s="3"/>
      <c r="LFJ171" s="3"/>
      <c r="LFK171" s="3"/>
      <c r="LFL171" s="3"/>
      <c r="LFM171" s="3"/>
      <c r="LFN171" s="3"/>
      <c r="LFO171" s="3"/>
      <c r="LFP171" s="3"/>
      <c r="LFQ171" s="3"/>
      <c r="LFR171" s="3"/>
      <c r="LFS171" s="3"/>
      <c r="LFT171" s="3"/>
      <c r="LFU171" s="3"/>
      <c r="LFV171" s="3"/>
      <c r="LFW171" s="3"/>
      <c r="LFX171" s="3"/>
      <c r="LFY171" s="3"/>
      <c r="LFZ171" s="3"/>
      <c r="LGA171" s="3"/>
      <c r="LGB171" s="3"/>
      <c r="LGC171" s="3"/>
      <c r="LGD171" s="3"/>
      <c r="LGE171" s="3"/>
      <c r="LGF171" s="3"/>
      <c r="LGG171" s="3"/>
      <c r="LGH171" s="3"/>
      <c r="LGI171" s="3"/>
      <c r="LGJ171" s="3"/>
      <c r="LGK171" s="3"/>
      <c r="LGL171" s="3"/>
      <c r="LGM171" s="3"/>
      <c r="LGN171" s="3"/>
      <c r="LGO171" s="3"/>
      <c r="LGP171" s="3"/>
      <c r="LGQ171" s="3"/>
      <c r="LGR171" s="3"/>
      <c r="LGS171" s="3"/>
      <c r="LGT171" s="3"/>
      <c r="LGU171" s="3"/>
      <c r="LGV171" s="3"/>
      <c r="LGW171" s="3"/>
      <c r="LGX171" s="3"/>
      <c r="LGY171" s="3"/>
      <c r="LGZ171" s="3"/>
      <c r="LHA171" s="3"/>
      <c r="LHB171" s="3"/>
      <c r="LHC171" s="3"/>
      <c r="LHD171" s="3"/>
      <c r="LHE171" s="3"/>
      <c r="LHF171" s="3"/>
      <c r="LHG171" s="3"/>
      <c r="LHH171" s="3"/>
      <c r="LHI171" s="3"/>
      <c r="LHJ171" s="3"/>
      <c r="LHK171" s="3"/>
      <c r="LHL171" s="3"/>
      <c r="LHM171" s="3"/>
      <c r="LHN171" s="3"/>
      <c r="LHO171" s="3"/>
      <c r="LHP171" s="3"/>
      <c r="LHQ171" s="3"/>
      <c r="LHR171" s="3"/>
      <c r="LHS171" s="3"/>
      <c r="LHT171" s="3"/>
      <c r="LHU171" s="3"/>
      <c r="LHV171" s="3"/>
      <c r="LHW171" s="3"/>
      <c r="LHX171" s="3"/>
      <c r="LHY171" s="3"/>
      <c r="LHZ171" s="3"/>
      <c r="LIA171" s="3"/>
      <c r="LIB171" s="3"/>
      <c r="LIC171" s="3"/>
      <c r="LID171" s="3"/>
      <c r="LIE171" s="3"/>
      <c r="LIF171" s="3"/>
      <c r="LIG171" s="3"/>
      <c r="LIH171" s="3"/>
      <c r="LII171" s="3"/>
      <c r="LIJ171" s="3"/>
      <c r="LIK171" s="3"/>
      <c r="LIL171" s="3"/>
      <c r="LIM171" s="3"/>
      <c r="LIN171" s="3"/>
      <c r="LIO171" s="3"/>
      <c r="LIP171" s="3"/>
      <c r="LIQ171" s="3"/>
      <c r="LIR171" s="3"/>
      <c r="LIS171" s="3"/>
      <c r="LIT171" s="3"/>
      <c r="LIU171" s="3"/>
      <c r="LIV171" s="3"/>
      <c r="LIW171" s="3"/>
      <c r="LIX171" s="3"/>
      <c r="LIY171" s="3"/>
      <c r="LIZ171" s="3"/>
      <c r="LJA171" s="3"/>
      <c r="LJB171" s="3"/>
      <c r="LJC171" s="3"/>
      <c r="LJD171" s="3"/>
      <c r="LJE171" s="3"/>
      <c r="LJF171" s="3"/>
      <c r="LJG171" s="3"/>
      <c r="LJH171" s="3"/>
      <c r="LJI171" s="3"/>
      <c r="LJJ171" s="3"/>
      <c r="LJK171" s="3"/>
      <c r="LJL171" s="3"/>
      <c r="LJM171" s="3"/>
      <c r="LJN171" s="3"/>
      <c r="LJO171" s="3"/>
      <c r="LJP171" s="3"/>
      <c r="LJQ171" s="3"/>
      <c r="LJR171" s="3"/>
      <c r="LJS171" s="3"/>
      <c r="LJT171" s="3"/>
      <c r="LJU171" s="3"/>
      <c r="LJV171" s="3"/>
      <c r="LJW171" s="3"/>
      <c r="LJX171" s="3"/>
      <c r="LJY171" s="3"/>
      <c r="LJZ171" s="3"/>
      <c r="LKA171" s="3"/>
      <c r="LKB171" s="3"/>
      <c r="LKC171" s="3"/>
      <c r="LKD171" s="3"/>
      <c r="LKE171" s="3"/>
      <c r="LKF171" s="3"/>
      <c r="LKG171" s="3"/>
      <c r="LKH171" s="3"/>
      <c r="LKI171" s="3"/>
      <c r="LKJ171" s="3"/>
      <c r="LKK171" s="3"/>
      <c r="LKL171" s="3"/>
      <c r="LKM171" s="3"/>
      <c r="LKN171" s="3"/>
      <c r="LKO171" s="3"/>
      <c r="LKP171" s="3"/>
      <c r="LKQ171" s="3"/>
      <c r="LKR171" s="3"/>
      <c r="LKS171" s="3"/>
      <c r="LKT171" s="3"/>
      <c r="LKU171" s="3"/>
      <c r="LKV171" s="3"/>
      <c r="LKW171" s="3"/>
      <c r="LKX171" s="3"/>
      <c r="LKY171" s="3"/>
      <c r="LKZ171" s="3"/>
      <c r="LLA171" s="3"/>
      <c r="LLB171" s="3"/>
      <c r="LLC171" s="3"/>
      <c r="LLD171" s="3"/>
      <c r="LLE171" s="3"/>
      <c r="LLF171" s="3"/>
      <c r="LLG171" s="3"/>
      <c r="LLH171" s="3"/>
      <c r="LLI171" s="3"/>
      <c r="LLJ171" s="3"/>
      <c r="LLK171" s="3"/>
      <c r="LLL171" s="3"/>
      <c r="LLM171" s="3"/>
      <c r="LLN171" s="3"/>
      <c r="LLO171" s="3"/>
      <c r="LLP171" s="3"/>
      <c r="LLQ171" s="3"/>
      <c r="LLR171" s="3"/>
      <c r="LLS171" s="3"/>
      <c r="LLT171" s="3"/>
      <c r="LLU171" s="3"/>
      <c r="LLV171" s="3"/>
      <c r="LLW171" s="3"/>
      <c r="LLX171" s="3"/>
      <c r="LLY171" s="3"/>
      <c r="LLZ171" s="3"/>
      <c r="LMA171" s="3"/>
      <c r="LMB171" s="3"/>
      <c r="LMC171" s="3"/>
      <c r="LMD171" s="3"/>
      <c r="LME171" s="3"/>
      <c r="LMF171" s="3"/>
      <c r="LMG171" s="3"/>
      <c r="LMH171" s="3"/>
      <c r="LMI171" s="3"/>
      <c r="LMJ171" s="3"/>
      <c r="LMK171" s="3"/>
      <c r="LML171" s="3"/>
      <c r="LMM171" s="3"/>
      <c r="LMN171" s="3"/>
      <c r="LMO171" s="3"/>
      <c r="LMP171" s="3"/>
      <c r="LMQ171" s="3"/>
      <c r="LMR171" s="3"/>
      <c r="LMS171" s="3"/>
      <c r="LMT171" s="3"/>
      <c r="LMU171" s="3"/>
      <c r="LMV171" s="3"/>
      <c r="LMW171" s="3"/>
      <c r="LMX171" s="3"/>
      <c r="LMY171" s="3"/>
      <c r="LMZ171" s="3"/>
      <c r="LNA171" s="3"/>
      <c r="LNB171" s="3"/>
      <c r="LNC171" s="3"/>
      <c r="LND171" s="3"/>
      <c r="LNE171" s="3"/>
      <c r="LNF171" s="3"/>
      <c r="LNG171" s="3"/>
      <c r="LNH171" s="3"/>
      <c r="LNI171" s="3"/>
      <c r="LNJ171" s="3"/>
      <c r="LNK171" s="3"/>
      <c r="LNL171" s="3"/>
      <c r="LNM171" s="3"/>
      <c r="LNN171" s="3"/>
      <c r="LNO171" s="3"/>
      <c r="LNP171" s="3"/>
      <c r="LNQ171" s="3"/>
      <c r="LNR171" s="3"/>
      <c r="LNS171" s="3"/>
      <c r="LNT171" s="3"/>
      <c r="LNU171" s="3"/>
      <c r="LNV171" s="3"/>
      <c r="LNW171" s="3"/>
      <c r="LNX171" s="3"/>
      <c r="LNY171" s="3"/>
      <c r="LNZ171" s="3"/>
      <c r="LOA171" s="3"/>
      <c r="LOB171" s="3"/>
      <c r="LOC171" s="3"/>
      <c r="LOD171" s="3"/>
      <c r="LOE171" s="3"/>
      <c r="LOF171" s="3"/>
      <c r="LOG171" s="3"/>
      <c r="LOH171" s="3"/>
      <c r="LOI171" s="3"/>
      <c r="LOJ171" s="3"/>
      <c r="LOK171" s="3"/>
      <c r="LOL171" s="3"/>
      <c r="LOM171" s="3"/>
      <c r="LON171" s="3"/>
      <c r="LOO171" s="3"/>
      <c r="LOP171" s="3"/>
      <c r="LOQ171" s="3"/>
      <c r="LOR171" s="3"/>
      <c r="LOS171" s="3"/>
      <c r="LOT171" s="3"/>
      <c r="LOU171" s="3"/>
      <c r="LOV171" s="3"/>
      <c r="LOW171" s="3"/>
      <c r="LOX171" s="3"/>
      <c r="LOY171" s="3"/>
      <c r="LOZ171" s="3"/>
      <c r="LPA171" s="3"/>
      <c r="LPB171" s="3"/>
      <c r="LPC171" s="3"/>
      <c r="LPD171" s="3"/>
      <c r="LPE171" s="3"/>
      <c r="LPF171" s="3"/>
      <c r="LPG171" s="3"/>
      <c r="LPH171" s="3"/>
      <c r="LPI171" s="3"/>
      <c r="LPJ171" s="3"/>
      <c r="LPK171" s="3"/>
      <c r="LPL171" s="3"/>
      <c r="LPM171" s="3"/>
      <c r="LPN171" s="3"/>
      <c r="LPO171" s="3"/>
      <c r="LPP171" s="3"/>
      <c r="LPQ171" s="3"/>
      <c r="LPR171" s="3"/>
      <c r="LPS171" s="3"/>
      <c r="LPT171" s="3"/>
      <c r="LPU171" s="3"/>
      <c r="LPV171" s="3"/>
      <c r="LPW171" s="3"/>
      <c r="LPX171" s="3"/>
      <c r="LPY171" s="3"/>
      <c r="LPZ171" s="3"/>
      <c r="LQA171" s="3"/>
      <c r="LQB171" s="3"/>
      <c r="LQC171" s="3"/>
      <c r="LQD171" s="3"/>
      <c r="LQE171" s="3"/>
      <c r="LQF171" s="3"/>
      <c r="LQG171" s="3"/>
      <c r="LQH171" s="3"/>
      <c r="LQI171" s="3"/>
      <c r="LQJ171" s="3"/>
      <c r="LQK171" s="3"/>
      <c r="LQL171" s="3"/>
      <c r="LQM171" s="3"/>
      <c r="LQN171" s="3"/>
      <c r="LQO171" s="3"/>
      <c r="LQP171" s="3"/>
      <c r="LQQ171" s="3"/>
      <c r="LQR171" s="3"/>
      <c r="LQS171" s="3"/>
      <c r="LQT171" s="3"/>
      <c r="LQU171" s="3"/>
      <c r="LQV171" s="3"/>
      <c r="LQW171" s="3"/>
      <c r="LQX171" s="3"/>
      <c r="LQY171" s="3"/>
      <c r="LQZ171" s="3"/>
      <c r="LRA171" s="3"/>
      <c r="LRB171" s="3"/>
      <c r="LRC171" s="3"/>
      <c r="LRD171" s="3"/>
      <c r="LRE171" s="3"/>
      <c r="LRF171" s="3"/>
      <c r="LRG171" s="3"/>
      <c r="LRH171" s="3"/>
      <c r="LRI171" s="3"/>
      <c r="LRJ171" s="3"/>
      <c r="LRK171" s="3"/>
      <c r="LRL171" s="3"/>
      <c r="LRM171" s="3"/>
      <c r="LRN171" s="3"/>
      <c r="LRO171" s="3"/>
      <c r="LRP171" s="3"/>
      <c r="LRQ171" s="3"/>
      <c r="LRR171" s="3"/>
      <c r="LRS171" s="3"/>
      <c r="LRT171" s="3"/>
      <c r="LRU171" s="3"/>
      <c r="LRV171" s="3"/>
      <c r="LRW171" s="3"/>
      <c r="LRX171" s="3"/>
      <c r="LRY171" s="3"/>
      <c r="LRZ171" s="3"/>
      <c r="LSA171" s="3"/>
      <c r="LSB171" s="3"/>
      <c r="LSC171" s="3"/>
      <c r="LSD171" s="3"/>
      <c r="LSE171" s="3"/>
      <c r="LSF171" s="3"/>
      <c r="LSG171" s="3"/>
      <c r="LSH171" s="3"/>
      <c r="LSI171" s="3"/>
      <c r="LSJ171" s="3"/>
      <c r="LSK171" s="3"/>
      <c r="LSL171" s="3"/>
      <c r="LSM171" s="3"/>
      <c r="LSN171" s="3"/>
      <c r="LSO171" s="3"/>
      <c r="LSP171" s="3"/>
      <c r="LSQ171" s="3"/>
      <c r="LSR171" s="3"/>
      <c r="LSS171" s="3"/>
      <c r="LST171" s="3"/>
      <c r="LSU171" s="3"/>
      <c r="LSV171" s="3"/>
      <c r="LSW171" s="3"/>
      <c r="LSX171" s="3"/>
      <c r="LSY171" s="3"/>
      <c r="LSZ171" s="3"/>
      <c r="LTA171" s="3"/>
      <c r="LTB171" s="3"/>
      <c r="LTC171" s="3"/>
      <c r="LTD171" s="3"/>
      <c r="LTE171" s="3"/>
      <c r="LTF171" s="3"/>
      <c r="LTG171" s="3"/>
      <c r="LTH171" s="3"/>
      <c r="LTI171" s="3"/>
      <c r="LTJ171" s="3"/>
      <c r="LTK171" s="3"/>
      <c r="LTL171" s="3"/>
      <c r="LTM171" s="3"/>
      <c r="LTN171" s="3"/>
      <c r="LTO171" s="3"/>
      <c r="LTP171" s="3"/>
      <c r="LTQ171" s="3"/>
      <c r="LTR171" s="3"/>
      <c r="LTS171" s="3"/>
      <c r="LTT171" s="3"/>
      <c r="LTU171" s="3"/>
      <c r="LTV171" s="3"/>
      <c r="LTW171" s="3"/>
      <c r="LTX171" s="3"/>
      <c r="LTY171" s="3"/>
      <c r="LTZ171" s="3"/>
      <c r="LUA171" s="3"/>
      <c r="LUB171" s="3"/>
      <c r="LUC171" s="3"/>
      <c r="LUD171" s="3"/>
      <c r="LUE171" s="3"/>
      <c r="LUF171" s="3"/>
      <c r="LUG171" s="3"/>
      <c r="LUH171" s="3"/>
      <c r="LUI171" s="3"/>
      <c r="LUJ171" s="3"/>
      <c r="LUK171" s="3"/>
      <c r="LUL171" s="3"/>
      <c r="LUM171" s="3"/>
      <c r="LUN171" s="3"/>
      <c r="LUO171" s="3"/>
      <c r="LUP171" s="3"/>
      <c r="LUQ171" s="3"/>
      <c r="LUR171" s="3"/>
      <c r="LUS171" s="3"/>
      <c r="LUT171" s="3"/>
      <c r="LUU171" s="3"/>
      <c r="LUV171" s="3"/>
      <c r="LUW171" s="3"/>
      <c r="LUX171" s="3"/>
      <c r="LUY171" s="3"/>
      <c r="LUZ171" s="3"/>
      <c r="LVA171" s="3"/>
      <c r="LVB171" s="3"/>
      <c r="LVC171" s="3"/>
      <c r="LVD171" s="3"/>
      <c r="LVE171" s="3"/>
      <c r="LVF171" s="3"/>
      <c r="LVG171" s="3"/>
      <c r="LVH171" s="3"/>
      <c r="LVI171" s="3"/>
      <c r="LVJ171" s="3"/>
      <c r="LVK171" s="3"/>
      <c r="LVL171" s="3"/>
      <c r="LVM171" s="3"/>
      <c r="LVN171" s="3"/>
      <c r="LVO171" s="3"/>
      <c r="LVP171" s="3"/>
      <c r="LVQ171" s="3"/>
      <c r="LVR171" s="3"/>
      <c r="LVS171" s="3"/>
      <c r="LVT171" s="3"/>
      <c r="LVU171" s="3"/>
      <c r="LVV171" s="3"/>
      <c r="LVW171" s="3"/>
      <c r="LVX171" s="3"/>
      <c r="LVY171" s="3"/>
      <c r="LVZ171" s="3"/>
      <c r="LWA171" s="3"/>
      <c r="LWB171" s="3"/>
      <c r="LWC171" s="3"/>
      <c r="LWD171" s="3"/>
      <c r="LWE171" s="3"/>
      <c r="LWF171" s="3"/>
      <c r="LWG171" s="3"/>
      <c r="LWH171" s="3"/>
      <c r="LWI171" s="3"/>
      <c r="LWJ171" s="3"/>
      <c r="LWK171" s="3"/>
      <c r="LWL171" s="3"/>
      <c r="LWM171" s="3"/>
      <c r="LWN171" s="3"/>
      <c r="LWO171" s="3"/>
      <c r="LWP171" s="3"/>
      <c r="LWQ171" s="3"/>
      <c r="LWR171" s="3"/>
      <c r="LWS171" s="3"/>
      <c r="LWT171" s="3"/>
      <c r="LWU171" s="3"/>
      <c r="LWV171" s="3"/>
      <c r="LWW171" s="3"/>
      <c r="LWX171" s="3"/>
      <c r="LWY171" s="3"/>
      <c r="LWZ171" s="3"/>
      <c r="LXA171" s="3"/>
      <c r="LXB171" s="3"/>
      <c r="LXC171" s="3"/>
      <c r="LXD171" s="3"/>
      <c r="LXE171" s="3"/>
      <c r="LXF171" s="3"/>
      <c r="LXG171" s="3"/>
      <c r="LXH171" s="3"/>
      <c r="LXI171" s="3"/>
      <c r="LXJ171" s="3"/>
      <c r="LXK171" s="3"/>
      <c r="LXL171" s="3"/>
      <c r="LXM171" s="3"/>
      <c r="LXN171" s="3"/>
      <c r="LXO171" s="3"/>
      <c r="LXP171" s="3"/>
      <c r="LXQ171" s="3"/>
      <c r="LXR171" s="3"/>
      <c r="LXS171" s="3"/>
      <c r="LXT171" s="3"/>
      <c r="LXU171" s="3"/>
      <c r="LXV171" s="3"/>
      <c r="LXW171" s="3"/>
      <c r="LXX171" s="3"/>
      <c r="LXY171" s="3"/>
      <c r="LXZ171" s="3"/>
      <c r="LYA171" s="3"/>
      <c r="LYB171" s="3"/>
      <c r="LYC171" s="3"/>
      <c r="LYD171" s="3"/>
      <c r="LYE171" s="3"/>
      <c r="LYF171" s="3"/>
      <c r="LYG171" s="3"/>
      <c r="LYH171" s="3"/>
      <c r="LYI171" s="3"/>
      <c r="LYJ171" s="3"/>
      <c r="LYK171" s="3"/>
      <c r="LYL171" s="3"/>
      <c r="LYM171" s="3"/>
      <c r="LYN171" s="3"/>
      <c r="LYO171" s="3"/>
      <c r="LYP171" s="3"/>
      <c r="LYQ171" s="3"/>
      <c r="LYR171" s="3"/>
      <c r="LYS171" s="3"/>
      <c r="LYT171" s="3"/>
      <c r="LYU171" s="3"/>
      <c r="LYV171" s="3"/>
      <c r="LYW171" s="3"/>
      <c r="LYX171" s="3"/>
      <c r="LYY171" s="3"/>
      <c r="LYZ171" s="3"/>
      <c r="LZA171" s="3"/>
      <c r="LZB171" s="3"/>
      <c r="LZC171" s="3"/>
      <c r="LZD171" s="3"/>
      <c r="LZE171" s="3"/>
      <c r="LZF171" s="3"/>
      <c r="LZG171" s="3"/>
      <c r="LZH171" s="3"/>
      <c r="LZI171" s="3"/>
      <c r="LZJ171" s="3"/>
      <c r="LZK171" s="3"/>
      <c r="LZL171" s="3"/>
      <c r="LZM171" s="3"/>
      <c r="LZN171" s="3"/>
      <c r="LZO171" s="3"/>
      <c r="LZP171" s="3"/>
      <c r="LZQ171" s="3"/>
      <c r="LZR171" s="3"/>
      <c r="LZS171" s="3"/>
      <c r="LZT171" s="3"/>
      <c r="LZU171" s="3"/>
      <c r="LZV171" s="3"/>
      <c r="LZW171" s="3"/>
      <c r="LZX171" s="3"/>
      <c r="LZY171" s="3"/>
      <c r="LZZ171" s="3"/>
      <c r="MAA171" s="3"/>
      <c r="MAB171" s="3"/>
      <c r="MAC171" s="3"/>
      <c r="MAD171" s="3"/>
      <c r="MAE171" s="3"/>
      <c r="MAF171" s="3"/>
      <c r="MAG171" s="3"/>
      <c r="MAH171" s="3"/>
      <c r="MAI171" s="3"/>
      <c r="MAJ171" s="3"/>
      <c r="MAK171" s="3"/>
      <c r="MAL171" s="3"/>
      <c r="MAM171" s="3"/>
      <c r="MAN171" s="3"/>
      <c r="MAO171" s="3"/>
      <c r="MAP171" s="3"/>
      <c r="MAQ171" s="3"/>
      <c r="MAR171" s="3"/>
      <c r="MAS171" s="3"/>
      <c r="MAT171" s="3"/>
      <c r="MAU171" s="3"/>
      <c r="MAV171" s="3"/>
      <c r="MAW171" s="3"/>
      <c r="MAX171" s="3"/>
      <c r="MAY171" s="3"/>
      <c r="MAZ171" s="3"/>
      <c r="MBA171" s="3"/>
      <c r="MBB171" s="3"/>
      <c r="MBC171" s="3"/>
      <c r="MBD171" s="3"/>
      <c r="MBE171" s="3"/>
      <c r="MBF171" s="3"/>
      <c r="MBG171" s="3"/>
      <c r="MBH171" s="3"/>
      <c r="MBI171" s="3"/>
      <c r="MBJ171" s="3"/>
      <c r="MBK171" s="3"/>
      <c r="MBL171" s="3"/>
      <c r="MBM171" s="3"/>
      <c r="MBN171" s="3"/>
      <c r="MBO171" s="3"/>
      <c r="MBP171" s="3"/>
      <c r="MBQ171" s="3"/>
      <c r="MBR171" s="3"/>
      <c r="MBS171" s="3"/>
      <c r="MBT171" s="3"/>
      <c r="MBU171" s="3"/>
      <c r="MBV171" s="3"/>
      <c r="MBW171" s="3"/>
      <c r="MBX171" s="3"/>
      <c r="MBY171" s="3"/>
      <c r="MBZ171" s="3"/>
      <c r="MCA171" s="3"/>
      <c r="MCB171" s="3"/>
      <c r="MCC171" s="3"/>
      <c r="MCD171" s="3"/>
      <c r="MCE171" s="3"/>
      <c r="MCF171" s="3"/>
      <c r="MCG171" s="3"/>
      <c r="MCH171" s="3"/>
      <c r="MCI171" s="3"/>
      <c r="MCJ171" s="3"/>
      <c r="MCK171" s="3"/>
      <c r="MCL171" s="3"/>
      <c r="MCM171" s="3"/>
      <c r="MCN171" s="3"/>
      <c r="MCO171" s="3"/>
      <c r="MCP171" s="3"/>
      <c r="MCQ171" s="3"/>
      <c r="MCR171" s="3"/>
      <c r="MCS171" s="3"/>
      <c r="MCT171" s="3"/>
      <c r="MCU171" s="3"/>
      <c r="MCV171" s="3"/>
      <c r="MCW171" s="3"/>
      <c r="MCX171" s="3"/>
      <c r="MCY171" s="3"/>
      <c r="MCZ171" s="3"/>
      <c r="MDA171" s="3"/>
      <c r="MDB171" s="3"/>
      <c r="MDC171" s="3"/>
      <c r="MDD171" s="3"/>
      <c r="MDE171" s="3"/>
      <c r="MDF171" s="3"/>
      <c r="MDG171" s="3"/>
      <c r="MDH171" s="3"/>
      <c r="MDI171" s="3"/>
      <c r="MDJ171" s="3"/>
      <c r="MDK171" s="3"/>
      <c r="MDL171" s="3"/>
      <c r="MDM171" s="3"/>
      <c r="MDN171" s="3"/>
      <c r="MDO171" s="3"/>
      <c r="MDP171" s="3"/>
      <c r="MDQ171" s="3"/>
      <c r="MDR171" s="3"/>
      <c r="MDS171" s="3"/>
      <c r="MDT171" s="3"/>
      <c r="MDU171" s="3"/>
      <c r="MDV171" s="3"/>
      <c r="MDW171" s="3"/>
      <c r="MDX171" s="3"/>
      <c r="MDY171" s="3"/>
      <c r="MDZ171" s="3"/>
      <c r="MEA171" s="3"/>
      <c r="MEB171" s="3"/>
      <c r="MEC171" s="3"/>
      <c r="MED171" s="3"/>
      <c r="MEE171" s="3"/>
      <c r="MEF171" s="3"/>
      <c r="MEG171" s="3"/>
      <c r="MEH171" s="3"/>
      <c r="MEI171" s="3"/>
      <c r="MEJ171" s="3"/>
      <c r="MEK171" s="3"/>
      <c r="MEL171" s="3"/>
      <c r="MEM171" s="3"/>
      <c r="MEN171" s="3"/>
      <c r="MEO171" s="3"/>
      <c r="MEP171" s="3"/>
      <c r="MEQ171" s="3"/>
      <c r="MER171" s="3"/>
      <c r="MES171" s="3"/>
      <c r="MET171" s="3"/>
      <c r="MEU171" s="3"/>
      <c r="MEV171" s="3"/>
      <c r="MEW171" s="3"/>
      <c r="MEX171" s="3"/>
      <c r="MEY171" s="3"/>
      <c r="MEZ171" s="3"/>
      <c r="MFA171" s="3"/>
      <c r="MFB171" s="3"/>
      <c r="MFC171" s="3"/>
      <c r="MFD171" s="3"/>
      <c r="MFE171" s="3"/>
      <c r="MFF171" s="3"/>
      <c r="MFG171" s="3"/>
      <c r="MFH171" s="3"/>
      <c r="MFI171" s="3"/>
      <c r="MFJ171" s="3"/>
      <c r="MFK171" s="3"/>
      <c r="MFL171" s="3"/>
      <c r="MFM171" s="3"/>
      <c r="MFN171" s="3"/>
      <c r="MFO171" s="3"/>
      <c r="MFP171" s="3"/>
      <c r="MFQ171" s="3"/>
      <c r="MFR171" s="3"/>
      <c r="MFS171" s="3"/>
      <c r="MFT171" s="3"/>
      <c r="MFU171" s="3"/>
      <c r="MFV171" s="3"/>
      <c r="MFW171" s="3"/>
      <c r="MFX171" s="3"/>
      <c r="MFY171" s="3"/>
      <c r="MFZ171" s="3"/>
      <c r="MGA171" s="3"/>
      <c r="MGB171" s="3"/>
      <c r="MGC171" s="3"/>
      <c r="MGD171" s="3"/>
      <c r="MGE171" s="3"/>
      <c r="MGF171" s="3"/>
      <c r="MGG171" s="3"/>
      <c r="MGH171" s="3"/>
      <c r="MGI171" s="3"/>
      <c r="MGJ171" s="3"/>
      <c r="MGK171" s="3"/>
      <c r="MGL171" s="3"/>
      <c r="MGM171" s="3"/>
      <c r="MGN171" s="3"/>
      <c r="MGO171" s="3"/>
      <c r="MGP171" s="3"/>
      <c r="MGQ171" s="3"/>
      <c r="MGR171" s="3"/>
      <c r="MGS171" s="3"/>
      <c r="MGT171" s="3"/>
      <c r="MGU171" s="3"/>
      <c r="MGV171" s="3"/>
      <c r="MGW171" s="3"/>
      <c r="MGX171" s="3"/>
      <c r="MGY171" s="3"/>
      <c r="MGZ171" s="3"/>
      <c r="MHA171" s="3"/>
      <c r="MHB171" s="3"/>
      <c r="MHC171" s="3"/>
      <c r="MHD171" s="3"/>
      <c r="MHE171" s="3"/>
      <c r="MHF171" s="3"/>
      <c r="MHG171" s="3"/>
      <c r="MHH171" s="3"/>
      <c r="MHI171" s="3"/>
      <c r="MHJ171" s="3"/>
      <c r="MHK171" s="3"/>
      <c r="MHL171" s="3"/>
      <c r="MHM171" s="3"/>
      <c r="MHN171" s="3"/>
      <c r="MHO171" s="3"/>
      <c r="MHP171" s="3"/>
      <c r="MHQ171" s="3"/>
      <c r="MHR171" s="3"/>
      <c r="MHS171" s="3"/>
      <c r="MHT171" s="3"/>
      <c r="MHU171" s="3"/>
      <c r="MHV171" s="3"/>
      <c r="MHW171" s="3"/>
      <c r="MHX171" s="3"/>
      <c r="MHY171" s="3"/>
      <c r="MHZ171" s="3"/>
      <c r="MIA171" s="3"/>
      <c r="MIB171" s="3"/>
      <c r="MIC171" s="3"/>
      <c r="MID171" s="3"/>
      <c r="MIE171" s="3"/>
      <c r="MIF171" s="3"/>
      <c r="MIG171" s="3"/>
      <c r="MIH171" s="3"/>
      <c r="MII171" s="3"/>
      <c r="MIJ171" s="3"/>
      <c r="MIK171" s="3"/>
      <c r="MIL171" s="3"/>
      <c r="MIM171" s="3"/>
      <c r="MIN171" s="3"/>
      <c r="MIO171" s="3"/>
      <c r="MIP171" s="3"/>
      <c r="MIQ171" s="3"/>
      <c r="MIR171" s="3"/>
      <c r="MIS171" s="3"/>
      <c r="MIT171" s="3"/>
      <c r="MIU171" s="3"/>
      <c r="MIV171" s="3"/>
      <c r="MIW171" s="3"/>
      <c r="MIX171" s="3"/>
      <c r="MIY171" s="3"/>
      <c r="MIZ171" s="3"/>
      <c r="MJA171" s="3"/>
      <c r="MJB171" s="3"/>
      <c r="MJC171" s="3"/>
      <c r="MJD171" s="3"/>
      <c r="MJE171" s="3"/>
      <c r="MJF171" s="3"/>
      <c r="MJG171" s="3"/>
      <c r="MJH171" s="3"/>
      <c r="MJI171" s="3"/>
      <c r="MJJ171" s="3"/>
      <c r="MJK171" s="3"/>
      <c r="MJL171" s="3"/>
      <c r="MJM171" s="3"/>
      <c r="MJN171" s="3"/>
      <c r="MJO171" s="3"/>
      <c r="MJP171" s="3"/>
      <c r="MJQ171" s="3"/>
      <c r="MJR171" s="3"/>
      <c r="MJS171" s="3"/>
      <c r="MJT171" s="3"/>
      <c r="MJU171" s="3"/>
      <c r="MJV171" s="3"/>
      <c r="MJW171" s="3"/>
      <c r="MJX171" s="3"/>
      <c r="MJY171" s="3"/>
      <c r="MJZ171" s="3"/>
      <c r="MKA171" s="3"/>
      <c r="MKB171" s="3"/>
      <c r="MKC171" s="3"/>
      <c r="MKD171" s="3"/>
      <c r="MKE171" s="3"/>
      <c r="MKF171" s="3"/>
      <c r="MKG171" s="3"/>
      <c r="MKH171" s="3"/>
      <c r="MKI171" s="3"/>
      <c r="MKJ171" s="3"/>
      <c r="MKK171" s="3"/>
      <c r="MKL171" s="3"/>
      <c r="MKM171" s="3"/>
      <c r="MKN171" s="3"/>
      <c r="MKO171" s="3"/>
      <c r="MKP171" s="3"/>
      <c r="MKQ171" s="3"/>
      <c r="MKR171" s="3"/>
      <c r="MKS171" s="3"/>
      <c r="MKT171" s="3"/>
      <c r="MKU171" s="3"/>
      <c r="MKV171" s="3"/>
      <c r="MKW171" s="3"/>
      <c r="MKX171" s="3"/>
      <c r="MKY171" s="3"/>
      <c r="MKZ171" s="3"/>
      <c r="MLA171" s="3"/>
      <c r="MLB171" s="3"/>
      <c r="MLC171" s="3"/>
      <c r="MLD171" s="3"/>
      <c r="MLE171" s="3"/>
      <c r="MLF171" s="3"/>
      <c r="MLG171" s="3"/>
      <c r="MLH171" s="3"/>
      <c r="MLI171" s="3"/>
      <c r="MLJ171" s="3"/>
      <c r="MLK171" s="3"/>
      <c r="MLL171" s="3"/>
      <c r="MLM171" s="3"/>
      <c r="MLN171" s="3"/>
      <c r="MLO171" s="3"/>
      <c r="MLP171" s="3"/>
      <c r="MLQ171" s="3"/>
      <c r="MLR171" s="3"/>
      <c r="MLS171" s="3"/>
      <c r="MLT171" s="3"/>
      <c r="MLU171" s="3"/>
      <c r="MLV171" s="3"/>
      <c r="MLW171" s="3"/>
      <c r="MLX171" s="3"/>
      <c r="MLY171" s="3"/>
      <c r="MLZ171" s="3"/>
      <c r="MMA171" s="3"/>
      <c r="MMB171" s="3"/>
      <c r="MMC171" s="3"/>
      <c r="MMD171" s="3"/>
      <c r="MME171" s="3"/>
      <c r="MMF171" s="3"/>
      <c r="MMG171" s="3"/>
      <c r="MMH171" s="3"/>
      <c r="MMI171" s="3"/>
      <c r="MMJ171" s="3"/>
      <c r="MMK171" s="3"/>
      <c r="MML171" s="3"/>
      <c r="MMM171" s="3"/>
      <c r="MMN171" s="3"/>
      <c r="MMO171" s="3"/>
      <c r="MMP171" s="3"/>
      <c r="MMQ171" s="3"/>
      <c r="MMR171" s="3"/>
      <c r="MMS171" s="3"/>
      <c r="MMT171" s="3"/>
      <c r="MMU171" s="3"/>
      <c r="MMV171" s="3"/>
      <c r="MMW171" s="3"/>
      <c r="MMX171" s="3"/>
      <c r="MMY171" s="3"/>
      <c r="MMZ171" s="3"/>
      <c r="MNA171" s="3"/>
      <c r="MNB171" s="3"/>
      <c r="MNC171" s="3"/>
      <c r="MND171" s="3"/>
      <c r="MNE171" s="3"/>
      <c r="MNF171" s="3"/>
      <c r="MNG171" s="3"/>
      <c r="MNH171" s="3"/>
      <c r="MNI171" s="3"/>
      <c r="MNJ171" s="3"/>
      <c r="MNK171" s="3"/>
      <c r="MNL171" s="3"/>
      <c r="MNM171" s="3"/>
      <c r="MNN171" s="3"/>
      <c r="MNO171" s="3"/>
      <c r="MNP171" s="3"/>
      <c r="MNQ171" s="3"/>
      <c r="MNR171" s="3"/>
      <c r="MNS171" s="3"/>
      <c r="MNT171" s="3"/>
      <c r="MNU171" s="3"/>
      <c r="MNV171" s="3"/>
      <c r="MNW171" s="3"/>
      <c r="MNX171" s="3"/>
      <c r="MNY171" s="3"/>
      <c r="MNZ171" s="3"/>
      <c r="MOA171" s="3"/>
      <c r="MOB171" s="3"/>
      <c r="MOC171" s="3"/>
      <c r="MOD171" s="3"/>
      <c r="MOE171" s="3"/>
      <c r="MOF171" s="3"/>
      <c r="MOG171" s="3"/>
      <c r="MOH171" s="3"/>
      <c r="MOI171" s="3"/>
      <c r="MOJ171" s="3"/>
      <c r="MOK171" s="3"/>
      <c r="MOL171" s="3"/>
      <c r="MOM171" s="3"/>
      <c r="MON171" s="3"/>
      <c r="MOO171" s="3"/>
      <c r="MOP171" s="3"/>
      <c r="MOQ171" s="3"/>
      <c r="MOR171" s="3"/>
      <c r="MOS171" s="3"/>
      <c r="MOT171" s="3"/>
      <c r="MOU171" s="3"/>
      <c r="MOV171" s="3"/>
      <c r="MOW171" s="3"/>
      <c r="MOX171" s="3"/>
      <c r="MOY171" s="3"/>
      <c r="MOZ171" s="3"/>
      <c r="MPA171" s="3"/>
      <c r="MPB171" s="3"/>
      <c r="MPC171" s="3"/>
      <c r="MPD171" s="3"/>
      <c r="MPE171" s="3"/>
      <c r="MPF171" s="3"/>
      <c r="MPG171" s="3"/>
      <c r="MPH171" s="3"/>
      <c r="MPI171" s="3"/>
      <c r="MPJ171" s="3"/>
      <c r="MPK171" s="3"/>
      <c r="MPL171" s="3"/>
      <c r="MPM171" s="3"/>
      <c r="MPN171" s="3"/>
      <c r="MPO171" s="3"/>
      <c r="MPP171" s="3"/>
      <c r="MPQ171" s="3"/>
      <c r="MPR171" s="3"/>
      <c r="MPS171" s="3"/>
      <c r="MPT171" s="3"/>
      <c r="MPU171" s="3"/>
      <c r="MPV171" s="3"/>
      <c r="MPW171" s="3"/>
      <c r="MPX171" s="3"/>
      <c r="MPY171" s="3"/>
      <c r="MPZ171" s="3"/>
      <c r="MQA171" s="3"/>
      <c r="MQB171" s="3"/>
      <c r="MQC171" s="3"/>
      <c r="MQD171" s="3"/>
      <c r="MQE171" s="3"/>
      <c r="MQF171" s="3"/>
      <c r="MQG171" s="3"/>
      <c r="MQH171" s="3"/>
      <c r="MQI171" s="3"/>
      <c r="MQJ171" s="3"/>
      <c r="MQK171" s="3"/>
      <c r="MQL171" s="3"/>
      <c r="MQM171" s="3"/>
      <c r="MQN171" s="3"/>
      <c r="MQO171" s="3"/>
      <c r="MQP171" s="3"/>
      <c r="MQQ171" s="3"/>
      <c r="MQR171" s="3"/>
      <c r="MQS171" s="3"/>
      <c r="MQT171" s="3"/>
      <c r="MQU171" s="3"/>
      <c r="MQV171" s="3"/>
      <c r="MQW171" s="3"/>
      <c r="MQX171" s="3"/>
      <c r="MQY171" s="3"/>
      <c r="MQZ171" s="3"/>
      <c r="MRA171" s="3"/>
      <c r="MRB171" s="3"/>
      <c r="MRC171" s="3"/>
      <c r="MRD171" s="3"/>
      <c r="MRE171" s="3"/>
      <c r="MRF171" s="3"/>
      <c r="MRG171" s="3"/>
      <c r="MRH171" s="3"/>
      <c r="MRI171" s="3"/>
      <c r="MRJ171" s="3"/>
      <c r="MRK171" s="3"/>
      <c r="MRL171" s="3"/>
      <c r="MRM171" s="3"/>
      <c r="MRN171" s="3"/>
      <c r="MRO171" s="3"/>
      <c r="MRP171" s="3"/>
      <c r="MRQ171" s="3"/>
      <c r="MRR171" s="3"/>
      <c r="MRS171" s="3"/>
      <c r="MRT171" s="3"/>
      <c r="MRU171" s="3"/>
      <c r="MRV171" s="3"/>
      <c r="MRW171" s="3"/>
      <c r="MRX171" s="3"/>
      <c r="MRY171" s="3"/>
      <c r="MRZ171" s="3"/>
      <c r="MSA171" s="3"/>
      <c r="MSB171" s="3"/>
      <c r="MSC171" s="3"/>
      <c r="MSD171" s="3"/>
      <c r="MSE171" s="3"/>
      <c r="MSF171" s="3"/>
      <c r="MSG171" s="3"/>
      <c r="MSH171" s="3"/>
      <c r="MSI171" s="3"/>
      <c r="MSJ171" s="3"/>
      <c r="MSK171" s="3"/>
      <c r="MSL171" s="3"/>
      <c r="MSM171" s="3"/>
      <c r="MSN171" s="3"/>
      <c r="MSO171" s="3"/>
      <c r="MSP171" s="3"/>
      <c r="MSQ171" s="3"/>
      <c r="MSR171" s="3"/>
      <c r="MSS171" s="3"/>
      <c r="MST171" s="3"/>
      <c r="MSU171" s="3"/>
      <c r="MSV171" s="3"/>
      <c r="MSW171" s="3"/>
      <c r="MSX171" s="3"/>
      <c r="MSY171" s="3"/>
      <c r="MSZ171" s="3"/>
      <c r="MTA171" s="3"/>
      <c r="MTB171" s="3"/>
      <c r="MTC171" s="3"/>
      <c r="MTD171" s="3"/>
      <c r="MTE171" s="3"/>
      <c r="MTF171" s="3"/>
      <c r="MTG171" s="3"/>
      <c r="MTH171" s="3"/>
      <c r="MTI171" s="3"/>
      <c r="MTJ171" s="3"/>
      <c r="MTK171" s="3"/>
      <c r="MTL171" s="3"/>
      <c r="MTM171" s="3"/>
      <c r="MTN171" s="3"/>
      <c r="MTO171" s="3"/>
      <c r="MTP171" s="3"/>
      <c r="MTQ171" s="3"/>
      <c r="MTR171" s="3"/>
      <c r="MTS171" s="3"/>
      <c r="MTT171" s="3"/>
      <c r="MTU171" s="3"/>
      <c r="MTV171" s="3"/>
      <c r="MTW171" s="3"/>
      <c r="MTX171" s="3"/>
      <c r="MTY171" s="3"/>
      <c r="MTZ171" s="3"/>
      <c r="MUA171" s="3"/>
      <c r="MUB171" s="3"/>
      <c r="MUC171" s="3"/>
      <c r="MUD171" s="3"/>
      <c r="MUE171" s="3"/>
      <c r="MUF171" s="3"/>
      <c r="MUG171" s="3"/>
      <c r="MUH171" s="3"/>
      <c r="MUI171" s="3"/>
      <c r="MUJ171" s="3"/>
      <c r="MUK171" s="3"/>
      <c r="MUL171" s="3"/>
      <c r="MUM171" s="3"/>
      <c r="MUN171" s="3"/>
      <c r="MUO171" s="3"/>
      <c r="MUP171" s="3"/>
      <c r="MUQ171" s="3"/>
      <c r="MUR171" s="3"/>
      <c r="MUS171" s="3"/>
      <c r="MUT171" s="3"/>
      <c r="MUU171" s="3"/>
      <c r="MUV171" s="3"/>
      <c r="MUW171" s="3"/>
      <c r="MUX171" s="3"/>
      <c r="MUY171" s="3"/>
      <c r="MUZ171" s="3"/>
      <c r="MVA171" s="3"/>
      <c r="MVB171" s="3"/>
      <c r="MVC171" s="3"/>
      <c r="MVD171" s="3"/>
      <c r="MVE171" s="3"/>
      <c r="MVF171" s="3"/>
      <c r="MVG171" s="3"/>
      <c r="MVH171" s="3"/>
      <c r="MVI171" s="3"/>
      <c r="MVJ171" s="3"/>
      <c r="MVK171" s="3"/>
      <c r="MVL171" s="3"/>
      <c r="MVM171" s="3"/>
      <c r="MVN171" s="3"/>
      <c r="MVO171" s="3"/>
      <c r="MVP171" s="3"/>
      <c r="MVQ171" s="3"/>
      <c r="MVR171" s="3"/>
      <c r="MVS171" s="3"/>
      <c r="MVT171" s="3"/>
      <c r="MVU171" s="3"/>
      <c r="MVV171" s="3"/>
      <c r="MVW171" s="3"/>
      <c r="MVX171" s="3"/>
      <c r="MVY171" s="3"/>
      <c r="MVZ171" s="3"/>
      <c r="MWA171" s="3"/>
      <c r="MWB171" s="3"/>
      <c r="MWC171" s="3"/>
      <c r="MWD171" s="3"/>
      <c r="MWE171" s="3"/>
      <c r="MWF171" s="3"/>
      <c r="MWG171" s="3"/>
      <c r="MWH171" s="3"/>
      <c r="MWI171" s="3"/>
      <c r="MWJ171" s="3"/>
      <c r="MWK171" s="3"/>
      <c r="MWL171" s="3"/>
      <c r="MWM171" s="3"/>
      <c r="MWN171" s="3"/>
      <c r="MWO171" s="3"/>
      <c r="MWP171" s="3"/>
      <c r="MWQ171" s="3"/>
      <c r="MWR171" s="3"/>
      <c r="MWS171" s="3"/>
      <c r="MWT171" s="3"/>
      <c r="MWU171" s="3"/>
      <c r="MWV171" s="3"/>
      <c r="MWW171" s="3"/>
      <c r="MWX171" s="3"/>
      <c r="MWY171" s="3"/>
      <c r="MWZ171" s="3"/>
      <c r="MXA171" s="3"/>
      <c r="MXB171" s="3"/>
      <c r="MXC171" s="3"/>
      <c r="MXD171" s="3"/>
      <c r="MXE171" s="3"/>
      <c r="MXF171" s="3"/>
      <c r="MXG171" s="3"/>
      <c r="MXH171" s="3"/>
      <c r="MXI171" s="3"/>
      <c r="MXJ171" s="3"/>
      <c r="MXK171" s="3"/>
      <c r="MXL171" s="3"/>
      <c r="MXM171" s="3"/>
      <c r="MXN171" s="3"/>
      <c r="MXO171" s="3"/>
      <c r="MXP171" s="3"/>
      <c r="MXQ171" s="3"/>
      <c r="MXR171" s="3"/>
      <c r="MXS171" s="3"/>
      <c r="MXT171" s="3"/>
      <c r="MXU171" s="3"/>
      <c r="MXV171" s="3"/>
      <c r="MXW171" s="3"/>
      <c r="MXX171" s="3"/>
      <c r="MXY171" s="3"/>
      <c r="MXZ171" s="3"/>
      <c r="MYA171" s="3"/>
      <c r="MYB171" s="3"/>
      <c r="MYC171" s="3"/>
      <c r="MYD171" s="3"/>
      <c r="MYE171" s="3"/>
      <c r="MYF171" s="3"/>
      <c r="MYG171" s="3"/>
      <c r="MYH171" s="3"/>
      <c r="MYI171" s="3"/>
      <c r="MYJ171" s="3"/>
      <c r="MYK171" s="3"/>
      <c r="MYL171" s="3"/>
      <c r="MYM171" s="3"/>
      <c r="MYN171" s="3"/>
      <c r="MYO171" s="3"/>
      <c r="MYP171" s="3"/>
      <c r="MYQ171" s="3"/>
      <c r="MYR171" s="3"/>
      <c r="MYS171" s="3"/>
      <c r="MYT171" s="3"/>
      <c r="MYU171" s="3"/>
      <c r="MYV171" s="3"/>
      <c r="MYW171" s="3"/>
      <c r="MYX171" s="3"/>
      <c r="MYY171" s="3"/>
      <c r="MYZ171" s="3"/>
      <c r="MZA171" s="3"/>
      <c r="MZB171" s="3"/>
      <c r="MZC171" s="3"/>
      <c r="MZD171" s="3"/>
      <c r="MZE171" s="3"/>
      <c r="MZF171" s="3"/>
      <c r="MZG171" s="3"/>
      <c r="MZH171" s="3"/>
      <c r="MZI171" s="3"/>
      <c r="MZJ171" s="3"/>
      <c r="MZK171" s="3"/>
      <c r="MZL171" s="3"/>
      <c r="MZM171" s="3"/>
      <c r="MZN171" s="3"/>
      <c r="MZO171" s="3"/>
      <c r="MZP171" s="3"/>
      <c r="MZQ171" s="3"/>
      <c r="MZR171" s="3"/>
      <c r="MZS171" s="3"/>
      <c r="MZT171" s="3"/>
      <c r="MZU171" s="3"/>
      <c r="MZV171" s="3"/>
      <c r="MZW171" s="3"/>
      <c r="MZX171" s="3"/>
      <c r="MZY171" s="3"/>
      <c r="MZZ171" s="3"/>
      <c r="NAA171" s="3"/>
      <c r="NAB171" s="3"/>
      <c r="NAC171" s="3"/>
      <c r="NAD171" s="3"/>
      <c r="NAE171" s="3"/>
      <c r="NAF171" s="3"/>
      <c r="NAG171" s="3"/>
      <c r="NAH171" s="3"/>
      <c r="NAI171" s="3"/>
      <c r="NAJ171" s="3"/>
      <c r="NAK171" s="3"/>
      <c r="NAL171" s="3"/>
      <c r="NAM171" s="3"/>
      <c r="NAN171" s="3"/>
      <c r="NAO171" s="3"/>
      <c r="NAP171" s="3"/>
      <c r="NAQ171" s="3"/>
      <c r="NAR171" s="3"/>
      <c r="NAS171" s="3"/>
      <c r="NAT171" s="3"/>
      <c r="NAU171" s="3"/>
      <c r="NAV171" s="3"/>
      <c r="NAW171" s="3"/>
      <c r="NAX171" s="3"/>
      <c r="NAY171" s="3"/>
      <c r="NAZ171" s="3"/>
      <c r="NBA171" s="3"/>
      <c r="NBB171" s="3"/>
      <c r="NBC171" s="3"/>
      <c r="NBD171" s="3"/>
      <c r="NBE171" s="3"/>
      <c r="NBF171" s="3"/>
      <c r="NBG171" s="3"/>
      <c r="NBH171" s="3"/>
      <c r="NBI171" s="3"/>
      <c r="NBJ171" s="3"/>
      <c r="NBK171" s="3"/>
      <c r="NBL171" s="3"/>
      <c r="NBM171" s="3"/>
      <c r="NBN171" s="3"/>
      <c r="NBO171" s="3"/>
      <c r="NBP171" s="3"/>
      <c r="NBQ171" s="3"/>
      <c r="NBR171" s="3"/>
      <c r="NBS171" s="3"/>
      <c r="NBT171" s="3"/>
      <c r="NBU171" s="3"/>
      <c r="NBV171" s="3"/>
      <c r="NBW171" s="3"/>
      <c r="NBX171" s="3"/>
      <c r="NBY171" s="3"/>
      <c r="NBZ171" s="3"/>
      <c r="NCA171" s="3"/>
      <c r="NCB171" s="3"/>
      <c r="NCC171" s="3"/>
      <c r="NCD171" s="3"/>
      <c r="NCE171" s="3"/>
      <c r="NCF171" s="3"/>
      <c r="NCG171" s="3"/>
      <c r="NCH171" s="3"/>
      <c r="NCI171" s="3"/>
      <c r="NCJ171" s="3"/>
      <c r="NCK171" s="3"/>
      <c r="NCL171" s="3"/>
      <c r="NCM171" s="3"/>
      <c r="NCN171" s="3"/>
      <c r="NCO171" s="3"/>
      <c r="NCP171" s="3"/>
      <c r="NCQ171" s="3"/>
      <c r="NCR171" s="3"/>
      <c r="NCS171" s="3"/>
      <c r="NCT171" s="3"/>
      <c r="NCU171" s="3"/>
      <c r="NCV171" s="3"/>
      <c r="NCW171" s="3"/>
      <c r="NCX171" s="3"/>
      <c r="NCY171" s="3"/>
      <c r="NCZ171" s="3"/>
      <c r="NDA171" s="3"/>
      <c r="NDB171" s="3"/>
      <c r="NDC171" s="3"/>
      <c r="NDD171" s="3"/>
      <c r="NDE171" s="3"/>
      <c r="NDF171" s="3"/>
      <c r="NDG171" s="3"/>
      <c r="NDH171" s="3"/>
      <c r="NDI171" s="3"/>
      <c r="NDJ171" s="3"/>
      <c r="NDK171" s="3"/>
      <c r="NDL171" s="3"/>
      <c r="NDM171" s="3"/>
      <c r="NDN171" s="3"/>
      <c r="NDO171" s="3"/>
      <c r="NDP171" s="3"/>
      <c r="NDQ171" s="3"/>
      <c r="NDR171" s="3"/>
      <c r="NDS171" s="3"/>
      <c r="NDT171" s="3"/>
      <c r="NDU171" s="3"/>
      <c r="NDV171" s="3"/>
      <c r="NDW171" s="3"/>
      <c r="NDX171" s="3"/>
      <c r="NDY171" s="3"/>
      <c r="NDZ171" s="3"/>
      <c r="NEA171" s="3"/>
      <c r="NEB171" s="3"/>
      <c r="NEC171" s="3"/>
      <c r="NED171" s="3"/>
      <c r="NEE171" s="3"/>
      <c r="NEF171" s="3"/>
      <c r="NEG171" s="3"/>
      <c r="NEH171" s="3"/>
      <c r="NEI171" s="3"/>
      <c r="NEJ171" s="3"/>
      <c r="NEK171" s="3"/>
      <c r="NEL171" s="3"/>
      <c r="NEM171" s="3"/>
      <c r="NEN171" s="3"/>
      <c r="NEO171" s="3"/>
      <c r="NEP171" s="3"/>
      <c r="NEQ171" s="3"/>
      <c r="NER171" s="3"/>
      <c r="NES171" s="3"/>
      <c r="NET171" s="3"/>
      <c r="NEU171" s="3"/>
      <c r="NEV171" s="3"/>
      <c r="NEW171" s="3"/>
      <c r="NEX171" s="3"/>
      <c r="NEY171" s="3"/>
      <c r="NEZ171" s="3"/>
      <c r="NFA171" s="3"/>
      <c r="NFB171" s="3"/>
      <c r="NFC171" s="3"/>
      <c r="NFD171" s="3"/>
      <c r="NFE171" s="3"/>
      <c r="NFF171" s="3"/>
      <c r="NFG171" s="3"/>
      <c r="NFH171" s="3"/>
      <c r="NFI171" s="3"/>
      <c r="NFJ171" s="3"/>
      <c r="NFK171" s="3"/>
      <c r="NFL171" s="3"/>
      <c r="NFM171" s="3"/>
      <c r="NFN171" s="3"/>
      <c r="NFO171" s="3"/>
      <c r="NFP171" s="3"/>
      <c r="NFQ171" s="3"/>
      <c r="NFR171" s="3"/>
      <c r="NFS171" s="3"/>
      <c r="NFT171" s="3"/>
      <c r="NFU171" s="3"/>
      <c r="NFV171" s="3"/>
      <c r="NFW171" s="3"/>
      <c r="NFX171" s="3"/>
      <c r="NFY171" s="3"/>
      <c r="NFZ171" s="3"/>
      <c r="NGA171" s="3"/>
      <c r="NGB171" s="3"/>
      <c r="NGC171" s="3"/>
      <c r="NGD171" s="3"/>
      <c r="NGE171" s="3"/>
      <c r="NGF171" s="3"/>
      <c r="NGG171" s="3"/>
      <c r="NGH171" s="3"/>
      <c r="NGI171" s="3"/>
      <c r="NGJ171" s="3"/>
      <c r="NGK171" s="3"/>
      <c r="NGL171" s="3"/>
      <c r="NGM171" s="3"/>
      <c r="NGN171" s="3"/>
      <c r="NGO171" s="3"/>
      <c r="NGP171" s="3"/>
      <c r="NGQ171" s="3"/>
      <c r="NGR171" s="3"/>
      <c r="NGS171" s="3"/>
      <c r="NGT171" s="3"/>
      <c r="NGU171" s="3"/>
      <c r="NGV171" s="3"/>
      <c r="NGW171" s="3"/>
      <c r="NGX171" s="3"/>
      <c r="NGY171" s="3"/>
      <c r="NGZ171" s="3"/>
      <c r="NHA171" s="3"/>
      <c r="NHB171" s="3"/>
      <c r="NHC171" s="3"/>
      <c r="NHD171" s="3"/>
      <c r="NHE171" s="3"/>
      <c r="NHF171" s="3"/>
      <c r="NHG171" s="3"/>
      <c r="NHH171" s="3"/>
      <c r="NHI171" s="3"/>
      <c r="NHJ171" s="3"/>
      <c r="NHK171" s="3"/>
      <c r="NHL171" s="3"/>
      <c r="NHM171" s="3"/>
      <c r="NHN171" s="3"/>
      <c r="NHO171" s="3"/>
      <c r="NHP171" s="3"/>
      <c r="NHQ171" s="3"/>
      <c r="NHR171" s="3"/>
      <c r="NHS171" s="3"/>
      <c r="NHT171" s="3"/>
      <c r="NHU171" s="3"/>
      <c r="NHV171" s="3"/>
      <c r="NHW171" s="3"/>
      <c r="NHX171" s="3"/>
      <c r="NHY171" s="3"/>
      <c r="NHZ171" s="3"/>
      <c r="NIA171" s="3"/>
      <c r="NIB171" s="3"/>
      <c r="NIC171" s="3"/>
      <c r="NID171" s="3"/>
      <c r="NIE171" s="3"/>
      <c r="NIF171" s="3"/>
      <c r="NIG171" s="3"/>
      <c r="NIH171" s="3"/>
      <c r="NII171" s="3"/>
      <c r="NIJ171" s="3"/>
      <c r="NIK171" s="3"/>
      <c r="NIL171" s="3"/>
      <c r="NIM171" s="3"/>
      <c r="NIN171" s="3"/>
      <c r="NIO171" s="3"/>
      <c r="NIP171" s="3"/>
      <c r="NIQ171" s="3"/>
      <c r="NIR171" s="3"/>
      <c r="NIS171" s="3"/>
      <c r="NIT171" s="3"/>
      <c r="NIU171" s="3"/>
      <c r="NIV171" s="3"/>
      <c r="NIW171" s="3"/>
      <c r="NIX171" s="3"/>
      <c r="NIY171" s="3"/>
      <c r="NIZ171" s="3"/>
      <c r="NJA171" s="3"/>
      <c r="NJB171" s="3"/>
      <c r="NJC171" s="3"/>
      <c r="NJD171" s="3"/>
      <c r="NJE171" s="3"/>
      <c r="NJF171" s="3"/>
      <c r="NJG171" s="3"/>
      <c r="NJH171" s="3"/>
      <c r="NJI171" s="3"/>
      <c r="NJJ171" s="3"/>
      <c r="NJK171" s="3"/>
      <c r="NJL171" s="3"/>
      <c r="NJM171" s="3"/>
      <c r="NJN171" s="3"/>
      <c r="NJO171" s="3"/>
      <c r="NJP171" s="3"/>
      <c r="NJQ171" s="3"/>
      <c r="NJR171" s="3"/>
      <c r="NJS171" s="3"/>
      <c r="NJT171" s="3"/>
      <c r="NJU171" s="3"/>
      <c r="NJV171" s="3"/>
      <c r="NJW171" s="3"/>
      <c r="NJX171" s="3"/>
      <c r="NJY171" s="3"/>
      <c r="NJZ171" s="3"/>
      <c r="NKA171" s="3"/>
      <c r="NKB171" s="3"/>
      <c r="NKC171" s="3"/>
      <c r="NKD171" s="3"/>
      <c r="NKE171" s="3"/>
      <c r="NKF171" s="3"/>
      <c r="NKG171" s="3"/>
      <c r="NKH171" s="3"/>
      <c r="NKI171" s="3"/>
      <c r="NKJ171" s="3"/>
      <c r="NKK171" s="3"/>
      <c r="NKL171" s="3"/>
      <c r="NKM171" s="3"/>
      <c r="NKN171" s="3"/>
      <c r="NKO171" s="3"/>
      <c r="NKP171" s="3"/>
      <c r="NKQ171" s="3"/>
      <c r="NKR171" s="3"/>
      <c r="NKS171" s="3"/>
      <c r="NKT171" s="3"/>
      <c r="NKU171" s="3"/>
      <c r="NKV171" s="3"/>
      <c r="NKW171" s="3"/>
      <c r="NKX171" s="3"/>
      <c r="NKY171" s="3"/>
      <c r="NKZ171" s="3"/>
      <c r="NLA171" s="3"/>
      <c r="NLB171" s="3"/>
      <c r="NLC171" s="3"/>
      <c r="NLD171" s="3"/>
      <c r="NLE171" s="3"/>
      <c r="NLF171" s="3"/>
      <c r="NLG171" s="3"/>
      <c r="NLH171" s="3"/>
      <c r="NLI171" s="3"/>
      <c r="NLJ171" s="3"/>
      <c r="NLK171" s="3"/>
      <c r="NLL171" s="3"/>
      <c r="NLM171" s="3"/>
      <c r="NLN171" s="3"/>
      <c r="NLO171" s="3"/>
      <c r="NLP171" s="3"/>
      <c r="NLQ171" s="3"/>
      <c r="NLR171" s="3"/>
      <c r="NLS171" s="3"/>
      <c r="NLT171" s="3"/>
      <c r="NLU171" s="3"/>
      <c r="NLV171" s="3"/>
      <c r="NLW171" s="3"/>
      <c r="NLX171" s="3"/>
      <c r="NLY171" s="3"/>
      <c r="NLZ171" s="3"/>
      <c r="NMA171" s="3"/>
      <c r="NMB171" s="3"/>
      <c r="NMC171" s="3"/>
      <c r="NMD171" s="3"/>
      <c r="NME171" s="3"/>
      <c r="NMF171" s="3"/>
      <c r="NMG171" s="3"/>
      <c r="NMH171" s="3"/>
      <c r="NMI171" s="3"/>
      <c r="NMJ171" s="3"/>
      <c r="NMK171" s="3"/>
      <c r="NML171" s="3"/>
      <c r="NMM171" s="3"/>
      <c r="NMN171" s="3"/>
      <c r="NMO171" s="3"/>
      <c r="NMP171" s="3"/>
      <c r="NMQ171" s="3"/>
      <c r="NMR171" s="3"/>
      <c r="NMS171" s="3"/>
      <c r="NMT171" s="3"/>
      <c r="NMU171" s="3"/>
      <c r="NMV171" s="3"/>
      <c r="NMW171" s="3"/>
      <c r="NMX171" s="3"/>
      <c r="NMY171" s="3"/>
      <c r="NMZ171" s="3"/>
      <c r="NNA171" s="3"/>
      <c r="NNB171" s="3"/>
      <c r="NNC171" s="3"/>
      <c r="NND171" s="3"/>
      <c r="NNE171" s="3"/>
      <c r="NNF171" s="3"/>
      <c r="NNG171" s="3"/>
      <c r="NNH171" s="3"/>
      <c r="NNI171" s="3"/>
      <c r="NNJ171" s="3"/>
      <c r="NNK171" s="3"/>
      <c r="NNL171" s="3"/>
      <c r="NNM171" s="3"/>
      <c r="NNN171" s="3"/>
      <c r="NNO171" s="3"/>
      <c r="NNP171" s="3"/>
      <c r="NNQ171" s="3"/>
      <c r="NNR171" s="3"/>
      <c r="NNS171" s="3"/>
      <c r="NNT171" s="3"/>
      <c r="NNU171" s="3"/>
      <c r="NNV171" s="3"/>
      <c r="NNW171" s="3"/>
      <c r="NNX171" s="3"/>
      <c r="NNY171" s="3"/>
      <c r="NNZ171" s="3"/>
      <c r="NOA171" s="3"/>
      <c r="NOB171" s="3"/>
      <c r="NOC171" s="3"/>
      <c r="NOD171" s="3"/>
      <c r="NOE171" s="3"/>
      <c r="NOF171" s="3"/>
      <c r="NOG171" s="3"/>
      <c r="NOH171" s="3"/>
      <c r="NOI171" s="3"/>
      <c r="NOJ171" s="3"/>
      <c r="NOK171" s="3"/>
      <c r="NOL171" s="3"/>
      <c r="NOM171" s="3"/>
      <c r="NON171" s="3"/>
      <c r="NOO171" s="3"/>
      <c r="NOP171" s="3"/>
      <c r="NOQ171" s="3"/>
      <c r="NOR171" s="3"/>
      <c r="NOS171" s="3"/>
      <c r="NOT171" s="3"/>
      <c r="NOU171" s="3"/>
      <c r="NOV171" s="3"/>
      <c r="NOW171" s="3"/>
      <c r="NOX171" s="3"/>
      <c r="NOY171" s="3"/>
      <c r="NOZ171" s="3"/>
      <c r="NPA171" s="3"/>
      <c r="NPB171" s="3"/>
      <c r="NPC171" s="3"/>
      <c r="NPD171" s="3"/>
      <c r="NPE171" s="3"/>
      <c r="NPF171" s="3"/>
      <c r="NPG171" s="3"/>
      <c r="NPH171" s="3"/>
      <c r="NPI171" s="3"/>
      <c r="NPJ171" s="3"/>
      <c r="NPK171" s="3"/>
      <c r="NPL171" s="3"/>
      <c r="NPM171" s="3"/>
      <c r="NPN171" s="3"/>
      <c r="NPO171" s="3"/>
      <c r="NPP171" s="3"/>
      <c r="NPQ171" s="3"/>
      <c r="NPR171" s="3"/>
      <c r="NPS171" s="3"/>
      <c r="NPT171" s="3"/>
      <c r="NPU171" s="3"/>
      <c r="NPV171" s="3"/>
      <c r="NPW171" s="3"/>
      <c r="NPX171" s="3"/>
      <c r="NPY171" s="3"/>
      <c r="NPZ171" s="3"/>
      <c r="NQA171" s="3"/>
      <c r="NQB171" s="3"/>
      <c r="NQC171" s="3"/>
      <c r="NQD171" s="3"/>
      <c r="NQE171" s="3"/>
      <c r="NQF171" s="3"/>
      <c r="NQG171" s="3"/>
      <c r="NQH171" s="3"/>
      <c r="NQI171" s="3"/>
      <c r="NQJ171" s="3"/>
      <c r="NQK171" s="3"/>
      <c r="NQL171" s="3"/>
      <c r="NQM171" s="3"/>
      <c r="NQN171" s="3"/>
      <c r="NQO171" s="3"/>
      <c r="NQP171" s="3"/>
      <c r="NQQ171" s="3"/>
      <c r="NQR171" s="3"/>
      <c r="NQS171" s="3"/>
      <c r="NQT171" s="3"/>
      <c r="NQU171" s="3"/>
      <c r="NQV171" s="3"/>
      <c r="NQW171" s="3"/>
      <c r="NQX171" s="3"/>
      <c r="NQY171" s="3"/>
      <c r="NQZ171" s="3"/>
      <c r="NRA171" s="3"/>
      <c r="NRB171" s="3"/>
      <c r="NRC171" s="3"/>
      <c r="NRD171" s="3"/>
      <c r="NRE171" s="3"/>
      <c r="NRF171" s="3"/>
      <c r="NRG171" s="3"/>
      <c r="NRH171" s="3"/>
      <c r="NRI171" s="3"/>
      <c r="NRJ171" s="3"/>
      <c r="NRK171" s="3"/>
      <c r="NRL171" s="3"/>
      <c r="NRM171" s="3"/>
      <c r="NRN171" s="3"/>
      <c r="NRO171" s="3"/>
      <c r="NRP171" s="3"/>
      <c r="NRQ171" s="3"/>
      <c r="NRR171" s="3"/>
      <c r="NRS171" s="3"/>
      <c r="NRT171" s="3"/>
      <c r="NRU171" s="3"/>
      <c r="NRV171" s="3"/>
      <c r="NRW171" s="3"/>
      <c r="NRX171" s="3"/>
      <c r="NRY171" s="3"/>
      <c r="NRZ171" s="3"/>
      <c r="NSA171" s="3"/>
      <c r="NSB171" s="3"/>
      <c r="NSC171" s="3"/>
      <c r="NSD171" s="3"/>
      <c r="NSE171" s="3"/>
      <c r="NSF171" s="3"/>
      <c r="NSG171" s="3"/>
      <c r="NSH171" s="3"/>
      <c r="NSI171" s="3"/>
      <c r="NSJ171" s="3"/>
      <c r="NSK171" s="3"/>
      <c r="NSL171" s="3"/>
      <c r="NSM171" s="3"/>
      <c r="NSN171" s="3"/>
      <c r="NSO171" s="3"/>
      <c r="NSP171" s="3"/>
      <c r="NSQ171" s="3"/>
      <c r="NSR171" s="3"/>
      <c r="NSS171" s="3"/>
      <c r="NST171" s="3"/>
      <c r="NSU171" s="3"/>
      <c r="NSV171" s="3"/>
      <c r="NSW171" s="3"/>
      <c r="NSX171" s="3"/>
      <c r="NSY171" s="3"/>
      <c r="NSZ171" s="3"/>
      <c r="NTA171" s="3"/>
      <c r="NTB171" s="3"/>
      <c r="NTC171" s="3"/>
      <c r="NTD171" s="3"/>
      <c r="NTE171" s="3"/>
      <c r="NTF171" s="3"/>
      <c r="NTG171" s="3"/>
      <c r="NTH171" s="3"/>
      <c r="NTI171" s="3"/>
      <c r="NTJ171" s="3"/>
      <c r="NTK171" s="3"/>
      <c r="NTL171" s="3"/>
      <c r="NTM171" s="3"/>
      <c r="NTN171" s="3"/>
      <c r="NTO171" s="3"/>
      <c r="NTP171" s="3"/>
      <c r="NTQ171" s="3"/>
      <c r="NTR171" s="3"/>
      <c r="NTS171" s="3"/>
      <c r="NTT171" s="3"/>
      <c r="NTU171" s="3"/>
      <c r="NTV171" s="3"/>
      <c r="NTW171" s="3"/>
      <c r="NTX171" s="3"/>
      <c r="NTY171" s="3"/>
      <c r="NTZ171" s="3"/>
      <c r="NUA171" s="3"/>
      <c r="NUB171" s="3"/>
      <c r="NUC171" s="3"/>
      <c r="NUD171" s="3"/>
      <c r="NUE171" s="3"/>
      <c r="NUF171" s="3"/>
      <c r="NUG171" s="3"/>
      <c r="NUH171" s="3"/>
      <c r="NUI171" s="3"/>
      <c r="NUJ171" s="3"/>
      <c r="NUK171" s="3"/>
      <c r="NUL171" s="3"/>
      <c r="NUM171" s="3"/>
      <c r="NUN171" s="3"/>
      <c r="NUO171" s="3"/>
      <c r="NUP171" s="3"/>
      <c r="NUQ171" s="3"/>
      <c r="NUR171" s="3"/>
      <c r="NUS171" s="3"/>
      <c r="NUT171" s="3"/>
      <c r="NUU171" s="3"/>
      <c r="NUV171" s="3"/>
      <c r="NUW171" s="3"/>
      <c r="NUX171" s="3"/>
      <c r="NUY171" s="3"/>
      <c r="NUZ171" s="3"/>
      <c r="NVA171" s="3"/>
      <c r="NVB171" s="3"/>
      <c r="NVC171" s="3"/>
      <c r="NVD171" s="3"/>
      <c r="NVE171" s="3"/>
      <c r="NVF171" s="3"/>
      <c r="NVG171" s="3"/>
      <c r="NVH171" s="3"/>
      <c r="NVI171" s="3"/>
      <c r="NVJ171" s="3"/>
      <c r="NVK171" s="3"/>
      <c r="NVL171" s="3"/>
      <c r="NVM171" s="3"/>
      <c r="NVN171" s="3"/>
      <c r="NVO171" s="3"/>
      <c r="NVP171" s="3"/>
      <c r="NVQ171" s="3"/>
      <c r="NVR171" s="3"/>
      <c r="NVS171" s="3"/>
      <c r="NVT171" s="3"/>
      <c r="NVU171" s="3"/>
      <c r="NVV171" s="3"/>
      <c r="NVW171" s="3"/>
      <c r="NVX171" s="3"/>
      <c r="NVY171" s="3"/>
      <c r="NVZ171" s="3"/>
      <c r="NWA171" s="3"/>
      <c r="NWB171" s="3"/>
      <c r="NWC171" s="3"/>
      <c r="NWD171" s="3"/>
      <c r="NWE171" s="3"/>
      <c r="NWF171" s="3"/>
      <c r="NWG171" s="3"/>
      <c r="NWH171" s="3"/>
      <c r="NWI171" s="3"/>
      <c r="NWJ171" s="3"/>
      <c r="NWK171" s="3"/>
      <c r="NWL171" s="3"/>
      <c r="NWM171" s="3"/>
      <c r="NWN171" s="3"/>
      <c r="NWO171" s="3"/>
      <c r="NWP171" s="3"/>
      <c r="NWQ171" s="3"/>
      <c r="NWR171" s="3"/>
      <c r="NWS171" s="3"/>
      <c r="NWT171" s="3"/>
      <c r="NWU171" s="3"/>
      <c r="NWV171" s="3"/>
      <c r="NWW171" s="3"/>
      <c r="NWX171" s="3"/>
      <c r="NWY171" s="3"/>
      <c r="NWZ171" s="3"/>
      <c r="NXA171" s="3"/>
      <c r="NXB171" s="3"/>
      <c r="NXC171" s="3"/>
      <c r="NXD171" s="3"/>
      <c r="NXE171" s="3"/>
      <c r="NXF171" s="3"/>
      <c r="NXG171" s="3"/>
      <c r="NXH171" s="3"/>
      <c r="NXI171" s="3"/>
      <c r="NXJ171" s="3"/>
      <c r="NXK171" s="3"/>
      <c r="NXL171" s="3"/>
      <c r="NXM171" s="3"/>
      <c r="NXN171" s="3"/>
      <c r="NXO171" s="3"/>
      <c r="NXP171" s="3"/>
      <c r="NXQ171" s="3"/>
      <c r="NXR171" s="3"/>
      <c r="NXS171" s="3"/>
      <c r="NXT171" s="3"/>
      <c r="NXU171" s="3"/>
      <c r="NXV171" s="3"/>
      <c r="NXW171" s="3"/>
      <c r="NXX171" s="3"/>
      <c r="NXY171" s="3"/>
      <c r="NXZ171" s="3"/>
      <c r="NYA171" s="3"/>
      <c r="NYB171" s="3"/>
      <c r="NYC171" s="3"/>
      <c r="NYD171" s="3"/>
      <c r="NYE171" s="3"/>
      <c r="NYF171" s="3"/>
      <c r="NYG171" s="3"/>
      <c r="NYH171" s="3"/>
      <c r="NYI171" s="3"/>
      <c r="NYJ171" s="3"/>
      <c r="NYK171" s="3"/>
      <c r="NYL171" s="3"/>
      <c r="NYM171" s="3"/>
      <c r="NYN171" s="3"/>
      <c r="NYO171" s="3"/>
      <c r="NYP171" s="3"/>
      <c r="NYQ171" s="3"/>
      <c r="NYR171" s="3"/>
      <c r="NYS171" s="3"/>
      <c r="NYT171" s="3"/>
      <c r="NYU171" s="3"/>
      <c r="NYV171" s="3"/>
      <c r="NYW171" s="3"/>
      <c r="NYX171" s="3"/>
      <c r="NYY171" s="3"/>
      <c r="NYZ171" s="3"/>
      <c r="NZA171" s="3"/>
      <c r="NZB171" s="3"/>
      <c r="NZC171" s="3"/>
      <c r="NZD171" s="3"/>
      <c r="NZE171" s="3"/>
      <c r="NZF171" s="3"/>
      <c r="NZG171" s="3"/>
      <c r="NZH171" s="3"/>
      <c r="NZI171" s="3"/>
      <c r="NZJ171" s="3"/>
      <c r="NZK171" s="3"/>
      <c r="NZL171" s="3"/>
      <c r="NZM171" s="3"/>
      <c r="NZN171" s="3"/>
      <c r="NZO171" s="3"/>
      <c r="NZP171" s="3"/>
      <c r="NZQ171" s="3"/>
      <c r="NZR171" s="3"/>
      <c r="NZS171" s="3"/>
      <c r="NZT171" s="3"/>
      <c r="NZU171" s="3"/>
      <c r="NZV171" s="3"/>
      <c r="NZW171" s="3"/>
      <c r="NZX171" s="3"/>
      <c r="NZY171" s="3"/>
      <c r="NZZ171" s="3"/>
      <c r="OAA171" s="3"/>
      <c r="OAB171" s="3"/>
      <c r="OAC171" s="3"/>
      <c r="OAD171" s="3"/>
      <c r="OAE171" s="3"/>
      <c r="OAF171" s="3"/>
      <c r="OAG171" s="3"/>
      <c r="OAH171" s="3"/>
      <c r="OAI171" s="3"/>
      <c r="OAJ171" s="3"/>
      <c r="OAK171" s="3"/>
      <c r="OAL171" s="3"/>
      <c r="OAM171" s="3"/>
      <c r="OAN171" s="3"/>
      <c r="OAO171" s="3"/>
      <c r="OAP171" s="3"/>
      <c r="OAQ171" s="3"/>
      <c r="OAR171" s="3"/>
      <c r="OAS171" s="3"/>
      <c r="OAT171" s="3"/>
      <c r="OAU171" s="3"/>
      <c r="OAV171" s="3"/>
      <c r="OAW171" s="3"/>
      <c r="OAX171" s="3"/>
      <c r="OAY171" s="3"/>
      <c r="OAZ171" s="3"/>
      <c r="OBA171" s="3"/>
      <c r="OBB171" s="3"/>
      <c r="OBC171" s="3"/>
      <c r="OBD171" s="3"/>
      <c r="OBE171" s="3"/>
      <c r="OBF171" s="3"/>
      <c r="OBG171" s="3"/>
      <c r="OBH171" s="3"/>
      <c r="OBI171" s="3"/>
      <c r="OBJ171" s="3"/>
      <c r="OBK171" s="3"/>
      <c r="OBL171" s="3"/>
      <c r="OBM171" s="3"/>
      <c r="OBN171" s="3"/>
      <c r="OBO171" s="3"/>
      <c r="OBP171" s="3"/>
      <c r="OBQ171" s="3"/>
      <c r="OBR171" s="3"/>
      <c r="OBS171" s="3"/>
      <c r="OBT171" s="3"/>
      <c r="OBU171" s="3"/>
      <c r="OBV171" s="3"/>
      <c r="OBW171" s="3"/>
      <c r="OBX171" s="3"/>
      <c r="OBY171" s="3"/>
      <c r="OBZ171" s="3"/>
      <c r="OCA171" s="3"/>
      <c r="OCB171" s="3"/>
      <c r="OCC171" s="3"/>
      <c r="OCD171" s="3"/>
      <c r="OCE171" s="3"/>
      <c r="OCF171" s="3"/>
      <c r="OCG171" s="3"/>
      <c r="OCH171" s="3"/>
      <c r="OCI171" s="3"/>
      <c r="OCJ171" s="3"/>
      <c r="OCK171" s="3"/>
      <c r="OCL171" s="3"/>
      <c r="OCM171" s="3"/>
      <c r="OCN171" s="3"/>
      <c r="OCO171" s="3"/>
      <c r="OCP171" s="3"/>
      <c r="OCQ171" s="3"/>
      <c r="OCR171" s="3"/>
      <c r="OCS171" s="3"/>
      <c r="OCT171" s="3"/>
      <c r="OCU171" s="3"/>
      <c r="OCV171" s="3"/>
      <c r="OCW171" s="3"/>
      <c r="OCX171" s="3"/>
      <c r="OCY171" s="3"/>
      <c r="OCZ171" s="3"/>
      <c r="ODA171" s="3"/>
      <c r="ODB171" s="3"/>
      <c r="ODC171" s="3"/>
      <c r="ODD171" s="3"/>
      <c r="ODE171" s="3"/>
      <c r="ODF171" s="3"/>
      <c r="ODG171" s="3"/>
      <c r="ODH171" s="3"/>
      <c r="ODI171" s="3"/>
      <c r="ODJ171" s="3"/>
      <c r="ODK171" s="3"/>
      <c r="ODL171" s="3"/>
      <c r="ODM171" s="3"/>
      <c r="ODN171" s="3"/>
      <c r="ODO171" s="3"/>
      <c r="ODP171" s="3"/>
      <c r="ODQ171" s="3"/>
      <c r="ODR171" s="3"/>
      <c r="ODS171" s="3"/>
      <c r="ODT171" s="3"/>
      <c r="ODU171" s="3"/>
      <c r="ODV171" s="3"/>
      <c r="ODW171" s="3"/>
      <c r="ODX171" s="3"/>
      <c r="ODY171" s="3"/>
      <c r="ODZ171" s="3"/>
      <c r="OEA171" s="3"/>
      <c r="OEB171" s="3"/>
      <c r="OEC171" s="3"/>
      <c r="OED171" s="3"/>
      <c r="OEE171" s="3"/>
      <c r="OEF171" s="3"/>
      <c r="OEG171" s="3"/>
      <c r="OEH171" s="3"/>
      <c r="OEI171" s="3"/>
      <c r="OEJ171" s="3"/>
      <c r="OEK171" s="3"/>
      <c r="OEL171" s="3"/>
      <c r="OEM171" s="3"/>
      <c r="OEN171" s="3"/>
      <c r="OEO171" s="3"/>
      <c r="OEP171" s="3"/>
      <c r="OEQ171" s="3"/>
      <c r="OER171" s="3"/>
      <c r="OES171" s="3"/>
      <c r="OET171" s="3"/>
      <c r="OEU171" s="3"/>
      <c r="OEV171" s="3"/>
      <c r="OEW171" s="3"/>
      <c r="OEX171" s="3"/>
      <c r="OEY171" s="3"/>
      <c r="OEZ171" s="3"/>
      <c r="OFA171" s="3"/>
      <c r="OFB171" s="3"/>
      <c r="OFC171" s="3"/>
      <c r="OFD171" s="3"/>
      <c r="OFE171" s="3"/>
      <c r="OFF171" s="3"/>
      <c r="OFG171" s="3"/>
      <c r="OFH171" s="3"/>
      <c r="OFI171" s="3"/>
      <c r="OFJ171" s="3"/>
      <c r="OFK171" s="3"/>
      <c r="OFL171" s="3"/>
      <c r="OFM171" s="3"/>
      <c r="OFN171" s="3"/>
      <c r="OFO171" s="3"/>
      <c r="OFP171" s="3"/>
      <c r="OFQ171" s="3"/>
      <c r="OFR171" s="3"/>
      <c r="OFS171" s="3"/>
      <c r="OFT171" s="3"/>
      <c r="OFU171" s="3"/>
      <c r="OFV171" s="3"/>
      <c r="OFW171" s="3"/>
      <c r="OFX171" s="3"/>
      <c r="OFY171" s="3"/>
      <c r="OFZ171" s="3"/>
      <c r="OGA171" s="3"/>
      <c r="OGB171" s="3"/>
      <c r="OGC171" s="3"/>
      <c r="OGD171" s="3"/>
      <c r="OGE171" s="3"/>
      <c r="OGF171" s="3"/>
      <c r="OGG171" s="3"/>
      <c r="OGH171" s="3"/>
      <c r="OGI171" s="3"/>
      <c r="OGJ171" s="3"/>
      <c r="OGK171" s="3"/>
      <c r="OGL171" s="3"/>
      <c r="OGM171" s="3"/>
      <c r="OGN171" s="3"/>
      <c r="OGO171" s="3"/>
      <c r="OGP171" s="3"/>
      <c r="OGQ171" s="3"/>
      <c r="OGR171" s="3"/>
      <c r="OGS171" s="3"/>
      <c r="OGT171" s="3"/>
      <c r="OGU171" s="3"/>
      <c r="OGV171" s="3"/>
      <c r="OGW171" s="3"/>
      <c r="OGX171" s="3"/>
      <c r="OGY171" s="3"/>
      <c r="OGZ171" s="3"/>
      <c r="OHA171" s="3"/>
      <c r="OHB171" s="3"/>
      <c r="OHC171" s="3"/>
      <c r="OHD171" s="3"/>
      <c r="OHE171" s="3"/>
      <c r="OHF171" s="3"/>
      <c r="OHG171" s="3"/>
      <c r="OHH171" s="3"/>
      <c r="OHI171" s="3"/>
      <c r="OHJ171" s="3"/>
      <c r="OHK171" s="3"/>
      <c r="OHL171" s="3"/>
      <c r="OHM171" s="3"/>
      <c r="OHN171" s="3"/>
      <c r="OHO171" s="3"/>
      <c r="OHP171" s="3"/>
      <c r="OHQ171" s="3"/>
      <c r="OHR171" s="3"/>
      <c r="OHS171" s="3"/>
      <c r="OHT171" s="3"/>
      <c r="OHU171" s="3"/>
      <c r="OHV171" s="3"/>
      <c r="OHW171" s="3"/>
      <c r="OHX171" s="3"/>
      <c r="OHY171" s="3"/>
      <c r="OHZ171" s="3"/>
      <c r="OIA171" s="3"/>
      <c r="OIB171" s="3"/>
      <c r="OIC171" s="3"/>
      <c r="OID171" s="3"/>
      <c r="OIE171" s="3"/>
      <c r="OIF171" s="3"/>
      <c r="OIG171" s="3"/>
      <c r="OIH171" s="3"/>
      <c r="OII171" s="3"/>
      <c r="OIJ171" s="3"/>
      <c r="OIK171" s="3"/>
      <c r="OIL171" s="3"/>
      <c r="OIM171" s="3"/>
      <c r="OIN171" s="3"/>
      <c r="OIO171" s="3"/>
      <c r="OIP171" s="3"/>
      <c r="OIQ171" s="3"/>
      <c r="OIR171" s="3"/>
      <c r="OIS171" s="3"/>
      <c r="OIT171" s="3"/>
      <c r="OIU171" s="3"/>
      <c r="OIV171" s="3"/>
      <c r="OIW171" s="3"/>
      <c r="OIX171" s="3"/>
      <c r="OIY171" s="3"/>
      <c r="OIZ171" s="3"/>
      <c r="OJA171" s="3"/>
      <c r="OJB171" s="3"/>
      <c r="OJC171" s="3"/>
      <c r="OJD171" s="3"/>
      <c r="OJE171" s="3"/>
      <c r="OJF171" s="3"/>
      <c r="OJG171" s="3"/>
      <c r="OJH171" s="3"/>
      <c r="OJI171" s="3"/>
      <c r="OJJ171" s="3"/>
      <c r="OJK171" s="3"/>
      <c r="OJL171" s="3"/>
      <c r="OJM171" s="3"/>
      <c r="OJN171" s="3"/>
      <c r="OJO171" s="3"/>
      <c r="OJP171" s="3"/>
      <c r="OJQ171" s="3"/>
      <c r="OJR171" s="3"/>
      <c r="OJS171" s="3"/>
      <c r="OJT171" s="3"/>
      <c r="OJU171" s="3"/>
      <c r="OJV171" s="3"/>
      <c r="OJW171" s="3"/>
      <c r="OJX171" s="3"/>
      <c r="OJY171" s="3"/>
      <c r="OJZ171" s="3"/>
      <c r="OKA171" s="3"/>
      <c r="OKB171" s="3"/>
      <c r="OKC171" s="3"/>
      <c r="OKD171" s="3"/>
      <c r="OKE171" s="3"/>
      <c r="OKF171" s="3"/>
      <c r="OKG171" s="3"/>
      <c r="OKH171" s="3"/>
      <c r="OKI171" s="3"/>
      <c r="OKJ171" s="3"/>
      <c r="OKK171" s="3"/>
      <c r="OKL171" s="3"/>
      <c r="OKM171" s="3"/>
      <c r="OKN171" s="3"/>
      <c r="OKO171" s="3"/>
      <c r="OKP171" s="3"/>
      <c r="OKQ171" s="3"/>
      <c r="OKR171" s="3"/>
      <c r="OKS171" s="3"/>
      <c r="OKT171" s="3"/>
      <c r="OKU171" s="3"/>
      <c r="OKV171" s="3"/>
      <c r="OKW171" s="3"/>
      <c r="OKX171" s="3"/>
      <c r="OKY171" s="3"/>
      <c r="OKZ171" s="3"/>
      <c r="OLA171" s="3"/>
      <c r="OLB171" s="3"/>
      <c r="OLC171" s="3"/>
      <c r="OLD171" s="3"/>
      <c r="OLE171" s="3"/>
      <c r="OLF171" s="3"/>
      <c r="OLG171" s="3"/>
      <c r="OLH171" s="3"/>
      <c r="OLI171" s="3"/>
      <c r="OLJ171" s="3"/>
      <c r="OLK171" s="3"/>
      <c r="OLL171" s="3"/>
      <c r="OLM171" s="3"/>
      <c r="OLN171" s="3"/>
      <c r="OLO171" s="3"/>
      <c r="OLP171" s="3"/>
      <c r="OLQ171" s="3"/>
      <c r="OLR171" s="3"/>
      <c r="OLS171" s="3"/>
      <c r="OLT171" s="3"/>
      <c r="OLU171" s="3"/>
      <c r="OLV171" s="3"/>
      <c r="OLW171" s="3"/>
      <c r="OLX171" s="3"/>
      <c r="OLY171" s="3"/>
      <c r="OLZ171" s="3"/>
      <c r="OMA171" s="3"/>
      <c r="OMB171" s="3"/>
      <c r="OMC171" s="3"/>
      <c r="OMD171" s="3"/>
      <c r="OME171" s="3"/>
      <c r="OMF171" s="3"/>
      <c r="OMG171" s="3"/>
      <c r="OMH171" s="3"/>
      <c r="OMI171" s="3"/>
      <c r="OMJ171" s="3"/>
      <c r="OMK171" s="3"/>
      <c r="OML171" s="3"/>
      <c r="OMM171" s="3"/>
      <c r="OMN171" s="3"/>
      <c r="OMO171" s="3"/>
      <c r="OMP171" s="3"/>
      <c r="OMQ171" s="3"/>
      <c r="OMR171" s="3"/>
      <c r="OMS171" s="3"/>
      <c r="OMT171" s="3"/>
      <c r="OMU171" s="3"/>
      <c r="OMV171" s="3"/>
      <c r="OMW171" s="3"/>
      <c r="OMX171" s="3"/>
      <c r="OMY171" s="3"/>
      <c r="OMZ171" s="3"/>
      <c r="ONA171" s="3"/>
      <c r="ONB171" s="3"/>
      <c r="ONC171" s="3"/>
      <c r="OND171" s="3"/>
      <c r="ONE171" s="3"/>
      <c r="ONF171" s="3"/>
      <c r="ONG171" s="3"/>
      <c r="ONH171" s="3"/>
      <c r="ONI171" s="3"/>
      <c r="ONJ171" s="3"/>
      <c r="ONK171" s="3"/>
      <c r="ONL171" s="3"/>
      <c r="ONM171" s="3"/>
      <c r="ONN171" s="3"/>
      <c r="ONO171" s="3"/>
      <c r="ONP171" s="3"/>
      <c r="ONQ171" s="3"/>
      <c r="ONR171" s="3"/>
      <c r="ONS171" s="3"/>
      <c r="ONT171" s="3"/>
      <c r="ONU171" s="3"/>
      <c r="ONV171" s="3"/>
      <c r="ONW171" s="3"/>
      <c r="ONX171" s="3"/>
      <c r="ONY171" s="3"/>
      <c r="ONZ171" s="3"/>
      <c r="OOA171" s="3"/>
      <c r="OOB171" s="3"/>
      <c r="OOC171" s="3"/>
      <c r="OOD171" s="3"/>
      <c r="OOE171" s="3"/>
      <c r="OOF171" s="3"/>
      <c r="OOG171" s="3"/>
      <c r="OOH171" s="3"/>
      <c r="OOI171" s="3"/>
      <c r="OOJ171" s="3"/>
      <c r="OOK171" s="3"/>
      <c r="OOL171" s="3"/>
      <c r="OOM171" s="3"/>
      <c r="OON171" s="3"/>
      <c r="OOO171" s="3"/>
      <c r="OOP171" s="3"/>
      <c r="OOQ171" s="3"/>
      <c r="OOR171" s="3"/>
      <c r="OOS171" s="3"/>
      <c r="OOT171" s="3"/>
      <c r="OOU171" s="3"/>
      <c r="OOV171" s="3"/>
      <c r="OOW171" s="3"/>
      <c r="OOX171" s="3"/>
      <c r="OOY171" s="3"/>
      <c r="OOZ171" s="3"/>
      <c r="OPA171" s="3"/>
      <c r="OPB171" s="3"/>
      <c r="OPC171" s="3"/>
      <c r="OPD171" s="3"/>
      <c r="OPE171" s="3"/>
      <c r="OPF171" s="3"/>
      <c r="OPG171" s="3"/>
      <c r="OPH171" s="3"/>
      <c r="OPI171" s="3"/>
      <c r="OPJ171" s="3"/>
      <c r="OPK171" s="3"/>
      <c r="OPL171" s="3"/>
      <c r="OPM171" s="3"/>
      <c r="OPN171" s="3"/>
      <c r="OPO171" s="3"/>
      <c r="OPP171" s="3"/>
      <c r="OPQ171" s="3"/>
      <c r="OPR171" s="3"/>
      <c r="OPS171" s="3"/>
      <c r="OPT171" s="3"/>
      <c r="OPU171" s="3"/>
      <c r="OPV171" s="3"/>
      <c r="OPW171" s="3"/>
      <c r="OPX171" s="3"/>
      <c r="OPY171" s="3"/>
      <c r="OPZ171" s="3"/>
      <c r="OQA171" s="3"/>
      <c r="OQB171" s="3"/>
      <c r="OQC171" s="3"/>
      <c r="OQD171" s="3"/>
      <c r="OQE171" s="3"/>
      <c r="OQF171" s="3"/>
      <c r="OQG171" s="3"/>
      <c r="OQH171" s="3"/>
      <c r="OQI171" s="3"/>
      <c r="OQJ171" s="3"/>
      <c r="OQK171" s="3"/>
      <c r="OQL171" s="3"/>
      <c r="OQM171" s="3"/>
      <c r="OQN171" s="3"/>
      <c r="OQO171" s="3"/>
      <c r="OQP171" s="3"/>
      <c r="OQQ171" s="3"/>
      <c r="OQR171" s="3"/>
      <c r="OQS171" s="3"/>
      <c r="OQT171" s="3"/>
      <c r="OQU171" s="3"/>
      <c r="OQV171" s="3"/>
      <c r="OQW171" s="3"/>
      <c r="OQX171" s="3"/>
      <c r="OQY171" s="3"/>
      <c r="OQZ171" s="3"/>
      <c r="ORA171" s="3"/>
      <c r="ORB171" s="3"/>
      <c r="ORC171" s="3"/>
      <c r="ORD171" s="3"/>
      <c r="ORE171" s="3"/>
      <c r="ORF171" s="3"/>
      <c r="ORG171" s="3"/>
      <c r="ORH171" s="3"/>
      <c r="ORI171" s="3"/>
      <c r="ORJ171" s="3"/>
      <c r="ORK171" s="3"/>
      <c r="ORL171" s="3"/>
      <c r="ORM171" s="3"/>
      <c r="ORN171" s="3"/>
      <c r="ORO171" s="3"/>
      <c r="ORP171" s="3"/>
      <c r="ORQ171" s="3"/>
      <c r="ORR171" s="3"/>
      <c r="ORS171" s="3"/>
      <c r="ORT171" s="3"/>
      <c r="ORU171" s="3"/>
      <c r="ORV171" s="3"/>
      <c r="ORW171" s="3"/>
      <c r="ORX171" s="3"/>
      <c r="ORY171" s="3"/>
      <c r="ORZ171" s="3"/>
      <c r="OSA171" s="3"/>
      <c r="OSB171" s="3"/>
      <c r="OSC171" s="3"/>
      <c r="OSD171" s="3"/>
      <c r="OSE171" s="3"/>
      <c r="OSF171" s="3"/>
      <c r="OSG171" s="3"/>
      <c r="OSH171" s="3"/>
      <c r="OSI171" s="3"/>
      <c r="OSJ171" s="3"/>
      <c r="OSK171" s="3"/>
      <c r="OSL171" s="3"/>
      <c r="OSM171" s="3"/>
      <c r="OSN171" s="3"/>
      <c r="OSO171" s="3"/>
      <c r="OSP171" s="3"/>
      <c r="OSQ171" s="3"/>
      <c r="OSR171" s="3"/>
      <c r="OSS171" s="3"/>
      <c r="OST171" s="3"/>
      <c r="OSU171" s="3"/>
      <c r="OSV171" s="3"/>
      <c r="OSW171" s="3"/>
      <c r="OSX171" s="3"/>
      <c r="OSY171" s="3"/>
      <c r="OSZ171" s="3"/>
      <c r="OTA171" s="3"/>
      <c r="OTB171" s="3"/>
      <c r="OTC171" s="3"/>
      <c r="OTD171" s="3"/>
      <c r="OTE171" s="3"/>
      <c r="OTF171" s="3"/>
      <c r="OTG171" s="3"/>
      <c r="OTH171" s="3"/>
      <c r="OTI171" s="3"/>
      <c r="OTJ171" s="3"/>
      <c r="OTK171" s="3"/>
      <c r="OTL171" s="3"/>
      <c r="OTM171" s="3"/>
      <c r="OTN171" s="3"/>
      <c r="OTO171" s="3"/>
      <c r="OTP171" s="3"/>
      <c r="OTQ171" s="3"/>
      <c r="OTR171" s="3"/>
      <c r="OTS171" s="3"/>
      <c r="OTT171" s="3"/>
      <c r="OTU171" s="3"/>
      <c r="OTV171" s="3"/>
      <c r="OTW171" s="3"/>
      <c r="OTX171" s="3"/>
      <c r="OTY171" s="3"/>
      <c r="OTZ171" s="3"/>
      <c r="OUA171" s="3"/>
      <c r="OUB171" s="3"/>
      <c r="OUC171" s="3"/>
      <c r="OUD171" s="3"/>
      <c r="OUE171" s="3"/>
      <c r="OUF171" s="3"/>
      <c r="OUG171" s="3"/>
      <c r="OUH171" s="3"/>
      <c r="OUI171" s="3"/>
      <c r="OUJ171" s="3"/>
      <c r="OUK171" s="3"/>
      <c r="OUL171" s="3"/>
      <c r="OUM171" s="3"/>
      <c r="OUN171" s="3"/>
      <c r="OUO171" s="3"/>
      <c r="OUP171" s="3"/>
      <c r="OUQ171" s="3"/>
      <c r="OUR171" s="3"/>
      <c r="OUS171" s="3"/>
      <c r="OUT171" s="3"/>
      <c r="OUU171" s="3"/>
      <c r="OUV171" s="3"/>
      <c r="OUW171" s="3"/>
      <c r="OUX171" s="3"/>
      <c r="OUY171" s="3"/>
      <c r="OUZ171" s="3"/>
      <c r="OVA171" s="3"/>
      <c r="OVB171" s="3"/>
      <c r="OVC171" s="3"/>
      <c r="OVD171" s="3"/>
      <c r="OVE171" s="3"/>
      <c r="OVF171" s="3"/>
      <c r="OVG171" s="3"/>
      <c r="OVH171" s="3"/>
      <c r="OVI171" s="3"/>
      <c r="OVJ171" s="3"/>
      <c r="OVK171" s="3"/>
      <c r="OVL171" s="3"/>
      <c r="OVM171" s="3"/>
      <c r="OVN171" s="3"/>
      <c r="OVO171" s="3"/>
      <c r="OVP171" s="3"/>
      <c r="OVQ171" s="3"/>
      <c r="OVR171" s="3"/>
      <c r="OVS171" s="3"/>
      <c r="OVT171" s="3"/>
      <c r="OVU171" s="3"/>
      <c r="OVV171" s="3"/>
      <c r="OVW171" s="3"/>
      <c r="OVX171" s="3"/>
      <c r="OVY171" s="3"/>
      <c r="OVZ171" s="3"/>
      <c r="OWA171" s="3"/>
      <c r="OWB171" s="3"/>
      <c r="OWC171" s="3"/>
      <c r="OWD171" s="3"/>
      <c r="OWE171" s="3"/>
      <c r="OWF171" s="3"/>
      <c r="OWG171" s="3"/>
      <c r="OWH171" s="3"/>
      <c r="OWI171" s="3"/>
      <c r="OWJ171" s="3"/>
      <c r="OWK171" s="3"/>
      <c r="OWL171" s="3"/>
      <c r="OWM171" s="3"/>
      <c r="OWN171" s="3"/>
      <c r="OWO171" s="3"/>
      <c r="OWP171" s="3"/>
      <c r="OWQ171" s="3"/>
      <c r="OWR171" s="3"/>
      <c r="OWS171" s="3"/>
      <c r="OWT171" s="3"/>
      <c r="OWU171" s="3"/>
      <c r="OWV171" s="3"/>
      <c r="OWW171" s="3"/>
      <c r="OWX171" s="3"/>
      <c r="OWY171" s="3"/>
      <c r="OWZ171" s="3"/>
      <c r="OXA171" s="3"/>
      <c r="OXB171" s="3"/>
      <c r="OXC171" s="3"/>
      <c r="OXD171" s="3"/>
      <c r="OXE171" s="3"/>
      <c r="OXF171" s="3"/>
      <c r="OXG171" s="3"/>
      <c r="OXH171" s="3"/>
      <c r="OXI171" s="3"/>
      <c r="OXJ171" s="3"/>
      <c r="OXK171" s="3"/>
      <c r="OXL171" s="3"/>
      <c r="OXM171" s="3"/>
      <c r="OXN171" s="3"/>
      <c r="OXO171" s="3"/>
      <c r="OXP171" s="3"/>
      <c r="OXQ171" s="3"/>
      <c r="OXR171" s="3"/>
      <c r="OXS171" s="3"/>
      <c r="OXT171" s="3"/>
      <c r="OXU171" s="3"/>
      <c r="OXV171" s="3"/>
      <c r="OXW171" s="3"/>
      <c r="OXX171" s="3"/>
      <c r="OXY171" s="3"/>
      <c r="OXZ171" s="3"/>
      <c r="OYA171" s="3"/>
      <c r="OYB171" s="3"/>
      <c r="OYC171" s="3"/>
      <c r="OYD171" s="3"/>
      <c r="OYE171" s="3"/>
      <c r="OYF171" s="3"/>
      <c r="OYG171" s="3"/>
      <c r="OYH171" s="3"/>
      <c r="OYI171" s="3"/>
      <c r="OYJ171" s="3"/>
      <c r="OYK171" s="3"/>
      <c r="OYL171" s="3"/>
      <c r="OYM171" s="3"/>
      <c r="OYN171" s="3"/>
      <c r="OYO171" s="3"/>
      <c r="OYP171" s="3"/>
      <c r="OYQ171" s="3"/>
      <c r="OYR171" s="3"/>
      <c r="OYS171" s="3"/>
      <c r="OYT171" s="3"/>
      <c r="OYU171" s="3"/>
      <c r="OYV171" s="3"/>
      <c r="OYW171" s="3"/>
      <c r="OYX171" s="3"/>
      <c r="OYY171" s="3"/>
      <c r="OYZ171" s="3"/>
      <c r="OZA171" s="3"/>
      <c r="OZB171" s="3"/>
      <c r="OZC171" s="3"/>
      <c r="OZD171" s="3"/>
      <c r="OZE171" s="3"/>
      <c r="OZF171" s="3"/>
      <c r="OZG171" s="3"/>
      <c r="OZH171" s="3"/>
      <c r="OZI171" s="3"/>
      <c r="OZJ171" s="3"/>
      <c r="OZK171" s="3"/>
      <c r="OZL171" s="3"/>
      <c r="OZM171" s="3"/>
      <c r="OZN171" s="3"/>
      <c r="OZO171" s="3"/>
      <c r="OZP171" s="3"/>
      <c r="OZQ171" s="3"/>
      <c r="OZR171" s="3"/>
      <c r="OZS171" s="3"/>
      <c r="OZT171" s="3"/>
      <c r="OZU171" s="3"/>
      <c r="OZV171" s="3"/>
      <c r="OZW171" s="3"/>
      <c r="OZX171" s="3"/>
      <c r="OZY171" s="3"/>
      <c r="OZZ171" s="3"/>
      <c r="PAA171" s="3"/>
      <c r="PAB171" s="3"/>
      <c r="PAC171" s="3"/>
      <c r="PAD171" s="3"/>
      <c r="PAE171" s="3"/>
      <c r="PAF171" s="3"/>
      <c r="PAG171" s="3"/>
      <c r="PAH171" s="3"/>
      <c r="PAI171" s="3"/>
      <c r="PAJ171" s="3"/>
      <c r="PAK171" s="3"/>
      <c r="PAL171" s="3"/>
      <c r="PAM171" s="3"/>
      <c r="PAN171" s="3"/>
      <c r="PAO171" s="3"/>
      <c r="PAP171" s="3"/>
      <c r="PAQ171" s="3"/>
      <c r="PAR171" s="3"/>
      <c r="PAS171" s="3"/>
      <c r="PAT171" s="3"/>
      <c r="PAU171" s="3"/>
      <c r="PAV171" s="3"/>
      <c r="PAW171" s="3"/>
      <c r="PAX171" s="3"/>
      <c r="PAY171" s="3"/>
      <c r="PAZ171" s="3"/>
      <c r="PBA171" s="3"/>
      <c r="PBB171" s="3"/>
      <c r="PBC171" s="3"/>
      <c r="PBD171" s="3"/>
      <c r="PBE171" s="3"/>
      <c r="PBF171" s="3"/>
      <c r="PBG171" s="3"/>
      <c r="PBH171" s="3"/>
      <c r="PBI171" s="3"/>
      <c r="PBJ171" s="3"/>
      <c r="PBK171" s="3"/>
      <c r="PBL171" s="3"/>
      <c r="PBM171" s="3"/>
      <c r="PBN171" s="3"/>
      <c r="PBO171" s="3"/>
      <c r="PBP171" s="3"/>
      <c r="PBQ171" s="3"/>
      <c r="PBR171" s="3"/>
      <c r="PBS171" s="3"/>
      <c r="PBT171" s="3"/>
      <c r="PBU171" s="3"/>
      <c r="PBV171" s="3"/>
      <c r="PBW171" s="3"/>
      <c r="PBX171" s="3"/>
      <c r="PBY171" s="3"/>
      <c r="PBZ171" s="3"/>
      <c r="PCA171" s="3"/>
      <c r="PCB171" s="3"/>
      <c r="PCC171" s="3"/>
      <c r="PCD171" s="3"/>
      <c r="PCE171" s="3"/>
      <c r="PCF171" s="3"/>
      <c r="PCG171" s="3"/>
      <c r="PCH171" s="3"/>
      <c r="PCI171" s="3"/>
      <c r="PCJ171" s="3"/>
      <c r="PCK171" s="3"/>
      <c r="PCL171" s="3"/>
      <c r="PCM171" s="3"/>
      <c r="PCN171" s="3"/>
      <c r="PCO171" s="3"/>
      <c r="PCP171" s="3"/>
      <c r="PCQ171" s="3"/>
      <c r="PCR171" s="3"/>
      <c r="PCS171" s="3"/>
      <c r="PCT171" s="3"/>
      <c r="PCU171" s="3"/>
      <c r="PCV171" s="3"/>
      <c r="PCW171" s="3"/>
      <c r="PCX171" s="3"/>
      <c r="PCY171" s="3"/>
      <c r="PCZ171" s="3"/>
      <c r="PDA171" s="3"/>
      <c r="PDB171" s="3"/>
      <c r="PDC171" s="3"/>
      <c r="PDD171" s="3"/>
      <c r="PDE171" s="3"/>
      <c r="PDF171" s="3"/>
      <c r="PDG171" s="3"/>
      <c r="PDH171" s="3"/>
      <c r="PDI171" s="3"/>
      <c r="PDJ171" s="3"/>
      <c r="PDK171" s="3"/>
      <c r="PDL171" s="3"/>
      <c r="PDM171" s="3"/>
      <c r="PDN171" s="3"/>
      <c r="PDO171" s="3"/>
      <c r="PDP171" s="3"/>
      <c r="PDQ171" s="3"/>
      <c r="PDR171" s="3"/>
      <c r="PDS171" s="3"/>
      <c r="PDT171" s="3"/>
      <c r="PDU171" s="3"/>
      <c r="PDV171" s="3"/>
      <c r="PDW171" s="3"/>
      <c r="PDX171" s="3"/>
      <c r="PDY171" s="3"/>
      <c r="PDZ171" s="3"/>
      <c r="PEA171" s="3"/>
      <c r="PEB171" s="3"/>
      <c r="PEC171" s="3"/>
      <c r="PED171" s="3"/>
      <c r="PEE171" s="3"/>
      <c r="PEF171" s="3"/>
      <c r="PEG171" s="3"/>
      <c r="PEH171" s="3"/>
      <c r="PEI171" s="3"/>
      <c r="PEJ171" s="3"/>
      <c r="PEK171" s="3"/>
      <c r="PEL171" s="3"/>
      <c r="PEM171" s="3"/>
      <c r="PEN171" s="3"/>
      <c r="PEO171" s="3"/>
      <c r="PEP171" s="3"/>
      <c r="PEQ171" s="3"/>
      <c r="PER171" s="3"/>
      <c r="PES171" s="3"/>
      <c r="PET171" s="3"/>
      <c r="PEU171" s="3"/>
      <c r="PEV171" s="3"/>
      <c r="PEW171" s="3"/>
      <c r="PEX171" s="3"/>
      <c r="PEY171" s="3"/>
      <c r="PEZ171" s="3"/>
      <c r="PFA171" s="3"/>
      <c r="PFB171" s="3"/>
      <c r="PFC171" s="3"/>
      <c r="PFD171" s="3"/>
      <c r="PFE171" s="3"/>
      <c r="PFF171" s="3"/>
      <c r="PFG171" s="3"/>
      <c r="PFH171" s="3"/>
      <c r="PFI171" s="3"/>
      <c r="PFJ171" s="3"/>
      <c r="PFK171" s="3"/>
      <c r="PFL171" s="3"/>
      <c r="PFM171" s="3"/>
      <c r="PFN171" s="3"/>
      <c r="PFO171" s="3"/>
      <c r="PFP171" s="3"/>
      <c r="PFQ171" s="3"/>
      <c r="PFR171" s="3"/>
      <c r="PFS171" s="3"/>
      <c r="PFT171" s="3"/>
      <c r="PFU171" s="3"/>
      <c r="PFV171" s="3"/>
      <c r="PFW171" s="3"/>
      <c r="PFX171" s="3"/>
      <c r="PFY171" s="3"/>
      <c r="PFZ171" s="3"/>
      <c r="PGA171" s="3"/>
      <c r="PGB171" s="3"/>
      <c r="PGC171" s="3"/>
      <c r="PGD171" s="3"/>
      <c r="PGE171" s="3"/>
      <c r="PGF171" s="3"/>
      <c r="PGG171" s="3"/>
      <c r="PGH171" s="3"/>
      <c r="PGI171" s="3"/>
      <c r="PGJ171" s="3"/>
      <c r="PGK171" s="3"/>
      <c r="PGL171" s="3"/>
      <c r="PGM171" s="3"/>
      <c r="PGN171" s="3"/>
      <c r="PGO171" s="3"/>
      <c r="PGP171" s="3"/>
      <c r="PGQ171" s="3"/>
      <c r="PGR171" s="3"/>
      <c r="PGS171" s="3"/>
      <c r="PGT171" s="3"/>
      <c r="PGU171" s="3"/>
      <c r="PGV171" s="3"/>
      <c r="PGW171" s="3"/>
      <c r="PGX171" s="3"/>
      <c r="PGY171" s="3"/>
      <c r="PGZ171" s="3"/>
      <c r="PHA171" s="3"/>
      <c r="PHB171" s="3"/>
      <c r="PHC171" s="3"/>
      <c r="PHD171" s="3"/>
      <c r="PHE171" s="3"/>
      <c r="PHF171" s="3"/>
      <c r="PHG171" s="3"/>
      <c r="PHH171" s="3"/>
      <c r="PHI171" s="3"/>
      <c r="PHJ171" s="3"/>
      <c r="PHK171" s="3"/>
      <c r="PHL171" s="3"/>
      <c r="PHM171" s="3"/>
      <c r="PHN171" s="3"/>
      <c r="PHO171" s="3"/>
      <c r="PHP171" s="3"/>
      <c r="PHQ171" s="3"/>
      <c r="PHR171" s="3"/>
      <c r="PHS171" s="3"/>
      <c r="PHT171" s="3"/>
      <c r="PHU171" s="3"/>
      <c r="PHV171" s="3"/>
      <c r="PHW171" s="3"/>
      <c r="PHX171" s="3"/>
      <c r="PHY171" s="3"/>
      <c r="PHZ171" s="3"/>
      <c r="PIA171" s="3"/>
      <c r="PIB171" s="3"/>
      <c r="PIC171" s="3"/>
      <c r="PID171" s="3"/>
      <c r="PIE171" s="3"/>
      <c r="PIF171" s="3"/>
      <c r="PIG171" s="3"/>
      <c r="PIH171" s="3"/>
      <c r="PII171" s="3"/>
      <c r="PIJ171" s="3"/>
      <c r="PIK171" s="3"/>
      <c r="PIL171" s="3"/>
      <c r="PIM171" s="3"/>
      <c r="PIN171" s="3"/>
      <c r="PIO171" s="3"/>
      <c r="PIP171" s="3"/>
      <c r="PIQ171" s="3"/>
      <c r="PIR171" s="3"/>
      <c r="PIS171" s="3"/>
      <c r="PIT171" s="3"/>
      <c r="PIU171" s="3"/>
      <c r="PIV171" s="3"/>
      <c r="PIW171" s="3"/>
      <c r="PIX171" s="3"/>
      <c r="PIY171" s="3"/>
      <c r="PIZ171" s="3"/>
      <c r="PJA171" s="3"/>
      <c r="PJB171" s="3"/>
      <c r="PJC171" s="3"/>
      <c r="PJD171" s="3"/>
      <c r="PJE171" s="3"/>
      <c r="PJF171" s="3"/>
      <c r="PJG171" s="3"/>
      <c r="PJH171" s="3"/>
      <c r="PJI171" s="3"/>
      <c r="PJJ171" s="3"/>
      <c r="PJK171" s="3"/>
      <c r="PJL171" s="3"/>
      <c r="PJM171" s="3"/>
      <c r="PJN171" s="3"/>
      <c r="PJO171" s="3"/>
      <c r="PJP171" s="3"/>
      <c r="PJQ171" s="3"/>
      <c r="PJR171" s="3"/>
      <c r="PJS171" s="3"/>
      <c r="PJT171" s="3"/>
      <c r="PJU171" s="3"/>
      <c r="PJV171" s="3"/>
      <c r="PJW171" s="3"/>
      <c r="PJX171" s="3"/>
      <c r="PJY171" s="3"/>
      <c r="PJZ171" s="3"/>
      <c r="PKA171" s="3"/>
      <c r="PKB171" s="3"/>
      <c r="PKC171" s="3"/>
      <c r="PKD171" s="3"/>
      <c r="PKE171" s="3"/>
      <c r="PKF171" s="3"/>
      <c r="PKG171" s="3"/>
      <c r="PKH171" s="3"/>
      <c r="PKI171" s="3"/>
      <c r="PKJ171" s="3"/>
      <c r="PKK171" s="3"/>
      <c r="PKL171" s="3"/>
      <c r="PKM171" s="3"/>
      <c r="PKN171" s="3"/>
      <c r="PKO171" s="3"/>
      <c r="PKP171" s="3"/>
      <c r="PKQ171" s="3"/>
      <c r="PKR171" s="3"/>
      <c r="PKS171" s="3"/>
      <c r="PKT171" s="3"/>
      <c r="PKU171" s="3"/>
      <c r="PKV171" s="3"/>
      <c r="PKW171" s="3"/>
      <c r="PKX171" s="3"/>
      <c r="PKY171" s="3"/>
      <c r="PKZ171" s="3"/>
      <c r="PLA171" s="3"/>
      <c r="PLB171" s="3"/>
      <c r="PLC171" s="3"/>
      <c r="PLD171" s="3"/>
      <c r="PLE171" s="3"/>
      <c r="PLF171" s="3"/>
      <c r="PLG171" s="3"/>
      <c r="PLH171" s="3"/>
      <c r="PLI171" s="3"/>
      <c r="PLJ171" s="3"/>
      <c r="PLK171" s="3"/>
      <c r="PLL171" s="3"/>
      <c r="PLM171" s="3"/>
      <c r="PLN171" s="3"/>
      <c r="PLO171" s="3"/>
      <c r="PLP171" s="3"/>
      <c r="PLQ171" s="3"/>
      <c r="PLR171" s="3"/>
      <c r="PLS171" s="3"/>
      <c r="PLT171" s="3"/>
      <c r="PLU171" s="3"/>
      <c r="PLV171" s="3"/>
      <c r="PLW171" s="3"/>
      <c r="PLX171" s="3"/>
      <c r="PLY171" s="3"/>
      <c r="PLZ171" s="3"/>
      <c r="PMA171" s="3"/>
      <c r="PMB171" s="3"/>
      <c r="PMC171" s="3"/>
      <c r="PMD171" s="3"/>
      <c r="PME171" s="3"/>
      <c r="PMF171" s="3"/>
      <c r="PMG171" s="3"/>
      <c r="PMH171" s="3"/>
      <c r="PMI171" s="3"/>
      <c r="PMJ171" s="3"/>
      <c r="PMK171" s="3"/>
      <c r="PML171" s="3"/>
      <c r="PMM171" s="3"/>
      <c r="PMN171" s="3"/>
      <c r="PMO171" s="3"/>
      <c r="PMP171" s="3"/>
      <c r="PMQ171" s="3"/>
      <c r="PMR171" s="3"/>
      <c r="PMS171" s="3"/>
      <c r="PMT171" s="3"/>
      <c r="PMU171" s="3"/>
      <c r="PMV171" s="3"/>
      <c r="PMW171" s="3"/>
      <c r="PMX171" s="3"/>
      <c r="PMY171" s="3"/>
      <c r="PMZ171" s="3"/>
      <c r="PNA171" s="3"/>
      <c r="PNB171" s="3"/>
      <c r="PNC171" s="3"/>
      <c r="PND171" s="3"/>
      <c r="PNE171" s="3"/>
      <c r="PNF171" s="3"/>
      <c r="PNG171" s="3"/>
      <c r="PNH171" s="3"/>
      <c r="PNI171" s="3"/>
      <c r="PNJ171" s="3"/>
      <c r="PNK171" s="3"/>
      <c r="PNL171" s="3"/>
      <c r="PNM171" s="3"/>
      <c r="PNN171" s="3"/>
      <c r="PNO171" s="3"/>
      <c r="PNP171" s="3"/>
      <c r="PNQ171" s="3"/>
      <c r="PNR171" s="3"/>
      <c r="PNS171" s="3"/>
      <c r="PNT171" s="3"/>
      <c r="PNU171" s="3"/>
      <c r="PNV171" s="3"/>
      <c r="PNW171" s="3"/>
      <c r="PNX171" s="3"/>
      <c r="PNY171" s="3"/>
      <c r="PNZ171" s="3"/>
      <c r="POA171" s="3"/>
      <c r="POB171" s="3"/>
      <c r="POC171" s="3"/>
      <c r="POD171" s="3"/>
      <c r="POE171" s="3"/>
      <c r="POF171" s="3"/>
      <c r="POG171" s="3"/>
      <c r="POH171" s="3"/>
      <c r="POI171" s="3"/>
      <c r="POJ171" s="3"/>
      <c r="POK171" s="3"/>
      <c r="POL171" s="3"/>
      <c r="POM171" s="3"/>
      <c r="PON171" s="3"/>
      <c r="POO171" s="3"/>
      <c r="POP171" s="3"/>
      <c r="POQ171" s="3"/>
      <c r="POR171" s="3"/>
      <c r="POS171" s="3"/>
      <c r="POT171" s="3"/>
      <c r="POU171" s="3"/>
      <c r="POV171" s="3"/>
      <c r="POW171" s="3"/>
      <c r="POX171" s="3"/>
      <c r="POY171" s="3"/>
      <c r="POZ171" s="3"/>
      <c r="PPA171" s="3"/>
      <c r="PPB171" s="3"/>
      <c r="PPC171" s="3"/>
      <c r="PPD171" s="3"/>
      <c r="PPE171" s="3"/>
      <c r="PPF171" s="3"/>
      <c r="PPG171" s="3"/>
      <c r="PPH171" s="3"/>
      <c r="PPI171" s="3"/>
      <c r="PPJ171" s="3"/>
      <c r="PPK171" s="3"/>
      <c r="PPL171" s="3"/>
      <c r="PPM171" s="3"/>
      <c r="PPN171" s="3"/>
      <c r="PPO171" s="3"/>
      <c r="PPP171" s="3"/>
      <c r="PPQ171" s="3"/>
      <c r="PPR171" s="3"/>
      <c r="PPS171" s="3"/>
      <c r="PPT171" s="3"/>
      <c r="PPU171" s="3"/>
      <c r="PPV171" s="3"/>
      <c r="PPW171" s="3"/>
      <c r="PPX171" s="3"/>
      <c r="PPY171" s="3"/>
      <c r="PPZ171" s="3"/>
      <c r="PQA171" s="3"/>
      <c r="PQB171" s="3"/>
      <c r="PQC171" s="3"/>
      <c r="PQD171" s="3"/>
      <c r="PQE171" s="3"/>
      <c r="PQF171" s="3"/>
      <c r="PQG171" s="3"/>
      <c r="PQH171" s="3"/>
      <c r="PQI171" s="3"/>
      <c r="PQJ171" s="3"/>
      <c r="PQK171" s="3"/>
      <c r="PQL171" s="3"/>
      <c r="PQM171" s="3"/>
      <c r="PQN171" s="3"/>
      <c r="PQO171" s="3"/>
      <c r="PQP171" s="3"/>
      <c r="PQQ171" s="3"/>
      <c r="PQR171" s="3"/>
      <c r="PQS171" s="3"/>
      <c r="PQT171" s="3"/>
      <c r="PQU171" s="3"/>
      <c r="PQV171" s="3"/>
      <c r="PQW171" s="3"/>
      <c r="PQX171" s="3"/>
      <c r="PQY171" s="3"/>
      <c r="PQZ171" s="3"/>
      <c r="PRA171" s="3"/>
      <c r="PRB171" s="3"/>
      <c r="PRC171" s="3"/>
      <c r="PRD171" s="3"/>
      <c r="PRE171" s="3"/>
      <c r="PRF171" s="3"/>
      <c r="PRG171" s="3"/>
      <c r="PRH171" s="3"/>
      <c r="PRI171" s="3"/>
      <c r="PRJ171" s="3"/>
      <c r="PRK171" s="3"/>
      <c r="PRL171" s="3"/>
      <c r="PRM171" s="3"/>
      <c r="PRN171" s="3"/>
      <c r="PRO171" s="3"/>
      <c r="PRP171" s="3"/>
      <c r="PRQ171" s="3"/>
      <c r="PRR171" s="3"/>
      <c r="PRS171" s="3"/>
      <c r="PRT171" s="3"/>
      <c r="PRU171" s="3"/>
      <c r="PRV171" s="3"/>
      <c r="PRW171" s="3"/>
      <c r="PRX171" s="3"/>
      <c r="PRY171" s="3"/>
      <c r="PRZ171" s="3"/>
      <c r="PSA171" s="3"/>
      <c r="PSB171" s="3"/>
      <c r="PSC171" s="3"/>
      <c r="PSD171" s="3"/>
      <c r="PSE171" s="3"/>
      <c r="PSF171" s="3"/>
      <c r="PSG171" s="3"/>
      <c r="PSH171" s="3"/>
      <c r="PSI171" s="3"/>
      <c r="PSJ171" s="3"/>
      <c r="PSK171" s="3"/>
      <c r="PSL171" s="3"/>
      <c r="PSM171" s="3"/>
      <c r="PSN171" s="3"/>
      <c r="PSO171" s="3"/>
      <c r="PSP171" s="3"/>
      <c r="PSQ171" s="3"/>
      <c r="PSR171" s="3"/>
      <c r="PSS171" s="3"/>
      <c r="PST171" s="3"/>
      <c r="PSU171" s="3"/>
      <c r="PSV171" s="3"/>
      <c r="PSW171" s="3"/>
      <c r="PSX171" s="3"/>
      <c r="PSY171" s="3"/>
      <c r="PSZ171" s="3"/>
      <c r="PTA171" s="3"/>
      <c r="PTB171" s="3"/>
      <c r="PTC171" s="3"/>
      <c r="PTD171" s="3"/>
      <c r="PTE171" s="3"/>
      <c r="PTF171" s="3"/>
      <c r="PTG171" s="3"/>
      <c r="PTH171" s="3"/>
      <c r="PTI171" s="3"/>
      <c r="PTJ171" s="3"/>
      <c r="PTK171" s="3"/>
      <c r="PTL171" s="3"/>
      <c r="PTM171" s="3"/>
      <c r="PTN171" s="3"/>
      <c r="PTO171" s="3"/>
      <c r="PTP171" s="3"/>
      <c r="PTQ171" s="3"/>
      <c r="PTR171" s="3"/>
      <c r="PTS171" s="3"/>
      <c r="PTT171" s="3"/>
      <c r="PTU171" s="3"/>
      <c r="PTV171" s="3"/>
      <c r="PTW171" s="3"/>
      <c r="PTX171" s="3"/>
      <c r="PTY171" s="3"/>
      <c r="PTZ171" s="3"/>
      <c r="PUA171" s="3"/>
      <c r="PUB171" s="3"/>
      <c r="PUC171" s="3"/>
      <c r="PUD171" s="3"/>
      <c r="PUE171" s="3"/>
      <c r="PUF171" s="3"/>
      <c r="PUG171" s="3"/>
      <c r="PUH171" s="3"/>
      <c r="PUI171" s="3"/>
      <c r="PUJ171" s="3"/>
      <c r="PUK171" s="3"/>
      <c r="PUL171" s="3"/>
      <c r="PUM171" s="3"/>
      <c r="PUN171" s="3"/>
      <c r="PUO171" s="3"/>
      <c r="PUP171" s="3"/>
      <c r="PUQ171" s="3"/>
      <c r="PUR171" s="3"/>
      <c r="PUS171" s="3"/>
      <c r="PUT171" s="3"/>
      <c r="PUU171" s="3"/>
      <c r="PUV171" s="3"/>
      <c r="PUW171" s="3"/>
      <c r="PUX171" s="3"/>
      <c r="PUY171" s="3"/>
      <c r="PUZ171" s="3"/>
      <c r="PVA171" s="3"/>
      <c r="PVB171" s="3"/>
      <c r="PVC171" s="3"/>
      <c r="PVD171" s="3"/>
      <c r="PVE171" s="3"/>
      <c r="PVF171" s="3"/>
      <c r="PVG171" s="3"/>
      <c r="PVH171" s="3"/>
      <c r="PVI171" s="3"/>
      <c r="PVJ171" s="3"/>
      <c r="PVK171" s="3"/>
      <c r="PVL171" s="3"/>
      <c r="PVM171" s="3"/>
      <c r="PVN171" s="3"/>
      <c r="PVO171" s="3"/>
      <c r="PVP171" s="3"/>
      <c r="PVQ171" s="3"/>
      <c r="PVR171" s="3"/>
      <c r="PVS171" s="3"/>
      <c r="PVT171" s="3"/>
      <c r="PVU171" s="3"/>
      <c r="PVV171" s="3"/>
      <c r="PVW171" s="3"/>
      <c r="PVX171" s="3"/>
      <c r="PVY171" s="3"/>
      <c r="PVZ171" s="3"/>
      <c r="PWA171" s="3"/>
      <c r="PWB171" s="3"/>
      <c r="PWC171" s="3"/>
      <c r="PWD171" s="3"/>
      <c r="PWE171" s="3"/>
      <c r="PWF171" s="3"/>
      <c r="PWG171" s="3"/>
      <c r="PWH171" s="3"/>
      <c r="PWI171" s="3"/>
      <c r="PWJ171" s="3"/>
      <c r="PWK171" s="3"/>
      <c r="PWL171" s="3"/>
      <c r="PWM171" s="3"/>
      <c r="PWN171" s="3"/>
      <c r="PWO171" s="3"/>
      <c r="PWP171" s="3"/>
      <c r="PWQ171" s="3"/>
      <c r="PWR171" s="3"/>
      <c r="PWS171" s="3"/>
      <c r="PWT171" s="3"/>
      <c r="PWU171" s="3"/>
      <c r="PWV171" s="3"/>
      <c r="PWW171" s="3"/>
      <c r="PWX171" s="3"/>
      <c r="PWY171" s="3"/>
      <c r="PWZ171" s="3"/>
      <c r="PXA171" s="3"/>
      <c r="PXB171" s="3"/>
      <c r="PXC171" s="3"/>
      <c r="PXD171" s="3"/>
      <c r="PXE171" s="3"/>
      <c r="PXF171" s="3"/>
      <c r="PXG171" s="3"/>
      <c r="PXH171" s="3"/>
      <c r="PXI171" s="3"/>
      <c r="PXJ171" s="3"/>
      <c r="PXK171" s="3"/>
      <c r="PXL171" s="3"/>
      <c r="PXM171" s="3"/>
      <c r="PXN171" s="3"/>
      <c r="PXO171" s="3"/>
      <c r="PXP171" s="3"/>
      <c r="PXQ171" s="3"/>
      <c r="PXR171" s="3"/>
      <c r="PXS171" s="3"/>
      <c r="PXT171" s="3"/>
      <c r="PXU171" s="3"/>
      <c r="PXV171" s="3"/>
      <c r="PXW171" s="3"/>
      <c r="PXX171" s="3"/>
      <c r="PXY171" s="3"/>
      <c r="PXZ171" s="3"/>
      <c r="PYA171" s="3"/>
      <c r="PYB171" s="3"/>
      <c r="PYC171" s="3"/>
      <c r="PYD171" s="3"/>
      <c r="PYE171" s="3"/>
      <c r="PYF171" s="3"/>
      <c r="PYG171" s="3"/>
      <c r="PYH171" s="3"/>
      <c r="PYI171" s="3"/>
      <c r="PYJ171" s="3"/>
      <c r="PYK171" s="3"/>
      <c r="PYL171" s="3"/>
      <c r="PYM171" s="3"/>
      <c r="PYN171" s="3"/>
      <c r="PYO171" s="3"/>
      <c r="PYP171" s="3"/>
      <c r="PYQ171" s="3"/>
      <c r="PYR171" s="3"/>
      <c r="PYS171" s="3"/>
      <c r="PYT171" s="3"/>
      <c r="PYU171" s="3"/>
      <c r="PYV171" s="3"/>
      <c r="PYW171" s="3"/>
      <c r="PYX171" s="3"/>
      <c r="PYY171" s="3"/>
      <c r="PYZ171" s="3"/>
      <c r="PZA171" s="3"/>
      <c r="PZB171" s="3"/>
      <c r="PZC171" s="3"/>
      <c r="PZD171" s="3"/>
      <c r="PZE171" s="3"/>
      <c r="PZF171" s="3"/>
      <c r="PZG171" s="3"/>
      <c r="PZH171" s="3"/>
      <c r="PZI171" s="3"/>
      <c r="PZJ171" s="3"/>
      <c r="PZK171" s="3"/>
      <c r="PZL171" s="3"/>
      <c r="PZM171" s="3"/>
      <c r="PZN171" s="3"/>
      <c r="PZO171" s="3"/>
      <c r="PZP171" s="3"/>
      <c r="PZQ171" s="3"/>
      <c r="PZR171" s="3"/>
      <c r="PZS171" s="3"/>
      <c r="PZT171" s="3"/>
      <c r="PZU171" s="3"/>
      <c r="PZV171" s="3"/>
      <c r="PZW171" s="3"/>
      <c r="PZX171" s="3"/>
      <c r="PZY171" s="3"/>
      <c r="PZZ171" s="3"/>
      <c r="QAA171" s="3"/>
      <c r="QAB171" s="3"/>
      <c r="QAC171" s="3"/>
      <c r="QAD171" s="3"/>
      <c r="QAE171" s="3"/>
      <c r="QAF171" s="3"/>
      <c r="QAG171" s="3"/>
      <c r="QAH171" s="3"/>
      <c r="QAI171" s="3"/>
      <c r="QAJ171" s="3"/>
      <c r="QAK171" s="3"/>
      <c r="QAL171" s="3"/>
      <c r="QAM171" s="3"/>
      <c r="QAN171" s="3"/>
      <c r="QAO171" s="3"/>
      <c r="QAP171" s="3"/>
      <c r="QAQ171" s="3"/>
      <c r="QAR171" s="3"/>
      <c r="QAS171" s="3"/>
      <c r="QAT171" s="3"/>
      <c r="QAU171" s="3"/>
      <c r="QAV171" s="3"/>
      <c r="QAW171" s="3"/>
      <c r="QAX171" s="3"/>
      <c r="QAY171" s="3"/>
      <c r="QAZ171" s="3"/>
      <c r="QBA171" s="3"/>
      <c r="QBB171" s="3"/>
      <c r="QBC171" s="3"/>
      <c r="QBD171" s="3"/>
      <c r="QBE171" s="3"/>
      <c r="QBF171" s="3"/>
      <c r="QBG171" s="3"/>
      <c r="QBH171" s="3"/>
      <c r="QBI171" s="3"/>
      <c r="QBJ171" s="3"/>
      <c r="QBK171" s="3"/>
      <c r="QBL171" s="3"/>
      <c r="QBM171" s="3"/>
      <c r="QBN171" s="3"/>
      <c r="QBO171" s="3"/>
      <c r="QBP171" s="3"/>
      <c r="QBQ171" s="3"/>
      <c r="QBR171" s="3"/>
      <c r="QBS171" s="3"/>
      <c r="QBT171" s="3"/>
      <c r="QBU171" s="3"/>
      <c r="QBV171" s="3"/>
      <c r="QBW171" s="3"/>
      <c r="QBX171" s="3"/>
      <c r="QBY171" s="3"/>
      <c r="QBZ171" s="3"/>
      <c r="QCA171" s="3"/>
      <c r="QCB171" s="3"/>
      <c r="QCC171" s="3"/>
      <c r="QCD171" s="3"/>
      <c r="QCE171" s="3"/>
      <c r="QCF171" s="3"/>
      <c r="QCG171" s="3"/>
      <c r="QCH171" s="3"/>
      <c r="QCI171" s="3"/>
      <c r="QCJ171" s="3"/>
      <c r="QCK171" s="3"/>
      <c r="QCL171" s="3"/>
      <c r="QCM171" s="3"/>
      <c r="QCN171" s="3"/>
      <c r="QCO171" s="3"/>
      <c r="QCP171" s="3"/>
      <c r="QCQ171" s="3"/>
      <c r="QCR171" s="3"/>
      <c r="QCS171" s="3"/>
      <c r="QCT171" s="3"/>
      <c r="QCU171" s="3"/>
      <c r="QCV171" s="3"/>
      <c r="QCW171" s="3"/>
      <c r="QCX171" s="3"/>
      <c r="QCY171" s="3"/>
      <c r="QCZ171" s="3"/>
      <c r="QDA171" s="3"/>
      <c r="QDB171" s="3"/>
      <c r="QDC171" s="3"/>
      <c r="QDD171" s="3"/>
      <c r="QDE171" s="3"/>
      <c r="QDF171" s="3"/>
      <c r="QDG171" s="3"/>
      <c r="QDH171" s="3"/>
      <c r="QDI171" s="3"/>
      <c r="QDJ171" s="3"/>
      <c r="QDK171" s="3"/>
      <c r="QDL171" s="3"/>
      <c r="QDM171" s="3"/>
      <c r="QDN171" s="3"/>
      <c r="QDO171" s="3"/>
      <c r="QDP171" s="3"/>
      <c r="QDQ171" s="3"/>
      <c r="QDR171" s="3"/>
      <c r="QDS171" s="3"/>
      <c r="QDT171" s="3"/>
      <c r="QDU171" s="3"/>
      <c r="QDV171" s="3"/>
      <c r="QDW171" s="3"/>
      <c r="QDX171" s="3"/>
      <c r="QDY171" s="3"/>
      <c r="QDZ171" s="3"/>
      <c r="QEA171" s="3"/>
      <c r="QEB171" s="3"/>
      <c r="QEC171" s="3"/>
      <c r="QED171" s="3"/>
      <c r="QEE171" s="3"/>
      <c r="QEF171" s="3"/>
      <c r="QEG171" s="3"/>
      <c r="QEH171" s="3"/>
      <c r="QEI171" s="3"/>
      <c r="QEJ171" s="3"/>
      <c r="QEK171" s="3"/>
      <c r="QEL171" s="3"/>
      <c r="QEM171" s="3"/>
      <c r="QEN171" s="3"/>
      <c r="QEO171" s="3"/>
      <c r="QEP171" s="3"/>
      <c r="QEQ171" s="3"/>
      <c r="QER171" s="3"/>
      <c r="QES171" s="3"/>
      <c r="QET171" s="3"/>
      <c r="QEU171" s="3"/>
      <c r="QEV171" s="3"/>
      <c r="QEW171" s="3"/>
      <c r="QEX171" s="3"/>
      <c r="QEY171" s="3"/>
      <c r="QEZ171" s="3"/>
      <c r="QFA171" s="3"/>
      <c r="QFB171" s="3"/>
      <c r="QFC171" s="3"/>
      <c r="QFD171" s="3"/>
      <c r="QFE171" s="3"/>
      <c r="QFF171" s="3"/>
      <c r="QFG171" s="3"/>
      <c r="QFH171" s="3"/>
      <c r="QFI171" s="3"/>
      <c r="QFJ171" s="3"/>
      <c r="QFK171" s="3"/>
      <c r="QFL171" s="3"/>
      <c r="QFM171" s="3"/>
      <c r="QFN171" s="3"/>
      <c r="QFO171" s="3"/>
      <c r="QFP171" s="3"/>
      <c r="QFQ171" s="3"/>
      <c r="QFR171" s="3"/>
      <c r="QFS171" s="3"/>
      <c r="QFT171" s="3"/>
      <c r="QFU171" s="3"/>
      <c r="QFV171" s="3"/>
      <c r="QFW171" s="3"/>
      <c r="QFX171" s="3"/>
      <c r="QFY171" s="3"/>
      <c r="QFZ171" s="3"/>
      <c r="QGA171" s="3"/>
      <c r="QGB171" s="3"/>
      <c r="QGC171" s="3"/>
      <c r="QGD171" s="3"/>
      <c r="QGE171" s="3"/>
      <c r="QGF171" s="3"/>
      <c r="QGG171" s="3"/>
      <c r="QGH171" s="3"/>
      <c r="QGI171" s="3"/>
      <c r="QGJ171" s="3"/>
      <c r="QGK171" s="3"/>
      <c r="QGL171" s="3"/>
      <c r="QGM171" s="3"/>
      <c r="QGN171" s="3"/>
      <c r="QGO171" s="3"/>
      <c r="QGP171" s="3"/>
      <c r="QGQ171" s="3"/>
      <c r="QGR171" s="3"/>
      <c r="QGS171" s="3"/>
      <c r="QGT171" s="3"/>
      <c r="QGU171" s="3"/>
      <c r="QGV171" s="3"/>
      <c r="QGW171" s="3"/>
      <c r="QGX171" s="3"/>
      <c r="QGY171" s="3"/>
      <c r="QGZ171" s="3"/>
      <c r="QHA171" s="3"/>
      <c r="QHB171" s="3"/>
      <c r="QHC171" s="3"/>
      <c r="QHD171" s="3"/>
      <c r="QHE171" s="3"/>
      <c r="QHF171" s="3"/>
      <c r="QHG171" s="3"/>
      <c r="QHH171" s="3"/>
      <c r="QHI171" s="3"/>
      <c r="QHJ171" s="3"/>
      <c r="QHK171" s="3"/>
      <c r="QHL171" s="3"/>
      <c r="QHM171" s="3"/>
      <c r="QHN171" s="3"/>
      <c r="QHO171" s="3"/>
      <c r="QHP171" s="3"/>
      <c r="QHQ171" s="3"/>
      <c r="QHR171" s="3"/>
      <c r="QHS171" s="3"/>
      <c r="QHT171" s="3"/>
      <c r="QHU171" s="3"/>
      <c r="QHV171" s="3"/>
      <c r="QHW171" s="3"/>
      <c r="QHX171" s="3"/>
      <c r="QHY171" s="3"/>
      <c r="QHZ171" s="3"/>
      <c r="QIA171" s="3"/>
      <c r="QIB171" s="3"/>
      <c r="QIC171" s="3"/>
      <c r="QID171" s="3"/>
      <c r="QIE171" s="3"/>
      <c r="QIF171" s="3"/>
      <c r="QIG171" s="3"/>
      <c r="QIH171" s="3"/>
      <c r="QII171" s="3"/>
      <c r="QIJ171" s="3"/>
      <c r="QIK171" s="3"/>
      <c r="QIL171" s="3"/>
      <c r="QIM171" s="3"/>
      <c r="QIN171" s="3"/>
      <c r="QIO171" s="3"/>
      <c r="QIP171" s="3"/>
      <c r="QIQ171" s="3"/>
      <c r="QIR171" s="3"/>
      <c r="QIS171" s="3"/>
      <c r="QIT171" s="3"/>
      <c r="QIU171" s="3"/>
      <c r="QIV171" s="3"/>
      <c r="QIW171" s="3"/>
      <c r="QIX171" s="3"/>
      <c r="QIY171" s="3"/>
      <c r="QIZ171" s="3"/>
      <c r="QJA171" s="3"/>
      <c r="QJB171" s="3"/>
      <c r="QJC171" s="3"/>
      <c r="QJD171" s="3"/>
      <c r="QJE171" s="3"/>
      <c r="QJF171" s="3"/>
      <c r="QJG171" s="3"/>
      <c r="QJH171" s="3"/>
      <c r="QJI171" s="3"/>
      <c r="QJJ171" s="3"/>
      <c r="QJK171" s="3"/>
      <c r="QJL171" s="3"/>
      <c r="QJM171" s="3"/>
      <c r="QJN171" s="3"/>
      <c r="QJO171" s="3"/>
      <c r="QJP171" s="3"/>
      <c r="QJQ171" s="3"/>
      <c r="QJR171" s="3"/>
      <c r="QJS171" s="3"/>
      <c r="QJT171" s="3"/>
      <c r="QJU171" s="3"/>
      <c r="QJV171" s="3"/>
      <c r="QJW171" s="3"/>
      <c r="QJX171" s="3"/>
      <c r="QJY171" s="3"/>
      <c r="QJZ171" s="3"/>
      <c r="QKA171" s="3"/>
      <c r="QKB171" s="3"/>
      <c r="QKC171" s="3"/>
      <c r="QKD171" s="3"/>
      <c r="QKE171" s="3"/>
      <c r="QKF171" s="3"/>
      <c r="QKG171" s="3"/>
      <c r="QKH171" s="3"/>
      <c r="QKI171" s="3"/>
      <c r="QKJ171" s="3"/>
      <c r="QKK171" s="3"/>
      <c r="QKL171" s="3"/>
      <c r="QKM171" s="3"/>
      <c r="QKN171" s="3"/>
      <c r="QKO171" s="3"/>
      <c r="QKP171" s="3"/>
      <c r="QKQ171" s="3"/>
      <c r="QKR171" s="3"/>
      <c r="QKS171" s="3"/>
      <c r="QKT171" s="3"/>
      <c r="QKU171" s="3"/>
      <c r="QKV171" s="3"/>
      <c r="QKW171" s="3"/>
      <c r="QKX171" s="3"/>
      <c r="QKY171" s="3"/>
      <c r="QKZ171" s="3"/>
      <c r="QLA171" s="3"/>
      <c r="QLB171" s="3"/>
      <c r="QLC171" s="3"/>
      <c r="QLD171" s="3"/>
      <c r="QLE171" s="3"/>
      <c r="QLF171" s="3"/>
      <c r="QLG171" s="3"/>
      <c r="QLH171" s="3"/>
      <c r="QLI171" s="3"/>
      <c r="QLJ171" s="3"/>
      <c r="QLK171" s="3"/>
      <c r="QLL171" s="3"/>
      <c r="QLM171" s="3"/>
      <c r="QLN171" s="3"/>
      <c r="QLO171" s="3"/>
      <c r="QLP171" s="3"/>
      <c r="QLQ171" s="3"/>
      <c r="QLR171" s="3"/>
      <c r="QLS171" s="3"/>
      <c r="QLT171" s="3"/>
      <c r="QLU171" s="3"/>
      <c r="QLV171" s="3"/>
      <c r="QLW171" s="3"/>
      <c r="QLX171" s="3"/>
      <c r="QLY171" s="3"/>
      <c r="QLZ171" s="3"/>
      <c r="QMA171" s="3"/>
      <c r="QMB171" s="3"/>
      <c r="QMC171" s="3"/>
      <c r="QMD171" s="3"/>
      <c r="QME171" s="3"/>
      <c r="QMF171" s="3"/>
      <c r="QMG171" s="3"/>
      <c r="QMH171" s="3"/>
      <c r="QMI171" s="3"/>
      <c r="QMJ171" s="3"/>
      <c r="QMK171" s="3"/>
      <c r="QML171" s="3"/>
      <c r="QMM171" s="3"/>
      <c r="QMN171" s="3"/>
      <c r="QMO171" s="3"/>
      <c r="QMP171" s="3"/>
      <c r="QMQ171" s="3"/>
      <c r="QMR171" s="3"/>
      <c r="QMS171" s="3"/>
      <c r="QMT171" s="3"/>
      <c r="QMU171" s="3"/>
      <c r="QMV171" s="3"/>
      <c r="QMW171" s="3"/>
      <c r="QMX171" s="3"/>
      <c r="QMY171" s="3"/>
      <c r="QMZ171" s="3"/>
      <c r="QNA171" s="3"/>
      <c r="QNB171" s="3"/>
      <c r="QNC171" s="3"/>
      <c r="QND171" s="3"/>
      <c r="QNE171" s="3"/>
      <c r="QNF171" s="3"/>
      <c r="QNG171" s="3"/>
      <c r="QNH171" s="3"/>
      <c r="QNI171" s="3"/>
      <c r="QNJ171" s="3"/>
      <c r="QNK171" s="3"/>
      <c r="QNL171" s="3"/>
      <c r="QNM171" s="3"/>
      <c r="QNN171" s="3"/>
      <c r="QNO171" s="3"/>
      <c r="QNP171" s="3"/>
      <c r="QNQ171" s="3"/>
      <c r="QNR171" s="3"/>
      <c r="QNS171" s="3"/>
      <c r="QNT171" s="3"/>
      <c r="QNU171" s="3"/>
      <c r="QNV171" s="3"/>
      <c r="QNW171" s="3"/>
      <c r="QNX171" s="3"/>
      <c r="QNY171" s="3"/>
      <c r="QNZ171" s="3"/>
      <c r="QOA171" s="3"/>
      <c r="QOB171" s="3"/>
      <c r="QOC171" s="3"/>
      <c r="QOD171" s="3"/>
      <c r="QOE171" s="3"/>
      <c r="QOF171" s="3"/>
      <c r="QOG171" s="3"/>
      <c r="QOH171" s="3"/>
      <c r="QOI171" s="3"/>
      <c r="QOJ171" s="3"/>
      <c r="QOK171" s="3"/>
      <c r="QOL171" s="3"/>
      <c r="QOM171" s="3"/>
      <c r="QON171" s="3"/>
      <c r="QOO171" s="3"/>
      <c r="QOP171" s="3"/>
      <c r="QOQ171" s="3"/>
      <c r="QOR171" s="3"/>
      <c r="QOS171" s="3"/>
      <c r="QOT171" s="3"/>
      <c r="QOU171" s="3"/>
      <c r="QOV171" s="3"/>
      <c r="QOW171" s="3"/>
      <c r="QOX171" s="3"/>
      <c r="QOY171" s="3"/>
      <c r="QOZ171" s="3"/>
      <c r="QPA171" s="3"/>
      <c r="QPB171" s="3"/>
      <c r="QPC171" s="3"/>
      <c r="QPD171" s="3"/>
      <c r="QPE171" s="3"/>
      <c r="QPF171" s="3"/>
      <c r="QPG171" s="3"/>
      <c r="QPH171" s="3"/>
      <c r="QPI171" s="3"/>
      <c r="QPJ171" s="3"/>
      <c r="QPK171" s="3"/>
      <c r="QPL171" s="3"/>
      <c r="QPM171" s="3"/>
      <c r="QPN171" s="3"/>
      <c r="QPO171" s="3"/>
      <c r="QPP171" s="3"/>
      <c r="QPQ171" s="3"/>
      <c r="QPR171" s="3"/>
      <c r="QPS171" s="3"/>
      <c r="QPT171" s="3"/>
      <c r="QPU171" s="3"/>
      <c r="QPV171" s="3"/>
      <c r="QPW171" s="3"/>
      <c r="QPX171" s="3"/>
      <c r="QPY171" s="3"/>
      <c r="QPZ171" s="3"/>
      <c r="QQA171" s="3"/>
      <c r="QQB171" s="3"/>
      <c r="QQC171" s="3"/>
      <c r="QQD171" s="3"/>
      <c r="QQE171" s="3"/>
      <c r="QQF171" s="3"/>
      <c r="QQG171" s="3"/>
      <c r="QQH171" s="3"/>
      <c r="QQI171" s="3"/>
      <c r="QQJ171" s="3"/>
      <c r="QQK171" s="3"/>
      <c r="QQL171" s="3"/>
      <c r="QQM171" s="3"/>
      <c r="QQN171" s="3"/>
      <c r="QQO171" s="3"/>
      <c r="QQP171" s="3"/>
      <c r="QQQ171" s="3"/>
      <c r="QQR171" s="3"/>
      <c r="QQS171" s="3"/>
      <c r="QQT171" s="3"/>
      <c r="QQU171" s="3"/>
      <c r="QQV171" s="3"/>
      <c r="QQW171" s="3"/>
      <c r="QQX171" s="3"/>
      <c r="QQY171" s="3"/>
      <c r="QQZ171" s="3"/>
      <c r="QRA171" s="3"/>
      <c r="QRB171" s="3"/>
      <c r="QRC171" s="3"/>
      <c r="QRD171" s="3"/>
      <c r="QRE171" s="3"/>
      <c r="QRF171" s="3"/>
      <c r="QRG171" s="3"/>
      <c r="QRH171" s="3"/>
      <c r="QRI171" s="3"/>
      <c r="QRJ171" s="3"/>
      <c r="QRK171" s="3"/>
      <c r="QRL171" s="3"/>
      <c r="QRM171" s="3"/>
      <c r="QRN171" s="3"/>
      <c r="QRO171" s="3"/>
      <c r="QRP171" s="3"/>
      <c r="QRQ171" s="3"/>
      <c r="QRR171" s="3"/>
      <c r="QRS171" s="3"/>
      <c r="QRT171" s="3"/>
      <c r="QRU171" s="3"/>
      <c r="QRV171" s="3"/>
      <c r="QRW171" s="3"/>
      <c r="QRX171" s="3"/>
      <c r="QRY171" s="3"/>
      <c r="QRZ171" s="3"/>
      <c r="QSA171" s="3"/>
      <c r="QSB171" s="3"/>
      <c r="QSC171" s="3"/>
      <c r="QSD171" s="3"/>
      <c r="QSE171" s="3"/>
      <c r="QSF171" s="3"/>
      <c r="QSG171" s="3"/>
      <c r="QSH171" s="3"/>
      <c r="QSI171" s="3"/>
      <c r="QSJ171" s="3"/>
      <c r="QSK171" s="3"/>
      <c r="QSL171" s="3"/>
      <c r="QSM171" s="3"/>
      <c r="QSN171" s="3"/>
      <c r="QSO171" s="3"/>
      <c r="QSP171" s="3"/>
      <c r="QSQ171" s="3"/>
      <c r="QSR171" s="3"/>
      <c r="QSS171" s="3"/>
      <c r="QST171" s="3"/>
      <c r="QSU171" s="3"/>
      <c r="QSV171" s="3"/>
      <c r="QSW171" s="3"/>
      <c r="QSX171" s="3"/>
      <c r="QSY171" s="3"/>
      <c r="QSZ171" s="3"/>
      <c r="QTA171" s="3"/>
      <c r="QTB171" s="3"/>
      <c r="QTC171" s="3"/>
      <c r="QTD171" s="3"/>
      <c r="QTE171" s="3"/>
      <c r="QTF171" s="3"/>
      <c r="QTG171" s="3"/>
      <c r="QTH171" s="3"/>
      <c r="QTI171" s="3"/>
      <c r="QTJ171" s="3"/>
      <c r="QTK171" s="3"/>
      <c r="QTL171" s="3"/>
      <c r="QTM171" s="3"/>
      <c r="QTN171" s="3"/>
      <c r="QTO171" s="3"/>
      <c r="QTP171" s="3"/>
      <c r="QTQ171" s="3"/>
      <c r="QTR171" s="3"/>
      <c r="QTS171" s="3"/>
      <c r="QTT171" s="3"/>
      <c r="QTU171" s="3"/>
      <c r="QTV171" s="3"/>
      <c r="QTW171" s="3"/>
      <c r="QTX171" s="3"/>
      <c r="QTY171" s="3"/>
      <c r="QTZ171" s="3"/>
      <c r="QUA171" s="3"/>
      <c r="QUB171" s="3"/>
      <c r="QUC171" s="3"/>
      <c r="QUD171" s="3"/>
      <c r="QUE171" s="3"/>
      <c r="QUF171" s="3"/>
      <c r="QUG171" s="3"/>
      <c r="QUH171" s="3"/>
      <c r="QUI171" s="3"/>
      <c r="QUJ171" s="3"/>
      <c r="QUK171" s="3"/>
      <c r="QUL171" s="3"/>
      <c r="QUM171" s="3"/>
      <c r="QUN171" s="3"/>
      <c r="QUO171" s="3"/>
      <c r="QUP171" s="3"/>
      <c r="QUQ171" s="3"/>
      <c r="QUR171" s="3"/>
      <c r="QUS171" s="3"/>
      <c r="QUT171" s="3"/>
      <c r="QUU171" s="3"/>
      <c r="QUV171" s="3"/>
      <c r="QUW171" s="3"/>
      <c r="QUX171" s="3"/>
      <c r="QUY171" s="3"/>
      <c r="QUZ171" s="3"/>
      <c r="QVA171" s="3"/>
      <c r="QVB171" s="3"/>
      <c r="QVC171" s="3"/>
      <c r="QVD171" s="3"/>
      <c r="QVE171" s="3"/>
      <c r="QVF171" s="3"/>
      <c r="QVG171" s="3"/>
      <c r="QVH171" s="3"/>
      <c r="QVI171" s="3"/>
      <c r="QVJ171" s="3"/>
      <c r="QVK171" s="3"/>
      <c r="QVL171" s="3"/>
      <c r="QVM171" s="3"/>
      <c r="QVN171" s="3"/>
      <c r="QVO171" s="3"/>
      <c r="QVP171" s="3"/>
      <c r="QVQ171" s="3"/>
      <c r="QVR171" s="3"/>
      <c r="QVS171" s="3"/>
      <c r="QVT171" s="3"/>
      <c r="QVU171" s="3"/>
      <c r="QVV171" s="3"/>
      <c r="QVW171" s="3"/>
      <c r="QVX171" s="3"/>
      <c r="QVY171" s="3"/>
      <c r="QVZ171" s="3"/>
      <c r="QWA171" s="3"/>
      <c r="QWB171" s="3"/>
      <c r="QWC171" s="3"/>
      <c r="QWD171" s="3"/>
      <c r="QWE171" s="3"/>
      <c r="QWF171" s="3"/>
      <c r="QWG171" s="3"/>
      <c r="QWH171" s="3"/>
      <c r="QWI171" s="3"/>
      <c r="QWJ171" s="3"/>
      <c r="QWK171" s="3"/>
      <c r="QWL171" s="3"/>
      <c r="QWM171" s="3"/>
      <c r="QWN171" s="3"/>
      <c r="QWO171" s="3"/>
      <c r="QWP171" s="3"/>
      <c r="QWQ171" s="3"/>
      <c r="QWR171" s="3"/>
      <c r="QWS171" s="3"/>
      <c r="QWT171" s="3"/>
      <c r="QWU171" s="3"/>
      <c r="QWV171" s="3"/>
      <c r="QWW171" s="3"/>
      <c r="QWX171" s="3"/>
      <c r="QWY171" s="3"/>
      <c r="QWZ171" s="3"/>
      <c r="QXA171" s="3"/>
      <c r="QXB171" s="3"/>
      <c r="QXC171" s="3"/>
      <c r="QXD171" s="3"/>
      <c r="QXE171" s="3"/>
      <c r="QXF171" s="3"/>
      <c r="QXG171" s="3"/>
      <c r="QXH171" s="3"/>
      <c r="QXI171" s="3"/>
      <c r="QXJ171" s="3"/>
      <c r="QXK171" s="3"/>
      <c r="QXL171" s="3"/>
      <c r="QXM171" s="3"/>
      <c r="QXN171" s="3"/>
      <c r="QXO171" s="3"/>
      <c r="QXP171" s="3"/>
      <c r="QXQ171" s="3"/>
      <c r="QXR171" s="3"/>
      <c r="QXS171" s="3"/>
      <c r="QXT171" s="3"/>
      <c r="QXU171" s="3"/>
      <c r="QXV171" s="3"/>
      <c r="QXW171" s="3"/>
      <c r="QXX171" s="3"/>
      <c r="QXY171" s="3"/>
      <c r="QXZ171" s="3"/>
      <c r="QYA171" s="3"/>
      <c r="QYB171" s="3"/>
      <c r="QYC171" s="3"/>
      <c r="QYD171" s="3"/>
      <c r="QYE171" s="3"/>
      <c r="QYF171" s="3"/>
      <c r="QYG171" s="3"/>
      <c r="QYH171" s="3"/>
      <c r="QYI171" s="3"/>
      <c r="QYJ171" s="3"/>
      <c r="QYK171" s="3"/>
      <c r="QYL171" s="3"/>
      <c r="QYM171" s="3"/>
      <c r="QYN171" s="3"/>
      <c r="QYO171" s="3"/>
      <c r="QYP171" s="3"/>
      <c r="QYQ171" s="3"/>
      <c r="QYR171" s="3"/>
      <c r="QYS171" s="3"/>
      <c r="QYT171" s="3"/>
      <c r="QYU171" s="3"/>
      <c r="QYV171" s="3"/>
      <c r="QYW171" s="3"/>
      <c r="QYX171" s="3"/>
      <c r="QYY171" s="3"/>
      <c r="QYZ171" s="3"/>
      <c r="QZA171" s="3"/>
      <c r="QZB171" s="3"/>
      <c r="QZC171" s="3"/>
      <c r="QZD171" s="3"/>
      <c r="QZE171" s="3"/>
      <c r="QZF171" s="3"/>
      <c r="QZG171" s="3"/>
      <c r="QZH171" s="3"/>
      <c r="QZI171" s="3"/>
      <c r="QZJ171" s="3"/>
      <c r="QZK171" s="3"/>
      <c r="QZL171" s="3"/>
      <c r="QZM171" s="3"/>
      <c r="QZN171" s="3"/>
      <c r="QZO171" s="3"/>
      <c r="QZP171" s="3"/>
      <c r="QZQ171" s="3"/>
      <c r="QZR171" s="3"/>
      <c r="QZS171" s="3"/>
      <c r="QZT171" s="3"/>
      <c r="QZU171" s="3"/>
      <c r="QZV171" s="3"/>
      <c r="QZW171" s="3"/>
      <c r="QZX171" s="3"/>
      <c r="QZY171" s="3"/>
      <c r="QZZ171" s="3"/>
      <c r="RAA171" s="3"/>
      <c r="RAB171" s="3"/>
      <c r="RAC171" s="3"/>
      <c r="RAD171" s="3"/>
      <c r="RAE171" s="3"/>
      <c r="RAF171" s="3"/>
      <c r="RAG171" s="3"/>
      <c r="RAH171" s="3"/>
      <c r="RAI171" s="3"/>
      <c r="RAJ171" s="3"/>
      <c r="RAK171" s="3"/>
      <c r="RAL171" s="3"/>
      <c r="RAM171" s="3"/>
      <c r="RAN171" s="3"/>
      <c r="RAO171" s="3"/>
      <c r="RAP171" s="3"/>
      <c r="RAQ171" s="3"/>
      <c r="RAR171" s="3"/>
      <c r="RAS171" s="3"/>
      <c r="RAT171" s="3"/>
      <c r="RAU171" s="3"/>
      <c r="RAV171" s="3"/>
      <c r="RAW171" s="3"/>
      <c r="RAX171" s="3"/>
      <c r="RAY171" s="3"/>
      <c r="RAZ171" s="3"/>
      <c r="RBA171" s="3"/>
      <c r="RBB171" s="3"/>
      <c r="RBC171" s="3"/>
      <c r="RBD171" s="3"/>
      <c r="RBE171" s="3"/>
      <c r="RBF171" s="3"/>
      <c r="RBG171" s="3"/>
      <c r="RBH171" s="3"/>
      <c r="RBI171" s="3"/>
      <c r="RBJ171" s="3"/>
      <c r="RBK171" s="3"/>
      <c r="RBL171" s="3"/>
      <c r="RBM171" s="3"/>
      <c r="RBN171" s="3"/>
      <c r="RBO171" s="3"/>
      <c r="RBP171" s="3"/>
      <c r="RBQ171" s="3"/>
      <c r="RBR171" s="3"/>
      <c r="RBS171" s="3"/>
      <c r="RBT171" s="3"/>
      <c r="RBU171" s="3"/>
      <c r="RBV171" s="3"/>
      <c r="RBW171" s="3"/>
      <c r="RBX171" s="3"/>
      <c r="RBY171" s="3"/>
      <c r="RBZ171" s="3"/>
      <c r="RCA171" s="3"/>
      <c r="RCB171" s="3"/>
      <c r="RCC171" s="3"/>
      <c r="RCD171" s="3"/>
      <c r="RCE171" s="3"/>
      <c r="RCF171" s="3"/>
      <c r="RCG171" s="3"/>
      <c r="RCH171" s="3"/>
      <c r="RCI171" s="3"/>
      <c r="RCJ171" s="3"/>
      <c r="RCK171" s="3"/>
      <c r="RCL171" s="3"/>
      <c r="RCM171" s="3"/>
      <c r="RCN171" s="3"/>
      <c r="RCO171" s="3"/>
      <c r="RCP171" s="3"/>
      <c r="RCQ171" s="3"/>
      <c r="RCR171" s="3"/>
      <c r="RCS171" s="3"/>
      <c r="RCT171" s="3"/>
      <c r="RCU171" s="3"/>
      <c r="RCV171" s="3"/>
      <c r="RCW171" s="3"/>
      <c r="RCX171" s="3"/>
      <c r="RCY171" s="3"/>
      <c r="RCZ171" s="3"/>
      <c r="RDA171" s="3"/>
      <c r="RDB171" s="3"/>
      <c r="RDC171" s="3"/>
      <c r="RDD171" s="3"/>
      <c r="RDE171" s="3"/>
      <c r="RDF171" s="3"/>
      <c r="RDG171" s="3"/>
      <c r="RDH171" s="3"/>
      <c r="RDI171" s="3"/>
      <c r="RDJ171" s="3"/>
      <c r="RDK171" s="3"/>
      <c r="RDL171" s="3"/>
      <c r="RDM171" s="3"/>
      <c r="RDN171" s="3"/>
      <c r="RDO171" s="3"/>
      <c r="RDP171" s="3"/>
      <c r="RDQ171" s="3"/>
      <c r="RDR171" s="3"/>
      <c r="RDS171" s="3"/>
      <c r="RDT171" s="3"/>
      <c r="RDU171" s="3"/>
      <c r="RDV171" s="3"/>
      <c r="RDW171" s="3"/>
      <c r="RDX171" s="3"/>
      <c r="RDY171" s="3"/>
      <c r="RDZ171" s="3"/>
      <c r="REA171" s="3"/>
      <c r="REB171" s="3"/>
      <c r="REC171" s="3"/>
      <c r="RED171" s="3"/>
      <c r="REE171" s="3"/>
      <c r="REF171" s="3"/>
      <c r="REG171" s="3"/>
      <c r="REH171" s="3"/>
      <c r="REI171" s="3"/>
      <c r="REJ171" s="3"/>
      <c r="REK171" s="3"/>
      <c r="REL171" s="3"/>
      <c r="REM171" s="3"/>
      <c r="REN171" s="3"/>
      <c r="REO171" s="3"/>
      <c r="REP171" s="3"/>
      <c r="REQ171" s="3"/>
      <c r="RER171" s="3"/>
      <c r="RES171" s="3"/>
      <c r="RET171" s="3"/>
      <c r="REU171" s="3"/>
      <c r="REV171" s="3"/>
      <c r="REW171" s="3"/>
      <c r="REX171" s="3"/>
      <c r="REY171" s="3"/>
      <c r="REZ171" s="3"/>
      <c r="RFA171" s="3"/>
      <c r="RFB171" s="3"/>
      <c r="RFC171" s="3"/>
      <c r="RFD171" s="3"/>
      <c r="RFE171" s="3"/>
      <c r="RFF171" s="3"/>
      <c r="RFG171" s="3"/>
      <c r="RFH171" s="3"/>
      <c r="RFI171" s="3"/>
      <c r="RFJ171" s="3"/>
      <c r="RFK171" s="3"/>
      <c r="RFL171" s="3"/>
      <c r="RFM171" s="3"/>
      <c r="RFN171" s="3"/>
      <c r="RFO171" s="3"/>
      <c r="RFP171" s="3"/>
      <c r="RFQ171" s="3"/>
      <c r="RFR171" s="3"/>
      <c r="RFS171" s="3"/>
      <c r="RFT171" s="3"/>
      <c r="RFU171" s="3"/>
      <c r="RFV171" s="3"/>
      <c r="RFW171" s="3"/>
      <c r="RFX171" s="3"/>
      <c r="RFY171" s="3"/>
      <c r="RFZ171" s="3"/>
      <c r="RGA171" s="3"/>
      <c r="RGB171" s="3"/>
      <c r="RGC171" s="3"/>
      <c r="RGD171" s="3"/>
      <c r="RGE171" s="3"/>
      <c r="RGF171" s="3"/>
      <c r="RGG171" s="3"/>
      <c r="RGH171" s="3"/>
      <c r="RGI171" s="3"/>
      <c r="RGJ171" s="3"/>
      <c r="RGK171" s="3"/>
      <c r="RGL171" s="3"/>
      <c r="RGM171" s="3"/>
      <c r="RGN171" s="3"/>
      <c r="RGO171" s="3"/>
      <c r="RGP171" s="3"/>
      <c r="RGQ171" s="3"/>
      <c r="RGR171" s="3"/>
      <c r="RGS171" s="3"/>
      <c r="RGT171" s="3"/>
      <c r="RGU171" s="3"/>
      <c r="RGV171" s="3"/>
      <c r="RGW171" s="3"/>
      <c r="RGX171" s="3"/>
      <c r="RGY171" s="3"/>
      <c r="RGZ171" s="3"/>
      <c r="RHA171" s="3"/>
      <c r="RHB171" s="3"/>
      <c r="RHC171" s="3"/>
      <c r="RHD171" s="3"/>
      <c r="RHE171" s="3"/>
      <c r="RHF171" s="3"/>
      <c r="RHG171" s="3"/>
      <c r="RHH171" s="3"/>
      <c r="RHI171" s="3"/>
      <c r="RHJ171" s="3"/>
      <c r="RHK171" s="3"/>
      <c r="RHL171" s="3"/>
      <c r="RHM171" s="3"/>
      <c r="RHN171" s="3"/>
      <c r="RHO171" s="3"/>
      <c r="RHP171" s="3"/>
      <c r="RHQ171" s="3"/>
      <c r="RHR171" s="3"/>
      <c r="RHS171" s="3"/>
      <c r="RHT171" s="3"/>
      <c r="RHU171" s="3"/>
      <c r="RHV171" s="3"/>
      <c r="RHW171" s="3"/>
      <c r="RHX171" s="3"/>
      <c r="RHY171" s="3"/>
      <c r="RHZ171" s="3"/>
      <c r="RIA171" s="3"/>
      <c r="RIB171" s="3"/>
      <c r="RIC171" s="3"/>
      <c r="RID171" s="3"/>
      <c r="RIE171" s="3"/>
      <c r="RIF171" s="3"/>
      <c r="RIG171" s="3"/>
      <c r="RIH171" s="3"/>
      <c r="RII171" s="3"/>
      <c r="RIJ171" s="3"/>
      <c r="RIK171" s="3"/>
      <c r="RIL171" s="3"/>
      <c r="RIM171" s="3"/>
      <c r="RIN171" s="3"/>
      <c r="RIO171" s="3"/>
      <c r="RIP171" s="3"/>
      <c r="RIQ171" s="3"/>
      <c r="RIR171" s="3"/>
      <c r="RIS171" s="3"/>
      <c r="RIT171" s="3"/>
      <c r="RIU171" s="3"/>
      <c r="RIV171" s="3"/>
      <c r="RIW171" s="3"/>
      <c r="RIX171" s="3"/>
      <c r="RIY171" s="3"/>
      <c r="RIZ171" s="3"/>
      <c r="RJA171" s="3"/>
      <c r="RJB171" s="3"/>
      <c r="RJC171" s="3"/>
      <c r="RJD171" s="3"/>
      <c r="RJE171" s="3"/>
      <c r="RJF171" s="3"/>
      <c r="RJG171" s="3"/>
      <c r="RJH171" s="3"/>
      <c r="RJI171" s="3"/>
      <c r="RJJ171" s="3"/>
      <c r="RJK171" s="3"/>
      <c r="RJL171" s="3"/>
      <c r="RJM171" s="3"/>
      <c r="RJN171" s="3"/>
      <c r="RJO171" s="3"/>
      <c r="RJP171" s="3"/>
      <c r="RJQ171" s="3"/>
      <c r="RJR171" s="3"/>
      <c r="RJS171" s="3"/>
      <c r="RJT171" s="3"/>
      <c r="RJU171" s="3"/>
      <c r="RJV171" s="3"/>
      <c r="RJW171" s="3"/>
      <c r="RJX171" s="3"/>
      <c r="RJY171" s="3"/>
      <c r="RJZ171" s="3"/>
      <c r="RKA171" s="3"/>
      <c r="RKB171" s="3"/>
      <c r="RKC171" s="3"/>
      <c r="RKD171" s="3"/>
      <c r="RKE171" s="3"/>
      <c r="RKF171" s="3"/>
      <c r="RKG171" s="3"/>
      <c r="RKH171" s="3"/>
      <c r="RKI171" s="3"/>
      <c r="RKJ171" s="3"/>
      <c r="RKK171" s="3"/>
      <c r="RKL171" s="3"/>
      <c r="RKM171" s="3"/>
      <c r="RKN171" s="3"/>
      <c r="RKO171" s="3"/>
      <c r="RKP171" s="3"/>
      <c r="RKQ171" s="3"/>
      <c r="RKR171" s="3"/>
      <c r="RKS171" s="3"/>
      <c r="RKT171" s="3"/>
      <c r="RKU171" s="3"/>
      <c r="RKV171" s="3"/>
      <c r="RKW171" s="3"/>
      <c r="RKX171" s="3"/>
      <c r="RKY171" s="3"/>
      <c r="RKZ171" s="3"/>
      <c r="RLA171" s="3"/>
      <c r="RLB171" s="3"/>
      <c r="RLC171" s="3"/>
      <c r="RLD171" s="3"/>
      <c r="RLE171" s="3"/>
      <c r="RLF171" s="3"/>
      <c r="RLG171" s="3"/>
      <c r="RLH171" s="3"/>
      <c r="RLI171" s="3"/>
      <c r="RLJ171" s="3"/>
      <c r="RLK171" s="3"/>
      <c r="RLL171" s="3"/>
      <c r="RLM171" s="3"/>
      <c r="RLN171" s="3"/>
      <c r="RLO171" s="3"/>
      <c r="RLP171" s="3"/>
      <c r="RLQ171" s="3"/>
      <c r="RLR171" s="3"/>
      <c r="RLS171" s="3"/>
      <c r="RLT171" s="3"/>
      <c r="RLU171" s="3"/>
      <c r="RLV171" s="3"/>
      <c r="RLW171" s="3"/>
      <c r="RLX171" s="3"/>
      <c r="RLY171" s="3"/>
      <c r="RLZ171" s="3"/>
      <c r="RMA171" s="3"/>
      <c r="RMB171" s="3"/>
      <c r="RMC171" s="3"/>
      <c r="RMD171" s="3"/>
      <c r="RME171" s="3"/>
      <c r="RMF171" s="3"/>
      <c r="RMG171" s="3"/>
      <c r="RMH171" s="3"/>
      <c r="RMI171" s="3"/>
      <c r="RMJ171" s="3"/>
      <c r="RMK171" s="3"/>
      <c r="RML171" s="3"/>
      <c r="RMM171" s="3"/>
      <c r="RMN171" s="3"/>
      <c r="RMO171" s="3"/>
      <c r="RMP171" s="3"/>
      <c r="RMQ171" s="3"/>
      <c r="RMR171" s="3"/>
      <c r="RMS171" s="3"/>
      <c r="RMT171" s="3"/>
      <c r="RMU171" s="3"/>
      <c r="RMV171" s="3"/>
      <c r="RMW171" s="3"/>
      <c r="RMX171" s="3"/>
      <c r="RMY171" s="3"/>
      <c r="RMZ171" s="3"/>
      <c r="RNA171" s="3"/>
      <c r="RNB171" s="3"/>
      <c r="RNC171" s="3"/>
      <c r="RND171" s="3"/>
      <c r="RNE171" s="3"/>
      <c r="RNF171" s="3"/>
      <c r="RNG171" s="3"/>
      <c r="RNH171" s="3"/>
      <c r="RNI171" s="3"/>
      <c r="RNJ171" s="3"/>
      <c r="RNK171" s="3"/>
      <c r="RNL171" s="3"/>
      <c r="RNM171" s="3"/>
      <c r="RNN171" s="3"/>
      <c r="RNO171" s="3"/>
      <c r="RNP171" s="3"/>
      <c r="RNQ171" s="3"/>
      <c r="RNR171" s="3"/>
      <c r="RNS171" s="3"/>
      <c r="RNT171" s="3"/>
      <c r="RNU171" s="3"/>
      <c r="RNV171" s="3"/>
      <c r="RNW171" s="3"/>
      <c r="RNX171" s="3"/>
      <c r="RNY171" s="3"/>
      <c r="RNZ171" s="3"/>
      <c r="ROA171" s="3"/>
      <c r="ROB171" s="3"/>
      <c r="ROC171" s="3"/>
      <c r="ROD171" s="3"/>
      <c r="ROE171" s="3"/>
      <c r="ROF171" s="3"/>
      <c r="ROG171" s="3"/>
      <c r="ROH171" s="3"/>
      <c r="ROI171" s="3"/>
      <c r="ROJ171" s="3"/>
      <c r="ROK171" s="3"/>
      <c r="ROL171" s="3"/>
      <c r="ROM171" s="3"/>
      <c r="RON171" s="3"/>
      <c r="ROO171" s="3"/>
      <c r="ROP171" s="3"/>
      <c r="ROQ171" s="3"/>
      <c r="ROR171" s="3"/>
      <c r="ROS171" s="3"/>
      <c r="ROT171" s="3"/>
      <c r="ROU171" s="3"/>
      <c r="ROV171" s="3"/>
      <c r="ROW171" s="3"/>
      <c r="ROX171" s="3"/>
      <c r="ROY171" s="3"/>
      <c r="ROZ171" s="3"/>
      <c r="RPA171" s="3"/>
      <c r="RPB171" s="3"/>
      <c r="RPC171" s="3"/>
      <c r="RPD171" s="3"/>
      <c r="RPE171" s="3"/>
      <c r="RPF171" s="3"/>
      <c r="RPG171" s="3"/>
      <c r="RPH171" s="3"/>
      <c r="RPI171" s="3"/>
      <c r="RPJ171" s="3"/>
      <c r="RPK171" s="3"/>
      <c r="RPL171" s="3"/>
      <c r="RPM171" s="3"/>
      <c r="RPN171" s="3"/>
      <c r="RPO171" s="3"/>
      <c r="RPP171" s="3"/>
      <c r="RPQ171" s="3"/>
      <c r="RPR171" s="3"/>
      <c r="RPS171" s="3"/>
      <c r="RPT171" s="3"/>
      <c r="RPU171" s="3"/>
      <c r="RPV171" s="3"/>
      <c r="RPW171" s="3"/>
      <c r="RPX171" s="3"/>
      <c r="RPY171" s="3"/>
      <c r="RPZ171" s="3"/>
      <c r="RQA171" s="3"/>
      <c r="RQB171" s="3"/>
      <c r="RQC171" s="3"/>
      <c r="RQD171" s="3"/>
      <c r="RQE171" s="3"/>
      <c r="RQF171" s="3"/>
      <c r="RQG171" s="3"/>
      <c r="RQH171" s="3"/>
      <c r="RQI171" s="3"/>
      <c r="RQJ171" s="3"/>
      <c r="RQK171" s="3"/>
      <c r="RQL171" s="3"/>
      <c r="RQM171" s="3"/>
      <c r="RQN171" s="3"/>
      <c r="RQO171" s="3"/>
      <c r="RQP171" s="3"/>
      <c r="RQQ171" s="3"/>
      <c r="RQR171" s="3"/>
      <c r="RQS171" s="3"/>
      <c r="RQT171" s="3"/>
      <c r="RQU171" s="3"/>
      <c r="RQV171" s="3"/>
      <c r="RQW171" s="3"/>
      <c r="RQX171" s="3"/>
      <c r="RQY171" s="3"/>
      <c r="RQZ171" s="3"/>
      <c r="RRA171" s="3"/>
      <c r="RRB171" s="3"/>
      <c r="RRC171" s="3"/>
      <c r="RRD171" s="3"/>
      <c r="RRE171" s="3"/>
      <c r="RRF171" s="3"/>
      <c r="RRG171" s="3"/>
      <c r="RRH171" s="3"/>
      <c r="RRI171" s="3"/>
      <c r="RRJ171" s="3"/>
      <c r="RRK171" s="3"/>
      <c r="RRL171" s="3"/>
      <c r="RRM171" s="3"/>
      <c r="RRN171" s="3"/>
      <c r="RRO171" s="3"/>
      <c r="RRP171" s="3"/>
      <c r="RRQ171" s="3"/>
      <c r="RRR171" s="3"/>
      <c r="RRS171" s="3"/>
      <c r="RRT171" s="3"/>
      <c r="RRU171" s="3"/>
      <c r="RRV171" s="3"/>
      <c r="RRW171" s="3"/>
      <c r="RRX171" s="3"/>
      <c r="RRY171" s="3"/>
      <c r="RRZ171" s="3"/>
      <c r="RSA171" s="3"/>
      <c r="RSB171" s="3"/>
      <c r="RSC171" s="3"/>
      <c r="RSD171" s="3"/>
      <c r="RSE171" s="3"/>
      <c r="RSF171" s="3"/>
      <c r="RSG171" s="3"/>
      <c r="RSH171" s="3"/>
      <c r="RSI171" s="3"/>
      <c r="RSJ171" s="3"/>
      <c r="RSK171" s="3"/>
      <c r="RSL171" s="3"/>
      <c r="RSM171" s="3"/>
      <c r="RSN171" s="3"/>
      <c r="RSO171" s="3"/>
      <c r="RSP171" s="3"/>
      <c r="RSQ171" s="3"/>
      <c r="RSR171" s="3"/>
      <c r="RSS171" s="3"/>
      <c r="RST171" s="3"/>
      <c r="RSU171" s="3"/>
      <c r="RSV171" s="3"/>
      <c r="RSW171" s="3"/>
      <c r="RSX171" s="3"/>
      <c r="RSY171" s="3"/>
      <c r="RSZ171" s="3"/>
      <c r="RTA171" s="3"/>
      <c r="RTB171" s="3"/>
      <c r="RTC171" s="3"/>
      <c r="RTD171" s="3"/>
      <c r="RTE171" s="3"/>
      <c r="RTF171" s="3"/>
      <c r="RTG171" s="3"/>
      <c r="RTH171" s="3"/>
      <c r="RTI171" s="3"/>
      <c r="RTJ171" s="3"/>
      <c r="RTK171" s="3"/>
      <c r="RTL171" s="3"/>
      <c r="RTM171" s="3"/>
      <c r="RTN171" s="3"/>
      <c r="RTO171" s="3"/>
      <c r="RTP171" s="3"/>
      <c r="RTQ171" s="3"/>
      <c r="RTR171" s="3"/>
      <c r="RTS171" s="3"/>
      <c r="RTT171" s="3"/>
      <c r="RTU171" s="3"/>
      <c r="RTV171" s="3"/>
      <c r="RTW171" s="3"/>
      <c r="RTX171" s="3"/>
      <c r="RTY171" s="3"/>
      <c r="RTZ171" s="3"/>
      <c r="RUA171" s="3"/>
      <c r="RUB171" s="3"/>
      <c r="RUC171" s="3"/>
      <c r="RUD171" s="3"/>
      <c r="RUE171" s="3"/>
      <c r="RUF171" s="3"/>
      <c r="RUG171" s="3"/>
      <c r="RUH171" s="3"/>
      <c r="RUI171" s="3"/>
      <c r="RUJ171" s="3"/>
      <c r="RUK171" s="3"/>
      <c r="RUL171" s="3"/>
      <c r="RUM171" s="3"/>
      <c r="RUN171" s="3"/>
      <c r="RUO171" s="3"/>
      <c r="RUP171" s="3"/>
      <c r="RUQ171" s="3"/>
      <c r="RUR171" s="3"/>
      <c r="RUS171" s="3"/>
      <c r="RUT171" s="3"/>
      <c r="RUU171" s="3"/>
      <c r="RUV171" s="3"/>
      <c r="RUW171" s="3"/>
      <c r="RUX171" s="3"/>
      <c r="RUY171" s="3"/>
      <c r="RUZ171" s="3"/>
      <c r="RVA171" s="3"/>
      <c r="RVB171" s="3"/>
      <c r="RVC171" s="3"/>
      <c r="RVD171" s="3"/>
      <c r="RVE171" s="3"/>
      <c r="RVF171" s="3"/>
      <c r="RVG171" s="3"/>
      <c r="RVH171" s="3"/>
      <c r="RVI171" s="3"/>
      <c r="RVJ171" s="3"/>
      <c r="RVK171" s="3"/>
      <c r="RVL171" s="3"/>
      <c r="RVM171" s="3"/>
      <c r="RVN171" s="3"/>
      <c r="RVO171" s="3"/>
      <c r="RVP171" s="3"/>
      <c r="RVQ171" s="3"/>
      <c r="RVR171" s="3"/>
      <c r="RVS171" s="3"/>
      <c r="RVT171" s="3"/>
      <c r="RVU171" s="3"/>
      <c r="RVV171" s="3"/>
      <c r="RVW171" s="3"/>
      <c r="RVX171" s="3"/>
      <c r="RVY171" s="3"/>
      <c r="RVZ171" s="3"/>
      <c r="RWA171" s="3"/>
      <c r="RWB171" s="3"/>
      <c r="RWC171" s="3"/>
      <c r="RWD171" s="3"/>
      <c r="RWE171" s="3"/>
      <c r="RWF171" s="3"/>
      <c r="RWG171" s="3"/>
      <c r="RWH171" s="3"/>
      <c r="RWI171" s="3"/>
      <c r="RWJ171" s="3"/>
      <c r="RWK171" s="3"/>
      <c r="RWL171" s="3"/>
      <c r="RWM171" s="3"/>
      <c r="RWN171" s="3"/>
      <c r="RWO171" s="3"/>
      <c r="RWP171" s="3"/>
      <c r="RWQ171" s="3"/>
      <c r="RWR171" s="3"/>
      <c r="RWS171" s="3"/>
      <c r="RWT171" s="3"/>
      <c r="RWU171" s="3"/>
      <c r="RWV171" s="3"/>
      <c r="RWW171" s="3"/>
      <c r="RWX171" s="3"/>
      <c r="RWY171" s="3"/>
      <c r="RWZ171" s="3"/>
      <c r="RXA171" s="3"/>
      <c r="RXB171" s="3"/>
      <c r="RXC171" s="3"/>
      <c r="RXD171" s="3"/>
      <c r="RXE171" s="3"/>
      <c r="RXF171" s="3"/>
      <c r="RXG171" s="3"/>
      <c r="RXH171" s="3"/>
      <c r="RXI171" s="3"/>
      <c r="RXJ171" s="3"/>
      <c r="RXK171" s="3"/>
      <c r="RXL171" s="3"/>
      <c r="RXM171" s="3"/>
      <c r="RXN171" s="3"/>
      <c r="RXO171" s="3"/>
      <c r="RXP171" s="3"/>
      <c r="RXQ171" s="3"/>
      <c r="RXR171" s="3"/>
      <c r="RXS171" s="3"/>
      <c r="RXT171" s="3"/>
      <c r="RXU171" s="3"/>
      <c r="RXV171" s="3"/>
      <c r="RXW171" s="3"/>
      <c r="RXX171" s="3"/>
      <c r="RXY171" s="3"/>
      <c r="RXZ171" s="3"/>
      <c r="RYA171" s="3"/>
      <c r="RYB171" s="3"/>
      <c r="RYC171" s="3"/>
      <c r="RYD171" s="3"/>
      <c r="RYE171" s="3"/>
      <c r="RYF171" s="3"/>
      <c r="RYG171" s="3"/>
      <c r="RYH171" s="3"/>
      <c r="RYI171" s="3"/>
      <c r="RYJ171" s="3"/>
      <c r="RYK171" s="3"/>
      <c r="RYL171" s="3"/>
      <c r="RYM171" s="3"/>
      <c r="RYN171" s="3"/>
      <c r="RYO171" s="3"/>
      <c r="RYP171" s="3"/>
      <c r="RYQ171" s="3"/>
      <c r="RYR171" s="3"/>
      <c r="RYS171" s="3"/>
      <c r="RYT171" s="3"/>
      <c r="RYU171" s="3"/>
      <c r="RYV171" s="3"/>
      <c r="RYW171" s="3"/>
      <c r="RYX171" s="3"/>
      <c r="RYY171" s="3"/>
      <c r="RYZ171" s="3"/>
      <c r="RZA171" s="3"/>
      <c r="RZB171" s="3"/>
      <c r="RZC171" s="3"/>
      <c r="RZD171" s="3"/>
      <c r="RZE171" s="3"/>
      <c r="RZF171" s="3"/>
      <c r="RZG171" s="3"/>
      <c r="RZH171" s="3"/>
      <c r="RZI171" s="3"/>
      <c r="RZJ171" s="3"/>
      <c r="RZK171" s="3"/>
      <c r="RZL171" s="3"/>
      <c r="RZM171" s="3"/>
      <c r="RZN171" s="3"/>
      <c r="RZO171" s="3"/>
      <c r="RZP171" s="3"/>
      <c r="RZQ171" s="3"/>
      <c r="RZR171" s="3"/>
      <c r="RZS171" s="3"/>
      <c r="RZT171" s="3"/>
      <c r="RZU171" s="3"/>
      <c r="RZV171" s="3"/>
      <c r="RZW171" s="3"/>
      <c r="RZX171" s="3"/>
      <c r="RZY171" s="3"/>
      <c r="RZZ171" s="3"/>
      <c r="SAA171" s="3"/>
      <c r="SAB171" s="3"/>
      <c r="SAC171" s="3"/>
      <c r="SAD171" s="3"/>
      <c r="SAE171" s="3"/>
      <c r="SAF171" s="3"/>
      <c r="SAG171" s="3"/>
      <c r="SAH171" s="3"/>
      <c r="SAI171" s="3"/>
      <c r="SAJ171" s="3"/>
      <c r="SAK171" s="3"/>
      <c r="SAL171" s="3"/>
      <c r="SAM171" s="3"/>
      <c r="SAN171" s="3"/>
      <c r="SAO171" s="3"/>
      <c r="SAP171" s="3"/>
      <c r="SAQ171" s="3"/>
      <c r="SAR171" s="3"/>
      <c r="SAS171" s="3"/>
      <c r="SAT171" s="3"/>
      <c r="SAU171" s="3"/>
      <c r="SAV171" s="3"/>
      <c r="SAW171" s="3"/>
      <c r="SAX171" s="3"/>
      <c r="SAY171" s="3"/>
      <c r="SAZ171" s="3"/>
      <c r="SBA171" s="3"/>
      <c r="SBB171" s="3"/>
      <c r="SBC171" s="3"/>
      <c r="SBD171" s="3"/>
      <c r="SBE171" s="3"/>
      <c r="SBF171" s="3"/>
      <c r="SBG171" s="3"/>
      <c r="SBH171" s="3"/>
      <c r="SBI171" s="3"/>
      <c r="SBJ171" s="3"/>
      <c r="SBK171" s="3"/>
      <c r="SBL171" s="3"/>
      <c r="SBM171" s="3"/>
      <c r="SBN171" s="3"/>
      <c r="SBO171" s="3"/>
      <c r="SBP171" s="3"/>
      <c r="SBQ171" s="3"/>
      <c r="SBR171" s="3"/>
      <c r="SBS171" s="3"/>
      <c r="SBT171" s="3"/>
      <c r="SBU171" s="3"/>
      <c r="SBV171" s="3"/>
      <c r="SBW171" s="3"/>
      <c r="SBX171" s="3"/>
      <c r="SBY171" s="3"/>
      <c r="SBZ171" s="3"/>
      <c r="SCA171" s="3"/>
      <c r="SCB171" s="3"/>
      <c r="SCC171" s="3"/>
      <c r="SCD171" s="3"/>
      <c r="SCE171" s="3"/>
      <c r="SCF171" s="3"/>
      <c r="SCG171" s="3"/>
      <c r="SCH171" s="3"/>
      <c r="SCI171" s="3"/>
      <c r="SCJ171" s="3"/>
      <c r="SCK171" s="3"/>
      <c r="SCL171" s="3"/>
      <c r="SCM171" s="3"/>
      <c r="SCN171" s="3"/>
      <c r="SCO171" s="3"/>
      <c r="SCP171" s="3"/>
      <c r="SCQ171" s="3"/>
      <c r="SCR171" s="3"/>
      <c r="SCS171" s="3"/>
      <c r="SCT171" s="3"/>
      <c r="SCU171" s="3"/>
      <c r="SCV171" s="3"/>
      <c r="SCW171" s="3"/>
      <c r="SCX171" s="3"/>
      <c r="SCY171" s="3"/>
      <c r="SCZ171" s="3"/>
      <c r="SDA171" s="3"/>
      <c r="SDB171" s="3"/>
      <c r="SDC171" s="3"/>
      <c r="SDD171" s="3"/>
      <c r="SDE171" s="3"/>
      <c r="SDF171" s="3"/>
      <c r="SDG171" s="3"/>
      <c r="SDH171" s="3"/>
      <c r="SDI171" s="3"/>
      <c r="SDJ171" s="3"/>
      <c r="SDK171" s="3"/>
      <c r="SDL171" s="3"/>
      <c r="SDM171" s="3"/>
      <c r="SDN171" s="3"/>
      <c r="SDO171" s="3"/>
      <c r="SDP171" s="3"/>
      <c r="SDQ171" s="3"/>
      <c r="SDR171" s="3"/>
      <c r="SDS171" s="3"/>
      <c r="SDT171" s="3"/>
      <c r="SDU171" s="3"/>
      <c r="SDV171" s="3"/>
      <c r="SDW171" s="3"/>
      <c r="SDX171" s="3"/>
      <c r="SDY171" s="3"/>
      <c r="SDZ171" s="3"/>
      <c r="SEA171" s="3"/>
      <c r="SEB171" s="3"/>
      <c r="SEC171" s="3"/>
      <c r="SED171" s="3"/>
      <c r="SEE171" s="3"/>
      <c r="SEF171" s="3"/>
      <c r="SEG171" s="3"/>
      <c r="SEH171" s="3"/>
      <c r="SEI171" s="3"/>
      <c r="SEJ171" s="3"/>
      <c r="SEK171" s="3"/>
      <c r="SEL171" s="3"/>
      <c r="SEM171" s="3"/>
      <c r="SEN171" s="3"/>
      <c r="SEO171" s="3"/>
      <c r="SEP171" s="3"/>
      <c r="SEQ171" s="3"/>
      <c r="SER171" s="3"/>
      <c r="SES171" s="3"/>
      <c r="SET171" s="3"/>
      <c r="SEU171" s="3"/>
      <c r="SEV171" s="3"/>
      <c r="SEW171" s="3"/>
      <c r="SEX171" s="3"/>
      <c r="SEY171" s="3"/>
      <c r="SEZ171" s="3"/>
      <c r="SFA171" s="3"/>
      <c r="SFB171" s="3"/>
      <c r="SFC171" s="3"/>
      <c r="SFD171" s="3"/>
      <c r="SFE171" s="3"/>
      <c r="SFF171" s="3"/>
      <c r="SFG171" s="3"/>
      <c r="SFH171" s="3"/>
      <c r="SFI171" s="3"/>
      <c r="SFJ171" s="3"/>
      <c r="SFK171" s="3"/>
      <c r="SFL171" s="3"/>
      <c r="SFM171" s="3"/>
      <c r="SFN171" s="3"/>
      <c r="SFO171" s="3"/>
      <c r="SFP171" s="3"/>
      <c r="SFQ171" s="3"/>
      <c r="SFR171" s="3"/>
      <c r="SFS171" s="3"/>
      <c r="SFT171" s="3"/>
      <c r="SFU171" s="3"/>
      <c r="SFV171" s="3"/>
      <c r="SFW171" s="3"/>
      <c r="SFX171" s="3"/>
      <c r="SFY171" s="3"/>
      <c r="SFZ171" s="3"/>
      <c r="SGA171" s="3"/>
      <c r="SGB171" s="3"/>
      <c r="SGC171" s="3"/>
      <c r="SGD171" s="3"/>
      <c r="SGE171" s="3"/>
      <c r="SGF171" s="3"/>
      <c r="SGG171" s="3"/>
      <c r="SGH171" s="3"/>
      <c r="SGI171" s="3"/>
      <c r="SGJ171" s="3"/>
      <c r="SGK171" s="3"/>
      <c r="SGL171" s="3"/>
      <c r="SGM171" s="3"/>
      <c r="SGN171" s="3"/>
      <c r="SGO171" s="3"/>
      <c r="SGP171" s="3"/>
      <c r="SGQ171" s="3"/>
      <c r="SGR171" s="3"/>
      <c r="SGS171" s="3"/>
      <c r="SGT171" s="3"/>
      <c r="SGU171" s="3"/>
      <c r="SGV171" s="3"/>
      <c r="SGW171" s="3"/>
      <c r="SGX171" s="3"/>
      <c r="SGY171" s="3"/>
      <c r="SGZ171" s="3"/>
      <c r="SHA171" s="3"/>
      <c r="SHB171" s="3"/>
      <c r="SHC171" s="3"/>
      <c r="SHD171" s="3"/>
      <c r="SHE171" s="3"/>
      <c r="SHF171" s="3"/>
      <c r="SHG171" s="3"/>
      <c r="SHH171" s="3"/>
      <c r="SHI171" s="3"/>
      <c r="SHJ171" s="3"/>
      <c r="SHK171" s="3"/>
      <c r="SHL171" s="3"/>
      <c r="SHM171" s="3"/>
      <c r="SHN171" s="3"/>
      <c r="SHO171" s="3"/>
      <c r="SHP171" s="3"/>
      <c r="SHQ171" s="3"/>
      <c r="SHR171" s="3"/>
      <c r="SHS171" s="3"/>
      <c r="SHT171" s="3"/>
      <c r="SHU171" s="3"/>
      <c r="SHV171" s="3"/>
      <c r="SHW171" s="3"/>
      <c r="SHX171" s="3"/>
      <c r="SHY171" s="3"/>
      <c r="SHZ171" s="3"/>
      <c r="SIA171" s="3"/>
      <c r="SIB171" s="3"/>
      <c r="SIC171" s="3"/>
      <c r="SID171" s="3"/>
      <c r="SIE171" s="3"/>
      <c r="SIF171" s="3"/>
      <c r="SIG171" s="3"/>
      <c r="SIH171" s="3"/>
      <c r="SII171" s="3"/>
      <c r="SIJ171" s="3"/>
      <c r="SIK171" s="3"/>
      <c r="SIL171" s="3"/>
      <c r="SIM171" s="3"/>
      <c r="SIN171" s="3"/>
      <c r="SIO171" s="3"/>
      <c r="SIP171" s="3"/>
      <c r="SIQ171" s="3"/>
      <c r="SIR171" s="3"/>
      <c r="SIS171" s="3"/>
      <c r="SIT171" s="3"/>
      <c r="SIU171" s="3"/>
      <c r="SIV171" s="3"/>
      <c r="SIW171" s="3"/>
      <c r="SIX171" s="3"/>
      <c r="SIY171" s="3"/>
      <c r="SIZ171" s="3"/>
      <c r="SJA171" s="3"/>
      <c r="SJB171" s="3"/>
      <c r="SJC171" s="3"/>
      <c r="SJD171" s="3"/>
      <c r="SJE171" s="3"/>
      <c r="SJF171" s="3"/>
      <c r="SJG171" s="3"/>
      <c r="SJH171" s="3"/>
      <c r="SJI171" s="3"/>
      <c r="SJJ171" s="3"/>
      <c r="SJK171" s="3"/>
      <c r="SJL171" s="3"/>
      <c r="SJM171" s="3"/>
      <c r="SJN171" s="3"/>
      <c r="SJO171" s="3"/>
      <c r="SJP171" s="3"/>
      <c r="SJQ171" s="3"/>
      <c r="SJR171" s="3"/>
      <c r="SJS171" s="3"/>
      <c r="SJT171" s="3"/>
      <c r="SJU171" s="3"/>
      <c r="SJV171" s="3"/>
      <c r="SJW171" s="3"/>
      <c r="SJX171" s="3"/>
      <c r="SJY171" s="3"/>
      <c r="SJZ171" s="3"/>
      <c r="SKA171" s="3"/>
      <c r="SKB171" s="3"/>
      <c r="SKC171" s="3"/>
      <c r="SKD171" s="3"/>
      <c r="SKE171" s="3"/>
      <c r="SKF171" s="3"/>
      <c r="SKG171" s="3"/>
      <c r="SKH171" s="3"/>
      <c r="SKI171" s="3"/>
      <c r="SKJ171" s="3"/>
      <c r="SKK171" s="3"/>
      <c r="SKL171" s="3"/>
      <c r="SKM171" s="3"/>
      <c r="SKN171" s="3"/>
      <c r="SKO171" s="3"/>
      <c r="SKP171" s="3"/>
      <c r="SKQ171" s="3"/>
      <c r="SKR171" s="3"/>
      <c r="SKS171" s="3"/>
      <c r="SKT171" s="3"/>
      <c r="SKU171" s="3"/>
      <c r="SKV171" s="3"/>
      <c r="SKW171" s="3"/>
      <c r="SKX171" s="3"/>
      <c r="SKY171" s="3"/>
      <c r="SKZ171" s="3"/>
      <c r="SLA171" s="3"/>
      <c r="SLB171" s="3"/>
      <c r="SLC171" s="3"/>
      <c r="SLD171" s="3"/>
      <c r="SLE171" s="3"/>
      <c r="SLF171" s="3"/>
      <c r="SLG171" s="3"/>
      <c r="SLH171" s="3"/>
      <c r="SLI171" s="3"/>
      <c r="SLJ171" s="3"/>
      <c r="SLK171" s="3"/>
      <c r="SLL171" s="3"/>
      <c r="SLM171" s="3"/>
      <c r="SLN171" s="3"/>
      <c r="SLO171" s="3"/>
      <c r="SLP171" s="3"/>
      <c r="SLQ171" s="3"/>
      <c r="SLR171" s="3"/>
      <c r="SLS171" s="3"/>
      <c r="SLT171" s="3"/>
      <c r="SLU171" s="3"/>
      <c r="SLV171" s="3"/>
      <c r="SLW171" s="3"/>
      <c r="SLX171" s="3"/>
      <c r="SLY171" s="3"/>
      <c r="SLZ171" s="3"/>
      <c r="SMA171" s="3"/>
      <c r="SMB171" s="3"/>
      <c r="SMC171" s="3"/>
      <c r="SMD171" s="3"/>
      <c r="SME171" s="3"/>
      <c r="SMF171" s="3"/>
      <c r="SMG171" s="3"/>
      <c r="SMH171" s="3"/>
      <c r="SMI171" s="3"/>
      <c r="SMJ171" s="3"/>
      <c r="SMK171" s="3"/>
      <c r="SML171" s="3"/>
      <c r="SMM171" s="3"/>
      <c r="SMN171" s="3"/>
      <c r="SMO171" s="3"/>
      <c r="SMP171" s="3"/>
      <c r="SMQ171" s="3"/>
      <c r="SMR171" s="3"/>
      <c r="SMS171" s="3"/>
      <c r="SMT171" s="3"/>
      <c r="SMU171" s="3"/>
      <c r="SMV171" s="3"/>
      <c r="SMW171" s="3"/>
      <c r="SMX171" s="3"/>
      <c r="SMY171" s="3"/>
      <c r="SMZ171" s="3"/>
      <c r="SNA171" s="3"/>
      <c r="SNB171" s="3"/>
      <c r="SNC171" s="3"/>
      <c r="SND171" s="3"/>
      <c r="SNE171" s="3"/>
      <c r="SNF171" s="3"/>
      <c r="SNG171" s="3"/>
      <c r="SNH171" s="3"/>
      <c r="SNI171" s="3"/>
      <c r="SNJ171" s="3"/>
      <c r="SNK171" s="3"/>
      <c r="SNL171" s="3"/>
      <c r="SNM171" s="3"/>
      <c r="SNN171" s="3"/>
      <c r="SNO171" s="3"/>
      <c r="SNP171" s="3"/>
      <c r="SNQ171" s="3"/>
      <c r="SNR171" s="3"/>
      <c r="SNS171" s="3"/>
      <c r="SNT171" s="3"/>
      <c r="SNU171" s="3"/>
      <c r="SNV171" s="3"/>
      <c r="SNW171" s="3"/>
      <c r="SNX171" s="3"/>
      <c r="SNY171" s="3"/>
      <c r="SNZ171" s="3"/>
      <c r="SOA171" s="3"/>
      <c r="SOB171" s="3"/>
      <c r="SOC171" s="3"/>
      <c r="SOD171" s="3"/>
      <c r="SOE171" s="3"/>
      <c r="SOF171" s="3"/>
      <c r="SOG171" s="3"/>
      <c r="SOH171" s="3"/>
      <c r="SOI171" s="3"/>
      <c r="SOJ171" s="3"/>
      <c r="SOK171" s="3"/>
      <c r="SOL171" s="3"/>
      <c r="SOM171" s="3"/>
      <c r="SON171" s="3"/>
      <c r="SOO171" s="3"/>
      <c r="SOP171" s="3"/>
      <c r="SOQ171" s="3"/>
      <c r="SOR171" s="3"/>
      <c r="SOS171" s="3"/>
      <c r="SOT171" s="3"/>
      <c r="SOU171" s="3"/>
      <c r="SOV171" s="3"/>
      <c r="SOW171" s="3"/>
      <c r="SOX171" s="3"/>
      <c r="SOY171" s="3"/>
      <c r="SOZ171" s="3"/>
      <c r="SPA171" s="3"/>
      <c r="SPB171" s="3"/>
      <c r="SPC171" s="3"/>
      <c r="SPD171" s="3"/>
      <c r="SPE171" s="3"/>
      <c r="SPF171" s="3"/>
      <c r="SPG171" s="3"/>
      <c r="SPH171" s="3"/>
      <c r="SPI171" s="3"/>
      <c r="SPJ171" s="3"/>
      <c r="SPK171" s="3"/>
      <c r="SPL171" s="3"/>
      <c r="SPM171" s="3"/>
      <c r="SPN171" s="3"/>
      <c r="SPO171" s="3"/>
      <c r="SPP171" s="3"/>
      <c r="SPQ171" s="3"/>
      <c r="SPR171" s="3"/>
      <c r="SPS171" s="3"/>
      <c r="SPT171" s="3"/>
      <c r="SPU171" s="3"/>
      <c r="SPV171" s="3"/>
      <c r="SPW171" s="3"/>
      <c r="SPX171" s="3"/>
      <c r="SPY171" s="3"/>
      <c r="SPZ171" s="3"/>
      <c r="SQA171" s="3"/>
      <c r="SQB171" s="3"/>
      <c r="SQC171" s="3"/>
      <c r="SQD171" s="3"/>
      <c r="SQE171" s="3"/>
      <c r="SQF171" s="3"/>
      <c r="SQG171" s="3"/>
      <c r="SQH171" s="3"/>
      <c r="SQI171" s="3"/>
      <c r="SQJ171" s="3"/>
      <c r="SQK171" s="3"/>
      <c r="SQL171" s="3"/>
      <c r="SQM171" s="3"/>
      <c r="SQN171" s="3"/>
      <c r="SQO171" s="3"/>
      <c r="SQP171" s="3"/>
      <c r="SQQ171" s="3"/>
      <c r="SQR171" s="3"/>
      <c r="SQS171" s="3"/>
      <c r="SQT171" s="3"/>
      <c r="SQU171" s="3"/>
      <c r="SQV171" s="3"/>
      <c r="SQW171" s="3"/>
      <c r="SQX171" s="3"/>
      <c r="SQY171" s="3"/>
      <c r="SQZ171" s="3"/>
      <c r="SRA171" s="3"/>
      <c r="SRB171" s="3"/>
      <c r="SRC171" s="3"/>
      <c r="SRD171" s="3"/>
      <c r="SRE171" s="3"/>
      <c r="SRF171" s="3"/>
      <c r="SRG171" s="3"/>
      <c r="SRH171" s="3"/>
      <c r="SRI171" s="3"/>
      <c r="SRJ171" s="3"/>
      <c r="SRK171" s="3"/>
      <c r="SRL171" s="3"/>
      <c r="SRM171" s="3"/>
      <c r="SRN171" s="3"/>
      <c r="SRO171" s="3"/>
      <c r="SRP171" s="3"/>
      <c r="SRQ171" s="3"/>
      <c r="SRR171" s="3"/>
      <c r="SRS171" s="3"/>
      <c r="SRT171" s="3"/>
      <c r="SRU171" s="3"/>
      <c r="SRV171" s="3"/>
      <c r="SRW171" s="3"/>
      <c r="SRX171" s="3"/>
      <c r="SRY171" s="3"/>
      <c r="SRZ171" s="3"/>
      <c r="SSA171" s="3"/>
      <c r="SSB171" s="3"/>
      <c r="SSC171" s="3"/>
      <c r="SSD171" s="3"/>
      <c r="SSE171" s="3"/>
      <c r="SSF171" s="3"/>
      <c r="SSG171" s="3"/>
      <c r="SSH171" s="3"/>
      <c r="SSI171" s="3"/>
      <c r="SSJ171" s="3"/>
      <c r="SSK171" s="3"/>
      <c r="SSL171" s="3"/>
      <c r="SSM171" s="3"/>
      <c r="SSN171" s="3"/>
      <c r="SSO171" s="3"/>
      <c r="SSP171" s="3"/>
      <c r="SSQ171" s="3"/>
      <c r="SSR171" s="3"/>
      <c r="SSS171" s="3"/>
      <c r="SST171" s="3"/>
      <c r="SSU171" s="3"/>
      <c r="SSV171" s="3"/>
      <c r="SSW171" s="3"/>
      <c r="SSX171" s="3"/>
      <c r="SSY171" s="3"/>
      <c r="SSZ171" s="3"/>
      <c r="STA171" s="3"/>
      <c r="STB171" s="3"/>
      <c r="STC171" s="3"/>
      <c r="STD171" s="3"/>
      <c r="STE171" s="3"/>
      <c r="STF171" s="3"/>
      <c r="STG171" s="3"/>
      <c r="STH171" s="3"/>
      <c r="STI171" s="3"/>
      <c r="STJ171" s="3"/>
      <c r="STK171" s="3"/>
      <c r="STL171" s="3"/>
      <c r="STM171" s="3"/>
      <c r="STN171" s="3"/>
      <c r="STO171" s="3"/>
      <c r="STP171" s="3"/>
      <c r="STQ171" s="3"/>
      <c r="STR171" s="3"/>
      <c r="STS171" s="3"/>
      <c r="STT171" s="3"/>
      <c r="STU171" s="3"/>
      <c r="STV171" s="3"/>
      <c r="STW171" s="3"/>
      <c r="STX171" s="3"/>
      <c r="STY171" s="3"/>
      <c r="STZ171" s="3"/>
      <c r="SUA171" s="3"/>
      <c r="SUB171" s="3"/>
      <c r="SUC171" s="3"/>
      <c r="SUD171" s="3"/>
      <c r="SUE171" s="3"/>
      <c r="SUF171" s="3"/>
      <c r="SUG171" s="3"/>
      <c r="SUH171" s="3"/>
      <c r="SUI171" s="3"/>
      <c r="SUJ171" s="3"/>
      <c r="SUK171" s="3"/>
      <c r="SUL171" s="3"/>
      <c r="SUM171" s="3"/>
      <c r="SUN171" s="3"/>
      <c r="SUO171" s="3"/>
      <c r="SUP171" s="3"/>
      <c r="SUQ171" s="3"/>
      <c r="SUR171" s="3"/>
      <c r="SUS171" s="3"/>
      <c r="SUT171" s="3"/>
      <c r="SUU171" s="3"/>
      <c r="SUV171" s="3"/>
      <c r="SUW171" s="3"/>
      <c r="SUX171" s="3"/>
      <c r="SUY171" s="3"/>
      <c r="SUZ171" s="3"/>
      <c r="SVA171" s="3"/>
      <c r="SVB171" s="3"/>
      <c r="SVC171" s="3"/>
      <c r="SVD171" s="3"/>
      <c r="SVE171" s="3"/>
      <c r="SVF171" s="3"/>
      <c r="SVG171" s="3"/>
      <c r="SVH171" s="3"/>
      <c r="SVI171" s="3"/>
      <c r="SVJ171" s="3"/>
      <c r="SVK171" s="3"/>
      <c r="SVL171" s="3"/>
      <c r="SVM171" s="3"/>
      <c r="SVN171" s="3"/>
      <c r="SVO171" s="3"/>
      <c r="SVP171" s="3"/>
      <c r="SVQ171" s="3"/>
      <c r="SVR171" s="3"/>
      <c r="SVS171" s="3"/>
      <c r="SVT171" s="3"/>
      <c r="SVU171" s="3"/>
      <c r="SVV171" s="3"/>
      <c r="SVW171" s="3"/>
      <c r="SVX171" s="3"/>
      <c r="SVY171" s="3"/>
      <c r="SVZ171" s="3"/>
      <c r="SWA171" s="3"/>
      <c r="SWB171" s="3"/>
      <c r="SWC171" s="3"/>
      <c r="SWD171" s="3"/>
      <c r="SWE171" s="3"/>
      <c r="SWF171" s="3"/>
      <c r="SWG171" s="3"/>
      <c r="SWH171" s="3"/>
      <c r="SWI171" s="3"/>
      <c r="SWJ171" s="3"/>
      <c r="SWK171" s="3"/>
      <c r="SWL171" s="3"/>
      <c r="SWM171" s="3"/>
      <c r="SWN171" s="3"/>
      <c r="SWO171" s="3"/>
      <c r="SWP171" s="3"/>
      <c r="SWQ171" s="3"/>
      <c r="SWR171" s="3"/>
      <c r="SWS171" s="3"/>
      <c r="SWT171" s="3"/>
      <c r="SWU171" s="3"/>
      <c r="SWV171" s="3"/>
      <c r="SWW171" s="3"/>
      <c r="SWX171" s="3"/>
      <c r="SWY171" s="3"/>
      <c r="SWZ171" s="3"/>
      <c r="SXA171" s="3"/>
      <c r="SXB171" s="3"/>
      <c r="SXC171" s="3"/>
      <c r="SXD171" s="3"/>
      <c r="SXE171" s="3"/>
      <c r="SXF171" s="3"/>
      <c r="SXG171" s="3"/>
      <c r="SXH171" s="3"/>
      <c r="SXI171" s="3"/>
      <c r="SXJ171" s="3"/>
      <c r="SXK171" s="3"/>
      <c r="SXL171" s="3"/>
      <c r="SXM171" s="3"/>
      <c r="SXN171" s="3"/>
      <c r="SXO171" s="3"/>
      <c r="SXP171" s="3"/>
      <c r="SXQ171" s="3"/>
      <c r="SXR171" s="3"/>
      <c r="SXS171" s="3"/>
      <c r="SXT171" s="3"/>
      <c r="SXU171" s="3"/>
      <c r="SXV171" s="3"/>
      <c r="SXW171" s="3"/>
      <c r="SXX171" s="3"/>
      <c r="SXY171" s="3"/>
      <c r="SXZ171" s="3"/>
      <c r="SYA171" s="3"/>
      <c r="SYB171" s="3"/>
      <c r="SYC171" s="3"/>
      <c r="SYD171" s="3"/>
      <c r="SYE171" s="3"/>
      <c r="SYF171" s="3"/>
      <c r="SYG171" s="3"/>
      <c r="SYH171" s="3"/>
      <c r="SYI171" s="3"/>
      <c r="SYJ171" s="3"/>
      <c r="SYK171" s="3"/>
      <c r="SYL171" s="3"/>
      <c r="SYM171" s="3"/>
      <c r="SYN171" s="3"/>
      <c r="SYO171" s="3"/>
      <c r="SYP171" s="3"/>
      <c r="SYQ171" s="3"/>
      <c r="SYR171" s="3"/>
      <c r="SYS171" s="3"/>
      <c r="SYT171" s="3"/>
      <c r="SYU171" s="3"/>
      <c r="SYV171" s="3"/>
      <c r="SYW171" s="3"/>
      <c r="SYX171" s="3"/>
      <c r="SYY171" s="3"/>
      <c r="SYZ171" s="3"/>
      <c r="SZA171" s="3"/>
      <c r="SZB171" s="3"/>
      <c r="SZC171" s="3"/>
      <c r="SZD171" s="3"/>
      <c r="SZE171" s="3"/>
      <c r="SZF171" s="3"/>
      <c r="SZG171" s="3"/>
      <c r="SZH171" s="3"/>
      <c r="SZI171" s="3"/>
      <c r="SZJ171" s="3"/>
      <c r="SZK171" s="3"/>
      <c r="SZL171" s="3"/>
      <c r="SZM171" s="3"/>
      <c r="SZN171" s="3"/>
      <c r="SZO171" s="3"/>
      <c r="SZP171" s="3"/>
      <c r="SZQ171" s="3"/>
      <c r="SZR171" s="3"/>
      <c r="SZS171" s="3"/>
      <c r="SZT171" s="3"/>
      <c r="SZU171" s="3"/>
      <c r="SZV171" s="3"/>
      <c r="SZW171" s="3"/>
      <c r="SZX171" s="3"/>
      <c r="SZY171" s="3"/>
      <c r="SZZ171" s="3"/>
      <c r="TAA171" s="3"/>
      <c r="TAB171" s="3"/>
      <c r="TAC171" s="3"/>
      <c r="TAD171" s="3"/>
      <c r="TAE171" s="3"/>
      <c r="TAF171" s="3"/>
      <c r="TAG171" s="3"/>
      <c r="TAH171" s="3"/>
      <c r="TAI171" s="3"/>
      <c r="TAJ171" s="3"/>
      <c r="TAK171" s="3"/>
      <c r="TAL171" s="3"/>
      <c r="TAM171" s="3"/>
      <c r="TAN171" s="3"/>
      <c r="TAO171" s="3"/>
      <c r="TAP171" s="3"/>
      <c r="TAQ171" s="3"/>
      <c r="TAR171" s="3"/>
      <c r="TAS171" s="3"/>
      <c r="TAT171" s="3"/>
      <c r="TAU171" s="3"/>
      <c r="TAV171" s="3"/>
      <c r="TAW171" s="3"/>
      <c r="TAX171" s="3"/>
      <c r="TAY171" s="3"/>
      <c r="TAZ171" s="3"/>
      <c r="TBA171" s="3"/>
      <c r="TBB171" s="3"/>
      <c r="TBC171" s="3"/>
      <c r="TBD171" s="3"/>
      <c r="TBE171" s="3"/>
      <c r="TBF171" s="3"/>
      <c r="TBG171" s="3"/>
      <c r="TBH171" s="3"/>
      <c r="TBI171" s="3"/>
      <c r="TBJ171" s="3"/>
      <c r="TBK171" s="3"/>
      <c r="TBL171" s="3"/>
      <c r="TBM171" s="3"/>
      <c r="TBN171" s="3"/>
      <c r="TBO171" s="3"/>
      <c r="TBP171" s="3"/>
      <c r="TBQ171" s="3"/>
      <c r="TBR171" s="3"/>
      <c r="TBS171" s="3"/>
      <c r="TBT171" s="3"/>
      <c r="TBU171" s="3"/>
      <c r="TBV171" s="3"/>
      <c r="TBW171" s="3"/>
      <c r="TBX171" s="3"/>
      <c r="TBY171" s="3"/>
      <c r="TBZ171" s="3"/>
      <c r="TCA171" s="3"/>
      <c r="TCB171" s="3"/>
      <c r="TCC171" s="3"/>
      <c r="TCD171" s="3"/>
      <c r="TCE171" s="3"/>
      <c r="TCF171" s="3"/>
      <c r="TCG171" s="3"/>
      <c r="TCH171" s="3"/>
      <c r="TCI171" s="3"/>
      <c r="TCJ171" s="3"/>
      <c r="TCK171" s="3"/>
      <c r="TCL171" s="3"/>
      <c r="TCM171" s="3"/>
      <c r="TCN171" s="3"/>
      <c r="TCO171" s="3"/>
      <c r="TCP171" s="3"/>
      <c r="TCQ171" s="3"/>
      <c r="TCR171" s="3"/>
      <c r="TCS171" s="3"/>
      <c r="TCT171" s="3"/>
      <c r="TCU171" s="3"/>
      <c r="TCV171" s="3"/>
      <c r="TCW171" s="3"/>
      <c r="TCX171" s="3"/>
      <c r="TCY171" s="3"/>
      <c r="TCZ171" s="3"/>
      <c r="TDA171" s="3"/>
      <c r="TDB171" s="3"/>
      <c r="TDC171" s="3"/>
      <c r="TDD171" s="3"/>
      <c r="TDE171" s="3"/>
      <c r="TDF171" s="3"/>
      <c r="TDG171" s="3"/>
      <c r="TDH171" s="3"/>
      <c r="TDI171" s="3"/>
      <c r="TDJ171" s="3"/>
      <c r="TDK171" s="3"/>
      <c r="TDL171" s="3"/>
      <c r="TDM171" s="3"/>
      <c r="TDN171" s="3"/>
      <c r="TDO171" s="3"/>
      <c r="TDP171" s="3"/>
      <c r="TDQ171" s="3"/>
      <c r="TDR171" s="3"/>
      <c r="TDS171" s="3"/>
      <c r="TDT171" s="3"/>
      <c r="TDU171" s="3"/>
      <c r="TDV171" s="3"/>
      <c r="TDW171" s="3"/>
      <c r="TDX171" s="3"/>
      <c r="TDY171" s="3"/>
      <c r="TDZ171" s="3"/>
      <c r="TEA171" s="3"/>
      <c r="TEB171" s="3"/>
      <c r="TEC171" s="3"/>
      <c r="TED171" s="3"/>
      <c r="TEE171" s="3"/>
      <c r="TEF171" s="3"/>
      <c r="TEG171" s="3"/>
      <c r="TEH171" s="3"/>
      <c r="TEI171" s="3"/>
      <c r="TEJ171" s="3"/>
      <c r="TEK171" s="3"/>
      <c r="TEL171" s="3"/>
      <c r="TEM171" s="3"/>
      <c r="TEN171" s="3"/>
      <c r="TEO171" s="3"/>
      <c r="TEP171" s="3"/>
      <c r="TEQ171" s="3"/>
      <c r="TER171" s="3"/>
      <c r="TES171" s="3"/>
      <c r="TET171" s="3"/>
      <c r="TEU171" s="3"/>
      <c r="TEV171" s="3"/>
      <c r="TEW171" s="3"/>
      <c r="TEX171" s="3"/>
      <c r="TEY171" s="3"/>
      <c r="TEZ171" s="3"/>
      <c r="TFA171" s="3"/>
      <c r="TFB171" s="3"/>
      <c r="TFC171" s="3"/>
      <c r="TFD171" s="3"/>
      <c r="TFE171" s="3"/>
      <c r="TFF171" s="3"/>
      <c r="TFG171" s="3"/>
      <c r="TFH171" s="3"/>
      <c r="TFI171" s="3"/>
      <c r="TFJ171" s="3"/>
      <c r="TFK171" s="3"/>
      <c r="TFL171" s="3"/>
      <c r="TFM171" s="3"/>
      <c r="TFN171" s="3"/>
      <c r="TFO171" s="3"/>
      <c r="TFP171" s="3"/>
      <c r="TFQ171" s="3"/>
      <c r="TFR171" s="3"/>
      <c r="TFS171" s="3"/>
      <c r="TFT171" s="3"/>
      <c r="TFU171" s="3"/>
      <c r="TFV171" s="3"/>
      <c r="TFW171" s="3"/>
      <c r="TFX171" s="3"/>
      <c r="TFY171" s="3"/>
      <c r="TFZ171" s="3"/>
      <c r="TGA171" s="3"/>
      <c r="TGB171" s="3"/>
      <c r="TGC171" s="3"/>
      <c r="TGD171" s="3"/>
      <c r="TGE171" s="3"/>
      <c r="TGF171" s="3"/>
      <c r="TGG171" s="3"/>
      <c r="TGH171" s="3"/>
      <c r="TGI171" s="3"/>
      <c r="TGJ171" s="3"/>
      <c r="TGK171" s="3"/>
      <c r="TGL171" s="3"/>
      <c r="TGM171" s="3"/>
      <c r="TGN171" s="3"/>
      <c r="TGO171" s="3"/>
      <c r="TGP171" s="3"/>
      <c r="TGQ171" s="3"/>
      <c r="TGR171" s="3"/>
      <c r="TGS171" s="3"/>
      <c r="TGT171" s="3"/>
      <c r="TGU171" s="3"/>
      <c r="TGV171" s="3"/>
      <c r="TGW171" s="3"/>
      <c r="TGX171" s="3"/>
      <c r="TGY171" s="3"/>
      <c r="TGZ171" s="3"/>
      <c r="THA171" s="3"/>
      <c r="THB171" s="3"/>
      <c r="THC171" s="3"/>
      <c r="THD171" s="3"/>
      <c r="THE171" s="3"/>
      <c r="THF171" s="3"/>
      <c r="THG171" s="3"/>
      <c r="THH171" s="3"/>
      <c r="THI171" s="3"/>
      <c r="THJ171" s="3"/>
      <c r="THK171" s="3"/>
      <c r="THL171" s="3"/>
      <c r="THM171" s="3"/>
      <c r="THN171" s="3"/>
      <c r="THO171" s="3"/>
      <c r="THP171" s="3"/>
      <c r="THQ171" s="3"/>
      <c r="THR171" s="3"/>
      <c r="THS171" s="3"/>
      <c r="THT171" s="3"/>
      <c r="THU171" s="3"/>
      <c r="THV171" s="3"/>
      <c r="THW171" s="3"/>
      <c r="THX171" s="3"/>
      <c r="THY171" s="3"/>
      <c r="THZ171" s="3"/>
      <c r="TIA171" s="3"/>
      <c r="TIB171" s="3"/>
      <c r="TIC171" s="3"/>
      <c r="TID171" s="3"/>
      <c r="TIE171" s="3"/>
      <c r="TIF171" s="3"/>
      <c r="TIG171" s="3"/>
      <c r="TIH171" s="3"/>
      <c r="TII171" s="3"/>
      <c r="TIJ171" s="3"/>
      <c r="TIK171" s="3"/>
      <c r="TIL171" s="3"/>
      <c r="TIM171" s="3"/>
      <c r="TIN171" s="3"/>
      <c r="TIO171" s="3"/>
      <c r="TIP171" s="3"/>
      <c r="TIQ171" s="3"/>
      <c r="TIR171" s="3"/>
      <c r="TIS171" s="3"/>
      <c r="TIT171" s="3"/>
      <c r="TIU171" s="3"/>
      <c r="TIV171" s="3"/>
      <c r="TIW171" s="3"/>
      <c r="TIX171" s="3"/>
      <c r="TIY171" s="3"/>
      <c r="TIZ171" s="3"/>
      <c r="TJA171" s="3"/>
      <c r="TJB171" s="3"/>
      <c r="TJC171" s="3"/>
      <c r="TJD171" s="3"/>
      <c r="TJE171" s="3"/>
      <c r="TJF171" s="3"/>
      <c r="TJG171" s="3"/>
      <c r="TJH171" s="3"/>
      <c r="TJI171" s="3"/>
      <c r="TJJ171" s="3"/>
      <c r="TJK171" s="3"/>
      <c r="TJL171" s="3"/>
      <c r="TJM171" s="3"/>
      <c r="TJN171" s="3"/>
      <c r="TJO171" s="3"/>
      <c r="TJP171" s="3"/>
      <c r="TJQ171" s="3"/>
      <c r="TJR171" s="3"/>
      <c r="TJS171" s="3"/>
      <c r="TJT171" s="3"/>
      <c r="TJU171" s="3"/>
      <c r="TJV171" s="3"/>
      <c r="TJW171" s="3"/>
      <c r="TJX171" s="3"/>
      <c r="TJY171" s="3"/>
      <c r="TJZ171" s="3"/>
      <c r="TKA171" s="3"/>
      <c r="TKB171" s="3"/>
      <c r="TKC171" s="3"/>
      <c r="TKD171" s="3"/>
      <c r="TKE171" s="3"/>
      <c r="TKF171" s="3"/>
      <c r="TKG171" s="3"/>
      <c r="TKH171" s="3"/>
      <c r="TKI171" s="3"/>
      <c r="TKJ171" s="3"/>
      <c r="TKK171" s="3"/>
      <c r="TKL171" s="3"/>
      <c r="TKM171" s="3"/>
      <c r="TKN171" s="3"/>
      <c r="TKO171" s="3"/>
      <c r="TKP171" s="3"/>
      <c r="TKQ171" s="3"/>
      <c r="TKR171" s="3"/>
      <c r="TKS171" s="3"/>
      <c r="TKT171" s="3"/>
      <c r="TKU171" s="3"/>
      <c r="TKV171" s="3"/>
      <c r="TKW171" s="3"/>
      <c r="TKX171" s="3"/>
      <c r="TKY171" s="3"/>
      <c r="TKZ171" s="3"/>
      <c r="TLA171" s="3"/>
      <c r="TLB171" s="3"/>
      <c r="TLC171" s="3"/>
      <c r="TLD171" s="3"/>
      <c r="TLE171" s="3"/>
      <c r="TLF171" s="3"/>
      <c r="TLG171" s="3"/>
      <c r="TLH171" s="3"/>
      <c r="TLI171" s="3"/>
      <c r="TLJ171" s="3"/>
      <c r="TLK171" s="3"/>
      <c r="TLL171" s="3"/>
      <c r="TLM171" s="3"/>
      <c r="TLN171" s="3"/>
      <c r="TLO171" s="3"/>
      <c r="TLP171" s="3"/>
      <c r="TLQ171" s="3"/>
      <c r="TLR171" s="3"/>
      <c r="TLS171" s="3"/>
      <c r="TLT171" s="3"/>
      <c r="TLU171" s="3"/>
      <c r="TLV171" s="3"/>
      <c r="TLW171" s="3"/>
      <c r="TLX171" s="3"/>
      <c r="TLY171" s="3"/>
      <c r="TLZ171" s="3"/>
      <c r="TMA171" s="3"/>
      <c r="TMB171" s="3"/>
      <c r="TMC171" s="3"/>
      <c r="TMD171" s="3"/>
      <c r="TME171" s="3"/>
      <c r="TMF171" s="3"/>
      <c r="TMG171" s="3"/>
      <c r="TMH171" s="3"/>
      <c r="TMI171" s="3"/>
      <c r="TMJ171" s="3"/>
      <c r="TMK171" s="3"/>
      <c r="TML171" s="3"/>
      <c r="TMM171" s="3"/>
      <c r="TMN171" s="3"/>
      <c r="TMO171" s="3"/>
      <c r="TMP171" s="3"/>
      <c r="TMQ171" s="3"/>
      <c r="TMR171" s="3"/>
      <c r="TMS171" s="3"/>
      <c r="TMT171" s="3"/>
      <c r="TMU171" s="3"/>
      <c r="TMV171" s="3"/>
      <c r="TMW171" s="3"/>
      <c r="TMX171" s="3"/>
      <c r="TMY171" s="3"/>
      <c r="TMZ171" s="3"/>
      <c r="TNA171" s="3"/>
      <c r="TNB171" s="3"/>
      <c r="TNC171" s="3"/>
      <c r="TND171" s="3"/>
      <c r="TNE171" s="3"/>
      <c r="TNF171" s="3"/>
      <c r="TNG171" s="3"/>
      <c r="TNH171" s="3"/>
      <c r="TNI171" s="3"/>
      <c r="TNJ171" s="3"/>
      <c r="TNK171" s="3"/>
      <c r="TNL171" s="3"/>
      <c r="TNM171" s="3"/>
      <c r="TNN171" s="3"/>
      <c r="TNO171" s="3"/>
      <c r="TNP171" s="3"/>
      <c r="TNQ171" s="3"/>
      <c r="TNR171" s="3"/>
      <c r="TNS171" s="3"/>
      <c r="TNT171" s="3"/>
      <c r="TNU171" s="3"/>
      <c r="TNV171" s="3"/>
      <c r="TNW171" s="3"/>
      <c r="TNX171" s="3"/>
      <c r="TNY171" s="3"/>
      <c r="TNZ171" s="3"/>
      <c r="TOA171" s="3"/>
      <c r="TOB171" s="3"/>
      <c r="TOC171" s="3"/>
      <c r="TOD171" s="3"/>
      <c r="TOE171" s="3"/>
      <c r="TOF171" s="3"/>
      <c r="TOG171" s="3"/>
      <c r="TOH171" s="3"/>
      <c r="TOI171" s="3"/>
      <c r="TOJ171" s="3"/>
      <c r="TOK171" s="3"/>
      <c r="TOL171" s="3"/>
      <c r="TOM171" s="3"/>
      <c r="TON171" s="3"/>
      <c r="TOO171" s="3"/>
      <c r="TOP171" s="3"/>
      <c r="TOQ171" s="3"/>
      <c r="TOR171" s="3"/>
      <c r="TOS171" s="3"/>
      <c r="TOT171" s="3"/>
      <c r="TOU171" s="3"/>
      <c r="TOV171" s="3"/>
      <c r="TOW171" s="3"/>
      <c r="TOX171" s="3"/>
      <c r="TOY171" s="3"/>
      <c r="TOZ171" s="3"/>
      <c r="TPA171" s="3"/>
      <c r="TPB171" s="3"/>
      <c r="TPC171" s="3"/>
      <c r="TPD171" s="3"/>
      <c r="TPE171" s="3"/>
      <c r="TPF171" s="3"/>
      <c r="TPG171" s="3"/>
      <c r="TPH171" s="3"/>
      <c r="TPI171" s="3"/>
      <c r="TPJ171" s="3"/>
      <c r="TPK171" s="3"/>
      <c r="TPL171" s="3"/>
      <c r="TPM171" s="3"/>
      <c r="TPN171" s="3"/>
      <c r="TPO171" s="3"/>
      <c r="TPP171" s="3"/>
      <c r="TPQ171" s="3"/>
      <c r="TPR171" s="3"/>
      <c r="TPS171" s="3"/>
      <c r="TPT171" s="3"/>
      <c r="TPU171" s="3"/>
      <c r="TPV171" s="3"/>
      <c r="TPW171" s="3"/>
      <c r="TPX171" s="3"/>
      <c r="TPY171" s="3"/>
      <c r="TPZ171" s="3"/>
      <c r="TQA171" s="3"/>
      <c r="TQB171" s="3"/>
      <c r="TQC171" s="3"/>
      <c r="TQD171" s="3"/>
      <c r="TQE171" s="3"/>
      <c r="TQF171" s="3"/>
      <c r="TQG171" s="3"/>
      <c r="TQH171" s="3"/>
      <c r="TQI171" s="3"/>
      <c r="TQJ171" s="3"/>
      <c r="TQK171" s="3"/>
      <c r="TQL171" s="3"/>
      <c r="TQM171" s="3"/>
      <c r="TQN171" s="3"/>
      <c r="TQO171" s="3"/>
      <c r="TQP171" s="3"/>
      <c r="TQQ171" s="3"/>
      <c r="TQR171" s="3"/>
      <c r="TQS171" s="3"/>
      <c r="TQT171" s="3"/>
      <c r="TQU171" s="3"/>
      <c r="TQV171" s="3"/>
      <c r="TQW171" s="3"/>
      <c r="TQX171" s="3"/>
      <c r="TQY171" s="3"/>
      <c r="TQZ171" s="3"/>
      <c r="TRA171" s="3"/>
      <c r="TRB171" s="3"/>
      <c r="TRC171" s="3"/>
      <c r="TRD171" s="3"/>
      <c r="TRE171" s="3"/>
      <c r="TRF171" s="3"/>
      <c r="TRG171" s="3"/>
      <c r="TRH171" s="3"/>
      <c r="TRI171" s="3"/>
      <c r="TRJ171" s="3"/>
      <c r="TRK171" s="3"/>
      <c r="TRL171" s="3"/>
      <c r="TRM171" s="3"/>
      <c r="TRN171" s="3"/>
      <c r="TRO171" s="3"/>
      <c r="TRP171" s="3"/>
      <c r="TRQ171" s="3"/>
      <c r="TRR171" s="3"/>
      <c r="TRS171" s="3"/>
      <c r="TRT171" s="3"/>
      <c r="TRU171" s="3"/>
      <c r="TRV171" s="3"/>
      <c r="TRW171" s="3"/>
      <c r="TRX171" s="3"/>
      <c r="TRY171" s="3"/>
      <c r="TRZ171" s="3"/>
      <c r="TSA171" s="3"/>
      <c r="TSB171" s="3"/>
      <c r="TSC171" s="3"/>
      <c r="TSD171" s="3"/>
      <c r="TSE171" s="3"/>
      <c r="TSF171" s="3"/>
      <c r="TSG171" s="3"/>
      <c r="TSH171" s="3"/>
      <c r="TSI171" s="3"/>
      <c r="TSJ171" s="3"/>
      <c r="TSK171" s="3"/>
      <c r="TSL171" s="3"/>
      <c r="TSM171" s="3"/>
      <c r="TSN171" s="3"/>
      <c r="TSO171" s="3"/>
      <c r="TSP171" s="3"/>
      <c r="TSQ171" s="3"/>
      <c r="TSR171" s="3"/>
      <c r="TSS171" s="3"/>
      <c r="TST171" s="3"/>
      <c r="TSU171" s="3"/>
      <c r="TSV171" s="3"/>
      <c r="TSW171" s="3"/>
      <c r="TSX171" s="3"/>
      <c r="TSY171" s="3"/>
      <c r="TSZ171" s="3"/>
      <c r="TTA171" s="3"/>
      <c r="TTB171" s="3"/>
      <c r="TTC171" s="3"/>
      <c r="TTD171" s="3"/>
      <c r="TTE171" s="3"/>
      <c r="TTF171" s="3"/>
      <c r="TTG171" s="3"/>
      <c r="TTH171" s="3"/>
      <c r="TTI171" s="3"/>
      <c r="TTJ171" s="3"/>
      <c r="TTK171" s="3"/>
      <c r="TTL171" s="3"/>
      <c r="TTM171" s="3"/>
      <c r="TTN171" s="3"/>
      <c r="TTO171" s="3"/>
      <c r="TTP171" s="3"/>
      <c r="TTQ171" s="3"/>
      <c r="TTR171" s="3"/>
      <c r="TTS171" s="3"/>
      <c r="TTT171" s="3"/>
      <c r="TTU171" s="3"/>
      <c r="TTV171" s="3"/>
      <c r="TTW171" s="3"/>
      <c r="TTX171" s="3"/>
      <c r="TTY171" s="3"/>
      <c r="TTZ171" s="3"/>
      <c r="TUA171" s="3"/>
      <c r="TUB171" s="3"/>
      <c r="TUC171" s="3"/>
      <c r="TUD171" s="3"/>
      <c r="TUE171" s="3"/>
      <c r="TUF171" s="3"/>
      <c r="TUG171" s="3"/>
      <c r="TUH171" s="3"/>
      <c r="TUI171" s="3"/>
      <c r="TUJ171" s="3"/>
      <c r="TUK171" s="3"/>
      <c r="TUL171" s="3"/>
      <c r="TUM171" s="3"/>
      <c r="TUN171" s="3"/>
      <c r="TUO171" s="3"/>
      <c r="TUP171" s="3"/>
      <c r="TUQ171" s="3"/>
      <c r="TUR171" s="3"/>
      <c r="TUS171" s="3"/>
      <c r="TUT171" s="3"/>
      <c r="TUU171" s="3"/>
      <c r="TUV171" s="3"/>
      <c r="TUW171" s="3"/>
      <c r="TUX171" s="3"/>
      <c r="TUY171" s="3"/>
      <c r="TUZ171" s="3"/>
      <c r="TVA171" s="3"/>
      <c r="TVB171" s="3"/>
      <c r="TVC171" s="3"/>
      <c r="TVD171" s="3"/>
      <c r="TVE171" s="3"/>
      <c r="TVF171" s="3"/>
      <c r="TVG171" s="3"/>
      <c r="TVH171" s="3"/>
      <c r="TVI171" s="3"/>
      <c r="TVJ171" s="3"/>
      <c r="TVK171" s="3"/>
      <c r="TVL171" s="3"/>
      <c r="TVM171" s="3"/>
      <c r="TVN171" s="3"/>
      <c r="TVO171" s="3"/>
      <c r="TVP171" s="3"/>
      <c r="TVQ171" s="3"/>
      <c r="TVR171" s="3"/>
      <c r="TVS171" s="3"/>
      <c r="TVT171" s="3"/>
      <c r="TVU171" s="3"/>
      <c r="TVV171" s="3"/>
      <c r="TVW171" s="3"/>
      <c r="TVX171" s="3"/>
      <c r="TVY171" s="3"/>
      <c r="TVZ171" s="3"/>
      <c r="TWA171" s="3"/>
      <c r="TWB171" s="3"/>
      <c r="TWC171" s="3"/>
      <c r="TWD171" s="3"/>
      <c r="TWE171" s="3"/>
      <c r="TWF171" s="3"/>
      <c r="TWG171" s="3"/>
      <c r="TWH171" s="3"/>
      <c r="TWI171" s="3"/>
      <c r="TWJ171" s="3"/>
      <c r="TWK171" s="3"/>
      <c r="TWL171" s="3"/>
      <c r="TWM171" s="3"/>
      <c r="TWN171" s="3"/>
      <c r="TWO171" s="3"/>
      <c r="TWP171" s="3"/>
      <c r="TWQ171" s="3"/>
      <c r="TWR171" s="3"/>
      <c r="TWS171" s="3"/>
      <c r="TWT171" s="3"/>
      <c r="TWU171" s="3"/>
      <c r="TWV171" s="3"/>
      <c r="TWW171" s="3"/>
      <c r="TWX171" s="3"/>
      <c r="TWY171" s="3"/>
      <c r="TWZ171" s="3"/>
      <c r="TXA171" s="3"/>
      <c r="TXB171" s="3"/>
      <c r="TXC171" s="3"/>
      <c r="TXD171" s="3"/>
      <c r="TXE171" s="3"/>
      <c r="TXF171" s="3"/>
      <c r="TXG171" s="3"/>
      <c r="TXH171" s="3"/>
      <c r="TXI171" s="3"/>
      <c r="TXJ171" s="3"/>
      <c r="TXK171" s="3"/>
      <c r="TXL171" s="3"/>
      <c r="TXM171" s="3"/>
      <c r="TXN171" s="3"/>
      <c r="TXO171" s="3"/>
      <c r="TXP171" s="3"/>
      <c r="TXQ171" s="3"/>
      <c r="TXR171" s="3"/>
      <c r="TXS171" s="3"/>
      <c r="TXT171" s="3"/>
      <c r="TXU171" s="3"/>
      <c r="TXV171" s="3"/>
      <c r="TXW171" s="3"/>
      <c r="TXX171" s="3"/>
      <c r="TXY171" s="3"/>
      <c r="TXZ171" s="3"/>
      <c r="TYA171" s="3"/>
      <c r="TYB171" s="3"/>
      <c r="TYC171" s="3"/>
      <c r="TYD171" s="3"/>
      <c r="TYE171" s="3"/>
      <c r="TYF171" s="3"/>
      <c r="TYG171" s="3"/>
      <c r="TYH171" s="3"/>
      <c r="TYI171" s="3"/>
      <c r="TYJ171" s="3"/>
      <c r="TYK171" s="3"/>
      <c r="TYL171" s="3"/>
      <c r="TYM171" s="3"/>
      <c r="TYN171" s="3"/>
      <c r="TYO171" s="3"/>
      <c r="TYP171" s="3"/>
      <c r="TYQ171" s="3"/>
      <c r="TYR171" s="3"/>
      <c r="TYS171" s="3"/>
      <c r="TYT171" s="3"/>
      <c r="TYU171" s="3"/>
      <c r="TYV171" s="3"/>
      <c r="TYW171" s="3"/>
      <c r="TYX171" s="3"/>
      <c r="TYY171" s="3"/>
      <c r="TYZ171" s="3"/>
      <c r="TZA171" s="3"/>
      <c r="TZB171" s="3"/>
      <c r="TZC171" s="3"/>
      <c r="TZD171" s="3"/>
      <c r="TZE171" s="3"/>
      <c r="TZF171" s="3"/>
      <c r="TZG171" s="3"/>
      <c r="TZH171" s="3"/>
      <c r="TZI171" s="3"/>
      <c r="TZJ171" s="3"/>
      <c r="TZK171" s="3"/>
      <c r="TZL171" s="3"/>
      <c r="TZM171" s="3"/>
      <c r="TZN171" s="3"/>
      <c r="TZO171" s="3"/>
      <c r="TZP171" s="3"/>
      <c r="TZQ171" s="3"/>
      <c r="TZR171" s="3"/>
      <c r="TZS171" s="3"/>
      <c r="TZT171" s="3"/>
      <c r="TZU171" s="3"/>
      <c r="TZV171" s="3"/>
      <c r="TZW171" s="3"/>
      <c r="TZX171" s="3"/>
      <c r="TZY171" s="3"/>
      <c r="TZZ171" s="3"/>
      <c r="UAA171" s="3"/>
      <c r="UAB171" s="3"/>
      <c r="UAC171" s="3"/>
      <c r="UAD171" s="3"/>
      <c r="UAE171" s="3"/>
      <c r="UAF171" s="3"/>
      <c r="UAG171" s="3"/>
      <c r="UAH171" s="3"/>
      <c r="UAI171" s="3"/>
      <c r="UAJ171" s="3"/>
      <c r="UAK171" s="3"/>
      <c r="UAL171" s="3"/>
      <c r="UAM171" s="3"/>
      <c r="UAN171" s="3"/>
      <c r="UAO171" s="3"/>
      <c r="UAP171" s="3"/>
      <c r="UAQ171" s="3"/>
      <c r="UAR171" s="3"/>
      <c r="UAS171" s="3"/>
      <c r="UAT171" s="3"/>
      <c r="UAU171" s="3"/>
      <c r="UAV171" s="3"/>
      <c r="UAW171" s="3"/>
      <c r="UAX171" s="3"/>
      <c r="UAY171" s="3"/>
      <c r="UAZ171" s="3"/>
      <c r="UBA171" s="3"/>
      <c r="UBB171" s="3"/>
      <c r="UBC171" s="3"/>
      <c r="UBD171" s="3"/>
      <c r="UBE171" s="3"/>
      <c r="UBF171" s="3"/>
      <c r="UBG171" s="3"/>
      <c r="UBH171" s="3"/>
      <c r="UBI171" s="3"/>
      <c r="UBJ171" s="3"/>
      <c r="UBK171" s="3"/>
      <c r="UBL171" s="3"/>
      <c r="UBM171" s="3"/>
      <c r="UBN171" s="3"/>
      <c r="UBO171" s="3"/>
      <c r="UBP171" s="3"/>
      <c r="UBQ171" s="3"/>
      <c r="UBR171" s="3"/>
      <c r="UBS171" s="3"/>
      <c r="UBT171" s="3"/>
      <c r="UBU171" s="3"/>
      <c r="UBV171" s="3"/>
      <c r="UBW171" s="3"/>
      <c r="UBX171" s="3"/>
      <c r="UBY171" s="3"/>
      <c r="UBZ171" s="3"/>
      <c r="UCA171" s="3"/>
      <c r="UCB171" s="3"/>
      <c r="UCC171" s="3"/>
      <c r="UCD171" s="3"/>
      <c r="UCE171" s="3"/>
      <c r="UCF171" s="3"/>
      <c r="UCG171" s="3"/>
      <c r="UCH171" s="3"/>
      <c r="UCI171" s="3"/>
      <c r="UCJ171" s="3"/>
      <c r="UCK171" s="3"/>
      <c r="UCL171" s="3"/>
      <c r="UCM171" s="3"/>
      <c r="UCN171" s="3"/>
      <c r="UCO171" s="3"/>
      <c r="UCP171" s="3"/>
      <c r="UCQ171" s="3"/>
      <c r="UCR171" s="3"/>
      <c r="UCS171" s="3"/>
      <c r="UCT171" s="3"/>
      <c r="UCU171" s="3"/>
      <c r="UCV171" s="3"/>
      <c r="UCW171" s="3"/>
      <c r="UCX171" s="3"/>
      <c r="UCY171" s="3"/>
      <c r="UCZ171" s="3"/>
      <c r="UDA171" s="3"/>
      <c r="UDB171" s="3"/>
      <c r="UDC171" s="3"/>
      <c r="UDD171" s="3"/>
      <c r="UDE171" s="3"/>
      <c r="UDF171" s="3"/>
      <c r="UDG171" s="3"/>
      <c r="UDH171" s="3"/>
      <c r="UDI171" s="3"/>
      <c r="UDJ171" s="3"/>
      <c r="UDK171" s="3"/>
      <c r="UDL171" s="3"/>
      <c r="UDM171" s="3"/>
      <c r="UDN171" s="3"/>
      <c r="UDO171" s="3"/>
      <c r="UDP171" s="3"/>
      <c r="UDQ171" s="3"/>
      <c r="UDR171" s="3"/>
      <c r="UDS171" s="3"/>
      <c r="UDT171" s="3"/>
      <c r="UDU171" s="3"/>
      <c r="UDV171" s="3"/>
      <c r="UDW171" s="3"/>
      <c r="UDX171" s="3"/>
      <c r="UDY171" s="3"/>
      <c r="UDZ171" s="3"/>
      <c r="UEA171" s="3"/>
      <c r="UEB171" s="3"/>
      <c r="UEC171" s="3"/>
      <c r="UED171" s="3"/>
      <c r="UEE171" s="3"/>
      <c r="UEF171" s="3"/>
      <c r="UEG171" s="3"/>
      <c r="UEH171" s="3"/>
      <c r="UEI171" s="3"/>
      <c r="UEJ171" s="3"/>
      <c r="UEK171" s="3"/>
      <c r="UEL171" s="3"/>
      <c r="UEM171" s="3"/>
      <c r="UEN171" s="3"/>
      <c r="UEO171" s="3"/>
      <c r="UEP171" s="3"/>
      <c r="UEQ171" s="3"/>
      <c r="UER171" s="3"/>
      <c r="UES171" s="3"/>
      <c r="UET171" s="3"/>
      <c r="UEU171" s="3"/>
      <c r="UEV171" s="3"/>
      <c r="UEW171" s="3"/>
      <c r="UEX171" s="3"/>
      <c r="UEY171" s="3"/>
      <c r="UEZ171" s="3"/>
      <c r="UFA171" s="3"/>
      <c r="UFB171" s="3"/>
      <c r="UFC171" s="3"/>
      <c r="UFD171" s="3"/>
      <c r="UFE171" s="3"/>
      <c r="UFF171" s="3"/>
      <c r="UFG171" s="3"/>
      <c r="UFH171" s="3"/>
      <c r="UFI171" s="3"/>
      <c r="UFJ171" s="3"/>
      <c r="UFK171" s="3"/>
      <c r="UFL171" s="3"/>
      <c r="UFM171" s="3"/>
      <c r="UFN171" s="3"/>
      <c r="UFO171" s="3"/>
      <c r="UFP171" s="3"/>
      <c r="UFQ171" s="3"/>
      <c r="UFR171" s="3"/>
      <c r="UFS171" s="3"/>
      <c r="UFT171" s="3"/>
      <c r="UFU171" s="3"/>
      <c r="UFV171" s="3"/>
      <c r="UFW171" s="3"/>
      <c r="UFX171" s="3"/>
      <c r="UFY171" s="3"/>
      <c r="UFZ171" s="3"/>
      <c r="UGA171" s="3"/>
      <c r="UGB171" s="3"/>
      <c r="UGC171" s="3"/>
      <c r="UGD171" s="3"/>
      <c r="UGE171" s="3"/>
      <c r="UGF171" s="3"/>
      <c r="UGG171" s="3"/>
      <c r="UGH171" s="3"/>
      <c r="UGI171" s="3"/>
      <c r="UGJ171" s="3"/>
      <c r="UGK171" s="3"/>
      <c r="UGL171" s="3"/>
      <c r="UGM171" s="3"/>
      <c r="UGN171" s="3"/>
      <c r="UGO171" s="3"/>
      <c r="UGP171" s="3"/>
      <c r="UGQ171" s="3"/>
      <c r="UGR171" s="3"/>
      <c r="UGS171" s="3"/>
      <c r="UGT171" s="3"/>
      <c r="UGU171" s="3"/>
      <c r="UGV171" s="3"/>
      <c r="UGW171" s="3"/>
      <c r="UGX171" s="3"/>
      <c r="UGY171" s="3"/>
      <c r="UGZ171" s="3"/>
      <c r="UHA171" s="3"/>
      <c r="UHB171" s="3"/>
      <c r="UHC171" s="3"/>
      <c r="UHD171" s="3"/>
      <c r="UHE171" s="3"/>
      <c r="UHF171" s="3"/>
      <c r="UHG171" s="3"/>
      <c r="UHH171" s="3"/>
      <c r="UHI171" s="3"/>
      <c r="UHJ171" s="3"/>
      <c r="UHK171" s="3"/>
      <c r="UHL171" s="3"/>
      <c r="UHM171" s="3"/>
      <c r="UHN171" s="3"/>
      <c r="UHO171" s="3"/>
      <c r="UHP171" s="3"/>
      <c r="UHQ171" s="3"/>
      <c r="UHR171" s="3"/>
      <c r="UHS171" s="3"/>
      <c r="UHT171" s="3"/>
      <c r="UHU171" s="3"/>
      <c r="UHV171" s="3"/>
      <c r="UHW171" s="3"/>
      <c r="UHX171" s="3"/>
      <c r="UHY171" s="3"/>
      <c r="UHZ171" s="3"/>
      <c r="UIA171" s="3"/>
      <c r="UIB171" s="3"/>
      <c r="UIC171" s="3"/>
      <c r="UID171" s="3"/>
      <c r="UIE171" s="3"/>
      <c r="UIF171" s="3"/>
      <c r="UIG171" s="3"/>
      <c r="UIH171" s="3"/>
      <c r="UII171" s="3"/>
      <c r="UIJ171" s="3"/>
      <c r="UIK171" s="3"/>
      <c r="UIL171" s="3"/>
      <c r="UIM171" s="3"/>
      <c r="UIN171" s="3"/>
      <c r="UIO171" s="3"/>
      <c r="UIP171" s="3"/>
      <c r="UIQ171" s="3"/>
      <c r="UIR171" s="3"/>
      <c r="UIS171" s="3"/>
      <c r="UIT171" s="3"/>
      <c r="UIU171" s="3"/>
      <c r="UIV171" s="3"/>
      <c r="UIW171" s="3"/>
      <c r="UIX171" s="3"/>
      <c r="UIY171" s="3"/>
      <c r="UIZ171" s="3"/>
      <c r="UJA171" s="3"/>
      <c r="UJB171" s="3"/>
      <c r="UJC171" s="3"/>
      <c r="UJD171" s="3"/>
      <c r="UJE171" s="3"/>
      <c r="UJF171" s="3"/>
      <c r="UJG171" s="3"/>
      <c r="UJH171" s="3"/>
      <c r="UJI171" s="3"/>
      <c r="UJJ171" s="3"/>
      <c r="UJK171" s="3"/>
      <c r="UJL171" s="3"/>
      <c r="UJM171" s="3"/>
      <c r="UJN171" s="3"/>
      <c r="UJO171" s="3"/>
      <c r="UJP171" s="3"/>
      <c r="UJQ171" s="3"/>
      <c r="UJR171" s="3"/>
      <c r="UJS171" s="3"/>
      <c r="UJT171" s="3"/>
      <c r="UJU171" s="3"/>
      <c r="UJV171" s="3"/>
      <c r="UJW171" s="3"/>
      <c r="UJX171" s="3"/>
      <c r="UJY171" s="3"/>
      <c r="UJZ171" s="3"/>
      <c r="UKA171" s="3"/>
      <c r="UKB171" s="3"/>
      <c r="UKC171" s="3"/>
      <c r="UKD171" s="3"/>
      <c r="UKE171" s="3"/>
      <c r="UKF171" s="3"/>
      <c r="UKG171" s="3"/>
      <c r="UKH171" s="3"/>
      <c r="UKI171" s="3"/>
      <c r="UKJ171" s="3"/>
      <c r="UKK171" s="3"/>
      <c r="UKL171" s="3"/>
      <c r="UKM171" s="3"/>
      <c r="UKN171" s="3"/>
      <c r="UKO171" s="3"/>
      <c r="UKP171" s="3"/>
      <c r="UKQ171" s="3"/>
      <c r="UKR171" s="3"/>
      <c r="UKS171" s="3"/>
      <c r="UKT171" s="3"/>
      <c r="UKU171" s="3"/>
      <c r="UKV171" s="3"/>
      <c r="UKW171" s="3"/>
      <c r="UKX171" s="3"/>
      <c r="UKY171" s="3"/>
      <c r="UKZ171" s="3"/>
      <c r="ULA171" s="3"/>
      <c r="ULB171" s="3"/>
      <c r="ULC171" s="3"/>
      <c r="ULD171" s="3"/>
      <c r="ULE171" s="3"/>
      <c r="ULF171" s="3"/>
      <c r="ULG171" s="3"/>
      <c r="ULH171" s="3"/>
      <c r="ULI171" s="3"/>
      <c r="ULJ171" s="3"/>
      <c r="ULK171" s="3"/>
      <c r="ULL171" s="3"/>
      <c r="ULM171" s="3"/>
      <c r="ULN171" s="3"/>
      <c r="ULO171" s="3"/>
      <c r="ULP171" s="3"/>
      <c r="ULQ171" s="3"/>
      <c r="ULR171" s="3"/>
      <c r="ULS171" s="3"/>
      <c r="ULT171" s="3"/>
      <c r="ULU171" s="3"/>
      <c r="ULV171" s="3"/>
      <c r="ULW171" s="3"/>
      <c r="ULX171" s="3"/>
      <c r="ULY171" s="3"/>
      <c r="ULZ171" s="3"/>
      <c r="UMA171" s="3"/>
      <c r="UMB171" s="3"/>
      <c r="UMC171" s="3"/>
      <c r="UMD171" s="3"/>
      <c r="UME171" s="3"/>
      <c r="UMF171" s="3"/>
      <c r="UMG171" s="3"/>
      <c r="UMH171" s="3"/>
      <c r="UMI171" s="3"/>
      <c r="UMJ171" s="3"/>
      <c r="UMK171" s="3"/>
      <c r="UML171" s="3"/>
      <c r="UMM171" s="3"/>
      <c r="UMN171" s="3"/>
      <c r="UMO171" s="3"/>
      <c r="UMP171" s="3"/>
      <c r="UMQ171" s="3"/>
      <c r="UMR171" s="3"/>
      <c r="UMS171" s="3"/>
      <c r="UMT171" s="3"/>
      <c r="UMU171" s="3"/>
      <c r="UMV171" s="3"/>
      <c r="UMW171" s="3"/>
      <c r="UMX171" s="3"/>
      <c r="UMY171" s="3"/>
      <c r="UMZ171" s="3"/>
      <c r="UNA171" s="3"/>
      <c r="UNB171" s="3"/>
      <c r="UNC171" s="3"/>
      <c r="UND171" s="3"/>
      <c r="UNE171" s="3"/>
      <c r="UNF171" s="3"/>
      <c r="UNG171" s="3"/>
      <c r="UNH171" s="3"/>
      <c r="UNI171" s="3"/>
      <c r="UNJ171" s="3"/>
      <c r="UNK171" s="3"/>
      <c r="UNL171" s="3"/>
      <c r="UNM171" s="3"/>
      <c r="UNN171" s="3"/>
      <c r="UNO171" s="3"/>
      <c r="UNP171" s="3"/>
      <c r="UNQ171" s="3"/>
      <c r="UNR171" s="3"/>
      <c r="UNS171" s="3"/>
      <c r="UNT171" s="3"/>
      <c r="UNU171" s="3"/>
      <c r="UNV171" s="3"/>
      <c r="UNW171" s="3"/>
      <c r="UNX171" s="3"/>
      <c r="UNY171" s="3"/>
      <c r="UNZ171" s="3"/>
      <c r="UOA171" s="3"/>
      <c r="UOB171" s="3"/>
      <c r="UOC171" s="3"/>
      <c r="UOD171" s="3"/>
      <c r="UOE171" s="3"/>
      <c r="UOF171" s="3"/>
      <c r="UOG171" s="3"/>
      <c r="UOH171" s="3"/>
      <c r="UOI171" s="3"/>
      <c r="UOJ171" s="3"/>
      <c r="UOK171" s="3"/>
      <c r="UOL171" s="3"/>
      <c r="UOM171" s="3"/>
      <c r="UON171" s="3"/>
      <c r="UOO171" s="3"/>
      <c r="UOP171" s="3"/>
      <c r="UOQ171" s="3"/>
      <c r="UOR171" s="3"/>
      <c r="UOS171" s="3"/>
      <c r="UOT171" s="3"/>
      <c r="UOU171" s="3"/>
      <c r="UOV171" s="3"/>
      <c r="UOW171" s="3"/>
      <c r="UOX171" s="3"/>
      <c r="UOY171" s="3"/>
      <c r="UOZ171" s="3"/>
      <c r="UPA171" s="3"/>
      <c r="UPB171" s="3"/>
      <c r="UPC171" s="3"/>
      <c r="UPD171" s="3"/>
      <c r="UPE171" s="3"/>
      <c r="UPF171" s="3"/>
      <c r="UPG171" s="3"/>
      <c r="UPH171" s="3"/>
      <c r="UPI171" s="3"/>
      <c r="UPJ171" s="3"/>
      <c r="UPK171" s="3"/>
      <c r="UPL171" s="3"/>
      <c r="UPM171" s="3"/>
      <c r="UPN171" s="3"/>
      <c r="UPO171" s="3"/>
      <c r="UPP171" s="3"/>
      <c r="UPQ171" s="3"/>
      <c r="UPR171" s="3"/>
      <c r="UPS171" s="3"/>
      <c r="UPT171" s="3"/>
      <c r="UPU171" s="3"/>
      <c r="UPV171" s="3"/>
      <c r="UPW171" s="3"/>
      <c r="UPX171" s="3"/>
      <c r="UPY171" s="3"/>
      <c r="UPZ171" s="3"/>
      <c r="UQA171" s="3"/>
      <c r="UQB171" s="3"/>
      <c r="UQC171" s="3"/>
      <c r="UQD171" s="3"/>
      <c r="UQE171" s="3"/>
      <c r="UQF171" s="3"/>
      <c r="UQG171" s="3"/>
      <c r="UQH171" s="3"/>
      <c r="UQI171" s="3"/>
      <c r="UQJ171" s="3"/>
      <c r="UQK171" s="3"/>
      <c r="UQL171" s="3"/>
      <c r="UQM171" s="3"/>
      <c r="UQN171" s="3"/>
      <c r="UQO171" s="3"/>
      <c r="UQP171" s="3"/>
      <c r="UQQ171" s="3"/>
      <c r="UQR171" s="3"/>
      <c r="UQS171" s="3"/>
      <c r="UQT171" s="3"/>
      <c r="UQU171" s="3"/>
      <c r="UQV171" s="3"/>
      <c r="UQW171" s="3"/>
      <c r="UQX171" s="3"/>
      <c r="UQY171" s="3"/>
      <c r="UQZ171" s="3"/>
      <c r="URA171" s="3"/>
      <c r="URB171" s="3"/>
      <c r="URC171" s="3"/>
      <c r="URD171" s="3"/>
      <c r="URE171" s="3"/>
      <c r="URF171" s="3"/>
      <c r="URG171" s="3"/>
      <c r="URH171" s="3"/>
      <c r="URI171" s="3"/>
      <c r="URJ171" s="3"/>
      <c r="URK171" s="3"/>
      <c r="URL171" s="3"/>
      <c r="URM171" s="3"/>
      <c r="URN171" s="3"/>
      <c r="URO171" s="3"/>
      <c r="URP171" s="3"/>
      <c r="URQ171" s="3"/>
      <c r="URR171" s="3"/>
      <c r="URS171" s="3"/>
      <c r="URT171" s="3"/>
      <c r="URU171" s="3"/>
      <c r="URV171" s="3"/>
      <c r="URW171" s="3"/>
      <c r="URX171" s="3"/>
      <c r="URY171" s="3"/>
      <c r="URZ171" s="3"/>
      <c r="USA171" s="3"/>
      <c r="USB171" s="3"/>
      <c r="USC171" s="3"/>
      <c r="USD171" s="3"/>
      <c r="USE171" s="3"/>
      <c r="USF171" s="3"/>
      <c r="USG171" s="3"/>
      <c r="USH171" s="3"/>
      <c r="USI171" s="3"/>
      <c r="USJ171" s="3"/>
      <c r="USK171" s="3"/>
      <c r="USL171" s="3"/>
      <c r="USM171" s="3"/>
      <c r="USN171" s="3"/>
      <c r="USO171" s="3"/>
      <c r="USP171" s="3"/>
      <c r="USQ171" s="3"/>
      <c r="USR171" s="3"/>
      <c r="USS171" s="3"/>
      <c r="UST171" s="3"/>
      <c r="USU171" s="3"/>
      <c r="USV171" s="3"/>
      <c r="USW171" s="3"/>
      <c r="USX171" s="3"/>
      <c r="USY171" s="3"/>
      <c r="USZ171" s="3"/>
      <c r="UTA171" s="3"/>
      <c r="UTB171" s="3"/>
      <c r="UTC171" s="3"/>
      <c r="UTD171" s="3"/>
      <c r="UTE171" s="3"/>
      <c r="UTF171" s="3"/>
      <c r="UTG171" s="3"/>
      <c r="UTH171" s="3"/>
      <c r="UTI171" s="3"/>
      <c r="UTJ171" s="3"/>
      <c r="UTK171" s="3"/>
      <c r="UTL171" s="3"/>
      <c r="UTM171" s="3"/>
      <c r="UTN171" s="3"/>
      <c r="UTO171" s="3"/>
      <c r="UTP171" s="3"/>
      <c r="UTQ171" s="3"/>
      <c r="UTR171" s="3"/>
      <c r="UTS171" s="3"/>
      <c r="UTT171" s="3"/>
      <c r="UTU171" s="3"/>
      <c r="UTV171" s="3"/>
      <c r="UTW171" s="3"/>
      <c r="UTX171" s="3"/>
      <c r="UTY171" s="3"/>
      <c r="UTZ171" s="3"/>
      <c r="UUA171" s="3"/>
      <c r="UUB171" s="3"/>
      <c r="UUC171" s="3"/>
      <c r="UUD171" s="3"/>
      <c r="UUE171" s="3"/>
      <c r="UUF171" s="3"/>
      <c r="UUG171" s="3"/>
      <c r="UUH171" s="3"/>
      <c r="UUI171" s="3"/>
      <c r="UUJ171" s="3"/>
      <c r="UUK171" s="3"/>
      <c r="UUL171" s="3"/>
      <c r="UUM171" s="3"/>
      <c r="UUN171" s="3"/>
      <c r="UUO171" s="3"/>
      <c r="UUP171" s="3"/>
      <c r="UUQ171" s="3"/>
      <c r="UUR171" s="3"/>
      <c r="UUS171" s="3"/>
      <c r="UUT171" s="3"/>
      <c r="UUU171" s="3"/>
      <c r="UUV171" s="3"/>
      <c r="UUW171" s="3"/>
      <c r="UUX171" s="3"/>
      <c r="UUY171" s="3"/>
      <c r="UUZ171" s="3"/>
      <c r="UVA171" s="3"/>
      <c r="UVB171" s="3"/>
      <c r="UVC171" s="3"/>
      <c r="UVD171" s="3"/>
      <c r="UVE171" s="3"/>
      <c r="UVF171" s="3"/>
      <c r="UVG171" s="3"/>
      <c r="UVH171" s="3"/>
      <c r="UVI171" s="3"/>
      <c r="UVJ171" s="3"/>
      <c r="UVK171" s="3"/>
      <c r="UVL171" s="3"/>
      <c r="UVM171" s="3"/>
      <c r="UVN171" s="3"/>
      <c r="UVO171" s="3"/>
      <c r="UVP171" s="3"/>
      <c r="UVQ171" s="3"/>
      <c r="UVR171" s="3"/>
      <c r="UVS171" s="3"/>
      <c r="UVT171" s="3"/>
      <c r="UVU171" s="3"/>
      <c r="UVV171" s="3"/>
      <c r="UVW171" s="3"/>
      <c r="UVX171" s="3"/>
      <c r="UVY171" s="3"/>
      <c r="UVZ171" s="3"/>
      <c r="UWA171" s="3"/>
      <c r="UWB171" s="3"/>
      <c r="UWC171" s="3"/>
      <c r="UWD171" s="3"/>
      <c r="UWE171" s="3"/>
      <c r="UWF171" s="3"/>
      <c r="UWG171" s="3"/>
      <c r="UWH171" s="3"/>
      <c r="UWI171" s="3"/>
      <c r="UWJ171" s="3"/>
      <c r="UWK171" s="3"/>
      <c r="UWL171" s="3"/>
      <c r="UWM171" s="3"/>
      <c r="UWN171" s="3"/>
      <c r="UWO171" s="3"/>
      <c r="UWP171" s="3"/>
      <c r="UWQ171" s="3"/>
      <c r="UWR171" s="3"/>
      <c r="UWS171" s="3"/>
      <c r="UWT171" s="3"/>
      <c r="UWU171" s="3"/>
      <c r="UWV171" s="3"/>
      <c r="UWW171" s="3"/>
      <c r="UWX171" s="3"/>
      <c r="UWY171" s="3"/>
      <c r="UWZ171" s="3"/>
      <c r="UXA171" s="3"/>
      <c r="UXB171" s="3"/>
      <c r="UXC171" s="3"/>
      <c r="UXD171" s="3"/>
      <c r="UXE171" s="3"/>
      <c r="UXF171" s="3"/>
      <c r="UXG171" s="3"/>
      <c r="UXH171" s="3"/>
      <c r="UXI171" s="3"/>
      <c r="UXJ171" s="3"/>
      <c r="UXK171" s="3"/>
      <c r="UXL171" s="3"/>
      <c r="UXM171" s="3"/>
      <c r="UXN171" s="3"/>
      <c r="UXO171" s="3"/>
      <c r="UXP171" s="3"/>
      <c r="UXQ171" s="3"/>
      <c r="UXR171" s="3"/>
      <c r="UXS171" s="3"/>
      <c r="UXT171" s="3"/>
      <c r="UXU171" s="3"/>
      <c r="UXV171" s="3"/>
      <c r="UXW171" s="3"/>
      <c r="UXX171" s="3"/>
      <c r="UXY171" s="3"/>
      <c r="UXZ171" s="3"/>
      <c r="UYA171" s="3"/>
      <c r="UYB171" s="3"/>
      <c r="UYC171" s="3"/>
      <c r="UYD171" s="3"/>
      <c r="UYE171" s="3"/>
      <c r="UYF171" s="3"/>
      <c r="UYG171" s="3"/>
      <c r="UYH171" s="3"/>
      <c r="UYI171" s="3"/>
      <c r="UYJ171" s="3"/>
      <c r="UYK171" s="3"/>
      <c r="UYL171" s="3"/>
      <c r="UYM171" s="3"/>
      <c r="UYN171" s="3"/>
      <c r="UYO171" s="3"/>
      <c r="UYP171" s="3"/>
      <c r="UYQ171" s="3"/>
      <c r="UYR171" s="3"/>
      <c r="UYS171" s="3"/>
      <c r="UYT171" s="3"/>
      <c r="UYU171" s="3"/>
      <c r="UYV171" s="3"/>
      <c r="UYW171" s="3"/>
      <c r="UYX171" s="3"/>
      <c r="UYY171" s="3"/>
      <c r="UYZ171" s="3"/>
      <c r="UZA171" s="3"/>
      <c r="UZB171" s="3"/>
      <c r="UZC171" s="3"/>
      <c r="UZD171" s="3"/>
      <c r="UZE171" s="3"/>
      <c r="UZF171" s="3"/>
      <c r="UZG171" s="3"/>
      <c r="UZH171" s="3"/>
      <c r="UZI171" s="3"/>
      <c r="UZJ171" s="3"/>
      <c r="UZK171" s="3"/>
      <c r="UZL171" s="3"/>
      <c r="UZM171" s="3"/>
      <c r="UZN171" s="3"/>
      <c r="UZO171" s="3"/>
      <c r="UZP171" s="3"/>
      <c r="UZQ171" s="3"/>
      <c r="UZR171" s="3"/>
      <c r="UZS171" s="3"/>
      <c r="UZT171" s="3"/>
      <c r="UZU171" s="3"/>
      <c r="UZV171" s="3"/>
      <c r="UZW171" s="3"/>
      <c r="UZX171" s="3"/>
      <c r="UZY171" s="3"/>
      <c r="UZZ171" s="3"/>
      <c r="VAA171" s="3"/>
      <c r="VAB171" s="3"/>
      <c r="VAC171" s="3"/>
      <c r="VAD171" s="3"/>
      <c r="VAE171" s="3"/>
      <c r="VAF171" s="3"/>
      <c r="VAG171" s="3"/>
      <c r="VAH171" s="3"/>
      <c r="VAI171" s="3"/>
      <c r="VAJ171" s="3"/>
      <c r="VAK171" s="3"/>
      <c r="VAL171" s="3"/>
      <c r="VAM171" s="3"/>
      <c r="VAN171" s="3"/>
      <c r="VAO171" s="3"/>
      <c r="VAP171" s="3"/>
      <c r="VAQ171" s="3"/>
      <c r="VAR171" s="3"/>
      <c r="VAS171" s="3"/>
      <c r="VAT171" s="3"/>
      <c r="VAU171" s="3"/>
      <c r="VAV171" s="3"/>
      <c r="VAW171" s="3"/>
      <c r="VAX171" s="3"/>
      <c r="VAY171" s="3"/>
      <c r="VAZ171" s="3"/>
      <c r="VBA171" s="3"/>
      <c r="VBB171" s="3"/>
      <c r="VBC171" s="3"/>
      <c r="VBD171" s="3"/>
      <c r="VBE171" s="3"/>
      <c r="VBF171" s="3"/>
      <c r="VBG171" s="3"/>
      <c r="VBH171" s="3"/>
      <c r="VBI171" s="3"/>
      <c r="VBJ171" s="3"/>
      <c r="VBK171" s="3"/>
      <c r="VBL171" s="3"/>
      <c r="VBM171" s="3"/>
      <c r="VBN171" s="3"/>
      <c r="VBO171" s="3"/>
      <c r="VBP171" s="3"/>
      <c r="VBQ171" s="3"/>
      <c r="VBR171" s="3"/>
      <c r="VBS171" s="3"/>
      <c r="VBT171" s="3"/>
      <c r="VBU171" s="3"/>
      <c r="VBV171" s="3"/>
      <c r="VBW171" s="3"/>
      <c r="VBX171" s="3"/>
      <c r="VBY171" s="3"/>
      <c r="VBZ171" s="3"/>
      <c r="VCA171" s="3"/>
      <c r="VCB171" s="3"/>
      <c r="VCC171" s="3"/>
      <c r="VCD171" s="3"/>
      <c r="VCE171" s="3"/>
      <c r="VCF171" s="3"/>
      <c r="VCG171" s="3"/>
      <c r="VCH171" s="3"/>
      <c r="VCI171" s="3"/>
      <c r="VCJ171" s="3"/>
      <c r="VCK171" s="3"/>
      <c r="VCL171" s="3"/>
      <c r="VCM171" s="3"/>
      <c r="VCN171" s="3"/>
      <c r="VCO171" s="3"/>
      <c r="VCP171" s="3"/>
      <c r="VCQ171" s="3"/>
      <c r="VCR171" s="3"/>
      <c r="VCS171" s="3"/>
      <c r="VCT171" s="3"/>
      <c r="VCU171" s="3"/>
      <c r="VCV171" s="3"/>
      <c r="VCW171" s="3"/>
      <c r="VCX171" s="3"/>
      <c r="VCY171" s="3"/>
      <c r="VCZ171" s="3"/>
      <c r="VDA171" s="3"/>
      <c r="VDB171" s="3"/>
      <c r="VDC171" s="3"/>
      <c r="VDD171" s="3"/>
      <c r="VDE171" s="3"/>
      <c r="VDF171" s="3"/>
      <c r="VDG171" s="3"/>
      <c r="VDH171" s="3"/>
      <c r="VDI171" s="3"/>
      <c r="VDJ171" s="3"/>
      <c r="VDK171" s="3"/>
      <c r="VDL171" s="3"/>
      <c r="VDM171" s="3"/>
      <c r="VDN171" s="3"/>
      <c r="VDO171" s="3"/>
      <c r="VDP171" s="3"/>
      <c r="VDQ171" s="3"/>
      <c r="VDR171" s="3"/>
      <c r="VDS171" s="3"/>
      <c r="VDT171" s="3"/>
      <c r="VDU171" s="3"/>
      <c r="VDV171" s="3"/>
      <c r="VDW171" s="3"/>
      <c r="VDX171" s="3"/>
      <c r="VDY171" s="3"/>
      <c r="VDZ171" s="3"/>
      <c r="VEA171" s="3"/>
      <c r="VEB171" s="3"/>
      <c r="VEC171" s="3"/>
      <c r="VED171" s="3"/>
      <c r="VEE171" s="3"/>
      <c r="VEF171" s="3"/>
      <c r="VEG171" s="3"/>
      <c r="VEH171" s="3"/>
      <c r="VEI171" s="3"/>
      <c r="VEJ171" s="3"/>
      <c r="VEK171" s="3"/>
      <c r="VEL171" s="3"/>
      <c r="VEM171" s="3"/>
      <c r="VEN171" s="3"/>
      <c r="VEO171" s="3"/>
      <c r="VEP171" s="3"/>
      <c r="VEQ171" s="3"/>
      <c r="VER171" s="3"/>
      <c r="VES171" s="3"/>
      <c r="VET171" s="3"/>
      <c r="VEU171" s="3"/>
      <c r="VEV171" s="3"/>
      <c r="VEW171" s="3"/>
      <c r="VEX171" s="3"/>
      <c r="VEY171" s="3"/>
      <c r="VEZ171" s="3"/>
      <c r="VFA171" s="3"/>
      <c r="VFB171" s="3"/>
      <c r="VFC171" s="3"/>
      <c r="VFD171" s="3"/>
      <c r="VFE171" s="3"/>
      <c r="VFF171" s="3"/>
      <c r="VFG171" s="3"/>
      <c r="VFH171" s="3"/>
      <c r="VFI171" s="3"/>
      <c r="VFJ171" s="3"/>
      <c r="VFK171" s="3"/>
      <c r="VFL171" s="3"/>
      <c r="VFM171" s="3"/>
      <c r="VFN171" s="3"/>
      <c r="VFO171" s="3"/>
      <c r="VFP171" s="3"/>
      <c r="VFQ171" s="3"/>
      <c r="VFR171" s="3"/>
      <c r="VFS171" s="3"/>
      <c r="VFT171" s="3"/>
      <c r="VFU171" s="3"/>
      <c r="VFV171" s="3"/>
      <c r="VFW171" s="3"/>
      <c r="VFX171" s="3"/>
      <c r="VFY171" s="3"/>
      <c r="VFZ171" s="3"/>
      <c r="VGA171" s="3"/>
      <c r="VGB171" s="3"/>
      <c r="VGC171" s="3"/>
      <c r="VGD171" s="3"/>
      <c r="VGE171" s="3"/>
      <c r="VGF171" s="3"/>
      <c r="VGG171" s="3"/>
      <c r="VGH171" s="3"/>
      <c r="VGI171" s="3"/>
      <c r="VGJ171" s="3"/>
      <c r="VGK171" s="3"/>
      <c r="VGL171" s="3"/>
      <c r="VGM171" s="3"/>
      <c r="VGN171" s="3"/>
      <c r="VGO171" s="3"/>
      <c r="VGP171" s="3"/>
      <c r="VGQ171" s="3"/>
      <c r="VGR171" s="3"/>
      <c r="VGS171" s="3"/>
      <c r="VGT171" s="3"/>
      <c r="VGU171" s="3"/>
      <c r="VGV171" s="3"/>
      <c r="VGW171" s="3"/>
      <c r="VGX171" s="3"/>
      <c r="VGY171" s="3"/>
      <c r="VGZ171" s="3"/>
      <c r="VHA171" s="3"/>
      <c r="VHB171" s="3"/>
      <c r="VHC171" s="3"/>
      <c r="VHD171" s="3"/>
      <c r="VHE171" s="3"/>
      <c r="VHF171" s="3"/>
      <c r="VHG171" s="3"/>
      <c r="VHH171" s="3"/>
      <c r="VHI171" s="3"/>
      <c r="VHJ171" s="3"/>
      <c r="VHK171" s="3"/>
      <c r="VHL171" s="3"/>
      <c r="VHM171" s="3"/>
      <c r="VHN171" s="3"/>
      <c r="VHO171" s="3"/>
      <c r="VHP171" s="3"/>
      <c r="VHQ171" s="3"/>
      <c r="VHR171" s="3"/>
      <c r="VHS171" s="3"/>
      <c r="VHT171" s="3"/>
      <c r="VHU171" s="3"/>
      <c r="VHV171" s="3"/>
      <c r="VHW171" s="3"/>
      <c r="VHX171" s="3"/>
      <c r="VHY171" s="3"/>
      <c r="VHZ171" s="3"/>
      <c r="VIA171" s="3"/>
      <c r="VIB171" s="3"/>
      <c r="VIC171" s="3"/>
      <c r="VID171" s="3"/>
      <c r="VIE171" s="3"/>
      <c r="VIF171" s="3"/>
      <c r="VIG171" s="3"/>
      <c r="VIH171" s="3"/>
      <c r="VII171" s="3"/>
      <c r="VIJ171" s="3"/>
      <c r="VIK171" s="3"/>
      <c r="VIL171" s="3"/>
      <c r="VIM171" s="3"/>
      <c r="VIN171" s="3"/>
      <c r="VIO171" s="3"/>
      <c r="VIP171" s="3"/>
      <c r="VIQ171" s="3"/>
      <c r="VIR171" s="3"/>
      <c r="VIS171" s="3"/>
      <c r="VIT171" s="3"/>
      <c r="VIU171" s="3"/>
      <c r="VIV171" s="3"/>
      <c r="VIW171" s="3"/>
      <c r="VIX171" s="3"/>
      <c r="VIY171" s="3"/>
      <c r="VIZ171" s="3"/>
      <c r="VJA171" s="3"/>
      <c r="VJB171" s="3"/>
      <c r="VJC171" s="3"/>
      <c r="VJD171" s="3"/>
      <c r="VJE171" s="3"/>
      <c r="VJF171" s="3"/>
      <c r="VJG171" s="3"/>
      <c r="VJH171" s="3"/>
      <c r="VJI171" s="3"/>
      <c r="VJJ171" s="3"/>
      <c r="VJK171" s="3"/>
      <c r="VJL171" s="3"/>
      <c r="VJM171" s="3"/>
      <c r="VJN171" s="3"/>
      <c r="VJO171" s="3"/>
      <c r="VJP171" s="3"/>
      <c r="VJQ171" s="3"/>
      <c r="VJR171" s="3"/>
      <c r="VJS171" s="3"/>
      <c r="VJT171" s="3"/>
      <c r="VJU171" s="3"/>
      <c r="VJV171" s="3"/>
      <c r="VJW171" s="3"/>
      <c r="VJX171" s="3"/>
      <c r="VJY171" s="3"/>
      <c r="VJZ171" s="3"/>
      <c r="VKA171" s="3"/>
      <c r="VKB171" s="3"/>
      <c r="VKC171" s="3"/>
      <c r="VKD171" s="3"/>
      <c r="VKE171" s="3"/>
      <c r="VKF171" s="3"/>
      <c r="VKG171" s="3"/>
      <c r="VKH171" s="3"/>
      <c r="VKI171" s="3"/>
      <c r="VKJ171" s="3"/>
      <c r="VKK171" s="3"/>
      <c r="VKL171" s="3"/>
      <c r="VKM171" s="3"/>
      <c r="VKN171" s="3"/>
      <c r="VKO171" s="3"/>
      <c r="VKP171" s="3"/>
      <c r="VKQ171" s="3"/>
      <c r="VKR171" s="3"/>
      <c r="VKS171" s="3"/>
      <c r="VKT171" s="3"/>
      <c r="VKU171" s="3"/>
      <c r="VKV171" s="3"/>
      <c r="VKW171" s="3"/>
      <c r="VKX171" s="3"/>
      <c r="VKY171" s="3"/>
      <c r="VKZ171" s="3"/>
      <c r="VLA171" s="3"/>
      <c r="VLB171" s="3"/>
      <c r="VLC171" s="3"/>
      <c r="VLD171" s="3"/>
      <c r="VLE171" s="3"/>
      <c r="VLF171" s="3"/>
      <c r="VLG171" s="3"/>
      <c r="VLH171" s="3"/>
      <c r="VLI171" s="3"/>
      <c r="VLJ171" s="3"/>
      <c r="VLK171" s="3"/>
      <c r="VLL171" s="3"/>
      <c r="VLM171" s="3"/>
      <c r="VLN171" s="3"/>
      <c r="VLO171" s="3"/>
      <c r="VLP171" s="3"/>
      <c r="VLQ171" s="3"/>
      <c r="VLR171" s="3"/>
      <c r="VLS171" s="3"/>
      <c r="VLT171" s="3"/>
      <c r="VLU171" s="3"/>
      <c r="VLV171" s="3"/>
      <c r="VLW171" s="3"/>
      <c r="VLX171" s="3"/>
      <c r="VLY171" s="3"/>
      <c r="VLZ171" s="3"/>
      <c r="VMA171" s="3"/>
      <c r="VMB171" s="3"/>
      <c r="VMC171" s="3"/>
      <c r="VMD171" s="3"/>
      <c r="VME171" s="3"/>
      <c r="VMF171" s="3"/>
      <c r="VMG171" s="3"/>
      <c r="VMH171" s="3"/>
      <c r="VMI171" s="3"/>
      <c r="VMJ171" s="3"/>
      <c r="VMK171" s="3"/>
      <c r="VML171" s="3"/>
      <c r="VMM171" s="3"/>
      <c r="VMN171" s="3"/>
      <c r="VMO171" s="3"/>
      <c r="VMP171" s="3"/>
      <c r="VMQ171" s="3"/>
      <c r="VMR171" s="3"/>
      <c r="VMS171" s="3"/>
      <c r="VMT171" s="3"/>
      <c r="VMU171" s="3"/>
      <c r="VMV171" s="3"/>
      <c r="VMW171" s="3"/>
      <c r="VMX171" s="3"/>
      <c r="VMY171" s="3"/>
      <c r="VMZ171" s="3"/>
      <c r="VNA171" s="3"/>
      <c r="VNB171" s="3"/>
      <c r="VNC171" s="3"/>
      <c r="VND171" s="3"/>
      <c r="VNE171" s="3"/>
      <c r="VNF171" s="3"/>
      <c r="VNG171" s="3"/>
      <c r="VNH171" s="3"/>
      <c r="VNI171" s="3"/>
      <c r="VNJ171" s="3"/>
      <c r="VNK171" s="3"/>
      <c r="VNL171" s="3"/>
      <c r="VNM171" s="3"/>
      <c r="VNN171" s="3"/>
      <c r="VNO171" s="3"/>
      <c r="VNP171" s="3"/>
      <c r="VNQ171" s="3"/>
      <c r="VNR171" s="3"/>
      <c r="VNS171" s="3"/>
      <c r="VNT171" s="3"/>
      <c r="VNU171" s="3"/>
      <c r="VNV171" s="3"/>
      <c r="VNW171" s="3"/>
      <c r="VNX171" s="3"/>
      <c r="VNY171" s="3"/>
      <c r="VNZ171" s="3"/>
      <c r="VOA171" s="3"/>
      <c r="VOB171" s="3"/>
      <c r="VOC171" s="3"/>
      <c r="VOD171" s="3"/>
      <c r="VOE171" s="3"/>
      <c r="VOF171" s="3"/>
      <c r="VOG171" s="3"/>
      <c r="VOH171" s="3"/>
      <c r="VOI171" s="3"/>
      <c r="VOJ171" s="3"/>
      <c r="VOK171" s="3"/>
      <c r="VOL171" s="3"/>
      <c r="VOM171" s="3"/>
      <c r="VON171" s="3"/>
      <c r="VOO171" s="3"/>
      <c r="VOP171" s="3"/>
      <c r="VOQ171" s="3"/>
      <c r="VOR171" s="3"/>
      <c r="VOS171" s="3"/>
      <c r="VOT171" s="3"/>
      <c r="VOU171" s="3"/>
      <c r="VOV171" s="3"/>
      <c r="VOW171" s="3"/>
      <c r="VOX171" s="3"/>
      <c r="VOY171" s="3"/>
      <c r="VOZ171" s="3"/>
      <c r="VPA171" s="3"/>
      <c r="VPB171" s="3"/>
      <c r="VPC171" s="3"/>
      <c r="VPD171" s="3"/>
      <c r="VPE171" s="3"/>
      <c r="VPF171" s="3"/>
      <c r="VPG171" s="3"/>
      <c r="VPH171" s="3"/>
      <c r="VPI171" s="3"/>
      <c r="VPJ171" s="3"/>
      <c r="VPK171" s="3"/>
      <c r="VPL171" s="3"/>
      <c r="VPM171" s="3"/>
      <c r="VPN171" s="3"/>
      <c r="VPO171" s="3"/>
      <c r="VPP171" s="3"/>
      <c r="VPQ171" s="3"/>
      <c r="VPR171" s="3"/>
      <c r="VPS171" s="3"/>
      <c r="VPT171" s="3"/>
      <c r="VPU171" s="3"/>
      <c r="VPV171" s="3"/>
      <c r="VPW171" s="3"/>
      <c r="VPX171" s="3"/>
      <c r="VPY171" s="3"/>
      <c r="VPZ171" s="3"/>
      <c r="VQA171" s="3"/>
      <c r="VQB171" s="3"/>
      <c r="VQC171" s="3"/>
      <c r="VQD171" s="3"/>
      <c r="VQE171" s="3"/>
      <c r="VQF171" s="3"/>
      <c r="VQG171" s="3"/>
      <c r="VQH171" s="3"/>
      <c r="VQI171" s="3"/>
      <c r="VQJ171" s="3"/>
      <c r="VQK171" s="3"/>
      <c r="VQL171" s="3"/>
      <c r="VQM171" s="3"/>
      <c r="VQN171" s="3"/>
      <c r="VQO171" s="3"/>
      <c r="VQP171" s="3"/>
      <c r="VQQ171" s="3"/>
      <c r="VQR171" s="3"/>
      <c r="VQS171" s="3"/>
      <c r="VQT171" s="3"/>
      <c r="VQU171" s="3"/>
      <c r="VQV171" s="3"/>
      <c r="VQW171" s="3"/>
      <c r="VQX171" s="3"/>
      <c r="VQY171" s="3"/>
      <c r="VQZ171" s="3"/>
      <c r="VRA171" s="3"/>
      <c r="VRB171" s="3"/>
      <c r="VRC171" s="3"/>
      <c r="VRD171" s="3"/>
      <c r="VRE171" s="3"/>
      <c r="VRF171" s="3"/>
      <c r="VRG171" s="3"/>
      <c r="VRH171" s="3"/>
      <c r="VRI171" s="3"/>
      <c r="VRJ171" s="3"/>
      <c r="VRK171" s="3"/>
      <c r="VRL171" s="3"/>
      <c r="VRM171" s="3"/>
      <c r="VRN171" s="3"/>
      <c r="VRO171" s="3"/>
      <c r="VRP171" s="3"/>
      <c r="VRQ171" s="3"/>
      <c r="VRR171" s="3"/>
      <c r="VRS171" s="3"/>
      <c r="VRT171" s="3"/>
      <c r="VRU171" s="3"/>
      <c r="VRV171" s="3"/>
      <c r="VRW171" s="3"/>
      <c r="VRX171" s="3"/>
      <c r="VRY171" s="3"/>
      <c r="VRZ171" s="3"/>
      <c r="VSA171" s="3"/>
      <c r="VSB171" s="3"/>
      <c r="VSC171" s="3"/>
      <c r="VSD171" s="3"/>
      <c r="VSE171" s="3"/>
      <c r="VSF171" s="3"/>
      <c r="VSG171" s="3"/>
      <c r="VSH171" s="3"/>
      <c r="VSI171" s="3"/>
      <c r="VSJ171" s="3"/>
      <c r="VSK171" s="3"/>
      <c r="VSL171" s="3"/>
      <c r="VSM171" s="3"/>
      <c r="VSN171" s="3"/>
      <c r="VSO171" s="3"/>
      <c r="VSP171" s="3"/>
      <c r="VSQ171" s="3"/>
      <c r="VSR171" s="3"/>
      <c r="VSS171" s="3"/>
      <c r="VST171" s="3"/>
      <c r="VSU171" s="3"/>
      <c r="VSV171" s="3"/>
      <c r="VSW171" s="3"/>
      <c r="VSX171" s="3"/>
      <c r="VSY171" s="3"/>
      <c r="VSZ171" s="3"/>
      <c r="VTA171" s="3"/>
      <c r="VTB171" s="3"/>
      <c r="VTC171" s="3"/>
      <c r="VTD171" s="3"/>
      <c r="VTE171" s="3"/>
      <c r="VTF171" s="3"/>
      <c r="VTG171" s="3"/>
      <c r="VTH171" s="3"/>
      <c r="VTI171" s="3"/>
      <c r="VTJ171" s="3"/>
      <c r="VTK171" s="3"/>
      <c r="VTL171" s="3"/>
      <c r="VTM171" s="3"/>
      <c r="VTN171" s="3"/>
      <c r="VTO171" s="3"/>
      <c r="VTP171" s="3"/>
      <c r="VTQ171" s="3"/>
      <c r="VTR171" s="3"/>
      <c r="VTS171" s="3"/>
      <c r="VTT171" s="3"/>
      <c r="VTU171" s="3"/>
      <c r="VTV171" s="3"/>
      <c r="VTW171" s="3"/>
      <c r="VTX171" s="3"/>
      <c r="VTY171" s="3"/>
      <c r="VTZ171" s="3"/>
      <c r="VUA171" s="3"/>
      <c r="VUB171" s="3"/>
      <c r="VUC171" s="3"/>
      <c r="VUD171" s="3"/>
      <c r="VUE171" s="3"/>
      <c r="VUF171" s="3"/>
      <c r="VUG171" s="3"/>
      <c r="VUH171" s="3"/>
      <c r="VUI171" s="3"/>
      <c r="VUJ171" s="3"/>
      <c r="VUK171" s="3"/>
      <c r="VUL171" s="3"/>
      <c r="VUM171" s="3"/>
      <c r="VUN171" s="3"/>
      <c r="VUO171" s="3"/>
      <c r="VUP171" s="3"/>
      <c r="VUQ171" s="3"/>
      <c r="VUR171" s="3"/>
      <c r="VUS171" s="3"/>
      <c r="VUT171" s="3"/>
      <c r="VUU171" s="3"/>
      <c r="VUV171" s="3"/>
      <c r="VUW171" s="3"/>
      <c r="VUX171" s="3"/>
      <c r="VUY171" s="3"/>
      <c r="VUZ171" s="3"/>
      <c r="VVA171" s="3"/>
      <c r="VVB171" s="3"/>
      <c r="VVC171" s="3"/>
      <c r="VVD171" s="3"/>
      <c r="VVE171" s="3"/>
      <c r="VVF171" s="3"/>
      <c r="VVG171" s="3"/>
      <c r="VVH171" s="3"/>
      <c r="VVI171" s="3"/>
      <c r="VVJ171" s="3"/>
      <c r="VVK171" s="3"/>
      <c r="VVL171" s="3"/>
      <c r="VVM171" s="3"/>
      <c r="VVN171" s="3"/>
      <c r="VVO171" s="3"/>
      <c r="VVP171" s="3"/>
      <c r="VVQ171" s="3"/>
      <c r="VVR171" s="3"/>
      <c r="VVS171" s="3"/>
      <c r="VVT171" s="3"/>
      <c r="VVU171" s="3"/>
      <c r="VVV171" s="3"/>
      <c r="VVW171" s="3"/>
      <c r="VVX171" s="3"/>
      <c r="VVY171" s="3"/>
      <c r="VVZ171" s="3"/>
      <c r="VWA171" s="3"/>
      <c r="VWB171" s="3"/>
      <c r="VWC171" s="3"/>
      <c r="VWD171" s="3"/>
      <c r="VWE171" s="3"/>
      <c r="VWF171" s="3"/>
      <c r="VWG171" s="3"/>
      <c r="VWH171" s="3"/>
      <c r="VWI171" s="3"/>
      <c r="VWJ171" s="3"/>
      <c r="VWK171" s="3"/>
      <c r="VWL171" s="3"/>
      <c r="VWM171" s="3"/>
      <c r="VWN171" s="3"/>
      <c r="VWO171" s="3"/>
      <c r="VWP171" s="3"/>
      <c r="VWQ171" s="3"/>
      <c r="VWR171" s="3"/>
      <c r="VWS171" s="3"/>
      <c r="VWT171" s="3"/>
      <c r="VWU171" s="3"/>
      <c r="VWV171" s="3"/>
      <c r="VWW171" s="3"/>
      <c r="VWX171" s="3"/>
      <c r="VWY171" s="3"/>
      <c r="VWZ171" s="3"/>
      <c r="VXA171" s="3"/>
      <c r="VXB171" s="3"/>
      <c r="VXC171" s="3"/>
      <c r="VXD171" s="3"/>
      <c r="VXE171" s="3"/>
      <c r="VXF171" s="3"/>
      <c r="VXG171" s="3"/>
      <c r="VXH171" s="3"/>
      <c r="VXI171" s="3"/>
      <c r="VXJ171" s="3"/>
      <c r="VXK171" s="3"/>
      <c r="VXL171" s="3"/>
      <c r="VXM171" s="3"/>
      <c r="VXN171" s="3"/>
      <c r="VXO171" s="3"/>
      <c r="VXP171" s="3"/>
      <c r="VXQ171" s="3"/>
      <c r="VXR171" s="3"/>
      <c r="VXS171" s="3"/>
      <c r="VXT171" s="3"/>
      <c r="VXU171" s="3"/>
      <c r="VXV171" s="3"/>
      <c r="VXW171" s="3"/>
      <c r="VXX171" s="3"/>
      <c r="VXY171" s="3"/>
      <c r="VXZ171" s="3"/>
      <c r="VYA171" s="3"/>
      <c r="VYB171" s="3"/>
      <c r="VYC171" s="3"/>
      <c r="VYD171" s="3"/>
      <c r="VYE171" s="3"/>
      <c r="VYF171" s="3"/>
      <c r="VYG171" s="3"/>
      <c r="VYH171" s="3"/>
      <c r="VYI171" s="3"/>
      <c r="VYJ171" s="3"/>
      <c r="VYK171" s="3"/>
      <c r="VYL171" s="3"/>
      <c r="VYM171" s="3"/>
      <c r="VYN171" s="3"/>
      <c r="VYO171" s="3"/>
      <c r="VYP171" s="3"/>
      <c r="VYQ171" s="3"/>
      <c r="VYR171" s="3"/>
      <c r="VYS171" s="3"/>
      <c r="VYT171" s="3"/>
      <c r="VYU171" s="3"/>
      <c r="VYV171" s="3"/>
      <c r="VYW171" s="3"/>
      <c r="VYX171" s="3"/>
      <c r="VYY171" s="3"/>
      <c r="VYZ171" s="3"/>
      <c r="VZA171" s="3"/>
      <c r="VZB171" s="3"/>
      <c r="VZC171" s="3"/>
      <c r="VZD171" s="3"/>
      <c r="VZE171" s="3"/>
      <c r="VZF171" s="3"/>
      <c r="VZG171" s="3"/>
      <c r="VZH171" s="3"/>
      <c r="VZI171" s="3"/>
      <c r="VZJ171" s="3"/>
      <c r="VZK171" s="3"/>
      <c r="VZL171" s="3"/>
      <c r="VZM171" s="3"/>
      <c r="VZN171" s="3"/>
      <c r="VZO171" s="3"/>
      <c r="VZP171" s="3"/>
      <c r="VZQ171" s="3"/>
      <c r="VZR171" s="3"/>
      <c r="VZS171" s="3"/>
      <c r="VZT171" s="3"/>
      <c r="VZU171" s="3"/>
      <c r="VZV171" s="3"/>
      <c r="VZW171" s="3"/>
      <c r="VZX171" s="3"/>
      <c r="VZY171" s="3"/>
      <c r="VZZ171" s="3"/>
      <c r="WAA171" s="3"/>
      <c r="WAB171" s="3"/>
      <c r="WAC171" s="3"/>
      <c r="WAD171" s="3"/>
      <c r="WAE171" s="3"/>
      <c r="WAF171" s="3"/>
      <c r="WAG171" s="3"/>
      <c r="WAH171" s="3"/>
      <c r="WAI171" s="3"/>
      <c r="WAJ171" s="3"/>
      <c r="WAK171" s="3"/>
      <c r="WAL171" s="3"/>
      <c r="WAM171" s="3"/>
      <c r="WAN171" s="3"/>
      <c r="WAO171" s="3"/>
      <c r="WAP171" s="3"/>
      <c r="WAQ171" s="3"/>
      <c r="WAR171" s="3"/>
      <c r="WAS171" s="3"/>
      <c r="WAT171" s="3"/>
      <c r="WAU171" s="3"/>
      <c r="WAV171" s="3"/>
      <c r="WAW171" s="3"/>
      <c r="WAX171" s="3"/>
      <c r="WAY171" s="3"/>
      <c r="WAZ171" s="3"/>
      <c r="WBA171" s="3"/>
      <c r="WBB171" s="3"/>
      <c r="WBC171" s="3"/>
      <c r="WBD171" s="3"/>
      <c r="WBE171" s="3"/>
      <c r="WBF171" s="3"/>
      <c r="WBG171" s="3"/>
      <c r="WBH171" s="3"/>
      <c r="WBI171" s="3"/>
      <c r="WBJ171" s="3"/>
      <c r="WBK171" s="3"/>
      <c r="WBL171" s="3"/>
      <c r="WBM171" s="3"/>
      <c r="WBN171" s="3"/>
      <c r="WBO171" s="3"/>
      <c r="WBP171" s="3"/>
      <c r="WBQ171" s="3"/>
      <c r="WBR171" s="3"/>
      <c r="WBS171" s="3"/>
      <c r="WBT171" s="3"/>
      <c r="WBU171" s="3"/>
      <c r="WBV171" s="3"/>
      <c r="WBW171" s="3"/>
      <c r="WBX171" s="3"/>
      <c r="WBY171" s="3"/>
      <c r="WBZ171" s="3"/>
      <c r="WCA171" s="3"/>
      <c r="WCB171" s="3"/>
      <c r="WCC171" s="3"/>
      <c r="WCD171" s="3"/>
      <c r="WCE171" s="3"/>
      <c r="WCF171" s="3"/>
      <c r="WCG171" s="3"/>
      <c r="WCH171" s="3"/>
      <c r="WCI171" s="3"/>
      <c r="WCJ171" s="3"/>
      <c r="WCK171" s="3"/>
      <c r="WCL171" s="3"/>
      <c r="WCM171" s="3"/>
      <c r="WCN171" s="3"/>
      <c r="WCO171" s="3"/>
      <c r="WCP171" s="3"/>
      <c r="WCQ171" s="3"/>
      <c r="WCR171" s="3"/>
      <c r="WCS171" s="3"/>
      <c r="WCT171" s="3"/>
      <c r="WCU171" s="3"/>
      <c r="WCV171" s="3"/>
      <c r="WCW171" s="3"/>
      <c r="WCX171" s="3"/>
      <c r="WCY171" s="3"/>
      <c r="WCZ171" s="3"/>
      <c r="WDA171" s="3"/>
      <c r="WDB171" s="3"/>
      <c r="WDC171" s="3"/>
      <c r="WDD171" s="3"/>
      <c r="WDE171" s="3"/>
      <c r="WDF171" s="3"/>
      <c r="WDG171" s="3"/>
      <c r="WDH171" s="3"/>
      <c r="WDI171" s="3"/>
      <c r="WDJ171" s="3"/>
      <c r="WDK171" s="3"/>
      <c r="WDL171" s="3"/>
      <c r="WDM171" s="3"/>
      <c r="WDN171" s="3"/>
      <c r="WDO171" s="3"/>
      <c r="WDP171" s="3"/>
      <c r="WDQ171" s="3"/>
      <c r="WDR171" s="3"/>
      <c r="WDS171" s="3"/>
      <c r="WDT171" s="3"/>
      <c r="WDU171" s="3"/>
      <c r="WDV171" s="3"/>
      <c r="WDW171" s="3"/>
      <c r="WDX171" s="3"/>
      <c r="WDY171" s="3"/>
      <c r="WDZ171" s="3"/>
      <c r="WEA171" s="3"/>
      <c r="WEB171" s="3"/>
      <c r="WEC171" s="3"/>
      <c r="WED171" s="3"/>
      <c r="WEE171" s="3"/>
      <c r="WEF171" s="3"/>
      <c r="WEG171" s="3"/>
      <c r="WEH171" s="3"/>
      <c r="WEI171" s="3"/>
      <c r="WEJ171" s="3"/>
      <c r="WEK171" s="3"/>
      <c r="WEL171" s="3"/>
      <c r="WEM171" s="3"/>
      <c r="WEN171" s="3"/>
      <c r="WEO171" s="3"/>
      <c r="WEP171" s="3"/>
      <c r="WEQ171" s="3"/>
      <c r="WER171" s="3"/>
      <c r="WES171" s="3"/>
      <c r="WET171" s="3"/>
      <c r="WEU171" s="3"/>
      <c r="WEV171" s="3"/>
      <c r="WEW171" s="3"/>
      <c r="WEX171" s="3"/>
      <c r="WEY171" s="3"/>
      <c r="WEZ171" s="3"/>
      <c r="WFA171" s="3"/>
      <c r="WFB171" s="3"/>
      <c r="WFC171" s="3"/>
      <c r="WFD171" s="3"/>
      <c r="WFE171" s="3"/>
      <c r="WFF171" s="3"/>
      <c r="WFG171" s="3"/>
      <c r="WFH171" s="3"/>
      <c r="WFI171" s="3"/>
      <c r="WFJ171" s="3"/>
      <c r="WFK171" s="3"/>
      <c r="WFL171" s="3"/>
      <c r="WFM171" s="3"/>
      <c r="WFN171" s="3"/>
      <c r="WFO171" s="3"/>
      <c r="WFP171" s="3"/>
      <c r="WFQ171" s="3"/>
      <c r="WFR171" s="3"/>
      <c r="WFS171" s="3"/>
      <c r="WFT171" s="3"/>
      <c r="WFU171" s="3"/>
      <c r="WFV171" s="3"/>
      <c r="WFW171" s="3"/>
      <c r="WFX171" s="3"/>
      <c r="WFY171" s="3"/>
      <c r="WFZ171" s="3"/>
      <c r="WGA171" s="3"/>
      <c r="WGB171" s="3"/>
      <c r="WGC171" s="3"/>
      <c r="WGD171" s="3"/>
      <c r="WGE171" s="3"/>
      <c r="WGF171" s="3"/>
      <c r="WGG171" s="3"/>
      <c r="WGH171" s="3"/>
      <c r="WGI171" s="3"/>
      <c r="WGJ171" s="3"/>
      <c r="WGK171" s="3"/>
      <c r="WGL171" s="3"/>
      <c r="WGM171" s="3"/>
      <c r="WGN171" s="3"/>
      <c r="WGO171" s="3"/>
      <c r="WGP171" s="3"/>
      <c r="WGQ171" s="3"/>
      <c r="WGR171" s="3"/>
      <c r="WGS171" s="3"/>
      <c r="WGT171" s="3"/>
      <c r="WGU171" s="3"/>
      <c r="WGV171" s="3"/>
      <c r="WGW171" s="3"/>
      <c r="WGX171" s="3"/>
      <c r="WGY171" s="3"/>
      <c r="WGZ171" s="3"/>
      <c r="WHA171" s="3"/>
      <c r="WHB171" s="3"/>
      <c r="WHC171" s="3"/>
      <c r="WHD171" s="3"/>
      <c r="WHE171" s="3"/>
      <c r="WHF171" s="3"/>
      <c r="WHG171" s="3"/>
      <c r="WHH171" s="3"/>
      <c r="WHI171" s="3"/>
      <c r="WHJ171" s="3"/>
      <c r="WHK171" s="3"/>
      <c r="WHL171" s="3"/>
      <c r="WHM171" s="3"/>
      <c r="WHN171" s="3"/>
      <c r="WHO171" s="3"/>
      <c r="WHP171" s="3"/>
      <c r="WHQ171" s="3"/>
      <c r="WHR171" s="3"/>
      <c r="WHS171" s="3"/>
      <c r="WHT171" s="3"/>
      <c r="WHU171" s="3"/>
      <c r="WHV171" s="3"/>
      <c r="WHW171" s="3"/>
      <c r="WHX171" s="3"/>
      <c r="WHY171" s="3"/>
      <c r="WHZ171" s="3"/>
      <c r="WIA171" s="3"/>
      <c r="WIB171" s="3"/>
      <c r="WIC171" s="3"/>
      <c r="WID171" s="3"/>
      <c r="WIE171" s="3"/>
      <c r="WIF171" s="3"/>
      <c r="WIG171" s="3"/>
      <c r="WIH171" s="3"/>
      <c r="WII171" s="3"/>
      <c r="WIJ171" s="3"/>
      <c r="WIK171" s="3"/>
      <c r="WIL171" s="3"/>
      <c r="WIM171" s="3"/>
      <c r="WIN171" s="3"/>
      <c r="WIO171" s="3"/>
      <c r="WIP171" s="3"/>
      <c r="WIQ171" s="3"/>
      <c r="WIR171" s="3"/>
      <c r="WIS171" s="3"/>
      <c r="WIT171" s="3"/>
      <c r="WIU171" s="3"/>
      <c r="WIV171" s="3"/>
      <c r="WIW171" s="3"/>
      <c r="WIX171" s="3"/>
      <c r="WIY171" s="3"/>
      <c r="WIZ171" s="3"/>
      <c r="WJA171" s="3"/>
      <c r="WJB171" s="3"/>
      <c r="WJC171" s="3"/>
      <c r="WJD171" s="3"/>
      <c r="WJE171" s="3"/>
      <c r="WJF171" s="3"/>
      <c r="WJG171" s="3"/>
      <c r="WJH171" s="3"/>
      <c r="WJI171" s="3"/>
      <c r="WJJ171" s="3"/>
      <c r="WJK171" s="3"/>
      <c r="WJL171" s="3"/>
      <c r="WJM171" s="3"/>
      <c r="WJN171" s="3"/>
      <c r="WJO171" s="3"/>
      <c r="WJP171" s="3"/>
      <c r="WJQ171" s="3"/>
      <c r="WJR171" s="3"/>
      <c r="WJS171" s="3"/>
      <c r="WJT171" s="3"/>
      <c r="WJU171" s="3"/>
      <c r="WJV171" s="3"/>
      <c r="WJW171" s="3"/>
      <c r="WJX171" s="3"/>
      <c r="WJY171" s="3"/>
      <c r="WJZ171" s="3"/>
      <c r="WKA171" s="3"/>
      <c r="WKB171" s="3"/>
      <c r="WKC171" s="3"/>
      <c r="WKD171" s="3"/>
      <c r="WKE171" s="3"/>
      <c r="WKF171" s="3"/>
      <c r="WKG171" s="3"/>
      <c r="WKH171" s="3"/>
      <c r="WKI171" s="3"/>
      <c r="WKJ171" s="3"/>
      <c r="WKK171" s="3"/>
      <c r="WKL171" s="3"/>
      <c r="WKM171" s="3"/>
      <c r="WKN171" s="3"/>
      <c r="WKO171" s="3"/>
      <c r="WKP171" s="3"/>
      <c r="WKQ171" s="3"/>
      <c r="WKR171" s="3"/>
      <c r="WKS171" s="3"/>
      <c r="WKT171" s="3"/>
      <c r="WKU171" s="3"/>
      <c r="WKV171" s="3"/>
      <c r="WKW171" s="3"/>
      <c r="WKX171" s="3"/>
      <c r="WKY171" s="3"/>
      <c r="WKZ171" s="3"/>
      <c r="WLA171" s="3"/>
      <c r="WLB171" s="3"/>
      <c r="WLC171" s="3"/>
      <c r="WLD171" s="3"/>
      <c r="WLE171" s="3"/>
      <c r="WLF171" s="3"/>
      <c r="WLG171" s="3"/>
      <c r="WLH171" s="3"/>
      <c r="WLI171" s="3"/>
      <c r="WLJ171" s="3"/>
      <c r="WLK171" s="3"/>
      <c r="WLL171" s="3"/>
      <c r="WLM171" s="3"/>
      <c r="WLN171" s="3"/>
      <c r="WLO171" s="3"/>
      <c r="WLP171" s="3"/>
      <c r="WLQ171" s="3"/>
      <c r="WLR171" s="3"/>
      <c r="WLS171" s="3"/>
      <c r="WLT171" s="3"/>
      <c r="WLU171" s="3"/>
      <c r="WLV171" s="3"/>
      <c r="WLW171" s="3"/>
      <c r="WLX171" s="3"/>
      <c r="WLY171" s="3"/>
      <c r="WLZ171" s="3"/>
      <c r="WMA171" s="3"/>
      <c r="WMB171" s="3"/>
      <c r="WMC171" s="3"/>
      <c r="WMD171" s="3"/>
      <c r="WME171" s="3"/>
      <c r="WMF171" s="3"/>
      <c r="WMG171" s="3"/>
      <c r="WMH171" s="3"/>
      <c r="WMI171" s="3"/>
      <c r="WMJ171" s="3"/>
      <c r="WMK171" s="3"/>
      <c r="WML171" s="3"/>
      <c r="WMM171" s="3"/>
      <c r="WMN171" s="3"/>
      <c r="WMO171" s="3"/>
      <c r="WMP171" s="3"/>
      <c r="WMQ171" s="3"/>
      <c r="WMR171" s="3"/>
      <c r="WMS171" s="3"/>
      <c r="WMT171" s="3"/>
      <c r="WMU171" s="3"/>
      <c r="WMV171" s="3"/>
      <c r="WMW171" s="3"/>
      <c r="WMX171" s="3"/>
      <c r="WMY171" s="3"/>
      <c r="WMZ171" s="3"/>
      <c r="WNA171" s="3"/>
      <c r="WNB171" s="3"/>
      <c r="WNC171" s="3"/>
      <c r="WND171" s="3"/>
      <c r="WNE171" s="3"/>
      <c r="WNF171" s="3"/>
      <c r="WNG171" s="3"/>
      <c r="WNH171" s="3"/>
      <c r="WNI171" s="3"/>
      <c r="WNJ171" s="3"/>
      <c r="WNK171" s="3"/>
      <c r="WNL171" s="3"/>
      <c r="WNM171" s="3"/>
      <c r="WNN171" s="3"/>
      <c r="WNO171" s="3"/>
      <c r="WNP171" s="3"/>
      <c r="WNQ171" s="3"/>
      <c r="WNR171" s="3"/>
      <c r="WNS171" s="3"/>
      <c r="WNT171" s="3"/>
      <c r="WNU171" s="3"/>
      <c r="WNV171" s="3"/>
      <c r="WNW171" s="3"/>
      <c r="WNX171" s="3"/>
      <c r="WNY171" s="3"/>
      <c r="WNZ171" s="3"/>
      <c r="WOA171" s="3"/>
      <c r="WOB171" s="3"/>
      <c r="WOC171" s="3"/>
      <c r="WOD171" s="3"/>
      <c r="WOE171" s="3"/>
      <c r="WOF171" s="3"/>
      <c r="WOG171" s="3"/>
      <c r="WOH171" s="3"/>
      <c r="WOI171" s="3"/>
      <c r="WOJ171" s="3"/>
      <c r="WOK171" s="3"/>
      <c r="WOL171" s="3"/>
      <c r="WOM171" s="3"/>
      <c r="WON171" s="3"/>
      <c r="WOO171" s="3"/>
      <c r="WOP171" s="3"/>
      <c r="WOQ171" s="3"/>
      <c r="WOR171" s="3"/>
      <c r="WOS171" s="3"/>
      <c r="WOT171" s="3"/>
      <c r="WOU171" s="3"/>
      <c r="WOV171" s="3"/>
      <c r="WOW171" s="3"/>
      <c r="WOX171" s="3"/>
      <c r="WOY171" s="3"/>
      <c r="WOZ171" s="3"/>
      <c r="WPA171" s="3"/>
      <c r="WPB171" s="3"/>
      <c r="WPC171" s="3"/>
      <c r="WPD171" s="3"/>
      <c r="WPE171" s="3"/>
      <c r="WPF171" s="3"/>
      <c r="WPG171" s="3"/>
      <c r="WPH171" s="3"/>
      <c r="WPI171" s="3"/>
      <c r="WPJ171" s="3"/>
      <c r="WPK171" s="3"/>
      <c r="WPL171" s="3"/>
      <c r="WPM171" s="3"/>
      <c r="WPN171" s="3"/>
      <c r="WPO171" s="3"/>
      <c r="WPP171" s="3"/>
      <c r="WPQ171" s="3"/>
      <c r="WPR171" s="3"/>
      <c r="WPS171" s="3"/>
      <c r="WPT171" s="3"/>
      <c r="WPU171" s="3"/>
      <c r="WPV171" s="3"/>
      <c r="WPW171" s="3"/>
      <c r="WPX171" s="3"/>
      <c r="WPY171" s="3"/>
      <c r="WPZ171" s="3"/>
      <c r="WQA171" s="3"/>
      <c r="WQB171" s="3"/>
      <c r="WQC171" s="3"/>
      <c r="WQD171" s="3"/>
      <c r="WQE171" s="3"/>
      <c r="WQF171" s="3"/>
      <c r="WQG171" s="3"/>
      <c r="WQH171" s="3"/>
      <c r="WQI171" s="3"/>
      <c r="WQJ171" s="3"/>
      <c r="WQK171" s="3"/>
      <c r="WQL171" s="3"/>
      <c r="WQM171" s="3"/>
      <c r="WQN171" s="3"/>
      <c r="WQO171" s="3"/>
      <c r="WQP171" s="3"/>
      <c r="WQQ171" s="3"/>
      <c r="WQR171" s="3"/>
      <c r="WQS171" s="3"/>
      <c r="WQT171" s="3"/>
      <c r="WQU171" s="3"/>
      <c r="WQV171" s="3"/>
      <c r="WQW171" s="3"/>
      <c r="WQX171" s="3"/>
      <c r="WQY171" s="3"/>
      <c r="WQZ171" s="3"/>
      <c r="WRA171" s="3"/>
      <c r="WRB171" s="3"/>
      <c r="WRC171" s="3"/>
      <c r="WRD171" s="3"/>
      <c r="WRE171" s="3"/>
      <c r="WRF171" s="3"/>
      <c r="WRG171" s="3"/>
      <c r="WRH171" s="3"/>
      <c r="WRI171" s="3"/>
      <c r="WRJ171" s="3"/>
      <c r="WRK171" s="3"/>
      <c r="WRL171" s="3"/>
      <c r="WRM171" s="3"/>
      <c r="WRN171" s="3"/>
      <c r="WRO171" s="3"/>
      <c r="WRP171" s="3"/>
      <c r="WRQ171" s="3"/>
      <c r="WRR171" s="3"/>
      <c r="WRS171" s="3"/>
      <c r="WRT171" s="3"/>
      <c r="WRU171" s="3"/>
      <c r="WRV171" s="3"/>
      <c r="WRW171" s="3"/>
      <c r="WRX171" s="3"/>
      <c r="WRY171" s="3"/>
      <c r="WRZ171" s="3"/>
      <c r="WSA171" s="3"/>
      <c r="WSB171" s="3"/>
      <c r="WSC171" s="3"/>
      <c r="WSD171" s="3"/>
      <c r="WSE171" s="3"/>
      <c r="WSF171" s="3"/>
      <c r="WSG171" s="3"/>
      <c r="WSH171" s="3"/>
      <c r="WSI171" s="3"/>
      <c r="WSJ171" s="3"/>
      <c r="WSK171" s="3"/>
      <c r="WSL171" s="3"/>
      <c r="WSM171" s="3"/>
      <c r="WSN171" s="3"/>
      <c r="WSO171" s="3"/>
      <c r="WSP171" s="3"/>
      <c r="WSQ171" s="3"/>
      <c r="WSR171" s="3"/>
      <c r="WSS171" s="3"/>
      <c r="WST171" s="3"/>
      <c r="WSU171" s="3"/>
      <c r="WSV171" s="3"/>
      <c r="WSW171" s="3"/>
      <c r="WSX171" s="3"/>
      <c r="WSY171" s="3"/>
      <c r="WSZ171" s="3"/>
      <c r="WTA171" s="3"/>
      <c r="WTB171" s="3"/>
      <c r="WTC171" s="3"/>
      <c r="WTD171" s="3"/>
      <c r="WTE171" s="3"/>
      <c r="WTF171" s="3"/>
      <c r="WTG171" s="3"/>
      <c r="WTH171" s="3"/>
      <c r="WTI171" s="3"/>
      <c r="WTJ171" s="3"/>
      <c r="WTK171" s="3"/>
      <c r="WTL171" s="3"/>
      <c r="WTM171" s="3"/>
      <c r="WTN171" s="3"/>
      <c r="WTO171" s="3"/>
      <c r="WTP171" s="3"/>
      <c r="WTQ171" s="3"/>
      <c r="WTR171" s="3"/>
      <c r="WTS171" s="3"/>
      <c r="WTT171" s="3"/>
      <c r="WTU171" s="3"/>
      <c r="WTV171" s="3"/>
      <c r="WTW171" s="3"/>
      <c r="WTX171" s="3"/>
      <c r="WTY171" s="3"/>
      <c r="WTZ171" s="3"/>
      <c r="WUA171" s="3"/>
      <c r="WUB171" s="3"/>
      <c r="WUC171" s="3"/>
      <c r="WUD171" s="3"/>
      <c r="WUE171" s="3"/>
      <c r="WUF171" s="3"/>
      <c r="WUG171" s="3"/>
      <c r="WUH171" s="3"/>
      <c r="WUI171" s="3"/>
      <c r="WUJ171" s="3"/>
      <c r="WUK171" s="3"/>
      <c r="WUL171" s="3"/>
      <c r="WUM171" s="3"/>
      <c r="WUN171" s="3"/>
      <c r="WUO171" s="3"/>
      <c r="WUP171" s="3"/>
      <c r="WUQ171" s="3"/>
      <c r="WUR171" s="3"/>
      <c r="WUS171" s="3"/>
      <c r="WUT171" s="3"/>
      <c r="WUU171" s="3"/>
      <c r="WUV171" s="3"/>
      <c r="WUW171" s="3"/>
      <c r="WUX171" s="3"/>
      <c r="WUY171" s="3"/>
      <c r="WUZ171" s="3"/>
      <c r="WVA171" s="3"/>
      <c r="WVB171" s="3"/>
      <c r="WVC171" s="3"/>
      <c r="WVD171" s="3"/>
      <c r="WVE171" s="3"/>
      <c r="WVF171" s="3"/>
      <c r="WVG171" s="3"/>
      <c r="WVH171" s="3"/>
      <c r="WVI171" s="3"/>
      <c r="WVJ171" s="3"/>
      <c r="WVK171" s="3"/>
      <c r="WVL171" s="3"/>
      <c r="WVM171" s="3"/>
      <c r="WVN171" s="3"/>
      <c r="WVO171" s="3"/>
      <c r="WVP171" s="3"/>
      <c r="WVQ171" s="3"/>
      <c r="WVR171" s="3"/>
      <c r="WVS171" s="3"/>
      <c r="WVT171" s="3"/>
      <c r="WVU171" s="3"/>
      <c r="WVV171" s="3"/>
      <c r="WVW171" s="3"/>
      <c r="WVX171" s="3"/>
      <c r="WVY171" s="3"/>
      <c r="WVZ171" s="3"/>
      <c r="WWA171" s="3"/>
      <c r="WWB171" s="3"/>
      <c r="WWC171" s="3"/>
      <c r="WWD171" s="3"/>
      <c r="WWE171" s="3"/>
      <c r="WWF171" s="3"/>
      <c r="WWG171" s="3"/>
      <c r="WWH171" s="3"/>
      <c r="WWI171" s="3"/>
      <c r="WWJ171" s="3"/>
      <c r="WWK171" s="3"/>
      <c r="WWL171" s="3"/>
      <c r="WWM171" s="3"/>
      <c r="WWN171" s="3"/>
      <c r="WWO171" s="3"/>
      <c r="WWP171" s="3"/>
      <c r="WWQ171" s="3"/>
      <c r="WWR171" s="3"/>
      <c r="WWS171" s="3"/>
      <c r="WWT171" s="3"/>
      <c r="WWU171" s="3"/>
      <c r="WWV171" s="3"/>
      <c r="WWW171" s="3"/>
      <c r="WWX171" s="3"/>
      <c r="WWY171" s="3"/>
      <c r="WWZ171" s="3"/>
      <c r="WXA171" s="3"/>
      <c r="WXB171" s="3"/>
      <c r="WXC171" s="3"/>
      <c r="WXD171" s="3"/>
      <c r="WXE171" s="3"/>
      <c r="WXF171" s="3"/>
      <c r="WXG171" s="3"/>
      <c r="WXH171" s="3"/>
      <c r="WXI171" s="3"/>
      <c r="WXJ171" s="3"/>
      <c r="WXK171" s="3"/>
      <c r="WXL171" s="3"/>
      <c r="WXM171" s="3"/>
      <c r="WXN171" s="3"/>
      <c r="WXO171" s="3"/>
      <c r="WXP171" s="3"/>
      <c r="WXQ171" s="3"/>
      <c r="WXR171" s="3"/>
      <c r="WXS171" s="3"/>
      <c r="WXT171" s="3"/>
      <c r="WXU171" s="3"/>
      <c r="WXV171" s="3"/>
      <c r="WXW171" s="3"/>
      <c r="WXX171" s="3"/>
      <c r="WXY171" s="3"/>
      <c r="WXZ171" s="3"/>
      <c r="WYA171" s="3"/>
      <c r="WYB171" s="3"/>
      <c r="WYC171" s="3"/>
      <c r="WYD171" s="3"/>
      <c r="WYE171" s="3"/>
      <c r="WYF171" s="3"/>
      <c r="WYG171" s="3"/>
      <c r="WYH171" s="3"/>
      <c r="WYI171" s="3"/>
      <c r="WYJ171" s="3"/>
      <c r="WYK171" s="3"/>
      <c r="WYL171" s="3"/>
      <c r="WYM171" s="3"/>
      <c r="WYN171" s="3"/>
      <c r="WYO171" s="3"/>
      <c r="WYP171" s="3"/>
      <c r="WYQ171" s="3"/>
      <c r="WYR171" s="3"/>
      <c r="WYS171" s="3"/>
      <c r="WYT171" s="3"/>
      <c r="WYU171" s="3"/>
      <c r="WYV171" s="3"/>
      <c r="WYW171" s="3"/>
      <c r="WYX171" s="3"/>
      <c r="WYY171" s="3"/>
      <c r="WYZ171" s="3"/>
      <c r="WZA171" s="3"/>
      <c r="WZB171" s="3"/>
      <c r="WZC171" s="3"/>
      <c r="WZD171" s="3"/>
      <c r="WZE171" s="3"/>
      <c r="WZF171" s="3"/>
      <c r="WZG171" s="3"/>
      <c r="WZH171" s="3"/>
      <c r="WZI171" s="3"/>
      <c r="WZJ171" s="3"/>
      <c r="WZK171" s="3"/>
      <c r="WZL171" s="3"/>
      <c r="WZM171" s="3"/>
      <c r="WZN171" s="3"/>
      <c r="WZO171" s="3"/>
      <c r="WZP171" s="3"/>
      <c r="WZQ171" s="3"/>
      <c r="WZR171" s="3"/>
      <c r="WZS171" s="3"/>
      <c r="WZT171" s="3"/>
      <c r="WZU171" s="3"/>
      <c r="WZV171" s="3"/>
      <c r="WZW171" s="3"/>
      <c r="WZX171" s="3"/>
      <c r="WZY171" s="3"/>
      <c r="WZZ171" s="3"/>
      <c r="XAA171" s="3"/>
      <c r="XAB171" s="3"/>
      <c r="XAC171" s="3"/>
      <c r="XAD171" s="3"/>
      <c r="XAE171" s="3"/>
      <c r="XAF171" s="3"/>
      <c r="XAG171" s="3"/>
      <c r="XAH171" s="3"/>
      <c r="XAI171" s="3"/>
      <c r="XAJ171" s="3"/>
      <c r="XAK171" s="3"/>
      <c r="XAL171" s="3"/>
      <c r="XAM171" s="3"/>
      <c r="XAN171" s="3"/>
      <c r="XAO171" s="3"/>
      <c r="XAP171" s="3"/>
      <c r="XAQ171" s="3"/>
      <c r="XAR171" s="3"/>
      <c r="XAS171" s="3"/>
      <c r="XAT171" s="3"/>
      <c r="XAU171" s="3"/>
      <c r="XAV171" s="3"/>
      <c r="XAW171" s="3"/>
      <c r="XAX171" s="3"/>
      <c r="XAY171" s="3"/>
      <c r="XAZ171" s="3"/>
      <c r="XBA171" s="3"/>
      <c r="XBB171" s="3"/>
      <c r="XBC171" s="3"/>
      <c r="XBD171" s="3"/>
      <c r="XBE171" s="3"/>
      <c r="XBF171" s="3"/>
      <c r="XBG171" s="3"/>
      <c r="XBH171" s="3"/>
      <c r="XBI171" s="3"/>
      <c r="XBJ171" s="3"/>
      <c r="XBK171" s="3"/>
      <c r="XBL171" s="3"/>
      <c r="XBM171" s="3"/>
      <c r="XBN171" s="3"/>
      <c r="XBO171" s="3"/>
      <c r="XBP171" s="3"/>
      <c r="XBQ171" s="3"/>
      <c r="XBR171" s="3"/>
      <c r="XBS171" s="3"/>
      <c r="XBT171" s="3"/>
      <c r="XBU171" s="3"/>
      <c r="XBV171" s="3"/>
      <c r="XBW171" s="3"/>
      <c r="XBX171" s="3"/>
      <c r="XBY171" s="3"/>
      <c r="XBZ171" s="3"/>
      <c r="XCA171" s="3"/>
      <c r="XCB171" s="3"/>
      <c r="XCC171" s="3"/>
      <c r="XCD171" s="3"/>
      <c r="XCE171" s="3"/>
      <c r="XCF171" s="3"/>
      <c r="XCG171" s="3"/>
      <c r="XCH171" s="3"/>
      <c r="XCI171" s="3"/>
      <c r="XCJ171" s="3"/>
      <c r="XCK171" s="3"/>
      <c r="XCL171" s="3"/>
      <c r="XCM171" s="3"/>
      <c r="XCN171" s="3"/>
      <c r="XCO171" s="3"/>
      <c r="XCP171" s="3"/>
      <c r="XCQ171" s="3"/>
      <c r="XCR171" s="3"/>
      <c r="XCS171" s="3"/>
      <c r="XCT171" s="3"/>
      <c r="XCU171" s="3"/>
      <c r="XCV171" s="3"/>
      <c r="XCW171" s="3"/>
      <c r="XCX171" s="3"/>
      <c r="XCY171" s="3"/>
      <c r="XCZ171" s="3"/>
      <c r="XDA171" s="3"/>
      <c r="XDB171" s="3"/>
      <c r="XDC171" s="3"/>
      <c r="XDD171" s="3"/>
      <c r="XDE171" s="3"/>
      <c r="XDF171" s="3"/>
      <c r="XDG171" s="3"/>
      <c r="XDH171" s="3"/>
      <c r="XDI171" s="3"/>
      <c r="XDJ171" s="3"/>
      <c r="XDK171" s="3"/>
      <c r="XDL171" s="3"/>
      <c r="XDM171" s="3"/>
      <c r="XDN171" s="3"/>
      <c r="XDO171" s="3"/>
      <c r="XDP171" s="3"/>
      <c r="XDQ171" s="3"/>
      <c r="XDR171" s="3"/>
      <c r="XDS171" s="3"/>
      <c r="XDT171" s="3"/>
      <c r="XDU171" s="3"/>
      <c r="XDV171" s="3"/>
      <c r="XDW171" s="3"/>
      <c r="XDX171" s="3"/>
    </row>
  </sheetData>
  <mergeCells count="10">
    <mergeCell ref="O1:P1"/>
    <mergeCell ref="Q1:T1"/>
    <mergeCell ref="U1:AB1"/>
    <mergeCell ref="AC1:AH1"/>
    <mergeCell ref="AI1:AK1"/>
    <mergeCell ref="A1:A2"/>
    <mergeCell ref="B1:B2"/>
    <mergeCell ref="C1:C2"/>
    <mergeCell ref="D1:D2"/>
    <mergeCell ref="E1:N1"/>
  </mergeCell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7FD66D-9FFC-4796-B76F-7CF06CF2CDAB}">
          <x14:formula1>
            <xm:f>Sheet2!$A$1:$A$8</xm:f>
          </x14:formula1>
          <xm:sqref>E3:R169 T3:U169 W3:W169 AD3:AD169 S29 S138 S129 S43 S94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2700-A7AA-49B8-84CD-3448CAA9BB5E}">
  <dimension ref="A1:A8"/>
  <sheetViews>
    <sheetView workbookViewId="0">
      <selection sqref="A1:A8"/>
    </sheetView>
  </sheetViews>
  <sheetFormatPr defaultRowHeight="14.5" x14ac:dyDescent="0.35"/>
  <cols>
    <col min="1" max="1" width="11.453125" bestFit="1" customWidth="1"/>
  </cols>
  <sheetData>
    <row r="1" spans="1:1" x14ac:dyDescent="0.35">
      <c r="A1" t="s">
        <v>212</v>
      </c>
    </row>
    <row r="2" spans="1:1" x14ac:dyDescent="0.35">
      <c r="A2" t="s">
        <v>213</v>
      </c>
    </row>
    <row r="3" spans="1:1" x14ac:dyDescent="0.35">
      <c r="A3" t="s">
        <v>214</v>
      </c>
    </row>
    <row r="4" spans="1:1" x14ac:dyDescent="0.35">
      <c r="A4" t="s">
        <v>215</v>
      </c>
    </row>
    <row r="5" spans="1:1" x14ac:dyDescent="0.35">
      <c r="A5" t="s">
        <v>218</v>
      </c>
    </row>
    <row r="6" spans="1:1" x14ac:dyDescent="0.35">
      <c r="A6" t="s">
        <v>219</v>
      </c>
    </row>
    <row r="7" spans="1:1" x14ac:dyDescent="0.35">
      <c r="A7" t="s">
        <v>220</v>
      </c>
    </row>
    <row r="8" spans="1:1" x14ac:dyDescent="0.35">
      <c r="A8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6C0A-C070-4614-85B5-1353374DF259}">
  <sheetPr>
    <tabColor theme="6" tint="-0.499984740745262"/>
  </sheetPr>
  <dimension ref="A1:XDX198"/>
  <sheetViews>
    <sheetView zoomScale="90" zoomScaleNormal="90" workbookViewId="0">
      <pane ySplit="1" topLeftCell="A173" activePane="bottomLeft" state="frozen"/>
      <selection pane="bottomLeft" activeCell="H2" sqref="H2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40.54296875" style="25" customWidth="1"/>
    <col min="4" max="4" width="11.81640625" style="25" customWidth="1"/>
    <col min="5" max="5" width="9.453125" style="3" hidden="1" customWidth="1"/>
    <col min="6" max="6" width="10.36328125" style="3" hidden="1" customWidth="1"/>
    <col min="7" max="7" width="9.453125" style="3" hidden="1" customWidth="1"/>
    <col min="8" max="8" width="8.26953125" style="3" customWidth="1"/>
    <col min="9" max="9" width="9.453125" style="3" hidden="1" customWidth="1"/>
    <col min="10" max="10" width="9.453125" style="3" customWidth="1"/>
    <col min="11" max="11" width="12.26953125" style="3" hidden="1" customWidth="1"/>
    <col min="12" max="12" width="11.26953125" style="3" customWidth="1"/>
    <col min="13" max="13" width="11.26953125" style="3" hidden="1" customWidth="1"/>
    <col min="14" max="14" width="6.90625" style="3" customWidth="1"/>
    <col min="15" max="15" width="6" style="3" customWidth="1"/>
    <col min="16" max="16" width="14.90625" style="3" hidden="1" customWidth="1"/>
    <col min="17" max="17" width="9.453125" style="3" customWidth="1"/>
    <col min="18" max="18" width="9.453125" style="3" hidden="1" customWidth="1"/>
    <col min="19" max="19" width="9.453125" style="3" customWidth="1"/>
    <col min="20" max="20" width="11.08984375" style="3" customWidth="1"/>
    <col min="21" max="21" width="16.54296875" style="3" hidden="1" customWidth="1"/>
    <col min="22" max="23" width="9.453125" style="3" customWidth="1"/>
    <col min="24" max="24" width="6.54296875" style="3" customWidth="1"/>
    <col min="25" max="25" width="9.453125" style="3" customWidth="1"/>
    <col min="26" max="26" width="9.453125" style="3" hidden="1" customWidth="1"/>
    <col min="27" max="27" width="9.453125" style="3" customWidth="1"/>
    <col min="28" max="28" width="9.1796875" style="3" hidden="1" customWidth="1"/>
    <col min="29" max="29" width="9.26953125" style="3" hidden="1" customWidth="1"/>
    <col min="30" max="30" width="10.36328125" style="3" customWidth="1"/>
    <col min="31" max="31" width="9.6328125" style="3" customWidth="1"/>
    <col min="32" max="32" width="15.1796875" style="3" customWidth="1"/>
    <col min="33" max="33" width="9.453125" style="3" customWidth="1"/>
    <col min="34" max="34" width="9.453125" style="3" hidden="1" customWidth="1"/>
    <col min="35" max="36" width="9.453125" style="3" customWidth="1"/>
    <col min="37" max="37" width="11.6328125" style="3" hidden="1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7 16352:16352" ht="14.5" x14ac:dyDescent="0.35">
      <c r="A1" s="71" t="s">
        <v>318</v>
      </c>
      <c r="B1" s="71" t="s">
        <v>6</v>
      </c>
      <c r="C1" s="71" t="s">
        <v>7</v>
      </c>
      <c r="D1" s="71" t="s">
        <v>8</v>
      </c>
      <c r="E1" s="39" t="s">
        <v>22</v>
      </c>
      <c r="F1" s="39" t="s">
        <v>70</v>
      </c>
      <c r="G1" s="39" t="s">
        <v>23</v>
      </c>
      <c r="H1" s="39" t="s">
        <v>69</v>
      </c>
      <c r="I1" s="39" t="s">
        <v>85</v>
      </c>
      <c r="J1" s="39" t="s">
        <v>86</v>
      </c>
      <c r="K1" s="39" t="s">
        <v>24</v>
      </c>
      <c r="L1" s="39" t="s">
        <v>67</v>
      </c>
      <c r="M1" s="39" t="s">
        <v>66</v>
      </c>
      <c r="N1" s="39" t="s">
        <v>25</v>
      </c>
      <c r="O1" s="39" t="s">
        <v>71</v>
      </c>
      <c r="P1" s="39" t="s">
        <v>14</v>
      </c>
      <c r="Q1" s="39" t="s">
        <v>72</v>
      </c>
      <c r="R1" s="39" t="s">
        <v>13</v>
      </c>
      <c r="S1" s="39" t="s">
        <v>18</v>
      </c>
      <c r="T1" s="39" t="s">
        <v>19</v>
      </c>
      <c r="U1" s="39" t="s">
        <v>80</v>
      </c>
      <c r="V1" s="39" t="s">
        <v>17</v>
      </c>
      <c r="W1" s="39" t="s">
        <v>79</v>
      </c>
      <c r="X1" s="39" t="s">
        <v>16</v>
      </c>
      <c r="Y1" s="39" t="s">
        <v>90</v>
      </c>
      <c r="Z1" s="39" t="s">
        <v>91</v>
      </c>
      <c r="AA1" s="39" t="s">
        <v>92</v>
      </c>
      <c r="AB1" s="39" t="s">
        <v>15</v>
      </c>
      <c r="AC1" s="39" t="s">
        <v>73</v>
      </c>
      <c r="AD1" s="39" t="s">
        <v>11</v>
      </c>
      <c r="AE1" s="39" t="s">
        <v>10</v>
      </c>
      <c r="AF1" s="39" t="s">
        <v>94</v>
      </c>
      <c r="AG1" s="39" t="s">
        <v>12</v>
      </c>
      <c r="AH1" s="39" t="s">
        <v>9</v>
      </c>
      <c r="AI1" s="39" t="s">
        <v>78</v>
      </c>
      <c r="AJ1" s="39" t="s">
        <v>20</v>
      </c>
      <c r="AK1" s="39" t="s">
        <v>65</v>
      </c>
      <c r="XDX1" s="3" t="s">
        <v>26</v>
      </c>
    </row>
    <row r="2" spans="1:37 16352:16352" x14ac:dyDescent="0.3">
      <c r="A2" s="65">
        <v>1</v>
      </c>
      <c r="B2" s="63">
        <v>46023</v>
      </c>
      <c r="C2" s="66" t="s">
        <v>121</v>
      </c>
      <c r="D2" s="66" t="s">
        <v>96</v>
      </c>
      <c r="E2" s="67"/>
      <c r="F2" s="67"/>
      <c r="G2" s="67"/>
      <c r="H2" s="67" t="s">
        <v>215</v>
      </c>
      <c r="I2" s="67"/>
      <c r="J2" s="67"/>
      <c r="K2" s="67"/>
      <c r="L2" s="67"/>
      <c r="M2" s="67"/>
      <c r="N2" s="74" t="s">
        <v>213</v>
      </c>
      <c r="O2" s="74" t="s">
        <v>213</v>
      </c>
      <c r="P2" s="67"/>
      <c r="Q2" s="74" t="s">
        <v>215</v>
      </c>
      <c r="R2" s="67"/>
      <c r="S2" s="75"/>
      <c r="T2" s="74" t="s">
        <v>213</v>
      </c>
      <c r="U2" s="67"/>
      <c r="V2" s="67"/>
      <c r="W2" s="74" t="s">
        <v>213</v>
      </c>
      <c r="X2" s="74" t="s">
        <v>215</v>
      </c>
      <c r="Y2" s="74" t="s">
        <v>215</v>
      </c>
      <c r="Z2" s="67"/>
      <c r="AA2" s="74" t="s">
        <v>215</v>
      </c>
      <c r="AB2" s="67"/>
      <c r="AC2" s="67"/>
      <c r="AD2" s="74" t="s">
        <v>213</v>
      </c>
      <c r="AE2" s="74" t="s">
        <v>215</v>
      </c>
      <c r="AF2" s="74" t="s">
        <v>213</v>
      </c>
      <c r="AG2" s="74" t="s">
        <v>215</v>
      </c>
      <c r="AH2" s="67"/>
      <c r="AI2" s="74" t="s">
        <v>215</v>
      </c>
      <c r="AJ2" s="80" t="str">
        <f>VLOOKUP(B2,'For A grades - 11 days'!B1:AJ187,35,0)</f>
        <v>Optional</v>
      </c>
      <c r="AK2" s="62"/>
    </row>
    <row r="3" spans="1:37 16352:16352" x14ac:dyDescent="0.3">
      <c r="A3" s="65">
        <v>2</v>
      </c>
      <c r="B3" s="63">
        <v>46024</v>
      </c>
      <c r="C3" s="66" t="s">
        <v>128</v>
      </c>
      <c r="D3" s="66" t="s">
        <v>127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75"/>
      <c r="T3" s="67"/>
      <c r="U3" s="67"/>
      <c r="V3" s="67"/>
      <c r="W3" s="67"/>
      <c r="X3" s="67"/>
      <c r="Y3" s="75" t="s">
        <v>213</v>
      </c>
      <c r="Z3" s="67"/>
      <c r="AA3" s="67"/>
      <c r="AB3" s="67"/>
      <c r="AC3" s="67"/>
      <c r="AD3" s="67"/>
      <c r="AE3" s="67"/>
      <c r="AF3" s="75"/>
      <c r="AG3" s="67"/>
      <c r="AH3" s="67"/>
      <c r="AI3" s="67"/>
      <c r="AJ3" s="62"/>
      <c r="AK3" s="62"/>
    </row>
    <row r="4" spans="1:37 16352:16352" x14ac:dyDescent="0.3">
      <c r="A4" s="65">
        <v>3</v>
      </c>
      <c r="B4" s="63">
        <v>46025</v>
      </c>
      <c r="C4" s="66" t="s">
        <v>237</v>
      </c>
      <c r="D4" s="66" t="s">
        <v>64</v>
      </c>
      <c r="E4" s="67"/>
      <c r="F4" s="67"/>
      <c r="G4" s="67"/>
      <c r="H4" s="67"/>
      <c r="I4" s="67"/>
      <c r="J4" s="67" t="s">
        <v>221</v>
      </c>
      <c r="K4" s="67"/>
      <c r="L4" s="67"/>
      <c r="M4" s="67"/>
      <c r="N4" s="67" t="s">
        <v>219</v>
      </c>
      <c r="O4" s="67" t="s">
        <v>219</v>
      </c>
      <c r="P4" s="67"/>
      <c r="Q4" s="67"/>
      <c r="R4" s="67"/>
      <c r="S4" s="75"/>
      <c r="T4" s="67"/>
      <c r="U4" s="67"/>
      <c r="V4" s="67"/>
      <c r="W4" s="67"/>
      <c r="X4" s="67"/>
      <c r="Y4" s="76"/>
      <c r="Z4" s="67"/>
      <c r="AA4" s="67"/>
      <c r="AB4" s="67"/>
      <c r="AC4" s="67"/>
      <c r="AD4" s="67"/>
      <c r="AE4" s="67"/>
      <c r="AF4" s="75"/>
      <c r="AG4" s="67"/>
      <c r="AH4" s="67"/>
      <c r="AI4" s="67"/>
      <c r="AJ4" s="62"/>
      <c r="AK4" s="62"/>
    </row>
    <row r="5" spans="1:37 16352:16352" x14ac:dyDescent="0.3">
      <c r="A5" s="65">
        <v>4</v>
      </c>
      <c r="B5" s="63">
        <v>46027</v>
      </c>
      <c r="C5" s="66" t="s">
        <v>176</v>
      </c>
      <c r="D5" s="66" t="s">
        <v>101</v>
      </c>
      <c r="E5" s="67"/>
      <c r="F5" s="67"/>
      <c r="G5" s="67"/>
      <c r="H5" s="67"/>
      <c r="I5" s="67"/>
      <c r="J5" s="67" t="s">
        <v>215</v>
      </c>
      <c r="K5" s="67"/>
      <c r="L5" s="67"/>
      <c r="M5" s="67"/>
      <c r="N5" s="67" t="s">
        <v>213</v>
      </c>
      <c r="O5" s="67"/>
      <c r="P5" s="67"/>
      <c r="Q5" s="67"/>
      <c r="R5" s="67"/>
      <c r="S5" s="75"/>
      <c r="T5" s="67"/>
      <c r="U5" s="67"/>
      <c r="V5" s="67"/>
      <c r="W5" s="67"/>
      <c r="X5" s="67"/>
      <c r="Y5" s="76"/>
      <c r="Z5" s="67"/>
      <c r="AA5" s="67"/>
      <c r="AB5" s="67"/>
      <c r="AC5" s="67"/>
      <c r="AD5" s="67"/>
      <c r="AE5" s="67"/>
      <c r="AF5" s="75"/>
      <c r="AG5" s="67"/>
      <c r="AH5" s="67"/>
      <c r="AI5" s="67"/>
      <c r="AJ5" s="62"/>
      <c r="AK5" s="62"/>
    </row>
    <row r="6" spans="1:37 16352:16352" x14ac:dyDescent="0.3">
      <c r="A6" s="65">
        <v>5</v>
      </c>
      <c r="B6" s="63">
        <v>46029</v>
      </c>
      <c r="C6" s="66" t="s">
        <v>238</v>
      </c>
      <c r="D6" s="66" t="s">
        <v>97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 t="s">
        <v>213</v>
      </c>
      <c r="P6" s="67"/>
      <c r="Q6" s="67"/>
      <c r="R6" s="67"/>
      <c r="S6" s="75"/>
      <c r="T6" s="67"/>
      <c r="U6" s="67"/>
      <c r="V6" s="67"/>
      <c r="W6" s="67"/>
      <c r="X6" s="67"/>
      <c r="Y6" s="76"/>
      <c r="Z6" s="67"/>
      <c r="AA6" s="67"/>
      <c r="AB6" s="67"/>
      <c r="AC6" s="67"/>
      <c r="AD6" s="67"/>
      <c r="AE6" s="67"/>
      <c r="AF6" s="75"/>
      <c r="AG6" s="67"/>
      <c r="AH6" s="67"/>
      <c r="AI6" s="67"/>
      <c r="AJ6" s="62"/>
      <c r="AK6" s="62"/>
    </row>
    <row r="7" spans="1:37 16352:16352" x14ac:dyDescent="0.3">
      <c r="A7" s="65"/>
      <c r="B7" s="63">
        <v>46031</v>
      </c>
      <c r="C7" s="66" t="s">
        <v>344</v>
      </c>
      <c r="D7" s="66" t="s">
        <v>127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75"/>
      <c r="T7" s="67"/>
      <c r="U7" s="67"/>
      <c r="V7" s="67"/>
      <c r="W7" s="67" t="s">
        <v>213</v>
      </c>
      <c r="X7" s="67"/>
      <c r="Y7" s="76"/>
      <c r="Z7" s="67"/>
      <c r="AA7" s="67"/>
      <c r="AB7" s="67"/>
      <c r="AC7" s="67"/>
      <c r="AD7" s="67"/>
      <c r="AE7" s="67"/>
      <c r="AF7" s="75"/>
      <c r="AG7" s="67"/>
      <c r="AH7" s="67"/>
      <c r="AI7" s="67"/>
      <c r="AJ7" s="62"/>
      <c r="AK7" s="62"/>
    </row>
    <row r="8" spans="1:37 16352:16352" x14ac:dyDescent="0.3">
      <c r="A8" s="65">
        <v>6</v>
      </c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 t="s">
        <v>219</v>
      </c>
      <c r="P8" s="67"/>
      <c r="Q8" s="67"/>
      <c r="R8" s="67"/>
      <c r="S8" s="75"/>
      <c r="T8" s="67"/>
      <c r="U8" s="67"/>
      <c r="V8" s="67"/>
      <c r="W8" s="67"/>
      <c r="X8" s="67"/>
      <c r="Y8" s="76"/>
      <c r="Z8" s="67"/>
      <c r="AA8" s="67"/>
      <c r="AB8" s="67"/>
      <c r="AC8" s="67"/>
      <c r="AD8" s="67"/>
      <c r="AE8" s="67"/>
      <c r="AF8" s="75"/>
      <c r="AG8" s="67"/>
      <c r="AH8" s="67"/>
      <c r="AI8" s="67"/>
      <c r="AJ8" s="62"/>
      <c r="AK8" s="62"/>
    </row>
    <row r="9" spans="1:37 16352:16352" x14ac:dyDescent="0.3">
      <c r="A9" s="65">
        <v>7</v>
      </c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/>
      <c r="T9" s="67"/>
      <c r="U9" s="67"/>
      <c r="V9" s="67"/>
      <c r="W9" s="67"/>
      <c r="X9" s="67"/>
      <c r="Y9" s="75" t="s">
        <v>221</v>
      </c>
      <c r="Z9" s="67"/>
      <c r="AA9" s="67"/>
      <c r="AB9" s="67"/>
      <c r="AC9" s="67"/>
      <c r="AD9" s="67"/>
      <c r="AE9" s="67"/>
      <c r="AF9" s="75"/>
      <c r="AG9" s="67"/>
      <c r="AH9" s="67"/>
      <c r="AI9" s="67"/>
      <c r="AJ9" s="62"/>
      <c r="AK9" s="62"/>
    </row>
    <row r="10" spans="1:37 16352:16352" x14ac:dyDescent="0.3">
      <c r="A10" s="65">
        <v>8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5"/>
      <c r="T10" s="67" t="s">
        <v>213</v>
      </c>
      <c r="U10" s="67"/>
      <c r="V10" s="67"/>
      <c r="W10" s="67"/>
      <c r="X10" s="67"/>
      <c r="Y10" s="76"/>
      <c r="Z10" s="67"/>
      <c r="AA10" s="67"/>
      <c r="AB10" s="67"/>
      <c r="AC10" s="67"/>
      <c r="AD10" s="67"/>
      <c r="AE10" s="67"/>
      <c r="AF10" s="75"/>
      <c r="AG10" s="67"/>
      <c r="AH10" s="67"/>
      <c r="AI10" s="67"/>
      <c r="AJ10" s="62"/>
      <c r="AK10" s="62"/>
    </row>
    <row r="11" spans="1:37 16352:16352" x14ac:dyDescent="0.3">
      <c r="A11" s="65">
        <v>9</v>
      </c>
      <c r="B11" s="63">
        <v>46035</v>
      </c>
      <c r="C11" s="66" t="s">
        <v>168</v>
      </c>
      <c r="D11" s="66" t="s">
        <v>101</v>
      </c>
      <c r="E11" s="67"/>
      <c r="F11" s="67"/>
      <c r="G11" s="67"/>
      <c r="H11" s="67"/>
      <c r="I11" s="67"/>
      <c r="J11" s="67" t="s">
        <v>215</v>
      </c>
      <c r="K11" s="67"/>
      <c r="L11" s="67"/>
      <c r="M11" s="67"/>
      <c r="N11" s="67"/>
      <c r="O11" s="67"/>
      <c r="P11" s="67"/>
      <c r="Q11" s="67"/>
      <c r="R11" s="67"/>
      <c r="S11" s="75"/>
      <c r="T11" s="67"/>
      <c r="U11" s="67"/>
      <c r="V11" s="67"/>
      <c r="W11" s="67"/>
      <c r="X11" s="67"/>
      <c r="Y11" s="76"/>
      <c r="Z11" s="67"/>
      <c r="AA11" s="67"/>
      <c r="AB11" s="67"/>
      <c r="AC11" s="67"/>
      <c r="AD11" s="67"/>
      <c r="AE11" s="67"/>
      <c r="AF11" s="75"/>
      <c r="AG11" s="67"/>
      <c r="AH11" s="67"/>
      <c r="AI11" s="67"/>
      <c r="AJ11" s="62"/>
      <c r="AK11" s="62"/>
    </row>
    <row r="12" spans="1:37 16352:16352" x14ac:dyDescent="0.3">
      <c r="A12" s="65">
        <v>10</v>
      </c>
      <c r="B12" s="63">
        <v>46036</v>
      </c>
      <c r="C12" s="66" t="s">
        <v>186</v>
      </c>
      <c r="D12" s="66" t="s">
        <v>97</v>
      </c>
      <c r="E12" s="67"/>
      <c r="F12" s="67"/>
      <c r="G12" s="67"/>
      <c r="H12" s="67" t="s">
        <v>215</v>
      </c>
      <c r="I12" s="67"/>
      <c r="J12" s="67"/>
      <c r="K12" s="67"/>
      <c r="L12" s="67"/>
      <c r="M12" s="67"/>
      <c r="N12" s="74" t="s">
        <v>213</v>
      </c>
      <c r="O12" s="74" t="s">
        <v>213</v>
      </c>
      <c r="P12" s="67"/>
      <c r="Q12" s="74" t="s">
        <v>213</v>
      </c>
      <c r="R12" s="67"/>
      <c r="S12" s="74" t="s">
        <v>213</v>
      </c>
      <c r="T12" s="67"/>
      <c r="U12" s="67"/>
      <c r="V12" s="74" t="s">
        <v>213</v>
      </c>
      <c r="W12" s="67"/>
      <c r="X12" s="67"/>
      <c r="Y12" s="76"/>
      <c r="Z12" s="67"/>
      <c r="AA12" s="67"/>
      <c r="AB12" s="67"/>
      <c r="AC12" s="67"/>
      <c r="AD12" s="67"/>
      <c r="AE12" s="67"/>
      <c r="AF12" s="75"/>
      <c r="AG12" s="67"/>
      <c r="AH12" s="67"/>
      <c r="AI12" s="67"/>
      <c r="AJ12" s="80" t="str">
        <f>VLOOKUP(B12,'For A grades - 11 days'!B11:AJ200,35,0)</f>
        <v>Regional</v>
      </c>
      <c r="AK12" s="62"/>
    </row>
    <row r="13" spans="1:37 16352:16352" x14ac:dyDescent="0.3">
      <c r="A13" s="65">
        <v>11</v>
      </c>
      <c r="B13" s="63">
        <v>46037</v>
      </c>
      <c r="C13" s="66" t="s">
        <v>142</v>
      </c>
      <c r="D13" s="66" t="s">
        <v>96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5"/>
      <c r="T13" s="67"/>
      <c r="U13" s="67"/>
      <c r="V13" s="74" t="s">
        <v>213</v>
      </c>
      <c r="W13" s="67"/>
      <c r="X13" s="67"/>
      <c r="Y13" s="76"/>
      <c r="Z13" s="67"/>
      <c r="AA13" s="74" t="s">
        <v>213</v>
      </c>
      <c r="AB13" s="67"/>
      <c r="AC13" s="67"/>
      <c r="AD13" s="74" t="s">
        <v>213</v>
      </c>
      <c r="AE13" s="74" t="s">
        <v>213</v>
      </c>
      <c r="AF13" s="74" t="s">
        <v>213</v>
      </c>
      <c r="AG13" s="74" t="s">
        <v>213</v>
      </c>
      <c r="AH13" s="67"/>
      <c r="AI13" s="67"/>
      <c r="AJ13" s="62" t="str">
        <f>VLOOKUP(B13,'For A grades - 11 days'!B12:AJ201,35,0)</f>
        <v>Optional</v>
      </c>
      <c r="AK13" s="62"/>
    </row>
    <row r="14" spans="1:37 16352:16352" x14ac:dyDescent="0.3">
      <c r="A14" s="65">
        <v>12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5"/>
      <c r="T14" s="67"/>
      <c r="U14" s="67"/>
      <c r="V14" s="67"/>
      <c r="W14" s="67"/>
      <c r="X14" s="67"/>
      <c r="Y14" s="76"/>
      <c r="Z14" s="67"/>
      <c r="AA14" s="67"/>
      <c r="AB14" s="67"/>
      <c r="AC14" s="67"/>
      <c r="AD14" s="67"/>
      <c r="AE14" s="74" t="s">
        <v>213</v>
      </c>
      <c r="AF14" s="74" t="s">
        <v>213</v>
      </c>
      <c r="AG14" s="74" t="s">
        <v>213</v>
      </c>
      <c r="AH14" s="67"/>
      <c r="AI14" s="67"/>
      <c r="AJ14" s="62"/>
      <c r="AK14" s="62"/>
    </row>
    <row r="15" spans="1:37 16352:16352" x14ac:dyDescent="0.3">
      <c r="A15" s="65">
        <v>13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 t="s">
        <v>221</v>
      </c>
      <c r="K15" s="67"/>
      <c r="L15" s="67"/>
      <c r="M15" s="67"/>
      <c r="N15" s="67"/>
      <c r="O15" s="67"/>
      <c r="P15" s="67"/>
      <c r="Q15" s="67"/>
      <c r="R15" s="67"/>
      <c r="S15" s="75"/>
      <c r="T15" s="67"/>
      <c r="U15" s="67"/>
      <c r="V15" s="67"/>
      <c r="W15" s="67"/>
      <c r="X15" s="67"/>
      <c r="Y15" s="76"/>
      <c r="Z15" s="67"/>
      <c r="AA15" s="67"/>
      <c r="AB15" s="67"/>
      <c r="AC15" s="67"/>
      <c r="AD15" s="67"/>
      <c r="AE15" s="67" t="s">
        <v>219</v>
      </c>
      <c r="AF15" s="75"/>
      <c r="AG15" s="67" t="s">
        <v>219</v>
      </c>
      <c r="AH15" s="67"/>
      <c r="AI15" s="67"/>
      <c r="AJ15" s="62"/>
      <c r="AK15" s="62"/>
    </row>
    <row r="16" spans="1:37 16352:16352" s="48" customFormat="1" x14ac:dyDescent="0.3">
      <c r="A16" s="65">
        <v>14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5"/>
      <c r="T16" s="67"/>
      <c r="U16" s="67"/>
      <c r="V16" s="67"/>
      <c r="W16" s="67"/>
      <c r="X16" s="67"/>
      <c r="Y16" s="76"/>
      <c r="Z16" s="67"/>
      <c r="AA16" s="67" t="s">
        <v>215</v>
      </c>
      <c r="AB16" s="67"/>
      <c r="AC16" s="67"/>
      <c r="AD16" s="67"/>
      <c r="AE16" s="67"/>
      <c r="AF16" s="75"/>
      <c r="AG16" s="67"/>
      <c r="AH16" s="67"/>
      <c r="AI16" s="67"/>
      <c r="AJ16" s="62"/>
      <c r="AK16" s="62"/>
    </row>
    <row r="17" spans="1:37" s="48" customFormat="1" x14ac:dyDescent="0.3">
      <c r="A17" s="65">
        <v>15</v>
      </c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 t="s">
        <v>213</v>
      </c>
      <c r="P17" s="67"/>
      <c r="Q17" s="67"/>
      <c r="R17" s="67"/>
      <c r="S17" s="75"/>
      <c r="T17" s="67"/>
      <c r="U17" s="67"/>
      <c r="V17" s="67"/>
      <c r="W17" s="67"/>
      <c r="X17" s="67"/>
      <c r="Y17" s="76"/>
      <c r="Z17" s="67"/>
      <c r="AA17" s="67"/>
      <c r="AB17" s="67"/>
      <c r="AC17" s="67"/>
      <c r="AD17" s="67"/>
      <c r="AE17" s="67"/>
      <c r="AF17" s="75"/>
      <c r="AG17" s="67"/>
      <c r="AH17" s="67"/>
      <c r="AI17" s="67"/>
      <c r="AJ17" s="62"/>
      <c r="AK17" s="62"/>
    </row>
    <row r="18" spans="1:37" x14ac:dyDescent="0.3">
      <c r="A18" s="65">
        <v>16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7" t="s">
        <v>215</v>
      </c>
      <c r="I18" s="67"/>
      <c r="J18" s="67"/>
      <c r="K18" s="67"/>
      <c r="L18" s="67"/>
      <c r="M18" s="67"/>
      <c r="N18" s="67" t="s">
        <v>213</v>
      </c>
      <c r="O18" s="67" t="s">
        <v>213</v>
      </c>
      <c r="P18" s="67"/>
      <c r="Q18" s="67" t="s">
        <v>213</v>
      </c>
      <c r="R18" s="67"/>
      <c r="S18" s="74" t="s">
        <v>213</v>
      </c>
      <c r="T18" s="67" t="s">
        <v>213</v>
      </c>
      <c r="U18" s="67"/>
      <c r="V18" s="67" t="s">
        <v>213</v>
      </c>
      <c r="W18" s="67"/>
      <c r="X18" s="67"/>
      <c r="Y18" s="76"/>
      <c r="Z18" s="67"/>
      <c r="AA18" s="67"/>
      <c r="AB18" s="67"/>
      <c r="AC18" s="67"/>
      <c r="AD18" s="67"/>
      <c r="AE18" s="67"/>
      <c r="AF18" s="75"/>
      <c r="AG18" s="67"/>
      <c r="AH18" s="67"/>
      <c r="AI18" s="67"/>
      <c r="AJ18" s="62"/>
      <c r="AK18" s="62"/>
    </row>
    <row r="19" spans="1:37" x14ac:dyDescent="0.3">
      <c r="A19" s="65">
        <v>17</v>
      </c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 t="s">
        <v>219</v>
      </c>
      <c r="O19" s="67"/>
      <c r="P19" s="67"/>
      <c r="Q19" s="67" t="s">
        <v>219</v>
      </c>
      <c r="R19" s="67"/>
      <c r="S19" s="75"/>
      <c r="T19" s="67"/>
      <c r="U19" s="67"/>
      <c r="V19" s="67"/>
      <c r="W19" s="67"/>
      <c r="X19" s="67"/>
      <c r="Y19" s="76"/>
      <c r="Z19" s="67"/>
      <c r="AA19" s="67"/>
      <c r="AB19" s="67"/>
      <c r="AC19" s="67"/>
      <c r="AD19" s="67"/>
      <c r="AE19" s="67"/>
      <c r="AF19" s="75"/>
      <c r="AG19" s="67"/>
      <c r="AH19" s="67"/>
      <c r="AI19" s="67"/>
      <c r="AJ19" s="62"/>
      <c r="AK19" s="62"/>
    </row>
    <row r="20" spans="1:37" x14ac:dyDescent="0.3">
      <c r="A20" s="65">
        <v>18</v>
      </c>
      <c r="B20" s="63">
        <v>46047</v>
      </c>
      <c r="C20" s="66" t="s">
        <v>340</v>
      </c>
      <c r="D20" s="66" t="s">
        <v>63</v>
      </c>
      <c r="E20" s="67"/>
      <c r="F20" s="67"/>
      <c r="G20" s="67"/>
      <c r="H20" s="67" t="s">
        <v>219</v>
      </c>
      <c r="I20" s="67"/>
      <c r="J20" s="67"/>
      <c r="K20" s="67"/>
      <c r="L20" s="67" t="s">
        <v>219</v>
      </c>
      <c r="M20" s="67"/>
      <c r="N20" s="67"/>
      <c r="O20" s="67"/>
      <c r="P20" s="67"/>
      <c r="Q20" s="67"/>
      <c r="R20" s="67"/>
      <c r="S20" s="75"/>
      <c r="T20" s="67"/>
      <c r="U20" s="67"/>
      <c r="V20" s="67"/>
      <c r="W20" s="67"/>
      <c r="X20" s="67"/>
      <c r="Y20" s="76"/>
      <c r="Z20" s="67"/>
      <c r="AA20" s="67"/>
      <c r="AB20" s="67"/>
      <c r="AC20" s="67"/>
      <c r="AD20" s="67"/>
      <c r="AE20" s="67"/>
      <c r="AF20" s="75"/>
      <c r="AG20" s="67"/>
      <c r="AH20" s="67"/>
      <c r="AI20" s="67"/>
      <c r="AJ20" s="62"/>
      <c r="AK20" s="62"/>
    </row>
    <row r="21" spans="1:37" x14ac:dyDescent="0.3">
      <c r="A21" s="65">
        <v>19</v>
      </c>
      <c r="B21" s="63">
        <v>46048</v>
      </c>
      <c r="C21" s="66" t="s">
        <v>30</v>
      </c>
      <c r="D21" s="66" t="s">
        <v>98</v>
      </c>
      <c r="E21" s="67"/>
      <c r="F21" s="67"/>
      <c r="G21" s="67"/>
      <c r="H21" s="74" t="s">
        <v>212</v>
      </c>
      <c r="I21" s="67"/>
      <c r="J21" s="74" t="s">
        <v>212</v>
      </c>
      <c r="K21" s="67"/>
      <c r="L21" s="74" t="s">
        <v>212</v>
      </c>
      <c r="M21" s="67"/>
      <c r="N21" s="74" t="s">
        <v>212</v>
      </c>
      <c r="O21" s="74" t="s">
        <v>212</v>
      </c>
      <c r="P21" s="67"/>
      <c r="Q21" s="74" t="s">
        <v>212</v>
      </c>
      <c r="R21" s="67"/>
      <c r="S21" s="74" t="s">
        <v>212</v>
      </c>
      <c r="T21" s="74" t="s">
        <v>212</v>
      </c>
      <c r="U21" s="67"/>
      <c r="V21" s="74" t="s">
        <v>212</v>
      </c>
      <c r="W21" s="74" t="s">
        <v>212</v>
      </c>
      <c r="X21" s="74" t="s">
        <v>212</v>
      </c>
      <c r="Y21" s="74" t="s">
        <v>212</v>
      </c>
      <c r="Z21" s="67"/>
      <c r="AA21" s="74" t="s">
        <v>212</v>
      </c>
      <c r="AB21" s="67"/>
      <c r="AC21" s="67"/>
      <c r="AD21" s="74" t="s">
        <v>212</v>
      </c>
      <c r="AE21" s="74" t="s">
        <v>212</v>
      </c>
      <c r="AF21" s="74" t="s">
        <v>212</v>
      </c>
      <c r="AG21" s="74" t="s">
        <v>212</v>
      </c>
      <c r="AH21" s="67"/>
      <c r="AI21" s="74" t="s">
        <v>212</v>
      </c>
      <c r="AJ21" s="80" t="str">
        <f>VLOOKUP(B21,'For A grades - 11 days'!B20:AJ209,35,0)</f>
        <v>National</v>
      </c>
      <c r="AK21" s="62"/>
    </row>
    <row r="22" spans="1:37" x14ac:dyDescent="0.3">
      <c r="A22" s="65">
        <v>20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5"/>
      <c r="T22" s="67"/>
      <c r="U22" s="67"/>
      <c r="V22" s="74" t="s">
        <v>213</v>
      </c>
      <c r="W22" s="67"/>
      <c r="X22" s="67"/>
      <c r="Y22" s="76"/>
      <c r="Z22" s="67"/>
      <c r="AA22" s="67"/>
      <c r="AB22" s="67"/>
      <c r="AC22" s="67"/>
      <c r="AD22" s="67" t="s">
        <v>213</v>
      </c>
      <c r="AE22" s="67"/>
      <c r="AF22" s="75"/>
      <c r="AG22" s="67"/>
      <c r="AH22" s="67"/>
      <c r="AI22" s="67"/>
      <c r="AJ22" s="62"/>
      <c r="AK22" s="62"/>
    </row>
    <row r="23" spans="1:37" x14ac:dyDescent="0.3">
      <c r="A23" s="65">
        <v>21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5"/>
      <c r="T23" s="67"/>
      <c r="U23" s="67"/>
      <c r="V23" s="67"/>
      <c r="W23" s="67"/>
      <c r="X23" s="67"/>
      <c r="Y23" s="76"/>
      <c r="Z23" s="67"/>
      <c r="AA23" s="67"/>
      <c r="AB23" s="67"/>
      <c r="AC23" s="67"/>
      <c r="AD23" s="67"/>
      <c r="AE23" s="67"/>
      <c r="AF23" s="75"/>
      <c r="AG23" s="67"/>
      <c r="AH23" s="67"/>
      <c r="AI23" s="67"/>
      <c r="AJ23" s="62"/>
      <c r="AK23" s="62"/>
    </row>
    <row r="24" spans="1:37" x14ac:dyDescent="0.3">
      <c r="A24" s="65">
        <v>22</v>
      </c>
      <c r="B24" s="63">
        <v>46053</v>
      </c>
      <c r="C24" s="66" t="s">
        <v>296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5"/>
      <c r="T24" s="67"/>
      <c r="U24" s="67"/>
      <c r="V24" s="67" t="s">
        <v>219</v>
      </c>
      <c r="W24" s="67"/>
      <c r="X24" s="67"/>
      <c r="Y24" s="76"/>
      <c r="Z24" s="67"/>
      <c r="AA24" s="67"/>
      <c r="AB24" s="67"/>
      <c r="AC24" s="67"/>
      <c r="AD24" s="67"/>
      <c r="AE24" s="67"/>
      <c r="AF24" s="75"/>
      <c r="AG24" s="67"/>
      <c r="AH24" s="67"/>
      <c r="AI24" s="67"/>
      <c r="AJ24" s="62" t="str">
        <f>VLOOKUP(B24,'For A grades - 11 days'!B23:AJ212,35,0)</f>
        <v>Optional-WE</v>
      </c>
      <c r="AK24" s="62"/>
    </row>
    <row r="25" spans="1:37" x14ac:dyDescent="0.3">
      <c r="A25" s="65">
        <v>23</v>
      </c>
      <c r="B25" s="63">
        <v>46054</v>
      </c>
      <c r="C25" s="66" t="s">
        <v>277</v>
      </c>
      <c r="D25" s="66" t="s">
        <v>63</v>
      </c>
      <c r="E25" s="67"/>
      <c r="F25" s="67"/>
      <c r="G25" s="67"/>
      <c r="H25" s="67" t="s">
        <v>219</v>
      </c>
      <c r="I25" s="67"/>
      <c r="J25" s="67"/>
      <c r="K25" s="67"/>
      <c r="L25" s="67"/>
      <c r="M25" s="67"/>
      <c r="N25" s="67" t="s">
        <v>219</v>
      </c>
      <c r="O25" s="67"/>
      <c r="P25" s="67"/>
      <c r="Q25" s="67" t="s">
        <v>219</v>
      </c>
      <c r="R25" s="67"/>
      <c r="S25" s="75"/>
      <c r="T25" s="67"/>
      <c r="U25" s="67"/>
      <c r="V25" s="67" t="s">
        <v>219</v>
      </c>
      <c r="W25" s="67"/>
      <c r="X25" s="67"/>
      <c r="Y25" s="76"/>
      <c r="Z25" s="67"/>
      <c r="AA25" s="67"/>
      <c r="AB25" s="67"/>
      <c r="AC25" s="67"/>
      <c r="AD25" s="67"/>
      <c r="AE25" s="67" t="s">
        <v>219</v>
      </c>
      <c r="AF25" s="75"/>
      <c r="AG25" s="67" t="s">
        <v>219</v>
      </c>
      <c r="AH25" s="67"/>
      <c r="AI25" s="67"/>
      <c r="AJ25" s="62"/>
      <c r="AK25" s="62"/>
    </row>
    <row r="26" spans="1:37" x14ac:dyDescent="0.3">
      <c r="A26" s="65">
        <v>24</v>
      </c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 t="s">
        <v>213</v>
      </c>
      <c r="P26" s="67"/>
      <c r="Q26" s="67"/>
      <c r="R26" s="67"/>
      <c r="S26" s="75"/>
      <c r="T26" s="67"/>
      <c r="U26" s="67"/>
      <c r="V26" s="67"/>
      <c r="W26" s="67"/>
      <c r="X26" s="67"/>
      <c r="Y26" s="76"/>
      <c r="Z26" s="67"/>
      <c r="AA26" s="67"/>
      <c r="AB26" s="67"/>
      <c r="AC26" s="67"/>
      <c r="AD26" s="67"/>
      <c r="AE26" s="67"/>
      <c r="AF26" s="75"/>
      <c r="AG26" s="67"/>
      <c r="AH26" s="67"/>
      <c r="AI26" s="67"/>
      <c r="AJ26" s="62"/>
      <c r="AK26" s="62"/>
    </row>
    <row r="27" spans="1:37" x14ac:dyDescent="0.3">
      <c r="A27" s="65">
        <v>25</v>
      </c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 t="s">
        <v>213</v>
      </c>
      <c r="O27" s="67"/>
      <c r="P27" s="67"/>
      <c r="Q27" s="67" t="s">
        <v>213</v>
      </c>
      <c r="R27" s="67"/>
      <c r="S27" s="75"/>
      <c r="T27" s="67"/>
      <c r="U27" s="67"/>
      <c r="V27" s="67"/>
      <c r="W27" s="67"/>
      <c r="X27" s="67"/>
      <c r="Y27" s="76"/>
      <c r="Z27" s="67"/>
      <c r="AA27" s="67"/>
      <c r="AB27" s="67"/>
      <c r="AC27" s="67"/>
      <c r="AD27" s="67" t="s">
        <v>213</v>
      </c>
      <c r="AE27" s="67"/>
      <c r="AF27" s="75"/>
      <c r="AG27" s="67"/>
      <c r="AH27" s="67"/>
      <c r="AI27" s="67"/>
      <c r="AJ27" s="62" t="str">
        <f>VLOOKUP(B27,'For A grades - 11 days'!B26:AJ215,35,0)</f>
        <v>Optional</v>
      </c>
      <c r="AK27" s="62"/>
    </row>
    <row r="28" spans="1:37" x14ac:dyDescent="0.3">
      <c r="A28" s="65">
        <v>26</v>
      </c>
      <c r="B28" s="63">
        <v>46065</v>
      </c>
      <c r="C28" s="66" t="s">
        <v>242</v>
      </c>
      <c r="D28" s="66" t="s">
        <v>96</v>
      </c>
      <c r="E28" s="67"/>
      <c r="F28" s="67"/>
      <c r="G28" s="67"/>
      <c r="H28" s="67" t="s">
        <v>215</v>
      </c>
      <c r="I28" s="67"/>
      <c r="J28" s="67"/>
      <c r="K28" s="67"/>
      <c r="L28" s="67"/>
      <c r="M28" s="67"/>
      <c r="N28" s="67"/>
      <c r="O28" s="67" t="s">
        <v>213</v>
      </c>
      <c r="P28" s="67"/>
      <c r="Q28" s="67"/>
      <c r="R28" s="67"/>
      <c r="S28" s="75"/>
      <c r="T28" s="67"/>
      <c r="U28" s="67"/>
      <c r="V28" s="67"/>
      <c r="W28" s="67"/>
      <c r="X28" s="67"/>
      <c r="Y28" s="76"/>
      <c r="Z28" s="67"/>
      <c r="AA28" s="67"/>
      <c r="AB28" s="67"/>
      <c r="AC28" s="67"/>
      <c r="AD28" s="67"/>
      <c r="AE28" s="67"/>
      <c r="AF28" s="75"/>
      <c r="AG28" s="67"/>
      <c r="AH28" s="67"/>
      <c r="AI28" s="67"/>
      <c r="AJ28" s="62"/>
      <c r="AK28" s="62"/>
    </row>
    <row r="29" spans="1:37" x14ac:dyDescent="0.3">
      <c r="A29" s="65">
        <v>27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7" t="s">
        <v>219</v>
      </c>
      <c r="I29" s="67"/>
      <c r="J29" s="67" t="s">
        <v>221</v>
      </c>
      <c r="K29" s="67"/>
      <c r="L29" s="67" t="s">
        <v>219</v>
      </c>
      <c r="M29" s="67"/>
      <c r="N29" s="67" t="s">
        <v>219</v>
      </c>
      <c r="O29" s="67"/>
      <c r="P29" s="67"/>
      <c r="Q29" s="67"/>
      <c r="R29" s="67"/>
      <c r="S29" s="67" t="s">
        <v>219</v>
      </c>
      <c r="T29" s="67" t="s">
        <v>219</v>
      </c>
      <c r="U29" s="67"/>
      <c r="V29" s="67"/>
      <c r="W29" s="75" t="s">
        <v>219</v>
      </c>
      <c r="X29" s="67"/>
      <c r="Y29" s="76"/>
      <c r="Z29" s="67"/>
      <c r="AA29" s="67"/>
      <c r="AB29" s="67"/>
      <c r="AC29" s="67"/>
      <c r="AD29" s="67"/>
      <c r="AE29" s="67"/>
      <c r="AF29" s="75"/>
      <c r="AG29" s="67"/>
      <c r="AH29" s="67"/>
      <c r="AI29" s="67" t="s">
        <v>219</v>
      </c>
      <c r="AJ29" s="62" t="str">
        <f>VLOOKUP(B29,'For A grades - 11 days'!B28:AJ217,35,0)</f>
        <v>Regional-WE</v>
      </c>
      <c r="AK29" s="62"/>
    </row>
    <row r="30" spans="1:37" x14ac:dyDescent="0.3">
      <c r="A30" s="65">
        <v>28</v>
      </c>
      <c r="B30" s="63">
        <v>46069</v>
      </c>
      <c r="C30" s="66" t="s">
        <v>341</v>
      </c>
      <c r="D30" s="69" t="s">
        <v>98</v>
      </c>
      <c r="E30" s="67"/>
      <c r="F30" s="67"/>
      <c r="G30" s="67"/>
      <c r="H30" s="67"/>
      <c r="I30" s="67"/>
      <c r="J30" s="74" t="s">
        <v>215</v>
      </c>
      <c r="K30" s="67"/>
      <c r="L30" s="67"/>
      <c r="M30" s="67"/>
      <c r="N30" s="67"/>
      <c r="O30" s="67"/>
      <c r="P30" s="67"/>
      <c r="Q30" s="75" t="s">
        <v>213</v>
      </c>
      <c r="R30" s="67"/>
      <c r="S30" s="75"/>
      <c r="T30" s="67"/>
      <c r="U30" s="67"/>
      <c r="V30" s="67"/>
      <c r="W30" s="67"/>
      <c r="X30" s="67"/>
      <c r="Y30" s="76"/>
      <c r="Z30" s="67"/>
      <c r="AA30" s="67"/>
      <c r="AB30" s="67"/>
      <c r="AC30" s="67"/>
      <c r="AD30" s="67"/>
      <c r="AE30" s="67"/>
      <c r="AF30" s="75"/>
      <c r="AG30" s="67"/>
      <c r="AH30" s="67"/>
      <c r="AI30" s="67"/>
      <c r="AJ30" s="62"/>
      <c r="AK30" s="62"/>
    </row>
    <row r="31" spans="1:37" s="48" customFormat="1" x14ac:dyDescent="0.3">
      <c r="A31" s="65">
        <v>29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5"/>
      <c r="T31" s="67"/>
      <c r="U31" s="67"/>
      <c r="V31" s="67"/>
      <c r="W31" s="67"/>
      <c r="X31" s="67"/>
      <c r="Y31" s="76"/>
      <c r="Z31" s="67"/>
      <c r="AA31" s="67" t="s">
        <v>213</v>
      </c>
      <c r="AB31" s="67"/>
      <c r="AC31" s="67"/>
      <c r="AD31" s="67"/>
      <c r="AE31" s="67"/>
      <c r="AF31" s="75"/>
      <c r="AG31" s="67"/>
      <c r="AH31" s="67"/>
      <c r="AI31" s="67"/>
      <c r="AJ31" s="62"/>
      <c r="AK31" s="62"/>
    </row>
    <row r="32" spans="1:37" s="48" customFormat="1" x14ac:dyDescent="0.3">
      <c r="A32" s="65">
        <v>30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 t="s">
        <v>213</v>
      </c>
      <c r="P32" s="67"/>
      <c r="Q32" s="67"/>
      <c r="R32" s="67"/>
      <c r="S32" s="75"/>
      <c r="T32" s="67"/>
      <c r="U32" s="67"/>
      <c r="V32" s="67"/>
      <c r="W32" s="67"/>
      <c r="X32" s="67"/>
      <c r="Y32" s="76"/>
      <c r="Z32" s="67"/>
      <c r="AA32" s="67"/>
      <c r="AB32" s="67"/>
      <c r="AC32" s="67"/>
      <c r="AD32" s="67"/>
      <c r="AE32" s="67"/>
      <c r="AF32" s="75"/>
      <c r="AG32" s="67"/>
      <c r="AH32" s="67"/>
      <c r="AI32" s="67"/>
      <c r="AJ32" s="62"/>
      <c r="AK32" s="62"/>
    </row>
    <row r="33" spans="1:37" x14ac:dyDescent="0.3">
      <c r="A33" s="65">
        <v>31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5"/>
      <c r="T33" s="67"/>
      <c r="U33" s="67"/>
      <c r="V33" s="67"/>
      <c r="W33" s="67"/>
      <c r="X33" s="67"/>
      <c r="Y33" s="74" t="s">
        <v>213</v>
      </c>
      <c r="Z33" s="67"/>
      <c r="AA33" s="67"/>
      <c r="AB33" s="67"/>
      <c r="AC33" s="67"/>
      <c r="AD33" s="67"/>
      <c r="AE33" s="67"/>
      <c r="AF33" s="75"/>
      <c r="AG33" s="67"/>
      <c r="AH33" s="67"/>
      <c r="AI33" s="67"/>
      <c r="AJ33" s="62"/>
      <c r="AK33" s="62"/>
    </row>
    <row r="34" spans="1:37" x14ac:dyDescent="0.3">
      <c r="A34" s="65">
        <v>32</v>
      </c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5"/>
      <c r="T34" s="67"/>
      <c r="U34" s="67"/>
      <c r="V34" s="67"/>
      <c r="W34" s="67"/>
      <c r="X34" s="67"/>
      <c r="Y34" s="76"/>
      <c r="Z34" s="67"/>
      <c r="AA34" s="74" t="s">
        <v>213</v>
      </c>
      <c r="AB34" s="67"/>
      <c r="AC34" s="67"/>
      <c r="AD34" s="67"/>
      <c r="AE34" s="67"/>
      <c r="AF34" s="75"/>
      <c r="AG34" s="67"/>
      <c r="AH34" s="67"/>
      <c r="AI34" s="67"/>
      <c r="AJ34" s="62"/>
      <c r="AK34" s="62"/>
    </row>
    <row r="35" spans="1:37" x14ac:dyDescent="0.3">
      <c r="A35" s="65">
        <v>33</v>
      </c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74" t="s">
        <v>213</v>
      </c>
      <c r="M35" s="67"/>
      <c r="N35" s="67" t="s">
        <v>213</v>
      </c>
      <c r="O35" s="67"/>
      <c r="P35" s="67"/>
      <c r="Q35" s="67" t="s">
        <v>213</v>
      </c>
      <c r="R35" s="67"/>
      <c r="S35" s="75"/>
      <c r="T35" s="67"/>
      <c r="U35" s="67"/>
      <c r="V35" s="67"/>
      <c r="W35" s="67"/>
      <c r="X35" s="67"/>
      <c r="Y35" s="76"/>
      <c r="Z35" s="67"/>
      <c r="AA35" s="67"/>
      <c r="AB35" s="67"/>
      <c r="AC35" s="67"/>
      <c r="AD35" s="75" t="s">
        <v>213</v>
      </c>
      <c r="AE35" s="67"/>
      <c r="AF35" s="75"/>
      <c r="AG35" s="67"/>
      <c r="AH35" s="67"/>
      <c r="AI35" s="67"/>
      <c r="AJ35" s="62"/>
      <c r="AK35" s="62"/>
    </row>
    <row r="36" spans="1:37" x14ac:dyDescent="0.3">
      <c r="A36" s="65">
        <v>34</v>
      </c>
      <c r="B36" s="63">
        <v>46084</v>
      </c>
      <c r="C36" s="66" t="s">
        <v>342</v>
      </c>
      <c r="D36" s="66" t="s">
        <v>101</v>
      </c>
      <c r="E36" s="67"/>
      <c r="F36" s="67"/>
      <c r="G36" s="67"/>
      <c r="H36" s="67"/>
      <c r="I36" s="67"/>
      <c r="J36" s="67" t="s">
        <v>215</v>
      </c>
      <c r="K36" s="67"/>
      <c r="L36" s="74" t="s">
        <v>213</v>
      </c>
      <c r="M36" s="67"/>
      <c r="N36" s="67"/>
      <c r="O36" s="67" t="s">
        <v>213</v>
      </c>
      <c r="P36" s="67"/>
      <c r="Q36" s="74" t="s">
        <v>213</v>
      </c>
      <c r="R36" s="67"/>
      <c r="S36" s="75"/>
      <c r="T36" s="74" t="s">
        <v>213</v>
      </c>
      <c r="U36" s="67"/>
      <c r="V36" s="74" t="s">
        <v>213</v>
      </c>
      <c r="W36" s="74" t="s">
        <v>213</v>
      </c>
      <c r="X36" s="67"/>
      <c r="Y36" s="76"/>
      <c r="Z36" s="67"/>
      <c r="AA36" s="74" t="s">
        <v>213</v>
      </c>
      <c r="AB36" s="67"/>
      <c r="AC36" s="67"/>
      <c r="AD36" s="67"/>
      <c r="AE36" s="67"/>
      <c r="AF36" s="75"/>
      <c r="AG36" s="67"/>
      <c r="AH36" s="67"/>
      <c r="AI36" s="74" t="s">
        <v>213</v>
      </c>
      <c r="AJ36" s="62" t="str">
        <f>VLOOKUP(B36,'For A grades - 11 days'!B35:AJ224,35,0)</f>
        <v>Optional</v>
      </c>
      <c r="AK36" s="62"/>
    </row>
    <row r="37" spans="1:37" x14ac:dyDescent="0.3">
      <c r="A37" s="65">
        <v>35</v>
      </c>
      <c r="B37" s="63">
        <v>46085</v>
      </c>
      <c r="C37" s="66" t="s">
        <v>99</v>
      </c>
      <c r="D37" s="66" t="s">
        <v>97</v>
      </c>
      <c r="E37" s="67"/>
      <c r="F37" s="67"/>
      <c r="G37" s="67"/>
      <c r="H37" s="74" t="s">
        <v>213</v>
      </c>
      <c r="I37" s="67"/>
      <c r="J37" s="74" t="s">
        <v>213</v>
      </c>
      <c r="K37" s="67"/>
      <c r="L37" s="67"/>
      <c r="M37" s="67"/>
      <c r="N37" s="74" t="s">
        <v>213</v>
      </c>
      <c r="O37" s="74" t="s">
        <v>213</v>
      </c>
      <c r="P37" s="67"/>
      <c r="Q37" s="67"/>
      <c r="R37" s="67"/>
      <c r="S37" s="74" t="s">
        <v>213</v>
      </c>
      <c r="T37" s="67"/>
      <c r="U37" s="67"/>
      <c r="V37" s="67"/>
      <c r="W37" s="67" t="s">
        <v>213</v>
      </c>
      <c r="X37" s="74" t="s">
        <v>213</v>
      </c>
      <c r="Y37" s="74" t="s">
        <v>213</v>
      </c>
      <c r="Z37" s="67"/>
      <c r="AA37" s="67"/>
      <c r="AB37" s="67"/>
      <c r="AC37" s="67"/>
      <c r="AD37" s="67"/>
      <c r="AE37" s="67"/>
      <c r="AF37" s="75"/>
      <c r="AG37" s="67"/>
      <c r="AH37" s="67"/>
      <c r="AI37" s="67"/>
      <c r="AJ37" s="80" t="str">
        <f>VLOOKUP(B37,'For A grades - 11 days'!B36:AJ225,35,0)</f>
        <v>Regional</v>
      </c>
      <c r="AK37" s="62"/>
    </row>
    <row r="38" spans="1:37" x14ac:dyDescent="0.3">
      <c r="A38" s="65">
        <v>36</v>
      </c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 t="s">
        <v>213</v>
      </c>
      <c r="O38" s="67" t="s">
        <v>213</v>
      </c>
      <c r="P38" s="67"/>
      <c r="Q38" s="67"/>
      <c r="R38" s="67"/>
      <c r="S38" s="75"/>
      <c r="T38" s="67"/>
      <c r="U38" s="67"/>
      <c r="V38" s="67"/>
      <c r="W38" s="67"/>
      <c r="X38" s="67"/>
      <c r="Y38" s="76"/>
      <c r="Z38" s="67"/>
      <c r="AA38" s="67"/>
      <c r="AB38" s="67"/>
      <c r="AC38" s="67"/>
      <c r="AD38" s="67"/>
      <c r="AE38" s="67"/>
      <c r="AF38" s="75"/>
      <c r="AG38" s="67"/>
      <c r="AH38" s="67"/>
      <c r="AI38" s="67"/>
      <c r="AJ38" s="62"/>
      <c r="AK38" s="62"/>
    </row>
    <row r="39" spans="1:37" x14ac:dyDescent="0.3">
      <c r="A39" s="65">
        <v>37</v>
      </c>
      <c r="B39" s="63">
        <v>46092</v>
      </c>
      <c r="C39" s="66" t="s">
        <v>331</v>
      </c>
      <c r="D39" s="66" t="s">
        <v>97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5"/>
      <c r="T39" s="67"/>
      <c r="U39" s="67"/>
      <c r="V39" s="67"/>
      <c r="W39" s="67"/>
      <c r="X39" s="67"/>
      <c r="Y39" s="76"/>
      <c r="Z39" s="67"/>
      <c r="AA39" s="67"/>
      <c r="AB39" s="67"/>
      <c r="AC39" s="67"/>
      <c r="AD39" s="67"/>
      <c r="AE39" s="67"/>
      <c r="AF39" s="75"/>
      <c r="AG39" s="67"/>
      <c r="AH39" s="67"/>
      <c r="AI39" s="67"/>
      <c r="AJ39" s="62" t="str">
        <f>VLOOKUP(B39,'For A grades - 11 days'!B38:AJ227,35,0)</f>
        <v>Optional</v>
      </c>
      <c r="AK39" s="62"/>
    </row>
    <row r="40" spans="1:37" x14ac:dyDescent="0.3">
      <c r="A40" s="65">
        <v>38</v>
      </c>
      <c r="B40" s="63">
        <v>46094</v>
      </c>
      <c r="C40" s="66" t="s">
        <v>163</v>
      </c>
      <c r="D40" s="66" t="s">
        <v>127</v>
      </c>
      <c r="E40" s="67"/>
      <c r="F40" s="67"/>
      <c r="G40" s="67"/>
      <c r="H40" s="67"/>
      <c r="I40" s="67"/>
      <c r="J40" s="67" t="s">
        <v>215</v>
      </c>
      <c r="K40" s="67"/>
      <c r="L40" s="67"/>
      <c r="M40" s="67"/>
      <c r="N40" s="67" t="s">
        <v>213</v>
      </c>
      <c r="O40" s="67"/>
      <c r="P40" s="67"/>
      <c r="Q40" s="67"/>
      <c r="R40" s="67"/>
      <c r="S40" s="75"/>
      <c r="T40" s="67"/>
      <c r="U40" s="67"/>
      <c r="V40" s="67"/>
      <c r="W40" s="67"/>
      <c r="X40" s="67"/>
      <c r="Y40" s="75" t="s">
        <v>213</v>
      </c>
      <c r="Z40" s="67"/>
      <c r="AA40" s="67"/>
      <c r="AB40" s="67"/>
      <c r="AC40" s="67"/>
      <c r="AD40" s="67"/>
      <c r="AE40" s="67"/>
      <c r="AF40" s="75"/>
      <c r="AG40" s="67"/>
      <c r="AH40" s="67"/>
      <c r="AI40" s="67"/>
      <c r="AJ40" s="62"/>
      <c r="AK40" s="62"/>
    </row>
    <row r="41" spans="1:37" x14ac:dyDescent="0.3">
      <c r="A41" s="65">
        <v>39</v>
      </c>
      <c r="B41" s="63">
        <v>46098</v>
      </c>
      <c r="C41" s="66" t="s">
        <v>174</v>
      </c>
      <c r="D41" s="66" t="s">
        <v>101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5"/>
      <c r="T41" s="67"/>
      <c r="U41" s="67"/>
      <c r="V41" s="67"/>
      <c r="W41" s="67"/>
      <c r="X41" s="67"/>
      <c r="Y41" s="76"/>
      <c r="Z41" s="67"/>
      <c r="AA41" s="67"/>
      <c r="AB41" s="67"/>
      <c r="AC41" s="67"/>
      <c r="AD41" s="67" t="s">
        <v>213</v>
      </c>
      <c r="AE41" s="67"/>
      <c r="AF41" s="75"/>
      <c r="AG41" s="67"/>
      <c r="AH41" s="67"/>
      <c r="AI41" s="67"/>
      <c r="AJ41" s="62"/>
      <c r="AK41" s="62"/>
    </row>
    <row r="42" spans="1:37" x14ac:dyDescent="0.3">
      <c r="A42" s="65">
        <v>40</v>
      </c>
      <c r="B42" s="63">
        <v>46100</v>
      </c>
      <c r="C42" s="66" t="s">
        <v>244</v>
      </c>
      <c r="D42" s="66" t="s">
        <v>96</v>
      </c>
      <c r="E42" s="67"/>
      <c r="F42" s="67"/>
      <c r="G42" s="67"/>
      <c r="H42" s="67"/>
      <c r="I42" s="67"/>
      <c r="J42" s="67" t="s">
        <v>215</v>
      </c>
      <c r="K42" s="67"/>
      <c r="L42" s="67"/>
      <c r="M42" s="67"/>
      <c r="N42" s="67" t="s">
        <v>213</v>
      </c>
      <c r="O42" s="67" t="s">
        <v>213</v>
      </c>
      <c r="P42" s="67"/>
      <c r="Q42" s="67"/>
      <c r="R42" s="67"/>
      <c r="S42" s="75"/>
      <c r="T42" s="67"/>
      <c r="U42" s="67"/>
      <c r="V42" s="67"/>
      <c r="W42" s="67" t="s">
        <v>213</v>
      </c>
      <c r="X42" s="67"/>
      <c r="Y42" s="76"/>
      <c r="Z42" s="67"/>
      <c r="AA42" s="67"/>
      <c r="AB42" s="67"/>
      <c r="AC42" s="67"/>
      <c r="AD42" s="74" t="s">
        <v>213</v>
      </c>
      <c r="AE42" s="74" t="s">
        <v>213</v>
      </c>
      <c r="AF42" s="75"/>
      <c r="AG42" s="75" t="s">
        <v>213</v>
      </c>
      <c r="AH42" s="67"/>
      <c r="AI42" s="74" t="s">
        <v>213</v>
      </c>
      <c r="AJ42" s="62" t="str">
        <f>VLOOKUP(B42,'For A grades - 11 days'!B40:AJ229,35,0)</f>
        <v>Regional</v>
      </c>
      <c r="AK42" s="62"/>
    </row>
    <row r="43" spans="1:37" x14ac:dyDescent="0.3">
      <c r="A43" s="65">
        <v>41</v>
      </c>
      <c r="B43" s="63">
        <v>46101</v>
      </c>
      <c r="C43" s="66" t="s">
        <v>245</v>
      </c>
      <c r="D43" s="66" t="s">
        <v>127</v>
      </c>
      <c r="E43" s="67"/>
      <c r="F43" s="67"/>
      <c r="G43" s="67"/>
      <c r="H43" s="67"/>
      <c r="I43" s="67"/>
      <c r="J43" s="67" t="s">
        <v>215</v>
      </c>
      <c r="K43" s="67"/>
      <c r="L43" s="74" t="s">
        <v>213</v>
      </c>
      <c r="M43" s="67"/>
      <c r="N43" s="67"/>
      <c r="O43" s="74" t="s">
        <v>213</v>
      </c>
      <c r="P43" s="67"/>
      <c r="Q43" s="67"/>
      <c r="R43" s="67"/>
      <c r="S43" s="75"/>
      <c r="T43" s="67"/>
      <c r="U43" s="67"/>
      <c r="V43" s="67"/>
      <c r="W43" s="67"/>
      <c r="X43" s="67"/>
      <c r="Y43" s="76"/>
      <c r="Z43" s="67"/>
      <c r="AA43" s="67" t="s">
        <v>213</v>
      </c>
      <c r="AB43" s="67"/>
      <c r="AC43" s="67"/>
      <c r="AD43" s="74" t="s">
        <v>213</v>
      </c>
      <c r="AE43" s="67"/>
      <c r="AF43" s="75" t="s">
        <v>213</v>
      </c>
      <c r="AG43" s="67"/>
      <c r="AH43" s="67"/>
      <c r="AI43" s="67"/>
      <c r="AJ43" s="62"/>
      <c r="AK43" s="62"/>
    </row>
    <row r="44" spans="1:37" x14ac:dyDescent="0.3">
      <c r="A44" s="65">
        <v>42</v>
      </c>
      <c r="B44" s="63">
        <v>46102</v>
      </c>
      <c r="C44" s="66" t="s">
        <v>141</v>
      </c>
      <c r="D44" s="67" t="s">
        <v>64</v>
      </c>
      <c r="E44" s="67"/>
      <c r="F44" s="67"/>
      <c r="G44" s="67"/>
      <c r="H44" s="67" t="s">
        <v>219</v>
      </c>
      <c r="I44" s="67"/>
      <c r="J44" s="67" t="s">
        <v>219</v>
      </c>
      <c r="K44" s="67"/>
      <c r="L44" s="67" t="s">
        <v>219</v>
      </c>
      <c r="M44" s="67"/>
      <c r="N44" s="67" t="s">
        <v>219</v>
      </c>
      <c r="O44" s="67" t="s">
        <v>219</v>
      </c>
      <c r="P44" s="67"/>
      <c r="Q44" s="67" t="s">
        <v>219</v>
      </c>
      <c r="R44" s="67"/>
      <c r="S44" s="67" t="s">
        <v>219</v>
      </c>
      <c r="T44" s="67" t="s">
        <v>219</v>
      </c>
      <c r="U44" s="67"/>
      <c r="V44" s="67" t="s">
        <v>219</v>
      </c>
      <c r="W44" s="75" t="s">
        <v>219</v>
      </c>
      <c r="X44" s="67" t="s">
        <v>302</v>
      </c>
      <c r="Y44" s="75" t="s">
        <v>219</v>
      </c>
      <c r="Z44" s="67"/>
      <c r="AA44" s="67"/>
      <c r="AB44" s="67"/>
      <c r="AC44" s="67"/>
      <c r="AD44" s="67" t="s">
        <v>219</v>
      </c>
      <c r="AE44" s="67" t="s">
        <v>219</v>
      </c>
      <c r="AF44" s="75"/>
      <c r="AG44" s="67" t="s">
        <v>219</v>
      </c>
      <c r="AH44" s="67"/>
      <c r="AI44" s="67" t="s">
        <v>219</v>
      </c>
      <c r="AJ44" s="62" t="str">
        <f>VLOOKUP(B44,'For A grades - 11 days'!B42:AJ231,35,0)</f>
        <v>Regional-WE</v>
      </c>
      <c r="AK44" s="62"/>
    </row>
    <row r="45" spans="1:37" x14ac:dyDescent="0.3">
      <c r="A45" s="65">
        <v>43</v>
      </c>
      <c r="B45" s="63">
        <v>46103</v>
      </c>
      <c r="C45" s="66" t="s">
        <v>280</v>
      </c>
      <c r="D45" s="66" t="s">
        <v>63</v>
      </c>
      <c r="E45" s="67"/>
      <c r="F45" s="67"/>
      <c r="G45" s="67"/>
      <c r="H45" s="67"/>
      <c r="I45" s="67"/>
      <c r="J45" s="67"/>
      <c r="K45" s="67"/>
      <c r="L45" s="67"/>
      <c r="M45" s="67"/>
      <c r="N45" s="67" t="s">
        <v>219</v>
      </c>
      <c r="O45" s="67"/>
      <c r="P45" s="67"/>
      <c r="Q45" s="67" t="s">
        <v>219</v>
      </c>
      <c r="R45" s="67"/>
      <c r="S45" s="75"/>
      <c r="T45" s="67"/>
      <c r="U45" s="67"/>
      <c r="V45" s="67"/>
      <c r="W45" s="67"/>
      <c r="X45" s="67"/>
      <c r="Y45" s="76"/>
      <c r="Z45" s="67"/>
      <c r="AA45" s="67"/>
      <c r="AB45" s="67"/>
      <c r="AC45" s="67"/>
      <c r="AD45" s="67"/>
      <c r="AE45" s="67"/>
      <c r="AF45" s="75"/>
      <c r="AG45" s="67"/>
      <c r="AH45" s="67"/>
      <c r="AI45" s="67"/>
      <c r="AJ45" s="62"/>
      <c r="AK45" s="62"/>
    </row>
    <row r="46" spans="1:37" x14ac:dyDescent="0.3">
      <c r="A46" s="65">
        <v>44</v>
      </c>
      <c r="B46" s="63">
        <v>46104</v>
      </c>
      <c r="C46" s="66" t="s">
        <v>246</v>
      </c>
      <c r="D46" s="66" t="s">
        <v>98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 t="s">
        <v>213</v>
      </c>
      <c r="P46" s="67"/>
      <c r="Q46" s="67"/>
      <c r="R46" s="67"/>
      <c r="S46" s="75"/>
      <c r="T46" s="67"/>
      <c r="U46" s="67"/>
      <c r="V46" s="67"/>
      <c r="W46" s="67"/>
      <c r="X46" s="67"/>
      <c r="Y46" s="76"/>
      <c r="Z46" s="67"/>
      <c r="AA46" s="67"/>
      <c r="AB46" s="67"/>
      <c r="AC46" s="67"/>
      <c r="AD46" s="67" t="s">
        <v>213</v>
      </c>
      <c r="AE46" s="67"/>
      <c r="AF46" s="75"/>
      <c r="AG46" s="67"/>
      <c r="AH46" s="67"/>
      <c r="AI46" s="67"/>
      <c r="AJ46" s="62"/>
      <c r="AK46" s="62"/>
    </row>
    <row r="47" spans="1:37" x14ac:dyDescent="0.3">
      <c r="A47" s="65">
        <v>45</v>
      </c>
      <c r="B47" s="63">
        <v>46107</v>
      </c>
      <c r="C47" s="66" t="s">
        <v>281</v>
      </c>
      <c r="D47" s="66" t="s">
        <v>96</v>
      </c>
      <c r="E47" s="67"/>
      <c r="F47" s="67"/>
      <c r="G47" s="67"/>
      <c r="H47" s="75" t="s">
        <v>213</v>
      </c>
      <c r="I47" s="67"/>
      <c r="J47" s="67" t="s">
        <v>215</v>
      </c>
      <c r="K47" s="67"/>
      <c r="L47" s="67" t="s">
        <v>213</v>
      </c>
      <c r="M47" s="67"/>
      <c r="N47" s="74" t="s">
        <v>213</v>
      </c>
      <c r="O47" s="67" t="s">
        <v>213</v>
      </c>
      <c r="P47" s="67"/>
      <c r="Q47" s="67" t="s">
        <v>213</v>
      </c>
      <c r="R47" s="67"/>
      <c r="S47" s="75"/>
      <c r="T47" s="67" t="s">
        <v>213</v>
      </c>
      <c r="U47" s="67"/>
      <c r="V47" s="67"/>
      <c r="W47" s="67"/>
      <c r="X47" s="67"/>
      <c r="Y47" s="75" t="s">
        <v>213</v>
      </c>
      <c r="Z47" s="67"/>
      <c r="AA47" s="67"/>
      <c r="AB47" s="67"/>
      <c r="AC47" s="67"/>
      <c r="AD47" s="67"/>
      <c r="AE47" s="67"/>
      <c r="AF47" s="75"/>
      <c r="AG47" s="67"/>
      <c r="AH47" s="67"/>
      <c r="AI47" s="67" t="s">
        <v>213</v>
      </c>
      <c r="AJ47" s="62" t="str">
        <f>VLOOKUP(B47,'For A grades - 11 days'!B45:AJ234,35,0)</f>
        <v>Regional</v>
      </c>
      <c r="AK47" s="62"/>
    </row>
    <row r="48" spans="1:37" x14ac:dyDescent="0.3">
      <c r="A48" s="65">
        <v>46</v>
      </c>
      <c r="B48" s="63">
        <v>46108</v>
      </c>
      <c r="C48" s="66" t="s">
        <v>149</v>
      </c>
      <c r="D48" s="66" t="s">
        <v>127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75" t="s">
        <v>213</v>
      </c>
      <c r="T48" s="67"/>
      <c r="U48" s="67"/>
      <c r="V48" s="67"/>
      <c r="W48" s="67"/>
      <c r="X48" s="67"/>
      <c r="Y48" s="76"/>
      <c r="Z48" s="67"/>
      <c r="AA48" s="67"/>
      <c r="AB48" s="67"/>
      <c r="AC48" s="67"/>
      <c r="AD48" s="67" t="s">
        <v>213</v>
      </c>
      <c r="AE48" s="67"/>
      <c r="AF48" s="75"/>
      <c r="AG48" s="67"/>
      <c r="AH48" s="67"/>
      <c r="AI48" s="67"/>
      <c r="AJ48" s="62"/>
      <c r="AK48" s="62"/>
    </row>
    <row r="49" spans="1:37" x14ac:dyDescent="0.3">
      <c r="A49" s="65">
        <v>47</v>
      </c>
      <c r="B49" s="63">
        <v>46112</v>
      </c>
      <c r="C49" s="66" t="s">
        <v>35</v>
      </c>
      <c r="D49" s="66" t="s">
        <v>101</v>
      </c>
      <c r="E49" s="67"/>
      <c r="F49" s="67"/>
      <c r="G49" s="67"/>
      <c r="H49" s="67" t="s">
        <v>215</v>
      </c>
      <c r="I49" s="67"/>
      <c r="J49" s="67"/>
      <c r="K49" s="67"/>
      <c r="L49" s="67" t="s">
        <v>213</v>
      </c>
      <c r="M49" s="67"/>
      <c r="N49" s="67" t="s">
        <v>213</v>
      </c>
      <c r="O49" s="67" t="s">
        <v>213</v>
      </c>
      <c r="P49" s="67"/>
      <c r="Q49" s="67"/>
      <c r="R49" s="67"/>
      <c r="S49" s="75"/>
      <c r="T49" s="67" t="s">
        <v>213</v>
      </c>
      <c r="U49" s="67"/>
      <c r="V49" s="67"/>
      <c r="W49" s="67"/>
      <c r="X49" s="67"/>
      <c r="Y49" s="75" t="s">
        <v>213</v>
      </c>
      <c r="Z49" s="67"/>
      <c r="AA49" s="67"/>
      <c r="AB49" s="67"/>
      <c r="AC49" s="67"/>
      <c r="AD49" s="67" t="s">
        <v>213</v>
      </c>
      <c r="AE49" s="67" t="s">
        <v>213</v>
      </c>
      <c r="AF49" s="75"/>
      <c r="AG49" s="67" t="s">
        <v>213</v>
      </c>
      <c r="AH49" s="67"/>
      <c r="AI49" s="67"/>
      <c r="AJ49" s="62" t="str">
        <f>VLOOKUP(B49,'For A grades - 11 days'!B47:AJ236,35,0)</f>
        <v>Regional</v>
      </c>
      <c r="AK49" s="62"/>
    </row>
    <row r="50" spans="1:37" x14ac:dyDescent="0.3">
      <c r="A50" s="65">
        <v>48</v>
      </c>
      <c r="B50" s="63">
        <v>46113</v>
      </c>
      <c r="C50" s="66" t="s">
        <v>247</v>
      </c>
      <c r="D50" s="66" t="s">
        <v>97</v>
      </c>
      <c r="E50" s="67"/>
      <c r="F50" s="67"/>
      <c r="G50" s="67"/>
      <c r="H50" s="67"/>
      <c r="I50" s="67"/>
      <c r="J50" s="67"/>
      <c r="K50" s="67"/>
      <c r="L50" s="67"/>
      <c r="M50" s="67"/>
      <c r="N50" s="67" t="s">
        <v>213</v>
      </c>
      <c r="O50" s="67" t="s">
        <v>213</v>
      </c>
      <c r="P50" s="67"/>
      <c r="Q50" s="67"/>
      <c r="R50" s="67"/>
      <c r="S50" s="75" t="s">
        <v>213</v>
      </c>
      <c r="T50" s="67"/>
      <c r="U50" s="67"/>
      <c r="V50" s="67"/>
      <c r="W50" s="67"/>
      <c r="X50" s="67"/>
      <c r="Y50" s="76"/>
      <c r="Z50" s="67"/>
      <c r="AA50" s="67"/>
      <c r="AB50" s="67"/>
      <c r="AC50" s="67"/>
      <c r="AD50" s="67"/>
      <c r="AE50" s="67" t="s">
        <v>213</v>
      </c>
      <c r="AF50" s="75"/>
      <c r="AG50" s="67" t="s">
        <v>213</v>
      </c>
      <c r="AH50" s="67"/>
      <c r="AI50" s="67" t="s">
        <v>215</v>
      </c>
      <c r="AJ50" s="62" t="str">
        <f>VLOOKUP(B50,'For A grades - 11 days'!B48:AJ237,35,0)</f>
        <v>Optional</v>
      </c>
      <c r="AK50" s="62"/>
    </row>
    <row r="51" spans="1:37" x14ac:dyDescent="0.3">
      <c r="A51" s="65">
        <v>49</v>
      </c>
      <c r="B51" s="63">
        <v>46114</v>
      </c>
      <c r="C51" s="66" t="s">
        <v>248</v>
      </c>
      <c r="D51" s="66" t="s">
        <v>96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 t="s">
        <v>213</v>
      </c>
      <c r="P51" s="67"/>
      <c r="Q51" s="67"/>
      <c r="R51" s="67"/>
      <c r="S51" s="75"/>
      <c r="T51" s="67"/>
      <c r="U51" s="67"/>
      <c r="V51" s="67"/>
      <c r="W51" s="67"/>
      <c r="X51" s="67"/>
      <c r="Y51" s="76"/>
      <c r="Z51" s="67"/>
      <c r="AA51" s="67"/>
      <c r="AB51" s="67"/>
      <c r="AC51" s="67"/>
      <c r="AD51" s="67"/>
      <c r="AE51" s="67"/>
      <c r="AF51" s="75"/>
      <c r="AG51" s="67"/>
      <c r="AH51" s="67"/>
      <c r="AI51" s="67"/>
      <c r="AJ51" s="62" t="str">
        <f>VLOOKUP(B51,'For A grades - 11 days'!B49:AJ238,35,0)</f>
        <v>Optional</v>
      </c>
      <c r="AK51" s="62"/>
    </row>
    <row r="52" spans="1:37" x14ac:dyDescent="0.3">
      <c r="A52" s="65">
        <v>50</v>
      </c>
      <c r="B52" s="63">
        <v>46115</v>
      </c>
      <c r="C52" s="66" t="s">
        <v>38</v>
      </c>
      <c r="D52" s="66" t="s">
        <v>127</v>
      </c>
      <c r="E52" s="67"/>
      <c r="F52" s="67"/>
      <c r="G52" s="67"/>
      <c r="H52" s="74" t="s">
        <v>213</v>
      </c>
      <c r="I52" s="67"/>
      <c r="J52" s="67" t="s">
        <v>215</v>
      </c>
      <c r="K52" s="67"/>
      <c r="L52" s="74" t="s">
        <v>213</v>
      </c>
      <c r="M52" s="67"/>
      <c r="N52" s="74" t="s">
        <v>213</v>
      </c>
      <c r="O52" s="74" t="s">
        <v>213</v>
      </c>
      <c r="P52" s="67"/>
      <c r="Q52" s="74" t="s">
        <v>213</v>
      </c>
      <c r="R52" s="67"/>
      <c r="S52" s="74" t="s">
        <v>213</v>
      </c>
      <c r="T52" s="74" t="s">
        <v>213</v>
      </c>
      <c r="U52" s="67"/>
      <c r="V52" s="74" t="s">
        <v>213</v>
      </c>
      <c r="W52" s="74" t="s">
        <v>213</v>
      </c>
      <c r="X52" s="74" t="s">
        <v>213</v>
      </c>
      <c r="Y52" s="74" t="s">
        <v>213</v>
      </c>
      <c r="Z52" s="67"/>
      <c r="AA52" s="74" t="s">
        <v>213</v>
      </c>
      <c r="AB52" s="67"/>
      <c r="AC52" s="67"/>
      <c r="AD52" s="74" t="s">
        <v>213</v>
      </c>
      <c r="AE52" s="74" t="s">
        <v>213</v>
      </c>
      <c r="AF52" s="74" t="s">
        <v>213</v>
      </c>
      <c r="AG52" s="74" t="s">
        <v>213</v>
      </c>
      <c r="AH52" s="67"/>
      <c r="AI52" s="74" t="s">
        <v>213</v>
      </c>
      <c r="AJ52" s="80" t="str">
        <f>VLOOKUP(B52,'For A grades - 11 days'!B50:AJ239,35,0)</f>
        <v>Regional</v>
      </c>
      <c r="AK52" s="62"/>
    </row>
    <row r="53" spans="1:37" x14ac:dyDescent="0.3">
      <c r="A53" s="65">
        <v>51</v>
      </c>
      <c r="B53" s="63">
        <v>46116</v>
      </c>
      <c r="C53" s="66" t="s">
        <v>222</v>
      </c>
      <c r="D53" s="66" t="s">
        <v>64</v>
      </c>
      <c r="E53" s="67"/>
      <c r="F53" s="67"/>
      <c r="G53" s="67"/>
      <c r="H53" s="67"/>
      <c r="I53" s="67"/>
      <c r="J53" s="67"/>
      <c r="K53" s="67"/>
      <c r="L53" s="67"/>
      <c r="M53" s="67"/>
      <c r="N53" s="67" t="s">
        <v>219</v>
      </c>
      <c r="O53" s="67"/>
      <c r="P53" s="67"/>
      <c r="Q53" s="67"/>
      <c r="R53" s="67"/>
      <c r="S53" s="75"/>
      <c r="T53" s="67" t="s">
        <v>219</v>
      </c>
      <c r="U53" s="67"/>
      <c r="V53" s="67"/>
      <c r="W53" s="67"/>
      <c r="X53" s="67"/>
      <c r="Y53" s="76"/>
      <c r="Z53" s="67"/>
      <c r="AA53" s="67"/>
      <c r="AB53" s="67"/>
      <c r="AC53" s="67"/>
      <c r="AD53" s="67" t="s">
        <v>219</v>
      </c>
      <c r="AE53" s="67"/>
      <c r="AF53" s="75"/>
      <c r="AG53" s="67"/>
      <c r="AH53" s="67"/>
      <c r="AI53" s="67"/>
      <c r="AJ53" s="62"/>
      <c r="AK53" s="62"/>
    </row>
    <row r="54" spans="1:37" x14ac:dyDescent="0.3">
      <c r="A54" s="65">
        <v>52</v>
      </c>
      <c r="B54" s="63">
        <v>46117</v>
      </c>
      <c r="C54" s="66" t="s">
        <v>135</v>
      </c>
      <c r="D54" s="66" t="s">
        <v>63</v>
      </c>
      <c r="E54" s="67"/>
      <c r="F54" s="67"/>
      <c r="G54" s="67"/>
      <c r="H54" s="67" t="s">
        <v>221</v>
      </c>
      <c r="I54" s="67"/>
      <c r="J54" s="67"/>
      <c r="K54" s="67"/>
      <c r="L54" s="67"/>
      <c r="M54" s="67"/>
      <c r="N54" s="67" t="s">
        <v>219</v>
      </c>
      <c r="O54" s="67"/>
      <c r="P54" s="67"/>
      <c r="Q54" s="67"/>
      <c r="R54" s="67"/>
      <c r="S54" s="75"/>
      <c r="T54" s="67"/>
      <c r="U54" s="67"/>
      <c r="V54" s="67"/>
      <c r="W54" s="67"/>
      <c r="X54" s="67"/>
      <c r="Y54" s="76"/>
      <c r="Z54" s="67"/>
      <c r="AA54" s="67"/>
      <c r="AB54" s="67"/>
      <c r="AC54" s="67"/>
      <c r="AD54" s="67"/>
      <c r="AE54" s="67" t="s">
        <v>219</v>
      </c>
      <c r="AF54" s="75"/>
      <c r="AG54" s="67"/>
      <c r="AH54" s="67"/>
      <c r="AI54" s="67"/>
      <c r="AJ54" s="62"/>
      <c r="AK54" s="62"/>
    </row>
    <row r="55" spans="1:37" x14ac:dyDescent="0.3">
      <c r="A55" s="65"/>
      <c r="B55" s="63">
        <v>46118</v>
      </c>
      <c r="C55" s="66" t="s">
        <v>346</v>
      </c>
      <c r="D55" s="66" t="s">
        <v>98</v>
      </c>
      <c r="E55" s="67"/>
      <c r="F55" s="67"/>
      <c r="G55" s="67"/>
      <c r="H55" s="67"/>
      <c r="I55" s="67"/>
      <c r="J55" s="67"/>
      <c r="K55" s="67"/>
      <c r="L55" s="67"/>
      <c r="M55" s="67"/>
      <c r="N55" s="67" t="s">
        <v>213</v>
      </c>
      <c r="O55" s="67"/>
      <c r="P55" s="67"/>
      <c r="Q55" s="67"/>
      <c r="R55" s="67"/>
      <c r="S55" s="75"/>
      <c r="T55" s="67"/>
      <c r="U55" s="67"/>
      <c r="V55" s="67"/>
      <c r="W55" s="67"/>
      <c r="X55" s="67"/>
      <c r="Y55" s="76"/>
      <c r="Z55" s="67"/>
      <c r="AA55" s="67"/>
      <c r="AB55" s="67"/>
      <c r="AC55" s="67"/>
      <c r="AD55" s="67"/>
      <c r="AE55" s="67"/>
      <c r="AF55" s="75"/>
      <c r="AG55" s="67"/>
      <c r="AH55" s="67"/>
      <c r="AI55" s="67"/>
      <c r="AJ55" s="62"/>
      <c r="AK55" s="62"/>
    </row>
    <row r="56" spans="1:37" x14ac:dyDescent="0.3">
      <c r="A56" s="65">
        <v>53</v>
      </c>
      <c r="B56" s="63">
        <v>46123</v>
      </c>
      <c r="C56" s="66" t="s">
        <v>232</v>
      </c>
      <c r="D56" s="66" t="s">
        <v>64</v>
      </c>
      <c r="E56" s="67"/>
      <c r="F56" s="67"/>
      <c r="G56" s="67"/>
      <c r="H56" s="67"/>
      <c r="I56" s="67"/>
      <c r="J56" s="67"/>
      <c r="K56" s="67"/>
      <c r="L56" s="67" t="s">
        <v>219</v>
      </c>
      <c r="M56" s="67"/>
      <c r="N56" s="67"/>
      <c r="O56" s="67"/>
      <c r="P56" s="67"/>
      <c r="Q56" s="67"/>
      <c r="R56" s="67"/>
      <c r="S56" s="75"/>
      <c r="T56" s="67"/>
      <c r="U56" s="67"/>
      <c r="V56" s="67"/>
      <c r="W56" s="67"/>
      <c r="X56" s="67"/>
      <c r="Y56" s="76"/>
      <c r="Z56" s="67"/>
      <c r="AA56" s="67"/>
      <c r="AB56" s="67"/>
      <c r="AC56" s="67"/>
      <c r="AD56" s="67"/>
      <c r="AE56" s="67"/>
      <c r="AF56" s="75"/>
      <c r="AG56" s="67"/>
      <c r="AH56" s="67"/>
      <c r="AI56" s="67"/>
      <c r="AJ56" s="62"/>
      <c r="AK56" s="62"/>
    </row>
    <row r="57" spans="1:37" x14ac:dyDescent="0.3">
      <c r="A57" s="65">
        <v>54</v>
      </c>
      <c r="B57" s="63">
        <v>46125</v>
      </c>
      <c r="C57" s="66" t="s">
        <v>249</v>
      </c>
      <c r="D57" s="66" t="s">
        <v>98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 t="s">
        <v>213</v>
      </c>
      <c r="P57" s="67"/>
      <c r="Q57" s="67"/>
      <c r="R57" s="67"/>
      <c r="S57" s="75"/>
      <c r="T57" s="67"/>
      <c r="U57" s="67"/>
      <c r="V57" s="67"/>
      <c r="W57" s="67"/>
      <c r="X57" s="67"/>
      <c r="Y57" s="76"/>
      <c r="Z57" s="67"/>
      <c r="AA57" s="67"/>
      <c r="AB57" s="67"/>
      <c r="AC57" s="67"/>
      <c r="AD57" s="67"/>
      <c r="AE57" s="67"/>
      <c r="AF57" s="75"/>
      <c r="AG57" s="67"/>
      <c r="AH57" s="67"/>
      <c r="AI57" s="67"/>
      <c r="AJ57" s="62" t="str">
        <f>VLOOKUP(B57,'For A grades - 11 days'!B54:AJ243,35,0)</f>
        <v>Optional</v>
      </c>
      <c r="AK57" s="62"/>
    </row>
    <row r="58" spans="1:37" ht="48" x14ac:dyDescent="0.3">
      <c r="A58" s="65">
        <v>55</v>
      </c>
      <c r="B58" s="63">
        <v>46126</v>
      </c>
      <c r="C58" s="70" t="s">
        <v>250</v>
      </c>
      <c r="D58" s="66" t="s">
        <v>101</v>
      </c>
      <c r="E58" s="67"/>
      <c r="F58" s="67"/>
      <c r="G58" s="67"/>
      <c r="H58" s="67" t="s">
        <v>213</v>
      </c>
      <c r="I58" s="67"/>
      <c r="J58" s="74" t="s">
        <v>213</v>
      </c>
      <c r="K58" s="67"/>
      <c r="L58" s="74" t="s">
        <v>212</v>
      </c>
      <c r="M58" s="67"/>
      <c r="N58" s="67" t="s">
        <v>213</v>
      </c>
      <c r="O58" s="67" t="s">
        <v>213</v>
      </c>
      <c r="P58" s="67"/>
      <c r="Q58" s="67" t="s">
        <v>213</v>
      </c>
      <c r="R58" s="67"/>
      <c r="S58" s="75" t="s">
        <v>213</v>
      </c>
      <c r="T58" s="67" t="s">
        <v>213</v>
      </c>
      <c r="U58" s="67"/>
      <c r="V58" s="74" t="s">
        <v>213</v>
      </c>
      <c r="W58" s="74" t="s">
        <v>213</v>
      </c>
      <c r="X58" s="67"/>
      <c r="Y58" s="76"/>
      <c r="Z58" s="67"/>
      <c r="AA58" s="67" t="s">
        <v>213</v>
      </c>
      <c r="AB58" s="67"/>
      <c r="AC58" s="67"/>
      <c r="AD58" s="67" t="s">
        <v>213</v>
      </c>
      <c r="AE58" s="75" t="s">
        <v>213</v>
      </c>
      <c r="AF58" s="75" t="s">
        <v>213</v>
      </c>
      <c r="AG58" s="74" t="s">
        <v>213</v>
      </c>
      <c r="AH58" s="67"/>
      <c r="AI58" s="67" t="s">
        <v>213</v>
      </c>
      <c r="AJ58" s="62" t="str">
        <f>VLOOKUP(B58,'For A grades - 11 days'!B56:AJ244,35,0)</f>
        <v>Regional</v>
      </c>
      <c r="AK58" s="62"/>
    </row>
    <row r="59" spans="1:37" x14ac:dyDescent="0.3">
      <c r="A59" s="65">
        <v>56</v>
      </c>
      <c r="B59" s="63">
        <v>46127</v>
      </c>
      <c r="C59" s="66" t="s">
        <v>323</v>
      </c>
      <c r="D59" s="66" t="s">
        <v>97</v>
      </c>
      <c r="E59" s="67"/>
      <c r="F59" s="67"/>
      <c r="G59" s="67"/>
      <c r="H59" s="74" t="s">
        <v>213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75"/>
      <c r="T59" s="74" t="s">
        <v>213</v>
      </c>
      <c r="U59" s="67"/>
      <c r="V59" s="67" t="s">
        <v>213</v>
      </c>
      <c r="W59" s="67"/>
      <c r="X59" s="67"/>
      <c r="Y59" s="76"/>
      <c r="Z59" s="67"/>
      <c r="AA59" s="67"/>
      <c r="AB59" s="67"/>
      <c r="AC59" s="67"/>
      <c r="AD59" s="67"/>
      <c r="AE59" s="67"/>
      <c r="AF59" s="75" t="s">
        <v>213</v>
      </c>
      <c r="AG59" s="67"/>
      <c r="AH59" s="67"/>
      <c r="AI59" s="67"/>
      <c r="AJ59" s="62"/>
      <c r="AK59" s="62"/>
    </row>
    <row r="60" spans="1:37" x14ac:dyDescent="0.3">
      <c r="A60" s="65">
        <v>57</v>
      </c>
      <c r="B60" s="63">
        <v>46128</v>
      </c>
      <c r="C60" s="66" t="s">
        <v>188</v>
      </c>
      <c r="D60" s="66" t="s">
        <v>96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75"/>
      <c r="T60" s="67"/>
      <c r="U60" s="67"/>
      <c r="V60" s="67" t="s">
        <v>213</v>
      </c>
      <c r="W60" s="67"/>
      <c r="X60" s="67"/>
      <c r="Y60" s="76"/>
      <c r="Z60" s="67"/>
      <c r="AA60" s="67"/>
      <c r="AB60" s="67"/>
      <c r="AC60" s="67"/>
      <c r="AD60" s="67"/>
      <c r="AE60" s="67"/>
      <c r="AF60" s="75"/>
      <c r="AG60" s="67"/>
      <c r="AH60" s="67"/>
      <c r="AI60" s="67"/>
      <c r="AJ60" s="62"/>
      <c r="AK60" s="62"/>
    </row>
    <row r="61" spans="1:37" x14ac:dyDescent="0.3">
      <c r="A61" s="65"/>
      <c r="B61" s="63">
        <v>46129</v>
      </c>
      <c r="C61" s="66" t="s">
        <v>347</v>
      </c>
      <c r="D61" s="66" t="s">
        <v>127</v>
      </c>
      <c r="E61" s="67"/>
      <c r="F61" s="67"/>
      <c r="G61" s="67"/>
      <c r="H61" s="67"/>
      <c r="I61" s="67"/>
      <c r="J61" s="67"/>
      <c r="K61" s="67"/>
      <c r="L61" s="67"/>
      <c r="M61" s="67"/>
      <c r="N61" s="67" t="s">
        <v>213</v>
      </c>
      <c r="O61" s="67"/>
      <c r="P61" s="67"/>
      <c r="Q61" s="67"/>
      <c r="R61" s="67"/>
      <c r="S61" s="75"/>
      <c r="T61" s="67"/>
      <c r="U61" s="67"/>
      <c r="V61" s="67"/>
      <c r="W61" s="67"/>
      <c r="X61" s="67"/>
      <c r="Y61" s="76"/>
      <c r="Z61" s="67"/>
      <c r="AA61" s="67"/>
      <c r="AB61" s="67"/>
      <c r="AC61" s="67"/>
      <c r="AD61" s="67"/>
      <c r="AE61" s="67"/>
      <c r="AF61" s="75"/>
      <c r="AG61" s="67"/>
      <c r="AH61" s="67"/>
      <c r="AI61" s="67"/>
      <c r="AJ61" s="62"/>
      <c r="AK61" s="62"/>
    </row>
    <row r="62" spans="1:37" x14ac:dyDescent="0.3">
      <c r="A62" s="65">
        <v>58</v>
      </c>
      <c r="B62" s="63">
        <v>46130</v>
      </c>
      <c r="C62" s="66" t="s">
        <v>297</v>
      </c>
      <c r="D62" s="66" t="s">
        <v>64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5"/>
      <c r="T62" s="67"/>
      <c r="U62" s="67"/>
      <c r="V62" s="67" t="s">
        <v>219</v>
      </c>
      <c r="W62" s="67"/>
      <c r="X62" s="67"/>
      <c r="Y62" s="76"/>
      <c r="Z62" s="67"/>
      <c r="AA62" s="67"/>
      <c r="AB62" s="67"/>
      <c r="AC62" s="67"/>
      <c r="AD62" s="67"/>
      <c r="AE62" s="67"/>
      <c r="AF62" s="75"/>
      <c r="AG62" s="67"/>
      <c r="AH62" s="67"/>
      <c r="AI62" s="67"/>
      <c r="AJ62" s="62"/>
      <c r="AK62" s="62"/>
    </row>
    <row r="63" spans="1:37" x14ac:dyDescent="0.3">
      <c r="A63" s="65">
        <v>59</v>
      </c>
      <c r="B63" s="63">
        <v>46131</v>
      </c>
      <c r="C63" s="66" t="s">
        <v>233</v>
      </c>
      <c r="D63" s="66" t="s">
        <v>63</v>
      </c>
      <c r="E63" s="67"/>
      <c r="F63" s="67"/>
      <c r="G63" s="67"/>
      <c r="H63" s="67" t="s">
        <v>219</v>
      </c>
      <c r="I63" s="67"/>
      <c r="J63" s="67"/>
      <c r="K63" s="67"/>
      <c r="L63" s="67" t="s">
        <v>219</v>
      </c>
      <c r="M63" s="67"/>
      <c r="N63" s="67" t="s">
        <v>219</v>
      </c>
      <c r="O63" s="67"/>
      <c r="P63" s="67"/>
      <c r="Q63" s="67"/>
      <c r="R63" s="67"/>
      <c r="S63" s="75"/>
      <c r="T63" s="67"/>
      <c r="U63" s="67"/>
      <c r="V63" s="67"/>
      <c r="W63" s="67"/>
      <c r="X63" s="67"/>
      <c r="Y63" s="76"/>
      <c r="Z63" s="67"/>
      <c r="AA63" s="67"/>
      <c r="AB63" s="67"/>
      <c r="AC63" s="67"/>
      <c r="AD63" s="67"/>
      <c r="AE63" s="67"/>
      <c r="AF63" s="75"/>
      <c r="AG63" s="67"/>
      <c r="AH63" s="67"/>
      <c r="AI63" s="67"/>
      <c r="AJ63" s="62" t="str">
        <f>VLOOKUP(B63,'For A grades - 11 days'!B60:AJ248,35,0)</f>
        <v>Regional-WE</v>
      </c>
      <c r="AK63" s="62"/>
    </row>
    <row r="64" spans="1:37" x14ac:dyDescent="0.3">
      <c r="A64" s="65">
        <v>60</v>
      </c>
      <c r="B64" s="63">
        <v>46132</v>
      </c>
      <c r="C64" s="66" t="s">
        <v>251</v>
      </c>
      <c r="D64" s="66" t="s">
        <v>98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 t="s">
        <v>213</v>
      </c>
      <c r="P64" s="67"/>
      <c r="Q64" s="67"/>
      <c r="R64" s="67"/>
      <c r="S64" s="75"/>
      <c r="T64" s="67"/>
      <c r="U64" s="67"/>
      <c r="V64" s="67"/>
      <c r="W64" s="67"/>
      <c r="X64" s="67"/>
      <c r="Y64" s="76"/>
      <c r="Z64" s="67"/>
      <c r="AA64" s="67"/>
      <c r="AB64" s="67"/>
      <c r="AC64" s="67"/>
      <c r="AD64" s="67" t="s">
        <v>213</v>
      </c>
      <c r="AE64" s="67"/>
      <c r="AF64" s="75"/>
      <c r="AG64" s="67"/>
      <c r="AH64" s="67"/>
      <c r="AI64" s="67"/>
      <c r="AJ64" s="62"/>
      <c r="AK64" s="62"/>
    </row>
    <row r="65" spans="1:37" x14ac:dyDescent="0.3">
      <c r="A65" s="65">
        <v>61</v>
      </c>
      <c r="B65" s="63">
        <v>46133</v>
      </c>
      <c r="C65" s="66" t="s">
        <v>223</v>
      </c>
      <c r="D65" s="66" t="s">
        <v>101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75"/>
      <c r="T65" s="67"/>
      <c r="U65" s="67"/>
      <c r="V65" s="67" t="s">
        <v>213</v>
      </c>
      <c r="W65" s="67"/>
      <c r="X65" s="67"/>
      <c r="Y65" s="76"/>
      <c r="Z65" s="67"/>
      <c r="AA65" s="67"/>
      <c r="AB65" s="67"/>
      <c r="AC65" s="67"/>
      <c r="AD65" s="67" t="s">
        <v>213</v>
      </c>
      <c r="AE65" s="67"/>
      <c r="AF65" s="75"/>
      <c r="AG65" s="67"/>
      <c r="AH65" s="67"/>
      <c r="AI65" s="67"/>
      <c r="AJ65" s="62" t="str">
        <f>VLOOKUP(B65,'For A grades - 11 days'!B63:AJ250,35,0)</f>
        <v>Optional</v>
      </c>
      <c r="AK65" s="62"/>
    </row>
    <row r="66" spans="1:37" x14ac:dyDescent="0.3">
      <c r="A66" s="65">
        <v>62</v>
      </c>
      <c r="B66" s="63">
        <v>46134</v>
      </c>
      <c r="C66" s="66" t="s">
        <v>252</v>
      </c>
      <c r="D66" s="66" t="s">
        <v>97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 t="s">
        <v>213</v>
      </c>
      <c r="P66" s="67"/>
      <c r="Q66" s="67"/>
      <c r="R66" s="67"/>
      <c r="S66" s="75"/>
      <c r="T66" s="67"/>
      <c r="U66" s="67"/>
      <c r="V66" s="67"/>
      <c r="W66" s="67"/>
      <c r="X66" s="67"/>
      <c r="Y66" s="76"/>
      <c r="Z66" s="67"/>
      <c r="AA66" s="67"/>
      <c r="AB66" s="67"/>
      <c r="AC66" s="67"/>
      <c r="AD66" s="67" t="s">
        <v>213</v>
      </c>
      <c r="AE66" s="67"/>
      <c r="AF66" s="75"/>
      <c r="AG66" s="67"/>
      <c r="AH66" s="67"/>
      <c r="AI66" s="67"/>
      <c r="AJ66" s="62" t="str">
        <f>VLOOKUP(B66,'For A grades - 11 days'!B64:AJ251,35,0)</f>
        <v>Optional</v>
      </c>
      <c r="AK66" s="62"/>
    </row>
    <row r="67" spans="1:37" x14ac:dyDescent="0.3">
      <c r="A67" s="65">
        <v>63</v>
      </c>
      <c r="B67" s="63">
        <v>46135</v>
      </c>
      <c r="C67" s="66" t="s">
        <v>282</v>
      </c>
      <c r="D67" s="66" t="s">
        <v>96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 t="s">
        <v>213</v>
      </c>
      <c r="R67" s="67"/>
      <c r="S67" s="75"/>
      <c r="T67" s="67"/>
      <c r="U67" s="67"/>
      <c r="V67" s="67"/>
      <c r="W67" s="67" t="s">
        <v>213</v>
      </c>
      <c r="X67" s="67"/>
      <c r="Y67" s="76"/>
      <c r="Z67" s="67"/>
      <c r="AA67" s="67"/>
      <c r="AB67" s="67"/>
      <c r="AC67" s="67"/>
      <c r="AD67" s="67"/>
      <c r="AE67" s="67"/>
      <c r="AF67" s="75"/>
      <c r="AG67" s="67"/>
      <c r="AH67" s="67"/>
      <c r="AI67" s="67"/>
      <c r="AJ67" s="62"/>
      <c r="AK67" s="62"/>
    </row>
    <row r="68" spans="1:37" x14ac:dyDescent="0.3">
      <c r="A68" s="65">
        <v>64</v>
      </c>
      <c r="B68" s="63">
        <v>46137</v>
      </c>
      <c r="C68" s="66" t="s">
        <v>283</v>
      </c>
      <c r="D68" s="66" t="s">
        <v>64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 t="s">
        <v>219</v>
      </c>
      <c r="R68" s="67"/>
      <c r="S68" s="75"/>
      <c r="T68" s="67"/>
      <c r="U68" s="67"/>
      <c r="V68" s="67"/>
      <c r="W68" s="67"/>
      <c r="X68" s="67"/>
      <c r="Y68" s="76"/>
      <c r="Z68" s="67"/>
      <c r="AA68" s="67"/>
      <c r="AB68" s="67"/>
      <c r="AC68" s="67"/>
      <c r="AD68" s="67"/>
      <c r="AE68" s="67"/>
      <c r="AF68" s="75"/>
      <c r="AG68" s="67"/>
      <c r="AH68" s="67"/>
      <c r="AI68" s="67"/>
      <c r="AJ68" s="62"/>
      <c r="AK68" s="62"/>
    </row>
    <row r="69" spans="1:37" x14ac:dyDescent="0.3">
      <c r="A69" s="65">
        <v>65</v>
      </c>
      <c r="B69" s="63">
        <v>46139</v>
      </c>
      <c r="C69" s="66" t="s">
        <v>284</v>
      </c>
      <c r="D69" s="66" t="s">
        <v>98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 t="s">
        <v>213</v>
      </c>
      <c r="R69" s="67"/>
      <c r="S69" s="75"/>
      <c r="T69" s="67"/>
      <c r="U69" s="67"/>
      <c r="V69" s="67"/>
      <c r="W69" s="67"/>
      <c r="X69" s="67"/>
      <c r="Y69" s="76"/>
      <c r="Z69" s="67"/>
      <c r="AA69" s="67"/>
      <c r="AB69" s="67"/>
      <c r="AC69" s="67"/>
      <c r="AD69" s="67"/>
      <c r="AE69" s="67"/>
      <c r="AF69" s="75"/>
      <c r="AG69" s="67"/>
      <c r="AH69" s="67"/>
      <c r="AI69" s="67"/>
      <c r="AJ69" s="62"/>
      <c r="AK69" s="62"/>
    </row>
    <row r="70" spans="1:37" x14ac:dyDescent="0.3">
      <c r="A70" s="65">
        <v>66</v>
      </c>
      <c r="B70" s="63">
        <v>46143</v>
      </c>
      <c r="C70" s="66" t="s">
        <v>207</v>
      </c>
      <c r="D70" s="66" t="s">
        <v>127</v>
      </c>
      <c r="E70" s="67"/>
      <c r="F70" s="67"/>
      <c r="G70" s="67"/>
      <c r="H70" s="74" t="s">
        <v>213</v>
      </c>
      <c r="I70" s="67"/>
      <c r="J70" s="74" t="s">
        <v>213</v>
      </c>
      <c r="K70" s="67"/>
      <c r="L70" s="67"/>
      <c r="M70" s="67"/>
      <c r="N70" s="74" t="s">
        <v>213</v>
      </c>
      <c r="O70" s="74" t="s">
        <v>213</v>
      </c>
      <c r="P70" s="67"/>
      <c r="Q70" s="74" t="s">
        <v>213</v>
      </c>
      <c r="R70" s="67"/>
      <c r="S70" s="75"/>
      <c r="T70" s="74" t="s">
        <v>213</v>
      </c>
      <c r="U70" s="67"/>
      <c r="V70" s="74" t="s">
        <v>213</v>
      </c>
      <c r="W70" s="74" t="s">
        <v>213</v>
      </c>
      <c r="X70" s="67"/>
      <c r="Y70" s="74" t="s">
        <v>213</v>
      </c>
      <c r="Z70" s="67"/>
      <c r="AA70" s="67"/>
      <c r="AB70" s="67"/>
      <c r="AC70" s="67"/>
      <c r="AD70" s="74" t="s">
        <v>213</v>
      </c>
      <c r="AE70" s="74" t="s">
        <v>212</v>
      </c>
      <c r="AF70" s="74" t="s">
        <v>213</v>
      </c>
      <c r="AG70" s="74" t="s">
        <v>212</v>
      </c>
      <c r="AH70" s="67"/>
      <c r="AI70" s="74" t="s">
        <v>212</v>
      </c>
      <c r="AJ70" s="80" t="str">
        <f>VLOOKUP(B70,'For A grades - 11 days'!B68:AJ255,35,0)</f>
        <v>Optional</v>
      </c>
      <c r="AK70" s="62"/>
    </row>
    <row r="71" spans="1:37" x14ac:dyDescent="0.3">
      <c r="A71" s="65">
        <v>67</v>
      </c>
      <c r="B71" s="63">
        <v>46149</v>
      </c>
      <c r="C71" s="66" t="s">
        <v>203</v>
      </c>
      <c r="D71" s="66" t="s">
        <v>96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75"/>
      <c r="T71" s="67"/>
      <c r="U71" s="67"/>
      <c r="V71" s="67"/>
      <c r="W71" s="67"/>
      <c r="X71" s="67"/>
      <c r="Y71" s="76"/>
      <c r="Z71" s="67"/>
      <c r="AA71" s="67"/>
      <c r="AB71" s="67"/>
      <c r="AC71" s="67"/>
      <c r="AD71" s="67"/>
      <c r="AE71" s="67"/>
      <c r="AF71" s="75"/>
      <c r="AG71" s="67"/>
      <c r="AH71" s="67"/>
      <c r="AI71" s="67"/>
      <c r="AJ71" s="62"/>
      <c r="AK71" s="62"/>
    </row>
    <row r="72" spans="1:37" x14ac:dyDescent="0.3">
      <c r="A72" s="65">
        <v>68</v>
      </c>
      <c r="B72" s="63">
        <v>46151</v>
      </c>
      <c r="C72" s="66" t="s">
        <v>183</v>
      </c>
      <c r="D72" s="66" t="s">
        <v>64</v>
      </c>
      <c r="E72" s="67"/>
      <c r="F72" s="67"/>
      <c r="G72" s="67"/>
      <c r="H72" s="67" t="s">
        <v>221</v>
      </c>
      <c r="I72" s="67"/>
      <c r="J72" s="67"/>
      <c r="K72" s="67"/>
      <c r="L72" s="67"/>
      <c r="M72" s="67"/>
      <c r="N72" s="67" t="s">
        <v>219</v>
      </c>
      <c r="O72" s="67"/>
      <c r="P72" s="67"/>
      <c r="Q72" s="67"/>
      <c r="R72" s="67"/>
      <c r="S72" s="75"/>
      <c r="T72" s="67" t="s">
        <v>219</v>
      </c>
      <c r="U72" s="67"/>
      <c r="V72" s="67"/>
      <c r="W72" s="67"/>
      <c r="X72" s="67"/>
      <c r="Y72" s="76"/>
      <c r="Z72" s="67"/>
      <c r="AA72" s="67"/>
      <c r="AB72" s="67"/>
      <c r="AC72" s="67"/>
      <c r="AD72" s="67"/>
      <c r="AE72" s="67"/>
      <c r="AF72" s="75"/>
      <c r="AG72" s="67"/>
      <c r="AH72" s="67"/>
      <c r="AI72" s="67"/>
      <c r="AJ72" s="62"/>
      <c r="AK72" s="62"/>
    </row>
    <row r="73" spans="1:37" x14ac:dyDescent="0.3">
      <c r="A73" s="65">
        <v>69</v>
      </c>
      <c r="B73" s="63">
        <v>46158</v>
      </c>
      <c r="C73" s="66" t="s">
        <v>196</v>
      </c>
      <c r="D73" s="66" t="s">
        <v>64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75"/>
      <c r="T73" s="67"/>
      <c r="U73" s="67"/>
      <c r="V73" s="67"/>
      <c r="W73" s="67"/>
      <c r="X73" s="67"/>
      <c r="Y73" s="76"/>
      <c r="Z73" s="67"/>
      <c r="AA73" s="67"/>
      <c r="AB73" s="67"/>
      <c r="AC73" s="67"/>
      <c r="AD73" s="67"/>
      <c r="AE73" s="67"/>
      <c r="AF73" s="75"/>
      <c r="AG73" s="67"/>
      <c r="AH73" s="67"/>
      <c r="AI73" s="67"/>
      <c r="AJ73" s="62"/>
      <c r="AK73" s="62"/>
    </row>
    <row r="74" spans="1:37" x14ac:dyDescent="0.3">
      <c r="A74" s="65">
        <v>70</v>
      </c>
      <c r="B74" s="63">
        <v>46164</v>
      </c>
      <c r="C74" s="66" t="s">
        <v>332</v>
      </c>
      <c r="D74" s="66" t="s">
        <v>127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75"/>
      <c r="T74" s="67"/>
      <c r="U74" s="67"/>
      <c r="V74" s="67"/>
      <c r="W74" s="67"/>
      <c r="X74" s="67"/>
      <c r="Y74" s="76"/>
      <c r="Z74" s="67"/>
      <c r="AA74" s="67"/>
      <c r="AB74" s="67"/>
      <c r="AC74" s="67"/>
      <c r="AD74" s="67"/>
      <c r="AE74" s="67"/>
      <c r="AF74" s="75"/>
      <c r="AG74" s="67"/>
      <c r="AH74" s="67"/>
      <c r="AI74" s="67"/>
      <c r="AJ74" s="62" t="str">
        <f>VLOOKUP(B74,'For A grades - 11 days'!B72:AJ259,35,0)</f>
        <v>Optional</v>
      </c>
      <c r="AK74" s="62"/>
    </row>
    <row r="75" spans="1:37" x14ac:dyDescent="0.3">
      <c r="A75" s="65">
        <v>71</v>
      </c>
      <c r="B75" s="63">
        <v>46169</v>
      </c>
      <c r="C75" s="66" t="s">
        <v>193</v>
      </c>
      <c r="D75" s="66" t="s">
        <v>97</v>
      </c>
      <c r="E75" s="67"/>
      <c r="F75" s="67"/>
      <c r="G75" s="67"/>
      <c r="H75" s="74" t="s">
        <v>213</v>
      </c>
      <c r="I75" s="67"/>
      <c r="J75" s="74" t="s">
        <v>213</v>
      </c>
      <c r="K75" s="67"/>
      <c r="L75" s="67"/>
      <c r="M75" s="67"/>
      <c r="N75" s="74" t="s">
        <v>213</v>
      </c>
      <c r="O75" s="67" t="s">
        <v>213</v>
      </c>
      <c r="P75" s="67"/>
      <c r="Q75" s="67"/>
      <c r="R75" s="67"/>
      <c r="S75" s="75"/>
      <c r="T75" s="67" t="s">
        <v>213</v>
      </c>
      <c r="U75" s="67"/>
      <c r="V75" s="74" t="s">
        <v>213</v>
      </c>
      <c r="W75" s="74" t="s">
        <v>213</v>
      </c>
      <c r="X75" s="74" t="s">
        <v>213</v>
      </c>
      <c r="Y75" s="74" t="s">
        <v>213</v>
      </c>
      <c r="Z75" s="67"/>
      <c r="AA75" s="67"/>
      <c r="AB75" s="67"/>
      <c r="AC75" s="67"/>
      <c r="AD75" s="67"/>
      <c r="AE75" s="67"/>
      <c r="AF75" s="74" t="s">
        <v>213</v>
      </c>
      <c r="AG75" s="67"/>
      <c r="AH75" s="67"/>
      <c r="AI75" s="67"/>
      <c r="AJ75" s="80" t="str">
        <f>VLOOKUP(B75,'For A grades - 11 days'!B72:AJ259,35,0)</f>
        <v>Regional</v>
      </c>
      <c r="AK75" s="62"/>
    </row>
    <row r="76" spans="1:37" x14ac:dyDescent="0.3">
      <c r="A76" s="65">
        <v>72</v>
      </c>
      <c r="B76" s="63">
        <v>46170</v>
      </c>
      <c r="C76" s="66" t="s">
        <v>138</v>
      </c>
      <c r="D76" s="66" t="s">
        <v>96</v>
      </c>
      <c r="E76" s="67"/>
      <c r="F76" s="67"/>
      <c r="G76" s="67"/>
      <c r="H76" s="67"/>
      <c r="I76" s="67"/>
      <c r="J76" s="67"/>
      <c r="K76" s="67"/>
      <c r="L76" s="74" t="s">
        <v>213</v>
      </c>
      <c r="M76" s="67"/>
      <c r="N76" s="67" t="s">
        <v>213</v>
      </c>
      <c r="O76" s="67"/>
      <c r="P76" s="67"/>
      <c r="Q76" s="74" t="s">
        <v>213</v>
      </c>
      <c r="R76" s="67"/>
      <c r="S76" s="75"/>
      <c r="T76" s="67"/>
      <c r="U76" s="67"/>
      <c r="V76" s="67"/>
      <c r="W76" s="67"/>
      <c r="X76" s="67"/>
      <c r="Y76" s="76"/>
      <c r="Z76" s="67"/>
      <c r="AA76" s="74" t="s">
        <v>213</v>
      </c>
      <c r="AB76" s="67"/>
      <c r="AC76" s="67"/>
      <c r="AD76" s="74" t="s">
        <v>213</v>
      </c>
      <c r="AE76" s="74" t="s">
        <v>213</v>
      </c>
      <c r="AF76" s="75" t="s">
        <v>213</v>
      </c>
      <c r="AG76" s="74" t="s">
        <v>213</v>
      </c>
      <c r="AH76" s="67"/>
      <c r="AI76" s="74" t="s">
        <v>213</v>
      </c>
      <c r="AJ76" s="62"/>
      <c r="AK76" s="62"/>
    </row>
    <row r="77" spans="1:37" x14ac:dyDescent="0.3">
      <c r="A77" s="65">
        <v>73</v>
      </c>
      <c r="B77" s="63">
        <v>46174</v>
      </c>
      <c r="C77" s="66" t="s">
        <v>298</v>
      </c>
      <c r="D77" s="66" t="s">
        <v>98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75"/>
      <c r="T77" s="67"/>
      <c r="U77" s="67"/>
      <c r="V77" s="67" t="s">
        <v>213</v>
      </c>
      <c r="W77" s="67"/>
      <c r="X77" s="67"/>
      <c r="Y77" s="76"/>
      <c r="Z77" s="67"/>
      <c r="AA77" s="67"/>
      <c r="AB77" s="67"/>
      <c r="AC77" s="67"/>
      <c r="AD77" s="67"/>
      <c r="AE77" s="67"/>
      <c r="AF77" s="75"/>
      <c r="AG77" s="67"/>
      <c r="AH77" s="67"/>
      <c r="AI77" s="67"/>
      <c r="AJ77" s="62"/>
      <c r="AK77" s="62"/>
    </row>
    <row r="78" spans="1:37" x14ac:dyDescent="0.3">
      <c r="A78" s="65">
        <v>74</v>
      </c>
      <c r="B78" s="63">
        <v>46177</v>
      </c>
      <c r="C78" s="66" t="s">
        <v>307</v>
      </c>
      <c r="D78" s="66" t="s">
        <v>96</v>
      </c>
      <c r="E78" s="67"/>
      <c r="F78" s="67"/>
      <c r="G78" s="67"/>
      <c r="H78" s="67"/>
      <c r="I78" s="67"/>
      <c r="J78" s="67" t="s">
        <v>215</v>
      </c>
      <c r="K78" s="67"/>
      <c r="L78" s="67"/>
      <c r="M78" s="67"/>
      <c r="N78" s="67"/>
      <c r="O78" s="67"/>
      <c r="P78" s="67"/>
      <c r="Q78" s="67"/>
      <c r="R78" s="67"/>
      <c r="S78" s="75"/>
      <c r="T78" s="67"/>
      <c r="U78" s="67"/>
      <c r="V78" s="67"/>
      <c r="W78" s="67"/>
      <c r="X78" s="67"/>
      <c r="Y78" s="76"/>
      <c r="Z78" s="67"/>
      <c r="AA78" s="67" t="s">
        <v>213</v>
      </c>
      <c r="AB78" s="67"/>
      <c r="AC78" s="67"/>
      <c r="AD78" s="67"/>
      <c r="AE78" s="67"/>
      <c r="AF78" s="75"/>
      <c r="AG78" s="67"/>
      <c r="AH78" s="67"/>
      <c r="AI78" s="67"/>
      <c r="AJ78" s="62"/>
      <c r="AK78" s="62"/>
    </row>
    <row r="79" spans="1:37" x14ac:dyDescent="0.3">
      <c r="A79" s="65">
        <v>75</v>
      </c>
      <c r="B79" s="63">
        <v>46188</v>
      </c>
      <c r="C79" s="66" t="s">
        <v>164</v>
      </c>
      <c r="D79" s="66" t="s">
        <v>98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74" t="s">
        <v>213</v>
      </c>
      <c r="T79" s="67"/>
      <c r="U79" s="67"/>
      <c r="V79" s="67"/>
      <c r="W79" s="67"/>
      <c r="X79" s="67"/>
      <c r="Y79" s="75" t="s">
        <v>213</v>
      </c>
      <c r="Z79" s="67"/>
      <c r="AA79" s="67" t="s">
        <v>213</v>
      </c>
      <c r="AB79" s="67"/>
      <c r="AC79" s="67"/>
      <c r="AD79" s="67"/>
      <c r="AE79" s="67"/>
      <c r="AF79" s="75"/>
      <c r="AG79" s="67"/>
      <c r="AH79" s="67"/>
      <c r="AI79" s="67"/>
      <c r="AJ79" s="62"/>
      <c r="AK79" s="62"/>
    </row>
    <row r="80" spans="1:37" x14ac:dyDescent="0.3">
      <c r="A80" s="65">
        <v>76</v>
      </c>
      <c r="B80" s="63">
        <v>46190</v>
      </c>
      <c r="C80" s="66" t="s">
        <v>253</v>
      </c>
      <c r="D80" s="66" t="s">
        <v>97</v>
      </c>
      <c r="E80" s="67"/>
      <c r="F80" s="67"/>
      <c r="G80" s="67"/>
      <c r="H80" s="67" t="s">
        <v>213</v>
      </c>
      <c r="I80" s="67"/>
      <c r="J80" s="67"/>
      <c r="K80" s="67"/>
      <c r="L80" s="67" t="s">
        <v>213</v>
      </c>
      <c r="M80" s="67"/>
      <c r="N80" s="67"/>
      <c r="O80" s="67" t="s">
        <v>213</v>
      </c>
      <c r="P80" s="67"/>
      <c r="Q80" s="67"/>
      <c r="R80" s="67"/>
      <c r="S80" s="75"/>
      <c r="T80" s="67"/>
      <c r="U80" s="67"/>
      <c r="V80" s="67"/>
      <c r="W80" s="67"/>
      <c r="X80" s="67"/>
      <c r="Y80" s="76"/>
      <c r="Z80" s="67"/>
      <c r="AA80" s="67"/>
      <c r="AB80" s="67"/>
      <c r="AC80" s="67"/>
      <c r="AD80" s="67"/>
      <c r="AE80" s="67"/>
      <c r="AF80" s="75"/>
      <c r="AG80" s="67"/>
      <c r="AH80" s="67"/>
      <c r="AI80" s="67"/>
      <c r="AJ80" s="62"/>
      <c r="AK80" s="62"/>
    </row>
    <row r="81" spans="1:37" x14ac:dyDescent="0.3">
      <c r="A81" s="65">
        <v>77</v>
      </c>
      <c r="B81" s="63">
        <v>46191</v>
      </c>
      <c r="C81" s="66" t="s">
        <v>285</v>
      </c>
      <c r="D81" s="66" t="s">
        <v>96</v>
      </c>
      <c r="E81" s="67"/>
      <c r="F81" s="67"/>
      <c r="G81" s="67"/>
      <c r="H81" s="67"/>
      <c r="I81" s="67"/>
      <c r="J81" s="67" t="s">
        <v>215</v>
      </c>
      <c r="K81" s="67"/>
      <c r="L81" s="67"/>
      <c r="M81" s="67"/>
      <c r="N81" s="67"/>
      <c r="O81" s="67"/>
      <c r="P81" s="67"/>
      <c r="Q81" s="67" t="s">
        <v>213</v>
      </c>
      <c r="R81" s="67"/>
      <c r="S81" s="75"/>
      <c r="T81" s="67"/>
      <c r="U81" s="67"/>
      <c r="V81" s="67"/>
      <c r="W81" s="67"/>
      <c r="X81" s="67"/>
      <c r="Y81" s="76"/>
      <c r="Z81" s="67"/>
      <c r="AA81" s="67"/>
      <c r="AB81" s="67"/>
      <c r="AC81" s="67"/>
      <c r="AD81" s="67"/>
      <c r="AE81" s="67"/>
      <c r="AF81" s="75"/>
      <c r="AG81" s="67"/>
      <c r="AH81" s="67"/>
      <c r="AI81" s="67"/>
      <c r="AJ81" s="62" t="str">
        <f>VLOOKUP(B81,'For A grades - 11 days'!B78:AJ265,35,0)</f>
        <v>Optional</v>
      </c>
      <c r="AK81" s="62"/>
    </row>
    <row r="82" spans="1:37" x14ac:dyDescent="0.3">
      <c r="A82" s="65">
        <v>78</v>
      </c>
      <c r="B82" s="63">
        <v>46195</v>
      </c>
      <c r="C82" s="66" t="s">
        <v>303</v>
      </c>
      <c r="D82" s="66" t="s">
        <v>98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75"/>
      <c r="T82" s="67"/>
      <c r="U82" s="67"/>
      <c r="V82" s="67"/>
      <c r="W82" s="67"/>
      <c r="X82" s="74" t="s">
        <v>213</v>
      </c>
      <c r="Y82" s="76"/>
      <c r="Z82" s="67"/>
      <c r="AA82" s="67"/>
      <c r="AB82" s="67"/>
      <c r="AC82" s="67"/>
      <c r="AD82" s="67"/>
      <c r="AE82" s="67"/>
      <c r="AF82" s="75"/>
      <c r="AG82" s="67"/>
      <c r="AH82" s="67"/>
      <c r="AI82" s="67"/>
      <c r="AJ82" s="62"/>
      <c r="AK82" s="62"/>
    </row>
    <row r="83" spans="1:37" x14ac:dyDescent="0.3">
      <c r="A83" s="65">
        <v>79</v>
      </c>
      <c r="B83" s="63">
        <v>46196</v>
      </c>
      <c r="C83" s="66" t="s">
        <v>254</v>
      </c>
      <c r="D83" s="66" t="s">
        <v>101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 t="s">
        <v>213</v>
      </c>
      <c r="P83" s="67"/>
      <c r="Q83" s="67"/>
      <c r="R83" s="67"/>
      <c r="S83" s="75"/>
      <c r="T83" s="67"/>
      <c r="U83" s="67"/>
      <c r="V83" s="67"/>
      <c r="W83" s="67"/>
      <c r="X83" s="67"/>
      <c r="Y83" s="76"/>
      <c r="Z83" s="67"/>
      <c r="AA83" s="67"/>
      <c r="AB83" s="67"/>
      <c r="AC83" s="67"/>
      <c r="AD83" s="67"/>
      <c r="AE83" s="67"/>
      <c r="AF83" s="75"/>
      <c r="AG83" s="67"/>
      <c r="AH83" s="67"/>
      <c r="AI83" s="67"/>
      <c r="AJ83" s="62"/>
      <c r="AK83" s="62"/>
    </row>
    <row r="84" spans="1:37" x14ac:dyDescent="0.3">
      <c r="A84" s="65">
        <v>80</v>
      </c>
      <c r="B84" s="63">
        <v>46197</v>
      </c>
      <c r="C84" s="66" t="s">
        <v>255</v>
      </c>
      <c r="D84" s="66" t="s">
        <v>97</v>
      </c>
      <c r="E84" s="67"/>
      <c r="F84" s="67"/>
      <c r="G84" s="67"/>
      <c r="H84" s="67"/>
      <c r="I84" s="67"/>
      <c r="J84" s="67" t="s">
        <v>215</v>
      </c>
      <c r="K84" s="67"/>
      <c r="L84" s="67"/>
      <c r="M84" s="67"/>
      <c r="N84" s="67"/>
      <c r="O84" s="67" t="s">
        <v>213</v>
      </c>
      <c r="P84" s="67"/>
      <c r="Q84" s="67"/>
      <c r="R84" s="67"/>
      <c r="S84" s="75"/>
      <c r="T84" s="67"/>
      <c r="U84" s="67"/>
      <c r="V84" s="67"/>
      <c r="W84" s="67"/>
      <c r="X84" s="67"/>
      <c r="Y84" s="76"/>
      <c r="Z84" s="67"/>
      <c r="AA84" s="67"/>
      <c r="AB84" s="67"/>
      <c r="AC84" s="67"/>
      <c r="AD84" s="67"/>
      <c r="AE84" s="67"/>
      <c r="AF84" s="75"/>
      <c r="AG84" s="67"/>
      <c r="AH84" s="67"/>
      <c r="AI84" s="67"/>
      <c r="AJ84" s="62"/>
      <c r="AK84" s="62"/>
    </row>
    <row r="85" spans="1:37" x14ac:dyDescent="0.3">
      <c r="A85" s="65">
        <v>81</v>
      </c>
      <c r="B85" s="63">
        <v>46198</v>
      </c>
      <c r="C85" s="66" t="s">
        <v>122</v>
      </c>
      <c r="D85" s="66" t="s">
        <v>96</v>
      </c>
      <c r="E85" s="67"/>
      <c r="F85" s="67"/>
      <c r="G85" s="67"/>
      <c r="H85" s="67"/>
      <c r="I85" s="67"/>
      <c r="J85" s="67"/>
      <c r="K85" s="67"/>
      <c r="L85" s="67"/>
      <c r="M85" s="67"/>
      <c r="N85" s="67" t="s">
        <v>213</v>
      </c>
      <c r="O85" s="67"/>
      <c r="P85" s="67"/>
      <c r="Q85" s="67"/>
      <c r="R85" s="67"/>
      <c r="S85" s="75"/>
      <c r="T85" s="67"/>
      <c r="U85" s="67"/>
      <c r="V85" s="67"/>
      <c r="W85" s="67"/>
      <c r="X85" s="67"/>
      <c r="Y85" s="76"/>
      <c r="Z85" s="67"/>
      <c r="AA85" s="67"/>
      <c r="AB85" s="67"/>
      <c r="AC85" s="67"/>
      <c r="AD85" s="67"/>
      <c r="AE85" s="67"/>
      <c r="AF85" s="75"/>
      <c r="AG85" s="67"/>
      <c r="AH85" s="67"/>
      <c r="AI85" s="67"/>
      <c r="AJ85" s="62" t="str">
        <f>VLOOKUP(B85,'For A grades - 11 days'!B82:AJ269,35,0)</f>
        <v>Optional</v>
      </c>
      <c r="AK85" s="62"/>
    </row>
    <row r="86" spans="1:37" x14ac:dyDescent="0.3">
      <c r="A86" s="65">
        <v>82</v>
      </c>
      <c r="B86" s="63">
        <v>46199</v>
      </c>
      <c r="C86" s="66" t="s">
        <v>122</v>
      </c>
      <c r="D86" s="66" t="s">
        <v>127</v>
      </c>
      <c r="E86" s="67"/>
      <c r="F86" s="67"/>
      <c r="G86" s="67"/>
      <c r="H86" s="67" t="s">
        <v>213</v>
      </c>
      <c r="I86" s="67"/>
      <c r="J86" s="74" t="s">
        <v>213</v>
      </c>
      <c r="K86" s="67"/>
      <c r="L86" s="74" t="s">
        <v>213</v>
      </c>
      <c r="M86" s="67"/>
      <c r="N86" s="67" t="s">
        <v>213</v>
      </c>
      <c r="O86" s="74" t="s">
        <v>213</v>
      </c>
      <c r="P86" s="67"/>
      <c r="Q86" s="74" t="s">
        <v>213</v>
      </c>
      <c r="R86" s="67"/>
      <c r="S86" s="75"/>
      <c r="T86" s="74" t="s">
        <v>213</v>
      </c>
      <c r="U86" s="67"/>
      <c r="V86" s="67"/>
      <c r="W86" s="67"/>
      <c r="X86" s="67"/>
      <c r="Y86" s="74" t="s">
        <v>213</v>
      </c>
      <c r="Z86" s="67"/>
      <c r="AA86" s="67"/>
      <c r="AB86" s="67"/>
      <c r="AC86" s="67"/>
      <c r="AD86" s="74" t="s">
        <v>213</v>
      </c>
      <c r="AE86" s="74" t="s">
        <v>213</v>
      </c>
      <c r="AF86" s="74" t="s">
        <v>213</v>
      </c>
      <c r="AG86" s="75" t="s">
        <v>213</v>
      </c>
      <c r="AH86" s="67"/>
      <c r="AI86" s="67"/>
      <c r="AJ86" s="80" t="str">
        <f>VLOOKUP(B86,'For A grades - 11 days'!B83:AJ270,35,0)</f>
        <v>Regional</v>
      </c>
      <c r="AK86" s="62"/>
    </row>
    <row r="87" spans="1:37" x14ac:dyDescent="0.3">
      <c r="A87" s="65">
        <v>83</v>
      </c>
      <c r="B87" s="63">
        <v>46200</v>
      </c>
      <c r="C87" s="66" t="s">
        <v>122</v>
      </c>
      <c r="D87" s="66" t="s">
        <v>64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 t="s">
        <v>219</v>
      </c>
      <c r="R87" s="67"/>
      <c r="S87" s="75"/>
      <c r="T87" s="67"/>
      <c r="U87" s="67"/>
      <c r="V87" s="67"/>
      <c r="W87" s="67"/>
      <c r="X87" s="67"/>
      <c r="Y87" s="76"/>
      <c r="Z87" s="67"/>
      <c r="AA87" s="67"/>
      <c r="AB87" s="67"/>
      <c r="AC87" s="67"/>
      <c r="AD87" s="67"/>
      <c r="AE87" s="67"/>
      <c r="AF87" s="75"/>
      <c r="AG87" s="67"/>
      <c r="AH87" s="67"/>
      <c r="AI87" s="67"/>
      <c r="AJ87" s="62"/>
      <c r="AK87" s="62"/>
    </row>
    <row r="88" spans="1:37" x14ac:dyDescent="0.3">
      <c r="A88" s="65">
        <v>84</v>
      </c>
      <c r="B88" s="63">
        <v>46202</v>
      </c>
      <c r="C88" s="66" t="s">
        <v>173</v>
      </c>
      <c r="D88" s="66" t="s">
        <v>98</v>
      </c>
      <c r="E88" s="67"/>
      <c r="F88" s="67"/>
      <c r="G88" s="67"/>
      <c r="H88" s="74" t="s">
        <v>213</v>
      </c>
      <c r="I88" s="67"/>
      <c r="J88" s="67"/>
      <c r="K88" s="67"/>
      <c r="L88" s="67"/>
      <c r="M88" s="67"/>
      <c r="N88" s="67"/>
      <c r="O88" s="67" t="s">
        <v>213</v>
      </c>
      <c r="P88" s="67"/>
      <c r="Q88" s="67" t="s">
        <v>213</v>
      </c>
      <c r="R88" s="67"/>
      <c r="S88" s="75"/>
      <c r="T88" s="67"/>
      <c r="U88" s="67"/>
      <c r="V88" s="67"/>
      <c r="W88" s="67"/>
      <c r="X88" s="67"/>
      <c r="Y88" s="76"/>
      <c r="Z88" s="67"/>
      <c r="AA88" s="67"/>
      <c r="AB88" s="67"/>
      <c r="AC88" s="67"/>
      <c r="AD88" s="67"/>
      <c r="AE88" s="67"/>
      <c r="AF88" s="75"/>
      <c r="AG88" s="67"/>
      <c r="AH88" s="67"/>
      <c r="AI88" s="67"/>
      <c r="AJ88" s="62"/>
      <c r="AK88" s="62"/>
    </row>
    <row r="89" spans="1:37" x14ac:dyDescent="0.3">
      <c r="A89" s="65">
        <v>85</v>
      </c>
      <c r="B89" s="63">
        <v>46203</v>
      </c>
      <c r="C89" s="66" t="s">
        <v>326</v>
      </c>
      <c r="D89" s="66" t="s">
        <v>101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75"/>
      <c r="T89" s="67" t="s">
        <v>213</v>
      </c>
      <c r="U89" s="67"/>
      <c r="V89" s="67"/>
      <c r="W89" s="67"/>
      <c r="X89" s="67"/>
      <c r="Y89" s="75" t="s">
        <v>213</v>
      </c>
      <c r="Z89" s="67"/>
      <c r="AA89" s="67"/>
      <c r="AB89" s="67"/>
      <c r="AC89" s="67"/>
      <c r="AD89" s="67"/>
      <c r="AE89" s="67"/>
      <c r="AF89" s="75"/>
      <c r="AG89" s="67"/>
      <c r="AH89" s="67"/>
      <c r="AI89" s="67"/>
      <c r="AJ89" s="62"/>
      <c r="AK89" s="62"/>
    </row>
    <row r="90" spans="1:37" x14ac:dyDescent="0.3">
      <c r="A90" s="65">
        <v>86</v>
      </c>
      <c r="B90" s="63">
        <v>46204</v>
      </c>
      <c r="C90" s="66" t="s">
        <v>175</v>
      </c>
      <c r="D90" s="66" t="s">
        <v>97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75"/>
      <c r="T90" s="67"/>
      <c r="U90" s="67"/>
      <c r="V90" s="67"/>
      <c r="W90" s="67"/>
      <c r="X90" s="67"/>
      <c r="Y90" s="76"/>
      <c r="Z90" s="67"/>
      <c r="AA90" s="67"/>
      <c r="AB90" s="67"/>
      <c r="AC90" s="67"/>
      <c r="AD90" s="67"/>
      <c r="AE90" s="67"/>
      <c r="AF90" s="75"/>
      <c r="AG90" s="67"/>
      <c r="AH90" s="67"/>
      <c r="AI90" s="67"/>
      <c r="AJ90" s="62"/>
      <c r="AK90" s="62"/>
    </row>
    <row r="91" spans="1:37" x14ac:dyDescent="0.3">
      <c r="A91" s="65">
        <v>87</v>
      </c>
      <c r="B91" s="63">
        <v>46208</v>
      </c>
      <c r="C91" s="66" t="s">
        <v>175</v>
      </c>
      <c r="D91" s="66" t="s">
        <v>63</v>
      </c>
      <c r="E91" s="67"/>
      <c r="F91" s="67"/>
      <c r="G91" s="67"/>
      <c r="H91" s="67"/>
      <c r="I91" s="67"/>
      <c r="J91" s="67" t="s">
        <v>219</v>
      </c>
      <c r="K91" s="67"/>
      <c r="L91" s="67"/>
      <c r="M91" s="67"/>
      <c r="N91" s="67"/>
      <c r="O91" s="67"/>
      <c r="P91" s="67"/>
      <c r="Q91" s="67"/>
      <c r="R91" s="67"/>
      <c r="S91" s="75"/>
      <c r="T91" s="67"/>
      <c r="U91" s="67"/>
      <c r="V91" s="67"/>
      <c r="W91" s="67"/>
      <c r="X91" s="67"/>
      <c r="Y91" s="76"/>
      <c r="Z91" s="67"/>
      <c r="AA91" s="67"/>
      <c r="AB91" s="67"/>
      <c r="AC91" s="67"/>
      <c r="AD91" s="67"/>
      <c r="AE91" s="67"/>
      <c r="AF91" s="75"/>
      <c r="AG91" s="67"/>
      <c r="AH91" s="67"/>
      <c r="AI91" s="67"/>
      <c r="AJ91" s="62"/>
      <c r="AK91" s="62"/>
    </row>
    <row r="92" spans="1:37" x14ac:dyDescent="0.3">
      <c r="A92" s="65">
        <v>88</v>
      </c>
      <c r="B92" s="63">
        <v>46209</v>
      </c>
      <c r="C92" s="66" t="s">
        <v>166</v>
      </c>
      <c r="D92" s="66" t="s">
        <v>98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75"/>
      <c r="T92" s="67"/>
      <c r="U92" s="67"/>
      <c r="V92" s="67"/>
      <c r="W92" s="67"/>
      <c r="X92" s="67"/>
      <c r="Y92" s="75" t="s">
        <v>213</v>
      </c>
      <c r="Z92" s="67"/>
      <c r="AA92" s="67"/>
      <c r="AB92" s="67"/>
      <c r="AC92" s="67"/>
      <c r="AD92" s="67"/>
      <c r="AE92" s="67"/>
      <c r="AF92" s="75"/>
      <c r="AG92" s="67"/>
      <c r="AH92" s="67"/>
      <c r="AI92" s="67"/>
      <c r="AJ92" s="62"/>
      <c r="AK92" s="62"/>
    </row>
    <row r="93" spans="1:37" x14ac:dyDescent="0.3">
      <c r="A93" s="65">
        <v>89</v>
      </c>
      <c r="B93" s="63">
        <v>46212</v>
      </c>
      <c r="C93" s="66" t="s">
        <v>155</v>
      </c>
      <c r="D93" s="66" t="s">
        <v>96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75"/>
      <c r="T93" s="67"/>
      <c r="U93" s="67"/>
      <c r="V93" s="67"/>
      <c r="W93" s="67"/>
      <c r="X93" s="74" t="s">
        <v>213</v>
      </c>
      <c r="Y93" s="76"/>
      <c r="Z93" s="67"/>
      <c r="AA93" s="67" t="s">
        <v>213</v>
      </c>
      <c r="AB93" s="67"/>
      <c r="AC93" s="67"/>
      <c r="AD93" s="67"/>
      <c r="AE93" s="67"/>
      <c r="AF93" s="75"/>
      <c r="AG93" s="67"/>
      <c r="AH93" s="67"/>
      <c r="AI93" s="67"/>
      <c r="AJ93" s="62"/>
      <c r="AK93" s="62"/>
    </row>
    <row r="94" spans="1:37" x14ac:dyDescent="0.3">
      <c r="A94" s="65">
        <v>90</v>
      </c>
      <c r="B94" s="63">
        <v>46216</v>
      </c>
      <c r="C94" s="66" t="s">
        <v>333</v>
      </c>
      <c r="D94" s="66" t="s">
        <v>98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75"/>
      <c r="T94" s="67"/>
      <c r="U94" s="67"/>
      <c r="V94" s="67"/>
      <c r="W94" s="67"/>
      <c r="X94" s="74"/>
      <c r="Y94" s="76"/>
      <c r="Z94" s="67"/>
      <c r="AA94" s="67"/>
      <c r="AB94" s="67"/>
      <c r="AC94" s="67"/>
      <c r="AD94" s="67"/>
      <c r="AE94" s="67"/>
      <c r="AF94" s="75"/>
      <c r="AG94" s="67"/>
      <c r="AH94" s="67"/>
      <c r="AI94" s="67"/>
      <c r="AJ94" s="62" t="str">
        <f>VLOOKUP(B94,'For A grades - 11 days'!B90:AJ277,35,0)</f>
        <v>Optional</v>
      </c>
      <c r="AK94" s="62"/>
    </row>
    <row r="95" spans="1:37" x14ac:dyDescent="0.3">
      <c r="A95" s="65">
        <v>91</v>
      </c>
      <c r="B95" s="63">
        <v>46218</v>
      </c>
      <c r="C95" s="66" t="s">
        <v>334</v>
      </c>
      <c r="D95" s="66" t="s">
        <v>97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75"/>
      <c r="T95" s="67"/>
      <c r="U95" s="67"/>
      <c r="V95" s="67"/>
      <c r="W95" s="67"/>
      <c r="X95" s="74"/>
      <c r="Y95" s="76"/>
      <c r="Z95" s="67"/>
      <c r="AA95" s="67"/>
      <c r="AB95" s="67"/>
      <c r="AC95" s="67"/>
      <c r="AD95" s="67"/>
      <c r="AE95" s="67"/>
      <c r="AF95" s="75"/>
      <c r="AG95" s="67"/>
      <c r="AH95" s="67"/>
      <c r="AI95" s="67"/>
      <c r="AJ95" s="62" t="str">
        <f>VLOOKUP(B95,'For A grades - 11 days'!B91:AJ278,35,0)</f>
        <v>Optional</v>
      </c>
      <c r="AK95" s="62"/>
    </row>
    <row r="96" spans="1:37" x14ac:dyDescent="0.3">
      <c r="A96" s="65">
        <v>92</v>
      </c>
      <c r="B96" s="63">
        <v>46219</v>
      </c>
      <c r="C96" s="66" t="s">
        <v>257</v>
      </c>
      <c r="D96" s="66" t="s">
        <v>96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 t="s">
        <v>213</v>
      </c>
      <c r="P96" s="67"/>
      <c r="Q96" s="67"/>
      <c r="R96" s="67"/>
      <c r="S96" s="74" t="s">
        <v>213</v>
      </c>
      <c r="T96" s="67"/>
      <c r="U96" s="67"/>
      <c r="V96" s="67"/>
      <c r="W96" s="67" t="s">
        <v>213</v>
      </c>
      <c r="X96" s="67"/>
      <c r="Y96" s="76"/>
      <c r="Z96" s="67"/>
      <c r="AA96" s="67"/>
      <c r="AB96" s="67"/>
      <c r="AC96" s="67"/>
      <c r="AD96" s="67"/>
      <c r="AE96" s="67"/>
      <c r="AF96" s="75"/>
      <c r="AG96" s="67"/>
      <c r="AH96" s="67"/>
      <c r="AI96" s="67"/>
      <c r="AJ96" s="62" t="str">
        <f>VLOOKUP(B96,'For A grades - 11 days'!B90:AJ277,35,0)</f>
        <v>Optional</v>
      </c>
      <c r="AK96" s="62"/>
    </row>
    <row r="97" spans="1:37" x14ac:dyDescent="0.3">
      <c r="A97" s="65">
        <v>93</v>
      </c>
      <c r="B97" s="63">
        <v>46220</v>
      </c>
      <c r="C97" s="66" t="s">
        <v>156</v>
      </c>
      <c r="D97" s="66" t="s">
        <v>127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75"/>
      <c r="T97" s="67"/>
      <c r="U97" s="67"/>
      <c r="V97" s="67"/>
      <c r="W97" s="67"/>
      <c r="X97" s="67"/>
      <c r="Y97" s="76"/>
      <c r="Z97" s="67"/>
      <c r="AA97" s="67"/>
      <c r="AB97" s="67"/>
      <c r="AC97" s="67"/>
      <c r="AD97" s="67"/>
      <c r="AE97" s="67"/>
      <c r="AF97" s="75"/>
      <c r="AG97" s="67"/>
      <c r="AH97" s="67"/>
      <c r="AI97" s="67"/>
      <c r="AJ97" s="62"/>
      <c r="AK97" s="62"/>
    </row>
    <row r="98" spans="1:37" x14ac:dyDescent="0.3">
      <c r="A98" s="65">
        <v>94</v>
      </c>
      <c r="B98" s="63">
        <v>46224</v>
      </c>
      <c r="C98" s="66" t="s">
        <v>335</v>
      </c>
      <c r="D98" s="66" t="s">
        <v>101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75"/>
      <c r="T98" s="67"/>
      <c r="U98" s="67"/>
      <c r="V98" s="67"/>
      <c r="W98" s="67"/>
      <c r="X98" s="67"/>
      <c r="Y98" s="76"/>
      <c r="Z98" s="67"/>
      <c r="AA98" s="67"/>
      <c r="AB98" s="67"/>
      <c r="AC98" s="67"/>
      <c r="AD98" s="67"/>
      <c r="AE98" s="67"/>
      <c r="AF98" s="75"/>
      <c r="AG98" s="67"/>
      <c r="AH98" s="67"/>
      <c r="AI98" s="67"/>
      <c r="AJ98" s="62" t="str">
        <f>VLOOKUP(B98,'For A grades - 11 days'!B93:AJ279,35,0)</f>
        <v>Optional</v>
      </c>
      <c r="AK98" s="62"/>
    </row>
    <row r="99" spans="1:37" x14ac:dyDescent="0.3">
      <c r="A99" s="65">
        <v>95</v>
      </c>
      <c r="B99" s="63">
        <v>46226</v>
      </c>
      <c r="C99" s="66" t="s">
        <v>339</v>
      </c>
      <c r="D99" s="66" t="s">
        <v>96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75"/>
      <c r="T99" s="67"/>
      <c r="U99" s="67"/>
      <c r="V99" s="67"/>
      <c r="W99" s="67"/>
      <c r="X99" s="67"/>
      <c r="Y99" s="76"/>
      <c r="Z99" s="67"/>
      <c r="AA99" s="67"/>
      <c r="AB99" s="67"/>
      <c r="AC99" s="67"/>
      <c r="AD99" s="67"/>
      <c r="AE99" s="67"/>
      <c r="AF99" s="75"/>
      <c r="AG99" s="67"/>
      <c r="AH99" s="67"/>
      <c r="AI99" s="67"/>
      <c r="AJ99" s="62" t="str">
        <f>VLOOKUP(B99,'For A grades - 11 days'!B94:AJ280,35,0)</f>
        <v>Optional</v>
      </c>
      <c r="AK99" s="62"/>
    </row>
    <row r="100" spans="1:37" x14ac:dyDescent="0.3">
      <c r="A100" s="65">
        <v>96</v>
      </c>
      <c r="B100" s="63">
        <v>46238</v>
      </c>
      <c r="C100" s="66" t="s">
        <v>286</v>
      </c>
      <c r="D100" s="66" t="s">
        <v>101</v>
      </c>
      <c r="E100" s="67"/>
      <c r="F100" s="67"/>
      <c r="G100" s="67"/>
      <c r="H100" s="67"/>
      <c r="I100" s="67"/>
      <c r="J100" s="67" t="s">
        <v>215</v>
      </c>
      <c r="K100" s="67"/>
      <c r="L100" s="67"/>
      <c r="M100" s="67"/>
      <c r="N100" s="67" t="s">
        <v>213</v>
      </c>
      <c r="O100" s="67"/>
      <c r="P100" s="67"/>
      <c r="Q100" s="67" t="s">
        <v>213</v>
      </c>
      <c r="R100" s="67"/>
      <c r="S100" s="75"/>
      <c r="T100" s="67"/>
      <c r="U100" s="67"/>
      <c r="V100" s="67"/>
      <c r="W100" s="67"/>
      <c r="X100" s="67"/>
      <c r="Y100" s="76"/>
      <c r="Z100" s="67"/>
      <c r="AA100" s="67"/>
      <c r="AB100" s="67"/>
      <c r="AC100" s="67"/>
      <c r="AD100" s="67"/>
      <c r="AE100" s="67"/>
      <c r="AF100" s="75"/>
      <c r="AG100" s="67"/>
      <c r="AH100" s="67"/>
      <c r="AI100" s="67"/>
      <c r="AJ100" s="62"/>
      <c r="AK100" s="62"/>
    </row>
    <row r="101" spans="1:37" x14ac:dyDescent="0.3">
      <c r="A101" s="65">
        <v>97</v>
      </c>
      <c r="B101" s="63">
        <v>46243</v>
      </c>
      <c r="C101" s="66" t="s">
        <v>234</v>
      </c>
      <c r="D101" s="66" t="s">
        <v>63</v>
      </c>
      <c r="E101" s="67"/>
      <c r="F101" s="67"/>
      <c r="G101" s="67"/>
      <c r="H101" s="67"/>
      <c r="I101" s="67"/>
      <c r="J101" s="67"/>
      <c r="K101" s="67"/>
      <c r="L101" s="67" t="s">
        <v>219</v>
      </c>
      <c r="M101" s="67"/>
      <c r="N101" s="67"/>
      <c r="O101" s="67"/>
      <c r="P101" s="67"/>
      <c r="Q101" s="67"/>
      <c r="R101" s="67"/>
      <c r="S101" s="75"/>
      <c r="T101" s="67"/>
      <c r="U101" s="67"/>
      <c r="V101" s="67"/>
      <c r="W101" s="67"/>
      <c r="X101" s="67"/>
      <c r="Y101" s="76"/>
      <c r="Z101" s="67"/>
      <c r="AA101" s="67"/>
      <c r="AB101" s="67"/>
      <c r="AC101" s="67"/>
      <c r="AD101" s="67"/>
      <c r="AE101" s="67"/>
      <c r="AF101" s="75"/>
      <c r="AG101" s="67"/>
      <c r="AH101" s="67"/>
      <c r="AI101" s="67"/>
      <c r="AJ101" s="62"/>
      <c r="AK101" s="62"/>
    </row>
    <row r="102" spans="1:37" x14ac:dyDescent="0.3">
      <c r="A102" s="65">
        <v>98</v>
      </c>
      <c r="B102" s="63">
        <v>46246</v>
      </c>
      <c r="C102" s="66" t="s">
        <v>256</v>
      </c>
      <c r="D102" s="66" t="s">
        <v>97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 t="s">
        <v>213</v>
      </c>
      <c r="P102" s="67"/>
      <c r="Q102" s="67"/>
      <c r="R102" s="67"/>
      <c r="S102" s="75"/>
      <c r="T102" s="67"/>
      <c r="U102" s="67"/>
      <c r="V102" s="67"/>
      <c r="W102" s="67"/>
      <c r="X102" s="67"/>
      <c r="Y102" s="76"/>
      <c r="Z102" s="67"/>
      <c r="AA102" s="67"/>
      <c r="AB102" s="67"/>
      <c r="AC102" s="67"/>
      <c r="AD102" s="67"/>
      <c r="AE102" s="67"/>
      <c r="AF102" s="75"/>
      <c r="AG102" s="67"/>
      <c r="AH102" s="67"/>
      <c r="AI102" s="67"/>
      <c r="AJ102" s="62" t="str">
        <f>VLOOKUP(B102,'For A grades - 11 days'!B95:AJ281,35,0)</f>
        <v>Optional</v>
      </c>
      <c r="AK102" s="62"/>
    </row>
    <row r="103" spans="1:37" x14ac:dyDescent="0.3">
      <c r="A103" s="65"/>
      <c r="B103" s="63">
        <v>46247</v>
      </c>
      <c r="C103" s="66" t="s">
        <v>343</v>
      </c>
      <c r="D103" s="66" t="s">
        <v>96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75"/>
      <c r="T103" s="67"/>
      <c r="U103" s="67"/>
      <c r="V103" s="67"/>
      <c r="W103" s="74" t="s">
        <v>213</v>
      </c>
      <c r="X103" s="67"/>
      <c r="Y103" s="76"/>
      <c r="Z103" s="67"/>
      <c r="AA103" s="67"/>
      <c r="AB103" s="67"/>
      <c r="AC103" s="67"/>
      <c r="AD103" s="67"/>
      <c r="AE103" s="67"/>
      <c r="AF103" s="75"/>
      <c r="AG103" s="67"/>
      <c r="AH103" s="67"/>
      <c r="AI103" s="67"/>
      <c r="AJ103" s="62"/>
      <c r="AK103" s="62"/>
    </row>
    <row r="104" spans="1:37" x14ac:dyDescent="0.3">
      <c r="A104" s="65">
        <v>99</v>
      </c>
      <c r="B104" s="63">
        <v>46248</v>
      </c>
      <c r="C104" s="66" t="s">
        <v>336</v>
      </c>
      <c r="D104" s="66" t="s">
        <v>127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75"/>
      <c r="T104" s="67"/>
      <c r="U104" s="67"/>
      <c r="V104" s="67"/>
      <c r="W104" s="67"/>
      <c r="X104" s="67"/>
      <c r="Y104" s="76"/>
      <c r="Z104" s="67"/>
      <c r="AA104" s="67"/>
      <c r="AB104" s="67"/>
      <c r="AC104" s="67"/>
      <c r="AD104" s="67"/>
      <c r="AE104" s="67"/>
      <c r="AF104" s="75"/>
      <c r="AG104" s="67"/>
      <c r="AH104" s="67"/>
      <c r="AI104" s="67"/>
      <c r="AJ104" s="62" t="str">
        <f>VLOOKUP(B104,'For A grades - 11 days'!B96:AJ282,35,0)</f>
        <v>Optional</v>
      </c>
      <c r="AK104" s="62"/>
    </row>
    <row r="105" spans="1:37" x14ac:dyDescent="0.3">
      <c r="A105" s="65">
        <v>100</v>
      </c>
      <c r="B105" s="63">
        <v>46249</v>
      </c>
      <c r="C105" s="66" t="s">
        <v>46</v>
      </c>
      <c r="D105" s="67" t="s">
        <v>64</v>
      </c>
      <c r="E105" s="67"/>
      <c r="F105" s="67"/>
      <c r="G105" s="67"/>
      <c r="H105" s="67" t="s">
        <v>218</v>
      </c>
      <c r="I105" s="67"/>
      <c r="J105" s="67" t="s">
        <v>218</v>
      </c>
      <c r="K105" s="67"/>
      <c r="L105" s="67" t="s">
        <v>218</v>
      </c>
      <c r="M105" s="67"/>
      <c r="N105" s="67" t="s">
        <v>218</v>
      </c>
      <c r="O105" s="67" t="s">
        <v>218</v>
      </c>
      <c r="P105" s="67"/>
      <c r="Q105" s="67" t="s">
        <v>218</v>
      </c>
      <c r="R105" s="67"/>
      <c r="S105" s="67" t="s">
        <v>302</v>
      </c>
      <c r="T105" s="67" t="s">
        <v>218</v>
      </c>
      <c r="U105" s="67"/>
      <c r="V105" s="67" t="s">
        <v>302</v>
      </c>
      <c r="W105" s="67" t="s">
        <v>302</v>
      </c>
      <c r="X105" s="67" t="s">
        <v>302</v>
      </c>
      <c r="Y105" s="67" t="s">
        <v>302</v>
      </c>
      <c r="Z105" s="67"/>
      <c r="AA105" s="67" t="s">
        <v>302</v>
      </c>
      <c r="AB105" s="67"/>
      <c r="AC105" s="67"/>
      <c r="AD105" s="67" t="s">
        <v>218</v>
      </c>
      <c r="AE105" s="67" t="s">
        <v>218</v>
      </c>
      <c r="AF105" s="67" t="s">
        <v>218</v>
      </c>
      <c r="AG105" s="67" t="s">
        <v>218</v>
      </c>
      <c r="AH105" s="67"/>
      <c r="AI105" s="67" t="s">
        <v>218</v>
      </c>
      <c r="AJ105" s="62" t="str">
        <f>VLOOKUP(B105,'For A grades - 11 days'!B96:AJ282,35,0)</f>
        <v>National-WE</v>
      </c>
      <c r="AK105" s="62"/>
    </row>
    <row r="106" spans="1:37" x14ac:dyDescent="0.3">
      <c r="A106" s="65">
        <v>101</v>
      </c>
      <c r="B106" s="63">
        <v>46251</v>
      </c>
      <c r="C106" s="66" t="s">
        <v>258</v>
      </c>
      <c r="D106" s="69" t="s">
        <v>98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 t="s">
        <v>213</v>
      </c>
      <c r="P106" s="67"/>
      <c r="Q106" s="67"/>
      <c r="R106" s="67"/>
      <c r="S106" s="75"/>
      <c r="T106" s="67"/>
      <c r="U106" s="67"/>
      <c r="V106" s="67"/>
      <c r="W106" s="67"/>
      <c r="X106" s="67"/>
      <c r="Y106" s="76"/>
      <c r="Z106" s="67"/>
      <c r="AA106" s="67" t="s">
        <v>213</v>
      </c>
      <c r="AB106" s="67"/>
      <c r="AC106" s="67"/>
      <c r="AD106" s="67"/>
      <c r="AE106" s="67"/>
      <c r="AF106" s="75"/>
      <c r="AG106" s="67"/>
      <c r="AH106" s="67"/>
      <c r="AI106" s="67"/>
      <c r="AJ106" s="62"/>
      <c r="AK106" s="62"/>
    </row>
    <row r="107" spans="1:37" x14ac:dyDescent="0.3">
      <c r="A107" s="65">
        <v>102</v>
      </c>
      <c r="B107" s="63">
        <v>46255</v>
      </c>
      <c r="C107" s="66" t="s">
        <v>224</v>
      </c>
      <c r="D107" s="69" t="s">
        <v>127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75"/>
      <c r="T107" s="67"/>
      <c r="U107" s="67"/>
      <c r="V107" s="67"/>
      <c r="W107" s="67"/>
      <c r="X107" s="67"/>
      <c r="Y107" s="76"/>
      <c r="Z107" s="67"/>
      <c r="AA107" s="67"/>
      <c r="AB107" s="67"/>
      <c r="AC107" s="67"/>
      <c r="AD107" s="75" t="s">
        <v>213</v>
      </c>
      <c r="AE107" s="67"/>
      <c r="AF107" s="75" t="s">
        <v>213</v>
      </c>
      <c r="AG107" s="67"/>
      <c r="AH107" s="67"/>
      <c r="AI107" s="67"/>
      <c r="AJ107" s="62"/>
      <c r="AK107" s="62"/>
    </row>
    <row r="108" spans="1:37" x14ac:dyDescent="0.3">
      <c r="A108" s="65">
        <v>103</v>
      </c>
      <c r="B108" s="63">
        <v>46258</v>
      </c>
      <c r="C108" s="66" t="s">
        <v>287</v>
      </c>
      <c r="D108" s="69" t="s">
        <v>98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 t="s">
        <v>213</v>
      </c>
      <c r="R108" s="67"/>
      <c r="S108" s="75"/>
      <c r="T108" s="67"/>
      <c r="U108" s="67"/>
      <c r="V108" s="67"/>
      <c r="W108" s="67"/>
      <c r="X108" s="67"/>
      <c r="Y108" s="76"/>
      <c r="Z108" s="67"/>
      <c r="AA108" s="67"/>
      <c r="AB108" s="67"/>
      <c r="AC108" s="67"/>
      <c r="AD108" s="67"/>
      <c r="AE108" s="67"/>
      <c r="AF108" s="75"/>
      <c r="AG108" s="67"/>
      <c r="AH108" s="67"/>
      <c r="AI108" s="67"/>
      <c r="AJ108" s="62"/>
      <c r="AK108" s="62"/>
    </row>
    <row r="109" spans="1:37" x14ac:dyDescent="0.3">
      <c r="A109" s="65">
        <v>104</v>
      </c>
      <c r="B109" s="63">
        <v>46259</v>
      </c>
      <c r="C109" s="66" t="s">
        <v>131</v>
      </c>
      <c r="D109" s="66" t="s">
        <v>101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75"/>
      <c r="T109" s="67"/>
      <c r="U109" s="67"/>
      <c r="V109" s="67"/>
      <c r="W109" s="67"/>
      <c r="X109" s="67"/>
      <c r="Y109" s="76"/>
      <c r="Z109" s="67"/>
      <c r="AA109" s="67"/>
      <c r="AB109" s="67"/>
      <c r="AC109" s="67"/>
      <c r="AD109" s="67"/>
      <c r="AE109" s="67"/>
      <c r="AF109" s="75" t="s">
        <v>213</v>
      </c>
      <c r="AG109" s="67"/>
      <c r="AH109" s="67"/>
      <c r="AI109" s="67" t="s">
        <v>213</v>
      </c>
      <c r="AJ109" s="62"/>
      <c r="AK109" s="62"/>
    </row>
    <row r="110" spans="1:37" x14ac:dyDescent="0.3">
      <c r="A110" s="65">
        <v>105</v>
      </c>
      <c r="B110" s="63">
        <v>46260</v>
      </c>
      <c r="C110" s="66" t="s">
        <v>259</v>
      </c>
      <c r="D110" s="66" t="s">
        <v>97</v>
      </c>
      <c r="E110" s="67"/>
      <c r="F110" s="67"/>
      <c r="G110" s="67"/>
      <c r="H110" s="67"/>
      <c r="I110" s="67"/>
      <c r="J110" s="67" t="s">
        <v>213</v>
      </c>
      <c r="K110" s="67"/>
      <c r="L110" s="67" t="s">
        <v>213</v>
      </c>
      <c r="M110" s="67"/>
      <c r="N110" s="67" t="s">
        <v>213</v>
      </c>
      <c r="O110" s="67" t="s">
        <v>213</v>
      </c>
      <c r="P110" s="67"/>
      <c r="Q110" s="67"/>
      <c r="R110" s="67"/>
      <c r="S110" s="75"/>
      <c r="T110" s="67"/>
      <c r="U110" s="67"/>
      <c r="V110" s="67"/>
      <c r="W110" s="67" t="s">
        <v>213</v>
      </c>
      <c r="X110" s="67"/>
      <c r="Y110" s="75" t="s">
        <v>213</v>
      </c>
      <c r="Z110" s="67"/>
      <c r="AA110" s="67" t="s">
        <v>213</v>
      </c>
      <c r="AB110" s="67"/>
      <c r="AC110" s="67"/>
      <c r="AD110" s="67" t="s">
        <v>213</v>
      </c>
      <c r="AE110" s="74" t="s">
        <v>213</v>
      </c>
      <c r="AF110" s="75" t="s">
        <v>213</v>
      </c>
      <c r="AG110" s="67" t="s">
        <v>213</v>
      </c>
      <c r="AH110" s="67"/>
      <c r="AI110" s="67"/>
      <c r="AJ110" s="62" t="str">
        <f>VLOOKUP(B110,'For A grades - 11 days'!B101:AJ287,35,0)</f>
        <v>Regional</v>
      </c>
      <c r="AK110" s="62"/>
    </row>
    <row r="111" spans="1:37" x14ac:dyDescent="0.3">
      <c r="A111" s="65">
        <v>106</v>
      </c>
      <c r="B111" s="63">
        <v>46261</v>
      </c>
      <c r="C111" s="66" t="s">
        <v>225</v>
      </c>
      <c r="D111" s="66" t="s">
        <v>96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75"/>
      <c r="T111" s="67"/>
      <c r="U111" s="67"/>
      <c r="V111" s="67"/>
      <c r="W111" s="67"/>
      <c r="X111" s="67"/>
      <c r="Y111" s="76"/>
      <c r="Z111" s="67"/>
      <c r="AA111" s="67"/>
      <c r="AB111" s="67"/>
      <c r="AC111" s="67"/>
      <c r="AD111" s="67" t="s">
        <v>213</v>
      </c>
      <c r="AE111" s="67"/>
      <c r="AF111" s="75" t="s">
        <v>213</v>
      </c>
      <c r="AG111" s="67"/>
      <c r="AH111" s="67"/>
      <c r="AI111" s="67"/>
      <c r="AJ111" s="62"/>
      <c r="AK111" s="62"/>
    </row>
    <row r="112" spans="1:37" x14ac:dyDescent="0.3">
      <c r="A112" s="65">
        <v>107</v>
      </c>
      <c r="B112" s="63">
        <v>46262</v>
      </c>
      <c r="C112" s="66" t="s">
        <v>288</v>
      </c>
      <c r="D112" s="66" t="s">
        <v>127</v>
      </c>
      <c r="E112" s="67"/>
      <c r="F112" s="67"/>
      <c r="G112" s="67"/>
      <c r="H112" s="67" t="s">
        <v>213</v>
      </c>
      <c r="I112" s="67"/>
      <c r="J112" s="67" t="s">
        <v>213</v>
      </c>
      <c r="K112" s="67"/>
      <c r="L112" s="67" t="s">
        <v>213</v>
      </c>
      <c r="M112" s="67"/>
      <c r="N112" s="67" t="s">
        <v>213</v>
      </c>
      <c r="O112" s="67" t="s">
        <v>213</v>
      </c>
      <c r="P112" s="67"/>
      <c r="Q112" s="75" t="s">
        <v>213</v>
      </c>
      <c r="R112" s="67"/>
      <c r="S112" s="75"/>
      <c r="T112" s="67"/>
      <c r="U112" s="67"/>
      <c r="V112" s="67"/>
      <c r="W112" s="67"/>
      <c r="X112" s="67"/>
      <c r="Y112" s="76"/>
      <c r="Z112" s="67"/>
      <c r="AA112" s="67"/>
      <c r="AB112" s="67"/>
      <c r="AC112" s="67"/>
      <c r="AD112" s="67" t="s">
        <v>213</v>
      </c>
      <c r="AE112" s="67"/>
      <c r="AF112" s="75" t="s">
        <v>213</v>
      </c>
      <c r="AG112" s="67"/>
      <c r="AH112" s="67"/>
      <c r="AI112" s="67"/>
      <c r="AJ112" s="62" t="str">
        <f>VLOOKUP(B112,'For A grades - 11 days'!B103:AJ289,35,0)</f>
        <v>Regional</v>
      </c>
      <c r="AK112" s="62"/>
    </row>
    <row r="113" spans="1:37" x14ac:dyDescent="0.3">
      <c r="A113" s="65">
        <v>108</v>
      </c>
      <c r="B113" s="63">
        <v>46265</v>
      </c>
      <c r="C113" s="66" t="s">
        <v>337</v>
      </c>
      <c r="D113" s="66" t="s">
        <v>98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75"/>
      <c r="R113" s="67"/>
      <c r="S113" s="75"/>
      <c r="T113" s="67"/>
      <c r="U113" s="67"/>
      <c r="V113" s="67"/>
      <c r="W113" s="67"/>
      <c r="X113" s="67"/>
      <c r="Y113" s="76"/>
      <c r="Z113" s="67"/>
      <c r="AA113" s="67"/>
      <c r="AB113" s="67"/>
      <c r="AC113" s="67"/>
      <c r="AD113" s="67"/>
      <c r="AE113" s="67"/>
      <c r="AF113" s="75"/>
      <c r="AG113" s="67"/>
      <c r="AH113" s="67"/>
      <c r="AI113" s="67"/>
      <c r="AJ113" s="62" t="str">
        <f>VLOOKUP(B113,'For A grades - 11 days'!B105:AJ290,35,0)</f>
        <v>Optional</v>
      </c>
      <c r="AK113" s="62"/>
    </row>
    <row r="114" spans="1:37" x14ac:dyDescent="0.3">
      <c r="A114" s="65">
        <v>109</v>
      </c>
      <c r="B114" s="63">
        <v>46266</v>
      </c>
      <c r="C114" s="66" t="s">
        <v>299</v>
      </c>
      <c r="D114" s="66" t="s">
        <v>101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75"/>
      <c r="T114" s="67"/>
      <c r="U114" s="67"/>
      <c r="V114" s="67" t="s">
        <v>213</v>
      </c>
      <c r="W114" s="67"/>
      <c r="X114" s="67"/>
      <c r="Y114" s="76"/>
      <c r="Z114" s="67"/>
      <c r="AA114" s="67"/>
      <c r="AB114" s="67"/>
      <c r="AC114" s="67"/>
      <c r="AD114" s="67"/>
      <c r="AE114" s="67"/>
      <c r="AF114" s="75"/>
      <c r="AG114" s="67"/>
      <c r="AH114" s="67"/>
      <c r="AI114" s="67"/>
      <c r="AJ114" s="62"/>
      <c r="AK114" s="62"/>
    </row>
    <row r="115" spans="1:37" x14ac:dyDescent="0.3">
      <c r="A115" s="65">
        <v>110</v>
      </c>
      <c r="B115" s="63">
        <v>46267</v>
      </c>
      <c r="C115" s="66" t="s">
        <v>260</v>
      </c>
      <c r="D115" s="66" t="s">
        <v>97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 t="s">
        <v>213</v>
      </c>
      <c r="P115" s="67"/>
      <c r="Q115" s="67"/>
      <c r="R115" s="67"/>
      <c r="S115" s="75"/>
      <c r="T115" s="67"/>
      <c r="U115" s="67"/>
      <c r="V115" s="67"/>
      <c r="W115" s="67"/>
      <c r="X115" s="67"/>
      <c r="Y115" s="76"/>
      <c r="Z115" s="67"/>
      <c r="AA115" s="67" t="s">
        <v>213</v>
      </c>
      <c r="AB115" s="67"/>
      <c r="AC115" s="67"/>
      <c r="AD115" s="67"/>
      <c r="AE115" s="67"/>
      <c r="AF115" s="75"/>
      <c r="AG115" s="67"/>
      <c r="AH115" s="67"/>
      <c r="AI115" s="67"/>
      <c r="AJ115" s="62"/>
      <c r="AK115" s="62"/>
    </row>
    <row r="116" spans="1:37" x14ac:dyDescent="0.3">
      <c r="A116" s="65">
        <v>111</v>
      </c>
      <c r="B116" s="63">
        <v>46269</v>
      </c>
      <c r="C116" s="66" t="s">
        <v>123</v>
      </c>
      <c r="D116" s="66" t="s">
        <v>127</v>
      </c>
      <c r="E116" s="67"/>
      <c r="F116" s="67"/>
      <c r="G116" s="67"/>
      <c r="H116" s="74" t="s">
        <v>213</v>
      </c>
      <c r="I116" s="67"/>
      <c r="J116" s="74" t="s">
        <v>213</v>
      </c>
      <c r="K116" s="67"/>
      <c r="L116" s="74" t="s">
        <v>213</v>
      </c>
      <c r="M116" s="67"/>
      <c r="N116" s="75" t="s">
        <v>213</v>
      </c>
      <c r="O116" s="74" t="s">
        <v>213</v>
      </c>
      <c r="P116" s="67"/>
      <c r="Q116" s="75" t="s">
        <v>213</v>
      </c>
      <c r="R116" s="67"/>
      <c r="S116" s="74" t="s">
        <v>213</v>
      </c>
      <c r="T116" s="67" t="s">
        <v>213</v>
      </c>
      <c r="U116" s="67"/>
      <c r="V116" s="67" t="s">
        <v>213</v>
      </c>
      <c r="W116" s="74" t="s">
        <v>213</v>
      </c>
      <c r="X116" s="74" t="s">
        <v>213</v>
      </c>
      <c r="Y116" s="74" t="s">
        <v>213</v>
      </c>
      <c r="Z116" s="67"/>
      <c r="AA116" s="67" t="s">
        <v>213</v>
      </c>
      <c r="AB116" s="67"/>
      <c r="AC116" s="67"/>
      <c r="AD116" s="67" t="s">
        <v>213</v>
      </c>
      <c r="AE116" s="67" t="s">
        <v>213</v>
      </c>
      <c r="AF116" s="75" t="s">
        <v>213</v>
      </c>
      <c r="AG116" s="67" t="s">
        <v>213</v>
      </c>
      <c r="AH116" s="67"/>
      <c r="AI116" s="67"/>
      <c r="AJ116" s="80" t="str">
        <f>VLOOKUP(B116,'For A grades - 11 days'!B107:AJ292,35,0)</f>
        <v>Regional</v>
      </c>
      <c r="AK116" s="62"/>
    </row>
    <row r="117" spans="1:37" x14ac:dyDescent="0.3">
      <c r="A117" s="65">
        <v>112</v>
      </c>
      <c r="B117" s="63">
        <v>46270</v>
      </c>
      <c r="C117" s="66" t="s">
        <v>338</v>
      </c>
      <c r="D117" s="66" t="s">
        <v>64</v>
      </c>
      <c r="E117" s="67"/>
      <c r="F117" s="67"/>
      <c r="G117" s="67"/>
      <c r="H117" s="67"/>
      <c r="I117" s="67"/>
      <c r="J117" s="67"/>
      <c r="K117" s="67"/>
      <c r="L117" s="75"/>
      <c r="M117" s="67"/>
      <c r="N117" s="67"/>
      <c r="O117" s="76"/>
      <c r="P117" s="67"/>
      <c r="Q117" s="75"/>
      <c r="R117" s="67"/>
      <c r="S117" s="76"/>
      <c r="T117" s="75"/>
      <c r="U117" s="75"/>
      <c r="V117" s="75"/>
      <c r="W117" s="67"/>
      <c r="X117" s="76"/>
      <c r="Y117" s="76"/>
      <c r="Z117" s="67"/>
      <c r="AA117" s="67"/>
      <c r="AB117" s="67"/>
      <c r="AC117" s="67"/>
      <c r="AD117" s="67"/>
      <c r="AE117" s="67"/>
      <c r="AF117" s="75"/>
      <c r="AG117" s="67"/>
      <c r="AH117" s="67"/>
      <c r="AI117" s="67"/>
      <c r="AJ117" s="62" t="str">
        <f>VLOOKUP(B117,'For A grades - 11 days'!B108:AJ293,35,0)</f>
        <v>Optional-WE</v>
      </c>
      <c r="AK117" s="62"/>
    </row>
    <row r="118" spans="1:37" x14ac:dyDescent="0.3">
      <c r="A118" s="65">
        <v>113</v>
      </c>
      <c r="B118" s="63">
        <v>46273</v>
      </c>
      <c r="C118" s="66" t="s">
        <v>226</v>
      </c>
      <c r="D118" s="66" t="s">
        <v>101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75"/>
      <c r="T118" s="67"/>
      <c r="U118" s="67"/>
      <c r="V118" s="67"/>
      <c r="W118" s="67"/>
      <c r="X118" s="67"/>
      <c r="Y118" s="76"/>
      <c r="Z118" s="67"/>
      <c r="AA118" s="67"/>
      <c r="AB118" s="67"/>
      <c r="AC118" s="67"/>
      <c r="AD118" s="67" t="s">
        <v>213</v>
      </c>
      <c r="AE118" s="67"/>
      <c r="AF118" s="75" t="s">
        <v>213</v>
      </c>
      <c r="AG118" s="67"/>
      <c r="AH118" s="67"/>
      <c r="AI118" s="67"/>
      <c r="AJ118" s="62" t="str">
        <f>VLOOKUP(B118,'For A grades - 11 days'!B108:AJ293,35,0)</f>
        <v>Optional</v>
      </c>
      <c r="AK118" s="62"/>
    </row>
    <row r="119" spans="1:37" x14ac:dyDescent="0.3">
      <c r="A119" s="65">
        <v>114</v>
      </c>
      <c r="B119" s="63">
        <v>46275</v>
      </c>
      <c r="C119" s="66" t="s">
        <v>261</v>
      </c>
      <c r="D119" s="66" t="s">
        <v>96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 t="s">
        <v>213</v>
      </c>
      <c r="P119" s="67"/>
      <c r="Q119" s="67"/>
      <c r="R119" s="67"/>
      <c r="S119" s="75"/>
      <c r="T119" s="67"/>
      <c r="U119" s="67"/>
      <c r="V119" s="67"/>
      <c r="W119" s="67"/>
      <c r="X119" s="67"/>
      <c r="Y119" s="76"/>
      <c r="Z119" s="67"/>
      <c r="AA119" s="67"/>
      <c r="AB119" s="67"/>
      <c r="AC119" s="67"/>
      <c r="AD119" s="67"/>
      <c r="AE119" s="67"/>
      <c r="AF119" s="75"/>
      <c r="AG119" s="67"/>
      <c r="AH119" s="67"/>
      <c r="AI119" s="67"/>
      <c r="AJ119" s="62"/>
      <c r="AK119" s="62"/>
    </row>
    <row r="120" spans="1:37" x14ac:dyDescent="0.3">
      <c r="A120" s="65">
        <v>115</v>
      </c>
      <c r="B120" s="63">
        <v>46277</v>
      </c>
      <c r="C120" s="66" t="s">
        <v>300</v>
      </c>
      <c r="D120" s="66" t="s">
        <v>64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75"/>
      <c r="T120" s="67"/>
      <c r="U120" s="67"/>
      <c r="V120" s="67" t="s">
        <v>219</v>
      </c>
      <c r="W120" s="67"/>
      <c r="X120" s="67"/>
      <c r="Y120" s="76"/>
      <c r="Z120" s="67"/>
      <c r="AA120" s="67"/>
      <c r="AB120" s="67"/>
      <c r="AC120" s="67"/>
      <c r="AD120" s="67"/>
      <c r="AE120" s="67"/>
      <c r="AF120" s="75"/>
      <c r="AG120" s="67"/>
      <c r="AH120" s="67"/>
      <c r="AI120" s="67"/>
      <c r="AJ120" s="62"/>
      <c r="AK120" s="62"/>
    </row>
    <row r="121" spans="1:37" x14ac:dyDescent="0.3">
      <c r="A121" s="65">
        <v>116</v>
      </c>
      <c r="B121" s="63">
        <v>46279</v>
      </c>
      <c r="C121" s="66" t="s">
        <v>262</v>
      </c>
      <c r="D121" s="66" t="s">
        <v>98</v>
      </c>
      <c r="E121" s="67"/>
      <c r="F121" s="67"/>
      <c r="G121" s="67"/>
      <c r="H121" s="67" t="s">
        <v>215</v>
      </c>
      <c r="I121" s="67"/>
      <c r="J121" s="67"/>
      <c r="K121" s="67"/>
      <c r="L121" s="67"/>
      <c r="M121" s="67"/>
      <c r="N121" s="67"/>
      <c r="O121" s="67" t="s">
        <v>213</v>
      </c>
      <c r="P121" s="67"/>
      <c r="Q121" s="75" t="s">
        <v>213</v>
      </c>
      <c r="R121" s="67"/>
      <c r="S121" s="75" t="s">
        <v>213</v>
      </c>
      <c r="T121" s="67"/>
      <c r="U121" s="67"/>
      <c r="V121" s="67"/>
      <c r="W121" s="67"/>
      <c r="X121" s="67"/>
      <c r="Y121" s="76"/>
      <c r="Z121" s="67"/>
      <c r="AA121" s="67"/>
      <c r="AB121" s="67"/>
      <c r="AC121" s="67"/>
      <c r="AD121" s="74" t="s">
        <v>213</v>
      </c>
      <c r="AE121" s="74" t="s">
        <v>213</v>
      </c>
      <c r="AF121" s="75" t="s">
        <v>213</v>
      </c>
      <c r="AG121" s="74" t="s">
        <v>213</v>
      </c>
      <c r="AH121" s="67"/>
      <c r="AI121" s="74" t="s">
        <v>213</v>
      </c>
      <c r="AJ121" s="62" t="str">
        <f>VLOOKUP(B121,'For A grades - 11 days'!B111:AJ296,35,0)</f>
        <v>Optional</v>
      </c>
      <c r="AK121" s="62"/>
    </row>
    <row r="122" spans="1:37" x14ac:dyDescent="0.3">
      <c r="A122" s="65">
        <v>117</v>
      </c>
      <c r="B122" s="63">
        <v>46280</v>
      </c>
      <c r="C122" s="66" t="s">
        <v>150</v>
      </c>
      <c r="D122" s="66" t="s">
        <v>101</v>
      </c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75" t="s">
        <v>213</v>
      </c>
      <c r="T122" s="67"/>
      <c r="U122" s="67"/>
      <c r="V122" s="67"/>
      <c r="W122" s="67"/>
      <c r="X122" s="67"/>
      <c r="Y122" s="76"/>
      <c r="Z122" s="67"/>
      <c r="AA122" s="67"/>
      <c r="AB122" s="67"/>
      <c r="AC122" s="67"/>
      <c r="AD122" s="67"/>
      <c r="AE122" s="67"/>
      <c r="AF122" s="75"/>
      <c r="AG122" s="67"/>
      <c r="AH122" s="67"/>
      <c r="AI122" s="74" t="s">
        <v>213</v>
      </c>
      <c r="AJ122" s="62" t="str">
        <f>VLOOKUP(B122,'For A grades - 11 days'!B112:AJ297,35,0)</f>
        <v>Regional</v>
      </c>
      <c r="AK122" s="62"/>
    </row>
    <row r="123" spans="1:37" x14ac:dyDescent="0.3">
      <c r="A123" s="65">
        <v>118</v>
      </c>
      <c r="B123" s="63">
        <v>46282</v>
      </c>
      <c r="C123" s="66" t="s">
        <v>227</v>
      </c>
      <c r="D123" s="66" t="s">
        <v>96</v>
      </c>
      <c r="E123" s="67"/>
      <c r="F123" s="67"/>
      <c r="G123" s="67"/>
      <c r="H123" s="67"/>
      <c r="I123" s="67"/>
      <c r="J123" s="67"/>
      <c r="K123" s="67"/>
      <c r="L123" s="67"/>
      <c r="M123" s="67"/>
      <c r="N123" s="67" t="s">
        <v>213</v>
      </c>
      <c r="O123" s="67" t="s">
        <v>213</v>
      </c>
      <c r="P123" s="67"/>
      <c r="Q123" s="67" t="s">
        <v>213</v>
      </c>
      <c r="R123" s="67"/>
      <c r="S123" s="75"/>
      <c r="T123" s="67"/>
      <c r="U123" s="67"/>
      <c r="V123" s="67"/>
      <c r="W123" s="67"/>
      <c r="X123" s="67"/>
      <c r="Y123" s="76"/>
      <c r="Z123" s="67"/>
      <c r="AA123" s="67"/>
      <c r="AB123" s="67"/>
      <c r="AC123" s="67"/>
      <c r="AD123" s="67" t="s">
        <v>213</v>
      </c>
      <c r="AE123" s="67"/>
      <c r="AF123" s="75" t="s">
        <v>213</v>
      </c>
      <c r="AG123" s="67"/>
      <c r="AH123" s="67"/>
      <c r="AI123" s="67"/>
      <c r="AJ123" s="62"/>
      <c r="AK123" s="62"/>
    </row>
    <row r="124" spans="1:37" x14ac:dyDescent="0.3">
      <c r="A124" s="65">
        <v>119</v>
      </c>
      <c r="B124" s="63">
        <v>46283</v>
      </c>
      <c r="C124" s="66" t="s">
        <v>263</v>
      </c>
      <c r="D124" s="66" t="s">
        <v>127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 t="s">
        <v>213</v>
      </c>
      <c r="P124" s="67"/>
      <c r="Q124" s="67"/>
      <c r="R124" s="67"/>
      <c r="S124" s="75"/>
      <c r="T124" s="67"/>
      <c r="U124" s="67"/>
      <c r="V124" s="67"/>
      <c r="W124" s="67"/>
      <c r="X124" s="67"/>
      <c r="Y124" s="76"/>
      <c r="Z124" s="67"/>
      <c r="AA124" s="67" t="s">
        <v>213</v>
      </c>
      <c r="AB124" s="67"/>
      <c r="AC124" s="67"/>
      <c r="AD124" s="67"/>
      <c r="AE124" s="67"/>
      <c r="AF124" s="75"/>
      <c r="AG124" s="67"/>
      <c r="AH124" s="67"/>
      <c r="AI124" s="67"/>
      <c r="AJ124" s="62"/>
      <c r="AK124" s="62"/>
    </row>
    <row r="125" spans="1:37" x14ac:dyDescent="0.3">
      <c r="A125" s="65">
        <v>120</v>
      </c>
      <c r="B125" s="63">
        <v>46286</v>
      </c>
      <c r="C125" s="66" t="s">
        <v>235</v>
      </c>
      <c r="D125" s="66" t="s">
        <v>98</v>
      </c>
      <c r="E125" s="67"/>
      <c r="F125" s="67"/>
      <c r="G125" s="67"/>
      <c r="H125" s="67"/>
      <c r="I125" s="67"/>
      <c r="J125" s="67"/>
      <c r="K125" s="67"/>
      <c r="L125" s="67" t="s">
        <v>213</v>
      </c>
      <c r="M125" s="67"/>
      <c r="N125" s="67"/>
      <c r="O125" s="67"/>
      <c r="P125" s="67"/>
      <c r="Q125" s="67"/>
      <c r="R125" s="67"/>
      <c r="S125" s="75"/>
      <c r="T125" s="67"/>
      <c r="U125" s="67"/>
      <c r="V125" s="67" t="s">
        <v>213</v>
      </c>
      <c r="W125" s="67"/>
      <c r="X125" s="67"/>
      <c r="Y125" s="76"/>
      <c r="Z125" s="67"/>
      <c r="AA125" s="67"/>
      <c r="AB125" s="67"/>
      <c r="AC125" s="67"/>
      <c r="AD125" s="67"/>
      <c r="AE125" s="67"/>
      <c r="AF125" s="75"/>
      <c r="AG125" s="67"/>
      <c r="AH125" s="67"/>
      <c r="AI125" s="67"/>
      <c r="AJ125" s="62" t="str">
        <f>VLOOKUP(B125,'For A grades - 11 days'!B115:AJ300,35,0)</f>
        <v>Optional</v>
      </c>
      <c r="AK125" s="62"/>
    </row>
    <row r="126" spans="1:37" x14ac:dyDescent="0.3">
      <c r="A126" s="65">
        <v>121</v>
      </c>
      <c r="B126" s="63">
        <v>46287</v>
      </c>
      <c r="C126" s="66" t="s">
        <v>264</v>
      </c>
      <c r="D126" s="66" t="s">
        <v>101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 t="s">
        <v>213</v>
      </c>
      <c r="P126" s="67"/>
      <c r="Q126" s="67"/>
      <c r="R126" s="67"/>
      <c r="S126" s="75"/>
      <c r="T126" s="67"/>
      <c r="U126" s="67"/>
      <c r="V126" s="67" t="s">
        <v>213</v>
      </c>
      <c r="W126" s="67"/>
      <c r="X126" s="67"/>
      <c r="Y126" s="76"/>
      <c r="Z126" s="67"/>
      <c r="AA126" s="67"/>
      <c r="AB126" s="67"/>
      <c r="AC126" s="67"/>
      <c r="AD126" s="67"/>
      <c r="AE126" s="67"/>
      <c r="AF126" s="75"/>
      <c r="AG126" s="67"/>
      <c r="AH126" s="67"/>
      <c r="AI126" s="67"/>
      <c r="AJ126" s="62"/>
      <c r="AK126" s="62"/>
    </row>
    <row r="127" spans="1:37" x14ac:dyDescent="0.3">
      <c r="A127" s="65">
        <v>122</v>
      </c>
      <c r="B127" s="63">
        <v>46290</v>
      </c>
      <c r="C127" s="66" t="s">
        <v>228</v>
      </c>
      <c r="D127" s="66" t="s">
        <v>127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 t="s">
        <v>213</v>
      </c>
      <c r="O127" s="67" t="s">
        <v>213</v>
      </c>
      <c r="P127" s="67"/>
      <c r="Q127" s="67"/>
      <c r="R127" s="67"/>
      <c r="S127" s="75"/>
      <c r="T127" s="67"/>
      <c r="U127" s="67"/>
      <c r="V127" s="67"/>
      <c r="W127" s="67"/>
      <c r="X127" s="67"/>
      <c r="Y127" s="76"/>
      <c r="Z127" s="67"/>
      <c r="AA127" s="67" t="s">
        <v>213</v>
      </c>
      <c r="AB127" s="67"/>
      <c r="AC127" s="67"/>
      <c r="AD127" s="75" t="s">
        <v>213</v>
      </c>
      <c r="AE127" s="67"/>
      <c r="AF127" s="75" t="s">
        <v>213</v>
      </c>
      <c r="AG127" s="67"/>
      <c r="AH127" s="67"/>
      <c r="AI127" s="67"/>
      <c r="AJ127" s="62"/>
      <c r="AK127" s="62"/>
    </row>
    <row r="128" spans="1:37" x14ac:dyDescent="0.3">
      <c r="A128" s="65">
        <v>123</v>
      </c>
      <c r="B128" s="63">
        <v>46291</v>
      </c>
      <c r="C128" s="66" t="s">
        <v>308</v>
      </c>
      <c r="D128" s="66" t="s">
        <v>64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75"/>
      <c r="T128" s="67"/>
      <c r="U128" s="67"/>
      <c r="V128" s="67"/>
      <c r="W128" s="67"/>
      <c r="X128" s="67"/>
      <c r="Y128" s="76"/>
      <c r="Z128" s="67"/>
      <c r="AA128" s="67" t="s">
        <v>219</v>
      </c>
      <c r="AB128" s="67"/>
      <c r="AC128" s="67"/>
      <c r="AD128" s="67"/>
      <c r="AE128" s="67"/>
      <c r="AF128" s="75"/>
      <c r="AG128" s="67"/>
      <c r="AH128" s="67"/>
      <c r="AI128" s="67"/>
      <c r="AJ128" s="62"/>
      <c r="AK128" s="62"/>
    </row>
    <row r="129" spans="1:37" x14ac:dyDescent="0.3">
      <c r="A129" s="65">
        <v>124</v>
      </c>
      <c r="B129" s="63">
        <v>46292</v>
      </c>
      <c r="C129" s="66" t="s">
        <v>308</v>
      </c>
      <c r="D129" s="66" t="s">
        <v>63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75"/>
      <c r="T129" s="67"/>
      <c r="U129" s="67"/>
      <c r="V129" s="67"/>
      <c r="W129" s="67"/>
      <c r="X129" s="67"/>
      <c r="Y129" s="76"/>
      <c r="Z129" s="67"/>
      <c r="AA129" s="67" t="s">
        <v>219</v>
      </c>
      <c r="AB129" s="67"/>
      <c r="AC129" s="67"/>
      <c r="AD129" s="67"/>
      <c r="AE129" s="67"/>
      <c r="AF129" s="75"/>
      <c r="AG129" s="67"/>
      <c r="AH129" s="67"/>
      <c r="AI129" s="67"/>
      <c r="AJ129" s="62"/>
      <c r="AK129" s="62"/>
    </row>
    <row r="130" spans="1:37" x14ac:dyDescent="0.3">
      <c r="A130" s="65">
        <v>125</v>
      </c>
      <c r="B130" s="63">
        <v>46293</v>
      </c>
      <c r="C130" s="66" t="s">
        <v>308</v>
      </c>
      <c r="D130" s="66" t="s">
        <v>98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75"/>
      <c r="T130" s="67"/>
      <c r="U130" s="67"/>
      <c r="V130" s="67"/>
      <c r="W130" s="67"/>
      <c r="X130" s="67"/>
      <c r="Y130" s="76"/>
      <c r="Z130" s="67"/>
      <c r="AA130" s="67" t="s">
        <v>213</v>
      </c>
      <c r="AB130" s="67"/>
      <c r="AC130" s="67"/>
      <c r="AD130" s="67"/>
      <c r="AE130" s="67"/>
      <c r="AF130" s="75"/>
      <c r="AG130" s="67"/>
      <c r="AH130" s="67"/>
      <c r="AI130" s="67"/>
      <c r="AJ130" s="62"/>
      <c r="AK130" s="62"/>
    </row>
    <row r="131" spans="1:37" x14ac:dyDescent="0.3">
      <c r="A131" s="65"/>
      <c r="B131" s="63">
        <v>46295</v>
      </c>
      <c r="C131" s="66" t="s">
        <v>345</v>
      </c>
      <c r="D131" s="66" t="s">
        <v>97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75"/>
      <c r="T131" s="67"/>
      <c r="U131" s="67"/>
      <c r="V131" s="67"/>
      <c r="W131" s="67" t="s">
        <v>213</v>
      </c>
      <c r="X131" s="67"/>
      <c r="Y131" s="76"/>
      <c r="Z131" s="67"/>
      <c r="AA131" s="67"/>
      <c r="AB131" s="67"/>
      <c r="AC131" s="67"/>
      <c r="AD131" s="67"/>
      <c r="AE131" s="67"/>
      <c r="AF131" s="75"/>
      <c r="AG131" s="67"/>
      <c r="AH131" s="67"/>
      <c r="AI131" s="67"/>
      <c r="AJ131" s="62"/>
      <c r="AK131" s="62"/>
    </row>
    <row r="132" spans="1:37" x14ac:dyDescent="0.3">
      <c r="A132" s="65">
        <v>126</v>
      </c>
      <c r="B132" s="63">
        <v>46296</v>
      </c>
      <c r="C132" s="66" t="s">
        <v>265</v>
      </c>
      <c r="D132" s="66" t="s">
        <v>96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 t="s">
        <v>213</v>
      </c>
      <c r="P132" s="67"/>
      <c r="Q132" s="67"/>
      <c r="R132" s="67"/>
      <c r="S132" s="75"/>
      <c r="T132" s="67"/>
      <c r="U132" s="67"/>
      <c r="V132" s="67"/>
      <c r="W132" s="67"/>
      <c r="X132" s="67"/>
      <c r="Y132" s="76"/>
      <c r="Z132" s="67"/>
      <c r="AA132" s="67"/>
      <c r="AB132" s="67"/>
      <c r="AC132" s="67"/>
      <c r="AD132" s="67"/>
      <c r="AE132" s="67"/>
      <c r="AF132" s="75"/>
      <c r="AG132" s="67"/>
      <c r="AH132" s="67"/>
      <c r="AI132" s="67"/>
      <c r="AJ132" s="62"/>
      <c r="AK132" s="62"/>
    </row>
    <row r="133" spans="1:37" x14ac:dyDescent="0.3">
      <c r="A133" s="65">
        <v>127</v>
      </c>
      <c r="B133" s="63">
        <v>46297</v>
      </c>
      <c r="C133" s="66" t="s">
        <v>124</v>
      </c>
      <c r="D133" s="66" t="s">
        <v>127</v>
      </c>
      <c r="E133" s="67"/>
      <c r="F133" s="67"/>
      <c r="G133" s="67"/>
      <c r="H133" s="74" t="s">
        <v>212</v>
      </c>
      <c r="I133" s="67"/>
      <c r="J133" s="74" t="s">
        <v>212</v>
      </c>
      <c r="K133" s="67"/>
      <c r="L133" s="74" t="s">
        <v>212</v>
      </c>
      <c r="M133" s="67"/>
      <c r="N133" s="74" t="s">
        <v>212</v>
      </c>
      <c r="O133" s="74" t="s">
        <v>212</v>
      </c>
      <c r="P133" s="67"/>
      <c r="Q133" s="74" t="s">
        <v>212</v>
      </c>
      <c r="R133" s="67"/>
      <c r="S133" s="74" t="s">
        <v>212</v>
      </c>
      <c r="T133" s="74" t="s">
        <v>212</v>
      </c>
      <c r="U133" s="67"/>
      <c r="V133" s="74" t="s">
        <v>212</v>
      </c>
      <c r="W133" s="74" t="s">
        <v>212</v>
      </c>
      <c r="X133" s="74" t="s">
        <v>212</v>
      </c>
      <c r="Y133" s="74" t="s">
        <v>212</v>
      </c>
      <c r="Z133" s="67"/>
      <c r="AA133" s="74" t="s">
        <v>212</v>
      </c>
      <c r="AB133" s="67"/>
      <c r="AC133" s="67"/>
      <c r="AD133" s="74" t="s">
        <v>212</v>
      </c>
      <c r="AE133" s="74" t="s">
        <v>212</v>
      </c>
      <c r="AF133" s="74" t="s">
        <v>212</v>
      </c>
      <c r="AG133" s="74" t="s">
        <v>212</v>
      </c>
      <c r="AH133" s="67"/>
      <c r="AI133" s="74" t="s">
        <v>212</v>
      </c>
      <c r="AJ133" s="80" t="str">
        <f>VLOOKUP(B133,'For A grades - 11 days'!B131:AJ316,35,0)</f>
        <v>National</v>
      </c>
      <c r="AK133" s="62"/>
    </row>
    <row r="134" spans="1:37" x14ac:dyDescent="0.3">
      <c r="A134" s="65">
        <v>128</v>
      </c>
      <c r="B134" s="63">
        <v>46299</v>
      </c>
      <c r="C134" s="66" t="s">
        <v>289</v>
      </c>
      <c r="D134" s="66" t="s">
        <v>63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 t="s">
        <v>219</v>
      </c>
      <c r="R134" s="67"/>
      <c r="S134" s="75"/>
      <c r="T134" s="67"/>
      <c r="U134" s="67"/>
      <c r="V134" s="67"/>
      <c r="W134" s="67"/>
      <c r="X134" s="67"/>
      <c r="Y134" s="76"/>
      <c r="Z134" s="67"/>
      <c r="AA134" s="67"/>
      <c r="AB134" s="67"/>
      <c r="AC134" s="67"/>
      <c r="AD134" s="67"/>
      <c r="AE134" s="67"/>
      <c r="AF134" s="75"/>
      <c r="AG134" s="67"/>
      <c r="AH134" s="67"/>
      <c r="AI134" s="67"/>
      <c r="AJ134" s="62"/>
      <c r="AK134" s="62"/>
    </row>
    <row r="135" spans="1:37" x14ac:dyDescent="0.3">
      <c r="A135" s="65">
        <v>129</v>
      </c>
      <c r="B135" s="63">
        <v>46304</v>
      </c>
      <c r="C135" s="66" t="s">
        <v>266</v>
      </c>
      <c r="D135" s="66" t="s">
        <v>127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 t="s">
        <v>213</v>
      </c>
      <c r="P135" s="67"/>
      <c r="Q135" s="67"/>
      <c r="R135" s="67"/>
      <c r="S135" s="75"/>
      <c r="T135" s="67"/>
      <c r="U135" s="67"/>
      <c r="V135" s="67"/>
      <c r="W135" s="67"/>
      <c r="X135" s="67"/>
      <c r="Y135" s="76"/>
      <c r="Z135" s="67"/>
      <c r="AA135" s="67"/>
      <c r="AB135" s="67"/>
      <c r="AC135" s="67"/>
      <c r="AD135" s="67"/>
      <c r="AE135" s="67"/>
      <c r="AF135" s="75"/>
      <c r="AG135" s="67"/>
      <c r="AH135" s="67"/>
      <c r="AI135" s="67"/>
      <c r="AJ135" s="62"/>
      <c r="AK135" s="62"/>
    </row>
    <row r="136" spans="1:37" x14ac:dyDescent="0.3">
      <c r="A136" s="65">
        <v>130</v>
      </c>
      <c r="B136" s="63">
        <v>46305</v>
      </c>
      <c r="C136" s="66" t="s">
        <v>324</v>
      </c>
      <c r="D136" s="66" t="s">
        <v>64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 t="s">
        <v>219</v>
      </c>
      <c r="P136" s="67"/>
      <c r="Q136" s="67"/>
      <c r="R136" s="67"/>
      <c r="S136" s="75"/>
      <c r="T136" s="67" t="s">
        <v>219</v>
      </c>
      <c r="U136" s="67"/>
      <c r="V136" s="67"/>
      <c r="W136" s="67"/>
      <c r="X136" s="67"/>
      <c r="Y136" s="76"/>
      <c r="Z136" s="67"/>
      <c r="AA136" s="67"/>
      <c r="AB136" s="67"/>
      <c r="AC136" s="67"/>
      <c r="AD136" s="67"/>
      <c r="AE136" s="67"/>
      <c r="AF136" s="75"/>
      <c r="AG136" s="67"/>
      <c r="AH136" s="67"/>
      <c r="AI136" s="67"/>
      <c r="AJ136" s="62"/>
      <c r="AK136" s="62"/>
    </row>
    <row r="137" spans="1:37" x14ac:dyDescent="0.3">
      <c r="A137" s="65">
        <v>131</v>
      </c>
      <c r="B137" s="63">
        <v>46306</v>
      </c>
      <c r="C137" s="66" t="s">
        <v>290</v>
      </c>
      <c r="D137" s="66" t="s">
        <v>63</v>
      </c>
      <c r="E137" s="67"/>
      <c r="F137" s="67"/>
      <c r="G137" s="67"/>
      <c r="H137" s="67"/>
      <c r="I137" s="67"/>
      <c r="J137" s="67"/>
      <c r="K137" s="67"/>
      <c r="L137" s="67" t="s">
        <v>219</v>
      </c>
      <c r="M137" s="67"/>
      <c r="N137" s="67" t="s">
        <v>219</v>
      </c>
      <c r="O137" s="67"/>
      <c r="P137" s="67"/>
      <c r="Q137" s="67" t="s">
        <v>219</v>
      </c>
      <c r="R137" s="67"/>
      <c r="S137" s="75"/>
      <c r="T137" s="67"/>
      <c r="U137" s="67"/>
      <c r="V137" s="67"/>
      <c r="W137" s="75" t="s">
        <v>219</v>
      </c>
      <c r="X137" s="67"/>
      <c r="Y137" s="76"/>
      <c r="Z137" s="67"/>
      <c r="AA137" s="67"/>
      <c r="AB137" s="67"/>
      <c r="AC137" s="67"/>
      <c r="AD137" s="67"/>
      <c r="AE137" s="67"/>
      <c r="AF137" s="75"/>
      <c r="AG137" s="67"/>
      <c r="AH137" s="67"/>
      <c r="AI137" s="67"/>
      <c r="AJ137" s="62"/>
      <c r="AK137" s="62"/>
    </row>
    <row r="138" spans="1:37" x14ac:dyDescent="0.3">
      <c r="A138" s="65">
        <v>132</v>
      </c>
      <c r="B138" s="63">
        <v>46308</v>
      </c>
      <c r="C138" s="66" t="s">
        <v>309</v>
      </c>
      <c r="D138" s="66" t="s">
        <v>101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75"/>
      <c r="T138" s="67"/>
      <c r="U138" s="67"/>
      <c r="V138" s="67"/>
      <c r="W138" s="67"/>
      <c r="X138" s="67"/>
      <c r="Y138" s="76"/>
      <c r="Z138" s="67"/>
      <c r="AA138" s="74" t="s">
        <v>213</v>
      </c>
      <c r="AB138" s="67"/>
      <c r="AC138" s="67"/>
      <c r="AD138" s="67"/>
      <c r="AE138" s="67"/>
      <c r="AF138" s="75"/>
      <c r="AG138" s="67"/>
      <c r="AH138" s="67"/>
      <c r="AI138" s="67"/>
      <c r="AJ138" s="62"/>
      <c r="AK138" s="62"/>
    </row>
    <row r="139" spans="1:37" x14ac:dyDescent="0.3">
      <c r="A139" s="65">
        <v>133</v>
      </c>
      <c r="B139" s="63">
        <v>46309</v>
      </c>
      <c r="C139" s="66" t="s">
        <v>291</v>
      </c>
      <c r="D139" s="66" t="s">
        <v>97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74" t="s">
        <v>213</v>
      </c>
      <c r="R139" s="67"/>
      <c r="S139" s="75"/>
      <c r="T139" s="67"/>
      <c r="U139" s="67"/>
      <c r="V139" s="67"/>
      <c r="W139" s="67"/>
      <c r="X139" s="67"/>
      <c r="Y139" s="76"/>
      <c r="Z139" s="67"/>
      <c r="AA139" s="67"/>
      <c r="AB139" s="67"/>
      <c r="AC139" s="67"/>
      <c r="AD139" s="67"/>
      <c r="AE139" s="67"/>
      <c r="AF139" s="75"/>
      <c r="AG139" s="67"/>
      <c r="AH139" s="67"/>
      <c r="AI139" s="67"/>
      <c r="AJ139" s="62"/>
      <c r="AK139" s="62"/>
    </row>
    <row r="140" spans="1:37" x14ac:dyDescent="0.3">
      <c r="A140" s="65">
        <v>134</v>
      </c>
      <c r="B140" s="63">
        <v>46310</v>
      </c>
      <c r="C140" s="66" t="s">
        <v>316</v>
      </c>
      <c r="D140" s="66" t="s">
        <v>96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75"/>
      <c r="T140" s="67"/>
      <c r="U140" s="67"/>
      <c r="V140" s="67"/>
      <c r="W140" s="67"/>
      <c r="X140" s="67"/>
      <c r="Y140" s="76"/>
      <c r="Z140" s="67"/>
      <c r="AA140" s="67"/>
      <c r="AB140" s="67"/>
      <c r="AC140" s="67"/>
      <c r="AD140" s="67"/>
      <c r="AE140" s="67"/>
      <c r="AF140" s="75" t="s">
        <v>213</v>
      </c>
      <c r="AG140" s="67"/>
      <c r="AH140" s="67"/>
      <c r="AI140" s="67"/>
      <c r="AJ140" s="62"/>
      <c r="AK140" s="62"/>
    </row>
    <row r="141" spans="1:37" x14ac:dyDescent="0.3">
      <c r="A141" s="65">
        <v>135</v>
      </c>
      <c r="B141" s="63">
        <v>46311</v>
      </c>
      <c r="C141" s="66" t="s">
        <v>310</v>
      </c>
      <c r="D141" s="66" t="s">
        <v>127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75"/>
      <c r="T141" s="67"/>
      <c r="U141" s="67"/>
      <c r="V141" s="67"/>
      <c r="W141" s="67"/>
      <c r="X141" s="67"/>
      <c r="Y141" s="76"/>
      <c r="Z141" s="67"/>
      <c r="AA141" s="74" t="s">
        <v>213</v>
      </c>
      <c r="AB141" s="67"/>
      <c r="AC141" s="67"/>
      <c r="AD141" s="67"/>
      <c r="AE141" s="67"/>
      <c r="AF141" s="75"/>
      <c r="AG141" s="67"/>
      <c r="AH141" s="67"/>
      <c r="AI141" s="67"/>
      <c r="AJ141" s="62"/>
      <c r="AK141" s="62"/>
    </row>
    <row r="142" spans="1:37" x14ac:dyDescent="0.3">
      <c r="A142" s="65">
        <v>136</v>
      </c>
      <c r="B142" s="63">
        <v>46312</v>
      </c>
      <c r="C142" s="66" t="s">
        <v>292</v>
      </c>
      <c r="D142" s="66" t="s">
        <v>64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 t="s">
        <v>219</v>
      </c>
      <c r="R142" s="67"/>
      <c r="S142" s="75"/>
      <c r="T142" s="67"/>
      <c r="U142" s="67"/>
      <c r="V142" s="67"/>
      <c r="W142" s="67"/>
      <c r="X142" s="67"/>
      <c r="Y142" s="76"/>
      <c r="Z142" s="67"/>
      <c r="AA142" s="67"/>
      <c r="AB142" s="67"/>
      <c r="AC142" s="67"/>
      <c r="AD142" s="67"/>
      <c r="AE142" s="67"/>
      <c r="AF142" s="75"/>
      <c r="AG142" s="67"/>
      <c r="AH142" s="67"/>
      <c r="AI142" s="67"/>
      <c r="AJ142" s="62"/>
      <c r="AK142" s="62"/>
    </row>
    <row r="143" spans="1:37" x14ac:dyDescent="0.3">
      <c r="A143" s="65">
        <v>137</v>
      </c>
      <c r="B143" s="63">
        <v>46313</v>
      </c>
      <c r="C143" s="66" t="s">
        <v>153</v>
      </c>
      <c r="D143" s="67" t="s">
        <v>63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 t="s">
        <v>219</v>
      </c>
      <c r="R143" s="67"/>
      <c r="S143" s="67" t="s">
        <v>219</v>
      </c>
      <c r="T143" s="67" t="s">
        <v>219</v>
      </c>
      <c r="U143" s="67"/>
      <c r="V143" s="67" t="s">
        <v>219</v>
      </c>
      <c r="W143" s="67"/>
      <c r="X143" s="67"/>
      <c r="Y143" s="76"/>
      <c r="Z143" s="67"/>
      <c r="AA143" s="67"/>
      <c r="AB143" s="67"/>
      <c r="AC143" s="67"/>
      <c r="AD143" s="67"/>
      <c r="AE143" s="67"/>
      <c r="AF143" s="75"/>
      <c r="AG143" s="67"/>
      <c r="AH143" s="67"/>
      <c r="AI143" s="67"/>
      <c r="AJ143" s="62"/>
      <c r="AK143" s="62"/>
    </row>
    <row r="144" spans="1:37" x14ac:dyDescent="0.3">
      <c r="A144" s="65">
        <v>138</v>
      </c>
      <c r="B144" s="63">
        <v>46314</v>
      </c>
      <c r="C144" s="66" t="s">
        <v>236</v>
      </c>
      <c r="D144" s="66" t="s">
        <v>98</v>
      </c>
      <c r="E144" s="67"/>
      <c r="F144" s="67"/>
      <c r="G144" s="67"/>
      <c r="H144" s="67" t="s">
        <v>215</v>
      </c>
      <c r="I144" s="67"/>
      <c r="J144" s="67"/>
      <c r="K144" s="67"/>
      <c r="L144" s="74" t="s">
        <v>213</v>
      </c>
      <c r="M144" s="67"/>
      <c r="N144" s="74" t="s">
        <v>213</v>
      </c>
      <c r="O144" s="74" t="s">
        <v>213</v>
      </c>
      <c r="P144" s="67"/>
      <c r="Q144" s="74" t="s">
        <v>213</v>
      </c>
      <c r="R144" s="67"/>
      <c r="S144" s="74" t="s">
        <v>213</v>
      </c>
      <c r="T144" s="74" t="s">
        <v>213</v>
      </c>
      <c r="U144" s="67"/>
      <c r="V144" s="74" t="s">
        <v>213</v>
      </c>
      <c r="W144" s="74" t="s">
        <v>213</v>
      </c>
      <c r="X144" s="74" t="s">
        <v>213</v>
      </c>
      <c r="Y144" s="76"/>
      <c r="Z144" s="67"/>
      <c r="AA144" s="67"/>
      <c r="AB144" s="67"/>
      <c r="AC144" s="67"/>
      <c r="AD144" s="67"/>
      <c r="AE144" s="74" t="s">
        <v>213</v>
      </c>
      <c r="AF144" s="74" t="s">
        <v>213</v>
      </c>
      <c r="AG144" s="74" t="s">
        <v>213</v>
      </c>
      <c r="AH144" s="67"/>
      <c r="AI144" s="67"/>
      <c r="AJ144" s="62"/>
      <c r="AK144" s="62"/>
    </row>
    <row r="145" spans="1:37" x14ac:dyDescent="0.3">
      <c r="A145" s="65">
        <v>139</v>
      </c>
      <c r="B145" s="63">
        <v>46315</v>
      </c>
      <c r="C145" s="66" t="s">
        <v>169</v>
      </c>
      <c r="D145" s="66" t="s">
        <v>101</v>
      </c>
      <c r="E145" s="67"/>
      <c r="F145" s="67"/>
      <c r="G145" s="67"/>
      <c r="H145" s="74" t="s">
        <v>213</v>
      </c>
      <c r="I145" s="67"/>
      <c r="J145" s="74" t="s">
        <v>213</v>
      </c>
      <c r="K145" s="67"/>
      <c r="L145" s="74" t="s">
        <v>213</v>
      </c>
      <c r="M145" s="67"/>
      <c r="N145" s="74" t="s">
        <v>213</v>
      </c>
      <c r="O145" s="74" t="s">
        <v>213</v>
      </c>
      <c r="P145" s="67"/>
      <c r="Q145" s="67"/>
      <c r="R145" s="67"/>
      <c r="S145" s="74" t="s">
        <v>213</v>
      </c>
      <c r="T145" s="74" t="s">
        <v>213</v>
      </c>
      <c r="U145" s="67"/>
      <c r="V145" s="74" t="s">
        <v>213</v>
      </c>
      <c r="W145" s="67"/>
      <c r="X145" s="67" t="s">
        <v>213</v>
      </c>
      <c r="Y145" s="74" t="s">
        <v>213</v>
      </c>
      <c r="Z145" s="67"/>
      <c r="AA145" s="67"/>
      <c r="AB145" s="67"/>
      <c r="AC145" s="67"/>
      <c r="AD145" s="74" t="s">
        <v>213</v>
      </c>
      <c r="AE145" s="67"/>
      <c r="AF145" s="74" t="s">
        <v>213</v>
      </c>
      <c r="AG145" s="74" t="s">
        <v>213</v>
      </c>
      <c r="AH145" s="67"/>
      <c r="AI145" s="74" t="s">
        <v>213</v>
      </c>
      <c r="AJ145" s="80" t="str">
        <f>VLOOKUP(B145,'For A grades - 11 days'!B135:AJ319,35,0)</f>
        <v>Regional</v>
      </c>
      <c r="AK145" s="62"/>
    </row>
    <row r="146" spans="1:37" x14ac:dyDescent="0.3">
      <c r="A146" s="65">
        <v>140</v>
      </c>
      <c r="B146" s="63">
        <v>46316</v>
      </c>
      <c r="C146" s="66" t="s">
        <v>293</v>
      </c>
      <c r="D146" s="66" t="s">
        <v>97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 t="s">
        <v>213</v>
      </c>
      <c r="R146" s="67"/>
      <c r="S146" s="75"/>
      <c r="T146" s="74" t="s">
        <v>213</v>
      </c>
      <c r="U146" s="67"/>
      <c r="V146" s="67" t="s">
        <v>213</v>
      </c>
      <c r="W146" s="67"/>
      <c r="X146" s="67"/>
      <c r="Y146" s="76"/>
      <c r="Z146" s="67"/>
      <c r="AA146" s="67"/>
      <c r="AB146" s="67"/>
      <c r="AC146" s="67"/>
      <c r="AD146" s="67" t="s">
        <v>213</v>
      </c>
      <c r="AE146" s="67"/>
      <c r="AF146" s="75" t="s">
        <v>213</v>
      </c>
      <c r="AG146" s="67"/>
      <c r="AH146" s="67"/>
      <c r="AI146" s="67"/>
      <c r="AJ146" s="62"/>
      <c r="AK146" s="62"/>
    </row>
    <row r="147" spans="1:37" x14ac:dyDescent="0.3">
      <c r="A147" s="65">
        <v>141</v>
      </c>
      <c r="B147" s="63">
        <v>46320</v>
      </c>
      <c r="C147" s="66" t="s">
        <v>325</v>
      </c>
      <c r="D147" s="66" t="s">
        <v>63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75"/>
      <c r="T147" s="67" t="s">
        <v>219</v>
      </c>
      <c r="U147" s="67"/>
      <c r="V147" s="67"/>
      <c r="W147" s="67"/>
      <c r="X147" s="67"/>
      <c r="Y147" s="76"/>
      <c r="Z147" s="67"/>
      <c r="AA147" s="67"/>
      <c r="AB147" s="67"/>
      <c r="AC147" s="67"/>
      <c r="AD147" s="67"/>
      <c r="AE147" s="67"/>
      <c r="AF147" s="75"/>
      <c r="AG147" s="67"/>
      <c r="AH147" s="67"/>
      <c r="AI147" s="67"/>
      <c r="AJ147" s="62"/>
      <c r="AK147" s="62"/>
    </row>
    <row r="148" spans="1:37" x14ac:dyDescent="0.3">
      <c r="A148" s="65">
        <v>142</v>
      </c>
      <c r="B148" s="63">
        <v>46321</v>
      </c>
      <c r="C148" s="66" t="s">
        <v>317</v>
      </c>
      <c r="D148" s="66" t="s">
        <v>98</v>
      </c>
      <c r="E148" s="67"/>
      <c r="F148" s="67"/>
      <c r="G148" s="67"/>
      <c r="H148" s="74" t="s">
        <v>213</v>
      </c>
      <c r="I148" s="67"/>
      <c r="J148" s="67"/>
      <c r="K148" s="67"/>
      <c r="L148" s="67"/>
      <c r="M148" s="67"/>
      <c r="N148" s="67" t="s">
        <v>213</v>
      </c>
      <c r="O148" s="67" t="s">
        <v>213</v>
      </c>
      <c r="P148" s="67"/>
      <c r="Q148" s="67"/>
      <c r="R148" s="67"/>
      <c r="S148" s="75"/>
      <c r="T148" s="67"/>
      <c r="U148" s="67"/>
      <c r="V148" s="67"/>
      <c r="W148" s="67" t="s">
        <v>213</v>
      </c>
      <c r="X148" s="67"/>
      <c r="Y148" s="76"/>
      <c r="Z148" s="67"/>
      <c r="AA148" s="67"/>
      <c r="AB148" s="67"/>
      <c r="AC148" s="67"/>
      <c r="AD148" s="67"/>
      <c r="AE148" s="67"/>
      <c r="AF148" s="75"/>
      <c r="AG148" s="67"/>
      <c r="AH148" s="67"/>
      <c r="AI148" s="67"/>
      <c r="AJ148" s="62"/>
      <c r="AK148" s="62"/>
    </row>
    <row r="149" spans="1:37" x14ac:dyDescent="0.3">
      <c r="A149" s="65">
        <v>143</v>
      </c>
      <c r="B149" s="63">
        <v>46324</v>
      </c>
      <c r="C149" s="66" t="s">
        <v>268</v>
      </c>
      <c r="D149" s="66" t="s">
        <v>96</v>
      </c>
      <c r="E149" s="67"/>
      <c r="F149" s="67"/>
      <c r="G149" s="67"/>
      <c r="H149" s="67" t="s">
        <v>213</v>
      </c>
      <c r="I149" s="67"/>
      <c r="J149" s="67"/>
      <c r="K149" s="67"/>
      <c r="L149" s="67"/>
      <c r="M149" s="67"/>
      <c r="N149" s="67"/>
      <c r="O149" s="67" t="s">
        <v>213</v>
      </c>
      <c r="P149" s="67"/>
      <c r="Q149" s="67"/>
      <c r="R149" s="67"/>
      <c r="S149" s="75"/>
      <c r="T149" s="67"/>
      <c r="U149" s="67"/>
      <c r="V149" s="67"/>
      <c r="W149" s="67"/>
      <c r="X149" s="67"/>
      <c r="Y149" s="76"/>
      <c r="Z149" s="67"/>
      <c r="AA149" s="67"/>
      <c r="AB149" s="67"/>
      <c r="AC149" s="67"/>
      <c r="AD149" s="67"/>
      <c r="AE149" s="67"/>
      <c r="AF149" s="75"/>
      <c r="AG149" s="67"/>
      <c r="AH149" s="67"/>
      <c r="AI149" s="67"/>
      <c r="AJ149" s="62"/>
      <c r="AK149" s="62"/>
    </row>
    <row r="150" spans="1:37" x14ac:dyDescent="0.3">
      <c r="A150" s="65">
        <v>144</v>
      </c>
      <c r="B150" s="63">
        <v>46326</v>
      </c>
      <c r="C150" s="66" t="s">
        <v>329</v>
      </c>
      <c r="D150" s="66" t="s">
        <v>64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 t="s">
        <v>219</v>
      </c>
      <c r="O150" s="67"/>
      <c r="P150" s="67"/>
      <c r="Q150" s="67"/>
      <c r="R150" s="67"/>
      <c r="S150" s="75"/>
      <c r="T150" s="67"/>
      <c r="U150" s="67"/>
      <c r="V150" s="67"/>
      <c r="W150" s="67"/>
      <c r="X150" s="67"/>
      <c r="Y150" s="76"/>
      <c r="Z150" s="67"/>
      <c r="AA150" s="67"/>
      <c r="AB150" s="67"/>
      <c r="AC150" s="67"/>
      <c r="AD150" s="67"/>
      <c r="AE150" s="67"/>
      <c r="AF150" s="75"/>
      <c r="AG150" s="67"/>
      <c r="AH150" s="67"/>
      <c r="AI150" s="67"/>
      <c r="AJ150" s="62" t="str">
        <f>VLOOKUP(B150,'For A grades - 11 days'!B140:AJ324,35,0)</f>
        <v>Regional-WE</v>
      </c>
      <c r="AK150" s="62"/>
    </row>
    <row r="151" spans="1:37" x14ac:dyDescent="0.3">
      <c r="A151" s="65">
        <v>145</v>
      </c>
      <c r="B151" s="63">
        <v>46327</v>
      </c>
      <c r="C151" s="66" t="s">
        <v>320</v>
      </c>
      <c r="D151" s="66" t="s">
        <v>63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75"/>
      <c r="T151" s="67"/>
      <c r="U151" s="67"/>
      <c r="V151" s="67"/>
      <c r="W151" s="75" t="s">
        <v>219</v>
      </c>
      <c r="X151" s="67"/>
      <c r="Y151" s="76"/>
      <c r="Z151" s="67"/>
      <c r="AA151" s="67"/>
      <c r="AB151" s="67"/>
      <c r="AC151" s="67"/>
      <c r="AD151" s="67"/>
      <c r="AE151" s="67" t="s">
        <v>219</v>
      </c>
      <c r="AF151" s="67" t="s">
        <v>219</v>
      </c>
      <c r="AG151" s="67"/>
      <c r="AH151" s="67"/>
      <c r="AI151" s="67"/>
      <c r="AJ151" s="62"/>
      <c r="AK151" s="62"/>
    </row>
    <row r="152" spans="1:37" x14ac:dyDescent="0.3">
      <c r="A152" s="65">
        <v>146</v>
      </c>
      <c r="B152" s="63">
        <v>46328</v>
      </c>
      <c r="C152" s="66" t="s">
        <v>311</v>
      </c>
      <c r="D152" s="66" t="s">
        <v>98</v>
      </c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75"/>
      <c r="T152" s="67"/>
      <c r="U152" s="67"/>
      <c r="V152" s="67"/>
      <c r="W152" s="67"/>
      <c r="X152" s="67"/>
      <c r="Y152" s="76"/>
      <c r="Z152" s="67"/>
      <c r="AA152" s="67" t="s">
        <v>213</v>
      </c>
      <c r="AB152" s="67"/>
      <c r="AC152" s="67"/>
      <c r="AD152" s="67"/>
      <c r="AE152" s="67"/>
      <c r="AF152" s="75"/>
      <c r="AG152" s="67"/>
      <c r="AH152" s="67"/>
      <c r="AI152" s="67"/>
      <c r="AJ152" s="62"/>
      <c r="AK152" s="62"/>
    </row>
    <row r="153" spans="1:37" x14ac:dyDescent="0.3">
      <c r="A153" s="65">
        <v>147</v>
      </c>
      <c r="B153" s="63">
        <v>46333</v>
      </c>
      <c r="C153" s="66" t="s">
        <v>269</v>
      </c>
      <c r="D153" s="66" t="s">
        <v>64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 t="s">
        <v>219</v>
      </c>
      <c r="P153" s="67"/>
      <c r="Q153" s="67"/>
      <c r="R153" s="67"/>
      <c r="S153" s="75"/>
      <c r="T153" s="67"/>
      <c r="U153" s="67"/>
      <c r="V153" s="67"/>
      <c r="W153" s="67"/>
      <c r="X153" s="67"/>
      <c r="Y153" s="76"/>
      <c r="Z153" s="67"/>
      <c r="AA153" s="67"/>
      <c r="AB153" s="67"/>
      <c r="AC153" s="67"/>
      <c r="AD153" s="67"/>
      <c r="AE153" s="67"/>
      <c r="AF153" s="75"/>
      <c r="AG153" s="67"/>
      <c r="AH153" s="67"/>
      <c r="AI153" s="67"/>
      <c r="AJ153" s="62" t="str">
        <f>VLOOKUP(B153,'For A grades - 11 days'!B143:AJ327,35,0)</f>
        <v>Optional-WE</v>
      </c>
      <c r="AK153" s="62"/>
    </row>
    <row r="154" spans="1:37" ht="20" customHeight="1" x14ac:dyDescent="0.3">
      <c r="A154" s="65">
        <v>148</v>
      </c>
      <c r="B154" s="63">
        <v>46334</v>
      </c>
      <c r="C154" s="66" t="s">
        <v>184</v>
      </c>
      <c r="D154" s="67" t="s">
        <v>63</v>
      </c>
      <c r="E154" s="67"/>
      <c r="F154" s="67"/>
      <c r="G154" s="67"/>
      <c r="H154" s="67" t="s">
        <v>219</v>
      </c>
      <c r="I154" s="67"/>
      <c r="J154" s="67" t="s">
        <v>219</v>
      </c>
      <c r="K154" s="67"/>
      <c r="L154" s="67" t="s">
        <v>219</v>
      </c>
      <c r="M154" s="67"/>
      <c r="N154" s="67" t="s">
        <v>219</v>
      </c>
      <c r="O154" s="67" t="s">
        <v>219</v>
      </c>
      <c r="P154" s="67"/>
      <c r="Q154" s="67" t="s">
        <v>219</v>
      </c>
      <c r="R154" s="67"/>
      <c r="S154" s="67" t="s">
        <v>219</v>
      </c>
      <c r="T154" s="67" t="s">
        <v>219</v>
      </c>
      <c r="U154" s="67"/>
      <c r="V154" s="67" t="s">
        <v>219</v>
      </c>
      <c r="W154" s="67"/>
      <c r="X154" s="67" t="s">
        <v>219</v>
      </c>
      <c r="Y154" s="75" t="s">
        <v>219</v>
      </c>
      <c r="Z154" s="67"/>
      <c r="AA154" s="67"/>
      <c r="AB154" s="67"/>
      <c r="AC154" s="67"/>
      <c r="AD154" s="67"/>
      <c r="AE154" s="67" t="s">
        <v>219</v>
      </c>
      <c r="AF154" s="67" t="s">
        <v>219</v>
      </c>
      <c r="AG154" s="67" t="s">
        <v>219</v>
      </c>
      <c r="AH154" s="67"/>
      <c r="AI154" s="67" t="s">
        <v>219</v>
      </c>
      <c r="AJ154" s="62" t="str">
        <f>VLOOKUP(B154,'For A grades - 11 days'!B144:AJ328,35,0)</f>
        <v>Regional-WE</v>
      </c>
      <c r="AK154" s="62"/>
    </row>
    <row r="155" spans="1:37" ht="20" customHeight="1" x14ac:dyDescent="0.3">
      <c r="A155" s="65">
        <v>149</v>
      </c>
      <c r="B155" s="63">
        <v>46335</v>
      </c>
      <c r="C155" s="66" t="s">
        <v>205</v>
      </c>
      <c r="D155" s="66" t="s">
        <v>98</v>
      </c>
      <c r="E155" s="67"/>
      <c r="F155" s="67"/>
      <c r="G155" s="67"/>
      <c r="H155" s="67" t="s">
        <v>215</v>
      </c>
      <c r="I155" s="67"/>
      <c r="J155" s="67"/>
      <c r="K155" s="67"/>
      <c r="L155" s="67" t="s">
        <v>213</v>
      </c>
      <c r="M155" s="67"/>
      <c r="N155" s="67" t="s">
        <v>213</v>
      </c>
      <c r="O155" s="67" t="s">
        <v>213</v>
      </c>
      <c r="P155" s="67"/>
      <c r="Q155" s="67"/>
      <c r="R155" s="67"/>
      <c r="S155" s="75"/>
      <c r="T155" s="67"/>
      <c r="U155" s="67"/>
      <c r="V155" s="67"/>
      <c r="W155" s="74" t="s">
        <v>213</v>
      </c>
      <c r="X155" s="67"/>
      <c r="Y155" s="76"/>
      <c r="Z155" s="67"/>
      <c r="AA155" s="67"/>
      <c r="AB155" s="67"/>
      <c r="AC155" s="67"/>
      <c r="AD155" s="67"/>
      <c r="AE155" s="67"/>
      <c r="AF155" s="75"/>
      <c r="AG155" s="67"/>
      <c r="AH155" s="67"/>
      <c r="AI155" s="67"/>
      <c r="AJ155" s="62"/>
      <c r="AK155" s="62"/>
    </row>
    <row r="156" spans="1:37" x14ac:dyDescent="0.3">
      <c r="A156" s="65">
        <v>150</v>
      </c>
      <c r="B156" s="63">
        <v>46336</v>
      </c>
      <c r="C156" s="66" t="s">
        <v>171</v>
      </c>
      <c r="D156" s="66" t="s">
        <v>101</v>
      </c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 t="s">
        <v>213</v>
      </c>
      <c r="R156" s="67"/>
      <c r="S156" s="75"/>
      <c r="T156" s="67"/>
      <c r="U156" s="67"/>
      <c r="V156" s="67"/>
      <c r="W156" s="67"/>
      <c r="X156" s="67"/>
      <c r="Y156" s="76"/>
      <c r="Z156" s="67"/>
      <c r="AA156" s="67"/>
      <c r="AB156" s="67"/>
      <c r="AC156" s="67"/>
      <c r="AD156" s="67" t="s">
        <v>213</v>
      </c>
      <c r="AE156" s="67"/>
      <c r="AF156" s="75" t="s">
        <v>213</v>
      </c>
      <c r="AG156" s="67"/>
      <c r="AH156" s="67"/>
      <c r="AI156" s="67"/>
      <c r="AJ156" s="62" t="str">
        <f>VLOOKUP(B156,'For A grades - 11 days'!B146:AJ330,35,0)</f>
        <v>Regional</v>
      </c>
      <c r="AK156" s="62"/>
    </row>
    <row r="157" spans="1:37" x14ac:dyDescent="0.3">
      <c r="A157" s="65">
        <v>151</v>
      </c>
      <c r="B157" s="63">
        <v>46337</v>
      </c>
      <c r="C157" s="66" t="s">
        <v>197</v>
      </c>
      <c r="D157" s="66" t="s">
        <v>97</v>
      </c>
      <c r="E157" s="67"/>
      <c r="F157" s="67"/>
      <c r="G157" s="67"/>
      <c r="H157" s="67" t="s">
        <v>213</v>
      </c>
      <c r="I157" s="67"/>
      <c r="J157" s="67"/>
      <c r="K157" s="67"/>
      <c r="L157" s="67" t="s">
        <v>213</v>
      </c>
      <c r="M157" s="67"/>
      <c r="N157" s="67" t="s">
        <v>213</v>
      </c>
      <c r="O157" s="67" t="s">
        <v>213</v>
      </c>
      <c r="P157" s="67"/>
      <c r="Q157" s="67"/>
      <c r="R157" s="67"/>
      <c r="S157" s="75"/>
      <c r="T157" s="67" t="s">
        <v>213</v>
      </c>
      <c r="U157" s="67"/>
      <c r="V157" s="67" t="s">
        <v>213</v>
      </c>
      <c r="W157" s="67" t="s">
        <v>213</v>
      </c>
      <c r="X157" s="67"/>
      <c r="Y157" s="76"/>
      <c r="Z157" s="67"/>
      <c r="AA157" s="67"/>
      <c r="AB157" s="67"/>
      <c r="AC157" s="67"/>
      <c r="AD157" s="67"/>
      <c r="AE157" s="67"/>
      <c r="AF157" s="75"/>
      <c r="AG157" s="67"/>
      <c r="AH157" s="67"/>
      <c r="AI157" s="67"/>
      <c r="AJ157" s="62" t="str">
        <f>VLOOKUP(B157,'For A grades - 11 days'!B147:AJ331,35,0)</f>
        <v>Regional</v>
      </c>
      <c r="AK157" s="62"/>
    </row>
    <row r="158" spans="1:37" x14ac:dyDescent="0.3">
      <c r="A158" s="65">
        <v>152</v>
      </c>
      <c r="B158" s="63">
        <v>46338</v>
      </c>
      <c r="C158" s="66" t="s">
        <v>190</v>
      </c>
      <c r="D158" s="66" t="s">
        <v>191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75"/>
      <c r="T158" s="67"/>
      <c r="U158" s="67"/>
      <c r="V158" s="67"/>
      <c r="W158" s="67"/>
      <c r="X158" s="67"/>
      <c r="Y158" s="76"/>
      <c r="Z158" s="67"/>
      <c r="AA158" s="67"/>
      <c r="AB158" s="67"/>
      <c r="AC158" s="67"/>
      <c r="AD158" s="67"/>
      <c r="AE158" s="67"/>
      <c r="AF158" s="75"/>
      <c r="AG158" s="67"/>
      <c r="AH158" s="67"/>
      <c r="AI158" s="67"/>
      <c r="AJ158" s="62"/>
      <c r="AK158" s="62"/>
    </row>
    <row r="159" spans="1:37" x14ac:dyDescent="0.3">
      <c r="A159" s="65">
        <v>153</v>
      </c>
      <c r="B159" s="63">
        <v>46339</v>
      </c>
      <c r="C159" s="66" t="s">
        <v>157</v>
      </c>
      <c r="D159" s="66" t="s">
        <v>127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75"/>
      <c r="T159" s="67"/>
      <c r="U159" s="67"/>
      <c r="V159" s="67"/>
      <c r="W159" s="67"/>
      <c r="X159" s="74" t="s">
        <v>213</v>
      </c>
      <c r="Y159" s="76"/>
      <c r="Z159" s="67"/>
      <c r="AA159" s="67"/>
      <c r="AB159" s="67"/>
      <c r="AC159" s="67"/>
      <c r="AD159" s="67"/>
      <c r="AE159" s="67"/>
      <c r="AF159" s="75"/>
      <c r="AG159" s="67"/>
      <c r="AH159" s="67"/>
      <c r="AI159" s="67"/>
      <c r="AJ159" s="62"/>
      <c r="AK159" s="62"/>
    </row>
    <row r="160" spans="1:37" x14ac:dyDescent="0.3">
      <c r="A160" s="65">
        <v>154</v>
      </c>
      <c r="B160" s="63">
        <v>46341</v>
      </c>
      <c r="C160" s="66" t="s">
        <v>154</v>
      </c>
      <c r="D160" s="66" t="s">
        <v>63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 t="s">
        <v>219</v>
      </c>
      <c r="O160" s="67"/>
      <c r="P160" s="67"/>
      <c r="Q160" s="67" t="s">
        <v>219</v>
      </c>
      <c r="R160" s="67"/>
      <c r="S160" s="75"/>
      <c r="T160" s="67" t="s">
        <v>219</v>
      </c>
      <c r="U160" s="67"/>
      <c r="V160" s="67" t="s">
        <v>219</v>
      </c>
      <c r="W160" s="67"/>
      <c r="X160" s="67"/>
      <c r="Y160" s="76"/>
      <c r="Z160" s="67"/>
      <c r="AA160" s="67"/>
      <c r="AB160" s="67"/>
      <c r="AC160" s="67"/>
      <c r="AD160" s="67"/>
      <c r="AE160" s="67"/>
      <c r="AF160" s="75"/>
      <c r="AG160" s="67"/>
      <c r="AH160" s="67"/>
      <c r="AI160" s="67"/>
      <c r="AJ160" s="62"/>
      <c r="AK160" s="62"/>
    </row>
    <row r="161" spans="1:37" x14ac:dyDescent="0.3">
      <c r="A161" s="65">
        <v>155</v>
      </c>
      <c r="B161" s="63">
        <v>46342</v>
      </c>
      <c r="C161" s="66" t="s">
        <v>270</v>
      </c>
      <c r="D161" s="66" t="s">
        <v>98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 t="s">
        <v>213</v>
      </c>
      <c r="O161" s="67" t="s">
        <v>213</v>
      </c>
      <c r="P161" s="67"/>
      <c r="Q161" s="74" t="s">
        <v>213</v>
      </c>
      <c r="R161" s="67"/>
      <c r="S161" s="75"/>
      <c r="T161" s="67"/>
      <c r="U161" s="67"/>
      <c r="V161" s="67"/>
      <c r="W161" s="67"/>
      <c r="X161" s="67"/>
      <c r="Y161" s="76"/>
      <c r="Z161" s="67"/>
      <c r="AA161" s="67"/>
      <c r="AB161" s="67"/>
      <c r="AC161" s="67"/>
      <c r="AD161" s="67"/>
      <c r="AE161" s="67"/>
      <c r="AF161" s="75"/>
      <c r="AG161" s="67"/>
      <c r="AH161" s="67"/>
      <c r="AI161" s="67"/>
      <c r="AJ161" s="62"/>
      <c r="AK161" s="62"/>
    </row>
    <row r="162" spans="1:37" x14ac:dyDescent="0.3">
      <c r="A162" s="65">
        <v>156</v>
      </c>
      <c r="B162" s="63">
        <v>46346</v>
      </c>
      <c r="C162" s="66" t="s">
        <v>271</v>
      </c>
      <c r="D162" s="66" t="s">
        <v>127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 t="s">
        <v>213</v>
      </c>
      <c r="P162" s="67"/>
      <c r="Q162" s="67"/>
      <c r="R162" s="67"/>
      <c r="S162" s="75"/>
      <c r="T162" s="67"/>
      <c r="U162" s="67"/>
      <c r="V162" s="67"/>
      <c r="W162" s="67"/>
      <c r="X162" s="67"/>
      <c r="Y162" s="76"/>
      <c r="Z162" s="67"/>
      <c r="AA162" s="67"/>
      <c r="AB162" s="67"/>
      <c r="AC162" s="67"/>
      <c r="AD162" s="67"/>
      <c r="AE162" s="67"/>
      <c r="AF162" s="75"/>
      <c r="AG162" s="67"/>
      <c r="AH162" s="67"/>
      <c r="AI162" s="67"/>
      <c r="AJ162" s="62"/>
      <c r="AK162" s="62"/>
    </row>
    <row r="163" spans="1:37" x14ac:dyDescent="0.3">
      <c r="A163" s="65">
        <v>157</v>
      </c>
      <c r="B163" s="63">
        <v>46349</v>
      </c>
      <c r="C163" s="66" t="s">
        <v>158</v>
      </c>
      <c r="D163" s="66" t="s">
        <v>98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75"/>
      <c r="T163" s="67"/>
      <c r="U163" s="67"/>
      <c r="V163" s="67"/>
      <c r="W163" s="67"/>
      <c r="X163" s="67"/>
      <c r="Y163" s="76"/>
      <c r="Z163" s="67"/>
      <c r="AA163" s="67"/>
      <c r="AB163" s="67"/>
      <c r="AC163" s="67"/>
      <c r="AD163" s="67"/>
      <c r="AE163" s="67"/>
      <c r="AF163" s="75"/>
      <c r="AG163" s="67"/>
      <c r="AH163" s="67"/>
      <c r="AI163" s="67"/>
      <c r="AJ163" s="62"/>
      <c r="AK163" s="62"/>
    </row>
    <row r="164" spans="1:37" x14ac:dyDescent="0.3">
      <c r="A164" s="65">
        <v>158</v>
      </c>
      <c r="B164" s="63">
        <v>46350</v>
      </c>
      <c r="C164" s="66" t="s">
        <v>295</v>
      </c>
      <c r="D164" s="66" t="s">
        <v>101</v>
      </c>
      <c r="E164" s="67"/>
      <c r="F164" s="67"/>
      <c r="G164" s="67"/>
      <c r="H164" s="74" t="s">
        <v>213</v>
      </c>
      <c r="I164" s="67"/>
      <c r="J164" s="74" t="s">
        <v>213</v>
      </c>
      <c r="K164" s="67"/>
      <c r="L164" s="67" t="s">
        <v>213</v>
      </c>
      <c r="M164" s="67"/>
      <c r="N164" s="74" t="s">
        <v>213</v>
      </c>
      <c r="O164" s="67" t="s">
        <v>213</v>
      </c>
      <c r="P164" s="67"/>
      <c r="Q164" s="67"/>
      <c r="R164" s="67"/>
      <c r="S164" s="74" t="s">
        <v>213</v>
      </c>
      <c r="T164" s="74" t="s">
        <v>213</v>
      </c>
      <c r="U164" s="67"/>
      <c r="V164" s="67" t="s">
        <v>213</v>
      </c>
      <c r="W164" s="67"/>
      <c r="X164" s="67"/>
      <c r="Y164" s="75" t="s">
        <v>213</v>
      </c>
      <c r="Z164" s="67"/>
      <c r="AA164" s="67" t="s">
        <v>213</v>
      </c>
      <c r="AB164" s="67"/>
      <c r="AC164" s="67"/>
      <c r="AD164" s="67" t="s">
        <v>213</v>
      </c>
      <c r="AE164" s="67"/>
      <c r="AF164" s="74" t="s">
        <v>213</v>
      </c>
      <c r="AG164" s="67"/>
      <c r="AH164" s="67"/>
      <c r="AI164" s="67"/>
      <c r="AJ164" s="80" t="str">
        <f>VLOOKUP(B164,'For A grades - 11 days'!B154:AJ338,35,0)</f>
        <v>Regional</v>
      </c>
      <c r="AK164" s="62"/>
    </row>
    <row r="165" spans="1:37" x14ac:dyDescent="0.3">
      <c r="A165" s="65">
        <v>159</v>
      </c>
      <c r="B165" s="63">
        <v>46352</v>
      </c>
      <c r="C165" s="66" t="s">
        <v>229</v>
      </c>
      <c r="D165" s="66" t="s">
        <v>96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75"/>
      <c r="T165" s="67"/>
      <c r="U165" s="67"/>
      <c r="V165" s="67"/>
      <c r="W165" s="67"/>
      <c r="X165" s="67"/>
      <c r="Y165" s="76"/>
      <c r="Z165" s="67"/>
      <c r="AA165" s="67"/>
      <c r="AB165" s="67"/>
      <c r="AC165" s="67"/>
      <c r="AD165" s="67" t="s">
        <v>213</v>
      </c>
      <c r="AE165" s="67"/>
      <c r="AF165" s="75" t="s">
        <v>213</v>
      </c>
      <c r="AG165" s="67"/>
      <c r="AH165" s="67"/>
      <c r="AI165" s="67"/>
      <c r="AJ165" s="62"/>
      <c r="AK165" s="62"/>
    </row>
    <row r="166" spans="1:37" x14ac:dyDescent="0.3">
      <c r="A166" s="65">
        <v>160</v>
      </c>
      <c r="B166" s="63">
        <v>46353</v>
      </c>
      <c r="C166" s="66" t="s">
        <v>140</v>
      </c>
      <c r="D166" s="66" t="s">
        <v>127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75"/>
      <c r="T166" s="67"/>
      <c r="U166" s="67"/>
      <c r="V166" s="67"/>
      <c r="W166" s="67"/>
      <c r="X166" s="67"/>
      <c r="Y166" s="76"/>
      <c r="Z166" s="67"/>
      <c r="AA166" s="67"/>
      <c r="AB166" s="67"/>
      <c r="AC166" s="67"/>
      <c r="AD166" s="67" t="s">
        <v>213</v>
      </c>
      <c r="AE166" s="67"/>
      <c r="AF166" s="75" t="s">
        <v>213</v>
      </c>
      <c r="AG166" s="67"/>
      <c r="AH166" s="67"/>
      <c r="AI166" s="67"/>
      <c r="AJ166" s="62"/>
      <c r="AK166" s="62"/>
    </row>
    <row r="167" spans="1:37" x14ac:dyDescent="0.3">
      <c r="A167" s="65">
        <v>161</v>
      </c>
      <c r="B167" s="63">
        <v>46358</v>
      </c>
      <c r="C167" s="66" t="s">
        <v>301</v>
      </c>
      <c r="D167" s="66" t="s">
        <v>97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75"/>
      <c r="T167" s="67"/>
      <c r="U167" s="67"/>
      <c r="V167" s="67" t="s">
        <v>213</v>
      </c>
      <c r="W167" s="67"/>
      <c r="X167" s="67"/>
      <c r="Y167" s="76"/>
      <c r="Z167" s="67"/>
      <c r="AA167" s="67"/>
      <c r="AB167" s="67"/>
      <c r="AC167" s="67"/>
      <c r="AD167" s="67"/>
      <c r="AE167" s="67"/>
      <c r="AF167" s="75"/>
      <c r="AG167" s="67"/>
      <c r="AH167" s="67"/>
      <c r="AI167" s="67"/>
      <c r="AJ167" s="62"/>
      <c r="AK167" s="62"/>
    </row>
    <row r="168" spans="1:37" x14ac:dyDescent="0.3">
      <c r="A168" s="65">
        <v>162</v>
      </c>
      <c r="B168" s="63">
        <v>46359</v>
      </c>
      <c r="C168" s="66" t="s">
        <v>147</v>
      </c>
      <c r="D168" s="66" t="s">
        <v>96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75"/>
      <c r="T168" s="67"/>
      <c r="U168" s="67"/>
      <c r="V168" s="67"/>
      <c r="W168" s="67"/>
      <c r="X168" s="67"/>
      <c r="Y168" s="76"/>
      <c r="Z168" s="67"/>
      <c r="AA168" s="67"/>
      <c r="AB168" s="67"/>
      <c r="AC168" s="67"/>
      <c r="AD168" s="67"/>
      <c r="AE168" s="67"/>
      <c r="AF168" s="75"/>
      <c r="AG168" s="67"/>
      <c r="AH168" s="67"/>
      <c r="AI168" s="74" t="s">
        <v>213</v>
      </c>
      <c r="AJ168" s="62"/>
      <c r="AK168" s="62"/>
    </row>
    <row r="169" spans="1:37" x14ac:dyDescent="0.3">
      <c r="A169" s="65">
        <v>163</v>
      </c>
      <c r="B169" s="63">
        <v>46365</v>
      </c>
      <c r="C169" s="66" t="s">
        <v>195</v>
      </c>
      <c r="D169" s="66" t="s">
        <v>97</v>
      </c>
      <c r="E169" s="67"/>
      <c r="F169" s="67"/>
      <c r="G169" s="67"/>
      <c r="H169" s="67"/>
      <c r="I169" s="67"/>
      <c r="J169" s="74" t="s">
        <v>213</v>
      </c>
      <c r="K169" s="67"/>
      <c r="L169" s="67"/>
      <c r="M169" s="67"/>
      <c r="N169" s="67"/>
      <c r="O169" s="67"/>
      <c r="P169" s="67"/>
      <c r="Q169" s="67"/>
      <c r="R169" s="67"/>
      <c r="S169" s="75"/>
      <c r="T169" s="67"/>
      <c r="U169" s="67"/>
      <c r="V169" s="67"/>
      <c r="W169" s="67"/>
      <c r="X169" s="67"/>
      <c r="Y169" s="76"/>
      <c r="Z169" s="67"/>
      <c r="AA169" s="67"/>
      <c r="AB169" s="67"/>
      <c r="AC169" s="67"/>
      <c r="AD169" s="67"/>
      <c r="AE169" s="67"/>
      <c r="AF169" s="75"/>
      <c r="AG169" s="67"/>
      <c r="AH169" s="67"/>
      <c r="AI169" s="74"/>
      <c r="AJ169" s="62"/>
      <c r="AK169" s="62"/>
    </row>
    <row r="170" spans="1:37" x14ac:dyDescent="0.3">
      <c r="A170" s="65">
        <v>164</v>
      </c>
      <c r="B170" s="63">
        <v>46366</v>
      </c>
      <c r="C170" s="66" t="s">
        <v>319</v>
      </c>
      <c r="D170" s="66" t="s">
        <v>96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 t="s">
        <v>213</v>
      </c>
      <c r="P170" s="67"/>
      <c r="Q170" s="67"/>
      <c r="R170" s="67"/>
      <c r="S170" s="75"/>
      <c r="T170" s="67"/>
      <c r="U170" s="67"/>
      <c r="V170" s="67"/>
      <c r="W170" s="67"/>
      <c r="X170" s="67"/>
      <c r="Y170" s="76"/>
      <c r="Z170" s="67"/>
      <c r="AA170" s="74" t="s">
        <v>213</v>
      </c>
      <c r="AB170" s="67"/>
      <c r="AC170" s="67"/>
      <c r="AD170" s="67"/>
      <c r="AE170" s="67"/>
      <c r="AF170" s="75"/>
      <c r="AG170" s="67"/>
      <c r="AH170" s="67"/>
      <c r="AI170" s="67"/>
      <c r="AJ170" s="62"/>
      <c r="AK170" s="62"/>
    </row>
    <row r="171" spans="1:37" x14ac:dyDescent="0.3">
      <c r="A171" s="65">
        <v>165</v>
      </c>
      <c r="B171" s="63">
        <v>46367</v>
      </c>
      <c r="C171" s="66" t="s">
        <v>312</v>
      </c>
      <c r="D171" s="66" t="s">
        <v>127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75"/>
      <c r="T171" s="67"/>
      <c r="U171" s="67"/>
      <c r="V171" s="67"/>
      <c r="W171" s="67"/>
      <c r="X171" s="67"/>
      <c r="Y171" s="76"/>
      <c r="Z171" s="67"/>
      <c r="AA171" s="74" t="s">
        <v>213</v>
      </c>
      <c r="AB171" s="67"/>
      <c r="AC171" s="67"/>
      <c r="AD171" s="67"/>
      <c r="AE171" s="67"/>
      <c r="AF171" s="75"/>
      <c r="AG171" s="67"/>
      <c r="AH171" s="67"/>
      <c r="AI171" s="67"/>
      <c r="AJ171" s="62"/>
      <c r="AK171" s="62"/>
    </row>
    <row r="172" spans="1:37" x14ac:dyDescent="0.3">
      <c r="A172" s="65">
        <v>166</v>
      </c>
      <c r="B172" s="63">
        <v>46368</v>
      </c>
      <c r="C172" s="66" t="s">
        <v>159</v>
      </c>
      <c r="D172" s="66" t="s">
        <v>64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75"/>
      <c r="T172" s="67"/>
      <c r="U172" s="67"/>
      <c r="V172" s="67"/>
      <c r="W172" s="75" t="s">
        <v>219</v>
      </c>
      <c r="X172" s="67" t="s">
        <v>219</v>
      </c>
      <c r="Y172" s="76"/>
      <c r="Z172" s="67"/>
      <c r="AA172" s="67"/>
      <c r="AB172" s="67"/>
      <c r="AC172" s="67"/>
      <c r="AD172" s="67"/>
      <c r="AE172" s="67"/>
      <c r="AF172" s="75"/>
      <c r="AG172" s="67"/>
      <c r="AH172" s="67"/>
      <c r="AI172" s="67"/>
      <c r="AJ172" s="62"/>
      <c r="AK172" s="62"/>
    </row>
    <row r="173" spans="1:37" x14ac:dyDescent="0.3">
      <c r="A173" s="65">
        <v>167</v>
      </c>
      <c r="B173" s="63">
        <v>46369</v>
      </c>
      <c r="C173" s="66" t="s">
        <v>294</v>
      </c>
      <c r="D173" s="66" t="s">
        <v>96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 t="s">
        <v>213</v>
      </c>
      <c r="R173" s="67"/>
      <c r="S173" s="75"/>
      <c r="T173" s="67"/>
      <c r="U173" s="67"/>
      <c r="V173" s="67"/>
      <c r="W173" s="67"/>
      <c r="X173" s="67"/>
      <c r="Y173" s="76"/>
      <c r="Z173" s="67"/>
      <c r="AA173" s="67"/>
      <c r="AB173" s="67"/>
      <c r="AC173" s="67"/>
      <c r="AD173" s="67"/>
      <c r="AE173" s="67"/>
      <c r="AF173" s="75"/>
      <c r="AG173" s="67"/>
      <c r="AH173" s="67"/>
      <c r="AI173" s="67"/>
      <c r="AJ173" s="62"/>
      <c r="AK173" s="62"/>
    </row>
    <row r="174" spans="1:37" x14ac:dyDescent="0.3">
      <c r="A174" s="65">
        <v>168</v>
      </c>
      <c r="B174" s="63">
        <v>46370</v>
      </c>
      <c r="C174" s="66" t="s">
        <v>273</v>
      </c>
      <c r="D174" s="66" t="s">
        <v>98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 t="s">
        <v>213</v>
      </c>
      <c r="P174" s="67"/>
      <c r="Q174" s="67"/>
      <c r="R174" s="67"/>
      <c r="S174" s="75"/>
      <c r="T174" s="67"/>
      <c r="U174" s="67"/>
      <c r="V174" s="67"/>
      <c r="W174" s="67"/>
      <c r="X174" s="67"/>
      <c r="Y174" s="76"/>
      <c r="Z174" s="67"/>
      <c r="AA174" s="67"/>
      <c r="AB174" s="67"/>
      <c r="AC174" s="67"/>
      <c r="AD174" s="67"/>
      <c r="AE174" s="67"/>
      <c r="AF174" s="75"/>
      <c r="AG174" s="67"/>
      <c r="AH174" s="67"/>
      <c r="AI174" s="67"/>
      <c r="AJ174" s="62"/>
      <c r="AK174" s="62"/>
    </row>
    <row r="175" spans="1:37" x14ac:dyDescent="0.3">
      <c r="A175" s="65">
        <v>169</v>
      </c>
      <c r="B175" s="63">
        <v>46371</v>
      </c>
      <c r="C175" s="66" t="s">
        <v>313</v>
      </c>
      <c r="D175" s="66" t="s">
        <v>101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75"/>
      <c r="T175" s="67"/>
      <c r="U175" s="67"/>
      <c r="V175" s="67"/>
      <c r="W175" s="67"/>
      <c r="X175" s="67"/>
      <c r="Y175" s="76"/>
      <c r="Z175" s="67"/>
      <c r="AA175" s="67" t="s">
        <v>213</v>
      </c>
      <c r="AB175" s="67"/>
      <c r="AC175" s="67"/>
      <c r="AD175" s="67"/>
      <c r="AE175" s="67"/>
      <c r="AF175" s="75"/>
      <c r="AG175" s="67"/>
      <c r="AH175" s="67"/>
      <c r="AI175" s="67"/>
      <c r="AJ175" s="62"/>
      <c r="AK175" s="62"/>
    </row>
    <row r="176" spans="1:37" x14ac:dyDescent="0.3">
      <c r="A176" s="65">
        <v>170</v>
      </c>
      <c r="B176" s="63">
        <v>46372</v>
      </c>
      <c r="C176" s="66" t="s">
        <v>314</v>
      </c>
      <c r="D176" s="66" t="s">
        <v>97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 t="s">
        <v>213</v>
      </c>
      <c r="O176" s="67"/>
      <c r="P176" s="67"/>
      <c r="Q176" s="67"/>
      <c r="R176" s="67"/>
      <c r="S176" s="75"/>
      <c r="T176" s="67"/>
      <c r="U176" s="67"/>
      <c r="V176" s="67"/>
      <c r="W176" s="67"/>
      <c r="X176" s="67"/>
      <c r="Y176" s="76"/>
      <c r="Z176" s="67"/>
      <c r="AA176" s="67" t="s">
        <v>213</v>
      </c>
      <c r="AB176" s="67"/>
      <c r="AC176" s="67"/>
      <c r="AD176" s="67"/>
      <c r="AE176" s="67"/>
      <c r="AF176" s="75"/>
      <c r="AG176" s="67"/>
      <c r="AH176" s="67"/>
      <c r="AI176" s="67"/>
      <c r="AJ176" s="62"/>
      <c r="AK176" s="62"/>
    </row>
    <row r="177" spans="1:16352" x14ac:dyDescent="0.3">
      <c r="A177" s="65">
        <v>171</v>
      </c>
      <c r="B177" s="63">
        <v>46374</v>
      </c>
      <c r="C177" s="66" t="s">
        <v>274</v>
      </c>
      <c r="D177" s="66" t="s">
        <v>127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 t="s">
        <v>213</v>
      </c>
      <c r="P177" s="67"/>
      <c r="Q177" s="67"/>
      <c r="R177" s="67"/>
      <c r="S177" s="75"/>
      <c r="T177" s="67"/>
      <c r="U177" s="67"/>
      <c r="V177" s="67"/>
      <c r="W177" s="67"/>
      <c r="X177" s="67"/>
      <c r="Y177" s="76"/>
      <c r="Z177" s="67"/>
      <c r="AA177" s="67"/>
      <c r="AB177" s="67"/>
      <c r="AC177" s="67"/>
      <c r="AD177" s="67"/>
      <c r="AE177" s="67"/>
      <c r="AF177" s="75"/>
      <c r="AG177" s="67"/>
      <c r="AH177" s="67"/>
      <c r="AI177" s="67"/>
      <c r="AJ177" s="62"/>
      <c r="AK177" s="62"/>
    </row>
    <row r="178" spans="1:16352" x14ac:dyDescent="0.3">
      <c r="A178" s="65">
        <v>172</v>
      </c>
      <c r="B178" s="63">
        <v>46375</v>
      </c>
      <c r="C178" s="66" t="s">
        <v>148</v>
      </c>
      <c r="D178" s="66" t="s">
        <v>64</v>
      </c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75"/>
      <c r="T178" s="67"/>
      <c r="U178" s="67"/>
      <c r="V178" s="67"/>
      <c r="W178" s="67"/>
      <c r="X178" s="67"/>
      <c r="Y178" s="76"/>
      <c r="Z178" s="67"/>
      <c r="AA178" s="67"/>
      <c r="AB178" s="67"/>
      <c r="AC178" s="67"/>
      <c r="AD178" s="67"/>
      <c r="AE178" s="67"/>
      <c r="AF178" s="75"/>
      <c r="AG178" s="67"/>
      <c r="AH178" s="67"/>
      <c r="AI178" s="67" t="s">
        <v>219</v>
      </c>
      <c r="AJ178" s="62"/>
      <c r="AK178" s="62"/>
    </row>
    <row r="179" spans="1:16352" x14ac:dyDescent="0.3">
      <c r="A179" s="65">
        <v>173</v>
      </c>
      <c r="B179" s="63">
        <v>46379</v>
      </c>
      <c r="C179" s="66" t="s">
        <v>275</v>
      </c>
      <c r="D179" s="66" t="s">
        <v>97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 t="s">
        <v>213</v>
      </c>
      <c r="O179" s="67" t="s">
        <v>213</v>
      </c>
      <c r="P179" s="67"/>
      <c r="Q179" s="67"/>
      <c r="R179" s="67"/>
      <c r="S179" s="75"/>
      <c r="T179" s="67"/>
      <c r="U179" s="67"/>
      <c r="V179" s="67"/>
      <c r="W179" s="67"/>
      <c r="X179" s="67"/>
      <c r="Y179" s="76"/>
      <c r="Z179" s="67"/>
      <c r="AA179" s="67" t="s">
        <v>213</v>
      </c>
      <c r="AB179" s="67"/>
      <c r="AC179" s="67"/>
      <c r="AD179" s="67"/>
      <c r="AE179" s="67"/>
      <c r="AF179" s="75"/>
      <c r="AG179" s="67"/>
      <c r="AH179" s="67"/>
      <c r="AI179" s="67"/>
      <c r="AJ179" s="62"/>
      <c r="AK179" s="62"/>
    </row>
    <row r="180" spans="1:16352" x14ac:dyDescent="0.3">
      <c r="A180" s="65">
        <v>174</v>
      </c>
      <c r="B180" s="63">
        <v>46380</v>
      </c>
      <c r="C180" s="66" t="s">
        <v>230</v>
      </c>
      <c r="D180" s="66" t="s">
        <v>96</v>
      </c>
      <c r="E180" s="67"/>
      <c r="F180" s="67"/>
      <c r="G180" s="67"/>
      <c r="H180" s="67" t="s">
        <v>215</v>
      </c>
      <c r="I180" s="67"/>
      <c r="J180" s="67"/>
      <c r="K180" s="67"/>
      <c r="L180" s="67"/>
      <c r="M180" s="67"/>
      <c r="N180" s="67" t="s">
        <v>213</v>
      </c>
      <c r="O180" s="67"/>
      <c r="P180" s="67"/>
      <c r="Q180" s="67" t="s">
        <v>213</v>
      </c>
      <c r="R180" s="67"/>
      <c r="S180" s="75"/>
      <c r="T180" s="67"/>
      <c r="U180" s="67"/>
      <c r="V180" s="67"/>
      <c r="W180" s="67"/>
      <c r="X180" s="74" t="s">
        <v>213</v>
      </c>
      <c r="Y180" s="75" t="s">
        <v>213</v>
      </c>
      <c r="Z180" s="67"/>
      <c r="AA180" s="67"/>
      <c r="AB180" s="67"/>
      <c r="AC180" s="67"/>
      <c r="AD180" s="67" t="s">
        <v>213</v>
      </c>
      <c r="AE180" s="67"/>
      <c r="AF180" s="75" t="s">
        <v>213</v>
      </c>
      <c r="AG180" s="67"/>
      <c r="AH180" s="67"/>
      <c r="AI180" s="67"/>
      <c r="AJ180" s="62"/>
      <c r="AK180" s="62"/>
    </row>
    <row r="181" spans="1:16352" x14ac:dyDescent="0.3">
      <c r="A181" s="65">
        <v>175</v>
      </c>
      <c r="B181" s="63">
        <v>46381</v>
      </c>
      <c r="C181" s="66" t="s">
        <v>126</v>
      </c>
      <c r="D181" s="66" t="s">
        <v>127</v>
      </c>
      <c r="E181" s="67"/>
      <c r="F181" s="67"/>
      <c r="G181" s="67"/>
      <c r="H181" s="74" t="s">
        <v>213</v>
      </c>
      <c r="I181" s="67"/>
      <c r="J181" s="74" t="s">
        <v>213</v>
      </c>
      <c r="K181" s="67"/>
      <c r="L181" s="74" t="s">
        <v>213</v>
      </c>
      <c r="M181" s="67"/>
      <c r="N181" s="74" t="s">
        <v>213</v>
      </c>
      <c r="O181" s="74" t="s">
        <v>213</v>
      </c>
      <c r="P181" s="67"/>
      <c r="Q181" s="74" t="s">
        <v>213</v>
      </c>
      <c r="R181" s="67"/>
      <c r="S181" s="74" t="s">
        <v>213</v>
      </c>
      <c r="T181" s="74" t="s">
        <v>213</v>
      </c>
      <c r="U181" s="67"/>
      <c r="V181" s="74" t="s">
        <v>213</v>
      </c>
      <c r="W181" s="74" t="s">
        <v>213</v>
      </c>
      <c r="X181" s="74" t="s">
        <v>213</v>
      </c>
      <c r="Y181" s="74" t="s">
        <v>213</v>
      </c>
      <c r="Z181" s="67"/>
      <c r="AA181" s="74" t="s">
        <v>213</v>
      </c>
      <c r="AB181" s="67"/>
      <c r="AC181" s="67"/>
      <c r="AD181" s="74" t="s">
        <v>213</v>
      </c>
      <c r="AE181" s="67"/>
      <c r="AF181" s="74" t="s">
        <v>213</v>
      </c>
      <c r="AG181" s="74" t="s">
        <v>213</v>
      </c>
      <c r="AH181" s="67"/>
      <c r="AI181" s="74" t="s">
        <v>213</v>
      </c>
      <c r="AJ181" s="80" t="str">
        <f>VLOOKUP(B181,'For A grades - 11 days'!B171:AJ354,35,0)</f>
        <v>Regional</v>
      </c>
      <c r="AK181" s="62"/>
    </row>
    <row r="182" spans="1:16352" x14ac:dyDescent="0.3">
      <c r="A182" s="65">
        <v>176</v>
      </c>
      <c r="B182" s="63">
        <v>46382</v>
      </c>
      <c r="C182" s="66" t="s">
        <v>304</v>
      </c>
      <c r="D182" s="66" t="s">
        <v>64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75"/>
      <c r="T182" s="67"/>
      <c r="U182" s="67"/>
      <c r="V182" s="67"/>
      <c r="W182" s="67"/>
      <c r="X182" s="67" t="s">
        <v>219</v>
      </c>
      <c r="Y182" s="75" t="s">
        <v>219</v>
      </c>
      <c r="Z182" s="67"/>
      <c r="AA182" s="67"/>
      <c r="AB182" s="67"/>
      <c r="AC182" s="67"/>
      <c r="AD182" s="67"/>
      <c r="AE182" s="67"/>
      <c r="AF182" s="75"/>
      <c r="AG182" s="67"/>
      <c r="AH182" s="67"/>
      <c r="AI182" s="67"/>
      <c r="AJ182" s="62"/>
      <c r="AK182" s="62"/>
    </row>
    <row r="183" spans="1:16352" x14ac:dyDescent="0.3">
      <c r="A183" s="65">
        <v>177</v>
      </c>
      <c r="B183" s="63">
        <v>46383</v>
      </c>
      <c r="C183" s="66" t="s">
        <v>304</v>
      </c>
      <c r="D183" s="66" t="s">
        <v>63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75"/>
      <c r="T183" s="67"/>
      <c r="U183" s="67"/>
      <c r="V183" s="67"/>
      <c r="W183" s="67"/>
      <c r="X183" s="67" t="s">
        <v>219</v>
      </c>
      <c r="Y183" s="76"/>
      <c r="Z183" s="67"/>
      <c r="AA183" s="67"/>
      <c r="AB183" s="67"/>
      <c r="AC183" s="67"/>
      <c r="AD183" s="67"/>
      <c r="AE183" s="67"/>
      <c r="AF183" s="75"/>
      <c r="AG183" s="67"/>
      <c r="AH183" s="67"/>
      <c r="AI183" s="67"/>
      <c r="AJ183" s="62"/>
      <c r="AK183" s="62"/>
    </row>
    <row r="184" spans="1:16352" x14ac:dyDescent="0.3">
      <c r="A184" s="65">
        <v>178</v>
      </c>
      <c r="B184" s="63">
        <v>46384</v>
      </c>
      <c r="C184" s="66" t="s">
        <v>315</v>
      </c>
      <c r="D184" s="66" t="s">
        <v>98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75"/>
      <c r="T184" s="67"/>
      <c r="U184" s="67"/>
      <c r="V184" s="67"/>
      <c r="W184" s="67"/>
      <c r="X184" s="67"/>
      <c r="Y184" s="76"/>
      <c r="Z184" s="67"/>
      <c r="AA184" s="67" t="s">
        <v>213</v>
      </c>
      <c r="AB184" s="67"/>
      <c r="AC184" s="67"/>
      <c r="AD184" s="67"/>
      <c r="AE184" s="67"/>
      <c r="AF184" s="75"/>
      <c r="AG184" s="67"/>
      <c r="AH184" s="67"/>
      <c r="AI184" s="67"/>
      <c r="AJ184" s="62"/>
      <c r="AK184" s="62"/>
    </row>
    <row r="185" spans="1:16352" x14ac:dyDescent="0.3">
      <c r="A185" s="65">
        <v>179</v>
      </c>
      <c r="B185" s="63">
        <v>46386</v>
      </c>
      <c r="C185" s="65" t="s">
        <v>161</v>
      </c>
      <c r="D185" s="65" t="s">
        <v>97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75"/>
      <c r="T185" s="67"/>
      <c r="U185" s="67"/>
      <c r="V185" s="67"/>
      <c r="W185" s="67"/>
      <c r="X185" s="67"/>
      <c r="Y185" s="76"/>
      <c r="Z185" s="67"/>
      <c r="AA185" s="67" t="s">
        <v>213</v>
      </c>
      <c r="AB185" s="67"/>
      <c r="AC185" s="67"/>
      <c r="AD185" s="67"/>
      <c r="AE185" s="67"/>
      <c r="AF185" s="75"/>
      <c r="AG185" s="67"/>
      <c r="AH185" s="67"/>
      <c r="AI185" s="67"/>
      <c r="AJ185" s="62"/>
      <c r="AK185" s="62"/>
    </row>
    <row r="186" spans="1:16352" x14ac:dyDescent="0.3">
      <c r="A186" s="65">
        <v>180</v>
      </c>
      <c r="B186" s="63">
        <v>46387</v>
      </c>
      <c r="C186" s="65" t="s">
        <v>167</v>
      </c>
      <c r="D186" s="65" t="s">
        <v>96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75"/>
      <c r="T186" s="67"/>
      <c r="U186" s="67"/>
      <c r="V186" s="67"/>
      <c r="W186" s="67"/>
      <c r="X186" s="67"/>
      <c r="Y186" s="74" t="s">
        <v>213</v>
      </c>
      <c r="Z186" s="67"/>
      <c r="AA186" s="67"/>
      <c r="AB186" s="67"/>
      <c r="AC186" s="67"/>
      <c r="AD186" s="67"/>
      <c r="AE186" s="67"/>
      <c r="AF186" s="75"/>
      <c r="AG186" s="67"/>
      <c r="AH186" s="67"/>
      <c r="AI186" s="67"/>
      <c r="AJ186" s="62"/>
      <c r="AK186" s="62"/>
    </row>
    <row r="187" spans="1:16352" s="118" customFormat="1" ht="12.5" customHeight="1" x14ac:dyDescent="0.35">
      <c r="A187" s="116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7"/>
      <c r="CE187" s="117"/>
      <c r="CF187" s="117"/>
      <c r="CG187" s="117"/>
      <c r="CH187" s="117"/>
      <c r="CI187" s="117"/>
      <c r="CJ187" s="117"/>
      <c r="CK187" s="117"/>
      <c r="CL187" s="117"/>
      <c r="CM187" s="117"/>
      <c r="CN187" s="117"/>
      <c r="CO187" s="117"/>
      <c r="CP187" s="117"/>
      <c r="CQ187" s="117"/>
      <c r="CR187" s="117"/>
      <c r="CS187" s="117"/>
      <c r="CT187" s="117"/>
      <c r="CU187" s="117"/>
      <c r="CV187" s="117"/>
      <c r="CW187" s="117"/>
      <c r="CX187" s="117"/>
      <c r="CY187" s="117"/>
      <c r="CZ187" s="117"/>
      <c r="DA187" s="117"/>
      <c r="DB187" s="117"/>
      <c r="DC187" s="117"/>
      <c r="DD187" s="117"/>
      <c r="DE187" s="117"/>
      <c r="DF187" s="117"/>
      <c r="DG187" s="117"/>
      <c r="DH187" s="117"/>
      <c r="DI187" s="117"/>
      <c r="DJ187" s="117"/>
      <c r="DK187" s="117"/>
      <c r="DL187" s="117"/>
      <c r="DM187" s="117"/>
      <c r="DN187" s="117"/>
      <c r="DO187" s="117"/>
      <c r="DP187" s="117"/>
      <c r="DQ187" s="117"/>
      <c r="DR187" s="117"/>
      <c r="DS187" s="117"/>
      <c r="DT187" s="117"/>
      <c r="DU187" s="117"/>
      <c r="DV187" s="117"/>
      <c r="DW187" s="117"/>
      <c r="DX187" s="117"/>
      <c r="DY187" s="117"/>
      <c r="DZ187" s="117"/>
      <c r="EA187" s="117"/>
      <c r="EB187" s="117"/>
      <c r="EC187" s="117"/>
      <c r="ED187" s="117"/>
      <c r="EE187" s="117"/>
      <c r="EF187" s="117"/>
      <c r="EG187" s="117"/>
      <c r="EH187" s="117"/>
      <c r="EI187" s="117"/>
      <c r="EJ187" s="117"/>
      <c r="EK187" s="117"/>
      <c r="EL187" s="117"/>
      <c r="EM187" s="117"/>
      <c r="EN187" s="117"/>
      <c r="EO187" s="117"/>
      <c r="EP187" s="117"/>
      <c r="EQ187" s="117"/>
      <c r="ER187" s="117"/>
      <c r="ES187" s="117"/>
      <c r="ET187" s="117"/>
      <c r="EU187" s="117"/>
      <c r="EV187" s="117"/>
      <c r="EW187" s="117"/>
      <c r="EX187" s="117"/>
      <c r="EY187" s="117"/>
      <c r="EZ187" s="117"/>
      <c r="FA187" s="117"/>
      <c r="FB187" s="117"/>
      <c r="FC187" s="117"/>
      <c r="FD187" s="117"/>
      <c r="FE187" s="117"/>
      <c r="FF187" s="117"/>
      <c r="FG187" s="117"/>
      <c r="FH187" s="117"/>
      <c r="FI187" s="117"/>
      <c r="FJ187" s="117"/>
      <c r="FK187" s="117"/>
      <c r="FL187" s="117"/>
      <c r="FM187" s="117"/>
      <c r="FN187" s="117"/>
      <c r="FO187" s="117"/>
      <c r="FP187" s="117"/>
      <c r="FQ187" s="117"/>
      <c r="FR187" s="117"/>
      <c r="FS187" s="117"/>
      <c r="FT187" s="117"/>
      <c r="FU187" s="117"/>
      <c r="FV187" s="117"/>
      <c r="FW187" s="117"/>
      <c r="FX187" s="117"/>
      <c r="FY187" s="117"/>
      <c r="FZ187" s="117"/>
      <c r="GA187" s="117"/>
      <c r="GB187" s="117"/>
      <c r="GC187" s="117"/>
      <c r="GD187" s="117"/>
      <c r="GE187" s="117"/>
      <c r="GF187" s="117"/>
      <c r="GG187" s="117"/>
      <c r="GH187" s="117"/>
      <c r="GI187" s="117"/>
      <c r="GJ187" s="117"/>
      <c r="GK187" s="117"/>
      <c r="GL187" s="117"/>
      <c r="GM187" s="117"/>
      <c r="GN187" s="117"/>
      <c r="GO187" s="117"/>
      <c r="GP187" s="117"/>
      <c r="GQ187" s="117"/>
      <c r="GR187" s="117"/>
      <c r="GS187" s="117"/>
      <c r="GT187" s="117"/>
      <c r="GU187" s="117"/>
      <c r="GV187" s="117"/>
      <c r="GW187" s="117"/>
      <c r="GX187" s="117"/>
      <c r="GY187" s="117"/>
      <c r="GZ187" s="117"/>
      <c r="HA187" s="117"/>
      <c r="HB187" s="117"/>
      <c r="HC187" s="117"/>
      <c r="HD187" s="117"/>
      <c r="HE187" s="117"/>
      <c r="HF187" s="117"/>
      <c r="HG187" s="117"/>
      <c r="HH187" s="117"/>
      <c r="HI187" s="117"/>
      <c r="HJ187" s="117"/>
      <c r="HK187" s="117"/>
      <c r="HL187" s="117"/>
      <c r="HM187" s="117"/>
      <c r="HN187" s="117"/>
      <c r="HO187" s="117"/>
      <c r="HP187" s="117"/>
      <c r="HQ187" s="117"/>
      <c r="HR187" s="117"/>
      <c r="HS187" s="117"/>
      <c r="HT187" s="117"/>
      <c r="HU187" s="117"/>
      <c r="HV187" s="117"/>
      <c r="HW187" s="117"/>
      <c r="HX187" s="117"/>
      <c r="HY187" s="117"/>
      <c r="HZ187" s="117"/>
      <c r="IA187" s="117"/>
      <c r="IB187" s="117"/>
      <c r="IC187" s="117"/>
      <c r="ID187" s="117"/>
      <c r="IE187" s="117"/>
      <c r="IF187" s="117"/>
      <c r="IG187" s="117"/>
      <c r="IH187" s="117"/>
      <c r="II187" s="117"/>
      <c r="IJ187" s="117"/>
      <c r="IK187" s="117"/>
      <c r="IL187" s="117"/>
      <c r="IM187" s="117"/>
      <c r="IN187" s="117"/>
      <c r="IO187" s="117"/>
      <c r="IP187" s="117"/>
      <c r="IQ187" s="117"/>
      <c r="IR187" s="117"/>
      <c r="IS187" s="117"/>
      <c r="IT187" s="117"/>
      <c r="IU187" s="117"/>
      <c r="IV187" s="117"/>
      <c r="IW187" s="117"/>
      <c r="IX187" s="117"/>
      <c r="IY187" s="117"/>
      <c r="IZ187" s="117"/>
      <c r="JA187" s="117"/>
      <c r="JB187" s="117"/>
      <c r="JC187" s="117"/>
      <c r="JD187" s="117"/>
      <c r="JE187" s="117"/>
      <c r="JF187" s="117"/>
      <c r="JG187" s="117"/>
      <c r="JH187" s="117"/>
      <c r="JI187" s="117"/>
      <c r="JJ187" s="117"/>
      <c r="JK187" s="117"/>
      <c r="JL187" s="117"/>
      <c r="JM187" s="117"/>
      <c r="JN187" s="117"/>
      <c r="JO187" s="117"/>
      <c r="JP187" s="117"/>
      <c r="JQ187" s="117"/>
      <c r="JR187" s="117"/>
      <c r="JS187" s="117"/>
      <c r="JT187" s="117"/>
      <c r="JU187" s="117"/>
      <c r="JV187" s="117"/>
      <c r="JW187" s="117"/>
      <c r="JX187" s="117"/>
      <c r="JY187" s="117"/>
      <c r="JZ187" s="117"/>
      <c r="KA187" s="117"/>
      <c r="KB187" s="117"/>
      <c r="KC187" s="117"/>
      <c r="KD187" s="117"/>
      <c r="KE187" s="117"/>
      <c r="KF187" s="117"/>
      <c r="KG187" s="117"/>
      <c r="KH187" s="117"/>
      <c r="KI187" s="117"/>
      <c r="KJ187" s="117"/>
      <c r="KK187" s="117"/>
      <c r="KL187" s="117"/>
      <c r="KM187" s="117"/>
      <c r="KN187" s="117"/>
      <c r="KO187" s="117"/>
      <c r="KP187" s="117"/>
      <c r="KQ187" s="117"/>
      <c r="KR187" s="117"/>
      <c r="KS187" s="117"/>
      <c r="KT187" s="117"/>
      <c r="KU187" s="117"/>
      <c r="KV187" s="117"/>
      <c r="KW187" s="117"/>
      <c r="KX187" s="117"/>
      <c r="KY187" s="117"/>
      <c r="KZ187" s="117"/>
      <c r="LA187" s="117"/>
      <c r="LB187" s="117"/>
      <c r="LC187" s="117"/>
      <c r="LD187" s="117"/>
      <c r="LE187" s="117"/>
      <c r="LF187" s="117"/>
      <c r="LG187" s="117"/>
      <c r="LH187" s="117"/>
      <c r="LI187" s="117"/>
      <c r="LJ187" s="117"/>
      <c r="LK187" s="117"/>
      <c r="LL187" s="117"/>
      <c r="LM187" s="117"/>
      <c r="LN187" s="117"/>
      <c r="LO187" s="117"/>
      <c r="LP187" s="117"/>
      <c r="LQ187" s="117"/>
      <c r="LR187" s="117"/>
      <c r="LS187" s="117"/>
      <c r="LT187" s="117"/>
      <c r="LU187" s="117"/>
      <c r="LV187" s="117"/>
      <c r="LW187" s="117"/>
      <c r="LX187" s="117"/>
      <c r="LY187" s="117"/>
      <c r="LZ187" s="117"/>
      <c r="MA187" s="117"/>
      <c r="MB187" s="117"/>
      <c r="MC187" s="117"/>
      <c r="MD187" s="117"/>
      <c r="ME187" s="117"/>
      <c r="MF187" s="117"/>
      <c r="MG187" s="117"/>
      <c r="MH187" s="117"/>
      <c r="MI187" s="117"/>
      <c r="MJ187" s="117"/>
      <c r="MK187" s="117"/>
      <c r="ML187" s="117"/>
      <c r="MM187" s="117"/>
      <c r="MN187" s="117"/>
      <c r="MO187" s="117"/>
      <c r="MP187" s="117"/>
      <c r="MQ187" s="117"/>
      <c r="MR187" s="117"/>
      <c r="MS187" s="117"/>
      <c r="MT187" s="117"/>
      <c r="MU187" s="117"/>
      <c r="MV187" s="117"/>
      <c r="MW187" s="117"/>
      <c r="MX187" s="117"/>
      <c r="MY187" s="117"/>
      <c r="MZ187" s="117"/>
      <c r="NA187" s="117"/>
      <c r="NB187" s="117"/>
      <c r="NC187" s="117"/>
      <c r="ND187" s="117"/>
      <c r="NE187" s="117"/>
      <c r="NF187" s="117"/>
      <c r="NG187" s="117"/>
      <c r="NH187" s="117"/>
      <c r="NI187" s="117"/>
      <c r="NJ187" s="117"/>
      <c r="NK187" s="117"/>
      <c r="NL187" s="117"/>
      <c r="NM187" s="117"/>
      <c r="NN187" s="117"/>
      <c r="NO187" s="117"/>
      <c r="NP187" s="117"/>
      <c r="NQ187" s="117"/>
      <c r="NR187" s="117"/>
      <c r="NS187" s="117"/>
      <c r="NT187" s="117"/>
      <c r="NU187" s="117"/>
      <c r="NV187" s="117"/>
      <c r="NW187" s="117"/>
      <c r="NX187" s="117"/>
      <c r="NY187" s="117"/>
      <c r="NZ187" s="117"/>
      <c r="OA187" s="117"/>
      <c r="OB187" s="117"/>
      <c r="OC187" s="117"/>
      <c r="OD187" s="117"/>
      <c r="OE187" s="117"/>
      <c r="OF187" s="117"/>
      <c r="OG187" s="117"/>
      <c r="OH187" s="117"/>
      <c r="OI187" s="117"/>
      <c r="OJ187" s="117"/>
      <c r="OK187" s="117"/>
      <c r="OL187" s="117"/>
      <c r="OM187" s="117"/>
      <c r="ON187" s="117"/>
      <c r="OO187" s="117"/>
      <c r="OP187" s="117"/>
      <c r="OQ187" s="117"/>
      <c r="OR187" s="117"/>
      <c r="OS187" s="117"/>
      <c r="OT187" s="117"/>
      <c r="OU187" s="117"/>
      <c r="OV187" s="117"/>
      <c r="OW187" s="117"/>
      <c r="OX187" s="117"/>
      <c r="OY187" s="117"/>
      <c r="OZ187" s="117"/>
      <c r="PA187" s="117"/>
      <c r="PB187" s="117"/>
      <c r="PC187" s="117"/>
      <c r="PD187" s="117"/>
      <c r="PE187" s="117"/>
      <c r="PF187" s="117"/>
      <c r="PG187" s="117"/>
      <c r="PH187" s="117"/>
      <c r="PI187" s="117"/>
      <c r="PJ187" s="117"/>
      <c r="PK187" s="117"/>
      <c r="PL187" s="117"/>
      <c r="PM187" s="117"/>
      <c r="PN187" s="117"/>
      <c r="PO187" s="117"/>
      <c r="PP187" s="117"/>
      <c r="PQ187" s="117"/>
      <c r="PR187" s="117"/>
      <c r="PS187" s="117"/>
      <c r="PT187" s="117"/>
      <c r="PU187" s="117"/>
      <c r="PV187" s="117"/>
      <c r="PW187" s="117"/>
      <c r="PX187" s="117"/>
      <c r="PY187" s="117"/>
      <c r="PZ187" s="117"/>
      <c r="QA187" s="117"/>
      <c r="QB187" s="117"/>
      <c r="QC187" s="117"/>
      <c r="QD187" s="117"/>
      <c r="QE187" s="117"/>
      <c r="QF187" s="117"/>
      <c r="QG187" s="117"/>
      <c r="QH187" s="117"/>
      <c r="QI187" s="117"/>
      <c r="QJ187" s="117"/>
      <c r="QK187" s="117"/>
      <c r="QL187" s="117"/>
      <c r="QM187" s="117"/>
      <c r="QN187" s="117"/>
      <c r="QO187" s="117"/>
      <c r="QP187" s="117"/>
      <c r="QQ187" s="117"/>
      <c r="QR187" s="117"/>
      <c r="QS187" s="117"/>
      <c r="QT187" s="117"/>
      <c r="QU187" s="117"/>
      <c r="QV187" s="117"/>
      <c r="QW187" s="117"/>
      <c r="QX187" s="117"/>
      <c r="QY187" s="117"/>
      <c r="QZ187" s="117"/>
      <c r="RA187" s="117"/>
      <c r="RB187" s="117"/>
      <c r="RC187" s="117"/>
      <c r="RD187" s="117"/>
      <c r="RE187" s="117"/>
      <c r="RF187" s="117"/>
      <c r="RG187" s="117"/>
      <c r="RH187" s="117"/>
      <c r="RI187" s="117"/>
      <c r="RJ187" s="117"/>
      <c r="RK187" s="117"/>
      <c r="RL187" s="117"/>
      <c r="RM187" s="117"/>
      <c r="RN187" s="117"/>
      <c r="RO187" s="117"/>
      <c r="RP187" s="117"/>
      <c r="RQ187" s="117"/>
      <c r="RR187" s="117"/>
      <c r="RS187" s="117"/>
      <c r="RT187" s="117"/>
      <c r="RU187" s="117"/>
      <c r="RV187" s="117"/>
      <c r="RW187" s="117"/>
      <c r="RX187" s="117"/>
      <c r="RY187" s="117"/>
      <c r="RZ187" s="117"/>
      <c r="SA187" s="117"/>
      <c r="SB187" s="117"/>
      <c r="SC187" s="117"/>
      <c r="SD187" s="117"/>
      <c r="SE187" s="117"/>
      <c r="SF187" s="117"/>
      <c r="SG187" s="117"/>
      <c r="SH187" s="117"/>
      <c r="SI187" s="117"/>
      <c r="SJ187" s="117"/>
      <c r="SK187" s="117"/>
      <c r="SL187" s="117"/>
      <c r="SM187" s="117"/>
      <c r="SN187" s="117"/>
      <c r="SO187" s="117"/>
      <c r="SP187" s="117"/>
      <c r="SQ187" s="117"/>
      <c r="SR187" s="117"/>
      <c r="SS187" s="117"/>
      <c r="ST187" s="117"/>
      <c r="SU187" s="117"/>
      <c r="SV187" s="117"/>
      <c r="SW187" s="117"/>
      <c r="SX187" s="117"/>
      <c r="SY187" s="117"/>
      <c r="SZ187" s="117"/>
      <c r="TA187" s="117"/>
      <c r="TB187" s="117"/>
      <c r="TC187" s="117"/>
      <c r="TD187" s="117"/>
      <c r="TE187" s="117"/>
      <c r="TF187" s="117"/>
      <c r="TG187" s="117"/>
      <c r="TH187" s="117"/>
      <c r="TI187" s="117"/>
      <c r="TJ187" s="117"/>
      <c r="TK187" s="117"/>
      <c r="TL187" s="117"/>
      <c r="TM187" s="117"/>
      <c r="TN187" s="117"/>
      <c r="TO187" s="117"/>
      <c r="TP187" s="117"/>
      <c r="TQ187" s="117"/>
      <c r="TR187" s="117"/>
      <c r="TS187" s="117"/>
      <c r="TT187" s="117"/>
      <c r="TU187" s="117"/>
      <c r="TV187" s="117"/>
      <c r="TW187" s="117"/>
      <c r="TX187" s="117"/>
      <c r="TY187" s="117"/>
      <c r="TZ187" s="117"/>
      <c r="UA187" s="117"/>
      <c r="UB187" s="117"/>
      <c r="UC187" s="117"/>
      <c r="UD187" s="117"/>
      <c r="UE187" s="117"/>
      <c r="UF187" s="117"/>
      <c r="UG187" s="117"/>
      <c r="UH187" s="117"/>
      <c r="UI187" s="117"/>
      <c r="UJ187" s="117"/>
      <c r="UK187" s="117"/>
      <c r="UL187" s="117"/>
      <c r="UM187" s="117"/>
      <c r="UN187" s="117"/>
      <c r="UO187" s="117"/>
      <c r="UP187" s="117"/>
      <c r="UQ187" s="117"/>
      <c r="UR187" s="117"/>
      <c r="US187" s="117"/>
      <c r="UT187" s="117"/>
      <c r="UU187" s="117"/>
      <c r="UV187" s="117"/>
      <c r="UW187" s="117"/>
      <c r="UX187" s="117"/>
      <c r="UY187" s="117"/>
      <c r="UZ187" s="117"/>
      <c r="VA187" s="117"/>
      <c r="VB187" s="117"/>
      <c r="VC187" s="117"/>
      <c r="VD187" s="117"/>
      <c r="VE187" s="117"/>
      <c r="VF187" s="117"/>
      <c r="VG187" s="117"/>
      <c r="VH187" s="117"/>
      <c r="VI187" s="117"/>
      <c r="VJ187" s="117"/>
      <c r="VK187" s="117"/>
      <c r="VL187" s="117"/>
      <c r="VM187" s="117"/>
      <c r="VN187" s="117"/>
      <c r="VO187" s="117"/>
      <c r="VP187" s="117"/>
      <c r="VQ187" s="117"/>
      <c r="VR187" s="117"/>
      <c r="VS187" s="117"/>
      <c r="VT187" s="117"/>
      <c r="VU187" s="117"/>
      <c r="VV187" s="117"/>
      <c r="VW187" s="117"/>
      <c r="VX187" s="117"/>
      <c r="VY187" s="117"/>
      <c r="VZ187" s="117"/>
      <c r="WA187" s="117"/>
      <c r="WB187" s="117"/>
      <c r="WC187" s="117"/>
      <c r="WD187" s="117"/>
      <c r="WE187" s="117"/>
      <c r="WF187" s="117"/>
      <c r="WG187" s="117"/>
      <c r="WH187" s="117"/>
      <c r="WI187" s="117"/>
      <c r="WJ187" s="117"/>
      <c r="WK187" s="117"/>
      <c r="WL187" s="117"/>
      <c r="WM187" s="117"/>
      <c r="WN187" s="117"/>
      <c r="WO187" s="117"/>
      <c r="WP187" s="117"/>
      <c r="WQ187" s="117"/>
      <c r="WR187" s="117"/>
      <c r="WS187" s="117"/>
      <c r="WT187" s="117"/>
      <c r="WU187" s="117"/>
      <c r="WV187" s="117"/>
      <c r="WW187" s="117"/>
      <c r="WX187" s="117"/>
      <c r="WY187" s="117"/>
      <c r="WZ187" s="117"/>
      <c r="XA187" s="117"/>
      <c r="XB187" s="117"/>
      <c r="XC187" s="117"/>
      <c r="XD187" s="117"/>
      <c r="XE187" s="117"/>
      <c r="XF187" s="117"/>
      <c r="XG187" s="117"/>
      <c r="XH187" s="117"/>
      <c r="XI187" s="117"/>
      <c r="XJ187" s="117"/>
      <c r="XK187" s="117"/>
      <c r="XL187" s="117"/>
      <c r="XM187" s="117"/>
      <c r="XN187" s="117"/>
      <c r="XO187" s="117"/>
      <c r="XP187" s="117"/>
      <c r="XQ187" s="117"/>
      <c r="XR187" s="117"/>
      <c r="XS187" s="117"/>
      <c r="XT187" s="117"/>
      <c r="XU187" s="117"/>
      <c r="XV187" s="117"/>
      <c r="XW187" s="117"/>
      <c r="XX187" s="117"/>
      <c r="XY187" s="117"/>
      <c r="XZ187" s="117"/>
      <c r="YA187" s="117"/>
      <c r="YB187" s="117"/>
      <c r="YC187" s="117"/>
      <c r="YD187" s="117"/>
      <c r="YE187" s="117"/>
      <c r="YF187" s="117"/>
      <c r="YG187" s="117"/>
      <c r="YH187" s="117"/>
      <c r="YI187" s="117"/>
      <c r="YJ187" s="117"/>
      <c r="YK187" s="117"/>
      <c r="YL187" s="117"/>
      <c r="YM187" s="117"/>
      <c r="YN187" s="117"/>
      <c r="YO187" s="117"/>
      <c r="YP187" s="117"/>
      <c r="YQ187" s="117"/>
      <c r="YR187" s="117"/>
      <c r="YS187" s="117"/>
      <c r="YT187" s="117"/>
      <c r="YU187" s="117"/>
      <c r="YV187" s="117"/>
      <c r="YW187" s="117"/>
      <c r="YX187" s="117"/>
      <c r="YY187" s="117"/>
      <c r="YZ187" s="117"/>
      <c r="ZA187" s="117"/>
      <c r="ZB187" s="117"/>
      <c r="ZC187" s="117"/>
      <c r="ZD187" s="117"/>
      <c r="ZE187" s="117"/>
      <c r="ZF187" s="117"/>
      <c r="ZG187" s="117"/>
      <c r="ZH187" s="117"/>
      <c r="ZI187" s="117"/>
      <c r="ZJ187" s="117"/>
      <c r="ZK187" s="117"/>
      <c r="ZL187" s="117"/>
      <c r="ZM187" s="117"/>
      <c r="ZN187" s="117"/>
      <c r="ZO187" s="117"/>
      <c r="ZP187" s="117"/>
      <c r="ZQ187" s="117"/>
      <c r="ZR187" s="117"/>
      <c r="ZS187" s="117"/>
      <c r="ZT187" s="117"/>
      <c r="ZU187" s="117"/>
      <c r="ZV187" s="117"/>
      <c r="ZW187" s="117"/>
      <c r="ZX187" s="117"/>
      <c r="ZY187" s="117"/>
      <c r="ZZ187" s="117"/>
      <c r="AAA187" s="117"/>
      <c r="AAB187" s="117"/>
      <c r="AAC187" s="117"/>
      <c r="AAD187" s="117"/>
      <c r="AAE187" s="117"/>
      <c r="AAF187" s="117"/>
      <c r="AAG187" s="117"/>
      <c r="AAH187" s="117"/>
      <c r="AAI187" s="117"/>
      <c r="AAJ187" s="117"/>
      <c r="AAK187" s="117"/>
      <c r="AAL187" s="117"/>
      <c r="AAM187" s="117"/>
      <c r="AAN187" s="117"/>
      <c r="AAO187" s="117"/>
      <c r="AAP187" s="117"/>
      <c r="AAQ187" s="117"/>
      <c r="AAR187" s="117"/>
      <c r="AAS187" s="117"/>
      <c r="AAT187" s="117"/>
      <c r="AAU187" s="117"/>
      <c r="AAV187" s="117"/>
      <c r="AAW187" s="117"/>
      <c r="AAX187" s="117"/>
      <c r="AAY187" s="117"/>
      <c r="AAZ187" s="117"/>
      <c r="ABA187" s="117"/>
      <c r="ABB187" s="117"/>
      <c r="ABC187" s="117"/>
      <c r="ABD187" s="117"/>
      <c r="ABE187" s="117"/>
      <c r="ABF187" s="117"/>
      <c r="ABG187" s="117"/>
      <c r="ABH187" s="117"/>
      <c r="ABI187" s="117"/>
      <c r="ABJ187" s="117"/>
      <c r="ABK187" s="117"/>
      <c r="ABL187" s="117"/>
      <c r="ABM187" s="117"/>
      <c r="ABN187" s="117"/>
      <c r="ABO187" s="117"/>
      <c r="ABP187" s="117"/>
      <c r="ABQ187" s="117"/>
      <c r="ABR187" s="117"/>
      <c r="ABS187" s="117"/>
      <c r="ABT187" s="117"/>
      <c r="ABU187" s="117"/>
      <c r="ABV187" s="117"/>
      <c r="ABW187" s="117"/>
      <c r="ABX187" s="117"/>
      <c r="ABY187" s="117"/>
      <c r="ABZ187" s="117"/>
      <c r="ACA187" s="117"/>
      <c r="ACB187" s="117"/>
      <c r="ACC187" s="117"/>
      <c r="ACD187" s="117"/>
      <c r="ACE187" s="117"/>
      <c r="ACF187" s="117"/>
      <c r="ACG187" s="117"/>
      <c r="ACH187" s="117"/>
      <c r="ACI187" s="117"/>
      <c r="ACJ187" s="117"/>
      <c r="ACK187" s="117"/>
      <c r="ACL187" s="117"/>
      <c r="ACM187" s="117"/>
      <c r="ACN187" s="117"/>
      <c r="ACO187" s="117"/>
      <c r="ACP187" s="117"/>
      <c r="ACQ187" s="117"/>
      <c r="ACR187" s="117"/>
      <c r="ACS187" s="117"/>
      <c r="ACT187" s="117"/>
      <c r="ACU187" s="117"/>
      <c r="ACV187" s="117"/>
      <c r="ACW187" s="117"/>
      <c r="ACX187" s="117"/>
      <c r="ACY187" s="117"/>
      <c r="ACZ187" s="117"/>
      <c r="ADA187" s="117"/>
      <c r="ADB187" s="117"/>
      <c r="ADC187" s="117"/>
      <c r="ADD187" s="117"/>
      <c r="ADE187" s="117"/>
      <c r="ADF187" s="117"/>
      <c r="ADG187" s="117"/>
      <c r="ADH187" s="117"/>
      <c r="ADI187" s="117"/>
      <c r="ADJ187" s="117"/>
      <c r="ADK187" s="117"/>
      <c r="ADL187" s="117"/>
      <c r="ADM187" s="117"/>
      <c r="ADN187" s="117"/>
      <c r="ADO187" s="117"/>
      <c r="ADP187" s="117"/>
      <c r="ADQ187" s="117"/>
      <c r="ADR187" s="117"/>
      <c r="ADS187" s="117"/>
      <c r="ADT187" s="117"/>
      <c r="ADU187" s="117"/>
      <c r="ADV187" s="117"/>
      <c r="ADW187" s="117"/>
      <c r="ADX187" s="117"/>
      <c r="ADY187" s="117"/>
      <c r="ADZ187" s="117"/>
      <c r="AEA187" s="117"/>
      <c r="AEB187" s="117"/>
      <c r="AEC187" s="117"/>
      <c r="AED187" s="117"/>
      <c r="AEE187" s="117"/>
      <c r="AEF187" s="117"/>
      <c r="AEG187" s="117"/>
      <c r="AEH187" s="117"/>
      <c r="AEI187" s="117"/>
      <c r="AEJ187" s="117"/>
      <c r="AEK187" s="117"/>
      <c r="AEL187" s="117"/>
      <c r="AEM187" s="117"/>
      <c r="AEN187" s="117"/>
      <c r="AEO187" s="117"/>
      <c r="AEP187" s="117"/>
      <c r="AEQ187" s="117"/>
      <c r="AER187" s="117"/>
      <c r="AES187" s="117"/>
      <c r="AET187" s="117"/>
      <c r="AEU187" s="117"/>
      <c r="AEV187" s="117"/>
      <c r="AEW187" s="117"/>
      <c r="AEX187" s="117"/>
      <c r="AEY187" s="117"/>
      <c r="AEZ187" s="117"/>
      <c r="AFA187" s="117"/>
      <c r="AFB187" s="117"/>
      <c r="AFC187" s="117"/>
      <c r="AFD187" s="117"/>
      <c r="AFE187" s="117"/>
      <c r="AFF187" s="117"/>
      <c r="AFG187" s="117"/>
      <c r="AFH187" s="117"/>
      <c r="AFI187" s="117"/>
      <c r="AFJ187" s="117"/>
      <c r="AFK187" s="117"/>
      <c r="AFL187" s="117"/>
      <c r="AFM187" s="117"/>
      <c r="AFN187" s="117"/>
      <c r="AFO187" s="117"/>
      <c r="AFP187" s="117"/>
      <c r="AFQ187" s="117"/>
      <c r="AFR187" s="117"/>
      <c r="AFS187" s="117"/>
      <c r="AFT187" s="117"/>
      <c r="AFU187" s="117"/>
      <c r="AFV187" s="117"/>
      <c r="AFW187" s="117"/>
      <c r="AFX187" s="117"/>
      <c r="AFY187" s="117"/>
      <c r="AFZ187" s="117"/>
      <c r="AGA187" s="117"/>
      <c r="AGB187" s="117"/>
      <c r="AGC187" s="117"/>
      <c r="AGD187" s="117"/>
      <c r="AGE187" s="117"/>
      <c r="AGF187" s="117"/>
      <c r="AGG187" s="117"/>
      <c r="AGH187" s="117"/>
      <c r="AGI187" s="117"/>
      <c r="AGJ187" s="117"/>
      <c r="AGK187" s="117"/>
      <c r="AGL187" s="117"/>
      <c r="AGM187" s="117"/>
      <c r="AGN187" s="117"/>
      <c r="AGO187" s="117"/>
      <c r="AGP187" s="117"/>
      <c r="AGQ187" s="117"/>
      <c r="AGR187" s="117"/>
      <c r="AGS187" s="117"/>
      <c r="AGT187" s="117"/>
      <c r="AGU187" s="117"/>
      <c r="AGV187" s="117"/>
      <c r="AGW187" s="117"/>
      <c r="AGX187" s="117"/>
      <c r="AGY187" s="117"/>
      <c r="AGZ187" s="117"/>
      <c r="AHA187" s="117"/>
      <c r="AHB187" s="117"/>
      <c r="AHC187" s="117"/>
      <c r="AHD187" s="117"/>
      <c r="AHE187" s="117"/>
      <c r="AHF187" s="117"/>
      <c r="AHG187" s="117"/>
      <c r="AHH187" s="117"/>
      <c r="AHI187" s="117"/>
      <c r="AHJ187" s="117"/>
      <c r="AHK187" s="117"/>
      <c r="AHL187" s="117"/>
      <c r="AHM187" s="117"/>
      <c r="AHN187" s="117"/>
      <c r="AHO187" s="117"/>
      <c r="AHP187" s="117"/>
      <c r="AHQ187" s="117"/>
      <c r="AHR187" s="117"/>
      <c r="AHS187" s="117"/>
      <c r="AHT187" s="117"/>
      <c r="AHU187" s="117"/>
      <c r="AHV187" s="117"/>
      <c r="AHW187" s="117"/>
      <c r="AHX187" s="117"/>
      <c r="AHY187" s="117"/>
      <c r="AHZ187" s="117"/>
      <c r="AIA187" s="117"/>
      <c r="AIB187" s="117"/>
      <c r="AIC187" s="117"/>
      <c r="AID187" s="117"/>
      <c r="AIE187" s="117"/>
      <c r="AIF187" s="117"/>
      <c r="AIG187" s="117"/>
      <c r="AIH187" s="117"/>
      <c r="AII187" s="117"/>
      <c r="AIJ187" s="117"/>
      <c r="AIK187" s="117"/>
      <c r="AIL187" s="117"/>
      <c r="AIM187" s="117"/>
      <c r="AIN187" s="117"/>
      <c r="AIO187" s="117"/>
      <c r="AIP187" s="117"/>
      <c r="AIQ187" s="117"/>
      <c r="AIR187" s="117"/>
      <c r="AIS187" s="117"/>
      <c r="AIT187" s="117"/>
      <c r="AIU187" s="117"/>
      <c r="AIV187" s="117"/>
      <c r="AIW187" s="117"/>
      <c r="AIX187" s="117"/>
      <c r="AIY187" s="117"/>
      <c r="AIZ187" s="117"/>
      <c r="AJA187" s="117"/>
      <c r="AJB187" s="117"/>
      <c r="AJC187" s="117"/>
      <c r="AJD187" s="117"/>
      <c r="AJE187" s="117"/>
      <c r="AJF187" s="117"/>
      <c r="AJG187" s="117"/>
      <c r="AJH187" s="117"/>
      <c r="AJI187" s="117"/>
      <c r="AJJ187" s="117"/>
      <c r="AJK187" s="117"/>
      <c r="AJL187" s="117"/>
      <c r="AJM187" s="117"/>
      <c r="AJN187" s="117"/>
      <c r="AJO187" s="117"/>
      <c r="AJP187" s="117"/>
      <c r="AJQ187" s="117"/>
      <c r="AJR187" s="117"/>
      <c r="AJS187" s="117"/>
      <c r="AJT187" s="117"/>
      <c r="AJU187" s="117"/>
      <c r="AJV187" s="117"/>
      <c r="AJW187" s="117"/>
      <c r="AJX187" s="117"/>
      <c r="AJY187" s="117"/>
      <c r="AJZ187" s="117"/>
      <c r="AKA187" s="117"/>
      <c r="AKB187" s="117"/>
      <c r="AKC187" s="117"/>
      <c r="AKD187" s="117"/>
      <c r="AKE187" s="117"/>
      <c r="AKF187" s="117"/>
      <c r="AKG187" s="117"/>
      <c r="AKH187" s="117"/>
      <c r="AKI187" s="117"/>
      <c r="AKJ187" s="117"/>
      <c r="AKK187" s="117"/>
      <c r="AKL187" s="117"/>
      <c r="AKM187" s="117"/>
      <c r="AKN187" s="117"/>
      <c r="AKO187" s="117"/>
      <c r="AKP187" s="117"/>
      <c r="AKQ187" s="117"/>
      <c r="AKR187" s="117"/>
      <c r="AKS187" s="117"/>
      <c r="AKT187" s="117"/>
      <c r="AKU187" s="117"/>
      <c r="AKV187" s="117"/>
      <c r="AKW187" s="117"/>
      <c r="AKX187" s="117"/>
      <c r="AKY187" s="117"/>
      <c r="AKZ187" s="117"/>
      <c r="ALA187" s="117"/>
      <c r="ALB187" s="117"/>
      <c r="ALC187" s="117"/>
      <c r="ALD187" s="117"/>
      <c r="ALE187" s="117"/>
      <c r="ALF187" s="117"/>
      <c r="ALG187" s="117"/>
      <c r="ALH187" s="117"/>
      <c r="ALI187" s="117"/>
      <c r="ALJ187" s="117"/>
      <c r="ALK187" s="117"/>
      <c r="ALL187" s="117"/>
      <c r="ALM187" s="117"/>
      <c r="ALN187" s="117"/>
      <c r="ALO187" s="117"/>
      <c r="ALP187" s="117"/>
      <c r="ALQ187" s="117"/>
      <c r="ALR187" s="117"/>
      <c r="ALS187" s="117"/>
      <c r="ALT187" s="117"/>
      <c r="ALU187" s="117"/>
      <c r="ALV187" s="117"/>
      <c r="ALW187" s="117"/>
      <c r="ALX187" s="117"/>
      <c r="ALY187" s="117"/>
      <c r="ALZ187" s="117"/>
      <c r="AMA187" s="117"/>
      <c r="AMB187" s="117"/>
      <c r="AMC187" s="117"/>
      <c r="AMD187" s="117"/>
      <c r="AME187" s="117"/>
      <c r="AMF187" s="117"/>
      <c r="AMG187" s="117"/>
      <c r="AMH187" s="117"/>
      <c r="AMI187" s="117"/>
      <c r="AMJ187" s="117"/>
      <c r="AMK187" s="117"/>
      <c r="AML187" s="117"/>
      <c r="AMM187" s="117"/>
      <c r="AMN187" s="117"/>
      <c r="AMO187" s="117"/>
      <c r="AMP187" s="117"/>
      <c r="AMQ187" s="117"/>
      <c r="AMR187" s="117"/>
      <c r="AMS187" s="117"/>
      <c r="AMT187" s="117"/>
      <c r="AMU187" s="117"/>
      <c r="AMV187" s="117"/>
      <c r="AMW187" s="117"/>
      <c r="AMX187" s="117"/>
      <c r="AMY187" s="117"/>
      <c r="AMZ187" s="117"/>
      <c r="ANA187" s="117"/>
      <c r="ANB187" s="117"/>
      <c r="ANC187" s="117"/>
      <c r="AND187" s="117"/>
      <c r="ANE187" s="117"/>
      <c r="ANF187" s="117"/>
      <c r="ANG187" s="117"/>
      <c r="ANH187" s="117"/>
      <c r="ANI187" s="117"/>
      <c r="ANJ187" s="117"/>
      <c r="ANK187" s="117"/>
      <c r="ANL187" s="117"/>
      <c r="ANM187" s="117"/>
      <c r="ANN187" s="117"/>
      <c r="ANO187" s="117"/>
      <c r="ANP187" s="117"/>
      <c r="ANQ187" s="117"/>
      <c r="ANR187" s="117"/>
      <c r="ANS187" s="117"/>
      <c r="ANT187" s="117"/>
      <c r="ANU187" s="117"/>
      <c r="ANV187" s="117"/>
      <c r="ANW187" s="117"/>
      <c r="ANX187" s="117"/>
      <c r="ANY187" s="117"/>
      <c r="ANZ187" s="117"/>
      <c r="AOA187" s="117"/>
      <c r="AOB187" s="117"/>
      <c r="AOC187" s="117"/>
      <c r="AOD187" s="117"/>
      <c r="AOE187" s="117"/>
      <c r="AOF187" s="117"/>
      <c r="AOG187" s="117"/>
      <c r="AOH187" s="117"/>
      <c r="AOI187" s="117"/>
      <c r="AOJ187" s="117"/>
      <c r="AOK187" s="117"/>
      <c r="AOL187" s="117"/>
      <c r="AOM187" s="117"/>
      <c r="AON187" s="117"/>
      <c r="AOO187" s="117"/>
      <c r="AOP187" s="117"/>
      <c r="AOQ187" s="117"/>
      <c r="AOR187" s="117"/>
      <c r="AOS187" s="117"/>
      <c r="AOT187" s="117"/>
      <c r="AOU187" s="117"/>
      <c r="AOV187" s="117"/>
      <c r="AOW187" s="117"/>
      <c r="AOX187" s="117"/>
      <c r="AOY187" s="117"/>
      <c r="AOZ187" s="117"/>
      <c r="APA187" s="117"/>
      <c r="APB187" s="117"/>
      <c r="APC187" s="117"/>
      <c r="APD187" s="117"/>
      <c r="APE187" s="117"/>
      <c r="APF187" s="117"/>
      <c r="APG187" s="117"/>
      <c r="APH187" s="117"/>
      <c r="API187" s="117"/>
      <c r="APJ187" s="117"/>
      <c r="APK187" s="117"/>
      <c r="APL187" s="117"/>
      <c r="APM187" s="117"/>
      <c r="APN187" s="117"/>
      <c r="APO187" s="117"/>
      <c r="APP187" s="117"/>
      <c r="APQ187" s="117"/>
      <c r="APR187" s="117"/>
      <c r="APS187" s="117"/>
      <c r="APT187" s="117"/>
      <c r="APU187" s="117"/>
      <c r="APV187" s="117"/>
      <c r="APW187" s="117"/>
      <c r="APX187" s="117"/>
      <c r="APY187" s="117"/>
      <c r="APZ187" s="117"/>
      <c r="AQA187" s="117"/>
      <c r="AQB187" s="117"/>
      <c r="AQC187" s="117"/>
      <c r="AQD187" s="117"/>
      <c r="AQE187" s="117"/>
      <c r="AQF187" s="117"/>
      <c r="AQG187" s="117"/>
      <c r="AQH187" s="117"/>
      <c r="AQI187" s="117"/>
      <c r="AQJ187" s="117"/>
      <c r="AQK187" s="117"/>
      <c r="AQL187" s="117"/>
      <c r="AQM187" s="117"/>
      <c r="AQN187" s="117"/>
      <c r="AQO187" s="117"/>
      <c r="AQP187" s="117"/>
      <c r="AQQ187" s="117"/>
      <c r="AQR187" s="117"/>
      <c r="AQS187" s="117"/>
      <c r="AQT187" s="117"/>
      <c r="AQU187" s="117"/>
      <c r="AQV187" s="117"/>
      <c r="AQW187" s="117"/>
      <c r="AQX187" s="117"/>
      <c r="AQY187" s="117"/>
      <c r="AQZ187" s="117"/>
      <c r="ARA187" s="117"/>
      <c r="ARB187" s="117"/>
      <c r="ARC187" s="117"/>
      <c r="ARD187" s="117"/>
      <c r="ARE187" s="117"/>
      <c r="ARF187" s="117"/>
      <c r="ARG187" s="117"/>
      <c r="ARH187" s="117"/>
      <c r="ARI187" s="117"/>
      <c r="ARJ187" s="117"/>
      <c r="ARK187" s="117"/>
      <c r="ARL187" s="117"/>
      <c r="ARM187" s="117"/>
      <c r="ARN187" s="117"/>
      <c r="ARO187" s="117"/>
      <c r="ARP187" s="117"/>
      <c r="ARQ187" s="117"/>
      <c r="ARR187" s="117"/>
      <c r="ARS187" s="117"/>
      <c r="ART187" s="117"/>
      <c r="ARU187" s="117"/>
      <c r="ARV187" s="117"/>
      <c r="ARW187" s="117"/>
      <c r="ARX187" s="117"/>
      <c r="ARY187" s="117"/>
      <c r="ARZ187" s="117"/>
      <c r="ASA187" s="117"/>
      <c r="ASB187" s="117"/>
      <c r="ASC187" s="117"/>
      <c r="ASD187" s="117"/>
      <c r="ASE187" s="117"/>
      <c r="ASF187" s="117"/>
      <c r="ASG187" s="117"/>
      <c r="ASH187" s="117"/>
      <c r="ASI187" s="117"/>
      <c r="ASJ187" s="117"/>
      <c r="ASK187" s="117"/>
      <c r="ASL187" s="117"/>
      <c r="ASM187" s="117"/>
      <c r="ASN187" s="117"/>
      <c r="ASO187" s="117"/>
      <c r="ASP187" s="117"/>
      <c r="ASQ187" s="117"/>
      <c r="ASR187" s="117"/>
      <c r="ASS187" s="117"/>
      <c r="AST187" s="117"/>
      <c r="ASU187" s="117"/>
      <c r="ASV187" s="117"/>
      <c r="ASW187" s="117"/>
      <c r="ASX187" s="117"/>
      <c r="ASY187" s="117"/>
      <c r="ASZ187" s="117"/>
      <c r="ATA187" s="117"/>
      <c r="ATB187" s="117"/>
      <c r="ATC187" s="117"/>
      <c r="ATD187" s="117"/>
      <c r="ATE187" s="117"/>
      <c r="ATF187" s="117"/>
      <c r="ATG187" s="117"/>
      <c r="ATH187" s="117"/>
      <c r="ATI187" s="117"/>
      <c r="ATJ187" s="117"/>
      <c r="ATK187" s="117"/>
      <c r="ATL187" s="117"/>
      <c r="ATM187" s="117"/>
      <c r="ATN187" s="117"/>
      <c r="ATO187" s="117"/>
      <c r="ATP187" s="117"/>
      <c r="ATQ187" s="117"/>
      <c r="ATR187" s="117"/>
      <c r="ATS187" s="117"/>
      <c r="ATT187" s="117"/>
      <c r="ATU187" s="117"/>
      <c r="ATV187" s="117"/>
      <c r="ATW187" s="117"/>
      <c r="ATX187" s="117"/>
      <c r="ATY187" s="117"/>
      <c r="ATZ187" s="117"/>
      <c r="AUA187" s="117"/>
      <c r="AUB187" s="117"/>
      <c r="AUC187" s="117"/>
      <c r="AUD187" s="117"/>
      <c r="AUE187" s="117"/>
      <c r="AUF187" s="117"/>
      <c r="AUG187" s="117"/>
      <c r="AUH187" s="117"/>
      <c r="AUI187" s="117"/>
      <c r="AUJ187" s="117"/>
      <c r="AUK187" s="117"/>
      <c r="AUL187" s="117"/>
      <c r="AUM187" s="117"/>
      <c r="AUN187" s="117"/>
      <c r="AUO187" s="117"/>
      <c r="AUP187" s="117"/>
      <c r="AUQ187" s="117"/>
      <c r="AUR187" s="117"/>
      <c r="AUS187" s="117"/>
      <c r="AUT187" s="117"/>
      <c r="AUU187" s="117"/>
      <c r="AUV187" s="117"/>
      <c r="AUW187" s="117"/>
      <c r="AUX187" s="117"/>
      <c r="AUY187" s="117"/>
      <c r="AUZ187" s="117"/>
      <c r="AVA187" s="117"/>
      <c r="AVB187" s="117"/>
      <c r="AVC187" s="117"/>
      <c r="AVD187" s="117"/>
      <c r="AVE187" s="117"/>
      <c r="AVF187" s="117"/>
      <c r="AVG187" s="117"/>
      <c r="AVH187" s="117"/>
      <c r="AVI187" s="117"/>
      <c r="AVJ187" s="117"/>
      <c r="AVK187" s="117"/>
      <c r="AVL187" s="117"/>
      <c r="AVM187" s="117"/>
      <c r="AVN187" s="117"/>
      <c r="AVO187" s="117"/>
      <c r="AVP187" s="117"/>
      <c r="AVQ187" s="117"/>
      <c r="AVR187" s="117"/>
      <c r="AVS187" s="117"/>
      <c r="AVT187" s="117"/>
      <c r="AVU187" s="117"/>
      <c r="AVV187" s="117"/>
      <c r="AVW187" s="117"/>
      <c r="AVX187" s="117"/>
      <c r="AVY187" s="117"/>
      <c r="AVZ187" s="117"/>
      <c r="AWA187" s="117"/>
      <c r="AWB187" s="117"/>
      <c r="AWC187" s="117"/>
      <c r="AWD187" s="117"/>
      <c r="AWE187" s="117"/>
      <c r="AWF187" s="117"/>
      <c r="AWG187" s="117"/>
      <c r="AWH187" s="117"/>
      <c r="AWI187" s="117"/>
      <c r="AWJ187" s="117"/>
      <c r="AWK187" s="117"/>
      <c r="AWL187" s="117"/>
      <c r="AWM187" s="117"/>
      <c r="AWN187" s="117"/>
      <c r="AWO187" s="117"/>
      <c r="AWP187" s="117"/>
      <c r="AWQ187" s="117"/>
      <c r="AWR187" s="117"/>
      <c r="AWS187" s="117"/>
      <c r="AWT187" s="117"/>
      <c r="AWU187" s="117"/>
      <c r="AWV187" s="117"/>
      <c r="AWW187" s="117"/>
      <c r="AWX187" s="117"/>
      <c r="AWY187" s="117"/>
      <c r="AWZ187" s="117"/>
      <c r="AXA187" s="117"/>
      <c r="AXB187" s="117"/>
      <c r="AXC187" s="117"/>
      <c r="AXD187" s="117"/>
      <c r="AXE187" s="117"/>
      <c r="AXF187" s="117"/>
      <c r="AXG187" s="117"/>
      <c r="AXH187" s="117"/>
      <c r="AXI187" s="117"/>
      <c r="AXJ187" s="117"/>
      <c r="AXK187" s="117"/>
      <c r="AXL187" s="117"/>
      <c r="AXM187" s="117"/>
      <c r="AXN187" s="117"/>
      <c r="AXO187" s="117"/>
      <c r="AXP187" s="117"/>
      <c r="AXQ187" s="117"/>
      <c r="AXR187" s="117"/>
      <c r="AXS187" s="117"/>
      <c r="AXT187" s="117"/>
      <c r="AXU187" s="117"/>
      <c r="AXV187" s="117"/>
      <c r="AXW187" s="117"/>
      <c r="AXX187" s="117"/>
      <c r="AXY187" s="117"/>
      <c r="AXZ187" s="117"/>
      <c r="AYA187" s="117"/>
      <c r="AYB187" s="117"/>
      <c r="AYC187" s="117"/>
      <c r="AYD187" s="117"/>
      <c r="AYE187" s="117"/>
      <c r="AYF187" s="117"/>
      <c r="AYG187" s="117"/>
      <c r="AYH187" s="117"/>
      <c r="AYI187" s="117"/>
      <c r="AYJ187" s="117"/>
      <c r="AYK187" s="117"/>
      <c r="AYL187" s="117"/>
      <c r="AYM187" s="117"/>
      <c r="AYN187" s="117"/>
      <c r="AYO187" s="117"/>
      <c r="AYP187" s="117"/>
      <c r="AYQ187" s="117"/>
      <c r="AYR187" s="117"/>
      <c r="AYS187" s="117"/>
      <c r="AYT187" s="117"/>
      <c r="AYU187" s="117"/>
      <c r="AYV187" s="117"/>
      <c r="AYW187" s="117"/>
      <c r="AYX187" s="117"/>
      <c r="AYY187" s="117"/>
      <c r="AYZ187" s="117"/>
      <c r="AZA187" s="117"/>
      <c r="AZB187" s="117"/>
      <c r="AZC187" s="117"/>
      <c r="AZD187" s="117"/>
      <c r="AZE187" s="117"/>
      <c r="AZF187" s="117"/>
      <c r="AZG187" s="117"/>
      <c r="AZH187" s="117"/>
      <c r="AZI187" s="117"/>
      <c r="AZJ187" s="117"/>
      <c r="AZK187" s="117"/>
      <c r="AZL187" s="117"/>
      <c r="AZM187" s="117"/>
      <c r="AZN187" s="117"/>
      <c r="AZO187" s="117"/>
      <c r="AZP187" s="117"/>
      <c r="AZQ187" s="117"/>
      <c r="AZR187" s="117"/>
      <c r="AZS187" s="117"/>
      <c r="AZT187" s="117"/>
      <c r="AZU187" s="117"/>
      <c r="AZV187" s="117"/>
      <c r="AZW187" s="117"/>
      <c r="AZX187" s="117"/>
      <c r="AZY187" s="117"/>
      <c r="AZZ187" s="117"/>
      <c r="BAA187" s="117"/>
      <c r="BAB187" s="117"/>
      <c r="BAC187" s="117"/>
      <c r="BAD187" s="117"/>
      <c r="BAE187" s="117"/>
      <c r="BAF187" s="117"/>
      <c r="BAG187" s="117"/>
      <c r="BAH187" s="117"/>
      <c r="BAI187" s="117"/>
      <c r="BAJ187" s="117"/>
      <c r="BAK187" s="117"/>
      <c r="BAL187" s="117"/>
      <c r="BAM187" s="117"/>
      <c r="BAN187" s="117"/>
      <c r="BAO187" s="117"/>
      <c r="BAP187" s="117"/>
      <c r="BAQ187" s="117"/>
      <c r="BAR187" s="117"/>
      <c r="BAS187" s="117"/>
      <c r="BAT187" s="117"/>
      <c r="BAU187" s="117"/>
      <c r="BAV187" s="117"/>
      <c r="BAW187" s="117"/>
      <c r="BAX187" s="117"/>
      <c r="BAY187" s="117"/>
      <c r="BAZ187" s="117"/>
      <c r="BBA187" s="117"/>
      <c r="BBB187" s="117"/>
      <c r="BBC187" s="117"/>
      <c r="BBD187" s="117"/>
      <c r="BBE187" s="117"/>
      <c r="BBF187" s="117"/>
      <c r="BBG187" s="117"/>
      <c r="BBH187" s="117"/>
      <c r="BBI187" s="117"/>
      <c r="BBJ187" s="117"/>
      <c r="BBK187" s="117"/>
      <c r="BBL187" s="117"/>
      <c r="BBM187" s="117"/>
      <c r="BBN187" s="117"/>
      <c r="BBO187" s="117"/>
      <c r="BBP187" s="117"/>
      <c r="BBQ187" s="117"/>
      <c r="BBR187" s="117"/>
      <c r="BBS187" s="117"/>
      <c r="BBT187" s="117"/>
      <c r="BBU187" s="117"/>
      <c r="BBV187" s="117"/>
      <c r="BBW187" s="117"/>
      <c r="BBX187" s="117"/>
      <c r="BBY187" s="117"/>
      <c r="BBZ187" s="117"/>
      <c r="BCA187" s="117"/>
      <c r="BCB187" s="117"/>
      <c r="BCC187" s="117"/>
      <c r="BCD187" s="117"/>
      <c r="BCE187" s="117"/>
      <c r="BCF187" s="117"/>
      <c r="BCG187" s="117"/>
      <c r="BCH187" s="117"/>
      <c r="BCI187" s="117"/>
      <c r="BCJ187" s="117"/>
      <c r="BCK187" s="117"/>
      <c r="BCL187" s="117"/>
      <c r="BCM187" s="117"/>
      <c r="BCN187" s="117"/>
      <c r="BCO187" s="117"/>
      <c r="BCP187" s="117"/>
      <c r="BCQ187" s="117"/>
      <c r="BCR187" s="117"/>
      <c r="BCS187" s="117"/>
      <c r="BCT187" s="117"/>
      <c r="BCU187" s="117"/>
      <c r="BCV187" s="117"/>
      <c r="BCW187" s="117"/>
      <c r="BCX187" s="117"/>
      <c r="BCY187" s="117"/>
      <c r="BCZ187" s="117"/>
      <c r="BDA187" s="117"/>
      <c r="BDB187" s="117"/>
      <c r="BDC187" s="117"/>
      <c r="BDD187" s="117"/>
      <c r="BDE187" s="117"/>
      <c r="BDF187" s="117"/>
      <c r="BDG187" s="117"/>
      <c r="BDH187" s="117"/>
      <c r="BDI187" s="117"/>
      <c r="BDJ187" s="117"/>
      <c r="BDK187" s="117"/>
      <c r="BDL187" s="117"/>
      <c r="BDM187" s="117"/>
      <c r="BDN187" s="117"/>
      <c r="BDO187" s="117"/>
      <c r="BDP187" s="117"/>
      <c r="BDQ187" s="117"/>
      <c r="BDR187" s="117"/>
      <c r="BDS187" s="117"/>
      <c r="BDT187" s="117"/>
      <c r="BDU187" s="117"/>
      <c r="BDV187" s="117"/>
      <c r="BDW187" s="117"/>
      <c r="BDX187" s="117"/>
      <c r="BDY187" s="117"/>
      <c r="BDZ187" s="117"/>
      <c r="BEA187" s="117"/>
      <c r="BEB187" s="117"/>
      <c r="BEC187" s="117"/>
      <c r="BED187" s="117"/>
      <c r="BEE187" s="117"/>
      <c r="BEF187" s="117"/>
      <c r="BEG187" s="117"/>
      <c r="BEH187" s="117"/>
      <c r="BEI187" s="117"/>
      <c r="BEJ187" s="117"/>
      <c r="BEK187" s="117"/>
      <c r="BEL187" s="117"/>
      <c r="BEM187" s="117"/>
      <c r="BEN187" s="117"/>
      <c r="BEO187" s="117"/>
      <c r="BEP187" s="117"/>
      <c r="BEQ187" s="117"/>
      <c r="BER187" s="117"/>
      <c r="BES187" s="117"/>
      <c r="BET187" s="117"/>
      <c r="BEU187" s="117"/>
      <c r="BEV187" s="117"/>
      <c r="BEW187" s="117"/>
      <c r="BEX187" s="117"/>
      <c r="BEY187" s="117"/>
      <c r="BEZ187" s="117"/>
      <c r="BFA187" s="117"/>
      <c r="BFB187" s="117"/>
      <c r="BFC187" s="117"/>
      <c r="BFD187" s="117"/>
      <c r="BFE187" s="117"/>
      <c r="BFF187" s="117"/>
      <c r="BFG187" s="117"/>
      <c r="BFH187" s="117"/>
      <c r="BFI187" s="117"/>
      <c r="BFJ187" s="117"/>
      <c r="BFK187" s="117"/>
      <c r="BFL187" s="117"/>
      <c r="BFM187" s="117"/>
      <c r="BFN187" s="117"/>
      <c r="BFO187" s="117"/>
      <c r="BFP187" s="117"/>
      <c r="BFQ187" s="117"/>
      <c r="BFR187" s="117"/>
      <c r="BFS187" s="117"/>
      <c r="BFT187" s="117"/>
      <c r="BFU187" s="117"/>
      <c r="BFV187" s="117"/>
      <c r="BFW187" s="117"/>
      <c r="BFX187" s="117"/>
      <c r="BFY187" s="117"/>
      <c r="BFZ187" s="117"/>
      <c r="BGA187" s="117"/>
      <c r="BGB187" s="117"/>
      <c r="BGC187" s="117"/>
      <c r="BGD187" s="117"/>
      <c r="BGE187" s="117"/>
      <c r="BGF187" s="117"/>
      <c r="BGG187" s="117"/>
      <c r="BGH187" s="117"/>
      <c r="BGI187" s="117"/>
      <c r="BGJ187" s="117"/>
      <c r="BGK187" s="117"/>
      <c r="BGL187" s="117"/>
      <c r="BGM187" s="117"/>
      <c r="BGN187" s="117"/>
      <c r="BGO187" s="117"/>
      <c r="BGP187" s="117"/>
      <c r="BGQ187" s="117"/>
      <c r="BGR187" s="117"/>
      <c r="BGS187" s="117"/>
      <c r="BGT187" s="117"/>
      <c r="BGU187" s="117"/>
      <c r="BGV187" s="117"/>
      <c r="BGW187" s="117"/>
      <c r="BGX187" s="117"/>
      <c r="BGY187" s="117"/>
      <c r="BGZ187" s="117"/>
      <c r="BHA187" s="117"/>
      <c r="BHB187" s="117"/>
      <c r="BHC187" s="117"/>
      <c r="BHD187" s="117"/>
      <c r="BHE187" s="117"/>
      <c r="BHF187" s="117"/>
      <c r="BHG187" s="117"/>
      <c r="BHH187" s="117"/>
      <c r="BHI187" s="117"/>
      <c r="BHJ187" s="117"/>
      <c r="BHK187" s="117"/>
      <c r="BHL187" s="117"/>
      <c r="BHM187" s="117"/>
      <c r="BHN187" s="117"/>
      <c r="BHO187" s="117"/>
      <c r="BHP187" s="117"/>
      <c r="BHQ187" s="117"/>
      <c r="BHR187" s="117"/>
      <c r="BHS187" s="117"/>
      <c r="BHT187" s="117"/>
      <c r="BHU187" s="117"/>
      <c r="BHV187" s="117"/>
      <c r="BHW187" s="117"/>
      <c r="BHX187" s="117"/>
      <c r="BHY187" s="117"/>
      <c r="BHZ187" s="117"/>
      <c r="BIA187" s="117"/>
      <c r="BIB187" s="117"/>
      <c r="BIC187" s="117"/>
      <c r="BID187" s="117"/>
      <c r="BIE187" s="117"/>
      <c r="BIF187" s="117"/>
      <c r="BIG187" s="117"/>
      <c r="BIH187" s="117"/>
      <c r="BII187" s="117"/>
      <c r="BIJ187" s="117"/>
      <c r="BIK187" s="117"/>
      <c r="BIL187" s="117"/>
      <c r="BIM187" s="117"/>
      <c r="BIN187" s="117"/>
      <c r="BIO187" s="117"/>
      <c r="BIP187" s="117"/>
      <c r="BIQ187" s="117"/>
      <c r="BIR187" s="117"/>
      <c r="BIS187" s="117"/>
      <c r="BIT187" s="117"/>
      <c r="BIU187" s="117"/>
      <c r="BIV187" s="117"/>
      <c r="BIW187" s="117"/>
      <c r="BIX187" s="117"/>
      <c r="BIY187" s="117"/>
      <c r="BIZ187" s="117"/>
      <c r="BJA187" s="117"/>
      <c r="BJB187" s="117"/>
      <c r="BJC187" s="117"/>
      <c r="BJD187" s="117"/>
      <c r="BJE187" s="117"/>
      <c r="BJF187" s="117"/>
      <c r="BJG187" s="117"/>
      <c r="BJH187" s="117"/>
      <c r="BJI187" s="117"/>
      <c r="BJJ187" s="117"/>
      <c r="BJK187" s="117"/>
      <c r="BJL187" s="117"/>
      <c r="BJM187" s="117"/>
      <c r="BJN187" s="117"/>
      <c r="BJO187" s="117"/>
      <c r="BJP187" s="117"/>
      <c r="BJQ187" s="117"/>
      <c r="BJR187" s="117"/>
      <c r="BJS187" s="117"/>
      <c r="BJT187" s="117"/>
      <c r="BJU187" s="117"/>
      <c r="BJV187" s="117"/>
      <c r="BJW187" s="117"/>
      <c r="BJX187" s="117"/>
      <c r="BJY187" s="117"/>
      <c r="BJZ187" s="117"/>
      <c r="BKA187" s="117"/>
      <c r="BKB187" s="117"/>
      <c r="BKC187" s="117"/>
      <c r="BKD187" s="117"/>
      <c r="BKE187" s="117"/>
      <c r="BKF187" s="117"/>
      <c r="BKG187" s="117"/>
      <c r="BKH187" s="117"/>
      <c r="BKI187" s="117"/>
      <c r="BKJ187" s="117"/>
      <c r="BKK187" s="117"/>
      <c r="BKL187" s="117"/>
      <c r="BKM187" s="117"/>
      <c r="BKN187" s="117"/>
      <c r="BKO187" s="117"/>
      <c r="BKP187" s="117"/>
      <c r="BKQ187" s="117"/>
      <c r="BKR187" s="117"/>
      <c r="BKS187" s="117"/>
      <c r="BKT187" s="117"/>
      <c r="BKU187" s="117"/>
      <c r="BKV187" s="117"/>
      <c r="BKW187" s="117"/>
      <c r="BKX187" s="117"/>
      <c r="BKY187" s="117"/>
      <c r="BKZ187" s="117"/>
      <c r="BLA187" s="117"/>
      <c r="BLB187" s="117"/>
      <c r="BLC187" s="117"/>
      <c r="BLD187" s="117"/>
      <c r="BLE187" s="117"/>
      <c r="BLF187" s="117"/>
      <c r="BLG187" s="117"/>
      <c r="BLH187" s="117"/>
      <c r="BLI187" s="117"/>
      <c r="BLJ187" s="117"/>
      <c r="BLK187" s="117"/>
      <c r="BLL187" s="117"/>
      <c r="BLM187" s="117"/>
      <c r="BLN187" s="117"/>
      <c r="BLO187" s="117"/>
      <c r="BLP187" s="117"/>
      <c r="BLQ187" s="117"/>
      <c r="BLR187" s="117"/>
      <c r="BLS187" s="117"/>
      <c r="BLT187" s="117"/>
      <c r="BLU187" s="117"/>
      <c r="BLV187" s="117"/>
      <c r="BLW187" s="117"/>
      <c r="BLX187" s="117"/>
      <c r="BLY187" s="117"/>
      <c r="BLZ187" s="117"/>
      <c r="BMA187" s="117"/>
      <c r="BMB187" s="117"/>
      <c r="BMC187" s="117"/>
      <c r="BMD187" s="117"/>
      <c r="BME187" s="117"/>
      <c r="BMF187" s="117"/>
      <c r="BMG187" s="117"/>
      <c r="BMH187" s="117"/>
      <c r="BMI187" s="117"/>
      <c r="BMJ187" s="117"/>
      <c r="BMK187" s="117"/>
      <c r="BML187" s="117"/>
      <c r="BMM187" s="117"/>
      <c r="BMN187" s="117"/>
      <c r="BMO187" s="117"/>
      <c r="BMP187" s="117"/>
      <c r="BMQ187" s="117"/>
      <c r="BMR187" s="117"/>
      <c r="BMS187" s="117"/>
      <c r="BMT187" s="117"/>
      <c r="BMU187" s="117"/>
      <c r="BMV187" s="117"/>
      <c r="BMW187" s="117"/>
      <c r="BMX187" s="117"/>
      <c r="BMY187" s="117"/>
      <c r="BMZ187" s="117"/>
      <c r="BNA187" s="117"/>
      <c r="BNB187" s="117"/>
      <c r="BNC187" s="117"/>
      <c r="BND187" s="117"/>
      <c r="BNE187" s="117"/>
      <c r="BNF187" s="117"/>
      <c r="BNG187" s="117"/>
      <c r="BNH187" s="117"/>
      <c r="BNI187" s="117"/>
      <c r="BNJ187" s="117"/>
      <c r="BNK187" s="117"/>
      <c r="BNL187" s="117"/>
      <c r="BNM187" s="117"/>
      <c r="BNN187" s="117"/>
      <c r="BNO187" s="117"/>
      <c r="BNP187" s="117"/>
      <c r="BNQ187" s="117"/>
      <c r="BNR187" s="117"/>
      <c r="BNS187" s="117"/>
      <c r="BNT187" s="117"/>
      <c r="BNU187" s="117"/>
      <c r="BNV187" s="117"/>
      <c r="BNW187" s="117"/>
      <c r="BNX187" s="117"/>
      <c r="BNY187" s="117"/>
      <c r="BNZ187" s="117"/>
      <c r="BOA187" s="117"/>
      <c r="BOB187" s="117"/>
      <c r="BOC187" s="117"/>
      <c r="BOD187" s="117"/>
      <c r="BOE187" s="117"/>
      <c r="BOF187" s="117"/>
      <c r="BOG187" s="117"/>
      <c r="BOH187" s="117"/>
      <c r="BOI187" s="117"/>
      <c r="BOJ187" s="117"/>
      <c r="BOK187" s="117"/>
      <c r="BOL187" s="117"/>
      <c r="BOM187" s="117"/>
      <c r="BON187" s="117"/>
      <c r="BOO187" s="117"/>
      <c r="BOP187" s="117"/>
      <c r="BOQ187" s="117"/>
      <c r="BOR187" s="117"/>
      <c r="BOS187" s="117"/>
      <c r="BOT187" s="117"/>
      <c r="BOU187" s="117"/>
      <c r="BOV187" s="117"/>
      <c r="BOW187" s="117"/>
      <c r="BOX187" s="117"/>
      <c r="BOY187" s="117"/>
      <c r="BOZ187" s="117"/>
      <c r="BPA187" s="117"/>
      <c r="BPB187" s="117"/>
      <c r="BPC187" s="117"/>
      <c r="BPD187" s="117"/>
      <c r="BPE187" s="117"/>
      <c r="BPF187" s="117"/>
      <c r="BPG187" s="117"/>
      <c r="BPH187" s="117"/>
      <c r="BPI187" s="117"/>
      <c r="BPJ187" s="117"/>
      <c r="BPK187" s="117"/>
      <c r="BPL187" s="117"/>
      <c r="BPM187" s="117"/>
      <c r="BPN187" s="117"/>
      <c r="BPO187" s="117"/>
      <c r="BPP187" s="117"/>
      <c r="BPQ187" s="117"/>
      <c r="BPR187" s="117"/>
      <c r="BPS187" s="117"/>
      <c r="BPT187" s="117"/>
      <c r="BPU187" s="117"/>
      <c r="BPV187" s="117"/>
      <c r="BPW187" s="117"/>
      <c r="BPX187" s="117"/>
      <c r="BPY187" s="117"/>
      <c r="BPZ187" s="117"/>
      <c r="BQA187" s="117"/>
      <c r="BQB187" s="117"/>
      <c r="BQC187" s="117"/>
      <c r="BQD187" s="117"/>
      <c r="BQE187" s="117"/>
      <c r="BQF187" s="117"/>
      <c r="BQG187" s="117"/>
      <c r="BQH187" s="117"/>
      <c r="BQI187" s="117"/>
      <c r="BQJ187" s="117"/>
      <c r="BQK187" s="117"/>
      <c r="BQL187" s="117"/>
      <c r="BQM187" s="117"/>
      <c r="BQN187" s="117"/>
      <c r="BQO187" s="117"/>
      <c r="BQP187" s="117"/>
      <c r="BQQ187" s="117"/>
      <c r="BQR187" s="117"/>
      <c r="BQS187" s="117"/>
      <c r="BQT187" s="117"/>
      <c r="BQU187" s="117"/>
      <c r="BQV187" s="117"/>
      <c r="BQW187" s="117"/>
      <c r="BQX187" s="117"/>
      <c r="BQY187" s="117"/>
      <c r="BQZ187" s="117"/>
      <c r="BRA187" s="117"/>
      <c r="BRB187" s="117"/>
      <c r="BRC187" s="117"/>
      <c r="BRD187" s="117"/>
      <c r="BRE187" s="117"/>
      <c r="BRF187" s="117"/>
      <c r="BRG187" s="117"/>
      <c r="BRH187" s="117"/>
      <c r="BRI187" s="117"/>
      <c r="BRJ187" s="117"/>
      <c r="BRK187" s="117"/>
      <c r="BRL187" s="117"/>
      <c r="BRM187" s="117"/>
      <c r="BRN187" s="117"/>
      <c r="BRO187" s="117"/>
      <c r="BRP187" s="117"/>
      <c r="BRQ187" s="117"/>
      <c r="BRR187" s="117"/>
      <c r="BRS187" s="117"/>
      <c r="BRT187" s="117"/>
      <c r="BRU187" s="117"/>
      <c r="BRV187" s="117"/>
      <c r="BRW187" s="117"/>
      <c r="BRX187" s="117"/>
      <c r="BRY187" s="117"/>
      <c r="BRZ187" s="117"/>
      <c r="BSA187" s="117"/>
      <c r="BSB187" s="117"/>
      <c r="BSC187" s="117"/>
      <c r="BSD187" s="117"/>
      <c r="BSE187" s="117"/>
      <c r="BSF187" s="117"/>
      <c r="BSG187" s="117"/>
      <c r="BSH187" s="117"/>
      <c r="BSI187" s="117"/>
      <c r="BSJ187" s="117"/>
      <c r="BSK187" s="117"/>
      <c r="BSL187" s="117"/>
      <c r="BSM187" s="117"/>
      <c r="BSN187" s="117"/>
      <c r="BSO187" s="117"/>
      <c r="BSP187" s="117"/>
      <c r="BSQ187" s="117"/>
      <c r="BSR187" s="117"/>
      <c r="BSS187" s="117"/>
      <c r="BST187" s="117"/>
      <c r="BSU187" s="117"/>
      <c r="BSV187" s="117"/>
      <c r="BSW187" s="117"/>
      <c r="BSX187" s="117"/>
      <c r="BSY187" s="117"/>
      <c r="BSZ187" s="117"/>
      <c r="BTA187" s="117"/>
      <c r="BTB187" s="117"/>
      <c r="BTC187" s="117"/>
      <c r="BTD187" s="117"/>
      <c r="BTE187" s="117"/>
      <c r="BTF187" s="117"/>
      <c r="BTG187" s="117"/>
      <c r="BTH187" s="117"/>
      <c r="BTI187" s="117"/>
      <c r="BTJ187" s="117"/>
      <c r="BTK187" s="117"/>
      <c r="BTL187" s="117"/>
      <c r="BTM187" s="117"/>
      <c r="BTN187" s="117"/>
      <c r="BTO187" s="117"/>
      <c r="BTP187" s="117"/>
      <c r="BTQ187" s="117"/>
      <c r="BTR187" s="117"/>
      <c r="BTS187" s="117"/>
      <c r="BTT187" s="117"/>
      <c r="BTU187" s="117"/>
      <c r="BTV187" s="117"/>
      <c r="BTW187" s="117"/>
      <c r="BTX187" s="117"/>
      <c r="BTY187" s="117"/>
      <c r="BTZ187" s="117"/>
      <c r="BUA187" s="117"/>
      <c r="BUB187" s="117"/>
      <c r="BUC187" s="117"/>
      <c r="BUD187" s="117"/>
      <c r="BUE187" s="117"/>
      <c r="BUF187" s="117"/>
      <c r="BUG187" s="117"/>
      <c r="BUH187" s="117"/>
      <c r="BUI187" s="117"/>
      <c r="BUJ187" s="117"/>
      <c r="BUK187" s="117"/>
      <c r="BUL187" s="117"/>
      <c r="BUM187" s="117"/>
      <c r="BUN187" s="117"/>
      <c r="BUO187" s="117"/>
      <c r="BUP187" s="117"/>
      <c r="BUQ187" s="117"/>
      <c r="BUR187" s="117"/>
      <c r="BUS187" s="117"/>
      <c r="BUT187" s="117"/>
      <c r="BUU187" s="117"/>
      <c r="BUV187" s="117"/>
      <c r="BUW187" s="117"/>
      <c r="BUX187" s="117"/>
      <c r="BUY187" s="117"/>
      <c r="BUZ187" s="117"/>
      <c r="BVA187" s="117"/>
      <c r="BVB187" s="117"/>
      <c r="BVC187" s="117"/>
      <c r="BVD187" s="117"/>
      <c r="BVE187" s="117"/>
      <c r="BVF187" s="117"/>
      <c r="BVG187" s="117"/>
      <c r="BVH187" s="117"/>
      <c r="BVI187" s="117"/>
      <c r="BVJ187" s="117"/>
      <c r="BVK187" s="117"/>
      <c r="BVL187" s="117"/>
      <c r="BVM187" s="117"/>
      <c r="BVN187" s="117"/>
      <c r="BVO187" s="117"/>
      <c r="BVP187" s="117"/>
      <c r="BVQ187" s="117"/>
      <c r="BVR187" s="117"/>
      <c r="BVS187" s="117"/>
      <c r="BVT187" s="117"/>
      <c r="BVU187" s="117"/>
      <c r="BVV187" s="117"/>
      <c r="BVW187" s="117"/>
      <c r="BVX187" s="117"/>
      <c r="BVY187" s="117"/>
      <c r="BVZ187" s="117"/>
      <c r="BWA187" s="117"/>
      <c r="BWB187" s="117"/>
      <c r="BWC187" s="117"/>
      <c r="BWD187" s="117"/>
      <c r="BWE187" s="117"/>
      <c r="BWF187" s="117"/>
      <c r="BWG187" s="117"/>
      <c r="BWH187" s="117"/>
      <c r="BWI187" s="117"/>
      <c r="BWJ187" s="117"/>
      <c r="BWK187" s="117"/>
      <c r="BWL187" s="117"/>
      <c r="BWM187" s="117"/>
      <c r="BWN187" s="117"/>
      <c r="BWO187" s="117"/>
      <c r="BWP187" s="117"/>
      <c r="BWQ187" s="117"/>
      <c r="BWR187" s="117"/>
      <c r="BWS187" s="117"/>
      <c r="BWT187" s="117"/>
      <c r="BWU187" s="117"/>
      <c r="BWV187" s="117"/>
      <c r="BWW187" s="117"/>
      <c r="BWX187" s="117"/>
      <c r="BWY187" s="117"/>
      <c r="BWZ187" s="117"/>
      <c r="BXA187" s="117"/>
      <c r="BXB187" s="117"/>
      <c r="BXC187" s="117"/>
      <c r="BXD187" s="117"/>
      <c r="BXE187" s="117"/>
      <c r="BXF187" s="117"/>
      <c r="BXG187" s="117"/>
      <c r="BXH187" s="117"/>
      <c r="BXI187" s="117"/>
      <c r="BXJ187" s="117"/>
      <c r="BXK187" s="117"/>
      <c r="BXL187" s="117"/>
      <c r="BXM187" s="117"/>
      <c r="BXN187" s="117"/>
      <c r="BXO187" s="117"/>
      <c r="BXP187" s="117"/>
      <c r="BXQ187" s="117"/>
      <c r="BXR187" s="117"/>
      <c r="BXS187" s="117"/>
      <c r="BXT187" s="117"/>
      <c r="BXU187" s="117"/>
      <c r="BXV187" s="117"/>
      <c r="BXW187" s="117"/>
      <c r="BXX187" s="117"/>
      <c r="BXY187" s="117"/>
      <c r="BXZ187" s="117"/>
      <c r="BYA187" s="117"/>
      <c r="BYB187" s="117"/>
      <c r="BYC187" s="117"/>
      <c r="BYD187" s="117"/>
      <c r="BYE187" s="117"/>
      <c r="BYF187" s="117"/>
      <c r="BYG187" s="117"/>
      <c r="BYH187" s="117"/>
      <c r="BYI187" s="117"/>
      <c r="BYJ187" s="117"/>
      <c r="BYK187" s="117"/>
      <c r="BYL187" s="117"/>
      <c r="BYM187" s="117"/>
      <c r="BYN187" s="117"/>
      <c r="BYO187" s="117"/>
      <c r="BYP187" s="117"/>
      <c r="BYQ187" s="117"/>
      <c r="BYR187" s="117"/>
      <c r="BYS187" s="117"/>
      <c r="BYT187" s="117"/>
      <c r="BYU187" s="117"/>
      <c r="BYV187" s="117"/>
      <c r="BYW187" s="117"/>
      <c r="BYX187" s="117"/>
      <c r="BYY187" s="117"/>
      <c r="BYZ187" s="117"/>
      <c r="BZA187" s="117"/>
      <c r="BZB187" s="117"/>
      <c r="BZC187" s="117"/>
      <c r="BZD187" s="117"/>
      <c r="BZE187" s="117"/>
      <c r="BZF187" s="117"/>
      <c r="BZG187" s="117"/>
      <c r="BZH187" s="117"/>
      <c r="BZI187" s="117"/>
      <c r="BZJ187" s="117"/>
      <c r="BZK187" s="117"/>
      <c r="BZL187" s="117"/>
      <c r="BZM187" s="117"/>
      <c r="BZN187" s="117"/>
      <c r="BZO187" s="117"/>
      <c r="BZP187" s="117"/>
      <c r="BZQ187" s="117"/>
      <c r="BZR187" s="117"/>
      <c r="BZS187" s="117"/>
      <c r="BZT187" s="117"/>
      <c r="BZU187" s="117"/>
      <c r="BZV187" s="117"/>
      <c r="BZW187" s="117"/>
      <c r="BZX187" s="117"/>
      <c r="BZY187" s="117"/>
      <c r="BZZ187" s="117"/>
      <c r="CAA187" s="117"/>
      <c r="CAB187" s="117"/>
      <c r="CAC187" s="117"/>
      <c r="CAD187" s="117"/>
      <c r="CAE187" s="117"/>
      <c r="CAF187" s="117"/>
      <c r="CAG187" s="117"/>
      <c r="CAH187" s="117"/>
      <c r="CAI187" s="117"/>
      <c r="CAJ187" s="117"/>
      <c r="CAK187" s="117"/>
      <c r="CAL187" s="117"/>
      <c r="CAM187" s="117"/>
      <c r="CAN187" s="117"/>
      <c r="CAO187" s="117"/>
      <c r="CAP187" s="117"/>
      <c r="CAQ187" s="117"/>
      <c r="CAR187" s="117"/>
      <c r="CAS187" s="117"/>
      <c r="CAT187" s="117"/>
      <c r="CAU187" s="117"/>
      <c r="CAV187" s="117"/>
      <c r="CAW187" s="117"/>
      <c r="CAX187" s="117"/>
      <c r="CAY187" s="117"/>
      <c r="CAZ187" s="117"/>
      <c r="CBA187" s="117"/>
      <c r="CBB187" s="117"/>
      <c r="CBC187" s="117"/>
      <c r="CBD187" s="117"/>
      <c r="CBE187" s="117"/>
      <c r="CBF187" s="117"/>
      <c r="CBG187" s="117"/>
      <c r="CBH187" s="117"/>
      <c r="CBI187" s="117"/>
      <c r="CBJ187" s="117"/>
      <c r="CBK187" s="117"/>
      <c r="CBL187" s="117"/>
      <c r="CBM187" s="117"/>
      <c r="CBN187" s="117"/>
      <c r="CBO187" s="117"/>
      <c r="CBP187" s="117"/>
      <c r="CBQ187" s="117"/>
      <c r="CBR187" s="117"/>
      <c r="CBS187" s="117"/>
      <c r="CBT187" s="117"/>
      <c r="CBU187" s="117"/>
      <c r="CBV187" s="117"/>
      <c r="CBW187" s="117"/>
      <c r="CBX187" s="117"/>
      <c r="CBY187" s="117"/>
      <c r="CBZ187" s="117"/>
      <c r="CCA187" s="117"/>
      <c r="CCB187" s="117"/>
      <c r="CCC187" s="117"/>
      <c r="CCD187" s="117"/>
      <c r="CCE187" s="117"/>
      <c r="CCF187" s="117"/>
      <c r="CCG187" s="117"/>
      <c r="CCH187" s="117"/>
      <c r="CCI187" s="117"/>
      <c r="CCJ187" s="117"/>
      <c r="CCK187" s="117"/>
      <c r="CCL187" s="117"/>
      <c r="CCM187" s="117"/>
      <c r="CCN187" s="117"/>
      <c r="CCO187" s="117"/>
      <c r="CCP187" s="117"/>
      <c r="CCQ187" s="117"/>
      <c r="CCR187" s="117"/>
      <c r="CCS187" s="117"/>
      <c r="CCT187" s="117"/>
      <c r="CCU187" s="117"/>
      <c r="CCV187" s="117"/>
      <c r="CCW187" s="117"/>
      <c r="CCX187" s="117"/>
      <c r="CCY187" s="117"/>
      <c r="CCZ187" s="117"/>
      <c r="CDA187" s="117"/>
      <c r="CDB187" s="117"/>
      <c r="CDC187" s="117"/>
      <c r="CDD187" s="117"/>
      <c r="CDE187" s="117"/>
      <c r="CDF187" s="117"/>
      <c r="CDG187" s="117"/>
      <c r="CDH187" s="117"/>
      <c r="CDI187" s="117"/>
      <c r="CDJ187" s="117"/>
      <c r="CDK187" s="117"/>
      <c r="CDL187" s="117"/>
      <c r="CDM187" s="117"/>
      <c r="CDN187" s="117"/>
      <c r="CDO187" s="117"/>
      <c r="CDP187" s="117"/>
      <c r="CDQ187" s="117"/>
      <c r="CDR187" s="117"/>
      <c r="CDS187" s="117"/>
      <c r="CDT187" s="117"/>
      <c r="CDU187" s="117"/>
      <c r="CDV187" s="117"/>
      <c r="CDW187" s="117"/>
      <c r="CDX187" s="117"/>
      <c r="CDY187" s="117"/>
      <c r="CDZ187" s="117"/>
      <c r="CEA187" s="117"/>
      <c r="CEB187" s="117"/>
      <c r="CEC187" s="117"/>
      <c r="CED187" s="117"/>
      <c r="CEE187" s="117"/>
      <c r="CEF187" s="117"/>
      <c r="CEG187" s="117"/>
      <c r="CEH187" s="117"/>
      <c r="CEI187" s="117"/>
      <c r="CEJ187" s="117"/>
      <c r="CEK187" s="117"/>
      <c r="CEL187" s="117"/>
      <c r="CEM187" s="117"/>
      <c r="CEN187" s="117"/>
      <c r="CEO187" s="117"/>
      <c r="CEP187" s="117"/>
      <c r="CEQ187" s="117"/>
      <c r="CER187" s="117"/>
      <c r="CES187" s="117"/>
      <c r="CET187" s="117"/>
      <c r="CEU187" s="117"/>
      <c r="CEV187" s="117"/>
      <c r="CEW187" s="117"/>
      <c r="CEX187" s="117"/>
      <c r="CEY187" s="117"/>
      <c r="CEZ187" s="117"/>
      <c r="CFA187" s="117"/>
      <c r="CFB187" s="117"/>
      <c r="CFC187" s="117"/>
      <c r="CFD187" s="117"/>
      <c r="CFE187" s="117"/>
      <c r="CFF187" s="117"/>
      <c r="CFG187" s="117"/>
      <c r="CFH187" s="117"/>
      <c r="CFI187" s="117"/>
      <c r="CFJ187" s="117"/>
      <c r="CFK187" s="117"/>
      <c r="CFL187" s="117"/>
      <c r="CFM187" s="117"/>
      <c r="CFN187" s="117"/>
      <c r="CFO187" s="117"/>
      <c r="CFP187" s="117"/>
      <c r="CFQ187" s="117"/>
      <c r="CFR187" s="117"/>
      <c r="CFS187" s="117"/>
      <c r="CFT187" s="117"/>
      <c r="CFU187" s="117"/>
      <c r="CFV187" s="117"/>
      <c r="CFW187" s="117"/>
      <c r="CFX187" s="117"/>
      <c r="CFY187" s="117"/>
      <c r="CFZ187" s="117"/>
      <c r="CGA187" s="117"/>
      <c r="CGB187" s="117"/>
      <c r="CGC187" s="117"/>
      <c r="CGD187" s="117"/>
      <c r="CGE187" s="117"/>
      <c r="CGF187" s="117"/>
      <c r="CGG187" s="117"/>
      <c r="CGH187" s="117"/>
      <c r="CGI187" s="117"/>
      <c r="CGJ187" s="117"/>
      <c r="CGK187" s="117"/>
      <c r="CGL187" s="117"/>
      <c r="CGM187" s="117"/>
      <c r="CGN187" s="117"/>
      <c r="CGO187" s="117"/>
      <c r="CGP187" s="117"/>
      <c r="CGQ187" s="117"/>
      <c r="CGR187" s="117"/>
      <c r="CGS187" s="117"/>
      <c r="CGT187" s="117"/>
      <c r="CGU187" s="117"/>
      <c r="CGV187" s="117"/>
      <c r="CGW187" s="117"/>
      <c r="CGX187" s="117"/>
      <c r="CGY187" s="117"/>
      <c r="CGZ187" s="117"/>
      <c r="CHA187" s="117"/>
      <c r="CHB187" s="117"/>
      <c r="CHC187" s="117"/>
      <c r="CHD187" s="117"/>
      <c r="CHE187" s="117"/>
      <c r="CHF187" s="117"/>
      <c r="CHG187" s="117"/>
      <c r="CHH187" s="117"/>
      <c r="CHI187" s="117"/>
      <c r="CHJ187" s="117"/>
      <c r="CHK187" s="117"/>
      <c r="CHL187" s="117"/>
      <c r="CHM187" s="117"/>
      <c r="CHN187" s="117"/>
      <c r="CHO187" s="117"/>
      <c r="CHP187" s="117"/>
      <c r="CHQ187" s="117"/>
      <c r="CHR187" s="117"/>
      <c r="CHS187" s="117"/>
      <c r="CHT187" s="117"/>
      <c r="CHU187" s="117"/>
      <c r="CHV187" s="117"/>
      <c r="CHW187" s="117"/>
      <c r="CHX187" s="117"/>
      <c r="CHY187" s="117"/>
      <c r="CHZ187" s="117"/>
      <c r="CIA187" s="117"/>
      <c r="CIB187" s="117"/>
      <c r="CIC187" s="117"/>
      <c r="CID187" s="117"/>
      <c r="CIE187" s="117"/>
      <c r="CIF187" s="117"/>
      <c r="CIG187" s="117"/>
      <c r="CIH187" s="117"/>
      <c r="CII187" s="117"/>
      <c r="CIJ187" s="117"/>
      <c r="CIK187" s="117"/>
      <c r="CIL187" s="117"/>
      <c r="CIM187" s="117"/>
      <c r="CIN187" s="117"/>
      <c r="CIO187" s="117"/>
      <c r="CIP187" s="117"/>
      <c r="CIQ187" s="117"/>
      <c r="CIR187" s="117"/>
      <c r="CIS187" s="117"/>
      <c r="CIT187" s="117"/>
      <c r="CIU187" s="117"/>
      <c r="CIV187" s="117"/>
      <c r="CIW187" s="117"/>
      <c r="CIX187" s="117"/>
      <c r="CIY187" s="117"/>
      <c r="CIZ187" s="117"/>
      <c r="CJA187" s="117"/>
      <c r="CJB187" s="117"/>
      <c r="CJC187" s="117"/>
      <c r="CJD187" s="117"/>
      <c r="CJE187" s="117"/>
      <c r="CJF187" s="117"/>
      <c r="CJG187" s="117"/>
      <c r="CJH187" s="117"/>
      <c r="CJI187" s="117"/>
      <c r="CJJ187" s="117"/>
      <c r="CJK187" s="117"/>
      <c r="CJL187" s="117"/>
      <c r="CJM187" s="117"/>
      <c r="CJN187" s="117"/>
      <c r="CJO187" s="117"/>
      <c r="CJP187" s="117"/>
      <c r="CJQ187" s="117"/>
      <c r="CJR187" s="117"/>
      <c r="CJS187" s="117"/>
      <c r="CJT187" s="117"/>
      <c r="CJU187" s="117"/>
      <c r="CJV187" s="117"/>
      <c r="CJW187" s="117"/>
      <c r="CJX187" s="117"/>
      <c r="CJY187" s="117"/>
      <c r="CJZ187" s="117"/>
      <c r="CKA187" s="117"/>
      <c r="CKB187" s="117"/>
      <c r="CKC187" s="117"/>
      <c r="CKD187" s="117"/>
      <c r="CKE187" s="117"/>
      <c r="CKF187" s="117"/>
      <c r="CKG187" s="117"/>
      <c r="CKH187" s="117"/>
      <c r="CKI187" s="117"/>
      <c r="CKJ187" s="117"/>
      <c r="CKK187" s="117"/>
      <c r="CKL187" s="117"/>
      <c r="CKM187" s="117"/>
      <c r="CKN187" s="117"/>
      <c r="CKO187" s="117"/>
      <c r="CKP187" s="117"/>
      <c r="CKQ187" s="117"/>
      <c r="CKR187" s="117"/>
      <c r="CKS187" s="117"/>
      <c r="CKT187" s="117"/>
      <c r="CKU187" s="117"/>
      <c r="CKV187" s="117"/>
      <c r="CKW187" s="117"/>
      <c r="CKX187" s="117"/>
      <c r="CKY187" s="117"/>
      <c r="CKZ187" s="117"/>
      <c r="CLA187" s="117"/>
      <c r="CLB187" s="117"/>
      <c r="CLC187" s="117"/>
      <c r="CLD187" s="117"/>
      <c r="CLE187" s="117"/>
      <c r="CLF187" s="117"/>
      <c r="CLG187" s="117"/>
      <c r="CLH187" s="117"/>
      <c r="CLI187" s="117"/>
      <c r="CLJ187" s="117"/>
      <c r="CLK187" s="117"/>
      <c r="CLL187" s="117"/>
      <c r="CLM187" s="117"/>
      <c r="CLN187" s="117"/>
      <c r="CLO187" s="117"/>
      <c r="CLP187" s="117"/>
      <c r="CLQ187" s="117"/>
      <c r="CLR187" s="117"/>
      <c r="CLS187" s="117"/>
      <c r="CLT187" s="117"/>
      <c r="CLU187" s="117"/>
      <c r="CLV187" s="117"/>
      <c r="CLW187" s="117"/>
      <c r="CLX187" s="117"/>
      <c r="CLY187" s="117"/>
      <c r="CLZ187" s="117"/>
      <c r="CMA187" s="117"/>
      <c r="CMB187" s="117"/>
      <c r="CMC187" s="117"/>
      <c r="CMD187" s="117"/>
      <c r="CME187" s="117"/>
      <c r="CMF187" s="117"/>
      <c r="CMG187" s="117"/>
      <c r="CMH187" s="117"/>
      <c r="CMI187" s="117"/>
      <c r="CMJ187" s="117"/>
      <c r="CMK187" s="117"/>
      <c r="CML187" s="117"/>
      <c r="CMM187" s="117"/>
      <c r="CMN187" s="117"/>
      <c r="CMO187" s="117"/>
      <c r="CMP187" s="117"/>
      <c r="CMQ187" s="117"/>
      <c r="CMR187" s="117"/>
      <c r="CMS187" s="117"/>
      <c r="CMT187" s="117"/>
      <c r="CMU187" s="117"/>
      <c r="CMV187" s="117"/>
      <c r="CMW187" s="117"/>
      <c r="CMX187" s="117"/>
      <c r="CMY187" s="117"/>
      <c r="CMZ187" s="117"/>
      <c r="CNA187" s="117"/>
      <c r="CNB187" s="117"/>
      <c r="CNC187" s="117"/>
      <c r="CND187" s="117"/>
      <c r="CNE187" s="117"/>
      <c r="CNF187" s="117"/>
      <c r="CNG187" s="117"/>
      <c r="CNH187" s="117"/>
      <c r="CNI187" s="117"/>
      <c r="CNJ187" s="117"/>
      <c r="CNK187" s="117"/>
      <c r="CNL187" s="117"/>
      <c r="CNM187" s="117"/>
      <c r="CNN187" s="117"/>
      <c r="CNO187" s="117"/>
      <c r="CNP187" s="117"/>
      <c r="CNQ187" s="117"/>
      <c r="CNR187" s="117"/>
      <c r="CNS187" s="117"/>
      <c r="CNT187" s="117"/>
      <c r="CNU187" s="117"/>
      <c r="CNV187" s="117"/>
      <c r="CNW187" s="117"/>
      <c r="CNX187" s="117"/>
      <c r="CNY187" s="117"/>
      <c r="CNZ187" s="117"/>
      <c r="COA187" s="117"/>
      <c r="COB187" s="117"/>
      <c r="COC187" s="117"/>
      <c r="COD187" s="117"/>
      <c r="COE187" s="117"/>
      <c r="COF187" s="117"/>
      <c r="COG187" s="117"/>
      <c r="COH187" s="117"/>
      <c r="COI187" s="117"/>
      <c r="COJ187" s="117"/>
      <c r="COK187" s="117"/>
      <c r="COL187" s="117"/>
      <c r="COM187" s="117"/>
      <c r="CON187" s="117"/>
      <c r="COO187" s="117"/>
      <c r="COP187" s="117"/>
      <c r="COQ187" s="117"/>
      <c r="COR187" s="117"/>
      <c r="COS187" s="117"/>
      <c r="COT187" s="117"/>
      <c r="COU187" s="117"/>
      <c r="COV187" s="117"/>
      <c r="COW187" s="117"/>
      <c r="COX187" s="117"/>
      <c r="COY187" s="117"/>
      <c r="COZ187" s="117"/>
      <c r="CPA187" s="117"/>
      <c r="CPB187" s="117"/>
      <c r="CPC187" s="117"/>
      <c r="CPD187" s="117"/>
      <c r="CPE187" s="117"/>
      <c r="CPF187" s="117"/>
      <c r="CPG187" s="117"/>
      <c r="CPH187" s="117"/>
      <c r="CPI187" s="117"/>
      <c r="CPJ187" s="117"/>
      <c r="CPK187" s="117"/>
      <c r="CPL187" s="117"/>
      <c r="CPM187" s="117"/>
      <c r="CPN187" s="117"/>
      <c r="CPO187" s="117"/>
      <c r="CPP187" s="117"/>
      <c r="CPQ187" s="117"/>
      <c r="CPR187" s="117"/>
      <c r="CPS187" s="117"/>
      <c r="CPT187" s="117"/>
      <c r="CPU187" s="117"/>
      <c r="CPV187" s="117"/>
      <c r="CPW187" s="117"/>
      <c r="CPX187" s="117"/>
      <c r="CPY187" s="117"/>
      <c r="CPZ187" s="117"/>
      <c r="CQA187" s="117"/>
      <c r="CQB187" s="117"/>
      <c r="CQC187" s="117"/>
      <c r="CQD187" s="117"/>
      <c r="CQE187" s="117"/>
      <c r="CQF187" s="117"/>
      <c r="CQG187" s="117"/>
      <c r="CQH187" s="117"/>
      <c r="CQI187" s="117"/>
      <c r="CQJ187" s="117"/>
      <c r="CQK187" s="117"/>
      <c r="CQL187" s="117"/>
      <c r="CQM187" s="117"/>
      <c r="CQN187" s="117"/>
      <c r="CQO187" s="117"/>
      <c r="CQP187" s="117"/>
      <c r="CQQ187" s="117"/>
      <c r="CQR187" s="117"/>
      <c r="CQS187" s="117"/>
      <c r="CQT187" s="117"/>
      <c r="CQU187" s="117"/>
      <c r="CQV187" s="117"/>
      <c r="CQW187" s="117"/>
      <c r="CQX187" s="117"/>
      <c r="CQY187" s="117"/>
      <c r="CQZ187" s="117"/>
      <c r="CRA187" s="117"/>
      <c r="CRB187" s="117"/>
      <c r="CRC187" s="117"/>
      <c r="CRD187" s="117"/>
      <c r="CRE187" s="117"/>
      <c r="CRF187" s="117"/>
      <c r="CRG187" s="117"/>
      <c r="CRH187" s="117"/>
      <c r="CRI187" s="117"/>
      <c r="CRJ187" s="117"/>
      <c r="CRK187" s="117"/>
      <c r="CRL187" s="117"/>
      <c r="CRM187" s="117"/>
      <c r="CRN187" s="117"/>
      <c r="CRO187" s="117"/>
      <c r="CRP187" s="117"/>
      <c r="CRQ187" s="117"/>
      <c r="CRR187" s="117"/>
      <c r="CRS187" s="117"/>
      <c r="CRT187" s="117"/>
      <c r="CRU187" s="117"/>
      <c r="CRV187" s="117"/>
      <c r="CRW187" s="117"/>
      <c r="CRX187" s="117"/>
      <c r="CRY187" s="117"/>
      <c r="CRZ187" s="117"/>
      <c r="CSA187" s="117"/>
      <c r="CSB187" s="117"/>
      <c r="CSC187" s="117"/>
      <c r="CSD187" s="117"/>
      <c r="CSE187" s="117"/>
      <c r="CSF187" s="117"/>
      <c r="CSG187" s="117"/>
      <c r="CSH187" s="117"/>
      <c r="CSI187" s="117"/>
      <c r="CSJ187" s="117"/>
      <c r="CSK187" s="117"/>
      <c r="CSL187" s="117"/>
      <c r="CSM187" s="117"/>
      <c r="CSN187" s="117"/>
      <c r="CSO187" s="117"/>
      <c r="CSP187" s="117"/>
      <c r="CSQ187" s="117"/>
      <c r="CSR187" s="117"/>
      <c r="CSS187" s="117"/>
      <c r="CST187" s="117"/>
      <c r="CSU187" s="117"/>
      <c r="CSV187" s="117"/>
      <c r="CSW187" s="117"/>
      <c r="CSX187" s="117"/>
      <c r="CSY187" s="117"/>
      <c r="CSZ187" s="117"/>
      <c r="CTA187" s="117"/>
      <c r="CTB187" s="117"/>
      <c r="CTC187" s="117"/>
      <c r="CTD187" s="117"/>
      <c r="CTE187" s="117"/>
      <c r="CTF187" s="117"/>
      <c r="CTG187" s="117"/>
      <c r="CTH187" s="117"/>
      <c r="CTI187" s="117"/>
      <c r="CTJ187" s="117"/>
      <c r="CTK187" s="117"/>
      <c r="CTL187" s="117"/>
      <c r="CTM187" s="117"/>
      <c r="CTN187" s="117"/>
      <c r="CTO187" s="117"/>
      <c r="CTP187" s="117"/>
      <c r="CTQ187" s="117"/>
      <c r="CTR187" s="117"/>
      <c r="CTS187" s="117"/>
      <c r="CTT187" s="117"/>
      <c r="CTU187" s="117"/>
      <c r="CTV187" s="117"/>
      <c r="CTW187" s="117"/>
      <c r="CTX187" s="117"/>
      <c r="CTY187" s="117"/>
      <c r="CTZ187" s="117"/>
      <c r="CUA187" s="117"/>
      <c r="CUB187" s="117"/>
      <c r="CUC187" s="117"/>
      <c r="CUD187" s="117"/>
      <c r="CUE187" s="117"/>
      <c r="CUF187" s="117"/>
      <c r="CUG187" s="117"/>
      <c r="CUH187" s="117"/>
      <c r="CUI187" s="117"/>
      <c r="CUJ187" s="117"/>
      <c r="CUK187" s="117"/>
      <c r="CUL187" s="117"/>
      <c r="CUM187" s="117"/>
      <c r="CUN187" s="117"/>
      <c r="CUO187" s="117"/>
      <c r="CUP187" s="117"/>
      <c r="CUQ187" s="117"/>
      <c r="CUR187" s="117"/>
      <c r="CUS187" s="117"/>
      <c r="CUT187" s="117"/>
      <c r="CUU187" s="117"/>
      <c r="CUV187" s="117"/>
      <c r="CUW187" s="117"/>
      <c r="CUX187" s="117"/>
      <c r="CUY187" s="117"/>
      <c r="CUZ187" s="117"/>
      <c r="CVA187" s="117"/>
      <c r="CVB187" s="117"/>
      <c r="CVC187" s="117"/>
      <c r="CVD187" s="117"/>
      <c r="CVE187" s="117"/>
      <c r="CVF187" s="117"/>
      <c r="CVG187" s="117"/>
      <c r="CVH187" s="117"/>
      <c r="CVI187" s="117"/>
      <c r="CVJ187" s="117"/>
      <c r="CVK187" s="117"/>
      <c r="CVL187" s="117"/>
      <c r="CVM187" s="117"/>
      <c r="CVN187" s="117"/>
      <c r="CVO187" s="117"/>
      <c r="CVP187" s="117"/>
      <c r="CVQ187" s="117"/>
      <c r="CVR187" s="117"/>
      <c r="CVS187" s="117"/>
      <c r="CVT187" s="117"/>
      <c r="CVU187" s="117"/>
      <c r="CVV187" s="117"/>
      <c r="CVW187" s="117"/>
      <c r="CVX187" s="117"/>
      <c r="CVY187" s="117"/>
      <c r="CVZ187" s="117"/>
      <c r="CWA187" s="117"/>
      <c r="CWB187" s="117"/>
      <c r="CWC187" s="117"/>
      <c r="CWD187" s="117"/>
      <c r="CWE187" s="117"/>
      <c r="CWF187" s="117"/>
      <c r="CWG187" s="117"/>
      <c r="CWH187" s="117"/>
      <c r="CWI187" s="117"/>
      <c r="CWJ187" s="117"/>
      <c r="CWK187" s="117"/>
      <c r="CWL187" s="117"/>
      <c r="CWM187" s="117"/>
      <c r="CWN187" s="117"/>
      <c r="CWO187" s="117"/>
      <c r="CWP187" s="117"/>
      <c r="CWQ187" s="117"/>
      <c r="CWR187" s="117"/>
      <c r="CWS187" s="117"/>
      <c r="CWT187" s="117"/>
      <c r="CWU187" s="117"/>
      <c r="CWV187" s="117"/>
      <c r="CWW187" s="117"/>
      <c r="CWX187" s="117"/>
      <c r="CWY187" s="117"/>
      <c r="CWZ187" s="117"/>
      <c r="CXA187" s="117"/>
      <c r="CXB187" s="117"/>
      <c r="CXC187" s="117"/>
      <c r="CXD187" s="117"/>
      <c r="CXE187" s="117"/>
      <c r="CXF187" s="117"/>
      <c r="CXG187" s="117"/>
      <c r="CXH187" s="117"/>
      <c r="CXI187" s="117"/>
      <c r="CXJ187" s="117"/>
      <c r="CXK187" s="117"/>
      <c r="CXL187" s="117"/>
      <c r="CXM187" s="117"/>
      <c r="CXN187" s="117"/>
      <c r="CXO187" s="117"/>
      <c r="CXP187" s="117"/>
      <c r="CXQ187" s="117"/>
      <c r="CXR187" s="117"/>
      <c r="CXS187" s="117"/>
      <c r="CXT187" s="117"/>
      <c r="CXU187" s="117"/>
      <c r="CXV187" s="117"/>
      <c r="CXW187" s="117"/>
      <c r="CXX187" s="117"/>
      <c r="CXY187" s="117"/>
      <c r="CXZ187" s="117"/>
      <c r="CYA187" s="117"/>
      <c r="CYB187" s="117"/>
      <c r="CYC187" s="117"/>
      <c r="CYD187" s="117"/>
      <c r="CYE187" s="117"/>
      <c r="CYF187" s="117"/>
      <c r="CYG187" s="117"/>
      <c r="CYH187" s="117"/>
      <c r="CYI187" s="117"/>
      <c r="CYJ187" s="117"/>
      <c r="CYK187" s="117"/>
      <c r="CYL187" s="117"/>
      <c r="CYM187" s="117"/>
      <c r="CYN187" s="117"/>
      <c r="CYO187" s="117"/>
      <c r="CYP187" s="117"/>
      <c r="CYQ187" s="117"/>
      <c r="CYR187" s="117"/>
      <c r="CYS187" s="117"/>
      <c r="CYT187" s="117"/>
      <c r="CYU187" s="117"/>
      <c r="CYV187" s="117"/>
      <c r="CYW187" s="117"/>
      <c r="CYX187" s="117"/>
      <c r="CYY187" s="117"/>
      <c r="CYZ187" s="117"/>
      <c r="CZA187" s="117"/>
      <c r="CZB187" s="117"/>
      <c r="CZC187" s="117"/>
      <c r="CZD187" s="117"/>
      <c r="CZE187" s="117"/>
      <c r="CZF187" s="117"/>
      <c r="CZG187" s="117"/>
      <c r="CZH187" s="117"/>
      <c r="CZI187" s="117"/>
      <c r="CZJ187" s="117"/>
      <c r="CZK187" s="117"/>
      <c r="CZL187" s="117"/>
      <c r="CZM187" s="117"/>
      <c r="CZN187" s="117"/>
      <c r="CZO187" s="117"/>
      <c r="CZP187" s="117"/>
      <c r="CZQ187" s="117"/>
      <c r="CZR187" s="117"/>
      <c r="CZS187" s="117"/>
      <c r="CZT187" s="117"/>
      <c r="CZU187" s="117"/>
      <c r="CZV187" s="117"/>
      <c r="CZW187" s="117"/>
      <c r="CZX187" s="117"/>
      <c r="CZY187" s="117"/>
      <c r="CZZ187" s="117"/>
      <c r="DAA187" s="117"/>
      <c r="DAB187" s="117"/>
      <c r="DAC187" s="117"/>
      <c r="DAD187" s="117"/>
      <c r="DAE187" s="117"/>
      <c r="DAF187" s="117"/>
      <c r="DAG187" s="117"/>
      <c r="DAH187" s="117"/>
      <c r="DAI187" s="117"/>
      <c r="DAJ187" s="117"/>
      <c r="DAK187" s="117"/>
      <c r="DAL187" s="117"/>
      <c r="DAM187" s="117"/>
      <c r="DAN187" s="117"/>
      <c r="DAO187" s="117"/>
      <c r="DAP187" s="117"/>
      <c r="DAQ187" s="117"/>
      <c r="DAR187" s="117"/>
      <c r="DAS187" s="117"/>
      <c r="DAT187" s="117"/>
      <c r="DAU187" s="117"/>
      <c r="DAV187" s="117"/>
      <c r="DAW187" s="117"/>
      <c r="DAX187" s="117"/>
      <c r="DAY187" s="117"/>
      <c r="DAZ187" s="117"/>
      <c r="DBA187" s="117"/>
      <c r="DBB187" s="117"/>
      <c r="DBC187" s="117"/>
      <c r="DBD187" s="117"/>
      <c r="DBE187" s="117"/>
      <c r="DBF187" s="117"/>
      <c r="DBG187" s="117"/>
      <c r="DBH187" s="117"/>
      <c r="DBI187" s="117"/>
      <c r="DBJ187" s="117"/>
      <c r="DBK187" s="117"/>
      <c r="DBL187" s="117"/>
      <c r="DBM187" s="117"/>
      <c r="DBN187" s="117"/>
      <c r="DBO187" s="117"/>
      <c r="DBP187" s="117"/>
      <c r="DBQ187" s="117"/>
      <c r="DBR187" s="117"/>
      <c r="DBS187" s="117"/>
      <c r="DBT187" s="117"/>
      <c r="DBU187" s="117"/>
      <c r="DBV187" s="117"/>
      <c r="DBW187" s="117"/>
      <c r="DBX187" s="117"/>
      <c r="DBY187" s="117"/>
      <c r="DBZ187" s="117"/>
      <c r="DCA187" s="117"/>
      <c r="DCB187" s="117"/>
      <c r="DCC187" s="117"/>
      <c r="DCD187" s="117"/>
      <c r="DCE187" s="117"/>
      <c r="DCF187" s="117"/>
      <c r="DCG187" s="117"/>
      <c r="DCH187" s="117"/>
      <c r="DCI187" s="117"/>
      <c r="DCJ187" s="117"/>
      <c r="DCK187" s="117"/>
      <c r="DCL187" s="117"/>
      <c r="DCM187" s="117"/>
      <c r="DCN187" s="117"/>
      <c r="DCO187" s="117"/>
      <c r="DCP187" s="117"/>
      <c r="DCQ187" s="117"/>
      <c r="DCR187" s="117"/>
      <c r="DCS187" s="117"/>
      <c r="DCT187" s="117"/>
      <c r="DCU187" s="117"/>
      <c r="DCV187" s="117"/>
      <c r="DCW187" s="117"/>
      <c r="DCX187" s="117"/>
      <c r="DCY187" s="117"/>
      <c r="DCZ187" s="117"/>
      <c r="DDA187" s="117"/>
      <c r="DDB187" s="117"/>
      <c r="DDC187" s="117"/>
      <c r="DDD187" s="117"/>
      <c r="DDE187" s="117"/>
      <c r="DDF187" s="117"/>
      <c r="DDG187" s="117"/>
      <c r="DDH187" s="117"/>
      <c r="DDI187" s="117"/>
      <c r="DDJ187" s="117"/>
      <c r="DDK187" s="117"/>
      <c r="DDL187" s="117"/>
      <c r="DDM187" s="117"/>
      <c r="DDN187" s="117"/>
      <c r="DDO187" s="117"/>
      <c r="DDP187" s="117"/>
      <c r="DDQ187" s="117"/>
      <c r="DDR187" s="117"/>
      <c r="DDS187" s="117"/>
      <c r="DDT187" s="117"/>
      <c r="DDU187" s="117"/>
      <c r="DDV187" s="117"/>
      <c r="DDW187" s="117"/>
      <c r="DDX187" s="117"/>
      <c r="DDY187" s="117"/>
      <c r="DDZ187" s="117"/>
      <c r="DEA187" s="117"/>
      <c r="DEB187" s="117"/>
      <c r="DEC187" s="117"/>
      <c r="DED187" s="117"/>
      <c r="DEE187" s="117"/>
      <c r="DEF187" s="117"/>
      <c r="DEG187" s="117"/>
      <c r="DEH187" s="117"/>
      <c r="DEI187" s="117"/>
      <c r="DEJ187" s="117"/>
      <c r="DEK187" s="117"/>
      <c r="DEL187" s="117"/>
      <c r="DEM187" s="117"/>
      <c r="DEN187" s="117"/>
      <c r="DEO187" s="117"/>
      <c r="DEP187" s="117"/>
      <c r="DEQ187" s="117"/>
      <c r="DER187" s="117"/>
      <c r="DES187" s="117"/>
      <c r="DET187" s="117"/>
      <c r="DEU187" s="117"/>
      <c r="DEV187" s="117"/>
      <c r="DEW187" s="117"/>
      <c r="DEX187" s="117"/>
      <c r="DEY187" s="117"/>
      <c r="DEZ187" s="117"/>
      <c r="DFA187" s="117"/>
      <c r="DFB187" s="117"/>
      <c r="DFC187" s="117"/>
      <c r="DFD187" s="117"/>
      <c r="DFE187" s="117"/>
      <c r="DFF187" s="117"/>
      <c r="DFG187" s="117"/>
      <c r="DFH187" s="117"/>
      <c r="DFI187" s="117"/>
      <c r="DFJ187" s="117"/>
      <c r="DFK187" s="117"/>
      <c r="DFL187" s="117"/>
      <c r="DFM187" s="117"/>
      <c r="DFN187" s="117"/>
      <c r="DFO187" s="117"/>
      <c r="DFP187" s="117"/>
      <c r="DFQ187" s="117"/>
      <c r="DFR187" s="117"/>
      <c r="DFS187" s="117"/>
      <c r="DFT187" s="117"/>
      <c r="DFU187" s="117"/>
      <c r="DFV187" s="117"/>
      <c r="DFW187" s="117"/>
      <c r="DFX187" s="117"/>
      <c r="DFY187" s="117"/>
      <c r="DFZ187" s="117"/>
      <c r="DGA187" s="117"/>
      <c r="DGB187" s="117"/>
      <c r="DGC187" s="117"/>
      <c r="DGD187" s="117"/>
      <c r="DGE187" s="117"/>
      <c r="DGF187" s="117"/>
      <c r="DGG187" s="117"/>
      <c r="DGH187" s="117"/>
      <c r="DGI187" s="117"/>
      <c r="DGJ187" s="117"/>
      <c r="DGK187" s="117"/>
      <c r="DGL187" s="117"/>
      <c r="DGM187" s="117"/>
      <c r="DGN187" s="117"/>
      <c r="DGO187" s="117"/>
      <c r="DGP187" s="117"/>
      <c r="DGQ187" s="117"/>
      <c r="DGR187" s="117"/>
      <c r="DGS187" s="117"/>
      <c r="DGT187" s="117"/>
      <c r="DGU187" s="117"/>
      <c r="DGV187" s="117"/>
      <c r="DGW187" s="117"/>
      <c r="DGX187" s="117"/>
      <c r="DGY187" s="117"/>
      <c r="DGZ187" s="117"/>
      <c r="DHA187" s="117"/>
      <c r="DHB187" s="117"/>
      <c r="DHC187" s="117"/>
      <c r="DHD187" s="117"/>
      <c r="DHE187" s="117"/>
      <c r="DHF187" s="117"/>
      <c r="DHG187" s="117"/>
      <c r="DHH187" s="117"/>
      <c r="DHI187" s="117"/>
      <c r="DHJ187" s="117"/>
      <c r="DHK187" s="117"/>
      <c r="DHL187" s="117"/>
      <c r="DHM187" s="117"/>
      <c r="DHN187" s="117"/>
      <c r="DHO187" s="117"/>
      <c r="DHP187" s="117"/>
      <c r="DHQ187" s="117"/>
      <c r="DHR187" s="117"/>
      <c r="DHS187" s="117"/>
      <c r="DHT187" s="117"/>
      <c r="DHU187" s="117"/>
      <c r="DHV187" s="117"/>
      <c r="DHW187" s="117"/>
      <c r="DHX187" s="117"/>
      <c r="DHY187" s="117"/>
      <c r="DHZ187" s="117"/>
      <c r="DIA187" s="117"/>
      <c r="DIB187" s="117"/>
      <c r="DIC187" s="117"/>
      <c r="DID187" s="117"/>
      <c r="DIE187" s="117"/>
      <c r="DIF187" s="117"/>
      <c r="DIG187" s="117"/>
      <c r="DIH187" s="117"/>
      <c r="DII187" s="117"/>
      <c r="DIJ187" s="117"/>
      <c r="DIK187" s="117"/>
      <c r="DIL187" s="117"/>
      <c r="DIM187" s="117"/>
      <c r="DIN187" s="117"/>
      <c r="DIO187" s="117"/>
      <c r="DIP187" s="117"/>
      <c r="DIQ187" s="117"/>
      <c r="DIR187" s="117"/>
      <c r="DIS187" s="117"/>
      <c r="DIT187" s="117"/>
      <c r="DIU187" s="117"/>
      <c r="DIV187" s="117"/>
      <c r="DIW187" s="117"/>
      <c r="DIX187" s="117"/>
      <c r="DIY187" s="117"/>
      <c r="DIZ187" s="117"/>
      <c r="DJA187" s="117"/>
      <c r="DJB187" s="117"/>
      <c r="DJC187" s="117"/>
      <c r="DJD187" s="117"/>
      <c r="DJE187" s="117"/>
      <c r="DJF187" s="117"/>
      <c r="DJG187" s="117"/>
      <c r="DJH187" s="117"/>
      <c r="DJI187" s="117"/>
      <c r="DJJ187" s="117"/>
      <c r="DJK187" s="117"/>
      <c r="DJL187" s="117"/>
      <c r="DJM187" s="117"/>
      <c r="DJN187" s="117"/>
      <c r="DJO187" s="117"/>
      <c r="DJP187" s="117"/>
      <c r="DJQ187" s="117"/>
      <c r="DJR187" s="117"/>
      <c r="DJS187" s="117"/>
      <c r="DJT187" s="117"/>
      <c r="DJU187" s="117"/>
      <c r="DJV187" s="117"/>
      <c r="DJW187" s="117"/>
      <c r="DJX187" s="117"/>
      <c r="DJY187" s="117"/>
      <c r="DJZ187" s="117"/>
      <c r="DKA187" s="117"/>
      <c r="DKB187" s="117"/>
      <c r="DKC187" s="117"/>
      <c r="DKD187" s="117"/>
      <c r="DKE187" s="117"/>
      <c r="DKF187" s="117"/>
      <c r="DKG187" s="117"/>
      <c r="DKH187" s="117"/>
      <c r="DKI187" s="117"/>
      <c r="DKJ187" s="117"/>
      <c r="DKK187" s="117"/>
      <c r="DKL187" s="117"/>
      <c r="DKM187" s="117"/>
      <c r="DKN187" s="117"/>
      <c r="DKO187" s="117"/>
      <c r="DKP187" s="117"/>
      <c r="DKQ187" s="117"/>
      <c r="DKR187" s="117"/>
      <c r="DKS187" s="117"/>
      <c r="DKT187" s="117"/>
      <c r="DKU187" s="117"/>
      <c r="DKV187" s="117"/>
      <c r="DKW187" s="117"/>
      <c r="DKX187" s="117"/>
      <c r="DKY187" s="117"/>
      <c r="DKZ187" s="117"/>
      <c r="DLA187" s="117"/>
      <c r="DLB187" s="117"/>
      <c r="DLC187" s="117"/>
      <c r="DLD187" s="117"/>
      <c r="DLE187" s="117"/>
      <c r="DLF187" s="117"/>
      <c r="DLG187" s="117"/>
      <c r="DLH187" s="117"/>
      <c r="DLI187" s="117"/>
      <c r="DLJ187" s="117"/>
      <c r="DLK187" s="117"/>
      <c r="DLL187" s="117"/>
      <c r="DLM187" s="117"/>
      <c r="DLN187" s="117"/>
      <c r="DLO187" s="117"/>
      <c r="DLP187" s="117"/>
      <c r="DLQ187" s="117"/>
      <c r="DLR187" s="117"/>
      <c r="DLS187" s="117"/>
      <c r="DLT187" s="117"/>
      <c r="DLU187" s="117"/>
      <c r="DLV187" s="117"/>
      <c r="DLW187" s="117"/>
      <c r="DLX187" s="117"/>
      <c r="DLY187" s="117"/>
      <c r="DLZ187" s="117"/>
      <c r="DMA187" s="117"/>
      <c r="DMB187" s="117"/>
      <c r="DMC187" s="117"/>
      <c r="DMD187" s="117"/>
      <c r="DME187" s="117"/>
      <c r="DMF187" s="117"/>
      <c r="DMG187" s="117"/>
      <c r="DMH187" s="117"/>
      <c r="DMI187" s="117"/>
      <c r="DMJ187" s="117"/>
      <c r="DMK187" s="117"/>
      <c r="DML187" s="117"/>
      <c r="DMM187" s="117"/>
      <c r="DMN187" s="117"/>
      <c r="DMO187" s="117"/>
      <c r="DMP187" s="117"/>
      <c r="DMQ187" s="117"/>
      <c r="DMR187" s="117"/>
      <c r="DMS187" s="117"/>
      <c r="DMT187" s="117"/>
      <c r="DMU187" s="117"/>
      <c r="DMV187" s="117"/>
      <c r="DMW187" s="117"/>
      <c r="DMX187" s="117"/>
      <c r="DMY187" s="117"/>
      <c r="DMZ187" s="117"/>
      <c r="DNA187" s="117"/>
      <c r="DNB187" s="117"/>
      <c r="DNC187" s="117"/>
      <c r="DND187" s="117"/>
      <c r="DNE187" s="117"/>
      <c r="DNF187" s="117"/>
      <c r="DNG187" s="117"/>
      <c r="DNH187" s="117"/>
      <c r="DNI187" s="117"/>
      <c r="DNJ187" s="117"/>
      <c r="DNK187" s="117"/>
      <c r="DNL187" s="117"/>
      <c r="DNM187" s="117"/>
      <c r="DNN187" s="117"/>
      <c r="DNO187" s="117"/>
      <c r="DNP187" s="117"/>
      <c r="DNQ187" s="117"/>
      <c r="DNR187" s="117"/>
      <c r="DNS187" s="117"/>
      <c r="DNT187" s="117"/>
      <c r="DNU187" s="117"/>
      <c r="DNV187" s="117"/>
      <c r="DNW187" s="117"/>
      <c r="DNX187" s="117"/>
      <c r="DNY187" s="117"/>
      <c r="DNZ187" s="117"/>
      <c r="DOA187" s="117"/>
      <c r="DOB187" s="117"/>
      <c r="DOC187" s="117"/>
      <c r="DOD187" s="117"/>
      <c r="DOE187" s="117"/>
      <c r="DOF187" s="117"/>
      <c r="DOG187" s="117"/>
      <c r="DOH187" s="117"/>
      <c r="DOI187" s="117"/>
      <c r="DOJ187" s="117"/>
      <c r="DOK187" s="117"/>
      <c r="DOL187" s="117"/>
      <c r="DOM187" s="117"/>
      <c r="DON187" s="117"/>
      <c r="DOO187" s="117"/>
      <c r="DOP187" s="117"/>
      <c r="DOQ187" s="117"/>
      <c r="DOR187" s="117"/>
      <c r="DOS187" s="117"/>
      <c r="DOT187" s="117"/>
      <c r="DOU187" s="117"/>
      <c r="DOV187" s="117"/>
      <c r="DOW187" s="117"/>
      <c r="DOX187" s="117"/>
      <c r="DOY187" s="117"/>
      <c r="DOZ187" s="117"/>
      <c r="DPA187" s="117"/>
      <c r="DPB187" s="117"/>
      <c r="DPC187" s="117"/>
      <c r="DPD187" s="117"/>
      <c r="DPE187" s="117"/>
      <c r="DPF187" s="117"/>
      <c r="DPG187" s="117"/>
      <c r="DPH187" s="117"/>
      <c r="DPI187" s="117"/>
      <c r="DPJ187" s="117"/>
      <c r="DPK187" s="117"/>
      <c r="DPL187" s="117"/>
      <c r="DPM187" s="117"/>
      <c r="DPN187" s="117"/>
      <c r="DPO187" s="117"/>
      <c r="DPP187" s="117"/>
      <c r="DPQ187" s="117"/>
      <c r="DPR187" s="117"/>
      <c r="DPS187" s="117"/>
      <c r="DPT187" s="117"/>
      <c r="DPU187" s="117"/>
      <c r="DPV187" s="117"/>
      <c r="DPW187" s="117"/>
      <c r="DPX187" s="117"/>
      <c r="DPY187" s="117"/>
      <c r="DPZ187" s="117"/>
      <c r="DQA187" s="117"/>
      <c r="DQB187" s="117"/>
      <c r="DQC187" s="117"/>
      <c r="DQD187" s="117"/>
      <c r="DQE187" s="117"/>
      <c r="DQF187" s="117"/>
      <c r="DQG187" s="117"/>
      <c r="DQH187" s="117"/>
      <c r="DQI187" s="117"/>
      <c r="DQJ187" s="117"/>
      <c r="DQK187" s="117"/>
      <c r="DQL187" s="117"/>
      <c r="DQM187" s="117"/>
      <c r="DQN187" s="117"/>
      <c r="DQO187" s="117"/>
      <c r="DQP187" s="117"/>
      <c r="DQQ187" s="117"/>
      <c r="DQR187" s="117"/>
      <c r="DQS187" s="117"/>
      <c r="DQT187" s="117"/>
      <c r="DQU187" s="117"/>
      <c r="DQV187" s="117"/>
      <c r="DQW187" s="117"/>
      <c r="DQX187" s="117"/>
      <c r="DQY187" s="117"/>
      <c r="DQZ187" s="117"/>
      <c r="DRA187" s="117"/>
      <c r="DRB187" s="117"/>
      <c r="DRC187" s="117"/>
      <c r="DRD187" s="117"/>
      <c r="DRE187" s="117"/>
      <c r="DRF187" s="117"/>
      <c r="DRG187" s="117"/>
      <c r="DRH187" s="117"/>
      <c r="DRI187" s="117"/>
      <c r="DRJ187" s="117"/>
      <c r="DRK187" s="117"/>
      <c r="DRL187" s="117"/>
      <c r="DRM187" s="117"/>
      <c r="DRN187" s="117"/>
      <c r="DRO187" s="117"/>
      <c r="DRP187" s="117"/>
      <c r="DRQ187" s="117"/>
      <c r="DRR187" s="117"/>
      <c r="DRS187" s="117"/>
      <c r="DRT187" s="117"/>
      <c r="DRU187" s="117"/>
      <c r="DRV187" s="117"/>
      <c r="DRW187" s="117"/>
      <c r="DRX187" s="117"/>
      <c r="DRY187" s="117"/>
      <c r="DRZ187" s="117"/>
      <c r="DSA187" s="117"/>
      <c r="DSB187" s="117"/>
      <c r="DSC187" s="117"/>
      <c r="DSD187" s="117"/>
      <c r="DSE187" s="117"/>
      <c r="DSF187" s="117"/>
      <c r="DSG187" s="117"/>
      <c r="DSH187" s="117"/>
      <c r="DSI187" s="117"/>
      <c r="DSJ187" s="117"/>
      <c r="DSK187" s="117"/>
      <c r="DSL187" s="117"/>
      <c r="DSM187" s="117"/>
      <c r="DSN187" s="117"/>
      <c r="DSO187" s="117"/>
      <c r="DSP187" s="117"/>
      <c r="DSQ187" s="117"/>
      <c r="DSR187" s="117"/>
      <c r="DSS187" s="117"/>
      <c r="DST187" s="117"/>
      <c r="DSU187" s="117"/>
      <c r="DSV187" s="117"/>
      <c r="DSW187" s="117"/>
      <c r="DSX187" s="117"/>
      <c r="DSY187" s="117"/>
      <c r="DSZ187" s="117"/>
      <c r="DTA187" s="117"/>
      <c r="DTB187" s="117"/>
      <c r="DTC187" s="117"/>
      <c r="DTD187" s="117"/>
      <c r="DTE187" s="117"/>
      <c r="DTF187" s="117"/>
      <c r="DTG187" s="117"/>
      <c r="DTH187" s="117"/>
      <c r="DTI187" s="117"/>
      <c r="DTJ187" s="117"/>
      <c r="DTK187" s="117"/>
      <c r="DTL187" s="117"/>
      <c r="DTM187" s="117"/>
      <c r="DTN187" s="117"/>
      <c r="DTO187" s="117"/>
      <c r="DTP187" s="117"/>
      <c r="DTQ187" s="117"/>
      <c r="DTR187" s="117"/>
      <c r="DTS187" s="117"/>
      <c r="DTT187" s="117"/>
      <c r="DTU187" s="117"/>
      <c r="DTV187" s="117"/>
      <c r="DTW187" s="117"/>
      <c r="DTX187" s="117"/>
      <c r="DTY187" s="117"/>
      <c r="DTZ187" s="117"/>
      <c r="DUA187" s="117"/>
      <c r="DUB187" s="117"/>
      <c r="DUC187" s="117"/>
      <c r="DUD187" s="117"/>
      <c r="DUE187" s="117"/>
      <c r="DUF187" s="117"/>
      <c r="DUG187" s="117"/>
      <c r="DUH187" s="117"/>
      <c r="DUI187" s="117"/>
      <c r="DUJ187" s="117"/>
      <c r="DUK187" s="117"/>
      <c r="DUL187" s="117"/>
      <c r="DUM187" s="117"/>
      <c r="DUN187" s="117"/>
      <c r="DUO187" s="117"/>
      <c r="DUP187" s="117"/>
      <c r="DUQ187" s="117"/>
      <c r="DUR187" s="117"/>
      <c r="DUS187" s="117"/>
      <c r="DUT187" s="117"/>
      <c r="DUU187" s="117"/>
      <c r="DUV187" s="117"/>
      <c r="DUW187" s="117"/>
      <c r="DUX187" s="117"/>
      <c r="DUY187" s="117"/>
      <c r="DUZ187" s="117"/>
      <c r="DVA187" s="117"/>
      <c r="DVB187" s="117"/>
      <c r="DVC187" s="117"/>
      <c r="DVD187" s="117"/>
      <c r="DVE187" s="117"/>
      <c r="DVF187" s="117"/>
      <c r="DVG187" s="117"/>
      <c r="DVH187" s="117"/>
      <c r="DVI187" s="117"/>
      <c r="DVJ187" s="117"/>
      <c r="DVK187" s="117"/>
      <c r="DVL187" s="117"/>
      <c r="DVM187" s="117"/>
      <c r="DVN187" s="117"/>
      <c r="DVO187" s="117"/>
      <c r="DVP187" s="117"/>
      <c r="DVQ187" s="117"/>
      <c r="DVR187" s="117"/>
      <c r="DVS187" s="117"/>
      <c r="DVT187" s="117"/>
      <c r="DVU187" s="117"/>
      <c r="DVV187" s="117"/>
      <c r="DVW187" s="117"/>
      <c r="DVX187" s="117"/>
      <c r="DVY187" s="117"/>
      <c r="DVZ187" s="117"/>
      <c r="DWA187" s="117"/>
      <c r="DWB187" s="117"/>
      <c r="DWC187" s="117"/>
      <c r="DWD187" s="117"/>
      <c r="DWE187" s="117"/>
      <c r="DWF187" s="117"/>
      <c r="DWG187" s="117"/>
      <c r="DWH187" s="117"/>
      <c r="DWI187" s="117"/>
      <c r="DWJ187" s="117"/>
      <c r="DWK187" s="117"/>
      <c r="DWL187" s="117"/>
      <c r="DWM187" s="117"/>
      <c r="DWN187" s="117"/>
      <c r="DWO187" s="117"/>
      <c r="DWP187" s="117"/>
      <c r="DWQ187" s="117"/>
      <c r="DWR187" s="117"/>
      <c r="DWS187" s="117"/>
      <c r="DWT187" s="117"/>
      <c r="DWU187" s="117"/>
      <c r="DWV187" s="117"/>
      <c r="DWW187" s="117"/>
      <c r="DWX187" s="117"/>
      <c r="DWY187" s="117"/>
      <c r="DWZ187" s="117"/>
      <c r="DXA187" s="117"/>
      <c r="DXB187" s="117"/>
      <c r="DXC187" s="117"/>
      <c r="DXD187" s="117"/>
      <c r="DXE187" s="117"/>
      <c r="DXF187" s="117"/>
      <c r="DXG187" s="117"/>
      <c r="DXH187" s="117"/>
      <c r="DXI187" s="117"/>
      <c r="DXJ187" s="117"/>
      <c r="DXK187" s="117"/>
      <c r="DXL187" s="117"/>
      <c r="DXM187" s="117"/>
      <c r="DXN187" s="117"/>
      <c r="DXO187" s="117"/>
      <c r="DXP187" s="117"/>
      <c r="DXQ187" s="117"/>
      <c r="DXR187" s="117"/>
      <c r="DXS187" s="117"/>
      <c r="DXT187" s="117"/>
      <c r="DXU187" s="117"/>
      <c r="DXV187" s="117"/>
      <c r="DXW187" s="117"/>
      <c r="DXX187" s="117"/>
      <c r="DXY187" s="117"/>
      <c r="DXZ187" s="117"/>
      <c r="DYA187" s="117"/>
      <c r="DYB187" s="117"/>
      <c r="DYC187" s="117"/>
      <c r="DYD187" s="117"/>
      <c r="DYE187" s="117"/>
      <c r="DYF187" s="117"/>
      <c r="DYG187" s="117"/>
      <c r="DYH187" s="117"/>
      <c r="DYI187" s="117"/>
      <c r="DYJ187" s="117"/>
      <c r="DYK187" s="117"/>
      <c r="DYL187" s="117"/>
      <c r="DYM187" s="117"/>
      <c r="DYN187" s="117"/>
      <c r="DYO187" s="117"/>
      <c r="DYP187" s="117"/>
      <c r="DYQ187" s="117"/>
      <c r="DYR187" s="117"/>
      <c r="DYS187" s="117"/>
      <c r="DYT187" s="117"/>
      <c r="DYU187" s="117"/>
      <c r="DYV187" s="117"/>
      <c r="DYW187" s="117"/>
      <c r="DYX187" s="117"/>
      <c r="DYY187" s="117"/>
      <c r="DYZ187" s="117"/>
      <c r="DZA187" s="117"/>
      <c r="DZB187" s="117"/>
      <c r="DZC187" s="117"/>
      <c r="DZD187" s="117"/>
      <c r="DZE187" s="117"/>
      <c r="DZF187" s="117"/>
      <c r="DZG187" s="117"/>
      <c r="DZH187" s="117"/>
      <c r="DZI187" s="117"/>
      <c r="DZJ187" s="117"/>
      <c r="DZK187" s="117"/>
      <c r="DZL187" s="117"/>
      <c r="DZM187" s="117"/>
      <c r="DZN187" s="117"/>
      <c r="DZO187" s="117"/>
      <c r="DZP187" s="117"/>
      <c r="DZQ187" s="117"/>
      <c r="DZR187" s="117"/>
      <c r="DZS187" s="117"/>
      <c r="DZT187" s="117"/>
      <c r="DZU187" s="117"/>
      <c r="DZV187" s="117"/>
      <c r="DZW187" s="117"/>
      <c r="DZX187" s="117"/>
      <c r="DZY187" s="117"/>
      <c r="DZZ187" s="117"/>
      <c r="EAA187" s="117"/>
      <c r="EAB187" s="117"/>
      <c r="EAC187" s="117"/>
      <c r="EAD187" s="117"/>
      <c r="EAE187" s="117"/>
      <c r="EAF187" s="117"/>
      <c r="EAG187" s="117"/>
      <c r="EAH187" s="117"/>
      <c r="EAI187" s="117"/>
      <c r="EAJ187" s="117"/>
      <c r="EAK187" s="117"/>
      <c r="EAL187" s="117"/>
      <c r="EAM187" s="117"/>
      <c r="EAN187" s="117"/>
      <c r="EAO187" s="117"/>
      <c r="EAP187" s="117"/>
      <c r="EAQ187" s="117"/>
      <c r="EAR187" s="117"/>
      <c r="EAS187" s="117"/>
      <c r="EAT187" s="117"/>
      <c r="EAU187" s="117"/>
      <c r="EAV187" s="117"/>
      <c r="EAW187" s="117"/>
      <c r="EAX187" s="117"/>
      <c r="EAY187" s="117"/>
      <c r="EAZ187" s="117"/>
      <c r="EBA187" s="117"/>
      <c r="EBB187" s="117"/>
      <c r="EBC187" s="117"/>
      <c r="EBD187" s="117"/>
      <c r="EBE187" s="117"/>
      <c r="EBF187" s="117"/>
      <c r="EBG187" s="117"/>
      <c r="EBH187" s="117"/>
      <c r="EBI187" s="117"/>
      <c r="EBJ187" s="117"/>
      <c r="EBK187" s="117"/>
      <c r="EBL187" s="117"/>
      <c r="EBM187" s="117"/>
      <c r="EBN187" s="117"/>
      <c r="EBO187" s="117"/>
      <c r="EBP187" s="117"/>
      <c r="EBQ187" s="117"/>
      <c r="EBR187" s="117"/>
      <c r="EBS187" s="117"/>
      <c r="EBT187" s="117"/>
      <c r="EBU187" s="117"/>
      <c r="EBV187" s="117"/>
      <c r="EBW187" s="117"/>
      <c r="EBX187" s="117"/>
      <c r="EBY187" s="117"/>
      <c r="EBZ187" s="117"/>
      <c r="ECA187" s="117"/>
      <c r="ECB187" s="117"/>
      <c r="ECC187" s="117"/>
      <c r="ECD187" s="117"/>
      <c r="ECE187" s="117"/>
      <c r="ECF187" s="117"/>
      <c r="ECG187" s="117"/>
      <c r="ECH187" s="117"/>
      <c r="ECI187" s="117"/>
      <c r="ECJ187" s="117"/>
      <c r="ECK187" s="117"/>
      <c r="ECL187" s="117"/>
      <c r="ECM187" s="117"/>
      <c r="ECN187" s="117"/>
      <c r="ECO187" s="117"/>
      <c r="ECP187" s="117"/>
      <c r="ECQ187" s="117"/>
      <c r="ECR187" s="117"/>
      <c r="ECS187" s="117"/>
      <c r="ECT187" s="117"/>
      <c r="ECU187" s="117"/>
      <c r="ECV187" s="117"/>
      <c r="ECW187" s="117"/>
      <c r="ECX187" s="117"/>
      <c r="ECY187" s="117"/>
      <c r="ECZ187" s="117"/>
      <c r="EDA187" s="117"/>
      <c r="EDB187" s="117"/>
      <c r="EDC187" s="117"/>
      <c r="EDD187" s="117"/>
      <c r="EDE187" s="117"/>
      <c r="EDF187" s="117"/>
      <c r="EDG187" s="117"/>
      <c r="EDH187" s="117"/>
      <c r="EDI187" s="117"/>
      <c r="EDJ187" s="117"/>
      <c r="EDK187" s="117"/>
      <c r="EDL187" s="117"/>
      <c r="EDM187" s="117"/>
      <c r="EDN187" s="117"/>
      <c r="EDO187" s="117"/>
      <c r="EDP187" s="117"/>
      <c r="EDQ187" s="117"/>
      <c r="EDR187" s="117"/>
      <c r="EDS187" s="117"/>
      <c r="EDT187" s="117"/>
      <c r="EDU187" s="117"/>
      <c r="EDV187" s="117"/>
      <c r="EDW187" s="117"/>
      <c r="EDX187" s="117"/>
      <c r="EDY187" s="117"/>
      <c r="EDZ187" s="117"/>
      <c r="EEA187" s="117"/>
      <c r="EEB187" s="117"/>
      <c r="EEC187" s="117"/>
      <c r="EED187" s="117"/>
      <c r="EEE187" s="117"/>
      <c r="EEF187" s="117"/>
      <c r="EEG187" s="117"/>
      <c r="EEH187" s="117"/>
      <c r="EEI187" s="117"/>
      <c r="EEJ187" s="117"/>
      <c r="EEK187" s="117"/>
      <c r="EEL187" s="117"/>
      <c r="EEM187" s="117"/>
      <c r="EEN187" s="117"/>
      <c r="EEO187" s="117"/>
      <c r="EEP187" s="117"/>
      <c r="EEQ187" s="117"/>
      <c r="EER187" s="117"/>
      <c r="EES187" s="117"/>
      <c r="EET187" s="117"/>
      <c r="EEU187" s="117"/>
      <c r="EEV187" s="117"/>
      <c r="EEW187" s="117"/>
      <c r="EEX187" s="117"/>
      <c r="EEY187" s="117"/>
      <c r="EEZ187" s="117"/>
      <c r="EFA187" s="117"/>
      <c r="EFB187" s="117"/>
      <c r="EFC187" s="117"/>
      <c r="EFD187" s="117"/>
      <c r="EFE187" s="117"/>
      <c r="EFF187" s="117"/>
      <c r="EFG187" s="117"/>
      <c r="EFH187" s="117"/>
      <c r="EFI187" s="117"/>
      <c r="EFJ187" s="117"/>
      <c r="EFK187" s="117"/>
      <c r="EFL187" s="117"/>
      <c r="EFM187" s="117"/>
      <c r="EFN187" s="117"/>
      <c r="EFO187" s="117"/>
      <c r="EFP187" s="117"/>
      <c r="EFQ187" s="117"/>
      <c r="EFR187" s="117"/>
      <c r="EFS187" s="117"/>
      <c r="EFT187" s="117"/>
      <c r="EFU187" s="117"/>
      <c r="EFV187" s="117"/>
      <c r="EFW187" s="117"/>
      <c r="EFX187" s="117"/>
      <c r="EFY187" s="117"/>
      <c r="EFZ187" s="117"/>
      <c r="EGA187" s="117"/>
      <c r="EGB187" s="117"/>
      <c r="EGC187" s="117"/>
      <c r="EGD187" s="117"/>
      <c r="EGE187" s="117"/>
      <c r="EGF187" s="117"/>
      <c r="EGG187" s="117"/>
      <c r="EGH187" s="117"/>
      <c r="EGI187" s="117"/>
      <c r="EGJ187" s="117"/>
      <c r="EGK187" s="117"/>
      <c r="EGL187" s="117"/>
      <c r="EGM187" s="117"/>
      <c r="EGN187" s="117"/>
      <c r="EGO187" s="117"/>
      <c r="EGP187" s="117"/>
      <c r="EGQ187" s="117"/>
      <c r="EGR187" s="117"/>
      <c r="EGS187" s="117"/>
      <c r="EGT187" s="117"/>
      <c r="EGU187" s="117"/>
      <c r="EGV187" s="117"/>
      <c r="EGW187" s="117"/>
      <c r="EGX187" s="117"/>
      <c r="EGY187" s="117"/>
      <c r="EGZ187" s="117"/>
      <c r="EHA187" s="117"/>
      <c r="EHB187" s="117"/>
      <c r="EHC187" s="117"/>
      <c r="EHD187" s="117"/>
      <c r="EHE187" s="117"/>
      <c r="EHF187" s="117"/>
      <c r="EHG187" s="117"/>
      <c r="EHH187" s="117"/>
      <c r="EHI187" s="117"/>
      <c r="EHJ187" s="117"/>
      <c r="EHK187" s="117"/>
      <c r="EHL187" s="117"/>
      <c r="EHM187" s="117"/>
      <c r="EHN187" s="117"/>
      <c r="EHO187" s="117"/>
      <c r="EHP187" s="117"/>
      <c r="EHQ187" s="117"/>
      <c r="EHR187" s="117"/>
      <c r="EHS187" s="117"/>
      <c r="EHT187" s="117"/>
      <c r="EHU187" s="117"/>
      <c r="EHV187" s="117"/>
      <c r="EHW187" s="117"/>
      <c r="EHX187" s="117"/>
      <c r="EHY187" s="117"/>
      <c r="EHZ187" s="117"/>
      <c r="EIA187" s="117"/>
      <c r="EIB187" s="117"/>
      <c r="EIC187" s="117"/>
      <c r="EID187" s="117"/>
      <c r="EIE187" s="117"/>
      <c r="EIF187" s="117"/>
      <c r="EIG187" s="117"/>
      <c r="EIH187" s="117"/>
      <c r="EII187" s="117"/>
      <c r="EIJ187" s="117"/>
      <c r="EIK187" s="117"/>
      <c r="EIL187" s="117"/>
      <c r="EIM187" s="117"/>
      <c r="EIN187" s="117"/>
      <c r="EIO187" s="117"/>
      <c r="EIP187" s="117"/>
      <c r="EIQ187" s="117"/>
      <c r="EIR187" s="117"/>
      <c r="EIS187" s="117"/>
      <c r="EIT187" s="117"/>
      <c r="EIU187" s="117"/>
      <c r="EIV187" s="117"/>
      <c r="EIW187" s="117"/>
      <c r="EIX187" s="117"/>
      <c r="EIY187" s="117"/>
      <c r="EIZ187" s="117"/>
      <c r="EJA187" s="117"/>
      <c r="EJB187" s="117"/>
      <c r="EJC187" s="117"/>
      <c r="EJD187" s="117"/>
      <c r="EJE187" s="117"/>
      <c r="EJF187" s="117"/>
      <c r="EJG187" s="117"/>
      <c r="EJH187" s="117"/>
      <c r="EJI187" s="117"/>
      <c r="EJJ187" s="117"/>
      <c r="EJK187" s="117"/>
      <c r="EJL187" s="117"/>
      <c r="EJM187" s="117"/>
      <c r="EJN187" s="117"/>
      <c r="EJO187" s="117"/>
      <c r="EJP187" s="117"/>
      <c r="EJQ187" s="117"/>
      <c r="EJR187" s="117"/>
      <c r="EJS187" s="117"/>
      <c r="EJT187" s="117"/>
      <c r="EJU187" s="117"/>
      <c r="EJV187" s="117"/>
      <c r="EJW187" s="117"/>
      <c r="EJX187" s="117"/>
      <c r="EJY187" s="117"/>
      <c r="EJZ187" s="117"/>
      <c r="EKA187" s="117"/>
      <c r="EKB187" s="117"/>
      <c r="EKC187" s="117"/>
      <c r="EKD187" s="117"/>
      <c r="EKE187" s="117"/>
      <c r="EKF187" s="117"/>
      <c r="EKG187" s="117"/>
      <c r="EKH187" s="117"/>
      <c r="EKI187" s="117"/>
      <c r="EKJ187" s="117"/>
      <c r="EKK187" s="117"/>
      <c r="EKL187" s="117"/>
      <c r="EKM187" s="117"/>
      <c r="EKN187" s="117"/>
      <c r="EKO187" s="117"/>
      <c r="EKP187" s="117"/>
      <c r="EKQ187" s="117"/>
      <c r="EKR187" s="117"/>
      <c r="EKS187" s="117"/>
      <c r="EKT187" s="117"/>
      <c r="EKU187" s="117"/>
      <c r="EKV187" s="117"/>
      <c r="EKW187" s="117"/>
      <c r="EKX187" s="117"/>
      <c r="EKY187" s="117"/>
      <c r="EKZ187" s="117"/>
      <c r="ELA187" s="117"/>
      <c r="ELB187" s="117"/>
      <c r="ELC187" s="117"/>
      <c r="ELD187" s="117"/>
      <c r="ELE187" s="117"/>
      <c r="ELF187" s="117"/>
      <c r="ELG187" s="117"/>
      <c r="ELH187" s="117"/>
      <c r="ELI187" s="117"/>
      <c r="ELJ187" s="117"/>
      <c r="ELK187" s="117"/>
      <c r="ELL187" s="117"/>
      <c r="ELM187" s="117"/>
      <c r="ELN187" s="117"/>
      <c r="ELO187" s="117"/>
      <c r="ELP187" s="117"/>
      <c r="ELQ187" s="117"/>
      <c r="ELR187" s="117"/>
      <c r="ELS187" s="117"/>
      <c r="ELT187" s="117"/>
      <c r="ELU187" s="117"/>
      <c r="ELV187" s="117"/>
      <c r="ELW187" s="117"/>
      <c r="ELX187" s="117"/>
      <c r="ELY187" s="117"/>
      <c r="ELZ187" s="117"/>
      <c r="EMA187" s="117"/>
      <c r="EMB187" s="117"/>
      <c r="EMC187" s="117"/>
      <c r="EMD187" s="117"/>
      <c r="EME187" s="117"/>
      <c r="EMF187" s="117"/>
      <c r="EMG187" s="117"/>
      <c r="EMH187" s="117"/>
      <c r="EMI187" s="117"/>
      <c r="EMJ187" s="117"/>
      <c r="EMK187" s="117"/>
      <c r="EML187" s="117"/>
      <c r="EMM187" s="117"/>
      <c r="EMN187" s="117"/>
      <c r="EMO187" s="117"/>
      <c r="EMP187" s="117"/>
      <c r="EMQ187" s="117"/>
      <c r="EMR187" s="117"/>
      <c r="EMS187" s="117"/>
      <c r="EMT187" s="117"/>
      <c r="EMU187" s="117"/>
      <c r="EMV187" s="117"/>
      <c r="EMW187" s="117"/>
      <c r="EMX187" s="117"/>
      <c r="EMY187" s="117"/>
      <c r="EMZ187" s="117"/>
      <c r="ENA187" s="117"/>
      <c r="ENB187" s="117"/>
      <c r="ENC187" s="117"/>
      <c r="END187" s="117"/>
      <c r="ENE187" s="117"/>
      <c r="ENF187" s="117"/>
      <c r="ENG187" s="117"/>
      <c r="ENH187" s="117"/>
      <c r="ENI187" s="117"/>
      <c r="ENJ187" s="117"/>
      <c r="ENK187" s="117"/>
      <c r="ENL187" s="117"/>
      <c r="ENM187" s="117"/>
      <c r="ENN187" s="117"/>
      <c r="ENO187" s="117"/>
      <c r="ENP187" s="117"/>
      <c r="ENQ187" s="117"/>
      <c r="ENR187" s="117"/>
      <c r="ENS187" s="117"/>
      <c r="ENT187" s="117"/>
      <c r="ENU187" s="117"/>
      <c r="ENV187" s="117"/>
      <c r="ENW187" s="117"/>
      <c r="ENX187" s="117"/>
      <c r="ENY187" s="117"/>
      <c r="ENZ187" s="117"/>
      <c r="EOA187" s="117"/>
      <c r="EOB187" s="117"/>
      <c r="EOC187" s="117"/>
      <c r="EOD187" s="117"/>
      <c r="EOE187" s="117"/>
      <c r="EOF187" s="117"/>
      <c r="EOG187" s="117"/>
      <c r="EOH187" s="117"/>
      <c r="EOI187" s="117"/>
      <c r="EOJ187" s="117"/>
      <c r="EOK187" s="117"/>
      <c r="EOL187" s="117"/>
      <c r="EOM187" s="117"/>
      <c r="EON187" s="117"/>
      <c r="EOO187" s="117"/>
      <c r="EOP187" s="117"/>
      <c r="EOQ187" s="117"/>
      <c r="EOR187" s="117"/>
      <c r="EOS187" s="117"/>
      <c r="EOT187" s="117"/>
      <c r="EOU187" s="117"/>
      <c r="EOV187" s="117"/>
      <c r="EOW187" s="117"/>
      <c r="EOX187" s="117"/>
      <c r="EOY187" s="117"/>
      <c r="EOZ187" s="117"/>
      <c r="EPA187" s="117"/>
      <c r="EPB187" s="117"/>
      <c r="EPC187" s="117"/>
      <c r="EPD187" s="117"/>
      <c r="EPE187" s="117"/>
      <c r="EPF187" s="117"/>
      <c r="EPG187" s="117"/>
      <c r="EPH187" s="117"/>
      <c r="EPI187" s="117"/>
      <c r="EPJ187" s="117"/>
      <c r="EPK187" s="117"/>
      <c r="EPL187" s="117"/>
      <c r="EPM187" s="117"/>
      <c r="EPN187" s="117"/>
      <c r="EPO187" s="117"/>
      <c r="EPP187" s="117"/>
      <c r="EPQ187" s="117"/>
      <c r="EPR187" s="117"/>
      <c r="EPS187" s="117"/>
      <c r="EPT187" s="117"/>
      <c r="EPU187" s="117"/>
      <c r="EPV187" s="117"/>
      <c r="EPW187" s="117"/>
      <c r="EPX187" s="117"/>
      <c r="EPY187" s="117"/>
      <c r="EPZ187" s="117"/>
      <c r="EQA187" s="117"/>
      <c r="EQB187" s="117"/>
      <c r="EQC187" s="117"/>
      <c r="EQD187" s="117"/>
      <c r="EQE187" s="117"/>
      <c r="EQF187" s="117"/>
      <c r="EQG187" s="117"/>
      <c r="EQH187" s="117"/>
      <c r="EQI187" s="117"/>
      <c r="EQJ187" s="117"/>
      <c r="EQK187" s="117"/>
      <c r="EQL187" s="117"/>
      <c r="EQM187" s="117"/>
      <c r="EQN187" s="117"/>
      <c r="EQO187" s="117"/>
      <c r="EQP187" s="117"/>
      <c r="EQQ187" s="117"/>
      <c r="EQR187" s="117"/>
      <c r="EQS187" s="117"/>
      <c r="EQT187" s="117"/>
      <c r="EQU187" s="117"/>
      <c r="EQV187" s="117"/>
      <c r="EQW187" s="117"/>
      <c r="EQX187" s="117"/>
      <c r="EQY187" s="117"/>
      <c r="EQZ187" s="117"/>
      <c r="ERA187" s="117"/>
      <c r="ERB187" s="117"/>
      <c r="ERC187" s="117"/>
      <c r="ERD187" s="117"/>
      <c r="ERE187" s="117"/>
      <c r="ERF187" s="117"/>
      <c r="ERG187" s="117"/>
      <c r="ERH187" s="117"/>
      <c r="ERI187" s="117"/>
      <c r="ERJ187" s="117"/>
      <c r="ERK187" s="117"/>
      <c r="ERL187" s="117"/>
      <c r="ERM187" s="117"/>
      <c r="ERN187" s="117"/>
      <c r="ERO187" s="117"/>
      <c r="ERP187" s="117"/>
      <c r="ERQ187" s="117"/>
      <c r="ERR187" s="117"/>
      <c r="ERS187" s="117"/>
      <c r="ERT187" s="117"/>
      <c r="ERU187" s="117"/>
      <c r="ERV187" s="117"/>
      <c r="ERW187" s="117"/>
      <c r="ERX187" s="117"/>
      <c r="ERY187" s="117"/>
      <c r="ERZ187" s="117"/>
      <c r="ESA187" s="117"/>
      <c r="ESB187" s="117"/>
      <c r="ESC187" s="117"/>
      <c r="ESD187" s="117"/>
      <c r="ESE187" s="117"/>
      <c r="ESF187" s="117"/>
      <c r="ESG187" s="117"/>
      <c r="ESH187" s="117"/>
      <c r="ESI187" s="117"/>
      <c r="ESJ187" s="117"/>
      <c r="ESK187" s="117"/>
      <c r="ESL187" s="117"/>
      <c r="ESM187" s="117"/>
      <c r="ESN187" s="117"/>
      <c r="ESO187" s="117"/>
      <c r="ESP187" s="117"/>
      <c r="ESQ187" s="117"/>
      <c r="ESR187" s="117"/>
      <c r="ESS187" s="117"/>
      <c r="EST187" s="117"/>
      <c r="ESU187" s="117"/>
      <c r="ESV187" s="117"/>
      <c r="ESW187" s="117"/>
      <c r="ESX187" s="117"/>
      <c r="ESY187" s="117"/>
      <c r="ESZ187" s="117"/>
      <c r="ETA187" s="117"/>
      <c r="ETB187" s="117"/>
      <c r="ETC187" s="117"/>
      <c r="ETD187" s="117"/>
      <c r="ETE187" s="117"/>
      <c r="ETF187" s="117"/>
      <c r="ETG187" s="117"/>
      <c r="ETH187" s="117"/>
      <c r="ETI187" s="117"/>
      <c r="ETJ187" s="117"/>
      <c r="ETK187" s="117"/>
      <c r="ETL187" s="117"/>
      <c r="ETM187" s="117"/>
      <c r="ETN187" s="117"/>
      <c r="ETO187" s="117"/>
      <c r="ETP187" s="117"/>
      <c r="ETQ187" s="117"/>
      <c r="ETR187" s="117"/>
      <c r="ETS187" s="117"/>
      <c r="ETT187" s="117"/>
      <c r="ETU187" s="117"/>
      <c r="ETV187" s="117"/>
      <c r="ETW187" s="117"/>
      <c r="ETX187" s="117"/>
      <c r="ETY187" s="117"/>
      <c r="ETZ187" s="117"/>
      <c r="EUA187" s="117"/>
      <c r="EUB187" s="117"/>
      <c r="EUC187" s="117"/>
      <c r="EUD187" s="117"/>
      <c r="EUE187" s="117"/>
      <c r="EUF187" s="117"/>
      <c r="EUG187" s="117"/>
      <c r="EUH187" s="117"/>
      <c r="EUI187" s="117"/>
      <c r="EUJ187" s="117"/>
      <c r="EUK187" s="117"/>
      <c r="EUL187" s="117"/>
      <c r="EUM187" s="117"/>
      <c r="EUN187" s="117"/>
      <c r="EUO187" s="117"/>
      <c r="EUP187" s="117"/>
      <c r="EUQ187" s="117"/>
      <c r="EUR187" s="117"/>
      <c r="EUS187" s="117"/>
      <c r="EUT187" s="117"/>
      <c r="EUU187" s="117"/>
      <c r="EUV187" s="117"/>
      <c r="EUW187" s="117"/>
      <c r="EUX187" s="117"/>
      <c r="EUY187" s="117"/>
      <c r="EUZ187" s="117"/>
      <c r="EVA187" s="117"/>
      <c r="EVB187" s="117"/>
      <c r="EVC187" s="117"/>
      <c r="EVD187" s="117"/>
      <c r="EVE187" s="117"/>
      <c r="EVF187" s="117"/>
      <c r="EVG187" s="117"/>
      <c r="EVH187" s="117"/>
      <c r="EVI187" s="117"/>
      <c r="EVJ187" s="117"/>
      <c r="EVK187" s="117"/>
      <c r="EVL187" s="117"/>
      <c r="EVM187" s="117"/>
      <c r="EVN187" s="117"/>
      <c r="EVO187" s="117"/>
      <c r="EVP187" s="117"/>
      <c r="EVQ187" s="117"/>
      <c r="EVR187" s="117"/>
      <c r="EVS187" s="117"/>
      <c r="EVT187" s="117"/>
      <c r="EVU187" s="117"/>
      <c r="EVV187" s="117"/>
      <c r="EVW187" s="117"/>
      <c r="EVX187" s="117"/>
      <c r="EVY187" s="117"/>
      <c r="EVZ187" s="117"/>
      <c r="EWA187" s="117"/>
      <c r="EWB187" s="117"/>
      <c r="EWC187" s="117"/>
      <c r="EWD187" s="117"/>
      <c r="EWE187" s="117"/>
      <c r="EWF187" s="117"/>
      <c r="EWG187" s="117"/>
      <c r="EWH187" s="117"/>
      <c r="EWI187" s="117"/>
      <c r="EWJ187" s="117"/>
      <c r="EWK187" s="117"/>
      <c r="EWL187" s="117"/>
      <c r="EWM187" s="117"/>
      <c r="EWN187" s="117"/>
      <c r="EWO187" s="117"/>
      <c r="EWP187" s="117"/>
      <c r="EWQ187" s="117"/>
      <c r="EWR187" s="117"/>
      <c r="EWS187" s="117"/>
      <c r="EWT187" s="117"/>
      <c r="EWU187" s="117"/>
      <c r="EWV187" s="117"/>
      <c r="EWW187" s="117"/>
      <c r="EWX187" s="117"/>
      <c r="EWY187" s="117"/>
      <c r="EWZ187" s="117"/>
      <c r="EXA187" s="117"/>
      <c r="EXB187" s="117"/>
      <c r="EXC187" s="117"/>
      <c r="EXD187" s="117"/>
      <c r="EXE187" s="117"/>
      <c r="EXF187" s="117"/>
      <c r="EXG187" s="117"/>
      <c r="EXH187" s="117"/>
      <c r="EXI187" s="117"/>
      <c r="EXJ187" s="117"/>
      <c r="EXK187" s="117"/>
      <c r="EXL187" s="117"/>
      <c r="EXM187" s="117"/>
      <c r="EXN187" s="117"/>
      <c r="EXO187" s="117"/>
      <c r="EXP187" s="117"/>
      <c r="EXQ187" s="117"/>
      <c r="EXR187" s="117"/>
      <c r="EXS187" s="117"/>
      <c r="EXT187" s="117"/>
      <c r="EXU187" s="117"/>
      <c r="EXV187" s="117"/>
      <c r="EXW187" s="117"/>
      <c r="EXX187" s="117"/>
      <c r="EXY187" s="117"/>
      <c r="EXZ187" s="117"/>
      <c r="EYA187" s="117"/>
      <c r="EYB187" s="117"/>
      <c r="EYC187" s="117"/>
      <c r="EYD187" s="117"/>
      <c r="EYE187" s="117"/>
      <c r="EYF187" s="117"/>
      <c r="EYG187" s="117"/>
      <c r="EYH187" s="117"/>
      <c r="EYI187" s="117"/>
      <c r="EYJ187" s="117"/>
      <c r="EYK187" s="117"/>
      <c r="EYL187" s="117"/>
      <c r="EYM187" s="117"/>
      <c r="EYN187" s="117"/>
      <c r="EYO187" s="117"/>
      <c r="EYP187" s="117"/>
      <c r="EYQ187" s="117"/>
      <c r="EYR187" s="117"/>
      <c r="EYS187" s="117"/>
      <c r="EYT187" s="117"/>
      <c r="EYU187" s="117"/>
      <c r="EYV187" s="117"/>
      <c r="EYW187" s="117"/>
      <c r="EYX187" s="117"/>
      <c r="EYY187" s="117"/>
      <c r="EYZ187" s="117"/>
      <c r="EZA187" s="117"/>
      <c r="EZB187" s="117"/>
      <c r="EZC187" s="117"/>
      <c r="EZD187" s="117"/>
      <c r="EZE187" s="117"/>
      <c r="EZF187" s="117"/>
      <c r="EZG187" s="117"/>
      <c r="EZH187" s="117"/>
      <c r="EZI187" s="117"/>
      <c r="EZJ187" s="117"/>
      <c r="EZK187" s="117"/>
      <c r="EZL187" s="117"/>
      <c r="EZM187" s="117"/>
      <c r="EZN187" s="117"/>
      <c r="EZO187" s="117"/>
      <c r="EZP187" s="117"/>
      <c r="EZQ187" s="117"/>
      <c r="EZR187" s="117"/>
      <c r="EZS187" s="117"/>
      <c r="EZT187" s="117"/>
      <c r="EZU187" s="117"/>
      <c r="EZV187" s="117"/>
      <c r="EZW187" s="117"/>
      <c r="EZX187" s="117"/>
      <c r="EZY187" s="117"/>
      <c r="EZZ187" s="117"/>
      <c r="FAA187" s="117"/>
      <c r="FAB187" s="117"/>
      <c r="FAC187" s="117"/>
      <c r="FAD187" s="117"/>
      <c r="FAE187" s="117"/>
      <c r="FAF187" s="117"/>
      <c r="FAG187" s="117"/>
      <c r="FAH187" s="117"/>
      <c r="FAI187" s="117"/>
      <c r="FAJ187" s="117"/>
      <c r="FAK187" s="117"/>
      <c r="FAL187" s="117"/>
      <c r="FAM187" s="117"/>
      <c r="FAN187" s="117"/>
      <c r="FAO187" s="117"/>
      <c r="FAP187" s="117"/>
      <c r="FAQ187" s="117"/>
      <c r="FAR187" s="117"/>
      <c r="FAS187" s="117"/>
      <c r="FAT187" s="117"/>
      <c r="FAU187" s="117"/>
      <c r="FAV187" s="117"/>
      <c r="FAW187" s="117"/>
      <c r="FAX187" s="117"/>
      <c r="FAY187" s="117"/>
      <c r="FAZ187" s="117"/>
      <c r="FBA187" s="117"/>
      <c r="FBB187" s="117"/>
      <c r="FBC187" s="117"/>
      <c r="FBD187" s="117"/>
      <c r="FBE187" s="117"/>
      <c r="FBF187" s="117"/>
      <c r="FBG187" s="117"/>
      <c r="FBH187" s="117"/>
      <c r="FBI187" s="117"/>
      <c r="FBJ187" s="117"/>
      <c r="FBK187" s="117"/>
      <c r="FBL187" s="117"/>
      <c r="FBM187" s="117"/>
      <c r="FBN187" s="117"/>
      <c r="FBO187" s="117"/>
      <c r="FBP187" s="117"/>
      <c r="FBQ187" s="117"/>
      <c r="FBR187" s="117"/>
      <c r="FBS187" s="117"/>
      <c r="FBT187" s="117"/>
      <c r="FBU187" s="117"/>
      <c r="FBV187" s="117"/>
      <c r="FBW187" s="117"/>
      <c r="FBX187" s="117"/>
      <c r="FBY187" s="117"/>
      <c r="FBZ187" s="117"/>
      <c r="FCA187" s="117"/>
      <c r="FCB187" s="117"/>
      <c r="FCC187" s="117"/>
      <c r="FCD187" s="117"/>
      <c r="FCE187" s="117"/>
      <c r="FCF187" s="117"/>
      <c r="FCG187" s="117"/>
      <c r="FCH187" s="117"/>
      <c r="FCI187" s="117"/>
      <c r="FCJ187" s="117"/>
      <c r="FCK187" s="117"/>
      <c r="FCL187" s="117"/>
      <c r="FCM187" s="117"/>
      <c r="FCN187" s="117"/>
      <c r="FCO187" s="117"/>
      <c r="FCP187" s="117"/>
      <c r="FCQ187" s="117"/>
      <c r="FCR187" s="117"/>
      <c r="FCS187" s="117"/>
      <c r="FCT187" s="117"/>
      <c r="FCU187" s="117"/>
      <c r="FCV187" s="117"/>
      <c r="FCW187" s="117"/>
      <c r="FCX187" s="117"/>
      <c r="FCY187" s="117"/>
      <c r="FCZ187" s="117"/>
      <c r="FDA187" s="117"/>
      <c r="FDB187" s="117"/>
      <c r="FDC187" s="117"/>
      <c r="FDD187" s="117"/>
      <c r="FDE187" s="117"/>
      <c r="FDF187" s="117"/>
      <c r="FDG187" s="117"/>
      <c r="FDH187" s="117"/>
      <c r="FDI187" s="117"/>
      <c r="FDJ187" s="117"/>
      <c r="FDK187" s="117"/>
      <c r="FDL187" s="117"/>
      <c r="FDM187" s="117"/>
      <c r="FDN187" s="117"/>
      <c r="FDO187" s="117"/>
      <c r="FDP187" s="117"/>
      <c r="FDQ187" s="117"/>
      <c r="FDR187" s="117"/>
      <c r="FDS187" s="117"/>
      <c r="FDT187" s="117"/>
      <c r="FDU187" s="117"/>
      <c r="FDV187" s="117"/>
      <c r="FDW187" s="117"/>
      <c r="FDX187" s="117"/>
      <c r="FDY187" s="117"/>
      <c r="FDZ187" s="117"/>
      <c r="FEA187" s="117"/>
      <c r="FEB187" s="117"/>
      <c r="FEC187" s="117"/>
      <c r="FED187" s="117"/>
      <c r="FEE187" s="117"/>
      <c r="FEF187" s="117"/>
      <c r="FEG187" s="117"/>
      <c r="FEH187" s="117"/>
      <c r="FEI187" s="117"/>
      <c r="FEJ187" s="117"/>
      <c r="FEK187" s="117"/>
      <c r="FEL187" s="117"/>
      <c r="FEM187" s="117"/>
      <c r="FEN187" s="117"/>
      <c r="FEO187" s="117"/>
      <c r="FEP187" s="117"/>
      <c r="FEQ187" s="117"/>
      <c r="FER187" s="117"/>
      <c r="FES187" s="117"/>
      <c r="FET187" s="117"/>
      <c r="FEU187" s="117"/>
      <c r="FEV187" s="117"/>
      <c r="FEW187" s="117"/>
      <c r="FEX187" s="117"/>
      <c r="FEY187" s="117"/>
      <c r="FEZ187" s="117"/>
      <c r="FFA187" s="117"/>
      <c r="FFB187" s="117"/>
      <c r="FFC187" s="117"/>
      <c r="FFD187" s="117"/>
      <c r="FFE187" s="117"/>
      <c r="FFF187" s="117"/>
      <c r="FFG187" s="117"/>
      <c r="FFH187" s="117"/>
      <c r="FFI187" s="117"/>
      <c r="FFJ187" s="117"/>
      <c r="FFK187" s="117"/>
      <c r="FFL187" s="117"/>
      <c r="FFM187" s="117"/>
      <c r="FFN187" s="117"/>
      <c r="FFO187" s="117"/>
      <c r="FFP187" s="117"/>
      <c r="FFQ187" s="117"/>
      <c r="FFR187" s="117"/>
      <c r="FFS187" s="117"/>
      <c r="FFT187" s="117"/>
      <c r="FFU187" s="117"/>
      <c r="FFV187" s="117"/>
      <c r="FFW187" s="117"/>
      <c r="FFX187" s="117"/>
      <c r="FFY187" s="117"/>
      <c r="FFZ187" s="117"/>
      <c r="FGA187" s="117"/>
      <c r="FGB187" s="117"/>
      <c r="FGC187" s="117"/>
      <c r="FGD187" s="117"/>
      <c r="FGE187" s="117"/>
      <c r="FGF187" s="117"/>
      <c r="FGG187" s="117"/>
      <c r="FGH187" s="117"/>
      <c r="FGI187" s="117"/>
      <c r="FGJ187" s="117"/>
      <c r="FGK187" s="117"/>
      <c r="FGL187" s="117"/>
      <c r="FGM187" s="117"/>
      <c r="FGN187" s="117"/>
      <c r="FGO187" s="117"/>
      <c r="FGP187" s="117"/>
      <c r="FGQ187" s="117"/>
      <c r="FGR187" s="117"/>
      <c r="FGS187" s="117"/>
      <c r="FGT187" s="117"/>
      <c r="FGU187" s="117"/>
      <c r="FGV187" s="117"/>
      <c r="FGW187" s="117"/>
      <c r="FGX187" s="117"/>
      <c r="FGY187" s="117"/>
      <c r="FGZ187" s="117"/>
      <c r="FHA187" s="117"/>
      <c r="FHB187" s="117"/>
      <c r="FHC187" s="117"/>
      <c r="FHD187" s="117"/>
      <c r="FHE187" s="117"/>
      <c r="FHF187" s="117"/>
      <c r="FHG187" s="117"/>
      <c r="FHH187" s="117"/>
      <c r="FHI187" s="117"/>
      <c r="FHJ187" s="117"/>
      <c r="FHK187" s="117"/>
      <c r="FHL187" s="117"/>
      <c r="FHM187" s="117"/>
      <c r="FHN187" s="117"/>
      <c r="FHO187" s="117"/>
      <c r="FHP187" s="117"/>
      <c r="FHQ187" s="117"/>
      <c r="FHR187" s="117"/>
      <c r="FHS187" s="117"/>
      <c r="FHT187" s="117"/>
      <c r="FHU187" s="117"/>
      <c r="FHV187" s="117"/>
      <c r="FHW187" s="117"/>
      <c r="FHX187" s="117"/>
      <c r="FHY187" s="117"/>
      <c r="FHZ187" s="117"/>
      <c r="FIA187" s="117"/>
      <c r="FIB187" s="117"/>
      <c r="FIC187" s="117"/>
      <c r="FID187" s="117"/>
      <c r="FIE187" s="117"/>
      <c r="FIF187" s="117"/>
      <c r="FIG187" s="117"/>
      <c r="FIH187" s="117"/>
      <c r="FII187" s="117"/>
      <c r="FIJ187" s="117"/>
      <c r="FIK187" s="117"/>
      <c r="FIL187" s="117"/>
      <c r="FIM187" s="117"/>
      <c r="FIN187" s="117"/>
      <c r="FIO187" s="117"/>
      <c r="FIP187" s="117"/>
      <c r="FIQ187" s="117"/>
      <c r="FIR187" s="117"/>
      <c r="FIS187" s="117"/>
      <c r="FIT187" s="117"/>
      <c r="FIU187" s="117"/>
      <c r="FIV187" s="117"/>
      <c r="FIW187" s="117"/>
      <c r="FIX187" s="117"/>
      <c r="FIY187" s="117"/>
      <c r="FIZ187" s="117"/>
      <c r="FJA187" s="117"/>
      <c r="FJB187" s="117"/>
      <c r="FJC187" s="117"/>
      <c r="FJD187" s="117"/>
      <c r="FJE187" s="117"/>
      <c r="FJF187" s="117"/>
      <c r="FJG187" s="117"/>
      <c r="FJH187" s="117"/>
      <c r="FJI187" s="117"/>
      <c r="FJJ187" s="117"/>
      <c r="FJK187" s="117"/>
      <c r="FJL187" s="117"/>
      <c r="FJM187" s="117"/>
      <c r="FJN187" s="117"/>
      <c r="FJO187" s="117"/>
      <c r="FJP187" s="117"/>
      <c r="FJQ187" s="117"/>
      <c r="FJR187" s="117"/>
      <c r="FJS187" s="117"/>
      <c r="FJT187" s="117"/>
      <c r="FJU187" s="117"/>
      <c r="FJV187" s="117"/>
      <c r="FJW187" s="117"/>
      <c r="FJX187" s="117"/>
      <c r="FJY187" s="117"/>
      <c r="FJZ187" s="117"/>
      <c r="FKA187" s="117"/>
      <c r="FKB187" s="117"/>
      <c r="FKC187" s="117"/>
      <c r="FKD187" s="117"/>
      <c r="FKE187" s="117"/>
      <c r="FKF187" s="117"/>
      <c r="FKG187" s="117"/>
      <c r="FKH187" s="117"/>
      <c r="FKI187" s="117"/>
      <c r="FKJ187" s="117"/>
      <c r="FKK187" s="117"/>
      <c r="FKL187" s="117"/>
      <c r="FKM187" s="117"/>
      <c r="FKN187" s="117"/>
      <c r="FKO187" s="117"/>
      <c r="FKP187" s="117"/>
      <c r="FKQ187" s="117"/>
      <c r="FKR187" s="117"/>
      <c r="FKS187" s="117"/>
      <c r="FKT187" s="117"/>
      <c r="FKU187" s="117"/>
      <c r="FKV187" s="117"/>
      <c r="FKW187" s="117"/>
      <c r="FKX187" s="117"/>
      <c r="FKY187" s="117"/>
      <c r="FKZ187" s="117"/>
      <c r="FLA187" s="117"/>
      <c r="FLB187" s="117"/>
      <c r="FLC187" s="117"/>
      <c r="FLD187" s="117"/>
      <c r="FLE187" s="117"/>
      <c r="FLF187" s="117"/>
      <c r="FLG187" s="117"/>
      <c r="FLH187" s="117"/>
      <c r="FLI187" s="117"/>
      <c r="FLJ187" s="117"/>
      <c r="FLK187" s="117"/>
      <c r="FLL187" s="117"/>
      <c r="FLM187" s="117"/>
      <c r="FLN187" s="117"/>
      <c r="FLO187" s="117"/>
      <c r="FLP187" s="117"/>
      <c r="FLQ187" s="117"/>
      <c r="FLR187" s="117"/>
      <c r="FLS187" s="117"/>
      <c r="FLT187" s="117"/>
      <c r="FLU187" s="117"/>
      <c r="FLV187" s="117"/>
      <c r="FLW187" s="117"/>
      <c r="FLX187" s="117"/>
      <c r="FLY187" s="117"/>
      <c r="FLZ187" s="117"/>
      <c r="FMA187" s="117"/>
      <c r="FMB187" s="117"/>
      <c r="FMC187" s="117"/>
      <c r="FMD187" s="117"/>
      <c r="FME187" s="117"/>
      <c r="FMF187" s="117"/>
      <c r="FMG187" s="117"/>
      <c r="FMH187" s="117"/>
      <c r="FMI187" s="117"/>
      <c r="FMJ187" s="117"/>
      <c r="FMK187" s="117"/>
      <c r="FML187" s="117"/>
      <c r="FMM187" s="117"/>
      <c r="FMN187" s="117"/>
      <c r="FMO187" s="117"/>
      <c r="FMP187" s="117"/>
      <c r="FMQ187" s="117"/>
      <c r="FMR187" s="117"/>
      <c r="FMS187" s="117"/>
      <c r="FMT187" s="117"/>
      <c r="FMU187" s="117"/>
      <c r="FMV187" s="117"/>
      <c r="FMW187" s="117"/>
      <c r="FMX187" s="117"/>
      <c r="FMY187" s="117"/>
      <c r="FMZ187" s="117"/>
      <c r="FNA187" s="117"/>
      <c r="FNB187" s="117"/>
      <c r="FNC187" s="117"/>
      <c r="FND187" s="117"/>
      <c r="FNE187" s="117"/>
      <c r="FNF187" s="117"/>
      <c r="FNG187" s="117"/>
      <c r="FNH187" s="117"/>
      <c r="FNI187" s="117"/>
      <c r="FNJ187" s="117"/>
      <c r="FNK187" s="117"/>
      <c r="FNL187" s="117"/>
      <c r="FNM187" s="117"/>
      <c r="FNN187" s="117"/>
      <c r="FNO187" s="117"/>
      <c r="FNP187" s="117"/>
      <c r="FNQ187" s="117"/>
      <c r="FNR187" s="117"/>
      <c r="FNS187" s="117"/>
      <c r="FNT187" s="117"/>
      <c r="FNU187" s="117"/>
      <c r="FNV187" s="117"/>
      <c r="FNW187" s="117"/>
      <c r="FNX187" s="117"/>
      <c r="FNY187" s="117"/>
      <c r="FNZ187" s="117"/>
      <c r="FOA187" s="117"/>
      <c r="FOB187" s="117"/>
      <c r="FOC187" s="117"/>
      <c r="FOD187" s="117"/>
      <c r="FOE187" s="117"/>
      <c r="FOF187" s="117"/>
      <c r="FOG187" s="117"/>
      <c r="FOH187" s="117"/>
      <c r="FOI187" s="117"/>
      <c r="FOJ187" s="117"/>
      <c r="FOK187" s="117"/>
      <c r="FOL187" s="117"/>
      <c r="FOM187" s="117"/>
      <c r="FON187" s="117"/>
      <c r="FOO187" s="117"/>
      <c r="FOP187" s="117"/>
      <c r="FOQ187" s="117"/>
      <c r="FOR187" s="117"/>
      <c r="FOS187" s="117"/>
      <c r="FOT187" s="117"/>
      <c r="FOU187" s="117"/>
      <c r="FOV187" s="117"/>
      <c r="FOW187" s="117"/>
      <c r="FOX187" s="117"/>
      <c r="FOY187" s="117"/>
      <c r="FOZ187" s="117"/>
      <c r="FPA187" s="117"/>
      <c r="FPB187" s="117"/>
      <c r="FPC187" s="117"/>
      <c r="FPD187" s="117"/>
      <c r="FPE187" s="117"/>
      <c r="FPF187" s="117"/>
      <c r="FPG187" s="117"/>
      <c r="FPH187" s="117"/>
      <c r="FPI187" s="117"/>
      <c r="FPJ187" s="117"/>
      <c r="FPK187" s="117"/>
      <c r="FPL187" s="117"/>
      <c r="FPM187" s="117"/>
      <c r="FPN187" s="117"/>
      <c r="FPO187" s="117"/>
      <c r="FPP187" s="117"/>
      <c r="FPQ187" s="117"/>
      <c r="FPR187" s="117"/>
      <c r="FPS187" s="117"/>
      <c r="FPT187" s="117"/>
      <c r="FPU187" s="117"/>
      <c r="FPV187" s="117"/>
      <c r="FPW187" s="117"/>
      <c r="FPX187" s="117"/>
      <c r="FPY187" s="117"/>
      <c r="FPZ187" s="117"/>
      <c r="FQA187" s="117"/>
      <c r="FQB187" s="117"/>
      <c r="FQC187" s="117"/>
      <c r="FQD187" s="117"/>
      <c r="FQE187" s="117"/>
      <c r="FQF187" s="117"/>
      <c r="FQG187" s="117"/>
      <c r="FQH187" s="117"/>
      <c r="FQI187" s="117"/>
      <c r="FQJ187" s="117"/>
      <c r="FQK187" s="117"/>
      <c r="FQL187" s="117"/>
      <c r="FQM187" s="117"/>
      <c r="FQN187" s="117"/>
      <c r="FQO187" s="117"/>
      <c r="FQP187" s="117"/>
      <c r="FQQ187" s="117"/>
      <c r="FQR187" s="117"/>
      <c r="FQS187" s="117"/>
      <c r="FQT187" s="117"/>
      <c r="FQU187" s="117"/>
      <c r="FQV187" s="117"/>
      <c r="FQW187" s="117"/>
      <c r="FQX187" s="117"/>
      <c r="FQY187" s="117"/>
      <c r="FQZ187" s="117"/>
      <c r="FRA187" s="117"/>
      <c r="FRB187" s="117"/>
      <c r="FRC187" s="117"/>
      <c r="FRD187" s="117"/>
      <c r="FRE187" s="117"/>
      <c r="FRF187" s="117"/>
      <c r="FRG187" s="117"/>
      <c r="FRH187" s="117"/>
      <c r="FRI187" s="117"/>
      <c r="FRJ187" s="117"/>
      <c r="FRK187" s="117"/>
      <c r="FRL187" s="117"/>
      <c r="FRM187" s="117"/>
      <c r="FRN187" s="117"/>
      <c r="FRO187" s="117"/>
      <c r="FRP187" s="117"/>
      <c r="FRQ187" s="117"/>
      <c r="FRR187" s="117"/>
      <c r="FRS187" s="117"/>
      <c r="FRT187" s="117"/>
      <c r="FRU187" s="117"/>
      <c r="FRV187" s="117"/>
      <c r="FRW187" s="117"/>
      <c r="FRX187" s="117"/>
      <c r="FRY187" s="117"/>
      <c r="FRZ187" s="117"/>
      <c r="FSA187" s="117"/>
      <c r="FSB187" s="117"/>
      <c r="FSC187" s="117"/>
      <c r="FSD187" s="117"/>
      <c r="FSE187" s="117"/>
      <c r="FSF187" s="117"/>
      <c r="FSG187" s="117"/>
      <c r="FSH187" s="117"/>
      <c r="FSI187" s="117"/>
      <c r="FSJ187" s="117"/>
      <c r="FSK187" s="117"/>
      <c r="FSL187" s="117"/>
      <c r="FSM187" s="117"/>
      <c r="FSN187" s="117"/>
      <c r="FSO187" s="117"/>
      <c r="FSP187" s="117"/>
      <c r="FSQ187" s="117"/>
      <c r="FSR187" s="117"/>
      <c r="FSS187" s="117"/>
      <c r="FST187" s="117"/>
      <c r="FSU187" s="117"/>
      <c r="FSV187" s="117"/>
      <c r="FSW187" s="117"/>
      <c r="FSX187" s="117"/>
      <c r="FSY187" s="117"/>
      <c r="FSZ187" s="117"/>
      <c r="FTA187" s="117"/>
      <c r="FTB187" s="117"/>
      <c r="FTC187" s="117"/>
      <c r="FTD187" s="117"/>
      <c r="FTE187" s="117"/>
      <c r="FTF187" s="117"/>
      <c r="FTG187" s="117"/>
      <c r="FTH187" s="117"/>
      <c r="FTI187" s="117"/>
      <c r="FTJ187" s="117"/>
      <c r="FTK187" s="117"/>
      <c r="FTL187" s="117"/>
      <c r="FTM187" s="117"/>
      <c r="FTN187" s="117"/>
      <c r="FTO187" s="117"/>
      <c r="FTP187" s="117"/>
      <c r="FTQ187" s="117"/>
      <c r="FTR187" s="117"/>
      <c r="FTS187" s="117"/>
      <c r="FTT187" s="117"/>
      <c r="FTU187" s="117"/>
      <c r="FTV187" s="117"/>
      <c r="FTW187" s="117"/>
      <c r="FTX187" s="117"/>
      <c r="FTY187" s="117"/>
      <c r="FTZ187" s="117"/>
      <c r="FUA187" s="117"/>
      <c r="FUB187" s="117"/>
      <c r="FUC187" s="117"/>
      <c r="FUD187" s="117"/>
      <c r="FUE187" s="117"/>
      <c r="FUF187" s="117"/>
      <c r="FUG187" s="117"/>
      <c r="FUH187" s="117"/>
      <c r="FUI187" s="117"/>
      <c r="FUJ187" s="117"/>
      <c r="FUK187" s="117"/>
      <c r="FUL187" s="117"/>
      <c r="FUM187" s="117"/>
      <c r="FUN187" s="117"/>
      <c r="FUO187" s="117"/>
      <c r="FUP187" s="117"/>
      <c r="FUQ187" s="117"/>
      <c r="FUR187" s="117"/>
      <c r="FUS187" s="117"/>
      <c r="FUT187" s="117"/>
      <c r="FUU187" s="117"/>
      <c r="FUV187" s="117"/>
      <c r="FUW187" s="117"/>
      <c r="FUX187" s="117"/>
      <c r="FUY187" s="117"/>
      <c r="FUZ187" s="117"/>
      <c r="FVA187" s="117"/>
      <c r="FVB187" s="117"/>
      <c r="FVC187" s="117"/>
      <c r="FVD187" s="117"/>
      <c r="FVE187" s="117"/>
      <c r="FVF187" s="117"/>
      <c r="FVG187" s="117"/>
      <c r="FVH187" s="117"/>
      <c r="FVI187" s="117"/>
      <c r="FVJ187" s="117"/>
      <c r="FVK187" s="117"/>
      <c r="FVL187" s="117"/>
      <c r="FVM187" s="117"/>
      <c r="FVN187" s="117"/>
      <c r="FVO187" s="117"/>
      <c r="FVP187" s="117"/>
      <c r="FVQ187" s="117"/>
      <c r="FVR187" s="117"/>
      <c r="FVS187" s="117"/>
      <c r="FVT187" s="117"/>
      <c r="FVU187" s="117"/>
      <c r="FVV187" s="117"/>
      <c r="FVW187" s="117"/>
      <c r="FVX187" s="117"/>
      <c r="FVY187" s="117"/>
      <c r="FVZ187" s="117"/>
      <c r="FWA187" s="117"/>
      <c r="FWB187" s="117"/>
      <c r="FWC187" s="117"/>
      <c r="FWD187" s="117"/>
      <c r="FWE187" s="117"/>
      <c r="FWF187" s="117"/>
      <c r="FWG187" s="117"/>
      <c r="FWH187" s="117"/>
      <c r="FWI187" s="117"/>
      <c r="FWJ187" s="117"/>
      <c r="FWK187" s="117"/>
      <c r="FWL187" s="117"/>
      <c r="FWM187" s="117"/>
      <c r="FWN187" s="117"/>
      <c r="FWO187" s="117"/>
      <c r="FWP187" s="117"/>
      <c r="FWQ187" s="117"/>
      <c r="FWR187" s="117"/>
      <c r="FWS187" s="117"/>
      <c r="FWT187" s="117"/>
      <c r="FWU187" s="117"/>
      <c r="FWV187" s="117"/>
      <c r="FWW187" s="117"/>
      <c r="FWX187" s="117"/>
      <c r="FWY187" s="117"/>
      <c r="FWZ187" s="117"/>
      <c r="FXA187" s="117"/>
      <c r="FXB187" s="117"/>
      <c r="FXC187" s="117"/>
      <c r="FXD187" s="117"/>
      <c r="FXE187" s="117"/>
      <c r="FXF187" s="117"/>
      <c r="FXG187" s="117"/>
      <c r="FXH187" s="117"/>
      <c r="FXI187" s="117"/>
      <c r="FXJ187" s="117"/>
      <c r="FXK187" s="117"/>
      <c r="FXL187" s="117"/>
      <c r="FXM187" s="117"/>
      <c r="FXN187" s="117"/>
      <c r="FXO187" s="117"/>
      <c r="FXP187" s="117"/>
      <c r="FXQ187" s="117"/>
      <c r="FXR187" s="117"/>
      <c r="FXS187" s="117"/>
      <c r="FXT187" s="117"/>
      <c r="FXU187" s="117"/>
      <c r="FXV187" s="117"/>
      <c r="FXW187" s="117"/>
      <c r="FXX187" s="117"/>
      <c r="FXY187" s="117"/>
      <c r="FXZ187" s="117"/>
      <c r="FYA187" s="117"/>
      <c r="FYB187" s="117"/>
      <c r="FYC187" s="117"/>
      <c r="FYD187" s="117"/>
      <c r="FYE187" s="117"/>
      <c r="FYF187" s="117"/>
      <c r="FYG187" s="117"/>
      <c r="FYH187" s="117"/>
      <c r="FYI187" s="117"/>
      <c r="FYJ187" s="117"/>
      <c r="FYK187" s="117"/>
      <c r="FYL187" s="117"/>
      <c r="FYM187" s="117"/>
      <c r="FYN187" s="117"/>
      <c r="FYO187" s="117"/>
      <c r="FYP187" s="117"/>
      <c r="FYQ187" s="117"/>
      <c r="FYR187" s="117"/>
      <c r="FYS187" s="117"/>
      <c r="FYT187" s="117"/>
      <c r="FYU187" s="117"/>
      <c r="FYV187" s="117"/>
      <c r="FYW187" s="117"/>
      <c r="FYX187" s="117"/>
      <c r="FYY187" s="117"/>
      <c r="FYZ187" s="117"/>
      <c r="FZA187" s="117"/>
      <c r="FZB187" s="117"/>
      <c r="FZC187" s="117"/>
      <c r="FZD187" s="117"/>
      <c r="FZE187" s="117"/>
      <c r="FZF187" s="117"/>
      <c r="FZG187" s="117"/>
      <c r="FZH187" s="117"/>
      <c r="FZI187" s="117"/>
      <c r="FZJ187" s="117"/>
      <c r="FZK187" s="117"/>
      <c r="FZL187" s="117"/>
      <c r="FZM187" s="117"/>
      <c r="FZN187" s="117"/>
      <c r="FZO187" s="117"/>
      <c r="FZP187" s="117"/>
      <c r="FZQ187" s="117"/>
      <c r="FZR187" s="117"/>
      <c r="FZS187" s="117"/>
      <c r="FZT187" s="117"/>
      <c r="FZU187" s="117"/>
      <c r="FZV187" s="117"/>
      <c r="FZW187" s="117"/>
      <c r="FZX187" s="117"/>
      <c r="FZY187" s="117"/>
      <c r="FZZ187" s="117"/>
      <c r="GAA187" s="117"/>
      <c r="GAB187" s="117"/>
      <c r="GAC187" s="117"/>
      <c r="GAD187" s="117"/>
      <c r="GAE187" s="117"/>
      <c r="GAF187" s="117"/>
      <c r="GAG187" s="117"/>
      <c r="GAH187" s="117"/>
      <c r="GAI187" s="117"/>
      <c r="GAJ187" s="117"/>
      <c r="GAK187" s="117"/>
      <c r="GAL187" s="117"/>
      <c r="GAM187" s="117"/>
      <c r="GAN187" s="117"/>
      <c r="GAO187" s="117"/>
      <c r="GAP187" s="117"/>
      <c r="GAQ187" s="117"/>
      <c r="GAR187" s="117"/>
      <c r="GAS187" s="117"/>
      <c r="GAT187" s="117"/>
      <c r="GAU187" s="117"/>
      <c r="GAV187" s="117"/>
      <c r="GAW187" s="117"/>
      <c r="GAX187" s="117"/>
      <c r="GAY187" s="117"/>
      <c r="GAZ187" s="117"/>
      <c r="GBA187" s="117"/>
      <c r="GBB187" s="117"/>
      <c r="GBC187" s="117"/>
      <c r="GBD187" s="117"/>
      <c r="GBE187" s="117"/>
      <c r="GBF187" s="117"/>
      <c r="GBG187" s="117"/>
      <c r="GBH187" s="117"/>
      <c r="GBI187" s="117"/>
      <c r="GBJ187" s="117"/>
      <c r="GBK187" s="117"/>
      <c r="GBL187" s="117"/>
      <c r="GBM187" s="117"/>
      <c r="GBN187" s="117"/>
      <c r="GBO187" s="117"/>
      <c r="GBP187" s="117"/>
      <c r="GBQ187" s="117"/>
      <c r="GBR187" s="117"/>
      <c r="GBS187" s="117"/>
      <c r="GBT187" s="117"/>
      <c r="GBU187" s="117"/>
      <c r="GBV187" s="117"/>
      <c r="GBW187" s="117"/>
      <c r="GBX187" s="117"/>
      <c r="GBY187" s="117"/>
      <c r="GBZ187" s="117"/>
      <c r="GCA187" s="117"/>
      <c r="GCB187" s="117"/>
      <c r="GCC187" s="117"/>
      <c r="GCD187" s="117"/>
      <c r="GCE187" s="117"/>
      <c r="GCF187" s="117"/>
      <c r="GCG187" s="117"/>
      <c r="GCH187" s="117"/>
      <c r="GCI187" s="117"/>
      <c r="GCJ187" s="117"/>
      <c r="GCK187" s="117"/>
      <c r="GCL187" s="117"/>
      <c r="GCM187" s="117"/>
      <c r="GCN187" s="117"/>
      <c r="GCO187" s="117"/>
      <c r="GCP187" s="117"/>
      <c r="GCQ187" s="117"/>
      <c r="GCR187" s="117"/>
      <c r="GCS187" s="117"/>
      <c r="GCT187" s="117"/>
      <c r="GCU187" s="117"/>
      <c r="GCV187" s="117"/>
      <c r="GCW187" s="117"/>
      <c r="GCX187" s="117"/>
      <c r="GCY187" s="117"/>
      <c r="GCZ187" s="117"/>
      <c r="GDA187" s="117"/>
      <c r="GDB187" s="117"/>
      <c r="GDC187" s="117"/>
      <c r="GDD187" s="117"/>
      <c r="GDE187" s="117"/>
      <c r="GDF187" s="117"/>
      <c r="GDG187" s="117"/>
      <c r="GDH187" s="117"/>
      <c r="GDI187" s="117"/>
      <c r="GDJ187" s="117"/>
      <c r="GDK187" s="117"/>
      <c r="GDL187" s="117"/>
      <c r="GDM187" s="117"/>
      <c r="GDN187" s="117"/>
      <c r="GDO187" s="117"/>
      <c r="GDP187" s="117"/>
      <c r="GDQ187" s="117"/>
      <c r="GDR187" s="117"/>
      <c r="GDS187" s="117"/>
      <c r="GDT187" s="117"/>
      <c r="GDU187" s="117"/>
      <c r="GDV187" s="117"/>
      <c r="GDW187" s="117"/>
      <c r="GDX187" s="117"/>
      <c r="GDY187" s="117"/>
      <c r="GDZ187" s="117"/>
      <c r="GEA187" s="117"/>
      <c r="GEB187" s="117"/>
      <c r="GEC187" s="117"/>
      <c r="GED187" s="117"/>
      <c r="GEE187" s="117"/>
      <c r="GEF187" s="117"/>
      <c r="GEG187" s="117"/>
      <c r="GEH187" s="117"/>
      <c r="GEI187" s="117"/>
      <c r="GEJ187" s="117"/>
      <c r="GEK187" s="117"/>
      <c r="GEL187" s="117"/>
      <c r="GEM187" s="117"/>
      <c r="GEN187" s="117"/>
      <c r="GEO187" s="117"/>
      <c r="GEP187" s="117"/>
      <c r="GEQ187" s="117"/>
      <c r="GER187" s="117"/>
      <c r="GES187" s="117"/>
      <c r="GET187" s="117"/>
      <c r="GEU187" s="117"/>
      <c r="GEV187" s="117"/>
      <c r="GEW187" s="117"/>
      <c r="GEX187" s="117"/>
      <c r="GEY187" s="117"/>
      <c r="GEZ187" s="117"/>
      <c r="GFA187" s="117"/>
      <c r="GFB187" s="117"/>
      <c r="GFC187" s="117"/>
      <c r="GFD187" s="117"/>
      <c r="GFE187" s="117"/>
      <c r="GFF187" s="117"/>
      <c r="GFG187" s="117"/>
      <c r="GFH187" s="117"/>
      <c r="GFI187" s="117"/>
      <c r="GFJ187" s="117"/>
      <c r="GFK187" s="117"/>
      <c r="GFL187" s="117"/>
      <c r="GFM187" s="117"/>
      <c r="GFN187" s="117"/>
      <c r="GFO187" s="117"/>
      <c r="GFP187" s="117"/>
      <c r="GFQ187" s="117"/>
      <c r="GFR187" s="117"/>
      <c r="GFS187" s="117"/>
      <c r="GFT187" s="117"/>
      <c r="GFU187" s="117"/>
      <c r="GFV187" s="117"/>
      <c r="GFW187" s="117"/>
      <c r="GFX187" s="117"/>
      <c r="GFY187" s="117"/>
      <c r="GFZ187" s="117"/>
      <c r="GGA187" s="117"/>
      <c r="GGB187" s="117"/>
      <c r="GGC187" s="117"/>
      <c r="GGD187" s="117"/>
      <c r="GGE187" s="117"/>
      <c r="GGF187" s="117"/>
      <c r="GGG187" s="117"/>
      <c r="GGH187" s="117"/>
      <c r="GGI187" s="117"/>
      <c r="GGJ187" s="117"/>
      <c r="GGK187" s="117"/>
      <c r="GGL187" s="117"/>
      <c r="GGM187" s="117"/>
      <c r="GGN187" s="117"/>
      <c r="GGO187" s="117"/>
      <c r="GGP187" s="117"/>
      <c r="GGQ187" s="117"/>
      <c r="GGR187" s="117"/>
      <c r="GGS187" s="117"/>
      <c r="GGT187" s="117"/>
      <c r="GGU187" s="117"/>
      <c r="GGV187" s="117"/>
      <c r="GGW187" s="117"/>
      <c r="GGX187" s="117"/>
      <c r="GGY187" s="117"/>
      <c r="GGZ187" s="117"/>
      <c r="GHA187" s="117"/>
      <c r="GHB187" s="117"/>
      <c r="GHC187" s="117"/>
      <c r="GHD187" s="117"/>
      <c r="GHE187" s="117"/>
      <c r="GHF187" s="117"/>
      <c r="GHG187" s="117"/>
      <c r="GHH187" s="117"/>
      <c r="GHI187" s="117"/>
      <c r="GHJ187" s="117"/>
      <c r="GHK187" s="117"/>
      <c r="GHL187" s="117"/>
      <c r="GHM187" s="117"/>
      <c r="GHN187" s="117"/>
      <c r="GHO187" s="117"/>
      <c r="GHP187" s="117"/>
      <c r="GHQ187" s="117"/>
      <c r="GHR187" s="117"/>
      <c r="GHS187" s="117"/>
      <c r="GHT187" s="117"/>
      <c r="GHU187" s="117"/>
      <c r="GHV187" s="117"/>
      <c r="GHW187" s="117"/>
      <c r="GHX187" s="117"/>
      <c r="GHY187" s="117"/>
      <c r="GHZ187" s="117"/>
      <c r="GIA187" s="117"/>
      <c r="GIB187" s="117"/>
      <c r="GIC187" s="117"/>
      <c r="GID187" s="117"/>
      <c r="GIE187" s="117"/>
      <c r="GIF187" s="117"/>
      <c r="GIG187" s="117"/>
      <c r="GIH187" s="117"/>
      <c r="GII187" s="117"/>
      <c r="GIJ187" s="117"/>
      <c r="GIK187" s="117"/>
      <c r="GIL187" s="117"/>
      <c r="GIM187" s="117"/>
      <c r="GIN187" s="117"/>
      <c r="GIO187" s="117"/>
      <c r="GIP187" s="117"/>
      <c r="GIQ187" s="117"/>
      <c r="GIR187" s="117"/>
      <c r="GIS187" s="117"/>
      <c r="GIT187" s="117"/>
      <c r="GIU187" s="117"/>
      <c r="GIV187" s="117"/>
      <c r="GIW187" s="117"/>
      <c r="GIX187" s="117"/>
      <c r="GIY187" s="117"/>
      <c r="GIZ187" s="117"/>
      <c r="GJA187" s="117"/>
      <c r="GJB187" s="117"/>
      <c r="GJC187" s="117"/>
      <c r="GJD187" s="117"/>
      <c r="GJE187" s="117"/>
      <c r="GJF187" s="117"/>
      <c r="GJG187" s="117"/>
      <c r="GJH187" s="117"/>
      <c r="GJI187" s="117"/>
      <c r="GJJ187" s="117"/>
      <c r="GJK187" s="117"/>
      <c r="GJL187" s="117"/>
      <c r="GJM187" s="117"/>
      <c r="GJN187" s="117"/>
      <c r="GJO187" s="117"/>
      <c r="GJP187" s="117"/>
      <c r="GJQ187" s="117"/>
      <c r="GJR187" s="117"/>
      <c r="GJS187" s="117"/>
      <c r="GJT187" s="117"/>
      <c r="GJU187" s="117"/>
      <c r="GJV187" s="117"/>
      <c r="GJW187" s="117"/>
      <c r="GJX187" s="117"/>
      <c r="GJY187" s="117"/>
      <c r="GJZ187" s="117"/>
      <c r="GKA187" s="117"/>
      <c r="GKB187" s="117"/>
      <c r="GKC187" s="117"/>
      <c r="GKD187" s="117"/>
      <c r="GKE187" s="117"/>
      <c r="GKF187" s="117"/>
      <c r="GKG187" s="117"/>
      <c r="GKH187" s="117"/>
      <c r="GKI187" s="117"/>
      <c r="GKJ187" s="117"/>
      <c r="GKK187" s="117"/>
      <c r="GKL187" s="117"/>
      <c r="GKM187" s="117"/>
      <c r="GKN187" s="117"/>
      <c r="GKO187" s="117"/>
      <c r="GKP187" s="117"/>
      <c r="GKQ187" s="117"/>
      <c r="GKR187" s="117"/>
      <c r="GKS187" s="117"/>
      <c r="GKT187" s="117"/>
      <c r="GKU187" s="117"/>
      <c r="GKV187" s="117"/>
      <c r="GKW187" s="117"/>
      <c r="GKX187" s="117"/>
      <c r="GKY187" s="117"/>
      <c r="GKZ187" s="117"/>
      <c r="GLA187" s="117"/>
      <c r="GLB187" s="117"/>
      <c r="GLC187" s="117"/>
      <c r="GLD187" s="117"/>
      <c r="GLE187" s="117"/>
      <c r="GLF187" s="117"/>
      <c r="GLG187" s="117"/>
      <c r="GLH187" s="117"/>
      <c r="GLI187" s="117"/>
      <c r="GLJ187" s="117"/>
      <c r="GLK187" s="117"/>
      <c r="GLL187" s="117"/>
      <c r="GLM187" s="117"/>
      <c r="GLN187" s="117"/>
      <c r="GLO187" s="117"/>
      <c r="GLP187" s="117"/>
      <c r="GLQ187" s="117"/>
      <c r="GLR187" s="117"/>
      <c r="GLS187" s="117"/>
      <c r="GLT187" s="117"/>
      <c r="GLU187" s="117"/>
      <c r="GLV187" s="117"/>
      <c r="GLW187" s="117"/>
      <c r="GLX187" s="117"/>
      <c r="GLY187" s="117"/>
      <c r="GLZ187" s="117"/>
      <c r="GMA187" s="117"/>
      <c r="GMB187" s="117"/>
      <c r="GMC187" s="117"/>
      <c r="GMD187" s="117"/>
      <c r="GME187" s="117"/>
      <c r="GMF187" s="117"/>
      <c r="GMG187" s="117"/>
      <c r="GMH187" s="117"/>
      <c r="GMI187" s="117"/>
      <c r="GMJ187" s="117"/>
      <c r="GMK187" s="117"/>
      <c r="GML187" s="117"/>
      <c r="GMM187" s="117"/>
      <c r="GMN187" s="117"/>
      <c r="GMO187" s="117"/>
      <c r="GMP187" s="117"/>
      <c r="GMQ187" s="117"/>
      <c r="GMR187" s="117"/>
      <c r="GMS187" s="117"/>
      <c r="GMT187" s="117"/>
      <c r="GMU187" s="117"/>
      <c r="GMV187" s="117"/>
      <c r="GMW187" s="117"/>
      <c r="GMX187" s="117"/>
      <c r="GMY187" s="117"/>
      <c r="GMZ187" s="117"/>
      <c r="GNA187" s="117"/>
      <c r="GNB187" s="117"/>
      <c r="GNC187" s="117"/>
      <c r="GND187" s="117"/>
      <c r="GNE187" s="117"/>
      <c r="GNF187" s="117"/>
      <c r="GNG187" s="117"/>
      <c r="GNH187" s="117"/>
      <c r="GNI187" s="117"/>
      <c r="GNJ187" s="117"/>
      <c r="GNK187" s="117"/>
      <c r="GNL187" s="117"/>
      <c r="GNM187" s="117"/>
      <c r="GNN187" s="117"/>
      <c r="GNO187" s="117"/>
      <c r="GNP187" s="117"/>
      <c r="GNQ187" s="117"/>
      <c r="GNR187" s="117"/>
      <c r="GNS187" s="117"/>
      <c r="GNT187" s="117"/>
      <c r="GNU187" s="117"/>
      <c r="GNV187" s="117"/>
      <c r="GNW187" s="117"/>
      <c r="GNX187" s="117"/>
      <c r="GNY187" s="117"/>
      <c r="GNZ187" s="117"/>
      <c r="GOA187" s="117"/>
      <c r="GOB187" s="117"/>
      <c r="GOC187" s="117"/>
      <c r="GOD187" s="117"/>
      <c r="GOE187" s="117"/>
      <c r="GOF187" s="117"/>
      <c r="GOG187" s="117"/>
      <c r="GOH187" s="117"/>
      <c r="GOI187" s="117"/>
      <c r="GOJ187" s="117"/>
      <c r="GOK187" s="117"/>
      <c r="GOL187" s="117"/>
      <c r="GOM187" s="117"/>
      <c r="GON187" s="117"/>
      <c r="GOO187" s="117"/>
      <c r="GOP187" s="117"/>
      <c r="GOQ187" s="117"/>
      <c r="GOR187" s="117"/>
      <c r="GOS187" s="117"/>
      <c r="GOT187" s="117"/>
      <c r="GOU187" s="117"/>
      <c r="GOV187" s="117"/>
      <c r="GOW187" s="117"/>
      <c r="GOX187" s="117"/>
      <c r="GOY187" s="117"/>
      <c r="GOZ187" s="117"/>
      <c r="GPA187" s="117"/>
      <c r="GPB187" s="117"/>
      <c r="GPC187" s="117"/>
      <c r="GPD187" s="117"/>
      <c r="GPE187" s="117"/>
      <c r="GPF187" s="117"/>
      <c r="GPG187" s="117"/>
      <c r="GPH187" s="117"/>
      <c r="GPI187" s="117"/>
      <c r="GPJ187" s="117"/>
      <c r="GPK187" s="117"/>
      <c r="GPL187" s="117"/>
      <c r="GPM187" s="117"/>
      <c r="GPN187" s="117"/>
      <c r="GPO187" s="117"/>
      <c r="GPP187" s="117"/>
      <c r="GPQ187" s="117"/>
      <c r="GPR187" s="117"/>
      <c r="GPS187" s="117"/>
      <c r="GPT187" s="117"/>
      <c r="GPU187" s="117"/>
      <c r="GPV187" s="117"/>
      <c r="GPW187" s="117"/>
      <c r="GPX187" s="117"/>
      <c r="GPY187" s="117"/>
      <c r="GPZ187" s="117"/>
      <c r="GQA187" s="117"/>
      <c r="GQB187" s="117"/>
      <c r="GQC187" s="117"/>
      <c r="GQD187" s="117"/>
      <c r="GQE187" s="117"/>
      <c r="GQF187" s="117"/>
      <c r="GQG187" s="117"/>
      <c r="GQH187" s="117"/>
      <c r="GQI187" s="117"/>
      <c r="GQJ187" s="117"/>
      <c r="GQK187" s="117"/>
      <c r="GQL187" s="117"/>
      <c r="GQM187" s="117"/>
      <c r="GQN187" s="117"/>
      <c r="GQO187" s="117"/>
      <c r="GQP187" s="117"/>
      <c r="GQQ187" s="117"/>
      <c r="GQR187" s="117"/>
      <c r="GQS187" s="117"/>
      <c r="GQT187" s="117"/>
      <c r="GQU187" s="117"/>
      <c r="GQV187" s="117"/>
      <c r="GQW187" s="117"/>
      <c r="GQX187" s="117"/>
      <c r="GQY187" s="117"/>
      <c r="GQZ187" s="117"/>
      <c r="GRA187" s="117"/>
      <c r="GRB187" s="117"/>
      <c r="GRC187" s="117"/>
      <c r="GRD187" s="117"/>
      <c r="GRE187" s="117"/>
      <c r="GRF187" s="117"/>
      <c r="GRG187" s="117"/>
      <c r="GRH187" s="117"/>
      <c r="GRI187" s="117"/>
      <c r="GRJ187" s="117"/>
      <c r="GRK187" s="117"/>
      <c r="GRL187" s="117"/>
      <c r="GRM187" s="117"/>
      <c r="GRN187" s="117"/>
      <c r="GRO187" s="117"/>
      <c r="GRP187" s="117"/>
      <c r="GRQ187" s="117"/>
      <c r="GRR187" s="117"/>
      <c r="GRS187" s="117"/>
      <c r="GRT187" s="117"/>
      <c r="GRU187" s="117"/>
      <c r="GRV187" s="117"/>
      <c r="GRW187" s="117"/>
      <c r="GRX187" s="117"/>
      <c r="GRY187" s="117"/>
      <c r="GRZ187" s="117"/>
      <c r="GSA187" s="117"/>
      <c r="GSB187" s="117"/>
      <c r="GSC187" s="117"/>
      <c r="GSD187" s="117"/>
      <c r="GSE187" s="117"/>
      <c r="GSF187" s="117"/>
      <c r="GSG187" s="117"/>
      <c r="GSH187" s="117"/>
      <c r="GSI187" s="117"/>
      <c r="GSJ187" s="117"/>
      <c r="GSK187" s="117"/>
      <c r="GSL187" s="117"/>
      <c r="GSM187" s="117"/>
      <c r="GSN187" s="117"/>
      <c r="GSO187" s="117"/>
      <c r="GSP187" s="117"/>
      <c r="GSQ187" s="117"/>
      <c r="GSR187" s="117"/>
      <c r="GSS187" s="117"/>
      <c r="GST187" s="117"/>
      <c r="GSU187" s="117"/>
      <c r="GSV187" s="117"/>
      <c r="GSW187" s="117"/>
      <c r="GSX187" s="117"/>
      <c r="GSY187" s="117"/>
      <c r="GSZ187" s="117"/>
      <c r="GTA187" s="117"/>
      <c r="GTB187" s="117"/>
      <c r="GTC187" s="117"/>
      <c r="GTD187" s="117"/>
      <c r="GTE187" s="117"/>
      <c r="GTF187" s="117"/>
      <c r="GTG187" s="117"/>
      <c r="GTH187" s="117"/>
      <c r="GTI187" s="117"/>
      <c r="GTJ187" s="117"/>
      <c r="GTK187" s="117"/>
      <c r="GTL187" s="117"/>
      <c r="GTM187" s="117"/>
      <c r="GTN187" s="117"/>
      <c r="GTO187" s="117"/>
      <c r="GTP187" s="117"/>
      <c r="GTQ187" s="117"/>
      <c r="GTR187" s="117"/>
      <c r="GTS187" s="117"/>
      <c r="GTT187" s="117"/>
      <c r="GTU187" s="117"/>
      <c r="GTV187" s="117"/>
      <c r="GTW187" s="117"/>
      <c r="GTX187" s="117"/>
      <c r="GTY187" s="117"/>
      <c r="GTZ187" s="117"/>
      <c r="GUA187" s="117"/>
      <c r="GUB187" s="117"/>
      <c r="GUC187" s="117"/>
      <c r="GUD187" s="117"/>
      <c r="GUE187" s="117"/>
      <c r="GUF187" s="117"/>
      <c r="GUG187" s="117"/>
      <c r="GUH187" s="117"/>
      <c r="GUI187" s="117"/>
      <c r="GUJ187" s="117"/>
      <c r="GUK187" s="117"/>
      <c r="GUL187" s="117"/>
      <c r="GUM187" s="117"/>
      <c r="GUN187" s="117"/>
      <c r="GUO187" s="117"/>
      <c r="GUP187" s="117"/>
      <c r="GUQ187" s="117"/>
      <c r="GUR187" s="117"/>
      <c r="GUS187" s="117"/>
      <c r="GUT187" s="117"/>
      <c r="GUU187" s="117"/>
      <c r="GUV187" s="117"/>
      <c r="GUW187" s="117"/>
      <c r="GUX187" s="117"/>
      <c r="GUY187" s="117"/>
      <c r="GUZ187" s="117"/>
      <c r="GVA187" s="117"/>
      <c r="GVB187" s="117"/>
      <c r="GVC187" s="117"/>
      <c r="GVD187" s="117"/>
      <c r="GVE187" s="117"/>
      <c r="GVF187" s="117"/>
      <c r="GVG187" s="117"/>
      <c r="GVH187" s="117"/>
      <c r="GVI187" s="117"/>
      <c r="GVJ187" s="117"/>
      <c r="GVK187" s="117"/>
      <c r="GVL187" s="117"/>
      <c r="GVM187" s="117"/>
      <c r="GVN187" s="117"/>
      <c r="GVO187" s="117"/>
      <c r="GVP187" s="117"/>
      <c r="GVQ187" s="117"/>
      <c r="GVR187" s="117"/>
      <c r="GVS187" s="117"/>
      <c r="GVT187" s="117"/>
      <c r="GVU187" s="117"/>
      <c r="GVV187" s="117"/>
      <c r="GVW187" s="117"/>
      <c r="GVX187" s="117"/>
      <c r="GVY187" s="117"/>
      <c r="GVZ187" s="117"/>
      <c r="GWA187" s="117"/>
      <c r="GWB187" s="117"/>
      <c r="GWC187" s="117"/>
      <c r="GWD187" s="117"/>
      <c r="GWE187" s="117"/>
      <c r="GWF187" s="117"/>
      <c r="GWG187" s="117"/>
      <c r="GWH187" s="117"/>
      <c r="GWI187" s="117"/>
      <c r="GWJ187" s="117"/>
      <c r="GWK187" s="117"/>
      <c r="GWL187" s="117"/>
      <c r="GWM187" s="117"/>
      <c r="GWN187" s="117"/>
      <c r="GWO187" s="117"/>
      <c r="GWP187" s="117"/>
      <c r="GWQ187" s="117"/>
      <c r="GWR187" s="117"/>
      <c r="GWS187" s="117"/>
      <c r="GWT187" s="117"/>
      <c r="GWU187" s="117"/>
      <c r="GWV187" s="117"/>
      <c r="GWW187" s="117"/>
      <c r="GWX187" s="117"/>
      <c r="GWY187" s="117"/>
      <c r="GWZ187" s="117"/>
      <c r="GXA187" s="117"/>
      <c r="GXB187" s="117"/>
      <c r="GXC187" s="117"/>
      <c r="GXD187" s="117"/>
      <c r="GXE187" s="117"/>
      <c r="GXF187" s="117"/>
      <c r="GXG187" s="117"/>
      <c r="GXH187" s="117"/>
      <c r="GXI187" s="117"/>
      <c r="GXJ187" s="117"/>
      <c r="GXK187" s="117"/>
      <c r="GXL187" s="117"/>
      <c r="GXM187" s="117"/>
      <c r="GXN187" s="117"/>
      <c r="GXO187" s="117"/>
      <c r="GXP187" s="117"/>
      <c r="GXQ187" s="117"/>
      <c r="GXR187" s="117"/>
      <c r="GXS187" s="117"/>
      <c r="GXT187" s="117"/>
      <c r="GXU187" s="117"/>
      <c r="GXV187" s="117"/>
      <c r="GXW187" s="117"/>
      <c r="GXX187" s="117"/>
      <c r="GXY187" s="117"/>
      <c r="GXZ187" s="117"/>
      <c r="GYA187" s="117"/>
      <c r="GYB187" s="117"/>
      <c r="GYC187" s="117"/>
      <c r="GYD187" s="117"/>
      <c r="GYE187" s="117"/>
      <c r="GYF187" s="117"/>
      <c r="GYG187" s="117"/>
      <c r="GYH187" s="117"/>
      <c r="GYI187" s="117"/>
      <c r="GYJ187" s="117"/>
      <c r="GYK187" s="117"/>
      <c r="GYL187" s="117"/>
      <c r="GYM187" s="117"/>
      <c r="GYN187" s="117"/>
      <c r="GYO187" s="117"/>
      <c r="GYP187" s="117"/>
      <c r="GYQ187" s="117"/>
      <c r="GYR187" s="117"/>
      <c r="GYS187" s="117"/>
      <c r="GYT187" s="117"/>
      <c r="GYU187" s="117"/>
      <c r="GYV187" s="117"/>
      <c r="GYW187" s="117"/>
      <c r="GYX187" s="117"/>
      <c r="GYY187" s="117"/>
      <c r="GYZ187" s="117"/>
      <c r="GZA187" s="117"/>
      <c r="GZB187" s="117"/>
      <c r="GZC187" s="117"/>
      <c r="GZD187" s="117"/>
      <c r="GZE187" s="117"/>
      <c r="GZF187" s="117"/>
      <c r="GZG187" s="117"/>
      <c r="GZH187" s="117"/>
      <c r="GZI187" s="117"/>
      <c r="GZJ187" s="117"/>
      <c r="GZK187" s="117"/>
      <c r="GZL187" s="117"/>
      <c r="GZM187" s="117"/>
      <c r="GZN187" s="117"/>
      <c r="GZO187" s="117"/>
      <c r="GZP187" s="117"/>
      <c r="GZQ187" s="117"/>
      <c r="GZR187" s="117"/>
      <c r="GZS187" s="117"/>
      <c r="GZT187" s="117"/>
      <c r="GZU187" s="117"/>
      <c r="GZV187" s="117"/>
      <c r="GZW187" s="117"/>
      <c r="GZX187" s="117"/>
      <c r="GZY187" s="117"/>
      <c r="GZZ187" s="117"/>
      <c r="HAA187" s="117"/>
      <c r="HAB187" s="117"/>
      <c r="HAC187" s="117"/>
      <c r="HAD187" s="117"/>
      <c r="HAE187" s="117"/>
      <c r="HAF187" s="117"/>
      <c r="HAG187" s="117"/>
      <c r="HAH187" s="117"/>
      <c r="HAI187" s="117"/>
      <c r="HAJ187" s="117"/>
      <c r="HAK187" s="117"/>
      <c r="HAL187" s="117"/>
      <c r="HAM187" s="117"/>
      <c r="HAN187" s="117"/>
      <c r="HAO187" s="117"/>
      <c r="HAP187" s="117"/>
      <c r="HAQ187" s="117"/>
      <c r="HAR187" s="117"/>
      <c r="HAS187" s="117"/>
      <c r="HAT187" s="117"/>
      <c r="HAU187" s="117"/>
      <c r="HAV187" s="117"/>
      <c r="HAW187" s="117"/>
      <c r="HAX187" s="117"/>
      <c r="HAY187" s="117"/>
      <c r="HAZ187" s="117"/>
      <c r="HBA187" s="117"/>
      <c r="HBB187" s="117"/>
      <c r="HBC187" s="117"/>
      <c r="HBD187" s="117"/>
      <c r="HBE187" s="117"/>
      <c r="HBF187" s="117"/>
      <c r="HBG187" s="117"/>
      <c r="HBH187" s="117"/>
      <c r="HBI187" s="117"/>
      <c r="HBJ187" s="117"/>
      <c r="HBK187" s="117"/>
      <c r="HBL187" s="117"/>
      <c r="HBM187" s="117"/>
      <c r="HBN187" s="117"/>
      <c r="HBO187" s="117"/>
      <c r="HBP187" s="117"/>
      <c r="HBQ187" s="117"/>
      <c r="HBR187" s="117"/>
      <c r="HBS187" s="117"/>
      <c r="HBT187" s="117"/>
      <c r="HBU187" s="117"/>
      <c r="HBV187" s="117"/>
      <c r="HBW187" s="117"/>
      <c r="HBX187" s="117"/>
      <c r="HBY187" s="117"/>
      <c r="HBZ187" s="117"/>
      <c r="HCA187" s="117"/>
      <c r="HCB187" s="117"/>
      <c r="HCC187" s="117"/>
      <c r="HCD187" s="117"/>
      <c r="HCE187" s="117"/>
      <c r="HCF187" s="117"/>
      <c r="HCG187" s="117"/>
      <c r="HCH187" s="117"/>
      <c r="HCI187" s="117"/>
      <c r="HCJ187" s="117"/>
      <c r="HCK187" s="117"/>
      <c r="HCL187" s="117"/>
      <c r="HCM187" s="117"/>
      <c r="HCN187" s="117"/>
      <c r="HCO187" s="117"/>
      <c r="HCP187" s="117"/>
      <c r="HCQ187" s="117"/>
      <c r="HCR187" s="117"/>
      <c r="HCS187" s="117"/>
      <c r="HCT187" s="117"/>
      <c r="HCU187" s="117"/>
      <c r="HCV187" s="117"/>
      <c r="HCW187" s="117"/>
      <c r="HCX187" s="117"/>
      <c r="HCY187" s="117"/>
      <c r="HCZ187" s="117"/>
      <c r="HDA187" s="117"/>
      <c r="HDB187" s="117"/>
      <c r="HDC187" s="117"/>
      <c r="HDD187" s="117"/>
      <c r="HDE187" s="117"/>
      <c r="HDF187" s="117"/>
      <c r="HDG187" s="117"/>
      <c r="HDH187" s="117"/>
      <c r="HDI187" s="117"/>
      <c r="HDJ187" s="117"/>
      <c r="HDK187" s="117"/>
      <c r="HDL187" s="117"/>
      <c r="HDM187" s="117"/>
      <c r="HDN187" s="117"/>
      <c r="HDO187" s="117"/>
      <c r="HDP187" s="117"/>
      <c r="HDQ187" s="117"/>
      <c r="HDR187" s="117"/>
      <c r="HDS187" s="117"/>
      <c r="HDT187" s="117"/>
      <c r="HDU187" s="117"/>
      <c r="HDV187" s="117"/>
      <c r="HDW187" s="117"/>
      <c r="HDX187" s="117"/>
      <c r="HDY187" s="117"/>
      <c r="HDZ187" s="117"/>
      <c r="HEA187" s="117"/>
      <c r="HEB187" s="117"/>
      <c r="HEC187" s="117"/>
      <c r="HED187" s="117"/>
      <c r="HEE187" s="117"/>
      <c r="HEF187" s="117"/>
      <c r="HEG187" s="117"/>
      <c r="HEH187" s="117"/>
      <c r="HEI187" s="117"/>
      <c r="HEJ187" s="117"/>
      <c r="HEK187" s="117"/>
      <c r="HEL187" s="117"/>
      <c r="HEM187" s="117"/>
      <c r="HEN187" s="117"/>
      <c r="HEO187" s="117"/>
      <c r="HEP187" s="117"/>
      <c r="HEQ187" s="117"/>
      <c r="HER187" s="117"/>
      <c r="HES187" s="117"/>
      <c r="HET187" s="117"/>
      <c r="HEU187" s="117"/>
      <c r="HEV187" s="117"/>
      <c r="HEW187" s="117"/>
      <c r="HEX187" s="117"/>
      <c r="HEY187" s="117"/>
      <c r="HEZ187" s="117"/>
      <c r="HFA187" s="117"/>
      <c r="HFB187" s="117"/>
      <c r="HFC187" s="117"/>
      <c r="HFD187" s="117"/>
      <c r="HFE187" s="117"/>
      <c r="HFF187" s="117"/>
      <c r="HFG187" s="117"/>
      <c r="HFH187" s="117"/>
      <c r="HFI187" s="117"/>
      <c r="HFJ187" s="117"/>
      <c r="HFK187" s="117"/>
      <c r="HFL187" s="117"/>
      <c r="HFM187" s="117"/>
      <c r="HFN187" s="117"/>
      <c r="HFO187" s="117"/>
      <c r="HFP187" s="117"/>
      <c r="HFQ187" s="117"/>
      <c r="HFR187" s="117"/>
      <c r="HFS187" s="117"/>
      <c r="HFT187" s="117"/>
      <c r="HFU187" s="117"/>
      <c r="HFV187" s="117"/>
      <c r="HFW187" s="117"/>
      <c r="HFX187" s="117"/>
      <c r="HFY187" s="117"/>
      <c r="HFZ187" s="117"/>
      <c r="HGA187" s="117"/>
      <c r="HGB187" s="117"/>
      <c r="HGC187" s="117"/>
      <c r="HGD187" s="117"/>
      <c r="HGE187" s="117"/>
      <c r="HGF187" s="117"/>
      <c r="HGG187" s="117"/>
      <c r="HGH187" s="117"/>
      <c r="HGI187" s="117"/>
      <c r="HGJ187" s="117"/>
      <c r="HGK187" s="117"/>
      <c r="HGL187" s="117"/>
      <c r="HGM187" s="117"/>
      <c r="HGN187" s="117"/>
      <c r="HGO187" s="117"/>
      <c r="HGP187" s="117"/>
      <c r="HGQ187" s="117"/>
      <c r="HGR187" s="117"/>
      <c r="HGS187" s="117"/>
      <c r="HGT187" s="117"/>
      <c r="HGU187" s="117"/>
      <c r="HGV187" s="117"/>
      <c r="HGW187" s="117"/>
      <c r="HGX187" s="117"/>
      <c r="HGY187" s="117"/>
      <c r="HGZ187" s="117"/>
      <c r="HHA187" s="117"/>
      <c r="HHB187" s="117"/>
      <c r="HHC187" s="117"/>
      <c r="HHD187" s="117"/>
      <c r="HHE187" s="117"/>
      <c r="HHF187" s="117"/>
      <c r="HHG187" s="117"/>
      <c r="HHH187" s="117"/>
      <c r="HHI187" s="117"/>
      <c r="HHJ187" s="117"/>
      <c r="HHK187" s="117"/>
      <c r="HHL187" s="117"/>
      <c r="HHM187" s="117"/>
      <c r="HHN187" s="117"/>
      <c r="HHO187" s="117"/>
      <c r="HHP187" s="117"/>
      <c r="HHQ187" s="117"/>
      <c r="HHR187" s="117"/>
      <c r="HHS187" s="117"/>
      <c r="HHT187" s="117"/>
      <c r="HHU187" s="117"/>
      <c r="HHV187" s="117"/>
      <c r="HHW187" s="117"/>
      <c r="HHX187" s="117"/>
      <c r="HHY187" s="117"/>
      <c r="HHZ187" s="117"/>
      <c r="HIA187" s="117"/>
      <c r="HIB187" s="117"/>
      <c r="HIC187" s="117"/>
      <c r="HID187" s="117"/>
      <c r="HIE187" s="117"/>
      <c r="HIF187" s="117"/>
      <c r="HIG187" s="117"/>
      <c r="HIH187" s="117"/>
      <c r="HII187" s="117"/>
      <c r="HIJ187" s="117"/>
      <c r="HIK187" s="117"/>
      <c r="HIL187" s="117"/>
      <c r="HIM187" s="117"/>
      <c r="HIN187" s="117"/>
      <c r="HIO187" s="117"/>
      <c r="HIP187" s="117"/>
      <c r="HIQ187" s="117"/>
      <c r="HIR187" s="117"/>
      <c r="HIS187" s="117"/>
      <c r="HIT187" s="117"/>
      <c r="HIU187" s="117"/>
      <c r="HIV187" s="117"/>
      <c r="HIW187" s="117"/>
      <c r="HIX187" s="117"/>
      <c r="HIY187" s="117"/>
      <c r="HIZ187" s="117"/>
      <c r="HJA187" s="117"/>
      <c r="HJB187" s="117"/>
      <c r="HJC187" s="117"/>
      <c r="HJD187" s="117"/>
      <c r="HJE187" s="117"/>
      <c r="HJF187" s="117"/>
      <c r="HJG187" s="117"/>
      <c r="HJH187" s="117"/>
      <c r="HJI187" s="117"/>
      <c r="HJJ187" s="117"/>
      <c r="HJK187" s="117"/>
      <c r="HJL187" s="117"/>
      <c r="HJM187" s="117"/>
      <c r="HJN187" s="117"/>
      <c r="HJO187" s="117"/>
      <c r="HJP187" s="117"/>
      <c r="HJQ187" s="117"/>
      <c r="HJR187" s="117"/>
      <c r="HJS187" s="117"/>
      <c r="HJT187" s="117"/>
      <c r="HJU187" s="117"/>
      <c r="HJV187" s="117"/>
      <c r="HJW187" s="117"/>
      <c r="HJX187" s="117"/>
      <c r="HJY187" s="117"/>
      <c r="HJZ187" s="117"/>
      <c r="HKA187" s="117"/>
      <c r="HKB187" s="117"/>
      <c r="HKC187" s="117"/>
      <c r="HKD187" s="117"/>
      <c r="HKE187" s="117"/>
      <c r="HKF187" s="117"/>
      <c r="HKG187" s="117"/>
      <c r="HKH187" s="117"/>
      <c r="HKI187" s="117"/>
      <c r="HKJ187" s="117"/>
      <c r="HKK187" s="117"/>
      <c r="HKL187" s="117"/>
      <c r="HKM187" s="117"/>
      <c r="HKN187" s="117"/>
      <c r="HKO187" s="117"/>
      <c r="HKP187" s="117"/>
      <c r="HKQ187" s="117"/>
      <c r="HKR187" s="117"/>
      <c r="HKS187" s="117"/>
      <c r="HKT187" s="117"/>
      <c r="HKU187" s="117"/>
      <c r="HKV187" s="117"/>
      <c r="HKW187" s="117"/>
      <c r="HKX187" s="117"/>
      <c r="HKY187" s="117"/>
      <c r="HKZ187" s="117"/>
      <c r="HLA187" s="117"/>
      <c r="HLB187" s="117"/>
      <c r="HLC187" s="117"/>
      <c r="HLD187" s="117"/>
      <c r="HLE187" s="117"/>
      <c r="HLF187" s="117"/>
      <c r="HLG187" s="117"/>
      <c r="HLH187" s="117"/>
      <c r="HLI187" s="117"/>
      <c r="HLJ187" s="117"/>
      <c r="HLK187" s="117"/>
      <c r="HLL187" s="117"/>
      <c r="HLM187" s="117"/>
      <c r="HLN187" s="117"/>
      <c r="HLO187" s="117"/>
      <c r="HLP187" s="117"/>
      <c r="HLQ187" s="117"/>
      <c r="HLR187" s="117"/>
      <c r="HLS187" s="117"/>
      <c r="HLT187" s="117"/>
      <c r="HLU187" s="117"/>
      <c r="HLV187" s="117"/>
      <c r="HLW187" s="117"/>
      <c r="HLX187" s="117"/>
      <c r="HLY187" s="117"/>
      <c r="HLZ187" s="117"/>
      <c r="HMA187" s="117"/>
      <c r="HMB187" s="117"/>
      <c r="HMC187" s="117"/>
      <c r="HMD187" s="117"/>
      <c r="HME187" s="117"/>
      <c r="HMF187" s="117"/>
      <c r="HMG187" s="117"/>
      <c r="HMH187" s="117"/>
      <c r="HMI187" s="117"/>
      <c r="HMJ187" s="117"/>
      <c r="HMK187" s="117"/>
      <c r="HML187" s="117"/>
      <c r="HMM187" s="117"/>
      <c r="HMN187" s="117"/>
      <c r="HMO187" s="117"/>
      <c r="HMP187" s="117"/>
      <c r="HMQ187" s="117"/>
      <c r="HMR187" s="117"/>
      <c r="HMS187" s="117"/>
      <c r="HMT187" s="117"/>
      <c r="HMU187" s="117"/>
      <c r="HMV187" s="117"/>
      <c r="HMW187" s="117"/>
      <c r="HMX187" s="117"/>
      <c r="HMY187" s="117"/>
      <c r="HMZ187" s="117"/>
      <c r="HNA187" s="117"/>
      <c r="HNB187" s="117"/>
      <c r="HNC187" s="117"/>
      <c r="HND187" s="117"/>
      <c r="HNE187" s="117"/>
      <c r="HNF187" s="117"/>
      <c r="HNG187" s="117"/>
      <c r="HNH187" s="117"/>
      <c r="HNI187" s="117"/>
      <c r="HNJ187" s="117"/>
      <c r="HNK187" s="117"/>
      <c r="HNL187" s="117"/>
      <c r="HNM187" s="117"/>
      <c r="HNN187" s="117"/>
      <c r="HNO187" s="117"/>
      <c r="HNP187" s="117"/>
      <c r="HNQ187" s="117"/>
      <c r="HNR187" s="117"/>
      <c r="HNS187" s="117"/>
      <c r="HNT187" s="117"/>
      <c r="HNU187" s="117"/>
      <c r="HNV187" s="117"/>
      <c r="HNW187" s="117"/>
      <c r="HNX187" s="117"/>
      <c r="HNY187" s="117"/>
      <c r="HNZ187" s="117"/>
      <c r="HOA187" s="117"/>
      <c r="HOB187" s="117"/>
      <c r="HOC187" s="117"/>
      <c r="HOD187" s="117"/>
      <c r="HOE187" s="117"/>
      <c r="HOF187" s="117"/>
      <c r="HOG187" s="117"/>
      <c r="HOH187" s="117"/>
      <c r="HOI187" s="117"/>
      <c r="HOJ187" s="117"/>
      <c r="HOK187" s="117"/>
      <c r="HOL187" s="117"/>
      <c r="HOM187" s="117"/>
      <c r="HON187" s="117"/>
      <c r="HOO187" s="117"/>
      <c r="HOP187" s="117"/>
      <c r="HOQ187" s="117"/>
      <c r="HOR187" s="117"/>
      <c r="HOS187" s="117"/>
      <c r="HOT187" s="117"/>
      <c r="HOU187" s="117"/>
      <c r="HOV187" s="117"/>
      <c r="HOW187" s="117"/>
      <c r="HOX187" s="117"/>
      <c r="HOY187" s="117"/>
      <c r="HOZ187" s="117"/>
      <c r="HPA187" s="117"/>
      <c r="HPB187" s="117"/>
      <c r="HPC187" s="117"/>
      <c r="HPD187" s="117"/>
      <c r="HPE187" s="117"/>
      <c r="HPF187" s="117"/>
      <c r="HPG187" s="117"/>
      <c r="HPH187" s="117"/>
      <c r="HPI187" s="117"/>
      <c r="HPJ187" s="117"/>
      <c r="HPK187" s="117"/>
      <c r="HPL187" s="117"/>
      <c r="HPM187" s="117"/>
      <c r="HPN187" s="117"/>
      <c r="HPO187" s="117"/>
      <c r="HPP187" s="117"/>
      <c r="HPQ187" s="117"/>
      <c r="HPR187" s="117"/>
      <c r="HPS187" s="117"/>
      <c r="HPT187" s="117"/>
      <c r="HPU187" s="117"/>
      <c r="HPV187" s="117"/>
      <c r="HPW187" s="117"/>
      <c r="HPX187" s="117"/>
      <c r="HPY187" s="117"/>
      <c r="HPZ187" s="117"/>
      <c r="HQA187" s="117"/>
      <c r="HQB187" s="117"/>
      <c r="HQC187" s="117"/>
      <c r="HQD187" s="117"/>
      <c r="HQE187" s="117"/>
      <c r="HQF187" s="117"/>
      <c r="HQG187" s="117"/>
      <c r="HQH187" s="117"/>
      <c r="HQI187" s="117"/>
      <c r="HQJ187" s="117"/>
      <c r="HQK187" s="117"/>
      <c r="HQL187" s="117"/>
      <c r="HQM187" s="117"/>
      <c r="HQN187" s="117"/>
      <c r="HQO187" s="117"/>
      <c r="HQP187" s="117"/>
      <c r="HQQ187" s="117"/>
      <c r="HQR187" s="117"/>
      <c r="HQS187" s="117"/>
      <c r="HQT187" s="117"/>
      <c r="HQU187" s="117"/>
      <c r="HQV187" s="117"/>
      <c r="HQW187" s="117"/>
      <c r="HQX187" s="117"/>
      <c r="HQY187" s="117"/>
      <c r="HQZ187" s="117"/>
      <c r="HRA187" s="117"/>
      <c r="HRB187" s="117"/>
      <c r="HRC187" s="117"/>
      <c r="HRD187" s="117"/>
      <c r="HRE187" s="117"/>
      <c r="HRF187" s="117"/>
      <c r="HRG187" s="117"/>
      <c r="HRH187" s="117"/>
      <c r="HRI187" s="117"/>
      <c r="HRJ187" s="117"/>
      <c r="HRK187" s="117"/>
      <c r="HRL187" s="117"/>
      <c r="HRM187" s="117"/>
      <c r="HRN187" s="117"/>
      <c r="HRO187" s="117"/>
      <c r="HRP187" s="117"/>
      <c r="HRQ187" s="117"/>
      <c r="HRR187" s="117"/>
      <c r="HRS187" s="117"/>
      <c r="HRT187" s="117"/>
      <c r="HRU187" s="117"/>
      <c r="HRV187" s="117"/>
      <c r="HRW187" s="117"/>
      <c r="HRX187" s="117"/>
      <c r="HRY187" s="117"/>
      <c r="HRZ187" s="117"/>
      <c r="HSA187" s="117"/>
      <c r="HSB187" s="117"/>
      <c r="HSC187" s="117"/>
      <c r="HSD187" s="117"/>
      <c r="HSE187" s="117"/>
      <c r="HSF187" s="117"/>
      <c r="HSG187" s="117"/>
      <c r="HSH187" s="117"/>
      <c r="HSI187" s="117"/>
      <c r="HSJ187" s="117"/>
      <c r="HSK187" s="117"/>
      <c r="HSL187" s="117"/>
      <c r="HSM187" s="117"/>
      <c r="HSN187" s="117"/>
      <c r="HSO187" s="117"/>
      <c r="HSP187" s="117"/>
      <c r="HSQ187" s="117"/>
      <c r="HSR187" s="117"/>
      <c r="HSS187" s="117"/>
      <c r="HST187" s="117"/>
      <c r="HSU187" s="117"/>
      <c r="HSV187" s="117"/>
      <c r="HSW187" s="117"/>
      <c r="HSX187" s="117"/>
      <c r="HSY187" s="117"/>
      <c r="HSZ187" s="117"/>
      <c r="HTA187" s="117"/>
      <c r="HTB187" s="117"/>
      <c r="HTC187" s="117"/>
      <c r="HTD187" s="117"/>
      <c r="HTE187" s="117"/>
      <c r="HTF187" s="117"/>
      <c r="HTG187" s="117"/>
      <c r="HTH187" s="117"/>
      <c r="HTI187" s="117"/>
      <c r="HTJ187" s="117"/>
      <c r="HTK187" s="117"/>
      <c r="HTL187" s="117"/>
      <c r="HTM187" s="117"/>
      <c r="HTN187" s="117"/>
      <c r="HTO187" s="117"/>
      <c r="HTP187" s="117"/>
      <c r="HTQ187" s="117"/>
      <c r="HTR187" s="117"/>
      <c r="HTS187" s="117"/>
      <c r="HTT187" s="117"/>
      <c r="HTU187" s="117"/>
      <c r="HTV187" s="117"/>
      <c r="HTW187" s="117"/>
      <c r="HTX187" s="117"/>
      <c r="HTY187" s="117"/>
      <c r="HTZ187" s="117"/>
      <c r="HUA187" s="117"/>
      <c r="HUB187" s="117"/>
      <c r="HUC187" s="117"/>
      <c r="HUD187" s="117"/>
      <c r="HUE187" s="117"/>
      <c r="HUF187" s="117"/>
      <c r="HUG187" s="117"/>
      <c r="HUH187" s="117"/>
      <c r="HUI187" s="117"/>
      <c r="HUJ187" s="117"/>
      <c r="HUK187" s="117"/>
      <c r="HUL187" s="117"/>
      <c r="HUM187" s="117"/>
      <c r="HUN187" s="117"/>
      <c r="HUO187" s="117"/>
      <c r="HUP187" s="117"/>
      <c r="HUQ187" s="117"/>
      <c r="HUR187" s="117"/>
      <c r="HUS187" s="117"/>
      <c r="HUT187" s="117"/>
      <c r="HUU187" s="117"/>
      <c r="HUV187" s="117"/>
      <c r="HUW187" s="117"/>
      <c r="HUX187" s="117"/>
      <c r="HUY187" s="117"/>
      <c r="HUZ187" s="117"/>
      <c r="HVA187" s="117"/>
      <c r="HVB187" s="117"/>
      <c r="HVC187" s="117"/>
      <c r="HVD187" s="117"/>
      <c r="HVE187" s="117"/>
      <c r="HVF187" s="117"/>
      <c r="HVG187" s="117"/>
      <c r="HVH187" s="117"/>
      <c r="HVI187" s="117"/>
      <c r="HVJ187" s="117"/>
      <c r="HVK187" s="117"/>
      <c r="HVL187" s="117"/>
      <c r="HVM187" s="117"/>
      <c r="HVN187" s="117"/>
      <c r="HVO187" s="117"/>
      <c r="HVP187" s="117"/>
      <c r="HVQ187" s="117"/>
      <c r="HVR187" s="117"/>
      <c r="HVS187" s="117"/>
      <c r="HVT187" s="117"/>
      <c r="HVU187" s="117"/>
      <c r="HVV187" s="117"/>
      <c r="HVW187" s="117"/>
      <c r="HVX187" s="117"/>
      <c r="HVY187" s="117"/>
      <c r="HVZ187" s="117"/>
      <c r="HWA187" s="117"/>
      <c r="HWB187" s="117"/>
      <c r="HWC187" s="117"/>
      <c r="HWD187" s="117"/>
      <c r="HWE187" s="117"/>
      <c r="HWF187" s="117"/>
      <c r="HWG187" s="117"/>
      <c r="HWH187" s="117"/>
      <c r="HWI187" s="117"/>
      <c r="HWJ187" s="117"/>
      <c r="HWK187" s="117"/>
      <c r="HWL187" s="117"/>
      <c r="HWM187" s="117"/>
      <c r="HWN187" s="117"/>
      <c r="HWO187" s="117"/>
      <c r="HWP187" s="117"/>
      <c r="HWQ187" s="117"/>
      <c r="HWR187" s="117"/>
      <c r="HWS187" s="117"/>
      <c r="HWT187" s="117"/>
      <c r="HWU187" s="117"/>
      <c r="HWV187" s="117"/>
      <c r="HWW187" s="117"/>
      <c r="HWX187" s="117"/>
      <c r="HWY187" s="117"/>
      <c r="HWZ187" s="117"/>
      <c r="HXA187" s="117"/>
      <c r="HXB187" s="117"/>
      <c r="HXC187" s="117"/>
      <c r="HXD187" s="117"/>
      <c r="HXE187" s="117"/>
      <c r="HXF187" s="117"/>
      <c r="HXG187" s="117"/>
      <c r="HXH187" s="117"/>
      <c r="HXI187" s="117"/>
      <c r="HXJ187" s="117"/>
      <c r="HXK187" s="117"/>
      <c r="HXL187" s="117"/>
      <c r="HXM187" s="117"/>
      <c r="HXN187" s="117"/>
      <c r="HXO187" s="117"/>
      <c r="HXP187" s="117"/>
      <c r="HXQ187" s="117"/>
      <c r="HXR187" s="117"/>
      <c r="HXS187" s="117"/>
      <c r="HXT187" s="117"/>
      <c r="HXU187" s="117"/>
      <c r="HXV187" s="117"/>
      <c r="HXW187" s="117"/>
      <c r="HXX187" s="117"/>
      <c r="HXY187" s="117"/>
      <c r="HXZ187" s="117"/>
      <c r="HYA187" s="117"/>
      <c r="HYB187" s="117"/>
      <c r="HYC187" s="117"/>
      <c r="HYD187" s="117"/>
      <c r="HYE187" s="117"/>
      <c r="HYF187" s="117"/>
      <c r="HYG187" s="117"/>
      <c r="HYH187" s="117"/>
      <c r="HYI187" s="117"/>
      <c r="HYJ187" s="117"/>
      <c r="HYK187" s="117"/>
      <c r="HYL187" s="117"/>
      <c r="HYM187" s="117"/>
      <c r="HYN187" s="117"/>
      <c r="HYO187" s="117"/>
      <c r="HYP187" s="117"/>
      <c r="HYQ187" s="117"/>
      <c r="HYR187" s="117"/>
      <c r="HYS187" s="117"/>
      <c r="HYT187" s="117"/>
      <c r="HYU187" s="117"/>
      <c r="HYV187" s="117"/>
      <c r="HYW187" s="117"/>
      <c r="HYX187" s="117"/>
      <c r="HYY187" s="117"/>
      <c r="HYZ187" s="117"/>
      <c r="HZA187" s="117"/>
      <c r="HZB187" s="117"/>
      <c r="HZC187" s="117"/>
      <c r="HZD187" s="117"/>
      <c r="HZE187" s="117"/>
      <c r="HZF187" s="117"/>
      <c r="HZG187" s="117"/>
      <c r="HZH187" s="117"/>
      <c r="HZI187" s="117"/>
      <c r="HZJ187" s="117"/>
      <c r="HZK187" s="117"/>
      <c r="HZL187" s="117"/>
      <c r="HZM187" s="117"/>
      <c r="HZN187" s="117"/>
      <c r="HZO187" s="117"/>
      <c r="HZP187" s="117"/>
      <c r="HZQ187" s="117"/>
      <c r="HZR187" s="117"/>
      <c r="HZS187" s="117"/>
      <c r="HZT187" s="117"/>
      <c r="HZU187" s="117"/>
      <c r="HZV187" s="117"/>
      <c r="HZW187" s="117"/>
      <c r="HZX187" s="117"/>
      <c r="HZY187" s="117"/>
      <c r="HZZ187" s="117"/>
      <c r="IAA187" s="117"/>
      <c r="IAB187" s="117"/>
      <c r="IAC187" s="117"/>
      <c r="IAD187" s="117"/>
      <c r="IAE187" s="117"/>
      <c r="IAF187" s="117"/>
      <c r="IAG187" s="117"/>
      <c r="IAH187" s="117"/>
      <c r="IAI187" s="117"/>
      <c r="IAJ187" s="117"/>
      <c r="IAK187" s="117"/>
      <c r="IAL187" s="117"/>
      <c r="IAM187" s="117"/>
      <c r="IAN187" s="117"/>
      <c r="IAO187" s="117"/>
      <c r="IAP187" s="117"/>
      <c r="IAQ187" s="117"/>
      <c r="IAR187" s="117"/>
      <c r="IAS187" s="117"/>
      <c r="IAT187" s="117"/>
      <c r="IAU187" s="117"/>
      <c r="IAV187" s="117"/>
      <c r="IAW187" s="117"/>
      <c r="IAX187" s="117"/>
      <c r="IAY187" s="117"/>
      <c r="IAZ187" s="117"/>
      <c r="IBA187" s="117"/>
      <c r="IBB187" s="117"/>
      <c r="IBC187" s="117"/>
      <c r="IBD187" s="117"/>
      <c r="IBE187" s="117"/>
      <c r="IBF187" s="117"/>
      <c r="IBG187" s="117"/>
      <c r="IBH187" s="117"/>
      <c r="IBI187" s="117"/>
      <c r="IBJ187" s="117"/>
      <c r="IBK187" s="117"/>
      <c r="IBL187" s="117"/>
      <c r="IBM187" s="117"/>
      <c r="IBN187" s="117"/>
      <c r="IBO187" s="117"/>
      <c r="IBP187" s="117"/>
      <c r="IBQ187" s="117"/>
      <c r="IBR187" s="117"/>
      <c r="IBS187" s="117"/>
      <c r="IBT187" s="117"/>
      <c r="IBU187" s="117"/>
      <c r="IBV187" s="117"/>
      <c r="IBW187" s="117"/>
      <c r="IBX187" s="117"/>
      <c r="IBY187" s="117"/>
      <c r="IBZ187" s="117"/>
      <c r="ICA187" s="117"/>
      <c r="ICB187" s="117"/>
      <c r="ICC187" s="117"/>
      <c r="ICD187" s="117"/>
      <c r="ICE187" s="117"/>
      <c r="ICF187" s="117"/>
      <c r="ICG187" s="117"/>
      <c r="ICH187" s="117"/>
      <c r="ICI187" s="117"/>
      <c r="ICJ187" s="117"/>
      <c r="ICK187" s="117"/>
      <c r="ICL187" s="117"/>
      <c r="ICM187" s="117"/>
      <c r="ICN187" s="117"/>
      <c r="ICO187" s="117"/>
      <c r="ICP187" s="117"/>
      <c r="ICQ187" s="117"/>
      <c r="ICR187" s="117"/>
      <c r="ICS187" s="117"/>
      <c r="ICT187" s="117"/>
      <c r="ICU187" s="117"/>
      <c r="ICV187" s="117"/>
      <c r="ICW187" s="117"/>
      <c r="ICX187" s="117"/>
      <c r="ICY187" s="117"/>
      <c r="ICZ187" s="117"/>
      <c r="IDA187" s="117"/>
      <c r="IDB187" s="117"/>
      <c r="IDC187" s="117"/>
      <c r="IDD187" s="117"/>
      <c r="IDE187" s="117"/>
      <c r="IDF187" s="117"/>
      <c r="IDG187" s="117"/>
      <c r="IDH187" s="117"/>
      <c r="IDI187" s="117"/>
      <c r="IDJ187" s="117"/>
      <c r="IDK187" s="117"/>
      <c r="IDL187" s="117"/>
      <c r="IDM187" s="117"/>
      <c r="IDN187" s="117"/>
      <c r="IDO187" s="117"/>
      <c r="IDP187" s="117"/>
      <c r="IDQ187" s="117"/>
      <c r="IDR187" s="117"/>
      <c r="IDS187" s="117"/>
      <c r="IDT187" s="117"/>
      <c r="IDU187" s="117"/>
      <c r="IDV187" s="117"/>
      <c r="IDW187" s="117"/>
      <c r="IDX187" s="117"/>
      <c r="IDY187" s="117"/>
      <c r="IDZ187" s="117"/>
      <c r="IEA187" s="117"/>
      <c r="IEB187" s="117"/>
      <c r="IEC187" s="117"/>
      <c r="IED187" s="117"/>
      <c r="IEE187" s="117"/>
      <c r="IEF187" s="117"/>
      <c r="IEG187" s="117"/>
      <c r="IEH187" s="117"/>
      <c r="IEI187" s="117"/>
      <c r="IEJ187" s="117"/>
      <c r="IEK187" s="117"/>
      <c r="IEL187" s="117"/>
      <c r="IEM187" s="117"/>
      <c r="IEN187" s="117"/>
      <c r="IEO187" s="117"/>
      <c r="IEP187" s="117"/>
      <c r="IEQ187" s="117"/>
      <c r="IER187" s="117"/>
      <c r="IES187" s="117"/>
      <c r="IET187" s="117"/>
      <c r="IEU187" s="117"/>
      <c r="IEV187" s="117"/>
      <c r="IEW187" s="117"/>
      <c r="IEX187" s="117"/>
      <c r="IEY187" s="117"/>
      <c r="IEZ187" s="117"/>
      <c r="IFA187" s="117"/>
      <c r="IFB187" s="117"/>
      <c r="IFC187" s="117"/>
      <c r="IFD187" s="117"/>
      <c r="IFE187" s="117"/>
      <c r="IFF187" s="117"/>
      <c r="IFG187" s="117"/>
      <c r="IFH187" s="117"/>
      <c r="IFI187" s="117"/>
      <c r="IFJ187" s="117"/>
      <c r="IFK187" s="117"/>
      <c r="IFL187" s="117"/>
      <c r="IFM187" s="117"/>
      <c r="IFN187" s="117"/>
      <c r="IFO187" s="117"/>
      <c r="IFP187" s="117"/>
      <c r="IFQ187" s="117"/>
      <c r="IFR187" s="117"/>
      <c r="IFS187" s="117"/>
      <c r="IFT187" s="117"/>
      <c r="IFU187" s="117"/>
      <c r="IFV187" s="117"/>
      <c r="IFW187" s="117"/>
      <c r="IFX187" s="117"/>
      <c r="IFY187" s="117"/>
      <c r="IFZ187" s="117"/>
      <c r="IGA187" s="117"/>
      <c r="IGB187" s="117"/>
      <c r="IGC187" s="117"/>
      <c r="IGD187" s="117"/>
      <c r="IGE187" s="117"/>
      <c r="IGF187" s="117"/>
      <c r="IGG187" s="117"/>
      <c r="IGH187" s="117"/>
      <c r="IGI187" s="117"/>
      <c r="IGJ187" s="117"/>
      <c r="IGK187" s="117"/>
      <c r="IGL187" s="117"/>
      <c r="IGM187" s="117"/>
      <c r="IGN187" s="117"/>
      <c r="IGO187" s="117"/>
      <c r="IGP187" s="117"/>
      <c r="IGQ187" s="117"/>
      <c r="IGR187" s="117"/>
      <c r="IGS187" s="117"/>
      <c r="IGT187" s="117"/>
      <c r="IGU187" s="117"/>
      <c r="IGV187" s="117"/>
      <c r="IGW187" s="117"/>
      <c r="IGX187" s="117"/>
      <c r="IGY187" s="117"/>
      <c r="IGZ187" s="117"/>
      <c r="IHA187" s="117"/>
      <c r="IHB187" s="117"/>
      <c r="IHC187" s="117"/>
      <c r="IHD187" s="117"/>
      <c r="IHE187" s="117"/>
      <c r="IHF187" s="117"/>
      <c r="IHG187" s="117"/>
      <c r="IHH187" s="117"/>
      <c r="IHI187" s="117"/>
      <c r="IHJ187" s="117"/>
      <c r="IHK187" s="117"/>
      <c r="IHL187" s="117"/>
      <c r="IHM187" s="117"/>
      <c r="IHN187" s="117"/>
      <c r="IHO187" s="117"/>
      <c r="IHP187" s="117"/>
      <c r="IHQ187" s="117"/>
      <c r="IHR187" s="117"/>
      <c r="IHS187" s="117"/>
      <c r="IHT187" s="117"/>
      <c r="IHU187" s="117"/>
      <c r="IHV187" s="117"/>
      <c r="IHW187" s="117"/>
      <c r="IHX187" s="117"/>
      <c r="IHY187" s="117"/>
      <c r="IHZ187" s="117"/>
      <c r="IIA187" s="117"/>
      <c r="IIB187" s="117"/>
      <c r="IIC187" s="117"/>
      <c r="IID187" s="117"/>
      <c r="IIE187" s="117"/>
      <c r="IIF187" s="117"/>
      <c r="IIG187" s="117"/>
      <c r="IIH187" s="117"/>
      <c r="III187" s="117"/>
      <c r="IIJ187" s="117"/>
      <c r="IIK187" s="117"/>
      <c r="IIL187" s="117"/>
      <c r="IIM187" s="117"/>
      <c r="IIN187" s="117"/>
      <c r="IIO187" s="117"/>
      <c r="IIP187" s="117"/>
      <c r="IIQ187" s="117"/>
      <c r="IIR187" s="117"/>
      <c r="IIS187" s="117"/>
      <c r="IIT187" s="117"/>
      <c r="IIU187" s="117"/>
      <c r="IIV187" s="117"/>
      <c r="IIW187" s="117"/>
      <c r="IIX187" s="117"/>
      <c r="IIY187" s="117"/>
      <c r="IIZ187" s="117"/>
      <c r="IJA187" s="117"/>
      <c r="IJB187" s="117"/>
      <c r="IJC187" s="117"/>
      <c r="IJD187" s="117"/>
      <c r="IJE187" s="117"/>
      <c r="IJF187" s="117"/>
      <c r="IJG187" s="117"/>
      <c r="IJH187" s="117"/>
      <c r="IJI187" s="117"/>
      <c r="IJJ187" s="117"/>
      <c r="IJK187" s="117"/>
      <c r="IJL187" s="117"/>
      <c r="IJM187" s="117"/>
      <c r="IJN187" s="117"/>
      <c r="IJO187" s="117"/>
      <c r="IJP187" s="117"/>
      <c r="IJQ187" s="117"/>
      <c r="IJR187" s="117"/>
      <c r="IJS187" s="117"/>
      <c r="IJT187" s="117"/>
      <c r="IJU187" s="117"/>
      <c r="IJV187" s="117"/>
      <c r="IJW187" s="117"/>
      <c r="IJX187" s="117"/>
      <c r="IJY187" s="117"/>
      <c r="IJZ187" s="117"/>
      <c r="IKA187" s="117"/>
      <c r="IKB187" s="117"/>
      <c r="IKC187" s="117"/>
      <c r="IKD187" s="117"/>
      <c r="IKE187" s="117"/>
      <c r="IKF187" s="117"/>
      <c r="IKG187" s="117"/>
      <c r="IKH187" s="117"/>
      <c r="IKI187" s="117"/>
      <c r="IKJ187" s="117"/>
      <c r="IKK187" s="117"/>
      <c r="IKL187" s="117"/>
      <c r="IKM187" s="117"/>
      <c r="IKN187" s="117"/>
      <c r="IKO187" s="117"/>
      <c r="IKP187" s="117"/>
      <c r="IKQ187" s="117"/>
      <c r="IKR187" s="117"/>
      <c r="IKS187" s="117"/>
      <c r="IKT187" s="117"/>
      <c r="IKU187" s="117"/>
      <c r="IKV187" s="117"/>
      <c r="IKW187" s="117"/>
      <c r="IKX187" s="117"/>
      <c r="IKY187" s="117"/>
      <c r="IKZ187" s="117"/>
      <c r="ILA187" s="117"/>
      <c r="ILB187" s="117"/>
      <c r="ILC187" s="117"/>
      <c r="ILD187" s="117"/>
      <c r="ILE187" s="117"/>
      <c r="ILF187" s="117"/>
      <c r="ILG187" s="117"/>
      <c r="ILH187" s="117"/>
      <c r="ILI187" s="117"/>
      <c r="ILJ187" s="117"/>
      <c r="ILK187" s="117"/>
      <c r="ILL187" s="117"/>
      <c r="ILM187" s="117"/>
      <c r="ILN187" s="117"/>
      <c r="ILO187" s="117"/>
      <c r="ILP187" s="117"/>
      <c r="ILQ187" s="117"/>
      <c r="ILR187" s="117"/>
      <c r="ILS187" s="117"/>
      <c r="ILT187" s="117"/>
      <c r="ILU187" s="117"/>
      <c r="ILV187" s="117"/>
      <c r="ILW187" s="117"/>
      <c r="ILX187" s="117"/>
      <c r="ILY187" s="117"/>
      <c r="ILZ187" s="117"/>
      <c r="IMA187" s="117"/>
      <c r="IMB187" s="117"/>
      <c r="IMC187" s="117"/>
      <c r="IMD187" s="117"/>
      <c r="IME187" s="117"/>
      <c r="IMF187" s="117"/>
      <c r="IMG187" s="117"/>
      <c r="IMH187" s="117"/>
      <c r="IMI187" s="117"/>
      <c r="IMJ187" s="117"/>
      <c r="IMK187" s="117"/>
      <c r="IML187" s="117"/>
      <c r="IMM187" s="117"/>
      <c r="IMN187" s="117"/>
      <c r="IMO187" s="117"/>
      <c r="IMP187" s="117"/>
      <c r="IMQ187" s="117"/>
      <c r="IMR187" s="117"/>
      <c r="IMS187" s="117"/>
      <c r="IMT187" s="117"/>
      <c r="IMU187" s="117"/>
      <c r="IMV187" s="117"/>
      <c r="IMW187" s="117"/>
      <c r="IMX187" s="117"/>
      <c r="IMY187" s="117"/>
      <c r="IMZ187" s="117"/>
      <c r="INA187" s="117"/>
      <c r="INB187" s="117"/>
      <c r="INC187" s="117"/>
      <c r="IND187" s="117"/>
      <c r="INE187" s="117"/>
      <c r="INF187" s="117"/>
      <c r="ING187" s="117"/>
      <c r="INH187" s="117"/>
      <c r="INI187" s="117"/>
      <c r="INJ187" s="117"/>
      <c r="INK187" s="117"/>
      <c r="INL187" s="117"/>
      <c r="INM187" s="117"/>
      <c r="INN187" s="117"/>
      <c r="INO187" s="117"/>
      <c r="INP187" s="117"/>
      <c r="INQ187" s="117"/>
      <c r="INR187" s="117"/>
      <c r="INS187" s="117"/>
      <c r="INT187" s="117"/>
      <c r="INU187" s="117"/>
      <c r="INV187" s="117"/>
      <c r="INW187" s="117"/>
      <c r="INX187" s="117"/>
      <c r="INY187" s="117"/>
      <c r="INZ187" s="117"/>
      <c r="IOA187" s="117"/>
      <c r="IOB187" s="117"/>
      <c r="IOC187" s="117"/>
      <c r="IOD187" s="117"/>
      <c r="IOE187" s="117"/>
      <c r="IOF187" s="117"/>
      <c r="IOG187" s="117"/>
      <c r="IOH187" s="117"/>
      <c r="IOI187" s="117"/>
      <c r="IOJ187" s="117"/>
      <c r="IOK187" s="117"/>
      <c r="IOL187" s="117"/>
      <c r="IOM187" s="117"/>
      <c r="ION187" s="117"/>
      <c r="IOO187" s="117"/>
      <c r="IOP187" s="117"/>
      <c r="IOQ187" s="117"/>
      <c r="IOR187" s="117"/>
      <c r="IOS187" s="117"/>
      <c r="IOT187" s="117"/>
      <c r="IOU187" s="117"/>
      <c r="IOV187" s="117"/>
      <c r="IOW187" s="117"/>
      <c r="IOX187" s="117"/>
      <c r="IOY187" s="117"/>
      <c r="IOZ187" s="117"/>
      <c r="IPA187" s="117"/>
      <c r="IPB187" s="117"/>
      <c r="IPC187" s="117"/>
      <c r="IPD187" s="117"/>
      <c r="IPE187" s="117"/>
      <c r="IPF187" s="117"/>
      <c r="IPG187" s="117"/>
      <c r="IPH187" s="117"/>
      <c r="IPI187" s="117"/>
      <c r="IPJ187" s="117"/>
      <c r="IPK187" s="117"/>
      <c r="IPL187" s="117"/>
      <c r="IPM187" s="117"/>
      <c r="IPN187" s="117"/>
      <c r="IPO187" s="117"/>
      <c r="IPP187" s="117"/>
      <c r="IPQ187" s="117"/>
      <c r="IPR187" s="117"/>
      <c r="IPS187" s="117"/>
      <c r="IPT187" s="117"/>
      <c r="IPU187" s="117"/>
      <c r="IPV187" s="117"/>
      <c r="IPW187" s="117"/>
      <c r="IPX187" s="117"/>
      <c r="IPY187" s="117"/>
      <c r="IPZ187" s="117"/>
      <c r="IQA187" s="117"/>
      <c r="IQB187" s="117"/>
      <c r="IQC187" s="117"/>
      <c r="IQD187" s="117"/>
      <c r="IQE187" s="117"/>
      <c r="IQF187" s="117"/>
      <c r="IQG187" s="117"/>
      <c r="IQH187" s="117"/>
      <c r="IQI187" s="117"/>
      <c r="IQJ187" s="117"/>
      <c r="IQK187" s="117"/>
      <c r="IQL187" s="117"/>
      <c r="IQM187" s="117"/>
      <c r="IQN187" s="117"/>
      <c r="IQO187" s="117"/>
      <c r="IQP187" s="117"/>
      <c r="IQQ187" s="117"/>
      <c r="IQR187" s="117"/>
      <c r="IQS187" s="117"/>
      <c r="IQT187" s="117"/>
      <c r="IQU187" s="117"/>
      <c r="IQV187" s="117"/>
      <c r="IQW187" s="117"/>
      <c r="IQX187" s="117"/>
      <c r="IQY187" s="117"/>
      <c r="IQZ187" s="117"/>
      <c r="IRA187" s="117"/>
      <c r="IRB187" s="117"/>
      <c r="IRC187" s="117"/>
      <c r="IRD187" s="117"/>
      <c r="IRE187" s="117"/>
      <c r="IRF187" s="117"/>
      <c r="IRG187" s="117"/>
      <c r="IRH187" s="117"/>
      <c r="IRI187" s="117"/>
      <c r="IRJ187" s="117"/>
      <c r="IRK187" s="117"/>
      <c r="IRL187" s="117"/>
      <c r="IRM187" s="117"/>
      <c r="IRN187" s="117"/>
      <c r="IRO187" s="117"/>
      <c r="IRP187" s="117"/>
      <c r="IRQ187" s="117"/>
      <c r="IRR187" s="117"/>
      <c r="IRS187" s="117"/>
      <c r="IRT187" s="117"/>
      <c r="IRU187" s="117"/>
      <c r="IRV187" s="117"/>
      <c r="IRW187" s="117"/>
      <c r="IRX187" s="117"/>
      <c r="IRY187" s="117"/>
      <c r="IRZ187" s="117"/>
      <c r="ISA187" s="117"/>
      <c r="ISB187" s="117"/>
      <c r="ISC187" s="117"/>
      <c r="ISD187" s="117"/>
      <c r="ISE187" s="117"/>
      <c r="ISF187" s="117"/>
      <c r="ISG187" s="117"/>
      <c r="ISH187" s="117"/>
      <c r="ISI187" s="117"/>
      <c r="ISJ187" s="117"/>
      <c r="ISK187" s="117"/>
      <c r="ISL187" s="117"/>
      <c r="ISM187" s="117"/>
      <c r="ISN187" s="117"/>
      <c r="ISO187" s="117"/>
      <c r="ISP187" s="117"/>
      <c r="ISQ187" s="117"/>
      <c r="ISR187" s="117"/>
      <c r="ISS187" s="117"/>
      <c r="IST187" s="117"/>
      <c r="ISU187" s="117"/>
      <c r="ISV187" s="117"/>
      <c r="ISW187" s="117"/>
      <c r="ISX187" s="117"/>
      <c r="ISY187" s="117"/>
      <c r="ISZ187" s="117"/>
      <c r="ITA187" s="117"/>
      <c r="ITB187" s="117"/>
      <c r="ITC187" s="117"/>
      <c r="ITD187" s="117"/>
      <c r="ITE187" s="117"/>
      <c r="ITF187" s="117"/>
      <c r="ITG187" s="117"/>
      <c r="ITH187" s="117"/>
      <c r="ITI187" s="117"/>
      <c r="ITJ187" s="117"/>
      <c r="ITK187" s="117"/>
      <c r="ITL187" s="117"/>
      <c r="ITM187" s="117"/>
      <c r="ITN187" s="117"/>
      <c r="ITO187" s="117"/>
      <c r="ITP187" s="117"/>
      <c r="ITQ187" s="117"/>
      <c r="ITR187" s="117"/>
      <c r="ITS187" s="117"/>
      <c r="ITT187" s="117"/>
      <c r="ITU187" s="117"/>
      <c r="ITV187" s="117"/>
      <c r="ITW187" s="117"/>
      <c r="ITX187" s="117"/>
      <c r="ITY187" s="117"/>
      <c r="ITZ187" s="117"/>
      <c r="IUA187" s="117"/>
      <c r="IUB187" s="117"/>
      <c r="IUC187" s="117"/>
      <c r="IUD187" s="117"/>
      <c r="IUE187" s="117"/>
      <c r="IUF187" s="117"/>
      <c r="IUG187" s="117"/>
      <c r="IUH187" s="117"/>
      <c r="IUI187" s="117"/>
      <c r="IUJ187" s="117"/>
      <c r="IUK187" s="117"/>
      <c r="IUL187" s="117"/>
      <c r="IUM187" s="117"/>
      <c r="IUN187" s="117"/>
      <c r="IUO187" s="117"/>
      <c r="IUP187" s="117"/>
      <c r="IUQ187" s="117"/>
      <c r="IUR187" s="117"/>
      <c r="IUS187" s="117"/>
      <c r="IUT187" s="117"/>
      <c r="IUU187" s="117"/>
      <c r="IUV187" s="117"/>
      <c r="IUW187" s="117"/>
      <c r="IUX187" s="117"/>
      <c r="IUY187" s="117"/>
      <c r="IUZ187" s="117"/>
      <c r="IVA187" s="117"/>
      <c r="IVB187" s="117"/>
      <c r="IVC187" s="117"/>
      <c r="IVD187" s="117"/>
      <c r="IVE187" s="117"/>
      <c r="IVF187" s="117"/>
      <c r="IVG187" s="117"/>
      <c r="IVH187" s="117"/>
      <c r="IVI187" s="117"/>
      <c r="IVJ187" s="117"/>
      <c r="IVK187" s="117"/>
      <c r="IVL187" s="117"/>
      <c r="IVM187" s="117"/>
      <c r="IVN187" s="117"/>
      <c r="IVO187" s="117"/>
      <c r="IVP187" s="117"/>
      <c r="IVQ187" s="117"/>
      <c r="IVR187" s="117"/>
      <c r="IVS187" s="117"/>
      <c r="IVT187" s="117"/>
      <c r="IVU187" s="117"/>
      <c r="IVV187" s="117"/>
      <c r="IVW187" s="117"/>
      <c r="IVX187" s="117"/>
      <c r="IVY187" s="117"/>
      <c r="IVZ187" s="117"/>
      <c r="IWA187" s="117"/>
      <c r="IWB187" s="117"/>
      <c r="IWC187" s="117"/>
      <c r="IWD187" s="117"/>
      <c r="IWE187" s="117"/>
      <c r="IWF187" s="117"/>
      <c r="IWG187" s="117"/>
      <c r="IWH187" s="117"/>
      <c r="IWI187" s="117"/>
      <c r="IWJ187" s="117"/>
      <c r="IWK187" s="117"/>
      <c r="IWL187" s="117"/>
      <c r="IWM187" s="117"/>
      <c r="IWN187" s="117"/>
      <c r="IWO187" s="117"/>
      <c r="IWP187" s="117"/>
      <c r="IWQ187" s="117"/>
      <c r="IWR187" s="117"/>
      <c r="IWS187" s="117"/>
      <c r="IWT187" s="117"/>
      <c r="IWU187" s="117"/>
      <c r="IWV187" s="117"/>
      <c r="IWW187" s="117"/>
      <c r="IWX187" s="117"/>
      <c r="IWY187" s="117"/>
      <c r="IWZ187" s="117"/>
      <c r="IXA187" s="117"/>
      <c r="IXB187" s="117"/>
      <c r="IXC187" s="117"/>
      <c r="IXD187" s="117"/>
      <c r="IXE187" s="117"/>
      <c r="IXF187" s="117"/>
      <c r="IXG187" s="117"/>
      <c r="IXH187" s="117"/>
      <c r="IXI187" s="117"/>
      <c r="IXJ187" s="117"/>
      <c r="IXK187" s="117"/>
      <c r="IXL187" s="117"/>
      <c r="IXM187" s="117"/>
      <c r="IXN187" s="117"/>
      <c r="IXO187" s="117"/>
      <c r="IXP187" s="117"/>
      <c r="IXQ187" s="117"/>
      <c r="IXR187" s="117"/>
      <c r="IXS187" s="117"/>
      <c r="IXT187" s="117"/>
      <c r="IXU187" s="117"/>
      <c r="IXV187" s="117"/>
      <c r="IXW187" s="117"/>
      <c r="IXX187" s="117"/>
      <c r="IXY187" s="117"/>
      <c r="IXZ187" s="117"/>
      <c r="IYA187" s="117"/>
      <c r="IYB187" s="117"/>
      <c r="IYC187" s="117"/>
      <c r="IYD187" s="117"/>
      <c r="IYE187" s="117"/>
      <c r="IYF187" s="117"/>
      <c r="IYG187" s="117"/>
      <c r="IYH187" s="117"/>
      <c r="IYI187" s="117"/>
      <c r="IYJ187" s="117"/>
      <c r="IYK187" s="117"/>
      <c r="IYL187" s="117"/>
      <c r="IYM187" s="117"/>
      <c r="IYN187" s="117"/>
      <c r="IYO187" s="117"/>
      <c r="IYP187" s="117"/>
      <c r="IYQ187" s="117"/>
      <c r="IYR187" s="117"/>
      <c r="IYS187" s="117"/>
      <c r="IYT187" s="117"/>
      <c r="IYU187" s="117"/>
      <c r="IYV187" s="117"/>
      <c r="IYW187" s="117"/>
      <c r="IYX187" s="117"/>
      <c r="IYY187" s="117"/>
      <c r="IYZ187" s="117"/>
      <c r="IZA187" s="117"/>
      <c r="IZB187" s="117"/>
      <c r="IZC187" s="117"/>
      <c r="IZD187" s="117"/>
      <c r="IZE187" s="117"/>
      <c r="IZF187" s="117"/>
      <c r="IZG187" s="117"/>
      <c r="IZH187" s="117"/>
      <c r="IZI187" s="117"/>
      <c r="IZJ187" s="117"/>
      <c r="IZK187" s="117"/>
      <c r="IZL187" s="117"/>
      <c r="IZM187" s="117"/>
      <c r="IZN187" s="117"/>
      <c r="IZO187" s="117"/>
      <c r="IZP187" s="117"/>
      <c r="IZQ187" s="117"/>
      <c r="IZR187" s="117"/>
      <c r="IZS187" s="117"/>
      <c r="IZT187" s="117"/>
      <c r="IZU187" s="117"/>
      <c r="IZV187" s="117"/>
      <c r="IZW187" s="117"/>
      <c r="IZX187" s="117"/>
      <c r="IZY187" s="117"/>
      <c r="IZZ187" s="117"/>
      <c r="JAA187" s="117"/>
      <c r="JAB187" s="117"/>
      <c r="JAC187" s="117"/>
      <c r="JAD187" s="117"/>
      <c r="JAE187" s="117"/>
      <c r="JAF187" s="117"/>
      <c r="JAG187" s="117"/>
      <c r="JAH187" s="117"/>
      <c r="JAI187" s="117"/>
      <c r="JAJ187" s="117"/>
      <c r="JAK187" s="117"/>
      <c r="JAL187" s="117"/>
      <c r="JAM187" s="117"/>
      <c r="JAN187" s="117"/>
      <c r="JAO187" s="117"/>
      <c r="JAP187" s="117"/>
      <c r="JAQ187" s="117"/>
      <c r="JAR187" s="117"/>
      <c r="JAS187" s="117"/>
      <c r="JAT187" s="117"/>
      <c r="JAU187" s="117"/>
      <c r="JAV187" s="117"/>
      <c r="JAW187" s="117"/>
      <c r="JAX187" s="117"/>
      <c r="JAY187" s="117"/>
      <c r="JAZ187" s="117"/>
      <c r="JBA187" s="117"/>
      <c r="JBB187" s="117"/>
      <c r="JBC187" s="117"/>
      <c r="JBD187" s="117"/>
      <c r="JBE187" s="117"/>
      <c r="JBF187" s="117"/>
      <c r="JBG187" s="117"/>
      <c r="JBH187" s="117"/>
      <c r="JBI187" s="117"/>
      <c r="JBJ187" s="117"/>
      <c r="JBK187" s="117"/>
      <c r="JBL187" s="117"/>
      <c r="JBM187" s="117"/>
      <c r="JBN187" s="117"/>
      <c r="JBO187" s="117"/>
      <c r="JBP187" s="117"/>
      <c r="JBQ187" s="117"/>
      <c r="JBR187" s="117"/>
      <c r="JBS187" s="117"/>
      <c r="JBT187" s="117"/>
      <c r="JBU187" s="117"/>
      <c r="JBV187" s="117"/>
      <c r="JBW187" s="117"/>
      <c r="JBX187" s="117"/>
      <c r="JBY187" s="117"/>
      <c r="JBZ187" s="117"/>
      <c r="JCA187" s="117"/>
      <c r="JCB187" s="117"/>
      <c r="JCC187" s="117"/>
      <c r="JCD187" s="117"/>
      <c r="JCE187" s="117"/>
      <c r="JCF187" s="117"/>
      <c r="JCG187" s="117"/>
      <c r="JCH187" s="117"/>
      <c r="JCI187" s="117"/>
      <c r="JCJ187" s="117"/>
      <c r="JCK187" s="117"/>
      <c r="JCL187" s="117"/>
      <c r="JCM187" s="117"/>
      <c r="JCN187" s="117"/>
      <c r="JCO187" s="117"/>
      <c r="JCP187" s="117"/>
      <c r="JCQ187" s="117"/>
      <c r="JCR187" s="117"/>
      <c r="JCS187" s="117"/>
      <c r="JCT187" s="117"/>
      <c r="JCU187" s="117"/>
      <c r="JCV187" s="117"/>
      <c r="JCW187" s="117"/>
      <c r="JCX187" s="117"/>
      <c r="JCY187" s="117"/>
      <c r="JCZ187" s="117"/>
      <c r="JDA187" s="117"/>
      <c r="JDB187" s="117"/>
      <c r="JDC187" s="117"/>
      <c r="JDD187" s="117"/>
      <c r="JDE187" s="117"/>
      <c r="JDF187" s="117"/>
      <c r="JDG187" s="117"/>
      <c r="JDH187" s="117"/>
      <c r="JDI187" s="117"/>
      <c r="JDJ187" s="117"/>
      <c r="JDK187" s="117"/>
      <c r="JDL187" s="117"/>
      <c r="JDM187" s="117"/>
      <c r="JDN187" s="117"/>
      <c r="JDO187" s="117"/>
      <c r="JDP187" s="117"/>
      <c r="JDQ187" s="117"/>
      <c r="JDR187" s="117"/>
      <c r="JDS187" s="117"/>
      <c r="JDT187" s="117"/>
      <c r="JDU187" s="117"/>
      <c r="JDV187" s="117"/>
      <c r="JDW187" s="117"/>
      <c r="JDX187" s="117"/>
      <c r="JDY187" s="117"/>
      <c r="JDZ187" s="117"/>
      <c r="JEA187" s="117"/>
      <c r="JEB187" s="117"/>
      <c r="JEC187" s="117"/>
      <c r="JED187" s="117"/>
      <c r="JEE187" s="117"/>
      <c r="JEF187" s="117"/>
      <c r="JEG187" s="117"/>
      <c r="JEH187" s="117"/>
      <c r="JEI187" s="117"/>
      <c r="JEJ187" s="117"/>
      <c r="JEK187" s="117"/>
      <c r="JEL187" s="117"/>
      <c r="JEM187" s="117"/>
      <c r="JEN187" s="117"/>
      <c r="JEO187" s="117"/>
      <c r="JEP187" s="117"/>
      <c r="JEQ187" s="117"/>
      <c r="JER187" s="117"/>
      <c r="JES187" s="117"/>
      <c r="JET187" s="117"/>
      <c r="JEU187" s="117"/>
      <c r="JEV187" s="117"/>
      <c r="JEW187" s="117"/>
      <c r="JEX187" s="117"/>
      <c r="JEY187" s="117"/>
      <c r="JEZ187" s="117"/>
      <c r="JFA187" s="117"/>
      <c r="JFB187" s="117"/>
      <c r="JFC187" s="117"/>
      <c r="JFD187" s="117"/>
      <c r="JFE187" s="117"/>
      <c r="JFF187" s="117"/>
      <c r="JFG187" s="117"/>
      <c r="JFH187" s="117"/>
      <c r="JFI187" s="117"/>
      <c r="JFJ187" s="117"/>
      <c r="JFK187" s="117"/>
      <c r="JFL187" s="117"/>
      <c r="JFM187" s="117"/>
      <c r="JFN187" s="117"/>
      <c r="JFO187" s="117"/>
      <c r="JFP187" s="117"/>
      <c r="JFQ187" s="117"/>
      <c r="JFR187" s="117"/>
      <c r="JFS187" s="117"/>
      <c r="JFT187" s="117"/>
      <c r="JFU187" s="117"/>
      <c r="JFV187" s="117"/>
      <c r="JFW187" s="117"/>
      <c r="JFX187" s="117"/>
      <c r="JFY187" s="117"/>
      <c r="JFZ187" s="117"/>
      <c r="JGA187" s="117"/>
      <c r="JGB187" s="117"/>
      <c r="JGC187" s="117"/>
      <c r="JGD187" s="117"/>
      <c r="JGE187" s="117"/>
      <c r="JGF187" s="117"/>
      <c r="JGG187" s="117"/>
      <c r="JGH187" s="117"/>
      <c r="JGI187" s="117"/>
      <c r="JGJ187" s="117"/>
      <c r="JGK187" s="117"/>
      <c r="JGL187" s="117"/>
      <c r="JGM187" s="117"/>
      <c r="JGN187" s="117"/>
      <c r="JGO187" s="117"/>
      <c r="JGP187" s="117"/>
      <c r="JGQ187" s="117"/>
      <c r="JGR187" s="117"/>
      <c r="JGS187" s="117"/>
      <c r="JGT187" s="117"/>
      <c r="JGU187" s="117"/>
      <c r="JGV187" s="117"/>
      <c r="JGW187" s="117"/>
      <c r="JGX187" s="117"/>
      <c r="JGY187" s="117"/>
      <c r="JGZ187" s="117"/>
      <c r="JHA187" s="117"/>
      <c r="JHB187" s="117"/>
      <c r="JHC187" s="117"/>
      <c r="JHD187" s="117"/>
      <c r="JHE187" s="117"/>
      <c r="JHF187" s="117"/>
      <c r="JHG187" s="117"/>
      <c r="JHH187" s="117"/>
      <c r="JHI187" s="117"/>
      <c r="JHJ187" s="117"/>
      <c r="JHK187" s="117"/>
      <c r="JHL187" s="117"/>
      <c r="JHM187" s="117"/>
      <c r="JHN187" s="117"/>
      <c r="JHO187" s="117"/>
      <c r="JHP187" s="117"/>
      <c r="JHQ187" s="117"/>
      <c r="JHR187" s="117"/>
      <c r="JHS187" s="117"/>
      <c r="JHT187" s="117"/>
      <c r="JHU187" s="117"/>
      <c r="JHV187" s="117"/>
      <c r="JHW187" s="117"/>
      <c r="JHX187" s="117"/>
      <c r="JHY187" s="117"/>
      <c r="JHZ187" s="117"/>
      <c r="JIA187" s="117"/>
      <c r="JIB187" s="117"/>
      <c r="JIC187" s="117"/>
      <c r="JID187" s="117"/>
      <c r="JIE187" s="117"/>
      <c r="JIF187" s="117"/>
      <c r="JIG187" s="117"/>
      <c r="JIH187" s="117"/>
      <c r="JII187" s="117"/>
      <c r="JIJ187" s="117"/>
      <c r="JIK187" s="117"/>
      <c r="JIL187" s="117"/>
      <c r="JIM187" s="117"/>
      <c r="JIN187" s="117"/>
      <c r="JIO187" s="117"/>
      <c r="JIP187" s="117"/>
      <c r="JIQ187" s="117"/>
      <c r="JIR187" s="117"/>
      <c r="JIS187" s="117"/>
      <c r="JIT187" s="117"/>
      <c r="JIU187" s="117"/>
      <c r="JIV187" s="117"/>
      <c r="JIW187" s="117"/>
      <c r="JIX187" s="117"/>
      <c r="JIY187" s="117"/>
      <c r="JIZ187" s="117"/>
      <c r="JJA187" s="117"/>
      <c r="JJB187" s="117"/>
      <c r="JJC187" s="117"/>
      <c r="JJD187" s="117"/>
      <c r="JJE187" s="117"/>
      <c r="JJF187" s="117"/>
      <c r="JJG187" s="117"/>
      <c r="JJH187" s="117"/>
      <c r="JJI187" s="117"/>
      <c r="JJJ187" s="117"/>
      <c r="JJK187" s="117"/>
      <c r="JJL187" s="117"/>
      <c r="JJM187" s="117"/>
      <c r="JJN187" s="117"/>
      <c r="JJO187" s="117"/>
      <c r="JJP187" s="117"/>
      <c r="JJQ187" s="117"/>
      <c r="JJR187" s="117"/>
      <c r="JJS187" s="117"/>
      <c r="JJT187" s="117"/>
      <c r="JJU187" s="117"/>
      <c r="JJV187" s="117"/>
      <c r="JJW187" s="117"/>
      <c r="JJX187" s="117"/>
      <c r="JJY187" s="117"/>
      <c r="JJZ187" s="117"/>
      <c r="JKA187" s="117"/>
      <c r="JKB187" s="117"/>
      <c r="JKC187" s="117"/>
      <c r="JKD187" s="117"/>
      <c r="JKE187" s="117"/>
      <c r="JKF187" s="117"/>
      <c r="JKG187" s="117"/>
      <c r="JKH187" s="117"/>
      <c r="JKI187" s="117"/>
      <c r="JKJ187" s="117"/>
      <c r="JKK187" s="117"/>
      <c r="JKL187" s="117"/>
      <c r="JKM187" s="117"/>
      <c r="JKN187" s="117"/>
      <c r="JKO187" s="117"/>
      <c r="JKP187" s="117"/>
      <c r="JKQ187" s="117"/>
      <c r="JKR187" s="117"/>
      <c r="JKS187" s="117"/>
      <c r="JKT187" s="117"/>
      <c r="JKU187" s="117"/>
      <c r="JKV187" s="117"/>
      <c r="JKW187" s="117"/>
      <c r="JKX187" s="117"/>
      <c r="JKY187" s="117"/>
      <c r="JKZ187" s="117"/>
      <c r="JLA187" s="117"/>
      <c r="JLB187" s="117"/>
      <c r="JLC187" s="117"/>
      <c r="JLD187" s="117"/>
      <c r="JLE187" s="117"/>
      <c r="JLF187" s="117"/>
      <c r="JLG187" s="117"/>
      <c r="JLH187" s="117"/>
      <c r="JLI187" s="117"/>
      <c r="JLJ187" s="117"/>
      <c r="JLK187" s="117"/>
      <c r="JLL187" s="117"/>
      <c r="JLM187" s="117"/>
      <c r="JLN187" s="117"/>
      <c r="JLO187" s="117"/>
      <c r="JLP187" s="117"/>
      <c r="JLQ187" s="117"/>
      <c r="JLR187" s="117"/>
      <c r="JLS187" s="117"/>
      <c r="JLT187" s="117"/>
      <c r="JLU187" s="117"/>
      <c r="JLV187" s="117"/>
      <c r="JLW187" s="117"/>
      <c r="JLX187" s="117"/>
      <c r="JLY187" s="117"/>
      <c r="JLZ187" s="117"/>
      <c r="JMA187" s="117"/>
      <c r="JMB187" s="117"/>
      <c r="JMC187" s="117"/>
      <c r="JMD187" s="117"/>
      <c r="JME187" s="117"/>
      <c r="JMF187" s="117"/>
      <c r="JMG187" s="117"/>
      <c r="JMH187" s="117"/>
      <c r="JMI187" s="117"/>
      <c r="JMJ187" s="117"/>
      <c r="JMK187" s="117"/>
      <c r="JML187" s="117"/>
      <c r="JMM187" s="117"/>
      <c r="JMN187" s="117"/>
      <c r="JMO187" s="117"/>
      <c r="JMP187" s="117"/>
      <c r="JMQ187" s="117"/>
      <c r="JMR187" s="117"/>
      <c r="JMS187" s="117"/>
      <c r="JMT187" s="117"/>
      <c r="JMU187" s="117"/>
      <c r="JMV187" s="117"/>
      <c r="JMW187" s="117"/>
      <c r="JMX187" s="117"/>
      <c r="JMY187" s="117"/>
      <c r="JMZ187" s="117"/>
      <c r="JNA187" s="117"/>
      <c r="JNB187" s="117"/>
      <c r="JNC187" s="117"/>
      <c r="JND187" s="117"/>
      <c r="JNE187" s="117"/>
      <c r="JNF187" s="117"/>
      <c r="JNG187" s="117"/>
      <c r="JNH187" s="117"/>
      <c r="JNI187" s="117"/>
      <c r="JNJ187" s="117"/>
      <c r="JNK187" s="117"/>
      <c r="JNL187" s="117"/>
      <c r="JNM187" s="117"/>
      <c r="JNN187" s="117"/>
      <c r="JNO187" s="117"/>
      <c r="JNP187" s="117"/>
      <c r="JNQ187" s="117"/>
      <c r="JNR187" s="117"/>
      <c r="JNS187" s="117"/>
      <c r="JNT187" s="117"/>
      <c r="JNU187" s="117"/>
      <c r="JNV187" s="117"/>
      <c r="JNW187" s="117"/>
      <c r="JNX187" s="117"/>
      <c r="JNY187" s="117"/>
      <c r="JNZ187" s="117"/>
      <c r="JOA187" s="117"/>
      <c r="JOB187" s="117"/>
      <c r="JOC187" s="117"/>
      <c r="JOD187" s="117"/>
      <c r="JOE187" s="117"/>
      <c r="JOF187" s="117"/>
      <c r="JOG187" s="117"/>
      <c r="JOH187" s="117"/>
      <c r="JOI187" s="117"/>
      <c r="JOJ187" s="117"/>
      <c r="JOK187" s="117"/>
      <c r="JOL187" s="117"/>
      <c r="JOM187" s="117"/>
      <c r="JON187" s="117"/>
      <c r="JOO187" s="117"/>
      <c r="JOP187" s="117"/>
      <c r="JOQ187" s="117"/>
      <c r="JOR187" s="117"/>
      <c r="JOS187" s="117"/>
      <c r="JOT187" s="117"/>
      <c r="JOU187" s="117"/>
      <c r="JOV187" s="117"/>
      <c r="JOW187" s="117"/>
      <c r="JOX187" s="117"/>
      <c r="JOY187" s="117"/>
      <c r="JOZ187" s="117"/>
      <c r="JPA187" s="117"/>
      <c r="JPB187" s="117"/>
      <c r="JPC187" s="117"/>
      <c r="JPD187" s="117"/>
      <c r="JPE187" s="117"/>
      <c r="JPF187" s="117"/>
      <c r="JPG187" s="117"/>
      <c r="JPH187" s="117"/>
      <c r="JPI187" s="117"/>
      <c r="JPJ187" s="117"/>
      <c r="JPK187" s="117"/>
      <c r="JPL187" s="117"/>
      <c r="JPM187" s="117"/>
      <c r="JPN187" s="117"/>
      <c r="JPO187" s="117"/>
      <c r="JPP187" s="117"/>
      <c r="JPQ187" s="117"/>
      <c r="JPR187" s="117"/>
      <c r="JPS187" s="117"/>
      <c r="JPT187" s="117"/>
      <c r="JPU187" s="117"/>
      <c r="JPV187" s="117"/>
      <c r="JPW187" s="117"/>
      <c r="JPX187" s="117"/>
      <c r="JPY187" s="117"/>
      <c r="JPZ187" s="117"/>
      <c r="JQA187" s="117"/>
      <c r="JQB187" s="117"/>
      <c r="JQC187" s="117"/>
      <c r="JQD187" s="117"/>
      <c r="JQE187" s="117"/>
      <c r="JQF187" s="117"/>
      <c r="JQG187" s="117"/>
      <c r="JQH187" s="117"/>
      <c r="JQI187" s="117"/>
      <c r="JQJ187" s="117"/>
      <c r="JQK187" s="117"/>
      <c r="JQL187" s="117"/>
      <c r="JQM187" s="117"/>
      <c r="JQN187" s="117"/>
      <c r="JQO187" s="117"/>
      <c r="JQP187" s="117"/>
      <c r="JQQ187" s="117"/>
      <c r="JQR187" s="117"/>
      <c r="JQS187" s="117"/>
      <c r="JQT187" s="117"/>
      <c r="JQU187" s="117"/>
      <c r="JQV187" s="117"/>
      <c r="JQW187" s="117"/>
      <c r="JQX187" s="117"/>
      <c r="JQY187" s="117"/>
      <c r="JQZ187" s="117"/>
      <c r="JRA187" s="117"/>
      <c r="JRB187" s="117"/>
      <c r="JRC187" s="117"/>
      <c r="JRD187" s="117"/>
      <c r="JRE187" s="117"/>
      <c r="JRF187" s="117"/>
      <c r="JRG187" s="117"/>
      <c r="JRH187" s="117"/>
      <c r="JRI187" s="117"/>
      <c r="JRJ187" s="117"/>
      <c r="JRK187" s="117"/>
      <c r="JRL187" s="117"/>
      <c r="JRM187" s="117"/>
      <c r="JRN187" s="117"/>
      <c r="JRO187" s="117"/>
      <c r="JRP187" s="117"/>
      <c r="JRQ187" s="117"/>
      <c r="JRR187" s="117"/>
      <c r="JRS187" s="117"/>
      <c r="JRT187" s="117"/>
      <c r="JRU187" s="117"/>
      <c r="JRV187" s="117"/>
      <c r="JRW187" s="117"/>
      <c r="JRX187" s="117"/>
      <c r="JRY187" s="117"/>
      <c r="JRZ187" s="117"/>
      <c r="JSA187" s="117"/>
      <c r="JSB187" s="117"/>
      <c r="JSC187" s="117"/>
      <c r="JSD187" s="117"/>
      <c r="JSE187" s="117"/>
      <c r="JSF187" s="117"/>
      <c r="JSG187" s="117"/>
      <c r="JSH187" s="117"/>
      <c r="JSI187" s="117"/>
      <c r="JSJ187" s="117"/>
      <c r="JSK187" s="117"/>
      <c r="JSL187" s="117"/>
      <c r="JSM187" s="117"/>
      <c r="JSN187" s="117"/>
      <c r="JSO187" s="117"/>
      <c r="JSP187" s="117"/>
      <c r="JSQ187" s="117"/>
      <c r="JSR187" s="117"/>
      <c r="JSS187" s="117"/>
      <c r="JST187" s="117"/>
      <c r="JSU187" s="117"/>
      <c r="JSV187" s="117"/>
      <c r="JSW187" s="117"/>
      <c r="JSX187" s="117"/>
      <c r="JSY187" s="117"/>
      <c r="JSZ187" s="117"/>
      <c r="JTA187" s="117"/>
      <c r="JTB187" s="117"/>
      <c r="JTC187" s="117"/>
      <c r="JTD187" s="117"/>
      <c r="JTE187" s="117"/>
      <c r="JTF187" s="117"/>
      <c r="JTG187" s="117"/>
      <c r="JTH187" s="117"/>
      <c r="JTI187" s="117"/>
      <c r="JTJ187" s="117"/>
      <c r="JTK187" s="117"/>
      <c r="JTL187" s="117"/>
      <c r="JTM187" s="117"/>
      <c r="JTN187" s="117"/>
      <c r="JTO187" s="117"/>
      <c r="JTP187" s="117"/>
      <c r="JTQ187" s="117"/>
      <c r="JTR187" s="117"/>
      <c r="JTS187" s="117"/>
      <c r="JTT187" s="117"/>
      <c r="JTU187" s="117"/>
      <c r="JTV187" s="117"/>
      <c r="JTW187" s="117"/>
      <c r="JTX187" s="117"/>
      <c r="JTY187" s="117"/>
      <c r="JTZ187" s="117"/>
      <c r="JUA187" s="117"/>
      <c r="JUB187" s="117"/>
      <c r="JUC187" s="117"/>
      <c r="JUD187" s="117"/>
      <c r="JUE187" s="117"/>
      <c r="JUF187" s="117"/>
      <c r="JUG187" s="117"/>
      <c r="JUH187" s="117"/>
      <c r="JUI187" s="117"/>
      <c r="JUJ187" s="117"/>
      <c r="JUK187" s="117"/>
      <c r="JUL187" s="117"/>
      <c r="JUM187" s="117"/>
      <c r="JUN187" s="117"/>
      <c r="JUO187" s="117"/>
      <c r="JUP187" s="117"/>
      <c r="JUQ187" s="117"/>
      <c r="JUR187" s="117"/>
      <c r="JUS187" s="117"/>
      <c r="JUT187" s="117"/>
      <c r="JUU187" s="117"/>
      <c r="JUV187" s="117"/>
      <c r="JUW187" s="117"/>
      <c r="JUX187" s="117"/>
      <c r="JUY187" s="117"/>
      <c r="JUZ187" s="117"/>
      <c r="JVA187" s="117"/>
      <c r="JVB187" s="117"/>
      <c r="JVC187" s="117"/>
      <c r="JVD187" s="117"/>
      <c r="JVE187" s="117"/>
      <c r="JVF187" s="117"/>
      <c r="JVG187" s="117"/>
      <c r="JVH187" s="117"/>
      <c r="JVI187" s="117"/>
      <c r="JVJ187" s="117"/>
      <c r="JVK187" s="117"/>
      <c r="JVL187" s="117"/>
      <c r="JVM187" s="117"/>
      <c r="JVN187" s="117"/>
      <c r="JVO187" s="117"/>
      <c r="JVP187" s="117"/>
      <c r="JVQ187" s="117"/>
      <c r="JVR187" s="117"/>
      <c r="JVS187" s="117"/>
      <c r="JVT187" s="117"/>
      <c r="JVU187" s="117"/>
      <c r="JVV187" s="117"/>
      <c r="JVW187" s="117"/>
      <c r="JVX187" s="117"/>
      <c r="JVY187" s="117"/>
      <c r="JVZ187" s="117"/>
      <c r="JWA187" s="117"/>
      <c r="JWB187" s="117"/>
      <c r="JWC187" s="117"/>
      <c r="JWD187" s="117"/>
      <c r="JWE187" s="117"/>
      <c r="JWF187" s="117"/>
      <c r="JWG187" s="117"/>
      <c r="JWH187" s="117"/>
      <c r="JWI187" s="117"/>
      <c r="JWJ187" s="117"/>
      <c r="JWK187" s="117"/>
      <c r="JWL187" s="117"/>
      <c r="JWM187" s="117"/>
      <c r="JWN187" s="117"/>
      <c r="JWO187" s="117"/>
      <c r="JWP187" s="117"/>
      <c r="JWQ187" s="117"/>
      <c r="JWR187" s="117"/>
      <c r="JWS187" s="117"/>
      <c r="JWT187" s="117"/>
      <c r="JWU187" s="117"/>
      <c r="JWV187" s="117"/>
      <c r="JWW187" s="117"/>
      <c r="JWX187" s="117"/>
      <c r="JWY187" s="117"/>
      <c r="JWZ187" s="117"/>
      <c r="JXA187" s="117"/>
      <c r="JXB187" s="117"/>
      <c r="JXC187" s="117"/>
      <c r="JXD187" s="117"/>
      <c r="JXE187" s="117"/>
      <c r="JXF187" s="117"/>
      <c r="JXG187" s="117"/>
      <c r="JXH187" s="117"/>
      <c r="JXI187" s="117"/>
      <c r="JXJ187" s="117"/>
      <c r="JXK187" s="117"/>
      <c r="JXL187" s="117"/>
      <c r="JXM187" s="117"/>
      <c r="JXN187" s="117"/>
      <c r="JXO187" s="117"/>
      <c r="JXP187" s="117"/>
      <c r="JXQ187" s="117"/>
      <c r="JXR187" s="117"/>
      <c r="JXS187" s="117"/>
      <c r="JXT187" s="117"/>
      <c r="JXU187" s="117"/>
      <c r="JXV187" s="117"/>
      <c r="JXW187" s="117"/>
      <c r="JXX187" s="117"/>
      <c r="JXY187" s="117"/>
      <c r="JXZ187" s="117"/>
      <c r="JYA187" s="117"/>
      <c r="JYB187" s="117"/>
      <c r="JYC187" s="117"/>
      <c r="JYD187" s="117"/>
      <c r="JYE187" s="117"/>
      <c r="JYF187" s="117"/>
      <c r="JYG187" s="117"/>
      <c r="JYH187" s="117"/>
      <c r="JYI187" s="117"/>
      <c r="JYJ187" s="117"/>
      <c r="JYK187" s="117"/>
      <c r="JYL187" s="117"/>
      <c r="JYM187" s="117"/>
      <c r="JYN187" s="117"/>
      <c r="JYO187" s="117"/>
      <c r="JYP187" s="117"/>
      <c r="JYQ187" s="117"/>
      <c r="JYR187" s="117"/>
      <c r="JYS187" s="117"/>
      <c r="JYT187" s="117"/>
      <c r="JYU187" s="117"/>
      <c r="JYV187" s="117"/>
      <c r="JYW187" s="117"/>
      <c r="JYX187" s="117"/>
      <c r="JYY187" s="117"/>
      <c r="JYZ187" s="117"/>
      <c r="JZA187" s="117"/>
      <c r="JZB187" s="117"/>
      <c r="JZC187" s="117"/>
      <c r="JZD187" s="117"/>
      <c r="JZE187" s="117"/>
      <c r="JZF187" s="117"/>
      <c r="JZG187" s="117"/>
      <c r="JZH187" s="117"/>
      <c r="JZI187" s="117"/>
      <c r="JZJ187" s="117"/>
      <c r="JZK187" s="117"/>
      <c r="JZL187" s="117"/>
      <c r="JZM187" s="117"/>
      <c r="JZN187" s="117"/>
      <c r="JZO187" s="117"/>
      <c r="JZP187" s="117"/>
      <c r="JZQ187" s="117"/>
      <c r="JZR187" s="117"/>
      <c r="JZS187" s="117"/>
      <c r="JZT187" s="117"/>
      <c r="JZU187" s="117"/>
      <c r="JZV187" s="117"/>
      <c r="JZW187" s="117"/>
      <c r="JZX187" s="117"/>
      <c r="JZY187" s="117"/>
      <c r="JZZ187" s="117"/>
      <c r="KAA187" s="117"/>
      <c r="KAB187" s="117"/>
      <c r="KAC187" s="117"/>
      <c r="KAD187" s="117"/>
      <c r="KAE187" s="117"/>
      <c r="KAF187" s="117"/>
      <c r="KAG187" s="117"/>
      <c r="KAH187" s="117"/>
      <c r="KAI187" s="117"/>
      <c r="KAJ187" s="117"/>
      <c r="KAK187" s="117"/>
      <c r="KAL187" s="117"/>
      <c r="KAM187" s="117"/>
      <c r="KAN187" s="117"/>
      <c r="KAO187" s="117"/>
      <c r="KAP187" s="117"/>
      <c r="KAQ187" s="117"/>
      <c r="KAR187" s="117"/>
      <c r="KAS187" s="117"/>
      <c r="KAT187" s="117"/>
      <c r="KAU187" s="117"/>
      <c r="KAV187" s="117"/>
      <c r="KAW187" s="117"/>
      <c r="KAX187" s="117"/>
      <c r="KAY187" s="117"/>
      <c r="KAZ187" s="117"/>
      <c r="KBA187" s="117"/>
      <c r="KBB187" s="117"/>
      <c r="KBC187" s="117"/>
      <c r="KBD187" s="117"/>
      <c r="KBE187" s="117"/>
      <c r="KBF187" s="117"/>
      <c r="KBG187" s="117"/>
      <c r="KBH187" s="117"/>
      <c r="KBI187" s="117"/>
      <c r="KBJ187" s="117"/>
      <c r="KBK187" s="117"/>
      <c r="KBL187" s="117"/>
      <c r="KBM187" s="117"/>
      <c r="KBN187" s="117"/>
      <c r="KBO187" s="117"/>
      <c r="KBP187" s="117"/>
      <c r="KBQ187" s="117"/>
      <c r="KBR187" s="117"/>
      <c r="KBS187" s="117"/>
      <c r="KBT187" s="117"/>
      <c r="KBU187" s="117"/>
      <c r="KBV187" s="117"/>
      <c r="KBW187" s="117"/>
      <c r="KBX187" s="117"/>
      <c r="KBY187" s="117"/>
      <c r="KBZ187" s="117"/>
      <c r="KCA187" s="117"/>
      <c r="KCB187" s="117"/>
      <c r="KCC187" s="117"/>
      <c r="KCD187" s="117"/>
      <c r="KCE187" s="117"/>
      <c r="KCF187" s="117"/>
      <c r="KCG187" s="117"/>
      <c r="KCH187" s="117"/>
      <c r="KCI187" s="117"/>
      <c r="KCJ187" s="117"/>
      <c r="KCK187" s="117"/>
      <c r="KCL187" s="117"/>
      <c r="KCM187" s="117"/>
      <c r="KCN187" s="117"/>
      <c r="KCO187" s="117"/>
      <c r="KCP187" s="117"/>
      <c r="KCQ187" s="117"/>
      <c r="KCR187" s="117"/>
      <c r="KCS187" s="117"/>
      <c r="KCT187" s="117"/>
      <c r="KCU187" s="117"/>
      <c r="KCV187" s="117"/>
      <c r="KCW187" s="117"/>
      <c r="KCX187" s="117"/>
      <c r="KCY187" s="117"/>
      <c r="KCZ187" s="117"/>
      <c r="KDA187" s="117"/>
      <c r="KDB187" s="117"/>
      <c r="KDC187" s="117"/>
      <c r="KDD187" s="117"/>
      <c r="KDE187" s="117"/>
      <c r="KDF187" s="117"/>
      <c r="KDG187" s="117"/>
      <c r="KDH187" s="117"/>
      <c r="KDI187" s="117"/>
      <c r="KDJ187" s="117"/>
      <c r="KDK187" s="117"/>
      <c r="KDL187" s="117"/>
      <c r="KDM187" s="117"/>
      <c r="KDN187" s="117"/>
      <c r="KDO187" s="117"/>
      <c r="KDP187" s="117"/>
      <c r="KDQ187" s="117"/>
      <c r="KDR187" s="117"/>
      <c r="KDS187" s="117"/>
      <c r="KDT187" s="117"/>
      <c r="KDU187" s="117"/>
      <c r="KDV187" s="117"/>
      <c r="KDW187" s="117"/>
      <c r="KDX187" s="117"/>
      <c r="KDY187" s="117"/>
      <c r="KDZ187" s="117"/>
      <c r="KEA187" s="117"/>
      <c r="KEB187" s="117"/>
      <c r="KEC187" s="117"/>
      <c r="KED187" s="117"/>
      <c r="KEE187" s="117"/>
      <c r="KEF187" s="117"/>
      <c r="KEG187" s="117"/>
      <c r="KEH187" s="117"/>
      <c r="KEI187" s="117"/>
      <c r="KEJ187" s="117"/>
      <c r="KEK187" s="117"/>
      <c r="KEL187" s="117"/>
      <c r="KEM187" s="117"/>
      <c r="KEN187" s="117"/>
      <c r="KEO187" s="117"/>
      <c r="KEP187" s="117"/>
      <c r="KEQ187" s="117"/>
      <c r="KER187" s="117"/>
      <c r="KES187" s="117"/>
      <c r="KET187" s="117"/>
      <c r="KEU187" s="117"/>
      <c r="KEV187" s="117"/>
      <c r="KEW187" s="117"/>
      <c r="KEX187" s="117"/>
      <c r="KEY187" s="117"/>
      <c r="KEZ187" s="117"/>
      <c r="KFA187" s="117"/>
      <c r="KFB187" s="117"/>
      <c r="KFC187" s="117"/>
      <c r="KFD187" s="117"/>
      <c r="KFE187" s="117"/>
      <c r="KFF187" s="117"/>
      <c r="KFG187" s="117"/>
      <c r="KFH187" s="117"/>
      <c r="KFI187" s="117"/>
      <c r="KFJ187" s="117"/>
      <c r="KFK187" s="117"/>
      <c r="KFL187" s="117"/>
      <c r="KFM187" s="117"/>
      <c r="KFN187" s="117"/>
      <c r="KFO187" s="117"/>
      <c r="KFP187" s="117"/>
      <c r="KFQ187" s="117"/>
      <c r="KFR187" s="117"/>
      <c r="KFS187" s="117"/>
      <c r="KFT187" s="117"/>
      <c r="KFU187" s="117"/>
      <c r="KFV187" s="117"/>
      <c r="KFW187" s="117"/>
      <c r="KFX187" s="117"/>
      <c r="KFY187" s="117"/>
      <c r="KFZ187" s="117"/>
      <c r="KGA187" s="117"/>
      <c r="KGB187" s="117"/>
      <c r="KGC187" s="117"/>
      <c r="KGD187" s="117"/>
      <c r="KGE187" s="117"/>
      <c r="KGF187" s="117"/>
      <c r="KGG187" s="117"/>
      <c r="KGH187" s="117"/>
      <c r="KGI187" s="117"/>
      <c r="KGJ187" s="117"/>
      <c r="KGK187" s="117"/>
      <c r="KGL187" s="117"/>
      <c r="KGM187" s="117"/>
      <c r="KGN187" s="117"/>
      <c r="KGO187" s="117"/>
      <c r="KGP187" s="117"/>
      <c r="KGQ187" s="117"/>
      <c r="KGR187" s="117"/>
      <c r="KGS187" s="117"/>
      <c r="KGT187" s="117"/>
      <c r="KGU187" s="117"/>
      <c r="KGV187" s="117"/>
      <c r="KGW187" s="117"/>
      <c r="KGX187" s="117"/>
      <c r="KGY187" s="117"/>
      <c r="KGZ187" s="117"/>
      <c r="KHA187" s="117"/>
      <c r="KHB187" s="117"/>
      <c r="KHC187" s="117"/>
      <c r="KHD187" s="117"/>
      <c r="KHE187" s="117"/>
      <c r="KHF187" s="117"/>
      <c r="KHG187" s="117"/>
      <c r="KHH187" s="117"/>
      <c r="KHI187" s="117"/>
      <c r="KHJ187" s="117"/>
      <c r="KHK187" s="117"/>
      <c r="KHL187" s="117"/>
      <c r="KHM187" s="117"/>
      <c r="KHN187" s="117"/>
      <c r="KHO187" s="117"/>
      <c r="KHP187" s="117"/>
      <c r="KHQ187" s="117"/>
      <c r="KHR187" s="117"/>
      <c r="KHS187" s="117"/>
      <c r="KHT187" s="117"/>
      <c r="KHU187" s="117"/>
      <c r="KHV187" s="117"/>
      <c r="KHW187" s="117"/>
      <c r="KHX187" s="117"/>
      <c r="KHY187" s="117"/>
      <c r="KHZ187" s="117"/>
      <c r="KIA187" s="117"/>
      <c r="KIB187" s="117"/>
      <c r="KIC187" s="117"/>
      <c r="KID187" s="117"/>
      <c r="KIE187" s="117"/>
      <c r="KIF187" s="117"/>
      <c r="KIG187" s="117"/>
      <c r="KIH187" s="117"/>
      <c r="KII187" s="117"/>
      <c r="KIJ187" s="117"/>
      <c r="KIK187" s="117"/>
      <c r="KIL187" s="117"/>
      <c r="KIM187" s="117"/>
      <c r="KIN187" s="117"/>
      <c r="KIO187" s="117"/>
      <c r="KIP187" s="117"/>
      <c r="KIQ187" s="117"/>
      <c r="KIR187" s="117"/>
      <c r="KIS187" s="117"/>
      <c r="KIT187" s="117"/>
      <c r="KIU187" s="117"/>
      <c r="KIV187" s="117"/>
      <c r="KIW187" s="117"/>
      <c r="KIX187" s="117"/>
      <c r="KIY187" s="117"/>
      <c r="KIZ187" s="117"/>
      <c r="KJA187" s="117"/>
      <c r="KJB187" s="117"/>
      <c r="KJC187" s="117"/>
      <c r="KJD187" s="117"/>
      <c r="KJE187" s="117"/>
      <c r="KJF187" s="117"/>
      <c r="KJG187" s="117"/>
      <c r="KJH187" s="117"/>
      <c r="KJI187" s="117"/>
      <c r="KJJ187" s="117"/>
      <c r="KJK187" s="117"/>
      <c r="KJL187" s="117"/>
      <c r="KJM187" s="117"/>
      <c r="KJN187" s="117"/>
      <c r="KJO187" s="117"/>
      <c r="KJP187" s="117"/>
      <c r="KJQ187" s="117"/>
      <c r="KJR187" s="117"/>
      <c r="KJS187" s="117"/>
      <c r="KJT187" s="117"/>
      <c r="KJU187" s="117"/>
      <c r="KJV187" s="117"/>
      <c r="KJW187" s="117"/>
      <c r="KJX187" s="117"/>
      <c r="KJY187" s="117"/>
      <c r="KJZ187" s="117"/>
      <c r="KKA187" s="117"/>
      <c r="KKB187" s="117"/>
      <c r="KKC187" s="117"/>
      <c r="KKD187" s="117"/>
      <c r="KKE187" s="117"/>
      <c r="KKF187" s="117"/>
      <c r="KKG187" s="117"/>
      <c r="KKH187" s="117"/>
      <c r="KKI187" s="117"/>
      <c r="KKJ187" s="117"/>
      <c r="KKK187" s="117"/>
      <c r="KKL187" s="117"/>
      <c r="KKM187" s="117"/>
      <c r="KKN187" s="117"/>
      <c r="KKO187" s="117"/>
      <c r="KKP187" s="117"/>
      <c r="KKQ187" s="117"/>
      <c r="KKR187" s="117"/>
      <c r="KKS187" s="117"/>
      <c r="KKT187" s="117"/>
      <c r="KKU187" s="117"/>
      <c r="KKV187" s="117"/>
      <c r="KKW187" s="117"/>
      <c r="KKX187" s="117"/>
      <c r="KKY187" s="117"/>
      <c r="KKZ187" s="117"/>
      <c r="KLA187" s="117"/>
      <c r="KLB187" s="117"/>
      <c r="KLC187" s="117"/>
      <c r="KLD187" s="117"/>
      <c r="KLE187" s="117"/>
      <c r="KLF187" s="117"/>
      <c r="KLG187" s="117"/>
      <c r="KLH187" s="117"/>
      <c r="KLI187" s="117"/>
      <c r="KLJ187" s="117"/>
      <c r="KLK187" s="117"/>
      <c r="KLL187" s="117"/>
      <c r="KLM187" s="117"/>
      <c r="KLN187" s="117"/>
      <c r="KLO187" s="117"/>
      <c r="KLP187" s="117"/>
      <c r="KLQ187" s="117"/>
      <c r="KLR187" s="117"/>
      <c r="KLS187" s="117"/>
      <c r="KLT187" s="117"/>
      <c r="KLU187" s="117"/>
      <c r="KLV187" s="117"/>
      <c r="KLW187" s="117"/>
      <c r="KLX187" s="117"/>
      <c r="KLY187" s="117"/>
      <c r="KLZ187" s="117"/>
      <c r="KMA187" s="117"/>
      <c r="KMB187" s="117"/>
      <c r="KMC187" s="117"/>
      <c r="KMD187" s="117"/>
      <c r="KME187" s="117"/>
      <c r="KMF187" s="117"/>
      <c r="KMG187" s="117"/>
      <c r="KMH187" s="117"/>
      <c r="KMI187" s="117"/>
      <c r="KMJ187" s="117"/>
      <c r="KMK187" s="117"/>
      <c r="KML187" s="117"/>
      <c r="KMM187" s="117"/>
      <c r="KMN187" s="117"/>
      <c r="KMO187" s="117"/>
      <c r="KMP187" s="117"/>
      <c r="KMQ187" s="117"/>
      <c r="KMR187" s="117"/>
      <c r="KMS187" s="117"/>
      <c r="KMT187" s="117"/>
      <c r="KMU187" s="117"/>
      <c r="KMV187" s="117"/>
      <c r="KMW187" s="117"/>
      <c r="KMX187" s="117"/>
      <c r="KMY187" s="117"/>
      <c r="KMZ187" s="117"/>
      <c r="KNA187" s="117"/>
      <c r="KNB187" s="117"/>
      <c r="KNC187" s="117"/>
      <c r="KND187" s="117"/>
      <c r="KNE187" s="117"/>
      <c r="KNF187" s="117"/>
      <c r="KNG187" s="117"/>
      <c r="KNH187" s="117"/>
      <c r="KNI187" s="117"/>
      <c r="KNJ187" s="117"/>
      <c r="KNK187" s="117"/>
      <c r="KNL187" s="117"/>
      <c r="KNM187" s="117"/>
      <c r="KNN187" s="117"/>
      <c r="KNO187" s="117"/>
      <c r="KNP187" s="117"/>
      <c r="KNQ187" s="117"/>
      <c r="KNR187" s="117"/>
      <c r="KNS187" s="117"/>
      <c r="KNT187" s="117"/>
      <c r="KNU187" s="117"/>
      <c r="KNV187" s="117"/>
      <c r="KNW187" s="117"/>
      <c r="KNX187" s="117"/>
      <c r="KNY187" s="117"/>
      <c r="KNZ187" s="117"/>
      <c r="KOA187" s="117"/>
      <c r="KOB187" s="117"/>
      <c r="KOC187" s="117"/>
      <c r="KOD187" s="117"/>
      <c r="KOE187" s="117"/>
      <c r="KOF187" s="117"/>
      <c r="KOG187" s="117"/>
      <c r="KOH187" s="117"/>
      <c r="KOI187" s="117"/>
      <c r="KOJ187" s="117"/>
      <c r="KOK187" s="117"/>
      <c r="KOL187" s="117"/>
      <c r="KOM187" s="117"/>
      <c r="KON187" s="117"/>
      <c r="KOO187" s="117"/>
      <c r="KOP187" s="117"/>
      <c r="KOQ187" s="117"/>
      <c r="KOR187" s="117"/>
      <c r="KOS187" s="117"/>
      <c r="KOT187" s="117"/>
      <c r="KOU187" s="117"/>
      <c r="KOV187" s="117"/>
      <c r="KOW187" s="117"/>
      <c r="KOX187" s="117"/>
      <c r="KOY187" s="117"/>
      <c r="KOZ187" s="117"/>
      <c r="KPA187" s="117"/>
      <c r="KPB187" s="117"/>
      <c r="KPC187" s="117"/>
      <c r="KPD187" s="117"/>
      <c r="KPE187" s="117"/>
      <c r="KPF187" s="117"/>
      <c r="KPG187" s="117"/>
      <c r="KPH187" s="117"/>
      <c r="KPI187" s="117"/>
      <c r="KPJ187" s="117"/>
      <c r="KPK187" s="117"/>
      <c r="KPL187" s="117"/>
      <c r="KPM187" s="117"/>
      <c r="KPN187" s="117"/>
      <c r="KPO187" s="117"/>
      <c r="KPP187" s="117"/>
      <c r="KPQ187" s="117"/>
      <c r="KPR187" s="117"/>
      <c r="KPS187" s="117"/>
      <c r="KPT187" s="117"/>
      <c r="KPU187" s="117"/>
      <c r="KPV187" s="117"/>
      <c r="KPW187" s="117"/>
      <c r="KPX187" s="117"/>
      <c r="KPY187" s="117"/>
      <c r="KPZ187" s="117"/>
      <c r="KQA187" s="117"/>
      <c r="KQB187" s="117"/>
      <c r="KQC187" s="117"/>
      <c r="KQD187" s="117"/>
      <c r="KQE187" s="117"/>
      <c r="KQF187" s="117"/>
      <c r="KQG187" s="117"/>
      <c r="KQH187" s="117"/>
      <c r="KQI187" s="117"/>
      <c r="KQJ187" s="117"/>
      <c r="KQK187" s="117"/>
      <c r="KQL187" s="117"/>
      <c r="KQM187" s="117"/>
      <c r="KQN187" s="117"/>
      <c r="KQO187" s="117"/>
      <c r="KQP187" s="117"/>
      <c r="KQQ187" s="117"/>
      <c r="KQR187" s="117"/>
      <c r="KQS187" s="117"/>
      <c r="KQT187" s="117"/>
      <c r="KQU187" s="117"/>
      <c r="KQV187" s="117"/>
      <c r="KQW187" s="117"/>
      <c r="KQX187" s="117"/>
      <c r="KQY187" s="117"/>
      <c r="KQZ187" s="117"/>
      <c r="KRA187" s="117"/>
      <c r="KRB187" s="117"/>
      <c r="KRC187" s="117"/>
      <c r="KRD187" s="117"/>
      <c r="KRE187" s="117"/>
      <c r="KRF187" s="117"/>
      <c r="KRG187" s="117"/>
      <c r="KRH187" s="117"/>
      <c r="KRI187" s="117"/>
      <c r="KRJ187" s="117"/>
      <c r="KRK187" s="117"/>
      <c r="KRL187" s="117"/>
      <c r="KRM187" s="117"/>
      <c r="KRN187" s="117"/>
      <c r="KRO187" s="117"/>
      <c r="KRP187" s="117"/>
      <c r="KRQ187" s="117"/>
      <c r="KRR187" s="117"/>
      <c r="KRS187" s="117"/>
      <c r="KRT187" s="117"/>
      <c r="KRU187" s="117"/>
      <c r="KRV187" s="117"/>
      <c r="KRW187" s="117"/>
      <c r="KRX187" s="117"/>
      <c r="KRY187" s="117"/>
      <c r="KRZ187" s="117"/>
      <c r="KSA187" s="117"/>
      <c r="KSB187" s="117"/>
      <c r="KSC187" s="117"/>
      <c r="KSD187" s="117"/>
      <c r="KSE187" s="117"/>
      <c r="KSF187" s="117"/>
      <c r="KSG187" s="117"/>
      <c r="KSH187" s="117"/>
      <c r="KSI187" s="117"/>
      <c r="KSJ187" s="117"/>
      <c r="KSK187" s="117"/>
      <c r="KSL187" s="117"/>
      <c r="KSM187" s="117"/>
      <c r="KSN187" s="117"/>
      <c r="KSO187" s="117"/>
      <c r="KSP187" s="117"/>
      <c r="KSQ187" s="117"/>
      <c r="KSR187" s="117"/>
      <c r="KSS187" s="117"/>
      <c r="KST187" s="117"/>
      <c r="KSU187" s="117"/>
      <c r="KSV187" s="117"/>
      <c r="KSW187" s="117"/>
      <c r="KSX187" s="117"/>
      <c r="KSY187" s="117"/>
      <c r="KSZ187" s="117"/>
      <c r="KTA187" s="117"/>
      <c r="KTB187" s="117"/>
      <c r="KTC187" s="117"/>
      <c r="KTD187" s="117"/>
      <c r="KTE187" s="117"/>
      <c r="KTF187" s="117"/>
      <c r="KTG187" s="117"/>
      <c r="KTH187" s="117"/>
      <c r="KTI187" s="117"/>
      <c r="KTJ187" s="117"/>
      <c r="KTK187" s="117"/>
      <c r="KTL187" s="117"/>
      <c r="KTM187" s="117"/>
      <c r="KTN187" s="117"/>
      <c r="KTO187" s="117"/>
      <c r="KTP187" s="117"/>
      <c r="KTQ187" s="117"/>
      <c r="KTR187" s="117"/>
      <c r="KTS187" s="117"/>
      <c r="KTT187" s="117"/>
      <c r="KTU187" s="117"/>
      <c r="KTV187" s="117"/>
      <c r="KTW187" s="117"/>
      <c r="KTX187" s="117"/>
      <c r="KTY187" s="117"/>
      <c r="KTZ187" s="117"/>
      <c r="KUA187" s="117"/>
      <c r="KUB187" s="117"/>
      <c r="KUC187" s="117"/>
      <c r="KUD187" s="117"/>
      <c r="KUE187" s="117"/>
      <c r="KUF187" s="117"/>
      <c r="KUG187" s="117"/>
      <c r="KUH187" s="117"/>
      <c r="KUI187" s="117"/>
      <c r="KUJ187" s="117"/>
      <c r="KUK187" s="117"/>
      <c r="KUL187" s="117"/>
      <c r="KUM187" s="117"/>
      <c r="KUN187" s="117"/>
      <c r="KUO187" s="117"/>
      <c r="KUP187" s="117"/>
      <c r="KUQ187" s="117"/>
      <c r="KUR187" s="117"/>
      <c r="KUS187" s="117"/>
      <c r="KUT187" s="117"/>
      <c r="KUU187" s="117"/>
      <c r="KUV187" s="117"/>
      <c r="KUW187" s="117"/>
      <c r="KUX187" s="117"/>
      <c r="KUY187" s="117"/>
      <c r="KUZ187" s="117"/>
      <c r="KVA187" s="117"/>
      <c r="KVB187" s="117"/>
      <c r="KVC187" s="117"/>
      <c r="KVD187" s="117"/>
      <c r="KVE187" s="117"/>
      <c r="KVF187" s="117"/>
      <c r="KVG187" s="117"/>
      <c r="KVH187" s="117"/>
      <c r="KVI187" s="117"/>
      <c r="KVJ187" s="117"/>
      <c r="KVK187" s="117"/>
      <c r="KVL187" s="117"/>
      <c r="KVM187" s="117"/>
      <c r="KVN187" s="117"/>
      <c r="KVO187" s="117"/>
      <c r="KVP187" s="117"/>
      <c r="KVQ187" s="117"/>
      <c r="KVR187" s="117"/>
      <c r="KVS187" s="117"/>
      <c r="KVT187" s="117"/>
      <c r="KVU187" s="117"/>
      <c r="KVV187" s="117"/>
      <c r="KVW187" s="117"/>
      <c r="KVX187" s="117"/>
      <c r="KVY187" s="117"/>
      <c r="KVZ187" s="117"/>
      <c r="KWA187" s="117"/>
      <c r="KWB187" s="117"/>
      <c r="KWC187" s="117"/>
      <c r="KWD187" s="117"/>
      <c r="KWE187" s="117"/>
      <c r="KWF187" s="117"/>
      <c r="KWG187" s="117"/>
      <c r="KWH187" s="117"/>
      <c r="KWI187" s="117"/>
      <c r="KWJ187" s="117"/>
      <c r="KWK187" s="117"/>
      <c r="KWL187" s="117"/>
      <c r="KWM187" s="117"/>
      <c r="KWN187" s="117"/>
      <c r="KWO187" s="117"/>
      <c r="KWP187" s="117"/>
      <c r="KWQ187" s="117"/>
      <c r="KWR187" s="117"/>
      <c r="KWS187" s="117"/>
      <c r="KWT187" s="117"/>
      <c r="KWU187" s="117"/>
      <c r="KWV187" s="117"/>
      <c r="KWW187" s="117"/>
      <c r="KWX187" s="117"/>
      <c r="KWY187" s="117"/>
      <c r="KWZ187" s="117"/>
      <c r="KXA187" s="117"/>
      <c r="KXB187" s="117"/>
      <c r="KXC187" s="117"/>
      <c r="KXD187" s="117"/>
      <c r="KXE187" s="117"/>
      <c r="KXF187" s="117"/>
      <c r="KXG187" s="117"/>
      <c r="KXH187" s="117"/>
      <c r="KXI187" s="117"/>
      <c r="KXJ187" s="117"/>
      <c r="KXK187" s="117"/>
      <c r="KXL187" s="117"/>
      <c r="KXM187" s="117"/>
      <c r="KXN187" s="117"/>
      <c r="KXO187" s="117"/>
      <c r="KXP187" s="117"/>
      <c r="KXQ187" s="117"/>
      <c r="KXR187" s="117"/>
      <c r="KXS187" s="117"/>
      <c r="KXT187" s="117"/>
      <c r="KXU187" s="117"/>
      <c r="KXV187" s="117"/>
      <c r="KXW187" s="117"/>
      <c r="KXX187" s="117"/>
      <c r="KXY187" s="117"/>
      <c r="KXZ187" s="117"/>
      <c r="KYA187" s="117"/>
      <c r="KYB187" s="117"/>
      <c r="KYC187" s="117"/>
      <c r="KYD187" s="117"/>
      <c r="KYE187" s="117"/>
      <c r="KYF187" s="117"/>
      <c r="KYG187" s="117"/>
      <c r="KYH187" s="117"/>
      <c r="KYI187" s="117"/>
      <c r="KYJ187" s="117"/>
      <c r="KYK187" s="117"/>
      <c r="KYL187" s="117"/>
      <c r="KYM187" s="117"/>
      <c r="KYN187" s="117"/>
      <c r="KYO187" s="117"/>
      <c r="KYP187" s="117"/>
      <c r="KYQ187" s="117"/>
      <c r="KYR187" s="117"/>
      <c r="KYS187" s="117"/>
      <c r="KYT187" s="117"/>
      <c r="KYU187" s="117"/>
      <c r="KYV187" s="117"/>
      <c r="KYW187" s="117"/>
      <c r="KYX187" s="117"/>
      <c r="KYY187" s="117"/>
      <c r="KYZ187" s="117"/>
      <c r="KZA187" s="117"/>
      <c r="KZB187" s="117"/>
      <c r="KZC187" s="117"/>
      <c r="KZD187" s="117"/>
      <c r="KZE187" s="117"/>
      <c r="KZF187" s="117"/>
      <c r="KZG187" s="117"/>
      <c r="KZH187" s="117"/>
      <c r="KZI187" s="117"/>
      <c r="KZJ187" s="117"/>
      <c r="KZK187" s="117"/>
      <c r="KZL187" s="117"/>
      <c r="KZM187" s="117"/>
      <c r="KZN187" s="117"/>
      <c r="KZO187" s="117"/>
      <c r="KZP187" s="117"/>
      <c r="KZQ187" s="117"/>
      <c r="KZR187" s="117"/>
      <c r="KZS187" s="117"/>
      <c r="KZT187" s="117"/>
      <c r="KZU187" s="117"/>
      <c r="KZV187" s="117"/>
      <c r="KZW187" s="117"/>
      <c r="KZX187" s="117"/>
      <c r="KZY187" s="117"/>
      <c r="KZZ187" s="117"/>
      <c r="LAA187" s="117"/>
      <c r="LAB187" s="117"/>
      <c r="LAC187" s="117"/>
      <c r="LAD187" s="117"/>
      <c r="LAE187" s="117"/>
      <c r="LAF187" s="117"/>
      <c r="LAG187" s="117"/>
      <c r="LAH187" s="117"/>
      <c r="LAI187" s="117"/>
      <c r="LAJ187" s="117"/>
      <c r="LAK187" s="117"/>
      <c r="LAL187" s="117"/>
      <c r="LAM187" s="117"/>
      <c r="LAN187" s="117"/>
      <c r="LAO187" s="117"/>
      <c r="LAP187" s="117"/>
      <c r="LAQ187" s="117"/>
      <c r="LAR187" s="117"/>
      <c r="LAS187" s="117"/>
      <c r="LAT187" s="117"/>
      <c r="LAU187" s="117"/>
      <c r="LAV187" s="117"/>
      <c r="LAW187" s="117"/>
      <c r="LAX187" s="117"/>
      <c r="LAY187" s="117"/>
      <c r="LAZ187" s="117"/>
      <c r="LBA187" s="117"/>
      <c r="LBB187" s="117"/>
      <c r="LBC187" s="117"/>
      <c r="LBD187" s="117"/>
      <c r="LBE187" s="117"/>
      <c r="LBF187" s="117"/>
      <c r="LBG187" s="117"/>
      <c r="LBH187" s="117"/>
      <c r="LBI187" s="117"/>
      <c r="LBJ187" s="117"/>
      <c r="LBK187" s="117"/>
      <c r="LBL187" s="117"/>
      <c r="LBM187" s="117"/>
      <c r="LBN187" s="117"/>
      <c r="LBO187" s="117"/>
      <c r="LBP187" s="117"/>
      <c r="LBQ187" s="117"/>
      <c r="LBR187" s="117"/>
      <c r="LBS187" s="117"/>
      <c r="LBT187" s="117"/>
      <c r="LBU187" s="117"/>
      <c r="LBV187" s="117"/>
      <c r="LBW187" s="117"/>
      <c r="LBX187" s="117"/>
      <c r="LBY187" s="117"/>
      <c r="LBZ187" s="117"/>
      <c r="LCA187" s="117"/>
      <c r="LCB187" s="117"/>
      <c r="LCC187" s="117"/>
      <c r="LCD187" s="117"/>
      <c r="LCE187" s="117"/>
      <c r="LCF187" s="117"/>
      <c r="LCG187" s="117"/>
      <c r="LCH187" s="117"/>
      <c r="LCI187" s="117"/>
      <c r="LCJ187" s="117"/>
      <c r="LCK187" s="117"/>
      <c r="LCL187" s="117"/>
      <c r="LCM187" s="117"/>
      <c r="LCN187" s="117"/>
      <c r="LCO187" s="117"/>
      <c r="LCP187" s="117"/>
      <c r="LCQ187" s="117"/>
      <c r="LCR187" s="117"/>
      <c r="LCS187" s="117"/>
      <c r="LCT187" s="117"/>
      <c r="LCU187" s="117"/>
      <c r="LCV187" s="117"/>
      <c r="LCW187" s="117"/>
      <c r="LCX187" s="117"/>
      <c r="LCY187" s="117"/>
      <c r="LCZ187" s="117"/>
      <c r="LDA187" s="117"/>
      <c r="LDB187" s="117"/>
      <c r="LDC187" s="117"/>
      <c r="LDD187" s="117"/>
      <c r="LDE187" s="117"/>
      <c r="LDF187" s="117"/>
      <c r="LDG187" s="117"/>
      <c r="LDH187" s="117"/>
      <c r="LDI187" s="117"/>
      <c r="LDJ187" s="117"/>
      <c r="LDK187" s="117"/>
      <c r="LDL187" s="117"/>
      <c r="LDM187" s="117"/>
      <c r="LDN187" s="117"/>
      <c r="LDO187" s="117"/>
      <c r="LDP187" s="117"/>
      <c r="LDQ187" s="117"/>
      <c r="LDR187" s="117"/>
      <c r="LDS187" s="117"/>
      <c r="LDT187" s="117"/>
      <c r="LDU187" s="117"/>
      <c r="LDV187" s="117"/>
      <c r="LDW187" s="117"/>
      <c r="LDX187" s="117"/>
      <c r="LDY187" s="117"/>
      <c r="LDZ187" s="117"/>
      <c r="LEA187" s="117"/>
      <c r="LEB187" s="117"/>
      <c r="LEC187" s="117"/>
      <c r="LED187" s="117"/>
      <c r="LEE187" s="117"/>
      <c r="LEF187" s="117"/>
      <c r="LEG187" s="117"/>
      <c r="LEH187" s="117"/>
      <c r="LEI187" s="117"/>
      <c r="LEJ187" s="117"/>
      <c r="LEK187" s="117"/>
      <c r="LEL187" s="117"/>
      <c r="LEM187" s="117"/>
      <c r="LEN187" s="117"/>
      <c r="LEO187" s="117"/>
      <c r="LEP187" s="117"/>
      <c r="LEQ187" s="117"/>
      <c r="LER187" s="117"/>
      <c r="LES187" s="117"/>
      <c r="LET187" s="117"/>
      <c r="LEU187" s="117"/>
      <c r="LEV187" s="117"/>
      <c r="LEW187" s="117"/>
      <c r="LEX187" s="117"/>
      <c r="LEY187" s="117"/>
      <c r="LEZ187" s="117"/>
      <c r="LFA187" s="117"/>
      <c r="LFB187" s="117"/>
      <c r="LFC187" s="117"/>
      <c r="LFD187" s="117"/>
      <c r="LFE187" s="117"/>
      <c r="LFF187" s="117"/>
      <c r="LFG187" s="117"/>
      <c r="LFH187" s="117"/>
      <c r="LFI187" s="117"/>
      <c r="LFJ187" s="117"/>
      <c r="LFK187" s="117"/>
      <c r="LFL187" s="117"/>
      <c r="LFM187" s="117"/>
      <c r="LFN187" s="117"/>
      <c r="LFO187" s="117"/>
      <c r="LFP187" s="117"/>
      <c r="LFQ187" s="117"/>
      <c r="LFR187" s="117"/>
      <c r="LFS187" s="117"/>
      <c r="LFT187" s="117"/>
      <c r="LFU187" s="117"/>
      <c r="LFV187" s="117"/>
      <c r="LFW187" s="117"/>
      <c r="LFX187" s="117"/>
      <c r="LFY187" s="117"/>
      <c r="LFZ187" s="117"/>
      <c r="LGA187" s="117"/>
      <c r="LGB187" s="117"/>
      <c r="LGC187" s="117"/>
      <c r="LGD187" s="117"/>
      <c r="LGE187" s="117"/>
      <c r="LGF187" s="117"/>
      <c r="LGG187" s="117"/>
      <c r="LGH187" s="117"/>
      <c r="LGI187" s="117"/>
      <c r="LGJ187" s="117"/>
      <c r="LGK187" s="117"/>
      <c r="LGL187" s="117"/>
      <c r="LGM187" s="117"/>
      <c r="LGN187" s="117"/>
      <c r="LGO187" s="117"/>
      <c r="LGP187" s="117"/>
      <c r="LGQ187" s="117"/>
      <c r="LGR187" s="117"/>
      <c r="LGS187" s="117"/>
      <c r="LGT187" s="117"/>
      <c r="LGU187" s="117"/>
      <c r="LGV187" s="117"/>
      <c r="LGW187" s="117"/>
      <c r="LGX187" s="117"/>
      <c r="LGY187" s="117"/>
      <c r="LGZ187" s="117"/>
      <c r="LHA187" s="117"/>
      <c r="LHB187" s="117"/>
      <c r="LHC187" s="117"/>
      <c r="LHD187" s="117"/>
      <c r="LHE187" s="117"/>
      <c r="LHF187" s="117"/>
      <c r="LHG187" s="117"/>
      <c r="LHH187" s="117"/>
      <c r="LHI187" s="117"/>
      <c r="LHJ187" s="117"/>
      <c r="LHK187" s="117"/>
      <c r="LHL187" s="117"/>
      <c r="LHM187" s="117"/>
      <c r="LHN187" s="117"/>
      <c r="LHO187" s="117"/>
      <c r="LHP187" s="117"/>
      <c r="LHQ187" s="117"/>
      <c r="LHR187" s="117"/>
      <c r="LHS187" s="117"/>
      <c r="LHT187" s="117"/>
      <c r="LHU187" s="117"/>
      <c r="LHV187" s="117"/>
      <c r="LHW187" s="117"/>
      <c r="LHX187" s="117"/>
      <c r="LHY187" s="117"/>
      <c r="LHZ187" s="117"/>
      <c r="LIA187" s="117"/>
      <c r="LIB187" s="117"/>
      <c r="LIC187" s="117"/>
      <c r="LID187" s="117"/>
      <c r="LIE187" s="117"/>
      <c r="LIF187" s="117"/>
      <c r="LIG187" s="117"/>
      <c r="LIH187" s="117"/>
      <c r="LII187" s="117"/>
      <c r="LIJ187" s="117"/>
      <c r="LIK187" s="117"/>
      <c r="LIL187" s="117"/>
      <c r="LIM187" s="117"/>
      <c r="LIN187" s="117"/>
      <c r="LIO187" s="117"/>
      <c r="LIP187" s="117"/>
      <c r="LIQ187" s="117"/>
      <c r="LIR187" s="117"/>
      <c r="LIS187" s="117"/>
      <c r="LIT187" s="117"/>
      <c r="LIU187" s="117"/>
      <c r="LIV187" s="117"/>
      <c r="LIW187" s="117"/>
      <c r="LIX187" s="117"/>
      <c r="LIY187" s="117"/>
      <c r="LIZ187" s="117"/>
      <c r="LJA187" s="117"/>
      <c r="LJB187" s="117"/>
      <c r="LJC187" s="117"/>
      <c r="LJD187" s="117"/>
      <c r="LJE187" s="117"/>
      <c r="LJF187" s="117"/>
      <c r="LJG187" s="117"/>
      <c r="LJH187" s="117"/>
      <c r="LJI187" s="117"/>
      <c r="LJJ187" s="117"/>
      <c r="LJK187" s="117"/>
      <c r="LJL187" s="117"/>
      <c r="LJM187" s="117"/>
      <c r="LJN187" s="117"/>
      <c r="LJO187" s="117"/>
      <c r="LJP187" s="117"/>
      <c r="LJQ187" s="117"/>
      <c r="LJR187" s="117"/>
      <c r="LJS187" s="117"/>
      <c r="LJT187" s="117"/>
      <c r="LJU187" s="117"/>
      <c r="LJV187" s="117"/>
      <c r="LJW187" s="117"/>
      <c r="LJX187" s="117"/>
      <c r="LJY187" s="117"/>
      <c r="LJZ187" s="117"/>
      <c r="LKA187" s="117"/>
      <c r="LKB187" s="117"/>
      <c r="LKC187" s="117"/>
      <c r="LKD187" s="117"/>
      <c r="LKE187" s="117"/>
      <c r="LKF187" s="117"/>
      <c r="LKG187" s="117"/>
      <c r="LKH187" s="117"/>
      <c r="LKI187" s="117"/>
      <c r="LKJ187" s="117"/>
      <c r="LKK187" s="117"/>
      <c r="LKL187" s="117"/>
      <c r="LKM187" s="117"/>
      <c r="LKN187" s="117"/>
      <c r="LKO187" s="117"/>
      <c r="LKP187" s="117"/>
      <c r="LKQ187" s="117"/>
      <c r="LKR187" s="117"/>
      <c r="LKS187" s="117"/>
      <c r="LKT187" s="117"/>
      <c r="LKU187" s="117"/>
      <c r="LKV187" s="117"/>
      <c r="LKW187" s="117"/>
      <c r="LKX187" s="117"/>
      <c r="LKY187" s="117"/>
      <c r="LKZ187" s="117"/>
      <c r="LLA187" s="117"/>
      <c r="LLB187" s="117"/>
      <c r="LLC187" s="117"/>
      <c r="LLD187" s="117"/>
      <c r="LLE187" s="117"/>
      <c r="LLF187" s="117"/>
      <c r="LLG187" s="117"/>
      <c r="LLH187" s="117"/>
      <c r="LLI187" s="117"/>
      <c r="LLJ187" s="117"/>
      <c r="LLK187" s="117"/>
      <c r="LLL187" s="117"/>
      <c r="LLM187" s="117"/>
      <c r="LLN187" s="117"/>
      <c r="LLO187" s="117"/>
      <c r="LLP187" s="117"/>
      <c r="LLQ187" s="117"/>
      <c r="LLR187" s="117"/>
      <c r="LLS187" s="117"/>
      <c r="LLT187" s="117"/>
      <c r="LLU187" s="117"/>
      <c r="LLV187" s="117"/>
      <c r="LLW187" s="117"/>
      <c r="LLX187" s="117"/>
      <c r="LLY187" s="117"/>
      <c r="LLZ187" s="117"/>
      <c r="LMA187" s="117"/>
      <c r="LMB187" s="117"/>
      <c r="LMC187" s="117"/>
      <c r="LMD187" s="117"/>
      <c r="LME187" s="117"/>
      <c r="LMF187" s="117"/>
      <c r="LMG187" s="117"/>
      <c r="LMH187" s="117"/>
      <c r="LMI187" s="117"/>
      <c r="LMJ187" s="117"/>
      <c r="LMK187" s="117"/>
      <c r="LML187" s="117"/>
      <c r="LMM187" s="117"/>
      <c r="LMN187" s="117"/>
      <c r="LMO187" s="117"/>
      <c r="LMP187" s="117"/>
      <c r="LMQ187" s="117"/>
      <c r="LMR187" s="117"/>
      <c r="LMS187" s="117"/>
      <c r="LMT187" s="117"/>
      <c r="LMU187" s="117"/>
      <c r="LMV187" s="117"/>
      <c r="LMW187" s="117"/>
      <c r="LMX187" s="117"/>
      <c r="LMY187" s="117"/>
      <c r="LMZ187" s="117"/>
      <c r="LNA187" s="117"/>
      <c r="LNB187" s="117"/>
      <c r="LNC187" s="117"/>
      <c r="LND187" s="117"/>
      <c r="LNE187" s="117"/>
      <c r="LNF187" s="117"/>
      <c r="LNG187" s="117"/>
      <c r="LNH187" s="117"/>
      <c r="LNI187" s="117"/>
      <c r="LNJ187" s="117"/>
      <c r="LNK187" s="117"/>
      <c r="LNL187" s="117"/>
      <c r="LNM187" s="117"/>
      <c r="LNN187" s="117"/>
      <c r="LNO187" s="117"/>
      <c r="LNP187" s="117"/>
      <c r="LNQ187" s="117"/>
      <c r="LNR187" s="117"/>
      <c r="LNS187" s="117"/>
      <c r="LNT187" s="117"/>
      <c r="LNU187" s="117"/>
      <c r="LNV187" s="117"/>
      <c r="LNW187" s="117"/>
      <c r="LNX187" s="117"/>
      <c r="LNY187" s="117"/>
      <c r="LNZ187" s="117"/>
      <c r="LOA187" s="117"/>
      <c r="LOB187" s="117"/>
      <c r="LOC187" s="117"/>
      <c r="LOD187" s="117"/>
      <c r="LOE187" s="117"/>
      <c r="LOF187" s="117"/>
      <c r="LOG187" s="117"/>
      <c r="LOH187" s="117"/>
      <c r="LOI187" s="117"/>
      <c r="LOJ187" s="117"/>
      <c r="LOK187" s="117"/>
      <c r="LOL187" s="117"/>
      <c r="LOM187" s="117"/>
      <c r="LON187" s="117"/>
      <c r="LOO187" s="117"/>
      <c r="LOP187" s="117"/>
      <c r="LOQ187" s="117"/>
      <c r="LOR187" s="117"/>
      <c r="LOS187" s="117"/>
      <c r="LOT187" s="117"/>
      <c r="LOU187" s="117"/>
      <c r="LOV187" s="117"/>
      <c r="LOW187" s="117"/>
      <c r="LOX187" s="117"/>
      <c r="LOY187" s="117"/>
      <c r="LOZ187" s="117"/>
      <c r="LPA187" s="117"/>
      <c r="LPB187" s="117"/>
      <c r="LPC187" s="117"/>
      <c r="LPD187" s="117"/>
      <c r="LPE187" s="117"/>
      <c r="LPF187" s="117"/>
      <c r="LPG187" s="117"/>
      <c r="LPH187" s="117"/>
      <c r="LPI187" s="117"/>
      <c r="LPJ187" s="117"/>
      <c r="LPK187" s="117"/>
      <c r="LPL187" s="117"/>
      <c r="LPM187" s="117"/>
      <c r="LPN187" s="117"/>
      <c r="LPO187" s="117"/>
      <c r="LPP187" s="117"/>
      <c r="LPQ187" s="117"/>
      <c r="LPR187" s="117"/>
      <c r="LPS187" s="117"/>
      <c r="LPT187" s="117"/>
      <c r="LPU187" s="117"/>
      <c r="LPV187" s="117"/>
      <c r="LPW187" s="117"/>
      <c r="LPX187" s="117"/>
      <c r="LPY187" s="117"/>
      <c r="LPZ187" s="117"/>
      <c r="LQA187" s="117"/>
      <c r="LQB187" s="117"/>
      <c r="LQC187" s="117"/>
      <c r="LQD187" s="117"/>
      <c r="LQE187" s="117"/>
      <c r="LQF187" s="117"/>
      <c r="LQG187" s="117"/>
      <c r="LQH187" s="117"/>
      <c r="LQI187" s="117"/>
      <c r="LQJ187" s="117"/>
      <c r="LQK187" s="117"/>
      <c r="LQL187" s="117"/>
      <c r="LQM187" s="117"/>
      <c r="LQN187" s="117"/>
      <c r="LQO187" s="117"/>
      <c r="LQP187" s="117"/>
      <c r="LQQ187" s="117"/>
      <c r="LQR187" s="117"/>
      <c r="LQS187" s="117"/>
      <c r="LQT187" s="117"/>
      <c r="LQU187" s="117"/>
      <c r="LQV187" s="117"/>
      <c r="LQW187" s="117"/>
      <c r="LQX187" s="117"/>
      <c r="LQY187" s="117"/>
      <c r="LQZ187" s="117"/>
      <c r="LRA187" s="117"/>
      <c r="LRB187" s="117"/>
      <c r="LRC187" s="117"/>
      <c r="LRD187" s="117"/>
      <c r="LRE187" s="117"/>
      <c r="LRF187" s="117"/>
      <c r="LRG187" s="117"/>
      <c r="LRH187" s="117"/>
      <c r="LRI187" s="117"/>
      <c r="LRJ187" s="117"/>
      <c r="LRK187" s="117"/>
      <c r="LRL187" s="117"/>
      <c r="LRM187" s="117"/>
      <c r="LRN187" s="117"/>
      <c r="LRO187" s="117"/>
      <c r="LRP187" s="117"/>
      <c r="LRQ187" s="117"/>
      <c r="LRR187" s="117"/>
      <c r="LRS187" s="117"/>
      <c r="LRT187" s="117"/>
      <c r="LRU187" s="117"/>
      <c r="LRV187" s="117"/>
      <c r="LRW187" s="117"/>
      <c r="LRX187" s="117"/>
      <c r="LRY187" s="117"/>
      <c r="LRZ187" s="117"/>
      <c r="LSA187" s="117"/>
      <c r="LSB187" s="117"/>
      <c r="LSC187" s="117"/>
      <c r="LSD187" s="117"/>
      <c r="LSE187" s="117"/>
      <c r="LSF187" s="117"/>
      <c r="LSG187" s="117"/>
      <c r="LSH187" s="117"/>
      <c r="LSI187" s="117"/>
      <c r="LSJ187" s="117"/>
      <c r="LSK187" s="117"/>
      <c r="LSL187" s="117"/>
      <c r="LSM187" s="117"/>
      <c r="LSN187" s="117"/>
      <c r="LSO187" s="117"/>
      <c r="LSP187" s="117"/>
      <c r="LSQ187" s="117"/>
      <c r="LSR187" s="117"/>
      <c r="LSS187" s="117"/>
      <c r="LST187" s="117"/>
      <c r="LSU187" s="117"/>
      <c r="LSV187" s="117"/>
      <c r="LSW187" s="117"/>
      <c r="LSX187" s="117"/>
      <c r="LSY187" s="117"/>
      <c r="LSZ187" s="117"/>
      <c r="LTA187" s="117"/>
      <c r="LTB187" s="117"/>
      <c r="LTC187" s="117"/>
      <c r="LTD187" s="117"/>
      <c r="LTE187" s="117"/>
      <c r="LTF187" s="117"/>
      <c r="LTG187" s="117"/>
      <c r="LTH187" s="117"/>
      <c r="LTI187" s="117"/>
      <c r="LTJ187" s="117"/>
      <c r="LTK187" s="117"/>
      <c r="LTL187" s="117"/>
      <c r="LTM187" s="117"/>
      <c r="LTN187" s="117"/>
      <c r="LTO187" s="117"/>
      <c r="LTP187" s="117"/>
      <c r="LTQ187" s="117"/>
      <c r="LTR187" s="117"/>
      <c r="LTS187" s="117"/>
      <c r="LTT187" s="117"/>
      <c r="LTU187" s="117"/>
      <c r="LTV187" s="117"/>
      <c r="LTW187" s="117"/>
      <c r="LTX187" s="117"/>
      <c r="LTY187" s="117"/>
      <c r="LTZ187" s="117"/>
      <c r="LUA187" s="117"/>
      <c r="LUB187" s="117"/>
      <c r="LUC187" s="117"/>
      <c r="LUD187" s="117"/>
      <c r="LUE187" s="117"/>
      <c r="LUF187" s="117"/>
      <c r="LUG187" s="117"/>
      <c r="LUH187" s="117"/>
      <c r="LUI187" s="117"/>
      <c r="LUJ187" s="117"/>
      <c r="LUK187" s="117"/>
      <c r="LUL187" s="117"/>
      <c r="LUM187" s="117"/>
      <c r="LUN187" s="117"/>
      <c r="LUO187" s="117"/>
      <c r="LUP187" s="117"/>
      <c r="LUQ187" s="117"/>
      <c r="LUR187" s="117"/>
      <c r="LUS187" s="117"/>
      <c r="LUT187" s="117"/>
      <c r="LUU187" s="117"/>
      <c r="LUV187" s="117"/>
      <c r="LUW187" s="117"/>
      <c r="LUX187" s="117"/>
      <c r="LUY187" s="117"/>
      <c r="LUZ187" s="117"/>
      <c r="LVA187" s="117"/>
      <c r="LVB187" s="117"/>
      <c r="LVC187" s="117"/>
      <c r="LVD187" s="117"/>
      <c r="LVE187" s="117"/>
      <c r="LVF187" s="117"/>
      <c r="LVG187" s="117"/>
      <c r="LVH187" s="117"/>
      <c r="LVI187" s="117"/>
      <c r="LVJ187" s="117"/>
      <c r="LVK187" s="117"/>
      <c r="LVL187" s="117"/>
      <c r="LVM187" s="117"/>
      <c r="LVN187" s="117"/>
      <c r="LVO187" s="117"/>
      <c r="LVP187" s="117"/>
      <c r="LVQ187" s="117"/>
      <c r="LVR187" s="117"/>
      <c r="LVS187" s="117"/>
      <c r="LVT187" s="117"/>
      <c r="LVU187" s="117"/>
      <c r="LVV187" s="117"/>
      <c r="LVW187" s="117"/>
      <c r="LVX187" s="117"/>
      <c r="LVY187" s="117"/>
      <c r="LVZ187" s="117"/>
      <c r="LWA187" s="117"/>
      <c r="LWB187" s="117"/>
      <c r="LWC187" s="117"/>
      <c r="LWD187" s="117"/>
      <c r="LWE187" s="117"/>
      <c r="LWF187" s="117"/>
      <c r="LWG187" s="117"/>
      <c r="LWH187" s="117"/>
      <c r="LWI187" s="117"/>
      <c r="LWJ187" s="117"/>
      <c r="LWK187" s="117"/>
      <c r="LWL187" s="117"/>
      <c r="LWM187" s="117"/>
      <c r="LWN187" s="117"/>
      <c r="LWO187" s="117"/>
      <c r="LWP187" s="117"/>
      <c r="LWQ187" s="117"/>
      <c r="LWR187" s="117"/>
      <c r="LWS187" s="117"/>
      <c r="LWT187" s="117"/>
      <c r="LWU187" s="117"/>
      <c r="LWV187" s="117"/>
      <c r="LWW187" s="117"/>
      <c r="LWX187" s="117"/>
      <c r="LWY187" s="117"/>
      <c r="LWZ187" s="117"/>
      <c r="LXA187" s="117"/>
      <c r="LXB187" s="117"/>
      <c r="LXC187" s="117"/>
      <c r="LXD187" s="117"/>
      <c r="LXE187" s="117"/>
      <c r="LXF187" s="117"/>
      <c r="LXG187" s="117"/>
      <c r="LXH187" s="117"/>
      <c r="LXI187" s="117"/>
      <c r="LXJ187" s="117"/>
      <c r="LXK187" s="117"/>
      <c r="LXL187" s="117"/>
      <c r="LXM187" s="117"/>
      <c r="LXN187" s="117"/>
      <c r="LXO187" s="117"/>
      <c r="LXP187" s="117"/>
      <c r="LXQ187" s="117"/>
      <c r="LXR187" s="117"/>
      <c r="LXS187" s="117"/>
      <c r="LXT187" s="117"/>
      <c r="LXU187" s="117"/>
      <c r="LXV187" s="117"/>
      <c r="LXW187" s="117"/>
      <c r="LXX187" s="117"/>
      <c r="LXY187" s="117"/>
      <c r="LXZ187" s="117"/>
      <c r="LYA187" s="117"/>
      <c r="LYB187" s="117"/>
      <c r="LYC187" s="117"/>
      <c r="LYD187" s="117"/>
      <c r="LYE187" s="117"/>
      <c r="LYF187" s="117"/>
      <c r="LYG187" s="117"/>
      <c r="LYH187" s="117"/>
      <c r="LYI187" s="117"/>
      <c r="LYJ187" s="117"/>
      <c r="LYK187" s="117"/>
      <c r="LYL187" s="117"/>
      <c r="LYM187" s="117"/>
      <c r="LYN187" s="117"/>
      <c r="LYO187" s="117"/>
      <c r="LYP187" s="117"/>
      <c r="LYQ187" s="117"/>
      <c r="LYR187" s="117"/>
      <c r="LYS187" s="117"/>
      <c r="LYT187" s="117"/>
      <c r="LYU187" s="117"/>
      <c r="LYV187" s="117"/>
      <c r="LYW187" s="117"/>
      <c r="LYX187" s="117"/>
      <c r="LYY187" s="117"/>
      <c r="LYZ187" s="117"/>
      <c r="LZA187" s="117"/>
      <c r="LZB187" s="117"/>
      <c r="LZC187" s="117"/>
      <c r="LZD187" s="117"/>
      <c r="LZE187" s="117"/>
      <c r="LZF187" s="117"/>
      <c r="LZG187" s="117"/>
      <c r="LZH187" s="117"/>
      <c r="LZI187" s="117"/>
      <c r="LZJ187" s="117"/>
      <c r="LZK187" s="117"/>
      <c r="LZL187" s="117"/>
      <c r="LZM187" s="117"/>
      <c r="LZN187" s="117"/>
      <c r="LZO187" s="117"/>
      <c r="LZP187" s="117"/>
      <c r="LZQ187" s="117"/>
      <c r="LZR187" s="117"/>
      <c r="LZS187" s="117"/>
      <c r="LZT187" s="117"/>
      <c r="LZU187" s="117"/>
      <c r="LZV187" s="117"/>
      <c r="LZW187" s="117"/>
      <c r="LZX187" s="117"/>
      <c r="LZY187" s="117"/>
      <c r="LZZ187" s="117"/>
      <c r="MAA187" s="117"/>
      <c r="MAB187" s="117"/>
      <c r="MAC187" s="117"/>
      <c r="MAD187" s="117"/>
      <c r="MAE187" s="117"/>
      <c r="MAF187" s="117"/>
      <c r="MAG187" s="117"/>
      <c r="MAH187" s="117"/>
      <c r="MAI187" s="117"/>
      <c r="MAJ187" s="117"/>
      <c r="MAK187" s="117"/>
      <c r="MAL187" s="117"/>
      <c r="MAM187" s="117"/>
      <c r="MAN187" s="117"/>
      <c r="MAO187" s="117"/>
      <c r="MAP187" s="117"/>
      <c r="MAQ187" s="117"/>
      <c r="MAR187" s="117"/>
      <c r="MAS187" s="117"/>
      <c r="MAT187" s="117"/>
      <c r="MAU187" s="117"/>
      <c r="MAV187" s="117"/>
      <c r="MAW187" s="117"/>
      <c r="MAX187" s="117"/>
      <c r="MAY187" s="117"/>
      <c r="MAZ187" s="117"/>
      <c r="MBA187" s="117"/>
      <c r="MBB187" s="117"/>
      <c r="MBC187" s="117"/>
      <c r="MBD187" s="117"/>
      <c r="MBE187" s="117"/>
      <c r="MBF187" s="117"/>
      <c r="MBG187" s="117"/>
      <c r="MBH187" s="117"/>
      <c r="MBI187" s="117"/>
      <c r="MBJ187" s="117"/>
      <c r="MBK187" s="117"/>
      <c r="MBL187" s="117"/>
      <c r="MBM187" s="117"/>
      <c r="MBN187" s="117"/>
      <c r="MBO187" s="117"/>
      <c r="MBP187" s="117"/>
      <c r="MBQ187" s="117"/>
      <c r="MBR187" s="117"/>
      <c r="MBS187" s="117"/>
      <c r="MBT187" s="117"/>
      <c r="MBU187" s="117"/>
      <c r="MBV187" s="117"/>
      <c r="MBW187" s="117"/>
      <c r="MBX187" s="117"/>
      <c r="MBY187" s="117"/>
      <c r="MBZ187" s="117"/>
      <c r="MCA187" s="117"/>
      <c r="MCB187" s="117"/>
      <c r="MCC187" s="117"/>
      <c r="MCD187" s="117"/>
      <c r="MCE187" s="117"/>
      <c r="MCF187" s="117"/>
      <c r="MCG187" s="117"/>
      <c r="MCH187" s="117"/>
      <c r="MCI187" s="117"/>
      <c r="MCJ187" s="117"/>
      <c r="MCK187" s="117"/>
      <c r="MCL187" s="117"/>
      <c r="MCM187" s="117"/>
      <c r="MCN187" s="117"/>
      <c r="MCO187" s="117"/>
      <c r="MCP187" s="117"/>
      <c r="MCQ187" s="117"/>
      <c r="MCR187" s="117"/>
      <c r="MCS187" s="117"/>
      <c r="MCT187" s="117"/>
      <c r="MCU187" s="117"/>
      <c r="MCV187" s="117"/>
      <c r="MCW187" s="117"/>
      <c r="MCX187" s="117"/>
      <c r="MCY187" s="117"/>
      <c r="MCZ187" s="117"/>
      <c r="MDA187" s="117"/>
      <c r="MDB187" s="117"/>
      <c r="MDC187" s="117"/>
      <c r="MDD187" s="117"/>
      <c r="MDE187" s="117"/>
      <c r="MDF187" s="117"/>
      <c r="MDG187" s="117"/>
      <c r="MDH187" s="117"/>
      <c r="MDI187" s="117"/>
      <c r="MDJ187" s="117"/>
      <c r="MDK187" s="117"/>
      <c r="MDL187" s="117"/>
      <c r="MDM187" s="117"/>
      <c r="MDN187" s="117"/>
      <c r="MDO187" s="117"/>
      <c r="MDP187" s="117"/>
      <c r="MDQ187" s="117"/>
      <c r="MDR187" s="117"/>
      <c r="MDS187" s="117"/>
      <c r="MDT187" s="117"/>
      <c r="MDU187" s="117"/>
      <c r="MDV187" s="117"/>
      <c r="MDW187" s="117"/>
      <c r="MDX187" s="117"/>
      <c r="MDY187" s="117"/>
      <c r="MDZ187" s="117"/>
      <c r="MEA187" s="117"/>
      <c r="MEB187" s="117"/>
      <c r="MEC187" s="117"/>
      <c r="MED187" s="117"/>
      <c r="MEE187" s="117"/>
      <c r="MEF187" s="117"/>
      <c r="MEG187" s="117"/>
      <c r="MEH187" s="117"/>
      <c r="MEI187" s="117"/>
      <c r="MEJ187" s="117"/>
      <c r="MEK187" s="117"/>
      <c r="MEL187" s="117"/>
      <c r="MEM187" s="117"/>
      <c r="MEN187" s="117"/>
      <c r="MEO187" s="117"/>
      <c r="MEP187" s="117"/>
      <c r="MEQ187" s="117"/>
      <c r="MER187" s="117"/>
      <c r="MES187" s="117"/>
      <c r="MET187" s="117"/>
      <c r="MEU187" s="117"/>
      <c r="MEV187" s="117"/>
      <c r="MEW187" s="117"/>
      <c r="MEX187" s="117"/>
      <c r="MEY187" s="117"/>
      <c r="MEZ187" s="117"/>
      <c r="MFA187" s="117"/>
      <c r="MFB187" s="117"/>
      <c r="MFC187" s="117"/>
      <c r="MFD187" s="117"/>
      <c r="MFE187" s="117"/>
      <c r="MFF187" s="117"/>
      <c r="MFG187" s="117"/>
      <c r="MFH187" s="117"/>
      <c r="MFI187" s="117"/>
      <c r="MFJ187" s="117"/>
      <c r="MFK187" s="117"/>
      <c r="MFL187" s="117"/>
      <c r="MFM187" s="117"/>
      <c r="MFN187" s="117"/>
      <c r="MFO187" s="117"/>
      <c r="MFP187" s="117"/>
      <c r="MFQ187" s="117"/>
      <c r="MFR187" s="117"/>
      <c r="MFS187" s="117"/>
      <c r="MFT187" s="117"/>
      <c r="MFU187" s="117"/>
      <c r="MFV187" s="117"/>
      <c r="MFW187" s="117"/>
      <c r="MFX187" s="117"/>
      <c r="MFY187" s="117"/>
      <c r="MFZ187" s="117"/>
      <c r="MGA187" s="117"/>
      <c r="MGB187" s="117"/>
      <c r="MGC187" s="117"/>
      <c r="MGD187" s="117"/>
      <c r="MGE187" s="117"/>
      <c r="MGF187" s="117"/>
      <c r="MGG187" s="117"/>
      <c r="MGH187" s="117"/>
      <c r="MGI187" s="117"/>
      <c r="MGJ187" s="117"/>
      <c r="MGK187" s="117"/>
      <c r="MGL187" s="117"/>
      <c r="MGM187" s="117"/>
      <c r="MGN187" s="117"/>
      <c r="MGO187" s="117"/>
      <c r="MGP187" s="117"/>
      <c r="MGQ187" s="117"/>
      <c r="MGR187" s="117"/>
      <c r="MGS187" s="117"/>
      <c r="MGT187" s="117"/>
      <c r="MGU187" s="117"/>
      <c r="MGV187" s="117"/>
      <c r="MGW187" s="117"/>
      <c r="MGX187" s="117"/>
      <c r="MGY187" s="117"/>
      <c r="MGZ187" s="117"/>
      <c r="MHA187" s="117"/>
      <c r="MHB187" s="117"/>
      <c r="MHC187" s="117"/>
      <c r="MHD187" s="117"/>
      <c r="MHE187" s="117"/>
      <c r="MHF187" s="117"/>
      <c r="MHG187" s="117"/>
      <c r="MHH187" s="117"/>
      <c r="MHI187" s="117"/>
      <c r="MHJ187" s="117"/>
      <c r="MHK187" s="117"/>
      <c r="MHL187" s="117"/>
      <c r="MHM187" s="117"/>
      <c r="MHN187" s="117"/>
      <c r="MHO187" s="117"/>
      <c r="MHP187" s="117"/>
      <c r="MHQ187" s="117"/>
      <c r="MHR187" s="117"/>
      <c r="MHS187" s="117"/>
      <c r="MHT187" s="117"/>
      <c r="MHU187" s="117"/>
      <c r="MHV187" s="117"/>
      <c r="MHW187" s="117"/>
      <c r="MHX187" s="117"/>
      <c r="MHY187" s="117"/>
      <c r="MHZ187" s="117"/>
      <c r="MIA187" s="117"/>
      <c r="MIB187" s="117"/>
      <c r="MIC187" s="117"/>
      <c r="MID187" s="117"/>
      <c r="MIE187" s="117"/>
      <c r="MIF187" s="117"/>
      <c r="MIG187" s="117"/>
      <c r="MIH187" s="117"/>
      <c r="MII187" s="117"/>
      <c r="MIJ187" s="117"/>
      <c r="MIK187" s="117"/>
      <c r="MIL187" s="117"/>
      <c r="MIM187" s="117"/>
      <c r="MIN187" s="117"/>
      <c r="MIO187" s="117"/>
      <c r="MIP187" s="117"/>
      <c r="MIQ187" s="117"/>
      <c r="MIR187" s="117"/>
      <c r="MIS187" s="117"/>
      <c r="MIT187" s="117"/>
      <c r="MIU187" s="117"/>
      <c r="MIV187" s="117"/>
      <c r="MIW187" s="117"/>
      <c r="MIX187" s="117"/>
      <c r="MIY187" s="117"/>
      <c r="MIZ187" s="117"/>
      <c r="MJA187" s="117"/>
      <c r="MJB187" s="117"/>
      <c r="MJC187" s="117"/>
      <c r="MJD187" s="117"/>
      <c r="MJE187" s="117"/>
      <c r="MJF187" s="117"/>
      <c r="MJG187" s="117"/>
      <c r="MJH187" s="117"/>
      <c r="MJI187" s="117"/>
      <c r="MJJ187" s="117"/>
      <c r="MJK187" s="117"/>
      <c r="MJL187" s="117"/>
      <c r="MJM187" s="117"/>
      <c r="MJN187" s="117"/>
      <c r="MJO187" s="117"/>
      <c r="MJP187" s="117"/>
      <c r="MJQ187" s="117"/>
      <c r="MJR187" s="117"/>
      <c r="MJS187" s="117"/>
      <c r="MJT187" s="117"/>
      <c r="MJU187" s="117"/>
      <c r="MJV187" s="117"/>
      <c r="MJW187" s="117"/>
      <c r="MJX187" s="117"/>
      <c r="MJY187" s="117"/>
      <c r="MJZ187" s="117"/>
      <c r="MKA187" s="117"/>
      <c r="MKB187" s="117"/>
      <c r="MKC187" s="117"/>
      <c r="MKD187" s="117"/>
      <c r="MKE187" s="117"/>
      <c r="MKF187" s="117"/>
      <c r="MKG187" s="117"/>
      <c r="MKH187" s="117"/>
      <c r="MKI187" s="117"/>
      <c r="MKJ187" s="117"/>
      <c r="MKK187" s="117"/>
      <c r="MKL187" s="117"/>
      <c r="MKM187" s="117"/>
      <c r="MKN187" s="117"/>
      <c r="MKO187" s="117"/>
      <c r="MKP187" s="117"/>
      <c r="MKQ187" s="117"/>
      <c r="MKR187" s="117"/>
      <c r="MKS187" s="117"/>
      <c r="MKT187" s="117"/>
      <c r="MKU187" s="117"/>
      <c r="MKV187" s="117"/>
      <c r="MKW187" s="117"/>
      <c r="MKX187" s="117"/>
      <c r="MKY187" s="117"/>
      <c r="MKZ187" s="117"/>
      <c r="MLA187" s="117"/>
      <c r="MLB187" s="117"/>
      <c r="MLC187" s="117"/>
      <c r="MLD187" s="117"/>
      <c r="MLE187" s="117"/>
      <c r="MLF187" s="117"/>
      <c r="MLG187" s="117"/>
      <c r="MLH187" s="117"/>
      <c r="MLI187" s="117"/>
      <c r="MLJ187" s="117"/>
      <c r="MLK187" s="117"/>
      <c r="MLL187" s="117"/>
      <c r="MLM187" s="117"/>
      <c r="MLN187" s="117"/>
      <c r="MLO187" s="117"/>
      <c r="MLP187" s="117"/>
      <c r="MLQ187" s="117"/>
      <c r="MLR187" s="117"/>
      <c r="MLS187" s="117"/>
      <c r="MLT187" s="117"/>
      <c r="MLU187" s="117"/>
      <c r="MLV187" s="117"/>
      <c r="MLW187" s="117"/>
      <c r="MLX187" s="117"/>
      <c r="MLY187" s="117"/>
      <c r="MLZ187" s="117"/>
      <c r="MMA187" s="117"/>
      <c r="MMB187" s="117"/>
      <c r="MMC187" s="117"/>
      <c r="MMD187" s="117"/>
      <c r="MME187" s="117"/>
      <c r="MMF187" s="117"/>
      <c r="MMG187" s="117"/>
      <c r="MMH187" s="117"/>
      <c r="MMI187" s="117"/>
      <c r="MMJ187" s="117"/>
      <c r="MMK187" s="117"/>
      <c r="MML187" s="117"/>
      <c r="MMM187" s="117"/>
      <c r="MMN187" s="117"/>
      <c r="MMO187" s="117"/>
      <c r="MMP187" s="117"/>
      <c r="MMQ187" s="117"/>
      <c r="MMR187" s="117"/>
      <c r="MMS187" s="117"/>
      <c r="MMT187" s="117"/>
      <c r="MMU187" s="117"/>
      <c r="MMV187" s="117"/>
      <c r="MMW187" s="117"/>
      <c r="MMX187" s="117"/>
      <c r="MMY187" s="117"/>
      <c r="MMZ187" s="117"/>
      <c r="MNA187" s="117"/>
      <c r="MNB187" s="117"/>
      <c r="MNC187" s="117"/>
      <c r="MND187" s="117"/>
      <c r="MNE187" s="117"/>
      <c r="MNF187" s="117"/>
      <c r="MNG187" s="117"/>
      <c r="MNH187" s="117"/>
      <c r="MNI187" s="117"/>
      <c r="MNJ187" s="117"/>
      <c r="MNK187" s="117"/>
      <c r="MNL187" s="117"/>
      <c r="MNM187" s="117"/>
      <c r="MNN187" s="117"/>
      <c r="MNO187" s="117"/>
      <c r="MNP187" s="117"/>
      <c r="MNQ187" s="117"/>
      <c r="MNR187" s="117"/>
      <c r="MNS187" s="117"/>
      <c r="MNT187" s="117"/>
      <c r="MNU187" s="117"/>
      <c r="MNV187" s="117"/>
      <c r="MNW187" s="117"/>
      <c r="MNX187" s="117"/>
      <c r="MNY187" s="117"/>
      <c r="MNZ187" s="117"/>
      <c r="MOA187" s="117"/>
      <c r="MOB187" s="117"/>
      <c r="MOC187" s="117"/>
      <c r="MOD187" s="117"/>
      <c r="MOE187" s="117"/>
      <c r="MOF187" s="117"/>
      <c r="MOG187" s="117"/>
      <c r="MOH187" s="117"/>
      <c r="MOI187" s="117"/>
      <c r="MOJ187" s="117"/>
      <c r="MOK187" s="117"/>
      <c r="MOL187" s="117"/>
      <c r="MOM187" s="117"/>
      <c r="MON187" s="117"/>
      <c r="MOO187" s="117"/>
      <c r="MOP187" s="117"/>
      <c r="MOQ187" s="117"/>
      <c r="MOR187" s="117"/>
      <c r="MOS187" s="117"/>
      <c r="MOT187" s="117"/>
      <c r="MOU187" s="117"/>
      <c r="MOV187" s="117"/>
      <c r="MOW187" s="117"/>
      <c r="MOX187" s="117"/>
      <c r="MOY187" s="117"/>
      <c r="MOZ187" s="117"/>
      <c r="MPA187" s="117"/>
      <c r="MPB187" s="117"/>
      <c r="MPC187" s="117"/>
      <c r="MPD187" s="117"/>
      <c r="MPE187" s="117"/>
      <c r="MPF187" s="117"/>
      <c r="MPG187" s="117"/>
      <c r="MPH187" s="117"/>
      <c r="MPI187" s="117"/>
      <c r="MPJ187" s="117"/>
      <c r="MPK187" s="117"/>
      <c r="MPL187" s="117"/>
      <c r="MPM187" s="117"/>
      <c r="MPN187" s="117"/>
      <c r="MPO187" s="117"/>
      <c r="MPP187" s="117"/>
      <c r="MPQ187" s="117"/>
      <c r="MPR187" s="117"/>
      <c r="MPS187" s="117"/>
      <c r="MPT187" s="117"/>
      <c r="MPU187" s="117"/>
      <c r="MPV187" s="117"/>
      <c r="MPW187" s="117"/>
      <c r="MPX187" s="117"/>
      <c r="MPY187" s="117"/>
      <c r="MPZ187" s="117"/>
      <c r="MQA187" s="117"/>
      <c r="MQB187" s="117"/>
      <c r="MQC187" s="117"/>
      <c r="MQD187" s="117"/>
      <c r="MQE187" s="117"/>
      <c r="MQF187" s="117"/>
      <c r="MQG187" s="117"/>
      <c r="MQH187" s="117"/>
      <c r="MQI187" s="117"/>
      <c r="MQJ187" s="117"/>
      <c r="MQK187" s="117"/>
      <c r="MQL187" s="117"/>
      <c r="MQM187" s="117"/>
      <c r="MQN187" s="117"/>
      <c r="MQO187" s="117"/>
      <c r="MQP187" s="117"/>
      <c r="MQQ187" s="117"/>
      <c r="MQR187" s="117"/>
      <c r="MQS187" s="117"/>
      <c r="MQT187" s="117"/>
      <c r="MQU187" s="117"/>
      <c r="MQV187" s="117"/>
      <c r="MQW187" s="117"/>
      <c r="MQX187" s="117"/>
      <c r="MQY187" s="117"/>
      <c r="MQZ187" s="117"/>
      <c r="MRA187" s="117"/>
      <c r="MRB187" s="117"/>
      <c r="MRC187" s="117"/>
      <c r="MRD187" s="117"/>
      <c r="MRE187" s="117"/>
      <c r="MRF187" s="117"/>
      <c r="MRG187" s="117"/>
      <c r="MRH187" s="117"/>
      <c r="MRI187" s="117"/>
      <c r="MRJ187" s="117"/>
      <c r="MRK187" s="117"/>
      <c r="MRL187" s="117"/>
      <c r="MRM187" s="117"/>
      <c r="MRN187" s="117"/>
      <c r="MRO187" s="117"/>
      <c r="MRP187" s="117"/>
      <c r="MRQ187" s="117"/>
      <c r="MRR187" s="117"/>
      <c r="MRS187" s="117"/>
      <c r="MRT187" s="117"/>
      <c r="MRU187" s="117"/>
      <c r="MRV187" s="117"/>
      <c r="MRW187" s="117"/>
      <c r="MRX187" s="117"/>
      <c r="MRY187" s="117"/>
      <c r="MRZ187" s="117"/>
      <c r="MSA187" s="117"/>
      <c r="MSB187" s="117"/>
      <c r="MSC187" s="117"/>
      <c r="MSD187" s="117"/>
      <c r="MSE187" s="117"/>
      <c r="MSF187" s="117"/>
      <c r="MSG187" s="117"/>
      <c r="MSH187" s="117"/>
      <c r="MSI187" s="117"/>
      <c r="MSJ187" s="117"/>
      <c r="MSK187" s="117"/>
      <c r="MSL187" s="117"/>
      <c r="MSM187" s="117"/>
      <c r="MSN187" s="117"/>
      <c r="MSO187" s="117"/>
      <c r="MSP187" s="117"/>
      <c r="MSQ187" s="117"/>
      <c r="MSR187" s="117"/>
      <c r="MSS187" s="117"/>
      <c r="MST187" s="117"/>
      <c r="MSU187" s="117"/>
      <c r="MSV187" s="117"/>
      <c r="MSW187" s="117"/>
      <c r="MSX187" s="117"/>
      <c r="MSY187" s="117"/>
      <c r="MSZ187" s="117"/>
      <c r="MTA187" s="117"/>
      <c r="MTB187" s="117"/>
      <c r="MTC187" s="117"/>
      <c r="MTD187" s="117"/>
      <c r="MTE187" s="117"/>
      <c r="MTF187" s="117"/>
      <c r="MTG187" s="117"/>
      <c r="MTH187" s="117"/>
      <c r="MTI187" s="117"/>
      <c r="MTJ187" s="117"/>
      <c r="MTK187" s="117"/>
      <c r="MTL187" s="117"/>
      <c r="MTM187" s="117"/>
      <c r="MTN187" s="117"/>
      <c r="MTO187" s="117"/>
      <c r="MTP187" s="117"/>
      <c r="MTQ187" s="117"/>
      <c r="MTR187" s="117"/>
      <c r="MTS187" s="117"/>
      <c r="MTT187" s="117"/>
      <c r="MTU187" s="117"/>
      <c r="MTV187" s="117"/>
      <c r="MTW187" s="117"/>
      <c r="MTX187" s="117"/>
      <c r="MTY187" s="117"/>
      <c r="MTZ187" s="117"/>
      <c r="MUA187" s="117"/>
      <c r="MUB187" s="117"/>
      <c r="MUC187" s="117"/>
      <c r="MUD187" s="117"/>
      <c r="MUE187" s="117"/>
      <c r="MUF187" s="117"/>
      <c r="MUG187" s="117"/>
      <c r="MUH187" s="117"/>
      <c r="MUI187" s="117"/>
      <c r="MUJ187" s="117"/>
      <c r="MUK187" s="117"/>
      <c r="MUL187" s="117"/>
      <c r="MUM187" s="117"/>
      <c r="MUN187" s="117"/>
      <c r="MUO187" s="117"/>
      <c r="MUP187" s="117"/>
      <c r="MUQ187" s="117"/>
      <c r="MUR187" s="117"/>
      <c r="MUS187" s="117"/>
      <c r="MUT187" s="117"/>
      <c r="MUU187" s="117"/>
      <c r="MUV187" s="117"/>
      <c r="MUW187" s="117"/>
      <c r="MUX187" s="117"/>
      <c r="MUY187" s="117"/>
      <c r="MUZ187" s="117"/>
      <c r="MVA187" s="117"/>
      <c r="MVB187" s="117"/>
      <c r="MVC187" s="117"/>
      <c r="MVD187" s="117"/>
      <c r="MVE187" s="117"/>
      <c r="MVF187" s="117"/>
      <c r="MVG187" s="117"/>
      <c r="MVH187" s="117"/>
      <c r="MVI187" s="117"/>
      <c r="MVJ187" s="117"/>
      <c r="MVK187" s="117"/>
      <c r="MVL187" s="117"/>
      <c r="MVM187" s="117"/>
      <c r="MVN187" s="117"/>
      <c r="MVO187" s="117"/>
      <c r="MVP187" s="117"/>
      <c r="MVQ187" s="117"/>
      <c r="MVR187" s="117"/>
      <c r="MVS187" s="117"/>
      <c r="MVT187" s="117"/>
      <c r="MVU187" s="117"/>
      <c r="MVV187" s="117"/>
      <c r="MVW187" s="117"/>
      <c r="MVX187" s="117"/>
      <c r="MVY187" s="117"/>
      <c r="MVZ187" s="117"/>
      <c r="MWA187" s="117"/>
      <c r="MWB187" s="117"/>
      <c r="MWC187" s="117"/>
      <c r="MWD187" s="117"/>
      <c r="MWE187" s="117"/>
      <c r="MWF187" s="117"/>
      <c r="MWG187" s="117"/>
      <c r="MWH187" s="117"/>
      <c r="MWI187" s="117"/>
      <c r="MWJ187" s="117"/>
      <c r="MWK187" s="117"/>
      <c r="MWL187" s="117"/>
      <c r="MWM187" s="117"/>
      <c r="MWN187" s="117"/>
      <c r="MWO187" s="117"/>
      <c r="MWP187" s="117"/>
      <c r="MWQ187" s="117"/>
      <c r="MWR187" s="117"/>
      <c r="MWS187" s="117"/>
      <c r="MWT187" s="117"/>
      <c r="MWU187" s="117"/>
      <c r="MWV187" s="117"/>
      <c r="MWW187" s="117"/>
      <c r="MWX187" s="117"/>
      <c r="MWY187" s="117"/>
      <c r="MWZ187" s="117"/>
      <c r="MXA187" s="117"/>
      <c r="MXB187" s="117"/>
      <c r="MXC187" s="117"/>
      <c r="MXD187" s="117"/>
      <c r="MXE187" s="117"/>
      <c r="MXF187" s="117"/>
      <c r="MXG187" s="117"/>
      <c r="MXH187" s="117"/>
      <c r="MXI187" s="117"/>
      <c r="MXJ187" s="117"/>
      <c r="MXK187" s="117"/>
      <c r="MXL187" s="117"/>
      <c r="MXM187" s="117"/>
      <c r="MXN187" s="117"/>
      <c r="MXO187" s="117"/>
      <c r="MXP187" s="117"/>
      <c r="MXQ187" s="117"/>
      <c r="MXR187" s="117"/>
      <c r="MXS187" s="117"/>
      <c r="MXT187" s="117"/>
      <c r="MXU187" s="117"/>
      <c r="MXV187" s="117"/>
      <c r="MXW187" s="117"/>
      <c r="MXX187" s="117"/>
      <c r="MXY187" s="117"/>
      <c r="MXZ187" s="117"/>
      <c r="MYA187" s="117"/>
      <c r="MYB187" s="117"/>
      <c r="MYC187" s="117"/>
      <c r="MYD187" s="117"/>
      <c r="MYE187" s="117"/>
      <c r="MYF187" s="117"/>
      <c r="MYG187" s="117"/>
      <c r="MYH187" s="117"/>
      <c r="MYI187" s="117"/>
      <c r="MYJ187" s="117"/>
      <c r="MYK187" s="117"/>
      <c r="MYL187" s="117"/>
      <c r="MYM187" s="117"/>
      <c r="MYN187" s="117"/>
      <c r="MYO187" s="117"/>
      <c r="MYP187" s="117"/>
      <c r="MYQ187" s="117"/>
      <c r="MYR187" s="117"/>
      <c r="MYS187" s="117"/>
      <c r="MYT187" s="117"/>
      <c r="MYU187" s="117"/>
      <c r="MYV187" s="117"/>
      <c r="MYW187" s="117"/>
      <c r="MYX187" s="117"/>
      <c r="MYY187" s="117"/>
      <c r="MYZ187" s="117"/>
      <c r="MZA187" s="117"/>
      <c r="MZB187" s="117"/>
      <c r="MZC187" s="117"/>
      <c r="MZD187" s="117"/>
      <c r="MZE187" s="117"/>
      <c r="MZF187" s="117"/>
      <c r="MZG187" s="117"/>
      <c r="MZH187" s="117"/>
      <c r="MZI187" s="117"/>
      <c r="MZJ187" s="117"/>
      <c r="MZK187" s="117"/>
      <c r="MZL187" s="117"/>
      <c r="MZM187" s="117"/>
      <c r="MZN187" s="117"/>
      <c r="MZO187" s="117"/>
      <c r="MZP187" s="117"/>
      <c r="MZQ187" s="117"/>
      <c r="MZR187" s="117"/>
      <c r="MZS187" s="117"/>
      <c r="MZT187" s="117"/>
      <c r="MZU187" s="117"/>
      <c r="MZV187" s="117"/>
      <c r="MZW187" s="117"/>
      <c r="MZX187" s="117"/>
      <c r="MZY187" s="117"/>
      <c r="MZZ187" s="117"/>
      <c r="NAA187" s="117"/>
      <c r="NAB187" s="117"/>
      <c r="NAC187" s="117"/>
      <c r="NAD187" s="117"/>
      <c r="NAE187" s="117"/>
      <c r="NAF187" s="117"/>
      <c r="NAG187" s="117"/>
      <c r="NAH187" s="117"/>
      <c r="NAI187" s="117"/>
      <c r="NAJ187" s="117"/>
      <c r="NAK187" s="117"/>
      <c r="NAL187" s="117"/>
      <c r="NAM187" s="117"/>
      <c r="NAN187" s="117"/>
      <c r="NAO187" s="117"/>
      <c r="NAP187" s="117"/>
      <c r="NAQ187" s="117"/>
      <c r="NAR187" s="117"/>
      <c r="NAS187" s="117"/>
      <c r="NAT187" s="117"/>
      <c r="NAU187" s="117"/>
      <c r="NAV187" s="117"/>
      <c r="NAW187" s="117"/>
      <c r="NAX187" s="117"/>
      <c r="NAY187" s="117"/>
      <c r="NAZ187" s="117"/>
      <c r="NBA187" s="117"/>
      <c r="NBB187" s="117"/>
      <c r="NBC187" s="117"/>
      <c r="NBD187" s="117"/>
      <c r="NBE187" s="117"/>
      <c r="NBF187" s="117"/>
      <c r="NBG187" s="117"/>
      <c r="NBH187" s="117"/>
      <c r="NBI187" s="117"/>
      <c r="NBJ187" s="117"/>
      <c r="NBK187" s="117"/>
      <c r="NBL187" s="117"/>
      <c r="NBM187" s="117"/>
      <c r="NBN187" s="117"/>
      <c r="NBO187" s="117"/>
      <c r="NBP187" s="117"/>
      <c r="NBQ187" s="117"/>
      <c r="NBR187" s="117"/>
      <c r="NBS187" s="117"/>
      <c r="NBT187" s="117"/>
      <c r="NBU187" s="117"/>
      <c r="NBV187" s="117"/>
      <c r="NBW187" s="117"/>
      <c r="NBX187" s="117"/>
      <c r="NBY187" s="117"/>
      <c r="NBZ187" s="117"/>
      <c r="NCA187" s="117"/>
      <c r="NCB187" s="117"/>
      <c r="NCC187" s="117"/>
      <c r="NCD187" s="117"/>
      <c r="NCE187" s="117"/>
      <c r="NCF187" s="117"/>
      <c r="NCG187" s="117"/>
      <c r="NCH187" s="117"/>
      <c r="NCI187" s="117"/>
      <c r="NCJ187" s="117"/>
      <c r="NCK187" s="117"/>
      <c r="NCL187" s="117"/>
      <c r="NCM187" s="117"/>
      <c r="NCN187" s="117"/>
      <c r="NCO187" s="117"/>
      <c r="NCP187" s="117"/>
      <c r="NCQ187" s="117"/>
      <c r="NCR187" s="117"/>
      <c r="NCS187" s="117"/>
      <c r="NCT187" s="117"/>
      <c r="NCU187" s="117"/>
      <c r="NCV187" s="117"/>
      <c r="NCW187" s="117"/>
      <c r="NCX187" s="117"/>
      <c r="NCY187" s="117"/>
      <c r="NCZ187" s="117"/>
      <c r="NDA187" s="117"/>
      <c r="NDB187" s="117"/>
      <c r="NDC187" s="117"/>
      <c r="NDD187" s="117"/>
      <c r="NDE187" s="117"/>
      <c r="NDF187" s="117"/>
      <c r="NDG187" s="117"/>
      <c r="NDH187" s="117"/>
      <c r="NDI187" s="117"/>
      <c r="NDJ187" s="117"/>
      <c r="NDK187" s="117"/>
      <c r="NDL187" s="117"/>
      <c r="NDM187" s="117"/>
      <c r="NDN187" s="117"/>
      <c r="NDO187" s="117"/>
      <c r="NDP187" s="117"/>
      <c r="NDQ187" s="117"/>
      <c r="NDR187" s="117"/>
      <c r="NDS187" s="117"/>
      <c r="NDT187" s="117"/>
      <c r="NDU187" s="117"/>
      <c r="NDV187" s="117"/>
      <c r="NDW187" s="117"/>
      <c r="NDX187" s="117"/>
      <c r="NDY187" s="117"/>
      <c r="NDZ187" s="117"/>
      <c r="NEA187" s="117"/>
      <c r="NEB187" s="117"/>
      <c r="NEC187" s="117"/>
      <c r="NED187" s="117"/>
      <c r="NEE187" s="117"/>
      <c r="NEF187" s="117"/>
      <c r="NEG187" s="117"/>
      <c r="NEH187" s="117"/>
      <c r="NEI187" s="117"/>
      <c r="NEJ187" s="117"/>
      <c r="NEK187" s="117"/>
      <c r="NEL187" s="117"/>
      <c r="NEM187" s="117"/>
      <c r="NEN187" s="117"/>
      <c r="NEO187" s="117"/>
      <c r="NEP187" s="117"/>
      <c r="NEQ187" s="117"/>
      <c r="NER187" s="117"/>
      <c r="NES187" s="117"/>
      <c r="NET187" s="117"/>
      <c r="NEU187" s="117"/>
      <c r="NEV187" s="117"/>
      <c r="NEW187" s="117"/>
      <c r="NEX187" s="117"/>
      <c r="NEY187" s="117"/>
      <c r="NEZ187" s="117"/>
      <c r="NFA187" s="117"/>
      <c r="NFB187" s="117"/>
      <c r="NFC187" s="117"/>
      <c r="NFD187" s="117"/>
      <c r="NFE187" s="117"/>
      <c r="NFF187" s="117"/>
      <c r="NFG187" s="117"/>
      <c r="NFH187" s="117"/>
      <c r="NFI187" s="117"/>
      <c r="NFJ187" s="117"/>
      <c r="NFK187" s="117"/>
      <c r="NFL187" s="117"/>
      <c r="NFM187" s="117"/>
      <c r="NFN187" s="117"/>
      <c r="NFO187" s="117"/>
      <c r="NFP187" s="117"/>
      <c r="NFQ187" s="117"/>
      <c r="NFR187" s="117"/>
      <c r="NFS187" s="117"/>
      <c r="NFT187" s="117"/>
      <c r="NFU187" s="117"/>
      <c r="NFV187" s="117"/>
      <c r="NFW187" s="117"/>
      <c r="NFX187" s="117"/>
      <c r="NFY187" s="117"/>
      <c r="NFZ187" s="117"/>
      <c r="NGA187" s="117"/>
      <c r="NGB187" s="117"/>
      <c r="NGC187" s="117"/>
      <c r="NGD187" s="117"/>
      <c r="NGE187" s="117"/>
      <c r="NGF187" s="117"/>
      <c r="NGG187" s="117"/>
      <c r="NGH187" s="117"/>
      <c r="NGI187" s="117"/>
      <c r="NGJ187" s="117"/>
      <c r="NGK187" s="117"/>
      <c r="NGL187" s="117"/>
      <c r="NGM187" s="117"/>
      <c r="NGN187" s="117"/>
      <c r="NGO187" s="117"/>
      <c r="NGP187" s="117"/>
      <c r="NGQ187" s="117"/>
      <c r="NGR187" s="117"/>
      <c r="NGS187" s="117"/>
      <c r="NGT187" s="117"/>
      <c r="NGU187" s="117"/>
      <c r="NGV187" s="117"/>
      <c r="NGW187" s="117"/>
      <c r="NGX187" s="117"/>
      <c r="NGY187" s="117"/>
      <c r="NGZ187" s="117"/>
      <c r="NHA187" s="117"/>
      <c r="NHB187" s="117"/>
      <c r="NHC187" s="117"/>
      <c r="NHD187" s="117"/>
      <c r="NHE187" s="117"/>
      <c r="NHF187" s="117"/>
      <c r="NHG187" s="117"/>
      <c r="NHH187" s="117"/>
      <c r="NHI187" s="117"/>
      <c r="NHJ187" s="117"/>
      <c r="NHK187" s="117"/>
      <c r="NHL187" s="117"/>
      <c r="NHM187" s="117"/>
      <c r="NHN187" s="117"/>
      <c r="NHO187" s="117"/>
      <c r="NHP187" s="117"/>
      <c r="NHQ187" s="117"/>
      <c r="NHR187" s="117"/>
      <c r="NHS187" s="117"/>
      <c r="NHT187" s="117"/>
      <c r="NHU187" s="117"/>
      <c r="NHV187" s="117"/>
      <c r="NHW187" s="117"/>
      <c r="NHX187" s="117"/>
      <c r="NHY187" s="117"/>
      <c r="NHZ187" s="117"/>
      <c r="NIA187" s="117"/>
      <c r="NIB187" s="117"/>
      <c r="NIC187" s="117"/>
      <c r="NID187" s="117"/>
      <c r="NIE187" s="117"/>
      <c r="NIF187" s="117"/>
      <c r="NIG187" s="117"/>
      <c r="NIH187" s="117"/>
      <c r="NII187" s="117"/>
      <c r="NIJ187" s="117"/>
      <c r="NIK187" s="117"/>
      <c r="NIL187" s="117"/>
      <c r="NIM187" s="117"/>
      <c r="NIN187" s="117"/>
      <c r="NIO187" s="117"/>
      <c r="NIP187" s="117"/>
      <c r="NIQ187" s="117"/>
      <c r="NIR187" s="117"/>
      <c r="NIS187" s="117"/>
      <c r="NIT187" s="117"/>
      <c r="NIU187" s="117"/>
      <c r="NIV187" s="117"/>
      <c r="NIW187" s="117"/>
      <c r="NIX187" s="117"/>
      <c r="NIY187" s="117"/>
      <c r="NIZ187" s="117"/>
      <c r="NJA187" s="117"/>
      <c r="NJB187" s="117"/>
      <c r="NJC187" s="117"/>
      <c r="NJD187" s="117"/>
      <c r="NJE187" s="117"/>
      <c r="NJF187" s="117"/>
      <c r="NJG187" s="117"/>
      <c r="NJH187" s="117"/>
      <c r="NJI187" s="117"/>
      <c r="NJJ187" s="117"/>
      <c r="NJK187" s="117"/>
      <c r="NJL187" s="117"/>
      <c r="NJM187" s="117"/>
      <c r="NJN187" s="117"/>
      <c r="NJO187" s="117"/>
      <c r="NJP187" s="117"/>
      <c r="NJQ187" s="117"/>
      <c r="NJR187" s="117"/>
      <c r="NJS187" s="117"/>
      <c r="NJT187" s="117"/>
      <c r="NJU187" s="117"/>
      <c r="NJV187" s="117"/>
      <c r="NJW187" s="117"/>
      <c r="NJX187" s="117"/>
      <c r="NJY187" s="117"/>
      <c r="NJZ187" s="117"/>
      <c r="NKA187" s="117"/>
      <c r="NKB187" s="117"/>
      <c r="NKC187" s="117"/>
      <c r="NKD187" s="117"/>
      <c r="NKE187" s="117"/>
      <c r="NKF187" s="117"/>
      <c r="NKG187" s="117"/>
      <c r="NKH187" s="117"/>
      <c r="NKI187" s="117"/>
      <c r="NKJ187" s="117"/>
      <c r="NKK187" s="117"/>
      <c r="NKL187" s="117"/>
      <c r="NKM187" s="117"/>
      <c r="NKN187" s="117"/>
      <c r="NKO187" s="117"/>
      <c r="NKP187" s="117"/>
      <c r="NKQ187" s="117"/>
      <c r="NKR187" s="117"/>
      <c r="NKS187" s="117"/>
      <c r="NKT187" s="117"/>
      <c r="NKU187" s="117"/>
      <c r="NKV187" s="117"/>
      <c r="NKW187" s="117"/>
      <c r="NKX187" s="117"/>
      <c r="NKY187" s="117"/>
      <c r="NKZ187" s="117"/>
      <c r="NLA187" s="117"/>
      <c r="NLB187" s="117"/>
      <c r="NLC187" s="117"/>
      <c r="NLD187" s="117"/>
      <c r="NLE187" s="117"/>
      <c r="NLF187" s="117"/>
      <c r="NLG187" s="117"/>
      <c r="NLH187" s="117"/>
      <c r="NLI187" s="117"/>
      <c r="NLJ187" s="117"/>
      <c r="NLK187" s="117"/>
      <c r="NLL187" s="117"/>
      <c r="NLM187" s="117"/>
      <c r="NLN187" s="117"/>
      <c r="NLO187" s="117"/>
      <c r="NLP187" s="117"/>
      <c r="NLQ187" s="117"/>
      <c r="NLR187" s="117"/>
      <c r="NLS187" s="117"/>
      <c r="NLT187" s="117"/>
      <c r="NLU187" s="117"/>
      <c r="NLV187" s="117"/>
      <c r="NLW187" s="117"/>
      <c r="NLX187" s="117"/>
      <c r="NLY187" s="117"/>
      <c r="NLZ187" s="117"/>
      <c r="NMA187" s="117"/>
      <c r="NMB187" s="117"/>
      <c r="NMC187" s="117"/>
      <c r="NMD187" s="117"/>
      <c r="NME187" s="117"/>
      <c r="NMF187" s="117"/>
      <c r="NMG187" s="117"/>
      <c r="NMH187" s="117"/>
      <c r="NMI187" s="117"/>
      <c r="NMJ187" s="117"/>
      <c r="NMK187" s="117"/>
      <c r="NML187" s="117"/>
      <c r="NMM187" s="117"/>
      <c r="NMN187" s="117"/>
      <c r="NMO187" s="117"/>
      <c r="NMP187" s="117"/>
      <c r="NMQ187" s="117"/>
      <c r="NMR187" s="117"/>
      <c r="NMS187" s="117"/>
      <c r="NMT187" s="117"/>
      <c r="NMU187" s="117"/>
      <c r="NMV187" s="117"/>
      <c r="NMW187" s="117"/>
      <c r="NMX187" s="117"/>
      <c r="NMY187" s="117"/>
      <c r="NMZ187" s="117"/>
      <c r="NNA187" s="117"/>
      <c r="NNB187" s="117"/>
      <c r="NNC187" s="117"/>
      <c r="NND187" s="117"/>
      <c r="NNE187" s="117"/>
      <c r="NNF187" s="117"/>
      <c r="NNG187" s="117"/>
      <c r="NNH187" s="117"/>
      <c r="NNI187" s="117"/>
      <c r="NNJ187" s="117"/>
      <c r="NNK187" s="117"/>
      <c r="NNL187" s="117"/>
      <c r="NNM187" s="117"/>
      <c r="NNN187" s="117"/>
      <c r="NNO187" s="117"/>
      <c r="NNP187" s="117"/>
      <c r="NNQ187" s="117"/>
      <c r="NNR187" s="117"/>
      <c r="NNS187" s="117"/>
      <c r="NNT187" s="117"/>
      <c r="NNU187" s="117"/>
      <c r="NNV187" s="117"/>
      <c r="NNW187" s="117"/>
      <c r="NNX187" s="117"/>
      <c r="NNY187" s="117"/>
      <c r="NNZ187" s="117"/>
      <c r="NOA187" s="117"/>
      <c r="NOB187" s="117"/>
      <c r="NOC187" s="117"/>
      <c r="NOD187" s="117"/>
      <c r="NOE187" s="117"/>
      <c r="NOF187" s="117"/>
      <c r="NOG187" s="117"/>
      <c r="NOH187" s="117"/>
      <c r="NOI187" s="117"/>
      <c r="NOJ187" s="117"/>
      <c r="NOK187" s="117"/>
      <c r="NOL187" s="117"/>
      <c r="NOM187" s="117"/>
      <c r="NON187" s="117"/>
      <c r="NOO187" s="117"/>
      <c r="NOP187" s="117"/>
      <c r="NOQ187" s="117"/>
      <c r="NOR187" s="117"/>
      <c r="NOS187" s="117"/>
      <c r="NOT187" s="117"/>
      <c r="NOU187" s="117"/>
      <c r="NOV187" s="117"/>
      <c r="NOW187" s="117"/>
      <c r="NOX187" s="117"/>
      <c r="NOY187" s="117"/>
      <c r="NOZ187" s="117"/>
      <c r="NPA187" s="117"/>
      <c r="NPB187" s="117"/>
      <c r="NPC187" s="117"/>
      <c r="NPD187" s="117"/>
      <c r="NPE187" s="117"/>
      <c r="NPF187" s="117"/>
      <c r="NPG187" s="117"/>
      <c r="NPH187" s="117"/>
      <c r="NPI187" s="117"/>
      <c r="NPJ187" s="117"/>
      <c r="NPK187" s="117"/>
      <c r="NPL187" s="117"/>
      <c r="NPM187" s="117"/>
      <c r="NPN187" s="117"/>
      <c r="NPO187" s="117"/>
      <c r="NPP187" s="117"/>
      <c r="NPQ187" s="117"/>
      <c r="NPR187" s="117"/>
      <c r="NPS187" s="117"/>
      <c r="NPT187" s="117"/>
      <c r="NPU187" s="117"/>
      <c r="NPV187" s="117"/>
      <c r="NPW187" s="117"/>
      <c r="NPX187" s="117"/>
      <c r="NPY187" s="117"/>
      <c r="NPZ187" s="117"/>
      <c r="NQA187" s="117"/>
      <c r="NQB187" s="117"/>
      <c r="NQC187" s="117"/>
      <c r="NQD187" s="117"/>
      <c r="NQE187" s="117"/>
      <c r="NQF187" s="117"/>
      <c r="NQG187" s="117"/>
      <c r="NQH187" s="117"/>
      <c r="NQI187" s="117"/>
      <c r="NQJ187" s="117"/>
      <c r="NQK187" s="117"/>
      <c r="NQL187" s="117"/>
      <c r="NQM187" s="117"/>
      <c r="NQN187" s="117"/>
      <c r="NQO187" s="117"/>
      <c r="NQP187" s="117"/>
      <c r="NQQ187" s="117"/>
      <c r="NQR187" s="117"/>
      <c r="NQS187" s="117"/>
      <c r="NQT187" s="117"/>
      <c r="NQU187" s="117"/>
      <c r="NQV187" s="117"/>
      <c r="NQW187" s="117"/>
      <c r="NQX187" s="117"/>
      <c r="NQY187" s="117"/>
      <c r="NQZ187" s="117"/>
      <c r="NRA187" s="117"/>
      <c r="NRB187" s="117"/>
      <c r="NRC187" s="117"/>
      <c r="NRD187" s="117"/>
      <c r="NRE187" s="117"/>
      <c r="NRF187" s="117"/>
      <c r="NRG187" s="117"/>
      <c r="NRH187" s="117"/>
      <c r="NRI187" s="117"/>
      <c r="NRJ187" s="117"/>
      <c r="NRK187" s="117"/>
      <c r="NRL187" s="117"/>
      <c r="NRM187" s="117"/>
      <c r="NRN187" s="117"/>
      <c r="NRO187" s="117"/>
      <c r="NRP187" s="117"/>
      <c r="NRQ187" s="117"/>
      <c r="NRR187" s="117"/>
      <c r="NRS187" s="117"/>
      <c r="NRT187" s="117"/>
      <c r="NRU187" s="117"/>
      <c r="NRV187" s="117"/>
      <c r="NRW187" s="117"/>
      <c r="NRX187" s="117"/>
      <c r="NRY187" s="117"/>
      <c r="NRZ187" s="117"/>
      <c r="NSA187" s="117"/>
      <c r="NSB187" s="117"/>
      <c r="NSC187" s="117"/>
      <c r="NSD187" s="117"/>
      <c r="NSE187" s="117"/>
      <c r="NSF187" s="117"/>
      <c r="NSG187" s="117"/>
      <c r="NSH187" s="117"/>
      <c r="NSI187" s="117"/>
      <c r="NSJ187" s="117"/>
      <c r="NSK187" s="117"/>
      <c r="NSL187" s="117"/>
      <c r="NSM187" s="117"/>
      <c r="NSN187" s="117"/>
      <c r="NSO187" s="117"/>
      <c r="NSP187" s="117"/>
      <c r="NSQ187" s="117"/>
      <c r="NSR187" s="117"/>
      <c r="NSS187" s="117"/>
      <c r="NST187" s="117"/>
      <c r="NSU187" s="117"/>
      <c r="NSV187" s="117"/>
      <c r="NSW187" s="117"/>
      <c r="NSX187" s="117"/>
      <c r="NSY187" s="117"/>
      <c r="NSZ187" s="117"/>
      <c r="NTA187" s="117"/>
      <c r="NTB187" s="117"/>
      <c r="NTC187" s="117"/>
      <c r="NTD187" s="117"/>
      <c r="NTE187" s="117"/>
      <c r="NTF187" s="117"/>
      <c r="NTG187" s="117"/>
      <c r="NTH187" s="117"/>
      <c r="NTI187" s="117"/>
      <c r="NTJ187" s="117"/>
      <c r="NTK187" s="117"/>
      <c r="NTL187" s="117"/>
      <c r="NTM187" s="117"/>
      <c r="NTN187" s="117"/>
      <c r="NTO187" s="117"/>
      <c r="NTP187" s="117"/>
      <c r="NTQ187" s="117"/>
      <c r="NTR187" s="117"/>
      <c r="NTS187" s="117"/>
      <c r="NTT187" s="117"/>
      <c r="NTU187" s="117"/>
      <c r="NTV187" s="117"/>
      <c r="NTW187" s="117"/>
      <c r="NTX187" s="117"/>
      <c r="NTY187" s="117"/>
      <c r="NTZ187" s="117"/>
      <c r="NUA187" s="117"/>
      <c r="NUB187" s="117"/>
      <c r="NUC187" s="117"/>
      <c r="NUD187" s="117"/>
      <c r="NUE187" s="117"/>
      <c r="NUF187" s="117"/>
      <c r="NUG187" s="117"/>
      <c r="NUH187" s="117"/>
      <c r="NUI187" s="117"/>
      <c r="NUJ187" s="117"/>
      <c r="NUK187" s="117"/>
      <c r="NUL187" s="117"/>
      <c r="NUM187" s="117"/>
      <c r="NUN187" s="117"/>
      <c r="NUO187" s="117"/>
      <c r="NUP187" s="117"/>
      <c r="NUQ187" s="117"/>
      <c r="NUR187" s="117"/>
      <c r="NUS187" s="117"/>
      <c r="NUT187" s="117"/>
      <c r="NUU187" s="117"/>
      <c r="NUV187" s="117"/>
      <c r="NUW187" s="117"/>
      <c r="NUX187" s="117"/>
      <c r="NUY187" s="117"/>
      <c r="NUZ187" s="117"/>
      <c r="NVA187" s="117"/>
      <c r="NVB187" s="117"/>
      <c r="NVC187" s="117"/>
      <c r="NVD187" s="117"/>
      <c r="NVE187" s="117"/>
      <c r="NVF187" s="117"/>
      <c r="NVG187" s="117"/>
      <c r="NVH187" s="117"/>
      <c r="NVI187" s="117"/>
      <c r="NVJ187" s="117"/>
      <c r="NVK187" s="117"/>
      <c r="NVL187" s="117"/>
      <c r="NVM187" s="117"/>
      <c r="NVN187" s="117"/>
      <c r="NVO187" s="117"/>
      <c r="NVP187" s="117"/>
      <c r="NVQ187" s="117"/>
      <c r="NVR187" s="117"/>
      <c r="NVS187" s="117"/>
      <c r="NVT187" s="117"/>
      <c r="NVU187" s="117"/>
      <c r="NVV187" s="117"/>
      <c r="NVW187" s="117"/>
      <c r="NVX187" s="117"/>
      <c r="NVY187" s="117"/>
      <c r="NVZ187" s="117"/>
      <c r="NWA187" s="117"/>
      <c r="NWB187" s="117"/>
      <c r="NWC187" s="117"/>
      <c r="NWD187" s="117"/>
      <c r="NWE187" s="117"/>
      <c r="NWF187" s="117"/>
      <c r="NWG187" s="117"/>
      <c r="NWH187" s="117"/>
      <c r="NWI187" s="117"/>
      <c r="NWJ187" s="117"/>
      <c r="NWK187" s="117"/>
      <c r="NWL187" s="117"/>
      <c r="NWM187" s="117"/>
      <c r="NWN187" s="117"/>
      <c r="NWO187" s="117"/>
      <c r="NWP187" s="117"/>
      <c r="NWQ187" s="117"/>
      <c r="NWR187" s="117"/>
      <c r="NWS187" s="117"/>
      <c r="NWT187" s="117"/>
      <c r="NWU187" s="117"/>
      <c r="NWV187" s="117"/>
      <c r="NWW187" s="117"/>
      <c r="NWX187" s="117"/>
      <c r="NWY187" s="117"/>
      <c r="NWZ187" s="117"/>
      <c r="NXA187" s="117"/>
      <c r="NXB187" s="117"/>
      <c r="NXC187" s="117"/>
      <c r="NXD187" s="117"/>
      <c r="NXE187" s="117"/>
      <c r="NXF187" s="117"/>
      <c r="NXG187" s="117"/>
      <c r="NXH187" s="117"/>
      <c r="NXI187" s="117"/>
      <c r="NXJ187" s="117"/>
      <c r="NXK187" s="117"/>
      <c r="NXL187" s="117"/>
      <c r="NXM187" s="117"/>
      <c r="NXN187" s="117"/>
      <c r="NXO187" s="117"/>
      <c r="NXP187" s="117"/>
      <c r="NXQ187" s="117"/>
      <c r="NXR187" s="117"/>
      <c r="NXS187" s="117"/>
      <c r="NXT187" s="117"/>
      <c r="NXU187" s="117"/>
      <c r="NXV187" s="117"/>
      <c r="NXW187" s="117"/>
      <c r="NXX187" s="117"/>
      <c r="NXY187" s="117"/>
      <c r="NXZ187" s="117"/>
      <c r="NYA187" s="117"/>
      <c r="NYB187" s="117"/>
      <c r="NYC187" s="117"/>
      <c r="NYD187" s="117"/>
      <c r="NYE187" s="117"/>
      <c r="NYF187" s="117"/>
      <c r="NYG187" s="117"/>
      <c r="NYH187" s="117"/>
      <c r="NYI187" s="117"/>
      <c r="NYJ187" s="117"/>
      <c r="NYK187" s="117"/>
      <c r="NYL187" s="117"/>
      <c r="NYM187" s="117"/>
      <c r="NYN187" s="117"/>
      <c r="NYO187" s="117"/>
      <c r="NYP187" s="117"/>
      <c r="NYQ187" s="117"/>
      <c r="NYR187" s="117"/>
      <c r="NYS187" s="117"/>
      <c r="NYT187" s="117"/>
      <c r="NYU187" s="117"/>
      <c r="NYV187" s="117"/>
      <c r="NYW187" s="117"/>
      <c r="NYX187" s="117"/>
      <c r="NYY187" s="117"/>
      <c r="NYZ187" s="117"/>
      <c r="NZA187" s="117"/>
      <c r="NZB187" s="117"/>
      <c r="NZC187" s="117"/>
      <c r="NZD187" s="117"/>
      <c r="NZE187" s="117"/>
      <c r="NZF187" s="117"/>
      <c r="NZG187" s="117"/>
      <c r="NZH187" s="117"/>
      <c r="NZI187" s="117"/>
      <c r="NZJ187" s="117"/>
      <c r="NZK187" s="117"/>
      <c r="NZL187" s="117"/>
      <c r="NZM187" s="117"/>
      <c r="NZN187" s="117"/>
      <c r="NZO187" s="117"/>
      <c r="NZP187" s="117"/>
      <c r="NZQ187" s="117"/>
      <c r="NZR187" s="117"/>
      <c r="NZS187" s="117"/>
      <c r="NZT187" s="117"/>
      <c r="NZU187" s="117"/>
      <c r="NZV187" s="117"/>
      <c r="NZW187" s="117"/>
      <c r="NZX187" s="117"/>
      <c r="NZY187" s="117"/>
      <c r="NZZ187" s="117"/>
      <c r="OAA187" s="117"/>
      <c r="OAB187" s="117"/>
      <c r="OAC187" s="117"/>
      <c r="OAD187" s="117"/>
      <c r="OAE187" s="117"/>
      <c r="OAF187" s="117"/>
      <c r="OAG187" s="117"/>
      <c r="OAH187" s="117"/>
      <c r="OAI187" s="117"/>
      <c r="OAJ187" s="117"/>
      <c r="OAK187" s="117"/>
      <c r="OAL187" s="117"/>
      <c r="OAM187" s="117"/>
      <c r="OAN187" s="117"/>
      <c r="OAO187" s="117"/>
      <c r="OAP187" s="117"/>
      <c r="OAQ187" s="117"/>
      <c r="OAR187" s="117"/>
      <c r="OAS187" s="117"/>
      <c r="OAT187" s="117"/>
      <c r="OAU187" s="117"/>
      <c r="OAV187" s="117"/>
      <c r="OAW187" s="117"/>
      <c r="OAX187" s="117"/>
      <c r="OAY187" s="117"/>
      <c r="OAZ187" s="117"/>
      <c r="OBA187" s="117"/>
      <c r="OBB187" s="117"/>
      <c r="OBC187" s="117"/>
      <c r="OBD187" s="117"/>
      <c r="OBE187" s="117"/>
      <c r="OBF187" s="117"/>
      <c r="OBG187" s="117"/>
      <c r="OBH187" s="117"/>
      <c r="OBI187" s="117"/>
      <c r="OBJ187" s="117"/>
      <c r="OBK187" s="117"/>
      <c r="OBL187" s="117"/>
      <c r="OBM187" s="117"/>
      <c r="OBN187" s="117"/>
      <c r="OBO187" s="117"/>
      <c r="OBP187" s="117"/>
      <c r="OBQ187" s="117"/>
      <c r="OBR187" s="117"/>
      <c r="OBS187" s="117"/>
      <c r="OBT187" s="117"/>
      <c r="OBU187" s="117"/>
      <c r="OBV187" s="117"/>
      <c r="OBW187" s="117"/>
      <c r="OBX187" s="117"/>
      <c r="OBY187" s="117"/>
      <c r="OBZ187" s="117"/>
      <c r="OCA187" s="117"/>
      <c r="OCB187" s="117"/>
      <c r="OCC187" s="117"/>
      <c r="OCD187" s="117"/>
      <c r="OCE187" s="117"/>
      <c r="OCF187" s="117"/>
      <c r="OCG187" s="117"/>
      <c r="OCH187" s="117"/>
      <c r="OCI187" s="117"/>
      <c r="OCJ187" s="117"/>
      <c r="OCK187" s="117"/>
      <c r="OCL187" s="117"/>
      <c r="OCM187" s="117"/>
      <c r="OCN187" s="117"/>
      <c r="OCO187" s="117"/>
      <c r="OCP187" s="117"/>
      <c r="OCQ187" s="117"/>
      <c r="OCR187" s="117"/>
      <c r="OCS187" s="117"/>
      <c r="OCT187" s="117"/>
      <c r="OCU187" s="117"/>
      <c r="OCV187" s="117"/>
      <c r="OCW187" s="117"/>
      <c r="OCX187" s="117"/>
      <c r="OCY187" s="117"/>
      <c r="OCZ187" s="117"/>
      <c r="ODA187" s="117"/>
      <c r="ODB187" s="117"/>
      <c r="ODC187" s="117"/>
      <c r="ODD187" s="117"/>
      <c r="ODE187" s="117"/>
      <c r="ODF187" s="117"/>
      <c r="ODG187" s="117"/>
      <c r="ODH187" s="117"/>
      <c r="ODI187" s="117"/>
      <c r="ODJ187" s="117"/>
      <c r="ODK187" s="117"/>
      <c r="ODL187" s="117"/>
      <c r="ODM187" s="117"/>
      <c r="ODN187" s="117"/>
      <c r="ODO187" s="117"/>
      <c r="ODP187" s="117"/>
      <c r="ODQ187" s="117"/>
      <c r="ODR187" s="117"/>
      <c r="ODS187" s="117"/>
      <c r="ODT187" s="117"/>
      <c r="ODU187" s="117"/>
      <c r="ODV187" s="117"/>
      <c r="ODW187" s="117"/>
      <c r="ODX187" s="117"/>
      <c r="ODY187" s="117"/>
      <c r="ODZ187" s="117"/>
      <c r="OEA187" s="117"/>
      <c r="OEB187" s="117"/>
      <c r="OEC187" s="117"/>
      <c r="OED187" s="117"/>
      <c r="OEE187" s="117"/>
      <c r="OEF187" s="117"/>
      <c r="OEG187" s="117"/>
      <c r="OEH187" s="117"/>
      <c r="OEI187" s="117"/>
      <c r="OEJ187" s="117"/>
      <c r="OEK187" s="117"/>
      <c r="OEL187" s="117"/>
      <c r="OEM187" s="117"/>
      <c r="OEN187" s="117"/>
      <c r="OEO187" s="117"/>
      <c r="OEP187" s="117"/>
      <c r="OEQ187" s="117"/>
      <c r="OER187" s="117"/>
      <c r="OES187" s="117"/>
      <c r="OET187" s="117"/>
      <c r="OEU187" s="117"/>
      <c r="OEV187" s="117"/>
      <c r="OEW187" s="117"/>
      <c r="OEX187" s="117"/>
      <c r="OEY187" s="117"/>
      <c r="OEZ187" s="117"/>
      <c r="OFA187" s="117"/>
      <c r="OFB187" s="117"/>
      <c r="OFC187" s="117"/>
      <c r="OFD187" s="117"/>
      <c r="OFE187" s="117"/>
      <c r="OFF187" s="117"/>
      <c r="OFG187" s="117"/>
      <c r="OFH187" s="117"/>
      <c r="OFI187" s="117"/>
      <c r="OFJ187" s="117"/>
      <c r="OFK187" s="117"/>
      <c r="OFL187" s="117"/>
      <c r="OFM187" s="117"/>
      <c r="OFN187" s="117"/>
      <c r="OFO187" s="117"/>
      <c r="OFP187" s="117"/>
      <c r="OFQ187" s="117"/>
      <c r="OFR187" s="117"/>
      <c r="OFS187" s="117"/>
      <c r="OFT187" s="117"/>
      <c r="OFU187" s="117"/>
      <c r="OFV187" s="117"/>
      <c r="OFW187" s="117"/>
      <c r="OFX187" s="117"/>
      <c r="OFY187" s="117"/>
      <c r="OFZ187" s="117"/>
      <c r="OGA187" s="117"/>
      <c r="OGB187" s="117"/>
      <c r="OGC187" s="117"/>
      <c r="OGD187" s="117"/>
      <c r="OGE187" s="117"/>
      <c r="OGF187" s="117"/>
      <c r="OGG187" s="117"/>
      <c r="OGH187" s="117"/>
      <c r="OGI187" s="117"/>
      <c r="OGJ187" s="117"/>
      <c r="OGK187" s="117"/>
      <c r="OGL187" s="117"/>
      <c r="OGM187" s="117"/>
      <c r="OGN187" s="117"/>
      <c r="OGO187" s="117"/>
      <c r="OGP187" s="117"/>
      <c r="OGQ187" s="117"/>
      <c r="OGR187" s="117"/>
      <c r="OGS187" s="117"/>
      <c r="OGT187" s="117"/>
      <c r="OGU187" s="117"/>
      <c r="OGV187" s="117"/>
      <c r="OGW187" s="117"/>
      <c r="OGX187" s="117"/>
      <c r="OGY187" s="117"/>
      <c r="OGZ187" s="117"/>
      <c r="OHA187" s="117"/>
      <c r="OHB187" s="117"/>
      <c r="OHC187" s="117"/>
      <c r="OHD187" s="117"/>
      <c r="OHE187" s="117"/>
      <c r="OHF187" s="117"/>
      <c r="OHG187" s="117"/>
      <c r="OHH187" s="117"/>
      <c r="OHI187" s="117"/>
      <c r="OHJ187" s="117"/>
      <c r="OHK187" s="117"/>
      <c r="OHL187" s="117"/>
      <c r="OHM187" s="117"/>
      <c r="OHN187" s="117"/>
      <c r="OHO187" s="117"/>
      <c r="OHP187" s="117"/>
      <c r="OHQ187" s="117"/>
      <c r="OHR187" s="117"/>
      <c r="OHS187" s="117"/>
      <c r="OHT187" s="117"/>
      <c r="OHU187" s="117"/>
      <c r="OHV187" s="117"/>
      <c r="OHW187" s="117"/>
      <c r="OHX187" s="117"/>
      <c r="OHY187" s="117"/>
      <c r="OHZ187" s="117"/>
      <c r="OIA187" s="117"/>
      <c r="OIB187" s="117"/>
      <c r="OIC187" s="117"/>
      <c r="OID187" s="117"/>
      <c r="OIE187" s="117"/>
      <c r="OIF187" s="117"/>
      <c r="OIG187" s="117"/>
      <c r="OIH187" s="117"/>
      <c r="OII187" s="117"/>
      <c r="OIJ187" s="117"/>
      <c r="OIK187" s="117"/>
      <c r="OIL187" s="117"/>
      <c r="OIM187" s="117"/>
      <c r="OIN187" s="117"/>
      <c r="OIO187" s="117"/>
      <c r="OIP187" s="117"/>
      <c r="OIQ187" s="117"/>
      <c r="OIR187" s="117"/>
      <c r="OIS187" s="117"/>
      <c r="OIT187" s="117"/>
      <c r="OIU187" s="117"/>
      <c r="OIV187" s="117"/>
      <c r="OIW187" s="117"/>
      <c r="OIX187" s="117"/>
      <c r="OIY187" s="117"/>
      <c r="OIZ187" s="117"/>
      <c r="OJA187" s="117"/>
      <c r="OJB187" s="117"/>
      <c r="OJC187" s="117"/>
      <c r="OJD187" s="117"/>
      <c r="OJE187" s="117"/>
      <c r="OJF187" s="117"/>
      <c r="OJG187" s="117"/>
      <c r="OJH187" s="117"/>
      <c r="OJI187" s="117"/>
      <c r="OJJ187" s="117"/>
      <c r="OJK187" s="117"/>
      <c r="OJL187" s="117"/>
      <c r="OJM187" s="117"/>
      <c r="OJN187" s="117"/>
      <c r="OJO187" s="117"/>
      <c r="OJP187" s="117"/>
      <c r="OJQ187" s="117"/>
      <c r="OJR187" s="117"/>
      <c r="OJS187" s="117"/>
      <c r="OJT187" s="117"/>
      <c r="OJU187" s="117"/>
      <c r="OJV187" s="117"/>
      <c r="OJW187" s="117"/>
      <c r="OJX187" s="117"/>
      <c r="OJY187" s="117"/>
      <c r="OJZ187" s="117"/>
      <c r="OKA187" s="117"/>
      <c r="OKB187" s="117"/>
      <c r="OKC187" s="117"/>
      <c r="OKD187" s="117"/>
      <c r="OKE187" s="117"/>
      <c r="OKF187" s="117"/>
      <c r="OKG187" s="117"/>
      <c r="OKH187" s="117"/>
      <c r="OKI187" s="117"/>
      <c r="OKJ187" s="117"/>
      <c r="OKK187" s="117"/>
      <c r="OKL187" s="117"/>
      <c r="OKM187" s="117"/>
      <c r="OKN187" s="117"/>
      <c r="OKO187" s="117"/>
      <c r="OKP187" s="117"/>
      <c r="OKQ187" s="117"/>
      <c r="OKR187" s="117"/>
      <c r="OKS187" s="117"/>
      <c r="OKT187" s="117"/>
      <c r="OKU187" s="117"/>
      <c r="OKV187" s="117"/>
      <c r="OKW187" s="117"/>
      <c r="OKX187" s="117"/>
      <c r="OKY187" s="117"/>
      <c r="OKZ187" s="117"/>
      <c r="OLA187" s="117"/>
      <c r="OLB187" s="117"/>
      <c r="OLC187" s="117"/>
      <c r="OLD187" s="117"/>
      <c r="OLE187" s="117"/>
      <c r="OLF187" s="117"/>
      <c r="OLG187" s="117"/>
      <c r="OLH187" s="117"/>
      <c r="OLI187" s="117"/>
      <c r="OLJ187" s="117"/>
      <c r="OLK187" s="117"/>
      <c r="OLL187" s="117"/>
      <c r="OLM187" s="117"/>
      <c r="OLN187" s="117"/>
      <c r="OLO187" s="117"/>
      <c r="OLP187" s="117"/>
      <c r="OLQ187" s="117"/>
      <c r="OLR187" s="117"/>
      <c r="OLS187" s="117"/>
      <c r="OLT187" s="117"/>
      <c r="OLU187" s="117"/>
      <c r="OLV187" s="117"/>
      <c r="OLW187" s="117"/>
      <c r="OLX187" s="117"/>
      <c r="OLY187" s="117"/>
      <c r="OLZ187" s="117"/>
      <c r="OMA187" s="117"/>
      <c r="OMB187" s="117"/>
      <c r="OMC187" s="117"/>
      <c r="OMD187" s="117"/>
      <c r="OME187" s="117"/>
      <c r="OMF187" s="117"/>
      <c r="OMG187" s="117"/>
      <c r="OMH187" s="117"/>
      <c r="OMI187" s="117"/>
      <c r="OMJ187" s="117"/>
      <c r="OMK187" s="117"/>
      <c r="OML187" s="117"/>
      <c r="OMM187" s="117"/>
      <c r="OMN187" s="117"/>
      <c r="OMO187" s="117"/>
      <c r="OMP187" s="117"/>
      <c r="OMQ187" s="117"/>
      <c r="OMR187" s="117"/>
      <c r="OMS187" s="117"/>
      <c r="OMT187" s="117"/>
      <c r="OMU187" s="117"/>
      <c r="OMV187" s="117"/>
      <c r="OMW187" s="117"/>
      <c r="OMX187" s="117"/>
      <c r="OMY187" s="117"/>
      <c r="OMZ187" s="117"/>
      <c r="ONA187" s="117"/>
      <c r="ONB187" s="117"/>
      <c r="ONC187" s="117"/>
      <c r="OND187" s="117"/>
      <c r="ONE187" s="117"/>
      <c r="ONF187" s="117"/>
      <c r="ONG187" s="117"/>
      <c r="ONH187" s="117"/>
      <c r="ONI187" s="117"/>
      <c r="ONJ187" s="117"/>
      <c r="ONK187" s="117"/>
      <c r="ONL187" s="117"/>
      <c r="ONM187" s="117"/>
      <c r="ONN187" s="117"/>
      <c r="ONO187" s="117"/>
      <c r="ONP187" s="117"/>
      <c r="ONQ187" s="117"/>
      <c r="ONR187" s="117"/>
      <c r="ONS187" s="117"/>
      <c r="ONT187" s="117"/>
      <c r="ONU187" s="117"/>
      <c r="ONV187" s="117"/>
      <c r="ONW187" s="117"/>
      <c r="ONX187" s="117"/>
      <c r="ONY187" s="117"/>
      <c r="ONZ187" s="117"/>
      <c r="OOA187" s="117"/>
      <c r="OOB187" s="117"/>
      <c r="OOC187" s="117"/>
      <c r="OOD187" s="117"/>
      <c r="OOE187" s="117"/>
      <c r="OOF187" s="117"/>
      <c r="OOG187" s="117"/>
      <c r="OOH187" s="117"/>
      <c r="OOI187" s="117"/>
      <c r="OOJ187" s="117"/>
      <c r="OOK187" s="117"/>
      <c r="OOL187" s="117"/>
      <c r="OOM187" s="117"/>
      <c r="OON187" s="117"/>
      <c r="OOO187" s="117"/>
      <c r="OOP187" s="117"/>
      <c r="OOQ187" s="117"/>
      <c r="OOR187" s="117"/>
      <c r="OOS187" s="117"/>
      <c r="OOT187" s="117"/>
      <c r="OOU187" s="117"/>
      <c r="OOV187" s="117"/>
      <c r="OOW187" s="117"/>
      <c r="OOX187" s="117"/>
      <c r="OOY187" s="117"/>
      <c r="OOZ187" s="117"/>
      <c r="OPA187" s="117"/>
      <c r="OPB187" s="117"/>
      <c r="OPC187" s="117"/>
      <c r="OPD187" s="117"/>
      <c r="OPE187" s="117"/>
      <c r="OPF187" s="117"/>
      <c r="OPG187" s="117"/>
      <c r="OPH187" s="117"/>
      <c r="OPI187" s="117"/>
      <c r="OPJ187" s="117"/>
      <c r="OPK187" s="117"/>
      <c r="OPL187" s="117"/>
      <c r="OPM187" s="117"/>
      <c r="OPN187" s="117"/>
      <c r="OPO187" s="117"/>
      <c r="OPP187" s="117"/>
      <c r="OPQ187" s="117"/>
      <c r="OPR187" s="117"/>
      <c r="OPS187" s="117"/>
      <c r="OPT187" s="117"/>
      <c r="OPU187" s="117"/>
      <c r="OPV187" s="117"/>
      <c r="OPW187" s="117"/>
      <c r="OPX187" s="117"/>
      <c r="OPY187" s="117"/>
      <c r="OPZ187" s="117"/>
      <c r="OQA187" s="117"/>
      <c r="OQB187" s="117"/>
      <c r="OQC187" s="117"/>
      <c r="OQD187" s="117"/>
      <c r="OQE187" s="117"/>
      <c r="OQF187" s="117"/>
      <c r="OQG187" s="117"/>
      <c r="OQH187" s="117"/>
      <c r="OQI187" s="117"/>
      <c r="OQJ187" s="117"/>
      <c r="OQK187" s="117"/>
      <c r="OQL187" s="117"/>
      <c r="OQM187" s="117"/>
      <c r="OQN187" s="117"/>
      <c r="OQO187" s="117"/>
      <c r="OQP187" s="117"/>
      <c r="OQQ187" s="117"/>
      <c r="OQR187" s="117"/>
      <c r="OQS187" s="117"/>
      <c r="OQT187" s="117"/>
      <c r="OQU187" s="117"/>
      <c r="OQV187" s="117"/>
      <c r="OQW187" s="117"/>
      <c r="OQX187" s="117"/>
      <c r="OQY187" s="117"/>
      <c r="OQZ187" s="117"/>
      <c r="ORA187" s="117"/>
      <c r="ORB187" s="117"/>
      <c r="ORC187" s="117"/>
      <c r="ORD187" s="117"/>
      <c r="ORE187" s="117"/>
      <c r="ORF187" s="117"/>
      <c r="ORG187" s="117"/>
      <c r="ORH187" s="117"/>
      <c r="ORI187" s="117"/>
      <c r="ORJ187" s="117"/>
      <c r="ORK187" s="117"/>
      <c r="ORL187" s="117"/>
      <c r="ORM187" s="117"/>
      <c r="ORN187" s="117"/>
      <c r="ORO187" s="117"/>
      <c r="ORP187" s="117"/>
      <c r="ORQ187" s="117"/>
      <c r="ORR187" s="117"/>
      <c r="ORS187" s="117"/>
      <c r="ORT187" s="117"/>
      <c r="ORU187" s="117"/>
      <c r="ORV187" s="117"/>
      <c r="ORW187" s="117"/>
      <c r="ORX187" s="117"/>
      <c r="ORY187" s="117"/>
      <c r="ORZ187" s="117"/>
      <c r="OSA187" s="117"/>
      <c r="OSB187" s="117"/>
      <c r="OSC187" s="117"/>
      <c r="OSD187" s="117"/>
      <c r="OSE187" s="117"/>
      <c r="OSF187" s="117"/>
      <c r="OSG187" s="117"/>
      <c r="OSH187" s="117"/>
      <c r="OSI187" s="117"/>
      <c r="OSJ187" s="117"/>
      <c r="OSK187" s="117"/>
      <c r="OSL187" s="117"/>
      <c r="OSM187" s="117"/>
      <c r="OSN187" s="117"/>
      <c r="OSO187" s="117"/>
      <c r="OSP187" s="117"/>
      <c r="OSQ187" s="117"/>
      <c r="OSR187" s="117"/>
      <c r="OSS187" s="117"/>
      <c r="OST187" s="117"/>
      <c r="OSU187" s="117"/>
      <c r="OSV187" s="117"/>
      <c r="OSW187" s="117"/>
      <c r="OSX187" s="117"/>
      <c r="OSY187" s="117"/>
      <c r="OSZ187" s="117"/>
      <c r="OTA187" s="117"/>
      <c r="OTB187" s="117"/>
      <c r="OTC187" s="117"/>
      <c r="OTD187" s="117"/>
      <c r="OTE187" s="117"/>
      <c r="OTF187" s="117"/>
      <c r="OTG187" s="117"/>
      <c r="OTH187" s="117"/>
      <c r="OTI187" s="117"/>
      <c r="OTJ187" s="117"/>
      <c r="OTK187" s="117"/>
      <c r="OTL187" s="117"/>
      <c r="OTM187" s="117"/>
      <c r="OTN187" s="117"/>
      <c r="OTO187" s="117"/>
      <c r="OTP187" s="117"/>
      <c r="OTQ187" s="117"/>
      <c r="OTR187" s="117"/>
      <c r="OTS187" s="117"/>
      <c r="OTT187" s="117"/>
      <c r="OTU187" s="117"/>
      <c r="OTV187" s="117"/>
      <c r="OTW187" s="117"/>
      <c r="OTX187" s="117"/>
      <c r="OTY187" s="117"/>
      <c r="OTZ187" s="117"/>
      <c r="OUA187" s="117"/>
      <c r="OUB187" s="117"/>
      <c r="OUC187" s="117"/>
      <c r="OUD187" s="117"/>
      <c r="OUE187" s="117"/>
      <c r="OUF187" s="117"/>
      <c r="OUG187" s="117"/>
      <c r="OUH187" s="117"/>
      <c r="OUI187" s="117"/>
      <c r="OUJ187" s="117"/>
      <c r="OUK187" s="117"/>
      <c r="OUL187" s="117"/>
      <c r="OUM187" s="117"/>
      <c r="OUN187" s="117"/>
      <c r="OUO187" s="117"/>
      <c r="OUP187" s="117"/>
      <c r="OUQ187" s="117"/>
      <c r="OUR187" s="117"/>
      <c r="OUS187" s="117"/>
      <c r="OUT187" s="117"/>
      <c r="OUU187" s="117"/>
      <c r="OUV187" s="117"/>
      <c r="OUW187" s="117"/>
      <c r="OUX187" s="117"/>
      <c r="OUY187" s="117"/>
      <c r="OUZ187" s="117"/>
      <c r="OVA187" s="117"/>
      <c r="OVB187" s="117"/>
      <c r="OVC187" s="117"/>
      <c r="OVD187" s="117"/>
      <c r="OVE187" s="117"/>
      <c r="OVF187" s="117"/>
      <c r="OVG187" s="117"/>
      <c r="OVH187" s="117"/>
      <c r="OVI187" s="117"/>
      <c r="OVJ187" s="117"/>
      <c r="OVK187" s="117"/>
      <c r="OVL187" s="117"/>
      <c r="OVM187" s="117"/>
      <c r="OVN187" s="117"/>
      <c r="OVO187" s="117"/>
      <c r="OVP187" s="117"/>
      <c r="OVQ187" s="117"/>
      <c r="OVR187" s="117"/>
      <c r="OVS187" s="117"/>
      <c r="OVT187" s="117"/>
      <c r="OVU187" s="117"/>
      <c r="OVV187" s="117"/>
      <c r="OVW187" s="117"/>
      <c r="OVX187" s="117"/>
      <c r="OVY187" s="117"/>
      <c r="OVZ187" s="117"/>
      <c r="OWA187" s="117"/>
      <c r="OWB187" s="117"/>
      <c r="OWC187" s="117"/>
      <c r="OWD187" s="117"/>
      <c r="OWE187" s="117"/>
      <c r="OWF187" s="117"/>
      <c r="OWG187" s="117"/>
      <c r="OWH187" s="117"/>
      <c r="OWI187" s="117"/>
      <c r="OWJ187" s="117"/>
      <c r="OWK187" s="117"/>
      <c r="OWL187" s="117"/>
      <c r="OWM187" s="117"/>
      <c r="OWN187" s="117"/>
      <c r="OWO187" s="117"/>
      <c r="OWP187" s="117"/>
      <c r="OWQ187" s="117"/>
      <c r="OWR187" s="117"/>
      <c r="OWS187" s="117"/>
      <c r="OWT187" s="117"/>
      <c r="OWU187" s="117"/>
      <c r="OWV187" s="117"/>
      <c r="OWW187" s="117"/>
      <c r="OWX187" s="117"/>
      <c r="OWY187" s="117"/>
      <c r="OWZ187" s="117"/>
      <c r="OXA187" s="117"/>
      <c r="OXB187" s="117"/>
      <c r="OXC187" s="117"/>
      <c r="OXD187" s="117"/>
      <c r="OXE187" s="117"/>
      <c r="OXF187" s="117"/>
      <c r="OXG187" s="117"/>
      <c r="OXH187" s="117"/>
      <c r="OXI187" s="117"/>
      <c r="OXJ187" s="117"/>
      <c r="OXK187" s="117"/>
      <c r="OXL187" s="117"/>
      <c r="OXM187" s="117"/>
      <c r="OXN187" s="117"/>
      <c r="OXO187" s="117"/>
      <c r="OXP187" s="117"/>
      <c r="OXQ187" s="117"/>
      <c r="OXR187" s="117"/>
      <c r="OXS187" s="117"/>
      <c r="OXT187" s="117"/>
      <c r="OXU187" s="117"/>
      <c r="OXV187" s="117"/>
      <c r="OXW187" s="117"/>
      <c r="OXX187" s="117"/>
      <c r="OXY187" s="117"/>
      <c r="OXZ187" s="117"/>
      <c r="OYA187" s="117"/>
      <c r="OYB187" s="117"/>
      <c r="OYC187" s="117"/>
      <c r="OYD187" s="117"/>
      <c r="OYE187" s="117"/>
      <c r="OYF187" s="117"/>
      <c r="OYG187" s="117"/>
      <c r="OYH187" s="117"/>
      <c r="OYI187" s="117"/>
      <c r="OYJ187" s="117"/>
      <c r="OYK187" s="117"/>
      <c r="OYL187" s="117"/>
      <c r="OYM187" s="117"/>
      <c r="OYN187" s="117"/>
      <c r="OYO187" s="117"/>
      <c r="OYP187" s="117"/>
      <c r="OYQ187" s="117"/>
      <c r="OYR187" s="117"/>
      <c r="OYS187" s="117"/>
      <c r="OYT187" s="117"/>
      <c r="OYU187" s="117"/>
      <c r="OYV187" s="117"/>
      <c r="OYW187" s="117"/>
      <c r="OYX187" s="117"/>
      <c r="OYY187" s="117"/>
      <c r="OYZ187" s="117"/>
      <c r="OZA187" s="117"/>
      <c r="OZB187" s="117"/>
      <c r="OZC187" s="117"/>
      <c r="OZD187" s="117"/>
      <c r="OZE187" s="117"/>
      <c r="OZF187" s="117"/>
      <c r="OZG187" s="117"/>
      <c r="OZH187" s="117"/>
      <c r="OZI187" s="117"/>
      <c r="OZJ187" s="117"/>
      <c r="OZK187" s="117"/>
      <c r="OZL187" s="117"/>
      <c r="OZM187" s="117"/>
      <c r="OZN187" s="117"/>
      <c r="OZO187" s="117"/>
      <c r="OZP187" s="117"/>
      <c r="OZQ187" s="117"/>
      <c r="OZR187" s="117"/>
      <c r="OZS187" s="117"/>
      <c r="OZT187" s="117"/>
      <c r="OZU187" s="117"/>
      <c r="OZV187" s="117"/>
      <c r="OZW187" s="117"/>
      <c r="OZX187" s="117"/>
      <c r="OZY187" s="117"/>
      <c r="OZZ187" s="117"/>
      <c r="PAA187" s="117"/>
      <c r="PAB187" s="117"/>
      <c r="PAC187" s="117"/>
      <c r="PAD187" s="117"/>
      <c r="PAE187" s="117"/>
      <c r="PAF187" s="117"/>
      <c r="PAG187" s="117"/>
      <c r="PAH187" s="117"/>
      <c r="PAI187" s="117"/>
      <c r="PAJ187" s="117"/>
      <c r="PAK187" s="117"/>
      <c r="PAL187" s="117"/>
      <c r="PAM187" s="117"/>
      <c r="PAN187" s="117"/>
      <c r="PAO187" s="117"/>
      <c r="PAP187" s="117"/>
      <c r="PAQ187" s="117"/>
      <c r="PAR187" s="117"/>
      <c r="PAS187" s="117"/>
      <c r="PAT187" s="117"/>
      <c r="PAU187" s="117"/>
      <c r="PAV187" s="117"/>
      <c r="PAW187" s="117"/>
      <c r="PAX187" s="117"/>
      <c r="PAY187" s="117"/>
      <c r="PAZ187" s="117"/>
      <c r="PBA187" s="117"/>
      <c r="PBB187" s="117"/>
      <c r="PBC187" s="117"/>
      <c r="PBD187" s="117"/>
      <c r="PBE187" s="117"/>
      <c r="PBF187" s="117"/>
      <c r="PBG187" s="117"/>
      <c r="PBH187" s="117"/>
      <c r="PBI187" s="117"/>
      <c r="PBJ187" s="117"/>
      <c r="PBK187" s="117"/>
      <c r="PBL187" s="117"/>
      <c r="PBM187" s="117"/>
      <c r="PBN187" s="117"/>
      <c r="PBO187" s="117"/>
      <c r="PBP187" s="117"/>
      <c r="PBQ187" s="117"/>
      <c r="PBR187" s="117"/>
      <c r="PBS187" s="117"/>
      <c r="PBT187" s="117"/>
      <c r="PBU187" s="117"/>
      <c r="PBV187" s="117"/>
      <c r="PBW187" s="117"/>
      <c r="PBX187" s="117"/>
      <c r="PBY187" s="117"/>
      <c r="PBZ187" s="117"/>
      <c r="PCA187" s="117"/>
      <c r="PCB187" s="117"/>
      <c r="PCC187" s="117"/>
      <c r="PCD187" s="117"/>
      <c r="PCE187" s="117"/>
      <c r="PCF187" s="117"/>
      <c r="PCG187" s="117"/>
      <c r="PCH187" s="117"/>
      <c r="PCI187" s="117"/>
      <c r="PCJ187" s="117"/>
      <c r="PCK187" s="117"/>
      <c r="PCL187" s="117"/>
      <c r="PCM187" s="117"/>
      <c r="PCN187" s="117"/>
      <c r="PCO187" s="117"/>
      <c r="PCP187" s="117"/>
      <c r="PCQ187" s="117"/>
      <c r="PCR187" s="117"/>
      <c r="PCS187" s="117"/>
      <c r="PCT187" s="117"/>
      <c r="PCU187" s="117"/>
      <c r="PCV187" s="117"/>
      <c r="PCW187" s="117"/>
      <c r="PCX187" s="117"/>
      <c r="PCY187" s="117"/>
      <c r="PCZ187" s="117"/>
      <c r="PDA187" s="117"/>
      <c r="PDB187" s="117"/>
      <c r="PDC187" s="117"/>
      <c r="PDD187" s="117"/>
      <c r="PDE187" s="117"/>
      <c r="PDF187" s="117"/>
      <c r="PDG187" s="117"/>
      <c r="PDH187" s="117"/>
      <c r="PDI187" s="117"/>
      <c r="PDJ187" s="117"/>
      <c r="PDK187" s="117"/>
      <c r="PDL187" s="117"/>
      <c r="PDM187" s="117"/>
      <c r="PDN187" s="117"/>
      <c r="PDO187" s="117"/>
      <c r="PDP187" s="117"/>
      <c r="PDQ187" s="117"/>
      <c r="PDR187" s="117"/>
      <c r="PDS187" s="117"/>
      <c r="PDT187" s="117"/>
      <c r="PDU187" s="117"/>
      <c r="PDV187" s="117"/>
      <c r="PDW187" s="117"/>
      <c r="PDX187" s="117"/>
      <c r="PDY187" s="117"/>
      <c r="PDZ187" s="117"/>
      <c r="PEA187" s="117"/>
      <c r="PEB187" s="117"/>
      <c r="PEC187" s="117"/>
      <c r="PED187" s="117"/>
      <c r="PEE187" s="117"/>
      <c r="PEF187" s="117"/>
      <c r="PEG187" s="117"/>
      <c r="PEH187" s="117"/>
      <c r="PEI187" s="117"/>
      <c r="PEJ187" s="117"/>
      <c r="PEK187" s="117"/>
      <c r="PEL187" s="117"/>
      <c r="PEM187" s="117"/>
      <c r="PEN187" s="117"/>
      <c r="PEO187" s="117"/>
      <c r="PEP187" s="117"/>
      <c r="PEQ187" s="117"/>
      <c r="PER187" s="117"/>
      <c r="PES187" s="117"/>
      <c r="PET187" s="117"/>
      <c r="PEU187" s="117"/>
      <c r="PEV187" s="117"/>
      <c r="PEW187" s="117"/>
      <c r="PEX187" s="117"/>
      <c r="PEY187" s="117"/>
      <c r="PEZ187" s="117"/>
      <c r="PFA187" s="117"/>
      <c r="PFB187" s="117"/>
      <c r="PFC187" s="117"/>
      <c r="PFD187" s="117"/>
      <c r="PFE187" s="117"/>
      <c r="PFF187" s="117"/>
      <c r="PFG187" s="117"/>
      <c r="PFH187" s="117"/>
      <c r="PFI187" s="117"/>
      <c r="PFJ187" s="117"/>
      <c r="PFK187" s="117"/>
      <c r="PFL187" s="117"/>
      <c r="PFM187" s="117"/>
      <c r="PFN187" s="117"/>
      <c r="PFO187" s="117"/>
      <c r="PFP187" s="117"/>
      <c r="PFQ187" s="117"/>
      <c r="PFR187" s="117"/>
      <c r="PFS187" s="117"/>
      <c r="PFT187" s="117"/>
      <c r="PFU187" s="117"/>
      <c r="PFV187" s="117"/>
      <c r="PFW187" s="117"/>
      <c r="PFX187" s="117"/>
      <c r="PFY187" s="117"/>
      <c r="PFZ187" s="117"/>
      <c r="PGA187" s="117"/>
      <c r="PGB187" s="117"/>
      <c r="PGC187" s="117"/>
      <c r="PGD187" s="117"/>
      <c r="PGE187" s="117"/>
      <c r="PGF187" s="117"/>
      <c r="PGG187" s="117"/>
      <c r="PGH187" s="117"/>
      <c r="PGI187" s="117"/>
      <c r="PGJ187" s="117"/>
      <c r="PGK187" s="117"/>
      <c r="PGL187" s="117"/>
      <c r="PGM187" s="117"/>
      <c r="PGN187" s="117"/>
      <c r="PGO187" s="117"/>
      <c r="PGP187" s="117"/>
      <c r="PGQ187" s="117"/>
      <c r="PGR187" s="117"/>
      <c r="PGS187" s="117"/>
      <c r="PGT187" s="117"/>
      <c r="PGU187" s="117"/>
      <c r="PGV187" s="117"/>
      <c r="PGW187" s="117"/>
      <c r="PGX187" s="117"/>
      <c r="PGY187" s="117"/>
      <c r="PGZ187" s="117"/>
      <c r="PHA187" s="117"/>
      <c r="PHB187" s="117"/>
      <c r="PHC187" s="117"/>
      <c r="PHD187" s="117"/>
      <c r="PHE187" s="117"/>
      <c r="PHF187" s="117"/>
      <c r="PHG187" s="117"/>
      <c r="PHH187" s="117"/>
      <c r="PHI187" s="117"/>
      <c r="PHJ187" s="117"/>
      <c r="PHK187" s="117"/>
      <c r="PHL187" s="117"/>
      <c r="PHM187" s="117"/>
      <c r="PHN187" s="117"/>
      <c r="PHO187" s="117"/>
      <c r="PHP187" s="117"/>
      <c r="PHQ187" s="117"/>
      <c r="PHR187" s="117"/>
      <c r="PHS187" s="117"/>
      <c r="PHT187" s="117"/>
      <c r="PHU187" s="117"/>
      <c r="PHV187" s="117"/>
      <c r="PHW187" s="117"/>
      <c r="PHX187" s="117"/>
      <c r="PHY187" s="117"/>
      <c r="PHZ187" s="117"/>
      <c r="PIA187" s="117"/>
      <c r="PIB187" s="117"/>
      <c r="PIC187" s="117"/>
      <c r="PID187" s="117"/>
      <c r="PIE187" s="117"/>
      <c r="PIF187" s="117"/>
      <c r="PIG187" s="117"/>
      <c r="PIH187" s="117"/>
      <c r="PII187" s="117"/>
      <c r="PIJ187" s="117"/>
      <c r="PIK187" s="117"/>
      <c r="PIL187" s="117"/>
      <c r="PIM187" s="117"/>
      <c r="PIN187" s="117"/>
      <c r="PIO187" s="117"/>
      <c r="PIP187" s="117"/>
      <c r="PIQ187" s="117"/>
      <c r="PIR187" s="117"/>
      <c r="PIS187" s="117"/>
      <c r="PIT187" s="117"/>
      <c r="PIU187" s="117"/>
      <c r="PIV187" s="117"/>
      <c r="PIW187" s="117"/>
      <c r="PIX187" s="117"/>
      <c r="PIY187" s="117"/>
      <c r="PIZ187" s="117"/>
      <c r="PJA187" s="117"/>
      <c r="PJB187" s="117"/>
      <c r="PJC187" s="117"/>
      <c r="PJD187" s="117"/>
      <c r="PJE187" s="117"/>
      <c r="PJF187" s="117"/>
      <c r="PJG187" s="117"/>
      <c r="PJH187" s="117"/>
      <c r="PJI187" s="117"/>
      <c r="PJJ187" s="117"/>
      <c r="PJK187" s="117"/>
      <c r="PJL187" s="117"/>
      <c r="PJM187" s="117"/>
      <c r="PJN187" s="117"/>
      <c r="PJO187" s="117"/>
      <c r="PJP187" s="117"/>
      <c r="PJQ187" s="117"/>
      <c r="PJR187" s="117"/>
      <c r="PJS187" s="117"/>
      <c r="PJT187" s="117"/>
      <c r="PJU187" s="117"/>
      <c r="PJV187" s="117"/>
      <c r="PJW187" s="117"/>
      <c r="PJX187" s="117"/>
      <c r="PJY187" s="117"/>
      <c r="PJZ187" s="117"/>
      <c r="PKA187" s="117"/>
      <c r="PKB187" s="117"/>
      <c r="PKC187" s="117"/>
      <c r="PKD187" s="117"/>
      <c r="PKE187" s="117"/>
      <c r="PKF187" s="117"/>
      <c r="PKG187" s="117"/>
      <c r="PKH187" s="117"/>
      <c r="PKI187" s="117"/>
      <c r="PKJ187" s="117"/>
      <c r="PKK187" s="117"/>
      <c r="PKL187" s="117"/>
      <c r="PKM187" s="117"/>
      <c r="PKN187" s="117"/>
      <c r="PKO187" s="117"/>
      <c r="PKP187" s="117"/>
      <c r="PKQ187" s="117"/>
      <c r="PKR187" s="117"/>
      <c r="PKS187" s="117"/>
      <c r="PKT187" s="117"/>
      <c r="PKU187" s="117"/>
      <c r="PKV187" s="117"/>
      <c r="PKW187" s="117"/>
      <c r="PKX187" s="117"/>
      <c r="PKY187" s="117"/>
      <c r="PKZ187" s="117"/>
      <c r="PLA187" s="117"/>
      <c r="PLB187" s="117"/>
      <c r="PLC187" s="117"/>
      <c r="PLD187" s="117"/>
      <c r="PLE187" s="117"/>
      <c r="PLF187" s="117"/>
      <c r="PLG187" s="117"/>
      <c r="PLH187" s="117"/>
      <c r="PLI187" s="117"/>
      <c r="PLJ187" s="117"/>
      <c r="PLK187" s="117"/>
      <c r="PLL187" s="117"/>
      <c r="PLM187" s="117"/>
      <c r="PLN187" s="117"/>
      <c r="PLO187" s="117"/>
      <c r="PLP187" s="117"/>
      <c r="PLQ187" s="117"/>
      <c r="PLR187" s="117"/>
      <c r="PLS187" s="117"/>
      <c r="PLT187" s="117"/>
      <c r="PLU187" s="117"/>
      <c r="PLV187" s="117"/>
      <c r="PLW187" s="117"/>
      <c r="PLX187" s="117"/>
      <c r="PLY187" s="117"/>
      <c r="PLZ187" s="117"/>
      <c r="PMA187" s="117"/>
      <c r="PMB187" s="117"/>
      <c r="PMC187" s="117"/>
      <c r="PMD187" s="117"/>
      <c r="PME187" s="117"/>
      <c r="PMF187" s="117"/>
      <c r="PMG187" s="117"/>
      <c r="PMH187" s="117"/>
      <c r="PMI187" s="117"/>
      <c r="PMJ187" s="117"/>
      <c r="PMK187" s="117"/>
      <c r="PML187" s="117"/>
      <c r="PMM187" s="117"/>
      <c r="PMN187" s="117"/>
      <c r="PMO187" s="117"/>
      <c r="PMP187" s="117"/>
      <c r="PMQ187" s="117"/>
      <c r="PMR187" s="117"/>
      <c r="PMS187" s="117"/>
      <c r="PMT187" s="117"/>
      <c r="PMU187" s="117"/>
      <c r="PMV187" s="117"/>
      <c r="PMW187" s="117"/>
      <c r="PMX187" s="117"/>
      <c r="PMY187" s="117"/>
      <c r="PMZ187" s="117"/>
      <c r="PNA187" s="117"/>
      <c r="PNB187" s="117"/>
      <c r="PNC187" s="117"/>
      <c r="PND187" s="117"/>
      <c r="PNE187" s="117"/>
      <c r="PNF187" s="117"/>
      <c r="PNG187" s="117"/>
      <c r="PNH187" s="117"/>
      <c r="PNI187" s="117"/>
      <c r="PNJ187" s="117"/>
      <c r="PNK187" s="117"/>
      <c r="PNL187" s="117"/>
      <c r="PNM187" s="117"/>
      <c r="PNN187" s="117"/>
      <c r="PNO187" s="117"/>
      <c r="PNP187" s="117"/>
      <c r="PNQ187" s="117"/>
      <c r="PNR187" s="117"/>
      <c r="PNS187" s="117"/>
      <c r="PNT187" s="117"/>
      <c r="PNU187" s="117"/>
      <c r="PNV187" s="117"/>
      <c r="PNW187" s="117"/>
      <c r="PNX187" s="117"/>
      <c r="PNY187" s="117"/>
      <c r="PNZ187" s="117"/>
      <c r="POA187" s="117"/>
      <c r="POB187" s="117"/>
      <c r="POC187" s="117"/>
      <c r="POD187" s="117"/>
      <c r="POE187" s="117"/>
      <c r="POF187" s="117"/>
      <c r="POG187" s="117"/>
      <c r="POH187" s="117"/>
      <c r="POI187" s="117"/>
      <c r="POJ187" s="117"/>
      <c r="POK187" s="117"/>
      <c r="POL187" s="117"/>
      <c r="POM187" s="117"/>
      <c r="PON187" s="117"/>
      <c r="POO187" s="117"/>
      <c r="POP187" s="117"/>
      <c r="POQ187" s="117"/>
      <c r="POR187" s="117"/>
      <c r="POS187" s="117"/>
      <c r="POT187" s="117"/>
      <c r="POU187" s="117"/>
      <c r="POV187" s="117"/>
      <c r="POW187" s="117"/>
      <c r="POX187" s="117"/>
      <c r="POY187" s="117"/>
      <c r="POZ187" s="117"/>
      <c r="PPA187" s="117"/>
      <c r="PPB187" s="117"/>
      <c r="PPC187" s="117"/>
      <c r="PPD187" s="117"/>
      <c r="PPE187" s="117"/>
      <c r="PPF187" s="117"/>
      <c r="PPG187" s="117"/>
      <c r="PPH187" s="117"/>
      <c r="PPI187" s="117"/>
      <c r="PPJ187" s="117"/>
      <c r="PPK187" s="117"/>
      <c r="PPL187" s="117"/>
      <c r="PPM187" s="117"/>
      <c r="PPN187" s="117"/>
      <c r="PPO187" s="117"/>
      <c r="PPP187" s="117"/>
      <c r="PPQ187" s="117"/>
      <c r="PPR187" s="117"/>
      <c r="PPS187" s="117"/>
      <c r="PPT187" s="117"/>
      <c r="PPU187" s="117"/>
      <c r="PPV187" s="117"/>
      <c r="PPW187" s="117"/>
      <c r="PPX187" s="117"/>
      <c r="PPY187" s="117"/>
      <c r="PPZ187" s="117"/>
      <c r="PQA187" s="117"/>
      <c r="PQB187" s="117"/>
      <c r="PQC187" s="117"/>
      <c r="PQD187" s="117"/>
      <c r="PQE187" s="117"/>
      <c r="PQF187" s="117"/>
      <c r="PQG187" s="117"/>
      <c r="PQH187" s="117"/>
      <c r="PQI187" s="117"/>
      <c r="PQJ187" s="117"/>
      <c r="PQK187" s="117"/>
      <c r="PQL187" s="117"/>
      <c r="PQM187" s="117"/>
      <c r="PQN187" s="117"/>
      <c r="PQO187" s="117"/>
      <c r="PQP187" s="117"/>
      <c r="PQQ187" s="117"/>
      <c r="PQR187" s="117"/>
      <c r="PQS187" s="117"/>
      <c r="PQT187" s="117"/>
      <c r="PQU187" s="117"/>
      <c r="PQV187" s="117"/>
      <c r="PQW187" s="117"/>
      <c r="PQX187" s="117"/>
      <c r="PQY187" s="117"/>
      <c r="PQZ187" s="117"/>
      <c r="PRA187" s="117"/>
      <c r="PRB187" s="117"/>
      <c r="PRC187" s="117"/>
      <c r="PRD187" s="117"/>
      <c r="PRE187" s="117"/>
      <c r="PRF187" s="117"/>
      <c r="PRG187" s="117"/>
      <c r="PRH187" s="117"/>
      <c r="PRI187" s="117"/>
      <c r="PRJ187" s="117"/>
      <c r="PRK187" s="117"/>
      <c r="PRL187" s="117"/>
      <c r="PRM187" s="117"/>
      <c r="PRN187" s="117"/>
      <c r="PRO187" s="117"/>
      <c r="PRP187" s="117"/>
      <c r="PRQ187" s="117"/>
      <c r="PRR187" s="117"/>
      <c r="PRS187" s="117"/>
      <c r="PRT187" s="117"/>
      <c r="PRU187" s="117"/>
      <c r="PRV187" s="117"/>
      <c r="PRW187" s="117"/>
      <c r="PRX187" s="117"/>
      <c r="PRY187" s="117"/>
      <c r="PRZ187" s="117"/>
      <c r="PSA187" s="117"/>
      <c r="PSB187" s="117"/>
      <c r="PSC187" s="117"/>
      <c r="PSD187" s="117"/>
      <c r="PSE187" s="117"/>
      <c r="PSF187" s="117"/>
      <c r="PSG187" s="117"/>
      <c r="PSH187" s="117"/>
      <c r="PSI187" s="117"/>
      <c r="PSJ187" s="117"/>
      <c r="PSK187" s="117"/>
      <c r="PSL187" s="117"/>
      <c r="PSM187" s="117"/>
      <c r="PSN187" s="117"/>
      <c r="PSO187" s="117"/>
      <c r="PSP187" s="117"/>
      <c r="PSQ187" s="117"/>
      <c r="PSR187" s="117"/>
      <c r="PSS187" s="117"/>
      <c r="PST187" s="117"/>
      <c r="PSU187" s="117"/>
      <c r="PSV187" s="117"/>
      <c r="PSW187" s="117"/>
      <c r="PSX187" s="117"/>
      <c r="PSY187" s="117"/>
      <c r="PSZ187" s="117"/>
      <c r="PTA187" s="117"/>
      <c r="PTB187" s="117"/>
      <c r="PTC187" s="117"/>
      <c r="PTD187" s="117"/>
      <c r="PTE187" s="117"/>
      <c r="PTF187" s="117"/>
      <c r="PTG187" s="117"/>
      <c r="PTH187" s="117"/>
      <c r="PTI187" s="117"/>
      <c r="PTJ187" s="117"/>
      <c r="PTK187" s="117"/>
      <c r="PTL187" s="117"/>
      <c r="PTM187" s="117"/>
      <c r="PTN187" s="117"/>
      <c r="PTO187" s="117"/>
      <c r="PTP187" s="117"/>
      <c r="PTQ187" s="117"/>
      <c r="PTR187" s="117"/>
      <c r="PTS187" s="117"/>
      <c r="PTT187" s="117"/>
      <c r="PTU187" s="117"/>
      <c r="PTV187" s="117"/>
      <c r="PTW187" s="117"/>
      <c r="PTX187" s="117"/>
      <c r="PTY187" s="117"/>
      <c r="PTZ187" s="117"/>
      <c r="PUA187" s="117"/>
      <c r="PUB187" s="117"/>
      <c r="PUC187" s="117"/>
      <c r="PUD187" s="117"/>
      <c r="PUE187" s="117"/>
      <c r="PUF187" s="117"/>
      <c r="PUG187" s="117"/>
      <c r="PUH187" s="117"/>
      <c r="PUI187" s="117"/>
      <c r="PUJ187" s="117"/>
      <c r="PUK187" s="117"/>
      <c r="PUL187" s="117"/>
      <c r="PUM187" s="117"/>
      <c r="PUN187" s="117"/>
      <c r="PUO187" s="117"/>
      <c r="PUP187" s="117"/>
      <c r="PUQ187" s="117"/>
      <c r="PUR187" s="117"/>
      <c r="PUS187" s="117"/>
      <c r="PUT187" s="117"/>
      <c r="PUU187" s="117"/>
      <c r="PUV187" s="117"/>
      <c r="PUW187" s="117"/>
      <c r="PUX187" s="117"/>
      <c r="PUY187" s="117"/>
      <c r="PUZ187" s="117"/>
      <c r="PVA187" s="117"/>
      <c r="PVB187" s="117"/>
      <c r="PVC187" s="117"/>
      <c r="PVD187" s="117"/>
      <c r="PVE187" s="117"/>
      <c r="PVF187" s="117"/>
      <c r="PVG187" s="117"/>
      <c r="PVH187" s="117"/>
      <c r="PVI187" s="117"/>
      <c r="PVJ187" s="117"/>
      <c r="PVK187" s="117"/>
      <c r="PVL187" s="117"/>
      <c r="PVM187" s="117"/>
      <c r="PVN187" s="117"/>
      <c r="PVO187" s="117"/>
      <c r="PVP187" s="117"/>
      <c r="PVQ187" s="117"/>
      <c r="PVR187" s="117"/>
      <c r="PVS187" s="117"/>
      <c r="PVT187" s="117"/>
      <c r="PVU187" s="117"/>
      <c r="PVV187" s="117"/>
      <c r="PVW187" s="117"/>
      <c r="PVX187" s="117"/>
      <c r="PVY187" s="117"/>
      <c r="PVZ187" s="117"/>
      <c r="PWA187" s="117"/>
      <c r="PWB187" s="117"/>
      <c r="PWC187" s="117"/>
      <c r="PWD187" s="117"/>
      <c r="PWE187" s="117"/>
      <c r="PWF187" s="117"/>
      <c r="PWG187" s="117"/>
      <c r="PWH187" s="117"/>
      <c r="PWI187" s="117"/>
      <c r="PWJ187" s="117"/>
      <c r="PWK187" s="117"/>
      <c r="PWL187" s="117"/>
      <c r="PWM187" s="117"/>
      <c r="PWN187" s="117"/>
      <c r="PWO187" s="117"/>
      <c r="PWP187" s="117"/>
      <c r="PWQ187" s="117"/>
      <c r="PWR187" s="117"/>
      <c r="PWS187" s="117"/>
      <c r="PWT187" s="117"/>
      <c r="PWU187" s="117"/>
      <c r="PWV187" s="117"/>
      <c r="PWW187" s="117"/>
      <c r="PWX187" s="117"/>
      <c r="PWY187" s="117"/>
      <c r="PWZ187" s="117"/>
      <c r="PXA187" s="117"/>
      <c r="PXB187" s="117"/>
      <c r="PXC187" s="117"/>
      <c r="PXD187" s="117"/>
      <c r="PXE187" s="117"/>
      <c r="PXF187" s="117"/>
      <c r="PXG187" s="117"/>
      <c r="PXH187" s="117"/>
      <c r="PXI187" s="117"/>
      <c r="PXJ187" s="117"/>
      <c r="PXK187" s="117"/>
      <c r="PXL187" s="117"/>
      <c r="PXM187" s="117"/>
      <c r="PXN187" s="117"/>
      <c r="PXO187" s="117"/>
      <c r="PXP187" s="117"/>
      <c r="PXQ187" s="117"/>
      <c r="PXR187" s="117"/>
      <c r="PXS187" s="117"/>
      <c r="PXT187" s="117"/>
      <c r="PXU187" s="117"/>
      <c r="PXV187" s="117"/>
      <c r="PXW187" s="117"/>
      <c r="PXX187" s="117"/>
      <c r="PXY187" s="117"/>
      <c r="PXZ187" s="117"/>
      <c r="PYA187" s="117"/>
      <c r="PYB187" s="117"/>
      <c r="PYC187" s="117"/>
      <c r="PYD187" s="117"/>
      <c r="PYE187" s="117"/>
      <c r="PYF187" s="117"/>
      <c r="PYG187" s="117"/>
      <c r="PYH187" s="117"/>
      <c r="PYI187" s="117"/>
      <c r="PYJ187" s="117"/>
      <c r="PYK187" s="117"/>
      <c r="PYL187" s="117"/>
      <c r="PYM187" s="117"/>
      <c r="PYN187" s="117"/>
      <c r="PYO187" s="117"/>
      <c r="PYP187" s="117"/>
      <c r="PYQ187" s="117"/>
      <c r="PYR187" s="117"/>
      <c r="PYS187" s="117"/>
      <c r="PYT187" s="117"/>
      <c r="PYU187" s="117"/>
      <c r="PYV187" s="117"/>
      <c r="PYW187" s="117"/>
      <c r="PYX187" s="117"/>
      <c r="PYY187" s="117"/>
      <c r="PYZ187" s="117"/>
      <c r="PZA187" s="117"/>
      <c r="PZB187" s="117"/>
      <c r="PZC187" s="117"/>
      <c r="PZD187" s="117"/>
      <c r="PZE187" s="117"/>
      <c r="PZF187" s="117"/>
      <c r="PZG187" s="117"/>
      <c r="PZH187" s="117"/>
      <c r="PZI187" s="117"/>
      <c r="PZJ187" s="117"/>
      <c r="PZK187" s="117"/>
      <c r="PZL187" s="117"/>
      <c r="PZM187" s="117"/>
      <c r="PZN187" s="117"/>
      <c r="PZO187" s="117"/>
      <c r="PZP187" s="117"/>
      <c r="PZQ187" s="117"/>
      <c r="PZR187" s="117"/>
      <c r="PZS187" s="117"/>
      <c r="PZT187" s="117"/>
      <c r="PZU187" s="117"/>
      <c r="PZV187" s="117"/>
      <c r="PZW187" s="117"/>
      <c r="PZX187" s="117"/>
      <c r="PZY187" s="117"/>
      <c r="PZZ187" s="117"/>
      <c r="QAA187" s="117"/>
      <c r="QAB187" s="117"/>
      <c r="QAC187" s="117"/>
      <c r="QAD187" s="117"/>
      <c r="QAE187" s="117"/>
      <c r="QAF187" s="117"/>
      <c r="QAG187" s="117"/>
      <c r="QAH187" s="117"/>
      <c r="QAI187" s="117"/>
      <c r="QAJ187" s="117"/>
      <c r="QAK187" s="117"/>
      <c r="QAL187" s="117"/>
      <c r="QAM187" s="117"/>
      <c r="QAN187" s="117"/>
      <c r="QAO187" s="117"/>
      <c r="QAP187" s="117"/>
      <c r="QAQ187" s="117"/>
      <c r="QAR187" s="117"/>
      <c r="QAS187" s="117"/>
      <c r="QAT187" s="117"/>
      <c r="QAU187" s="117"/>
      <c r="QAV187" s="117"/>
      <c r="QAW187" s="117"/>
      <c r="QAX187" s="117"/>
      <c r="QAY187" s="117"/>
      <c r="QAZ187" s="117"/>
      <c r="QBA187" s="117"/>
      <c r="QBB187" s="117"/>
      <c r="QBC187" s="117"/>
      <c r="QBD187" s="117"/>
      <c r="QBE187" s="117"/>
      <c r="QBF187" s="117"/>
      <c r="QBG187" s="117"/>
      <c r="QBH187" s="117"/>
      <c r="QBI187" s="117"/>
      <c r="QBJ187" s="117"/>
      <c r="QBK187" s="117"/>
      <c r="QBL187" s="117"/>
      <c r="QBM187" s="117"/>
      <c r="QBN187" s="117"/>
      <c r="QBO187" s="117"/>
      <c r="QBP187" s="117"/>
      <c r="QBQ187" s="117"/>
      <c r="QBR187" s="117"/>
      <c r="QBS187" s="117"/>
      <c r="QBT187" s="117"/>
      <c r="QBU187" s="117"/>
      <c r="QBV187" s="117"/>
      <c r="QBW187" s="117"/>
      <c r="QBX187" s="117"/>
      <c r="QBY187" s="117"/>
      <c r="QBZ187" s="117"/>
      <c r="QCA187" s="117"/>
      <c r="QCB187" s="117"/>
      <c r="QCC187" s="117"/>
      <c r="QCD187" s="117"/>
      <c r="QCE187" s="117"/>
      <c r="QCF187" s="117"/>
      <c r="QCG187" s="117"/>
      <c r="QCH187" s="117"/>
      <c r="QCI187" s="117"/>
      <c r="QCJ187" s="117"/>
      <c r="QCK187" s="117"/>
      <c r="QCL187" s="117"/>
      <c r="QCM187" s="117"/>
      <c r="QCN187" s="117"/>
      <c r="QCO187" s="117"/>
      <c r="QCP187" s="117"/>
      <c r="QCQ187" s="117"/>
      <c r="QCR187" s="117"/>
      <c r="QCS187" s="117"/>
      <c r="QCT187" s="117"/>
      <c r="QCU187" s="117"/>
      <c r="QCV187" s="117"/>
      <c r="QCW187" s="117"/>
      <c r="QCX187" s="117"/>
      <c r="QCY187" s="117"/>
      <c r="QCZ187" s="117"/>
      <c r="QDA187" s="117"/>
      <c r="QDB187" s="117"/>
      <c r="QDC187" s="117"/>
      <c r="QDD187" s="117"/>
      <c r="QDE187" s="117"/>
      <c r="QDF187" s="117"/>
      <c r="QDG187" s="117"/>
      <c r="QDH187" s="117"/>
      <c r="QDI187" s="117"/>
      <c r="QDJ187" s="117"/>
      <c r="QDK187" s="117"/>
      <c r="QDL187" s="117"/>
      <c r="QDM187" s="117"/>
      <c r="QDN187" s="117"/>
      <c r="QDO187" s="117"/>
      <c r="QDP187" s="117"/>
      <c r="QDQ187" s="117"/>
      <c r="QDR187" s="117"/>
      <c r="QDS187" s="117"/>
      <c r="QDT187" s="117"/>
      <c r="QDU187" s="117"/>
      <c r="QDV187" s="117"/>
      <c r="QDW187" s="117"/>
      <c r="QDX187" s="117"/>
      <c r="QDY187" s="117"/>
      <c r="QDZ187" s="117"/>
      <c r="QEA187" s="117"/>
      <c r="QEB187" s="117"/>
      <c r="QEC187" s="117"/>
      <c r="QED187" s="117"/>
      <c r="QEE187" s="117"/>
      <c r="QEF187" s="117"/>
      <c r="QEG187" s="117"/>
      <c r="QEH187" s="117"/>
      <c r="QEI187" s="117"/>
      <c r="QEJ187" s="117"/>
      <c r="QEK187" s="117"/>
      <c r="QEL187" s="117"/>
      <c r="QEM187" s="117"/>
      <c r="QEN187" s="117"/>
      <c r="QEO187" s="117"/>
      <c r="QEP187" s="117"/>
      <c r="QEQ187" s="117"/>
      <c r="QER187" s="117"/>
      <c r="QES187" s="117"/>
      <c r="QET187" s="117"/>
      <c r="QEU187" s="117"/>
      <c r="QEV187" s="117"/>
      <c r="QEW187" s="117"/>
      <c r="QEX187" s="117"/>
      <c r="QEY187" s="117"/>
      <c r="QEZ187" s="117"/>
      <c r="QFA187" s="117"/>
      <c r="QFB187" s="117"/>
      <c r="QFC187" s="117"/>
      <c r="QFD187" s="117"/>
      <c r="QFE187" s="117"/>
      <c r="QFF187" s="117"/>
      <c r="QFG187" s="117"/>
      <c r="QFH187" s="117"/>
      <c r="QFI187" s="117"/>
      <c r="QFJ187" s="117"/>
      <c r="QFK187" s="117"/>
      <c r="QFL187" s="117"/>
      <c r="QFM187" s="117"/>
      <c r="QFN187" s="117"/>
      <c r="QFO187" s="117"/>
      <c r="QFP187" s="117"/>
      <c r="QFQ187" s="117"/>
      <c r="QFR187" s="117"/>
      <c r="QFS187" s="117"/>
      <c r="QFT187" s="117"/>
      <c r="QFU187" s="117"/>
      <c r="QFV187" s="117"/>
      <c r="QFW187" s="117"/>
      <c r="QFX187" s="117"/>
      <c r="QFY187" s="117"/>
      <c r="QFZ187" s="117"/>
      <c r="QGA187" s="117"/>
      <c r="QGB187" s="117"/>
      <c r="QGC187" s="117"/>
      <c r="QGD187" s="117"/>
      <c r="QGE187" s="117"/>
      <c r="QGF187" s="117"/>
      <c r="QGG187" s="117"/>
      <c r="QGH187" s="117"/>
      <c r="QGI187" s="117"/>
      <c r="QGJ187" s="117"/>
      <c r="QGK187" s="117"/>
      <c r="QGL187" s="117"/>
      <c r="QGM187" s="117"/>
      <c r="QGN187" s="117"/>
      <c r="QGO187" s="117"/>
      <c r="QGP187" s="117"/>
      <c r="QGQ187" s="117"/>
      <c r="QGR187" s="117"/>
      <c r="QGS187" s="117"/>
      <c r="QGT187" s="117"/>
      <c r="QGU187" s="117"/>
      <c r="QGV187" s="117"/>
      <c r="QGW187" s="117"/>
      <c r="QGX187" s="117"/>
      <c r="QGY187" s="117"/>
      <c r="QGZ187" s="117"/>
      <c r="QHA187" s="117"/>
      <c r="QHB187" s="117"/>
      <c r="QHC187" s="117"/>
      <c r="QHD187" s="117"/>
      <c r="QHE187" s="117"/>
      <c r="QHF187" s="117"/>
      <c r="QHG187" s="117"/>
      <c r="QHH187" s="117"/>
      <c r="QHI187" s="117"/>
      <c r="QHJ187" s="117"/>
      <c r="QHK187" s="117"/>
      <c r="QHL187" s="117"/>
      <c r="QHM187" s="117"/>
      <c r="QHN187" s="117"/>
      <c r="QHO187" s="117"/>
      <c r="QHP187" s="117"/>
      <c r="QHQ187" s="117"/>
      <c r="QHR187" s="117"/>
      <c r="QHS187" s="117"/>
      <c r="QHT187" s="117"/>
      <c r="QHU187" s="117"/>
      <c r="QHV187" s="117"/>
      <c r="QHW187" s="117"/>
      <c r="QHX187" s="117"/>
      <c r="QHY187" s="117"/>
      <c r="QHZ187" s="117"/>
      <c r="QIA187" s="117"/>
      <c r="QIB187" s="117"/>
      <c r="QIC187" s="117"/>
      <c r="QID187" s="117"/>
      <c r="QIE187" s="117"/>
      <c r="QIF187" s="117"/>
      <c r="QIG187" s="117"/>
      <c r="QIH187" s="117"/>
      <c r="QII187" s="117"/>
      <c r="QIJ187" s="117"/>
      <c r="QIK187" s="117"/>
      <c r="QIL187" s="117"/>
      <c r="QIM187" s="117"/>
      <c r="QIN187" s="117"/>
      <c r="QIO187" s="117"/>
      <c r="QIP187" s="117"/>
      <c r="QIQ187" s="117"/>
      <c r="QIR187" s="117"/>
      <c r="QIS187" s="117"/>
      <c r="QIT187" s="117"/>
      <c r="QIU187" s="117"/>
      <c r="QIV187" s="117"/>
      <c r="QIW187" s="117"/>
      <c r="QIX187" s="117"/>
      <c r="QIY187" s="117"/>
      <c r="QIZ187" s="117"/>
      <c r="QJA187" s="117"/>
      <c r="QJB187" s="117"/>
      <c r="QJC187" s="117"/>
      <c r="QJD187" s="117"/>
      <c r="QJE187" s="117"/>
      <c r="QJF187" s="117"/>
      <c r="QJG187" s="117"/>
      <c r="QJH187" s="117"/>
      <c r="QJI187" s="117"/>
      <c r="QJJ187" s="117"/>
      <c r="QJK187" s="117"/>
      <c r="QJL187" s="117"/>
      <c r="QJM187" s="117"/>
      <c r="QJN187" s="117"/>
      <c r="QJO187" s="117"/>
      <c r="QJP187" s="117"/>
      <c r="QJQ187" s="117"/>
      <c r="QJR187" s="117"/>
      <c r="QJS187" s="117"/>
      <c r="QJT187" s="117"/>
      <c r="QJU187" s="117"/>
      <c r="QJV187" s="117"/>
      <c r="QJW187" s="117"/>
      <c r="QJX187" s="117"/>
      <c r="QJY187" s="117"/>
      <c r="QJZ187" s="117"/>
      <c r="QKA187" s="117"/>
      <c r="QKB187" s="117"/>
      <c r="QKC187" s="117"/>
      <c r="QKD187" s="117"/>
      <c r="QKE187" s="117"/>
      <c r="QKF187" s="117"/>
      <c r="QKG187" s="117"/>
      <c r="QKH187" s="117"/>
      <c r="QKI187" s="117"/>
      <c r="QKJ187" s="117"/>
      <c r="QKK187" s="117"/>
      <c r="QKL187" s="117"/>
      <c r="QKM187" s="117"/>
      <c r="QKN187" s="117"/>
      <c r="QKO187" s="117"/>
      <c r="QKP187" s="117"/>
      <c r="QKQ187" s="117"/>
      <c r="QKR187" s="117"/>
      <c r="QKS187" s="117"/>
      <c r="QKT187" s="117"/>
      <c r="QKU187" s="117"/>
      <c r="QKV187" s="117"/>
      <c r="QKW187" s="117"/>
      <c r="QKX187" s="117"/>
      <c r="QKY187" s="117"/>
      <c r="QKZ187" s="117"/>
      <c r="QLA187" s="117"/>
      <c r="QLB187" s="117"/>
      <c r="QLC187" s="117"/>
      <c r="QLD187" s="117"/>
      <c r="QLE187" s="117"/>
      <c r="QLF187" s="117"/>
      <c r="QLG187" s="117"/>
      <c r="QLH187" s="117"/>
      <c r="QLI187" s="117"/>
      <c r="QLJ187" s="117"/>
      <c r="QLK187" s="117"/>
      <c r="QLL187" s="117"/>
      <c r="QLM187" s="117"/>
      <c r="QLN187" s="117"/>
      <c r="QLO187" s="117"/>
      <c r="QLP187" s="117"/>
      <c r="QLQ187" s="117"/>
      <c r="QLR187" s="117"/>
      <c r="QLS187" s="117"/>
      <c r="QLT187" s="117"/>
      <c r="QLU187" s="117"/>
      <c r="QLV187" s="117"/>
      <c r="QLW187" s="117"/>
      <c r="QLX187" s="117"/>
      <c r="QLY187" s="117"/>
      <c r="QLZ187" s="117"/>
      <c r="QMA187" s="117"/>
      <c r="QMB187" s="117"/>
      <c r="QMC187" s="117"/>
      <c r="QMD187" s="117"/>
      <c r="QME187" s="117"/>
      <c r="QMF187" s="117"/>
      <c r="QMG187" s="117"/>
      <c r="QMH187" s="117"/>
      <c r="QMI187" s="117"/>
      <c r="QMJ187" s="117"/>
      <c r="QMK187" s="117"/>
      <c r="QML187" s="117"/>
      <c r="QMM187" s="117"/>
      <c r="QMN187" s="117"/>
      <c r="QMO187" s="117"/>
      <c r="QMP187" s="117"/>
      <c r="QMQ187" s="117"/>
      <c r="QMR187" s="117"/>
      <c r="QMS187" s="117"/>
      <c r="QMT187" s="117"/>
      <c r="QMU187" s="117"/>
      <c r="QMV187" s="117"/>
      <c r="QMW187" s="117"/>
      <c r="QMX187" s="117"/>
      <c r="QMY187" s="117"/>
      <c r="QMZ187" s="117"/>
      <c r="QNA187" s="117"/>
      <c r="QNB187" s="117"/>
      <c r="QNC187" s="117"/>
      <c r="QND187" s="117"/>
      <c r="QNE187" s="117"/>
      <c r="QNF187" s="117"/>
      <c r="QNG187" s="117"/>
      <c r="QNH187" s="117"/>
      <c r="QNI187" s="117"/>
      <c r="QNJ187" s="117"/>
      <c r="QNK187" s="117"/>
      <c r="QNL187" s="117"/>
      <c r="QNM187" s="117"/>
      <c r="QNN187" s="117"/>
      <c r="QNO187" s="117"/>
      <c r="QNP187" s="117"/>
      <c r="QNQ187" s="117"/>
      <c r="QNR187" s="117"/>
      <c r="QNS187" s="117"/>
      <c r="QNT187" s="117"/>
      <c r="QNU187" s="117"/>
      <c r="QNV187" s="117"/>
      <c r="QNW187" s="117"/>
      <c r="QNX187" s="117"/>
      <c r="QNY187" s="117"/>
      <c r="QNZ187" s="117"/>
      <c r="QOA187" s="117"/>
      <c r="QOB187" s="117"/>
      <c r="QOC187" s="117"/>
      <c r="QOD187" s="117"/>
      <c r="QOE187" s="117"/>
      <c r="QOF187" s="117"/>
      <c r="QOG187" s="117"/>
      <c r="QOH187" s="117"/>
      <c r="QOI187" s="117"/>
      <c r="QOJ187" s="117"/>
      <c r="QOK187" s="117"/>
      <c r="QOL187" s="117"/>
      <c r="QOM187" s="117"/>
      <c r="QON187" s="117"/>
      <c r="QOO187" s="117"/>
      <c r="QOP187" s="117"/>
      <c r="QOQ187" s="117"/>
      <c r="QOR187" s="117"/>
      <c r="QOS187" s="117"/>
      <c r="QOT187" s="117"/>
      <c r="QOU187" s="117"/>
      <c r="QOV187" s="117"/>
      <c r="QOW187" s="117"/>
      <c r="QOX187" s="117"/>
      <c r="QOY187" s="117"/>
      <c r="QOZ187" s="117"/>
      <c r="QPA187" s="117"/>
      <c r="QPB187" s="117"/>
      <c r="QPC187" s="117"/>
      <c r="QPD187" s="117"/>
      <c r="QPE187" s="117"/>
      <c r="QPF187" s="117"/>
      <c r="QPG187" s="117"/>
      <c r="QPH187" s="117"/>
      <c r="QPI187" s="117"/>
      <c r="QPJ187" s="117"/>
      <c r="QPK187" s="117"/>
      <c r="QPL187" s="117"/>
      <c r="QPM187" s="117"/>
      <c r="QPN187" s="117"/>
      <c r="QPO187" s="117"/>
      <c r="QPP187" s="117"/>
      <c r="QPQ187" s="117"/>
      <c r="QPR187" s="117"/>
      <c r="QPS187" s="117"/>
      <c r="QPT187" s="117"/>
      <c r="QPU187" s="117"/>
      <c r="QPV187" s="117"/>
      <c r="QPW187" s="117"/>
      <c r="QPX187" s="117"/>
      <c r="QPY187" s="117"/>
      <c r="QPZ187" s="117"/>
      <c r="QQA187" s="117"/>
      <c r="QQB187" s="117"/>
      <c r="QQC187" s="117"/>
      <c r="QQD187" s="117"/>
      <c r="QQE187" s="117"/>
      <c r="QQF187" s="117"/>
      <c r="QQG187" s="117"/>
      <c r="QQH187" s="117"/>
      <c r="QQI187" s="117"/>
      <c r="QQJ187" s="117"/>
      <c r="QQK187" s="117"/>
      <c r="QQL187" s="117"/>
      <c r="QQM187" s="117"/>
      <c r="QQN187" s="117"/>
      <c r="QQO187" s="117"/>
      <c r="QQP187" s="117"/>
      <c r="QQQ187" s="117"/>
      <c r="QQR187" s="117"/>
      <c r="QQS187" s="117"/>
      <c r="QQT187" s="117"/>
      <c r="QQU187" s="117"/>
      <c r="QQV187" s="117"/>
      <c r="QQW187" s="117"/>
      <c r="QQX187" s="117"/>
      <c r="QQY187" s="117"/>
      <c r="QQZ187" s="117"/>
      <c r="QRA187" s="117"/>
      <c r="QRB187" s="117"/>
      <c r="QRC187" s="117"/>
      <c r="QRD187" s="117"/>
      <c r="QRE187" s="117"/>
      <c r="QRF187" s="117"/>
      <c r="QRG187" s="117"/>
      <c r="QRH187" s="117"/>
      <c r="QRI187" s="117"/>
      <c r="QRJ187" s="117"/>
      <c r="QRK187" s="117"/>
      <c r="QRL187" s="117"/>
      <c r="QRM187" s="117"/>
      <c r="QRN187" s="117"/>
      <c r="QRO187" s="117"/>
      <c r="QRP187" s="117"/>
      <c r="QRQ187" s="117"/>
      <c r="QRR187" s="117"/>
      <c r="QRS187" s="117"/>
      <c r="QRT187" s="117"/>
      <c r="QRU187" s="117"/>
      <c r="QRV187" s="117"/>
      <c r="QRW187" s="117"/>
      <c r="QRX187" s="117"/>
      <c r="QRY187" s="117"/>
      <c r="QRZ187" s="117"/>
      <c r="QSA187" s="117"/>
      <c r="QSB187" s="117"/>
      <c r="QSC187" s="117"/>
      <c r="QSD187" s="117"/>
      <c r="QSE187" s="117"/>
      <c r="QSF187" s="117"/>
      <c r="QSG187" s="117"/>
      <c r="QSH187" s="117"/>
      <c r="QSI187" s="117"/>
      <c r="QSJ187" s="117"/>
      <c r="QSK187" s="117"/>
      <c r="QSL187" s="117"/>
      <c r="QSM187" s="117"/>
      <c r="QSN187" s="117"/>
      <c r="QSO187" s="117"/>
      <c r="QSP187" s="117"/>
      <c r="QSQ187" s="117"/>
      <c r="QSR187" s="117"/>
      <c r="QSS187" s="117"/>
      <c r="QST187" s="117"/>
      <c r="QSU187" s="117"/>
      <c r="QSV187" s="117"/>
      <c r="QSW187" s="117"/>
      <c r="QSX187" s="117"/>
      <c r="QSY187" s="117"/>
      <c r="QSZ187" s="117"/>
      <c r="QTA187" s="117"/>
      <c r="QTB187" s="117"/>
      <c r="QTC187" s="117"/>
      <c r="QTD187" s="117"/>
      <c r="QTE187" s="117"/>
      <c r="QTF187" s="117"/>
      <c r="QTG187" s="117"/>
      <c r="QTH187" s="117"/>
      <c r="QTI187" s="117"/>
      <c r="QTJ187" s="117"/>
      <c r="QTK187" s="117"/>
      <c r="QTL187" s="117"/>
      <c r="QTM187" s="117"/>
      <c r="QTN187" s="117"/>
      <c r="QTO187" s="117"/>
      <c r="QTP187" s="117"/>
      <c r="QTQ187" s="117"/>
      <c r="QTR187" s="117"/>
      <c r="QTS187" s="117"/>
      <c r="QTT187" s="117"/>
      <c r="QTU187" s="117"/>
      <c r="QTV187" s="117"/>
      <c r="QTW187" s="117"/>
      <c r="QTX187" s="117"/>
      <c r="QTY187" s="117"/>
      <c r="QTZ187" s="117"/>
      <c r="QUA187" s="117"/>
      <c r="QUB187" s="117"/>
      <c r="QUC187" s="117"/>
      <c r="QUD187" s="117"/>
      <c r="QUE187" s="117"/>
      <c r="QUF187" s="117"/>
      <c r="QUG187" s="117"/>
      <c r="QUH187" s="117"/>
      <c r="QUI187" s="117"/>
      <c r="QUJ187" s="117"/>
      <c r="QUK187" s="117"/>
      <c r="QUL187" s="117"/>
      <c r="QUM187" s="117"/>
      <c r="QUN187" s="117"/>
      <c r="QUO187" s="117"/>
      <c r="QUP187" s="117"/>
      <c r="QUQ187" s="117"/>
      <c r="QUR187" s="117"/>
      <c r="QUS187" s="117"/>
      <c r="QUT187" s="117"/>
      <c r="QUU187" s="117"/>
      <c r="QUV187" s="117"/>
      <c r="QUW187" s="117"/>
      <c r="QUX187" s="117"/>
      <c r="QUY187" s="117"/>
      <c r="QUZ187" s="117"/>
      <c r="QVA187" s="117"/>
      <c r="QVB187" s="117"/>
      <c r="QVC187" s="117"/>
      <c r="QVD187" s="117"/>
      <c r="QVE187" s="117"/>
      <c r="QVF187" s="117"/>
      <c r="QVG187" s="117"/>
      <c r="QVH187" s="117"/>
      <c r="QVI187" s="117"/>
      <c r="QVJ187" s="117"/>
      <c r="QVK187" s="117"/>
      <c r="QVL187" s="117"/>
      <c r="QVM187" s="117"/>
      <c r="QVN187" s="117"/>
      <c r="QVO187" s="117"/>
      <c r="QVP187" s="117"/>
      <c r="QVQ187" s="117"/>
      <c r="QVR187" s="117"/>
      <c r="QVS187" s="117"/>
      <c r="QVT187" s="117"/>
      <c r="QVU187" s="117"/>
      <c r="QVV187" s="117"/>
      <c r="QVW187" s="117"/>
      <c r="QVX187" s="117"/>
      <c r="QVY187" s="117"/>
      <c r="QVZ187" s="117"/>
      <c r="QWA187" s="117"/>
      <c r="QWB187" s="117"/>
      <c r="QWC187" s="117"/>
      <c r="QWD187" s="117"/>
      <c r="QWE187" s="117"/>
      <c r="QWF187" s="117"/>
      <c r="QWG187" s="117"/>
      <c r="QWH187" s="117"/>
      <c r="QWI187" s="117"/>
      <c r="QWJ187" s="117"/>
      <c r="QWK187" s="117"/>
      <c r="QWL187" s="117"/>
      <c r="QWM187" s="117"/>
      <c r="QWN187" s="117"/>
      <c r="QWO187" s="117"/>
      <c r="QWP187" s="117"/>
      <c r="QWQ187" s="117"/>
      <c r="QWR187" s="117"/>
      <c r="QWS187" s="117"/>
      <c r="QWT187" s="117"/>
      <c r="QWU187" s="117"/>
      <c r="QWV187" s="117"/>
      <c r="QWW187" s="117"/>
      <c r="QWX187" s="117"/>
      <c r="QWY187" s="117"/>
      <c r="QWZ187" s="117"/>
      <c r="QXA187" s="117"/>
      <c r="QXB187" s="117"/>
      <c r="QXC187" s="117"/>
      <c r="QXD187" s="117"/>
      <c r="QXE187" s="117"/>
      <c r="QXF187" s="117"/>
      <c r="QXG187" s="117"/>
      <c r="QXH187" s="117"/>
      <c r="QXI187" s="117"/>
      <c r="QXJ187" s="117"/>
      <c r="QXK187" s="117"/>
      <c r="QXL187" s="117"/>
      <c r="QXM187" s="117"/>
      <c r="QXN187" s="117"/>
      <c r="QXO187" s="117"/>
      <c r="QXP187" s="117"/>
      <c r="QXQ187" s="117"/>
      <c r="QXR187" s="117"/>
      <c r="QXS187" s="117"/>
      <c r="QXT187" s="117"/>
      <c r="QXU187" s="117"/>
      <c r="QXV187" s="117"/>
      <c r="QXW187" s="117"/>
      <c r="QXX187" s="117"/>
      <c r="QXY187" s="117"/>
      <c r="QXZ187" s="117"/>
      <c r="QYA187" s="117"/>
      <c r="QYB187" s="117"/>
      <c r="QYC187" s="117"/>
      <c r="QYD187" s="117"/>
      <c r="QYE187" s="117"/>
      <c r="QYF187" s="117"/>
      <c r="QYG187" s="117"/>
      <c r="QYH187" s="117"/>
      <c r="QYI187" s="117"/>
      <c r="QYJ187" s="117"/>
      <c r="QYK187" s="117"/>
      <c r="QYL187" s="117"/>
      <c r="QYM187" s="117"/>
      <c r="QYN187" s="117"/>
      <c r="QYO187" s="117"/>
      <c r="QYP187" s="117"/>
      <c r="QYQ187" s="117"/>
      <c r="QYR187" s="117"/>
      <c r="QYS187" s="117"/>
      <c r="QYT187" s="117"/>
      <c r="QYU187" s="117"/>
      <c r="QYV187" s="117"/>
      <c r="QYW187" s="117"/>
      <c r="QYX187" s="117"/>
      <c r="QYY187" s="117"/>
      <c r="QYZ187" s="117"/>
      <c r="QZA187" s="117"/>
      <c r="QZB187" s="117"/>
      <c r="QZC187" s="117"/>
      <c r="QZD187" s="117"/>
      <c r="QZE187" s="117"/>
      <c r="QZF187" s="117"/>
      <c r="QZG187" s="117"/>
      <c r="QZH187" s="117"/>
      <c r="QZI187" s="117"/>
      <c r="QZJ187" s="117"/>
      <c r="QZK187" s="117"/>
      <c r="QZL187" s="117"/>
      <c r="QZM187" s="117"/>
      <c r="QZN187" s="117"/>
      <c r="QZO187" s="117"/>
      <c r="QZP187" s="117"/>
      <c r="QZQ187" s="117"/>
      <c r="QZR187" s="117"/>
      <c r="QZS187" s="117"/>
      <c r="QZT187" s="117"/>
      <c r="QZU187" s="117"/>
      <c r="QZV187" s="117"/>
      <c r="QZW187" s="117"/>
      <c r="QZX187" s="117"/>
      <c r="QZY187" s="117"/>
      <c r="QZZ187" s="117"/>
      <c r="RAA187" s="117"/>
      <c r="RAB187" s="117"/>
      <c r="RAC187" s="117"/>
      <c r="RAD187" s="117"/>
      <c r="RAE187" s="117"/>
      <c r="RAF187" s="117"/>
      <c r="RAG187" s="117"/>
      <c r="RAH187" s="117"/>
      <c r="RAI187" s="117"/>
      <c r="RAJ187" s="117"/>
      <c r="RAK187" s="117"/>
      <c r="RAL187" s="117"/>
      <c r="RAM187" s="117"/>
      <c r="RAN187" s="117"/>
      <c r="RAO187" s="117"/>
      <c r="RAP187" s="117"/>
      <c r="RAQ187" s="117"/>
      <c r="RAR187" s="117"/>
      <c r="RAS187" s="117"/>
      <c r="RAT187" s="117"/>
      <c r="RAU187" s="117"/>
      <c r="RAV187" s="117"/>
      <c r="RAW187" s="117"/>
      <c r="RAX187" s="117"/>
      <c r="RAY187" s="117"/>
      <c r="RAZ187" s="117"/>
      <c r="RBA187" s="117"/>
      <c r="RBB187" s="117"/>
      <c r="RBC187" s="117"/>
      <c r="RBD187" s="117"/>
      <c r="RBE187" s="117"/>
      <c r="RBF187" s="117"/>
      <c r="RBG187" s="117"/>
      <c r="RBH187" s="117"/>
      <c r="RBI187" s="117"/>
      <c r="RBJ187" s="117"/>
      <c r="RBK187" s="117"/>
      <c r="RBL187" s="117"/>
      <c r="RBM187" s="117"/>
      <c r="RBN187" s="117"/>
      <c r="RBO187" s="117"/>
      <c r="RBP187" s="117"/>
      <c r="RBQ187" s="117"/>
      <c r="RBR187" s="117"/>
      <c r="RBS187" s="117"/>
      <c r="RBT187" s="117"/>
      <c r="RBU187" s="117"/>
      <c r="RBV187" s="117"/>
      <c r="RBW187" s="117"/>
      <c r="RBX187" s="117"/>
      <c r="RBY187" s="117"/>
      <c r="RBZ187" s="117"/>
      <c r="RCA187" s="117"/>
      <c r="RCB187" s="117"/>
      <c r="RCC187" s="117"/>
      <c r="RCD187" s="117"/>
      <c r="RCE187" s="117"/>
      <c r="RCF187" s="117"/>
      <c r="RCG187" s="117"/>
      <c r="RCH187" s="117"/>
      <c r="RCI187" s="117"/>
      <c r="RCJ187" s="117"/>
      <c r="RCK187" s="117"/>
      <c r="RCL187" s="117"/>
      <c r="RCM187" s="117"/>
      <c r="RCN187" s="117"/>
      <c r="RCO187" s="117"/>
      <c r="RCP187" s="117"/>
      <c r="RCQ187" s="117"/>
      <c r="RCR187" s="117"/>
      <c r="RCS187" s="117"/>
      <c r="RCT187" s="117"/>
      <c r="RCU187" s="117"/>
      <c r="RCV187" s="117"/>
      <c r="RCW187" s="117"/>
      <c r="RCX187" s="117"/>
      <c r="RCY187" s="117"/>
      <c r="RCZ187" s="117"/>
      <c r="RDA187" s="117"/>
      <c r="RDB187" s="117"/>
      <c r="RDC187" s="117"/>
      <c r="RDD187" s="117"/>
      <c r="RDE187" s="117"/>
      <c r="RDF187" s="117"/>
      <c r="RDG187" s="117"/>
      <c r="RDH187" s="117"/>
      <c r="RDI187" s="117"/>
      <c r="RDJ187" s="117"/>
      <c r="RDK187" s="117"/>
      <c r="RDL187" s="117"/>
      <c r="RDM187" s="117"/>
      <c r="RDN187" s="117"/>
      <c r="RDO187" s="117"/>
      <c r="RDP187" s="117"/>
      <c r="RDQ187" s="117"/>
      <c r="RDR187" s="117"/>
      <c r="RDS187" s="117"/>
      <c r="RDT187" s="117"/>
      <c r="RDU187" s="117"/>
      <c r="RDV187" s="117"/>
      <c r="RDW187" s="117"/>
      <c r="RDX187" s="117"/>
      <c r="RDY187" s="117"/>
      <c r="RDZ187" s="117"/>
      <c r="REA187" s="117"/>
      <c r="REB187" s="117"/>
      <c r="REC187" s="117"/>
      <c r="RED187" s="117"/>
      <c r="REE187" s="117"/>
      <c r="REF187" s="117"/>
      <c r="REG187" s="117"/>
      <c r="REH187" s="117"/>
      <c r="REI187" s="117"/>
      <c r="REJ187" s="117"/>
      <c r="REK187" s="117"/>
      <c r="REL187" s="117"/>
      <c r="REM187" s="117"/>
      <c r="REN187" s="117"/>
      <c r="REO187" s="117"/>
      <c r="REP187" s="117"/>
      <c r="REQ187" s="117"/>
      <c r="RER187" s="117"/>
      <c r="RES187" s="117"/>
      <c r="RET187" s="117"/>
      <c r="REU187" s="117"/>
      <c r="REV187" s="117"/>
      <c r="REW187" s="117"/>
      <c r="REX187" s="117"/>
      <c r="REY187" s="117"/>
      <c r="REZ187" s="117"/>
      <c r="RFA187" s="117"/>
      <c r="RFB187" s="117"/>
      <c r="RFC187" s="117"/>
      <c r="RFD187" s="117"/>
      <c r="RFE187" s="117"/>
      <c r="RFF187" s="117"/>
      <c r="RFG187" s="117"/>
      <c r="RFH187" s="117"/>
      <c r="RFI187" s="117"/>
      <c r="RFJ187" s="117"/>
      <c r="RFK187" s="117"/>
      <c r="RFL187" s="117"/>
      <c r="RFM187" s="117"/>
      <c r="RFN187" s="117"/>
      <c r="RFO187" s="117"/>
      <c r="RFP187" s="117"/>
      <c r="RFQ187" s="117"/>
      <c r="RFR187" s="117"/>
      <c r="RFS187" s="117"/>
      <c r="RFT187" s="117"/>
      <c r="RFU187" s="117"/>
      <c r="RFV187" s="117"/>
      <c r="RFW187" s="117"/>
      <c r="RFX187" s="117"/>
      <c r="RFY187" s="117"/>
      <c r="RFZ187" s="117"/>
      <c r="RGA187" s="117"/>
      <c r="RGB187" s="117"/>
      <c r="RGC187" s="117"/>
      <c r="RGD187" s="117"/>
      <c r="RGE187" s="117"/>
      <c r="RGF187" s="117"/>
      <c r="RGG187" s="117"/>
      <c r="RGH187" s="117"/>
      <c r="RGI187" s="117"/>
      <c r="RGJ187" s="117"/>
      <c r="RGK187" s="117"/>
      <c r="RGL187" s="117"/>
      <c r="RGM187" s="117"/>
      <c r="RGN187" s="117"/>
      <c r="RGO187" s="117"/>
      <c r="RGP187" s="117"/>
      <c r="RGQ187" s="117"/>
      <c r="RGR187" s="117"/>
      <c r="RGS187" s="117"/>
      <c r="RGT187" s="117"/>
      <c r="RGU187" s="117"/>
      <c r="RGV187" s="117"/>
      <c r="RGW187" s="117"/>
      <c r="RGX187" s="117"/>
      <c r="RGY187" s="117"/>
      <c r="RGZ187" s="117"/>
      <c r="RHA187" s="117"/>
      <c r="RHB187" s="117"/>
      <c r="RHC187" s="117"/>
      <c r="RHD187" s="117"/>
      <c r="RHE187" s="117"/>
      <c r="RHF187" s="117"/>
      <c r="RHG187" s="117"/>
      <c r="RHH187" s="117"/>
      <c r="RHI187" s="117"/>
      <c r="RHJ187" s="117"/>
      <c r="RHK187" s="117"/>
      <c r="RHL187" s="117"/>
      <c r="RHM187" s="117"/>
      <c r="RHN187" s="117"/>
      <c r="RHO187" s="117"/>
      <c r="RHP187" s="117"/>
      <c r="RHQ187" s="117"/>
      <c r="RHR187" s="117"/>
      <c r="RHS187" s="117"/>
      <c r="RHT187" s="117"/>
      <c r="RHU187" s="117"/>
      <c r="RHV187" s="117"/>
      <c r="RHW187" s="117"/>
      <c r="RHX187" s="117"/>
      <c r="RHY187" s="117"/>
      <c r="RHZ187" s="117"/>
      <c r="RIA187" s="117"/>
      <c r="RIB187" s="117"/>
      <c r="RIC187" s="117"/>
      <c r="RID187" s="117"/>
      <c r="RIE187" s="117"/>
      <c r="RIF187" s="117"/>
      <c r="RIG187" s="117"/>
      <c r="RIH187" s="117"/>
      <c r="RII187" s="117"/>
      <c r="RIJ187" s="117"/>
      <c r="RIK187" s="117"/>
      <c r="RIL187" s="117"/>
      <c r="RIM187" s="117"/>
      <c r="RIN187" s="117"/>
      <c r="RIO187" s="117"/>
      <c r="RIP187" s="117"/>
      <c r="RIQ187" s="117"/>
      <c r="RIR187" s="117"/>
      <c r="RIS187" s="117"/>
      <c r="RIT187" s="117"/>
      <c r="RIU187" s="117"/>
      <c r="RIV187" s="117"/>
      <c r="RIW187" s="117"/>
      <c r="RIX187" s="117"/>
      <c r="RIY187" s="117"/>
      <c r="RIZ187" s="117"/>
      <c r="RJA187" s="117"/>
      <c r="RJB187" s="117"/>
      <c r="RJC187" s="117"/>
      <c r="RJD187" s="117"/>
      <c r="RJE187" s="117"/>
      <c r="RJF187" s="117"/>
      <c r="RJG187" s="117"/>
      <c r="RJH187" s="117"/>
      <c r="RJI187" s="117"/>
      <c r="RJJ187" s="117"/>
      <c r="RJK187" s="117"/>
      <c r="RJL187" s="117"/>
      <c r="RJM187" s="117"/>
      <c r="RJN187" s="117"/>
      <c r="RJO187" s="117"/>
      <c r="RJP187" s="117"/>
      <c r="RJQ187" s="117"/>
      <c r="RJR187" s="117"/>
      <c r="RJS187" s="117"/>
      <c r="RJT187" s="117"/>
      <c r="RJU187" s="117"/>
      <c r="RJV187" s="117"/>
      <c r="RJW187" s="117"/>
      <c r="RJX187" s="117"/>
      <c r="RJY187" s="117"/>
      <c r="RJZ187" s="117"/>
      <c r="RKA187" s="117"/>
      <c r="RKB187" s="117"/>
      <c r="RKC187" s="117"/>
      <c r="RKD187" s="117"/>
      <c r="RKE187" s="117"/>
      <c r="RKF187" s="117"/>
      <c r="RKG187" s="117"/>
      <c r="RKH187" s="117"/>
      <c r="RKI187" s="117"/>
      <c r="RKJ187" s="117"/>
      <c r="RKK187" s="117"/>
      <c r="RKL187" s="117"/>
      <c r="RKM187" s="117"/>
      <c r="RKN187" s="117"/>
      <c r="RKO187" s="117"/>
      <c r="RKP187" s="117"/>
      <c r="RKQ187" s="117"/>
      <c r="RKR187" s="117"/>
      <c r="RKS187" s="117"/>
      <c r="RKT187" s="117"/>
      <c r="RKU187" s="117"/>
      <c r="RKV187" s="117"/>
      <c r="RKW187" s="117"/>
      <c r="RKX187" s="117"/>
      <c r="RKY187" s="117"/>
      <c r="RKZ187" s="117"/>
      <c r="RLA187" s="117"/>
      <c r="RLB187" s="117"/>
      <c r="RLC187" s="117"/>
      <c r="RLD187" s="117"/>
      <c r="RLE187" s="117"/>
      <c r="RLF187" s="117"/>
      <c r="RLG187" s="117"/>
      <c r="RLH187" s="117"/>
      <c r="RLI187" s="117"/>
      <c r="RLJ187" s="117"/>
      <c r="RLK187" s="117"/>
      <c r="RLL187" s="117"/>
      <c r="RLM187" s="117"/>
      <c r="RLN187" s="117"/>
      <c r="RLO187" s="117"/>
      <c r="RLP187" s="117"/>
      <c r="RLQ187" s="117"/>
      <c r="RLR187" s="117"/>
      <c r="RLS187" s="117"/>
      <c r="RLT187" s="117"/>
      <c r="RLU187" s="117"/>
      <c r="RLV187" s="117"/>
      <c r="RLW187" s="117"/>
      <c r="RLX187" s="117"/>
      <c r="RLY187" s="117"/>
      <c r="RLZ187" s="117"/>
      <c r="RMA187" s="117"/>
      <c r="RMB187" s="117"/>
      <c r="RMC187" s="117"/>
      <c r="RMD187" s="117"/>
      <c r="RME187" s="117"/>
      <c r="RMF187" s="117"/>
      <c r="RMG187" s="117"/>
      <c r="RMH187" s="117"/>
      <c r="RMI187" s="117"/>
      <c r="RMJ187" s="117"/>
      <c r="RMK187" s="117"/>
      <c r="RML187" s="117"/>
      <c r="RMM187" s="117"/>
      <c r="RMN187" s="117"/>
      <c r="RMO187" s="117"/>
      <c r="RMP187" s="117"/>
      <c r="RMQ187" s="117"/>
      <c r="RMR187" s="117"/>
      <c r="RMS187" s="117"/>
      <c r="RMT187" s="117"/>
      <c r="RMU187" s="117"/>
      <c r="RMV187" s="117"/>
      <c r="RMW187" s="117"/>
      <c r="RMX187" s="117"/>
      <c r="RMY187" s="117"/>
      <c r="RMZ187" s="117"/>
      <c r="RNA187" s="117"/>
      <c r="RNB187" s="117"/>
      <c r="RNC187" s="117"/>
      <c r="RND187" s="117"/>
      <c r="RNE187" s="117"/>
      <c r="RNF187" s="117"/>
      <c r="RNG187" s="117"/>
      <c r="RNH187" s="117"/>
      <c r="RNI187" s="117"/>
      <c r="RNJ187" s="117"/>
      <c r="RNK187" s="117"/>
      <c r="RNL187" s="117"/>
      <c r="RNM187" s="117"/>
      <c r="RNN187" s="117"/>
      <c r="RNO187" s="117"/>
      <c r="RNP187" s="117"/>
      <c r="RNQ187" s="117"/>
      <c r="RNR187" s="117"/>
      <c r="RNS187" s="117"/>
      <c r="RNT187" s="117"/>
      <c r="RNU187" s="117"/>
      <c r="RNV187" s="117"/>
      <c r="RNW187" s="117"/>
      <c r="RNX187" s="117"/>
      <c r="RNY187" s="117"/>
      <c r="RNZ187" s="117"/>
      <c r="ROA187" s="117"/>
      <c r="ROB187" s="117"/>
      <c r="ROC187" s="117"/>
      <c r="ROD187" s="117"/>
      <c r="ROE187" s="117"/>
      <c r="ROF187" s="117"/>
      <c r="ROG187" s="117"/>
      <c r="ROH187" s="117"/>
      <c r="ROI187" s="117"/>
      <c r="ROJ187" s="117"/>
      <c r="ROK187" s="117"/>
      <c r="ROL187" s="117"/>
      <c r="ROM187" s="117"/>
      <c r="RON187" s="117"/>
      <c r="ROO187" s="117"/>
      <c r="ROP187" s="117"/>
      <c r="ROQ187" s="117"/>
      <c r="ROR187" s="117"/>
      <c r="ROS187" s="117"/>
      <c r="ROT187" s="117"/>
      <c r="ROU187" s="117"/>
      <c r="ROV187" s="117"/>
      <c r="ROW187" s="117"/>
      <c r="ROX187" s="117"/>
      <c r="ROY187" s="117"/>
      <c r="ROZ187" s="117"/>
      <c r="RPA187" s="117"/>
      <c r="RPB187" s="117"/>
      <c r="RPC187" s="117"/>
      <c r="RPD187" s="117"/>
      <c r="RPE187" s="117"/>
      <c r="RPF187" s="117"/>
      <c r="RPG187" s="117"/>
      <c r="RPH187" s="117"/>
      <c r="RPI187" s="117"/>
      <c r="RPJ187" s="117"/>
      <c r="RPK187" s="117"/>
      <c r="RPL187" s="117"/>
      <c r="RPM187" s="117"/>
      <c r="RPN187" s="117"/>
      <c r="RPO187" s="117"/>
      <c r="RPP187" s="117"/>
      <c r="RPQ187" s="117"/>
      <c r="RPR187" s="117"/>
      <c r="RPS187" s="117"/>
      <c r="RPT187" s="117"/>
      <c r="RPU187" s="117"/>
      <c r="RPV187" s="117"/>
      <c r="RPW187" s="117"/>
      <c r="RPX187" s="117"/>
      <c r="RPY187" s="117"/>
      <c r="RPZ187" s="117"/>
      <c r="RQA187" s="117"/>
      <c r="RQB187" s="117"/>
      <c r="RQC187" s="117"/>
      <c r="RQD187" s="117"/>
      <c r="RQE187" s="117"/>
      <c r="RQF187" s="117"/>
      <c r="RQG187" s="117"/>
      <c r="RQH187" s="117"/>
      <c r="RQI187" s="117"/>
      <c r="RQJ187" s="117"/>
      <c r="RQK187" s="117"/>
      <c r="RQL187" s="117"/>
      <c r="RQM187" s="117"/>
      <c r="RQN187" s="117"/>
      <c r="RQO187" s="117"/>
      <c r="RQP187" s="117"/>
      <c r="RQQ187" s="117"/>
      <c r="RQR187" s="117"/>
      <c r="RQS187" s="117"/>
      <c r="RQT187" s="117"/>
      <c r="RQU187" s="117"/>
      <c r="RQV187" s="117"/>
      <c r="RQW187" s="117"/>
      <c r="RQX187" s="117"/>
      <c r="RQY187" s="117"/>
      <c r="RQZ187" s="117"/>
      <c r="RRA187" s="117"/>
      <c r="RRB187" s="117"/>
      <c r="RRC187" s="117"/>
      <c r="RRD187" s="117"/>
      <c r="RRE187" s="117"/>
      <c r="RRF187" s="117"/>
      <c r="RRG187" s="117"/>
      <c r="RRH187" s="117"/>
      <c r="RRI187" s="117"/>
      <c r="RRJ187" s="117"/>
      <c r="RRK187" s="117"/>
      <c r="RRL187" s="117"/>
      <c r="RRM187" s="117"/>
      <c r="RRN187" s="117"/>
      <c r="RRO187" s="117"/>
      <c r="RRP187" s="117"/>
      <c r="RRQ187" s="117"/>
      <c r="RRR187" s="117"/>
      <c r="RRS187" s="117"/>
      <c r="RRT187" s="117"/>
      <c r="RRU187" s="117"/>
      <c r="RRV187" s="117"/>
      <c r="RRW187" s="117"/>
      <c r="RRX187" s="117"/>
      <c r="RRY187" s="117"/>
      <c r="RRZ187" s="117"/>
      <c r="RSA187" s="117"/>
      <c r="RSB187" s="117"/>
      <c r="RSC187" s="117"/>
      <c r="RSD187" s="117"/>
      <c r="RSE187" s="117"/>
      <c r="RSF187" s="117"/>
      <c r="RSG187" s="117"/>
      <c r="RSH187" s="117"/>
      <c r="RSI187" s="117"/>
      <c r="RSJ187" s="117"/>
      <c r="RSK187" s="117"/>
      <c r="RSL187" s="117"/>
      <c r="RSM187" s="117"/>
      <c r="RSN187" s="117"/>
      <c r="RSO187" s="117"/>
      <c r="RSP187" s="117"/>
      <c r="RSQ187" s="117"/>
      <c r="RSR187" s="117"/>
      <c r="RSS187" s="117"/>
      <c r="RST187" s="117"/>
      <c r="RSU187" s="117"/>
      <c r="RSV187" s="117"/>
      <c r="RSW187" s="117"/>
      <c r="RSX187" s="117"/>
      <c r="RSY187" s="117"/>
      <c r="RSZ187" s="117"/>
      <c r="RTA187" s="117"/>
      <c r="RTB187" s="117"/>
      <c r="RTC187" s="117"/>
      <c r="RTD187" s="117"/>
      <c r="RTE187" s="117"/>
      <c r="RTF187" s="117"/>
      <c r="RTG187" s="117"/>
      <c r="RTH187" s="117"/>
      <c r="RTI187" s="117"/>
      <c r="RTJ187" s="117"/>
      <c r="RTK187" s="117"/>
      <c r="RTL187" s="117"/>
      <c r="RTM187" s="117"/>
      <c r="RTN187" s="117"/>
      <c r="RTO187" s="117"/>
      <c r="RTP187" s="117"/>
      <c r="RTQ187" s="117"/>
      <c r="RTR187" s="117"/>
      <c r="RTS187" s="117"/>
      <c r="RTT187" s="117"/>
      <c r="RTU187" s="117"/>
      <c r="RTV187" s="117"/>
      <c r="RTW187" s="117"/>
      <c r="RTX187" s="117"/>
      <c r="RTY187" s="117"/>
      <c r="RTZ187" s="117"/>
      <c r="RUA187" s="117"/>
      <c r="RUB187" s="117"/>
      <c r="RUC187" s="117"/>
      <c r="RUD187" s="117"/>
      <c r="RUE187" s="117"/>
      <c r="RUF187" s="117"/>
      <c r="RUG187" s="117"/>
      <c r="RUH187" s="117"/>
      <c r="RUI187" s="117"/>
      <c r="RUJ187" s="117"/>
      <c r="RUK187" s="117"/>
      <c r="RUL187" s="117"/>
      <c r="RUM187" s="117"/>
      <c r="RUN187" s="117"/>
      <c r="RUO187" s="117"/>
      <c r="RUP187" s="117"/>
      <c r="RUQ187" s="117"/>
      <c r="RUR187" s="117"/>
      <c r="RUS187" s="117"/>
      <c r="RUT187" s="117"/>
      <c r="RUU187" s="117"/>
      <c r="RUV187" s="117"/>
      <c r="RUW187" s="117"/>
      <c r="RUX187" s="117"/>
      <c r="RUY187" s="117"/>
      <c r="RUZ187" s="117"/>
      <c r="RVA187" s="117"/>
      <c r="RVB187" s="117"/>
      <c r="RVC187" s="117"/>
      <c r="RVD187" s="117"/>
      <c r="RVE187" s="117"/>
      <c r="RVF187" s="117"/>
      <c r="RVG187" s="117"/>
      <c r="RVH187" s="117"/>
      <c r="RVI187" s="117"/>
      <c r="RVJ187" s="117"/>
      <c r="RVK187" s="117"/>
      <c r="RVL187" s="117"/>
      <c r="RVM187" s="117"/>
      <c r="RVN187" s="117"/>
      <c r="RVO187" s="117"/>
      <c r="RVP187" s="117"/>
      <c r="RVQ187" s="117"/>
      <c r="RVR187" s="117"/>
      <c r="RVS187" s="117"/>
      <c r="RVT187" s="117"/>
      <c r="RVU187" s="117"/>
      <c r="RVV187" s="117"/>
      <c r="RVW187" s="117"/>
      <c r="RVX187" s="117"/>
      <c r="RVY187" s="117"/>
      <c r="RVZ187" s="117"/>
      <c r="RWA187" s="117"/>
      <c r="RWB187" s="117"/>
      <c r="RWC187" s="117"/>
      <c r="RWD187" s="117"/>
      <c r="RWE187" s="117"/>
      <c r="RWF187" s="117"/>
      <c r="RWG187" s="117"/>
      <c r="RWH187" s="117"/>
      <c r="RWI187" s="117"/>
      <c r="RWJ187" s="117"/>
      <c r="RWK187" s="117"/>
      <c r="RWL187" s="117"/>
      <c r="RWM187" s="117"/>
      <c r="RWN187" s="117"/>
      <c r="RWO187" s="117"/>
      <c r="RWP187" s="117"/>
      <c r="RWQ187" s="117"/>
      <c r="RWR187" s="117"/>
      <c r="RWS187" s="117"/>
      <c r="RWT187" s="117"/>
      <c r="RWU187" s="117"/>
      <c r="RWV187" s="117"/>
      <c r="RWW187" s="117"/>
      <c r="RWX187" s="117"/>
      <c r="RWY187" s="117"/>
      <c r="RWZ187" s="117"/>
      <c r="RXA187" s="117"/>
      <c r="RXB187" s="117"/>
      <c r="RXC187" s="117"/>
      <c r="RXD187" s="117"/>
      <c r="RXE187" s="117"/>
      <c r="RXF187" s="117"/>
      <c r="RXG187" s="117"/>
      <c r="RXH187" s="117"/>
      <c r="RXI187" s="117"/>
      <c r="RXJ187" s="117"/>
      <c r="RXK187" s="117"/>
      <c r="RXL187" s="117"/>
      <c r="RXM187" s="117"/>
      <c r="RXN187" s="117"/>
      <c r="RXO187" s="117"/>
      <c r="RXP187" s="117"/>
      <c r="RXQ187" s="117"/>
      <c r="RXR187" s="117"/>
      <c r="RXS187" s="117"/>
      <c r="RXT187" s="117"/>
      <c r="RXU187" s="117"/>
      <c r="RXV187" s="117"/>
      <c r="RXW187" s="117"/>
      <c r="RXX187" s="117"/>
      <c r="RXY187" s="117"/>
      <c r="RXZ187" s="117"/>
      <c r="RYA187" s="117"/>
      <c r="RYB187" s="117"/>
      <c r="RYC187" s="117"/>
      <c r="RYD187" s="117"/>
      <c r="RYE187" s="117"/>
      <c r="RYF187" s="117"/>
      <c r="RYG187" s="117"/>
      <c r="RYH187" s="117"/>
      <c r="RYI187" s="117"/>
      <c r="RYJ187" s="117"/>
      <c r="RYK187" s="117"/>
      <c r="RYL187" s="117"/>
      <c r="RYM187" s="117"/>
      <c r="RYN187" s="117"/>
      <c r="RYO187" s="117"/>
      <c r="RYP187" s="117"/>
      <c r="RYQ187" s="117"/>
      <c r="RYR187" s="117"/>
      <c r="RYS187" s="117"/>
      <c r="RYT187" s="117"/>
      <c r="RYU187" s="117"/>
      <c r="RYV187" s="117"/>
      <c r="RYW187" s="117"/>
      <c r="RYX187" s="117"/>
      <c r="RYY187" s="117"/>
      <c r="RYZ187" s="117"/>
      <c r="RZA187" s="117"/>
      <c r="RZB187" s="117"/>
      <c r="RZC187" s="117"/>
      <c r="RZD187" s="117"/>
      <c r="RZE187" s="117"/>
      <c r="RZF187" s="117"/>
      <c r="RZG187" s="117"/>
      <c r="RZH187" s="117"/>
      <c r="RZI187" s="117"/>
      <c r="RZJ187" s="117"/>
      <c r="RZK187" s="117"/>
      <c r="RZL187" s="117"/>
      <c r="RZM187" s="117"/>
      <c r="RZN187" s="117"/>
      <c r="RZO187" s="117"/>
      <c r="RZP187" s="117"/>
      <c r="RZQ187" s="117"/>
      <c r="RZR187" s="117"/>
      <c r="RZS187" s="117"/>
      <c r="RZT187" s="117"/>
      <c r="RZU187" s="117"/>
      <c r="RZV187" s="117"/>
      <c r="RZW187" s="117"/>
      <c r="RZX187" s="117"/>
      <c r="RZY187" s="117"/>
      <c r="RZZ187" s="117"/>
      <c r="SAA187" s="117"/>
      <c r="SAB187" s="117"/>
      <c r="SAC187" s="117"/>
      <c r="SAD187" s="117"/>
      <c r="SAE187" s="117"/>
      <c r="SAF187" s="117"/>
      <c r="SAG187" s="117"/>
      <c r="SAH187" s="117"/>
      <c r="SAI187" s="117"/>
      <c r="SAJ187" s="117"/>
      <c r="SAK187" s="117"/>
      <c r="SAL187" s="117"/>
      <c r="SAM187" s="117"/>
      <c r="SAN187" s="117"/>
      <c r="SAO187" s="117"/>
      <c r="SAP187" s="117"/>
      <c r="SAQ187" s="117"/>
      <c r="SAR187" s="117"/>
      <c r="SAS187" s="117"/>
      <c r="SAT187" s="117"/>
      <c r="SAU187" s="117"/>
      <c r="SAV187" s="117"/>
      <c r="SAW187" s="117"/>
      <c r="SAX187" s="117"/>
      <c r="SAY187" s="117"/>
      <c r="SAZ187" s="117"/>
      <c r="SBA187" s="117"/>
      <c r="SBB187" s="117"/>
      <c r="SBC187" s="117"/>
      <c r="SBD187" s="117"/>
      <c r="SBE187" s="117"/>
      <c r="SBF187" s="117"/>
      <c r="SBG187" s="117"/>
      <c r="SBH187" s="117"/>
      <c r="SBI187" s="117"/>
      <c r="SBJ187" s="117"/>
      <c r="SBK187" s="117"/>
      <c r="SBL187" s="117"/>
      <c r="SBM187" s="117"/>
      <c r="SBN187" s="117"/>
      <c r="SBO187" s="117"/>
      <c r="SBP187" s="117"/>
      <c r="SBQ187" s="117"/>
      <c r="SBR187" s="117"/>
      <c r="SBS187" s="117"/>
      <c r="SBT187" s="117"/>
      <c r="SBU187" s="117"/>
      <c r="SBV187" s="117"/>
      <c r="SBW187" s="117"/>
      <c r="SBX187" s="117"/>
      <c r="SBY187" s="117"/>
      <c r="SBZ187" s="117"/>
      <c r="SCA187" s="117"/>
      <c r="SCB187" s="117"/>
      <c r="SCC187" s="117"/>
      <c r="SCD187" s="117"/>
      <c r="SCE187" s="117"/>
      <c r="SCF187" s="117"/>
      <c r="SCG187" s="117"/>
      <c r="SCH187" s="117"/>
      <c r="SCI187" s="117"/>
      <c r="SCJ187" s="117"/>
      <c r="SCK187" s="117"/>
      <c r="SCL187" s="117"/>
      <c r="SCM187" s="117"/>
      <c r="SCN187" s="117"/>
      <c r="SCO187" s="117"/>
      <c r="SCP187" s="117"/>
      <c r="SCQ187" s="117"/>
      <c r="SCR187" s="117"/>
      <c r="SCS187" s="117"/>
      <c r="SCT187" s="117"/>
      <c r="SCU187" s="117"/>
      <c r="SCV187" s="117"/>
      <c r="SCW187" s="117"/>
      <c r="SCX187" s="117"/>
      <c r="SCY187" s="117"/>
      <c r="SCZ187" s="117"/>
      <c r="SDA187" s="117"/>
      <c r="SDB187" s="117"/>
      <c r="SDC187" s="117"/>
      <c r="SDD187" s="117"/>
      <c r="SDE187" s="117"/>
      <c r="SDF187" s="117"/>
      <c r="SDG187" s="117"/>
      <c r="SDH187" s="117"/>
      <c r="SDI187" s="117"/>
      <c r="SDJ187" s="117"/>
      <c r="SDK187" s="117"/>
      <c r="SDL187" s="117"/>
      <c r="SDM187" s="117"/>
      <c r="SDN187" s="117"/>
      <c r="SDO187" s="117"/>
      <c r="SDP187" s="117"/>
      <c r="SDQ187" s="117"/>
      <c r="SDR187" s="117"/>
      <c r="SDS187" s="117"/>
      <c r="SDT187" s="117"/>
      <c r="SDU187" s="117"/>
      <c r="SDV187" s="117"/>
      <c r="SDW187" s="117"/>
      <c r="SDX187" s="117"/>
      <c r="SDY187" s="117"/>
      <c r="SDZ187" s="117"/>
      <c r="SEA187" s="117"/>
      <c r="SEB187" s="117"/>
      <c r="SEC187" s="117"/>
      <c r="SED187" s="117"/>
      <c r="SEE187" s="117"/>
      <c r="SEF187" s="117"/>
      <c r="SEG187" s="117"/>
      <c r="SEH187" s="117"/>
      <c r="SEI187" s="117"/>
      <c r="SEJ187" s="117"/>
      <c r="SEK187" s="117"/>
      <c r="SEL187" s="117"/>
      <c r="SEM187" s="117"/>
      <c r="SEN187" s="117"/>
      <c r="SEO187" s="117"/>
      <c r="SEP187" s="117"/>
      <c r="SEQ187" s="117"/>
      <c r="SER187" s="117"/>
      <c r="SES187" s="117"/>
      <c r="SET187" s="117"/>
      <c r="SEU187" s="117"/>
      <c r="SEV187" s="117"/>
      <c r="SEW187" s="117"/>
      <c r="SEX187" s="117"/>
      <c r="SEY187" s="117"/>
      <c r="SEZ187" s="117"/>
      <c r="SFA187" s="117"/>
      <c r="SFB187" s="117"/>
      <c r="SFC187" s="117"/>
      <c r="SFD187" s="117"/>
      <c r="SFE187" s="117"/>
      <c r="SFF187" s="117"/>
      <c r="SFG187" s="117"/>
      <c r="SFH187" s="117"/>
      <c r="SFI187" s="117"/>
      <c r="SFJ187" s="117"/>
      <c r="SFK187" s="117"/>
      <c r="SFL187" s="117"/>
      <c r="SFM187" s="117"/>
      <c r="SFN187" s="117"/>
      <c r="SFO187" s="117"/>
      <c r="SFP187" s="117"/>
      <c r="SFQ187" s="117"/>
      <c r="SFR187" s="117"/>
      <c r="SFS187" s="117"/>
      <c r="SFT187" s="117"/>
      <c r="SFU187" s="117"/>
      <c r="SFV187" s="117"/>
      <c r="SFW187" s="117"/>
      <c r="SFX187" s="117"/>
      <c r="SFY187" s="117"/>
      <c r="SFZ187" s="117"/>
      <c r="SGA187" s="117"/>
      <c r="SGB187" s="117"/>
      <c r="SGC187" s="117"/>
      <c r="SGD187" s="117"/>
      <c r="SGE187" s="117"/>
      <c r="SGF187" s="117"/>
      <c r="SGG187" s="117"/>
      <c r="SGH187" s="117"/>
      <c r="SGI187" s="117"/>
      <c r="SGJ187" s="117"/>
      <c r="SGK187" s="117"/>
      <c r="SGL187" s="117"/>
      <c r="SGM187" s="117"/>
      <c r="SGN187" s="117"/>
      <c r="SGO187" s="117"/>
      <c r="SGP187" s="117"/>
      <c r="SGQ187" s="117"/>
      <c r="SGR187" s="117"/>
      <c r="SGS187" s="117"/>
      <c r="SGT187" s="117"/>
      <c r="SGU187" s="117"/>
      <c r="SGV187" s="117"/>
      <c r="SGW187" s="117"/>
      <c r="SGX187" s="117"/>
      <c r="SGY187" s="117"/>
      <c r="SGZ187" s="117"/>
      <c r="SHA187" s="117"/>
      <c r="SHB187" s="117"/>
      <c r="SHC187" s="117"/>
      <c r="SHD187" s="117"/>
      <c r="SHE187" s="117"/>
      <c r="SHF187" s="117"/>
      <c r="SHG187" s="117"/>
      <c r="SHH187" s="117"/>
      <c r="SHI187" s="117"/>
      <c r="SHJ187" s="117"/>
      <c r="SHK187" s="117"/>
      <c r="SHL187" s="117"/>
      <c r="SHM187" s="117"/>
      <c r="SHN187" s="117"/>
      <c r="SHO187" s="117"/>
      <c r="SHP187" s="117"/>
      <c r="SHQ187" s="117"/>
      <c r="SHR187" s="117"/>
      <c r="SHS187" s="117"/>
      <c r="SHT187" s="117"/>
      <c r="SHU187" s="117"/>
      <c r="SHV187" s="117"/>
      <c r="SHW187" s="117"/>
      <c r="SHX187" s="117"/>
      <c r="SHY187" s="117"/>
      <c r="SHZ187" s="117"/>
      <c r="SIA187" s="117"/>
      <c r="SIB187" s="117"/>
      <c r="SIC187" s="117"/>
      <c r="SID187" s="117"/>
      <c r="SIE187" s="117"/>
      <c r="SIF187" s="117"/>
      <c r="SIG187" s="117"/>
      <c r="SIH187" s="117"/>
      <c r="SII187" s="117"/>
      <c r="SIJ187" s="117"/>
      <c r="SIK187" s="117"/>
      <c r="SIL187" s="117"/>
      <c r="SIM187" s="117"/>
      <c r="SIN187" s="117"/>
      <c r="SIO187" s="117"/>
      <c r="SIP187" s="117"/>
      <c r="SIQ187" s="117"/>
      <c r="SIR187" s="117"/>
      <c r="SIS187" s="117"/>
      <c r="SIT187" s="117"/>
      <c r="SIU187" s="117"/>
      <c r="SIV187" s="117"/>
      <c r="SIW187" s="117"/>
      <c r="SIX187" s="117"/>
      <c r="SIY187" s="117"/>
      <c r="SIZ187" s="117"/>
      <c r="SJA187" s="117"/>
      <c r="SJB187" s="117"/>
      <c r="SJC187" s="117"/>
      <c r="SJD187" s="117"/>
      <c r="SJE187" s="117"/>
      <c r="SJF187" s="117"/>
      <c r="SJG187" s="117"/>
      <c r="SJH187" s="117"/>
      <c r="SJI187" s="117"/>
      <c r="SJJ187" s="117"/>
      <c r="SJK187" s="117"/>
      <c r="SJL187" s="117"/>
      <c r="SJM187" s="117"/>
      <c r="SJN187" s="117"/>
      <c r="SJO187" s="117"/>
      <c r="SJP187" s="117"/>
      <c r="SJQ187" s="117"/>
      <c r="SJR187" s="117"/>
      <c r="SJS187" s="117"/>
      <c r="SJT187" s="117"/>
      <c r="SJU187" s="117"/>
      <c r="SJV187" s="117"/>
      <c r="SJW187" s="117"/>
      <c r="SJX187" s="117"/>
      <c r="SJY187" s="117"/>
      <c r="SJZ187" s="117"/>
      <c r="SKA187" s="117"/>
      <c r="SKB187" s="117"/>
      <c r="SKC187" s="117"/>
      <c r="SKD187" s="117"/>
      <c r="SKE187" s="117"/>
      <c r="SKF187" s="117"/>
      <c r="SKG187" s="117"/>
      <c r="SKH187" s="117"/>
      <c r="SKI187" s="117"/>
      <c r="SKJ187" s="117"/>
      <c r="SKK187" s="117"/>
      <c r="SKL187" s="117"/>
      <c r="SKM187" s="117"/>
      <c r="SKN187" s="117"/>
      <c r="SKO187" s="117"/>
      <c r="SKP187" s="117"/>
      <c r="SKQ187" s="117"/>
      <c r="SKR187" s="117"/>
      <c r="SKS187" s="117"/>
      <c r="SKT187" s="117"/>
      <c r="SKU187" s="117"/>
      <c r="SKV187" s="117"/>
      <c r="SKW187" s="117"/>
      <c r="SKX187" s="117"/>
      <c r="SKY187" s="117"/>
      <c r="SKZ187" s="117"/>
      <c r="SLA187" s="117"/>
      <c r="SLB187" s="117"/>
      <c r="SLC187" s="117"/>
      <c r="SLD187" s="117"/>
      <c r="SLE187" s="117"/>
      <c r="SLF187" s="117"/>
      <c r="SLG187" s="117"/>
      <c r="SLH187" s="117"/>
      <c r="SLI187" s="117"/>
      <c r="SLJ187" s="117"/>
      <c r="SLK187" s="117"/>
      <c r="SLL187" s="117"/>
      <c r="SLM187" s="117"/>
      <c r="SLN187" s="117"/>
      <c r="SLO187" s="117"/>
      <c r="SLP187" s="117"/>
      <c r="SLQ187" s="117"/>
      <c r="SLR187" s="117"/>
      <c r="SLS187" s="117"/>
      <c r="SLT187" s="117"/>
      <c r="SLU187" s="117"/>
      <c r="SLV187" s="117"/>
      <c r="SLW187" s="117"/>
      <c r="SLX187" s="117"/>
      <c r="SLY187" s="117"/>
      <c r="SLZ187" s="117"/>
      <c r="SMA187" s="117"/>
      <c r="SMB187" s="117"/>
      <c r="SMC187" s="117"/>
      <c r="SMD187" s="117"/>
      <c r="SME187" s="117"/>
      <c r="SMF187" s="117"/>
      <c r="SMG187" s="117"/>
      <c r="SMH187" s="117"/>
      <c r="SMI187" s="117"/>
      <c r="SMJ187" s="117"/>
      <c r="SMK187" s="117"/>
      <c r="SML187" s="117"/>
      <c r="SMM187" s="117"/>
      <c r="SMN187" s="117"/>
      <c r="SMO187" s="117"/>
      <c r="SMP187" s="117"/>
      <c r="SMQ187" s="117"/>
      <c r="SMR187" s="117"/>
      <c r="SMS187" s="117"/>
      <c r="SMT187" s="117"/>
      <c r="SMU187" s="117"/>
      <c r="SMV187" s="117"/>
      <c r="SMW187" s="117"/>
      <c r="SMX187" s="117"/>
      <c r="SMY187" s="117"/>
      <c r="SMZ187" s="117"/>
      <c r="SNA187" s="117"/>
      <c r="SNB187" s="117"/>
      <c r="SNC187" s="117"/>
      <c r="SND187" s="117"/>
      <c r="SNE187" s="117"/>
      <c r="SNF187" s="117"/>
      <c r="SNG187" s="117"/>
      <c r="SNH187" s="117"/>
      <c r="SNI187" s="117"/>
      <c r="SNJ187" s="117"/>
      <c r="SNK187" s="117"/>
      <c r="SNL187" s="117"/>
      <c r="SNM187" s="117"/>
      <c r="SNN187" s="117"/>
      <c r="SNO187" s="117"/>
      <c r="SNP187" s="117"/>
      <c r="SNQ187" s="117"/>
      <c r="SNR187" s="117"/>
      <c r="SNS187" s="117"/>
      <c r="SNT187" s="117"/>
      <c r="SNU187" s="117"/>
      <c r="SNV187" s="117"/>
      <c r="SNW187" s="117"/>
      <c r="SNX187" s="117"/>
      <c r="SNY187" s="117"/>
      <c r="SNZ187" s="117"/>
      <c r="SOA187" s="117"/>
      <c r="SOB187" s="117"/>
      <c r="SOC187" s="117"/>
      <c r="SOD187" s="117"/>
      <c r="SOE187" s="117"/>
      <c r="SOF187" s="117"/>
      <c r="SOG187" s="117"/>
      <c r="SOH187" s="117"/>
      <c r="SOI187" s="117"/>
      <c r="SOJ187" s="117"/>
      <c r="SOK187" s="117"/>
      <c r="SOL187" s="117"/>
      <c r="SOM187" s="117"/>
      <c r="SON187" s="117"/>
      <c r="SOO187" s="117"/>
      <c r="SOP187" s="117"/>
      <c r="SOQ187" s="117"/>
      <c r="SOR187" s="117"/>
      <c r="SOS187" s="117"/>
      <c r="SOT187" s="117"/>
      <c r="SOU187" s="117"/>
      <c r="SOV187" s="117"/>
      <c r="SOW187" s="117"/>
      <c r="SOX187" s="117"/>
      <c r="SOY187" s="117"/>
      <c r="SOZ187" s="117"/>
      <c r="SPA187" s="117"/>
      <c r="SPB187" s="117"/>
      <c r="SPC187" s="117"/>
      <c r="SPD187" s="117"/>
      <c r="SPE187" s="117"/>
      <c r="SPF187" s="117"/>
      <c r="SPG187" s="117"/>
      <c r="SPH187" s="117"/>
      <c r="SPI187" s="117"/>
      <c r="SPJ187" s="117"/>
      <c r="SPK187" s="117"/>
      <c r="SPL187" s="117"/>
      <c r="SPM187" s="117"/>
      <c r="SPN187" s="117"/>
      <c r="SPO187" s="117"/>
      <c r="SPP187" s="117"/>
      <c r="SPQ187" s="117"/>
      <c r="SPR187" s="117"/>
      <c r="SPS187" s="117"/>
      <c r="SPT187" s="117"/>
      <c r="SPU187" s="117"/>
      <c r="SPV187" s="117"/>
      <c r="SPW187" s="117"/>
      <c r="SPX187" s="117"/>
      <c r="SPY187" s="117"/>
      <c r="SPZ187" s="117"/>
      <c r="SQA187" s="117"/>
      <c r="SQB187" s="117"/>
      <c r="SQC187" s="117"/>
      <c r="SQD187" s="117"/>
      <c r="SQE187" s="117"/>
      <c r="SQF187" s="117"/>
      <c r="SQG187" s="117"/>
      <c r="SQH187" s="117"/>
      <c r="SQI187" s="117"/>
      <c r="SQJ187" s="117"/>
      <c r="SQK187" s="117"/>
      <c r="SQL187" s="117"/>
      <c r="SQM187" s="117"/>
      <c r="SQN187" s="117"/>
      <c r="SQO187" s="117"/>
      <c r="SQP187" s="117"/>
      <c r="SQQ187" s="117"/>
      <c r="SQR187" s="117"/>
      <c r="SQS187" s="117"/>
      <c r="SQT187" s="117"/>
      <c r="SQU187" s="117"/>
      <c r="SQV187" s="117"/>
      <c r="SQW187" s="117"/>
      <c r="SQX187" s="117"/>
      <c r="SQY187" s="117"/>
      <c r="SQZ187" s="117"/>
      <c r="SRA187" s="117"/>
      <c r="SRB187" s="117"/>
      <c r="SRC187" s="117"/>
      <c r="SRD187" s="117"/>
      <c r="SRE187" s="117"/>
      <c r="SRF187" s="117"/>
      <c r="SRG187" s="117"/>
      <c r="SRH187" s="117"/>
      <c r="SRI187" s="117"/>
      <c r="SRJ187" s="117"/>
      <c r="SRK187" s="117"/>
      <c r="SRL187" s="117"/>
      <c r="SRM187" s="117"/>
      <c r="SRN187" s="117"/>
      <c r="SRO187" s="117"/>
      <c r="SRP187" s="117"/>
      <c r="SRQ187" s="117"/>
      <c r="SRR187" s="117"/>
      <c r="SRS187" s="117"/>
      <c r="SRT187" s="117"/>
      <c r="SRU187" s="117"/>
      <c r="SRV187" s="117"/>
      <c r="SRW187" s="117"/>
      <c r="SRX187" s="117"/>
      <c r="SRY187" s="117"/>
      <c r="SRZ187" s="117"/>
      <c r="SSA187" s="117"/>
      <c r="SSB187" s="117"/>
      <c r="SSC187" s="117"/>
      <c r="SSD187" s="117"/>
      <c r="SSE187" s="117"/>
      <c r="SSF187" s="117"/>
      <c r="SSG187" s="117"/>
      <c r="SSH187" s="117"/>
      <c r="SSI187" s="117"/>
      <c r="SSJ187" s="117"/>
      <c r="SSK187" s="117"/>
      <c r="SSL187" s="117"/>
      <c r="SSM187" s="117"/>
      <c r="SSN187" s="117"/>
      <c r="SSO187" s="117"/>
      <c r="SSP187" s="117"/>
      <c r="SSQ187" s="117"/>
      <c r="SSR187" s="117"/>
      <c r="SSS187" s="117"/>
      <c r="SST187" s="117"/>
      <c r="SSU187" s="117"/>
      <c r="SSV187" s="117"/>
      <c r="SSW187" s="117"/>
      <c r="SSX187" s="117"/>
      <c r="SSY187" s="117"/>
      <c r="SSZ187" s="117"/>
      <c r="STA187" s="117"/>
      <c r="STB187" s="117"/>
      <c r="STC187" s="117"/>
      <c r="STD187" s="117"/>
      <c r="STE187" s="117"/>
      <c r="STF187" s="117"/>
      <c r="STG187" s="117"/>
      <c r="STH187" s="117"/>
      <c r="STI187" s="117"/>
      <c r="STJ187" s="117"/>
      <c r="STK187" s="117"/>
      <c r="STL187" s="117"/>
      <c r="STM187" s="117"/>
      <c r="STN187" s="117"/>
      <c r="STO187" s="117"/>
      <c r="STP187" s="117"/>
      <c r="STQ187" s="117"/>
      <c r="STR187" s="117"/>
      <c r="STS187" s="117"/>
      <c r="STT187" s="117"/>
      <c r="STU187" s="117"/>
      <c r="STV187" s="117"/>
      <c r="STW187" s="117"/>
      <c r="STX187" s="117"/>
      <c r="STY187" s="117"/>
      <c r="STZ187" s="117"/>
      <c r="SUA187" s="117"/>
      <c r="SUB187" s="117"/>
      <c r="SUC187" s="117"/>
      <c r="SUD187" s="117"/>
      <c r="SUE187" s="117"/>
      <c r="SUF187" s="117"/>
      <c r="SUG187" s="117"/>
      <c r="SUH187" s="117"/>
      <c r="SUI187" s="117"/>
      <c r="SUJ187" s="117"/>
      <c r="SUK187" s="117"/>
      <c r="SUL187" s="117"/>
      <c r="SUM187" s="117"/>
      <c r="SUN187" s="117"/>
      <c r="SUO187" s="117"/>
      <c r="SUP187" s="117"/>
      <c r="SUQ187" s="117"/>
      <c r="SUR187" s="117"/>
      <c r="SUS187" s="117"/>
      <c r="SUT187" s="117"/>
      <c r="SUU187" s="117"/>
      <c r="SUV187" s="117"/>
      <c r="SUW187" s="117"/>
      <c r="SUX187" s="117"/>
      <c r="SUY187" s="117"/>
      <c r="SUZ187" s="117"/>
      <c r="SVA187" s="117"/>
      <c r="SVB187" s="117"/>
      <c r="SVC187" s="117"/>
      <c r="SVD187" s="117"/>
      <c r="SVE187" s="117"/>
      <c r="SVF187" s="117"/>
      <c r="SVG187" s="117"/>
      <c r="SVH187" s="117"/>
      <c r="SVI187" s="117"/>
      <c r="SVJ187" s="117"/>
      <c r="SVK187" s="117"/>
      <c r="SVL187" s="117"/>
      <c r="SVM187" s="117"/>
      <c r="SVN187" s="117"/>
      <c r="SVO187" s="117"/>
      <c r="SVP187" s="117"/>
      <c r="SVQ187" s="117"/>
      <c r="SVR187" s="117"/>
      <c r="SVS187" s="117"/>
      <c r="SVT187" s="117"/>
      <c r="SVU187" s="117"/>
      <c r="SVV187" s="117"/>
      <c r="SVW187" s="117"/>
      <c r="SVX187" s="117"/>
      <c r="SVY187" s="117"/>
      <c r="SVZ187" s="117"/>
      <c r="SWA187" s="117"/>
      <c r="SWB187" s="117"/>
      <c r="SWC187" s="117"/>
      <c r="SWD187" s="117"/>
      <c r="SWE187" s="117"/>
      <c r="SWF187" s="117"/>
      <c r="SWG187" s="117"/>
      <c r="SWH187" s="117"/>
      <c r="SWI187" s="117"/>
      <c r="SWJ187" s="117"/>
      <c r="SWK187" s="117"/>
      <c r="SWL187" s="117"/>
      <c r="SWM187" s="117"/>
      <c r="SWN187" s="117"/>
      <c r="SWO187" s="117"/>
      <c r="SWP187" s="117"/>
      <c r="SWQ187" s="117"/>
      <c r="SWR187" s="117"/>
      <c r="SWS187" s="117"/>
      <c r="SWT187" s="117"/>
      <c r="SWU187" s="117"/>
      <c r="SWV187" s="117"/>
      <c r="SWW187" s="117"/>
      <c r="SWX187" s="117"/>
      <c r="SWY187" s="117"/>
      <c r="SWZ187" s="117"/>
      <c r="SXA187" s="117"/>
      <c r="SXB187" s="117"/>
      <c r="SXC187" s="117"/>
      <c r="SXD187" s="117"/>
      <c r="SXE187" s="117"/>
      <c r="SXF187" s="117"/>
      <c r="SXG187" s="117"/>
      <c r="SXH187" s="117"/>
      <c r="SXI187" s="117"/>
      <c r="SXJ187" s="117"/>
      <c r="SXK187" s="117"/>
      <c r="SXL187" s="117"/>
      <c r="SXM187" s="117"/>
      <c r="SXN187" s="117"/>
      <c r="SXO187" s="117"/>
      <c r="SXP187" s="117"/>
      <c r="SXQ187" s="117"/>
      <c r="SXR187" s="117"/>
      <c r="SXS187" s="117"/>
      <c r="SXT187" s="117"/>
      <c r="SXU187" s="117"/>
      <c r="SXV187" s="117"/>
      <c r="SXW187" s="117"/>
      <c r="SXX187" s="117"/>
      <c r="SXY187" s="117"/>
      <c r="SXZ187" s="117"/>
      <c r="SYA187" s="117"/>
      <c r="SYB187" s="117"/>
      <c r="SYC187" s="117"/>
      <c r="SYD187" s="117"/>
      <c r="SYE187" s="117"/>
      <c r="SYF187" s="117"/>
      <c r="SYG187" s="117"/>
      <c r="SYH187" s="117"/>
      <c r="SYI187" s="117"/>
      <c r="SYJ187" s="117"/>
      <c r="SYK187" s="117"/>
      <c r="SYL187" s="117"/>
      <c r="SYM187" s="117"/>
      <c r="SYN187" s="117"/>
      <c r="SYO187" s="117"/>
      <c r="SYP187" s="117"/>
      <c r="SYQ187" s="117"/>
      <c r="SYR187" s="117"/>
      <c r="SYS187" s="117"/>
      <c r="SYT187" s="117"/>
      <c r="SYU187" s="117"/>
      <c r="SYV187" s="117"/>
      <c r="SYW187" s="117"/>
      <c r="SYX187" s="117"/>
      <c r="SYY187" s="117"/>
      <c r="SYZ187" s="117"/>
      <c r="SZA187" s="117"/>
      <c r="SZB187" s="117"/>
      <c r="SZC187" s="117"/>
      <c r="SZD187" s="117"/>
      <c r="SZE187" s="117"/>
      <c r="SZF187" s="117"/>
      <c r="SZG187" s="117"/>
      <c r="SZH187" s="117"/>
      <c r="SZI187" s="117"/>
      <c r="SZJ187" s="117"/>
      <c r="SZK187" s="117"/>
      <c r="SZL187" s="117"/>
      <c r="SZM187" s="117"/>
      <c r="SZN187" s="117"/>
      <c r="SZO187" s="117"/>
      <c r="SZP187" s="117"/>
      <c r="SZQ187" s="117"/>
      <c r="SZR187" s="117"/>
      <c r="SZS187" s="117"/>
      <c r="SZT187" s="117"/>
      <c r="SZU187" s="117"/>
      <c r="SZV187" s="117"/>
      <c r="SZW187" s="117"/>
      <c r="SZX187" s="117"/>
      <c r="SZY187" s="117"/>
      <c r="SZZ187" s="117"/>
      <c r="TAA187" s="117"/>
      <c r="TAB187" s="117"/>
      <c r="TAC187" s="117"/>
      <c r="TAD187" s="117"/>
      <c r="TAE187" s="117"/>
      <c r="TAF187" s="117"/>
      <c r="TAG187" s="117"/>
      <c r="TAH187" s="117"/>
      <c r="TAI187" s="117"/>
      <c r="TAJ187" s="117"/>
      <c r="TAK187" s="117"/>
      <c r="TAL187" s="117"/>
      <c r="TAM187" s="117"/>
      <c r="TAN187" s="117"/>
      <c r="TAO187" s="117"/>
      <c r="TAP187" s="117"/>
      <c r="TAQ187" s="117"/>
      <c r="TAR187" s="117"/>
      <c r="TAS187" s="117"/>
      <c r="TAT187" s="117"/>
      <c r="TAU187" s="117"/>
      <c r="TAV187" s="117"/>
      <c r="TAW187" s="117"/>
      <c r="TAX187" s="117"/>
      <c r="TAY187" s="117"/>
      <c r="TAZ187" s="117"/>
      <c r="TBA187" s="117"/>
      <c r="TBB187" s="117"/>
      <c r="TBC187" s="117"/>
      <c r="TBD187" s="117"/>
      <c r="TBE187" s="117"/>
      <c r="TBF187" s="117"/>
      <c r="TBG187" s="117"/>
      <c r="TBH187" s="117"/>
      <c r="TBI187" s="117"/>
      <c r="TBJ187" s="117"/>
      <c r="TBK187" s="117"/>
      <c r="TBL187" s="117"/>
      <c r="TBM187" s="117"/>
      <c r="TBN187" s="117"/>
      <c r="TBO187" s="117"/>
      <c r="TBP187" s="117"/>
      <c r="TBQ187" s="117"/>
      <c r="TBR187" s="117"/>
      <c r="TBS187" s="117"/>
      <c r="TBT187" s="117"/>
      <c r="TBU187" s="117"/>
      <c r="TBV187" s="117"/>
      <c r="TBW187" s="117"/>
      <c r="TBX187" s="117"/>
      <c r="TBY187" s="117"/>
      <c r="TBZ187" s="117"/>
      <c r="TCA187" s="117"/>
      <c r="TCB187" s="117"/>
      <c r="TCC187" s="117"/>
      <c r="TCD187" s="117"/>
      <c r="TCE187" s="117"/>
      <c r="TCF187" s="117"/>
      <c r="TCG187" s="117"/>
      <c r="TCH187" s="117"/>
      <c r="TCI187" s="117"/>
      <c r="TCJ187" s="117"/>
      <c r="TCK187" s="117"/>
      <c r="TCL187" s="117"/>
      <c r="TCM187" s="117"/>
      <c r="TCN187" s="117"/>
      <c r="TCO187" s="117"/>
      <c r="TCP187" s="117"/>
      <c r="TCQ187" s="117"/>
      <c r="TCR187" s="117"/>
      <c r="TCS187" s="117"/>
      <c r="TCT187" s="117"/>
      <c r="TCU187" s="117"/>
      <c r="TCV187" s="117"/>
      <c r="TCW187" s="117"/>
      <c r="TCX187" s="117"/>
      <c r="TCY187" s="117"/>
      <c r="TCZ187" s="117"/>
      <c r="TDA187" s="117"/>
      <c r="TDB187" s="117"/>
      <c r="TDC187" s="117"/>
      <c r="TDD187" s="117"/>
      <c r="TDE187" s="117"/>
      <c r="TDF187" s="117"/>
      <c r="TDG187" s="117"/>
      <c r="TDH187" s="117"/>
      <c r="TDI187" s="117"/>
      <c r="TDJ187" s="117"/>
      <c r="TDK187" s="117"/>
      <c r="TDL187" s="117"/>
      <c r="TDM187" s="117"/>
      <c r="TDN187" s="117"/>
      <c r="TDO187" s="117"/>
      <c r="TDP187" s="117"/>
      <c r="TDQ187" s="117"/>
      <c r="TDR187" s="117"/>
      <c r="TDS187" s="117"/>
      <c r="TDT187" s="117"/>
      <c r="TDU187" s="117"/>
      <c r="TDV187" s="117"/>
      <c r="TDW187" s="117"/>
      <c r="TDX187" s="117"/>
      <c r="TDY187" s="117"/>
      <c r="TDZ187" s="117"/>
      <c r="TEA187" s="117"/>
      <c r="TEB187" s="117"/>
      <c r="TEC187" s="117"/>
      <c r="TED187" s="117"/>
      <c r="TEE187" s="117"/>
      <c r="TEF187" s="117"/>
      <c r="TEG187" s="117"/>
      <c r="TEH187" s="117"/>
      <c r="TEI187" s="117"/>
      <c r="TEJ187" s="117"/>
      <c r="TEK187" s="117"/>
      <c r="TEL187" s="117"/>
      <c r="TEM187" s="117"/>
      <c r="TEN187" s="117"/>
      <c r="TEO187" s="117"/>
      <c r="TEP187" s="117"/>
      <c r="TEQ187" s="117"/>
      <c r="TER187" s="117"/>
      <c r="TES187" s="117"/>
      <c r="TET187" s="117"/>
      <c r="TEU187" s="117"/>
      <c r="TEV187" s="117"/>
      <c r="TEW187" s="117"/>
      <c r="TEX187" s="117"/>
      <c r="TEY187" s="117"/>
      <c r="TEZ187" s="117"/>
      <c r="TFA187" s="117"/>
      <c r="TFB187" s="117"/>
      <c r="TFC187" s="117"/>
      <c r="TFD187" s="117"/>
      <c r="TFE187" s="117"/>
      <c r="TFF187" s="117"/>
      <c r="TFG187" s="117"/>
      <c r="TFH187" s="117"/>
      <c r="TFI187" s="117"/>
      <c r="TFJ187" s="117"/>
      <c r="TFK187" s="117"/>
      <c r="TFL187" s="117"/>
      <c r="TFM187" s="117"/>
      <c r="TFN187" s="117"/>
      <c r="TFO187" s="117"/>
      <c r="TFP187" s="117"/>
      <c r="TFQ187" s="117"/>
      <c r="TFR187" s="117"/>
      <c r="TFS187" s="117"/>
      <c r="TFT187" s="117"/>
      <c r="TFU187" s="117"/>
      <c r="TFV187" s="117"/>
      <c r="TFW187" s="117"/>
      <c r="TFX187" s="117"/>
      <c r="TFY187" s="117"/>
      <c r="TFZ187" s="117"/>
      <c r="TGA187" s="117"/>
      <c r="TGB187" s="117"/>
      <c r="TGC187" s="117"/>
      <c r="TGD187" s="117"/>
      <c r="TGE187" s="117"/>
      <c r="TGF187" s="117"/>
      <c r="TGG187" s="117"/>
      <c r="TGH187" s="117"/>
      <c r="TGI187" s="117"/>
      <c r="TGJ187" s="117"/>
      <c r="TGK187" s="117"/>
      <c r="TGL187" s="117"/>
      <c r="TGM187" s="117"/>
      <c r="TGN187" s="117"/>
      <c r="TGO187" s="117"/>
      <c r="TGP187" s="117"/>
      <c r="TGQ187" s="117"/>
      <c r="TGR187" s="117"/>
      <c r="TGS187" s="117"/>
      <c r="TGT187" s="117"/>
      <c r="TGU187" s="117"/>
      <c r="TGV187" s="117"/>
      <c r="TGW187" s="117"/>
      <c r="TGX187" s="117"/>
      <c r="TGY187" s="117"/>
      <c r="TGZ187" s="117"/>
      <c r="THA187" s="117"/>
      <c r="THB187" s="117"/>
      <c r="THC187" s="117"/>
      <c r="THD187" s="117"/>
      <c r="THE187" s="117"/>
      <c r="THF187" s="117"/>
      <c r="THG187" s="117"/>
      <c r="THH187" s="117"/>
      <c r="THI187" s="117"/>
      <c r="THJ187" s="117"/>
      <c r="THK187" s="117"/>
      <c r="THL187" s="117"/>
      <c r="THM187" s="117"/>
      <c r="THN187" s="117"/>
      <c r="THO187" s="117"/>
      <c r="THP187" s="117"/>
      <c r="THQ187" s="117"/>
      <c r="THR187" s="117"/>
      <c r="THS187" s="117"/>
      <c r="THT187" s="117"/>
      <c r="THU187" s="117"/>
      <c r="THV187" s="117"/>
      <c r="THW187" s="117"/>
      <c r="THX187" s="117"/>
      <c r="THY187" s="117"/>
      <c r="THZ187" s="117"/>
      <c r="TIA187" s="117"/>
      <c r="TIB187" s="117"/>
      <c r="TIC187" s="117"/>
      <c r="TID187" s="117"/>
      <c r="TIE187" s="117"/>
      <c r="TIF187" s="117"/>
      <c r="TIG187" s="117"/>
      <c r="TIH187" s="117"/>
      <c r="TII187" s="117"/>
      <c r="TIJ187" s="117"/>
      <c r="TIK187" s="117"/>
      <c r="TIL187" s="117"/>
      <c r="TIM187" s="117"/>
      <c r="TIN187" s="117"/>
      <c r="TIO187" s="117"/>
      <c r="TIP187" s="117"/>
      <c r="TIQ187" s="117"/>
      <c r="TIR187" s="117"/>
      <c r="TIS187" s="117"/>
      <c r="TIT187" s="117"/>
      <c r="TIU187" s="117"/>
      <c r="TIV187" s="117"/>
      <c r="TIW187" s="117"/>
      <c r="TIX187" s="117"/>
      <c r="TIY187" s="117"/>
      <c r="TIZ187" s="117"/>
      <c r="TJA187" s="117"/>
      <c r="TJB187" s="117"/>
      <c r="TJC187" s="117"/>
      <c r="TJD187" s="117"/>
      <c r="TJE187" s="117"/>
      <c r="TJF187" s="117"/>
      <c r="TJG187" s="117"/>
      <c r="TJH187" s="117"/>
      <c r="TJI187" s="117"/>
      <c r="TJJ187" s="117"/>
      <c r="TJK187" s="117"/>
      <c r="TJL187" s="117"/>
      <c r="TJM187" s="117"/>
      <c r="TJN187" s="117"/>
      <c r="TJO187" s="117"/>
      <c r="TJP187" s="117"/>
      <c r="TJQ187" s="117"/>
      <c r="TJR187" s="117"/>
      <c r="TJS187" s="117"/>
      <c r="TJT187" s="117"/>
      <c r="TJU187" s="117"/>
      <c r="TJV187" s="117"/>
      <c r="TJW187" s="117"/>
      <c r="TJX187" s="117"/>
      <c r="TJY187" s="117"/>
      <c r="TJZ187" s="117"/>
      <c r="TKA187" s="117"/>
      <c r="TKB187" s="117"/>
      <c r="TKC187" s="117"/>
      <c r="TKD187" s="117"/>
      <c r="TKE187" s="117"/>
      <c r="TKF187" s="117"/>
      <c r="TKG187" s="117"/>
      <c r="TKH187" s="117"/>
      <c r="TKI187" s="117"/>
      <c r="TKJ187" s="117"/>
      <c r="TKK187" s="117"/>
      <c r="TKL187" s="117"/>
      <c r="TKM187" s="117"/>
      <c r="TKN187" s="117"/>
      <c r="TKO187" s="117"/>
      <c r="TKP187" s="117"/>
      <c r="TKQ187" s="117"/>
      <c r="TKR187" s="117"/>
      <c r="TKS187" s="117"/>
      <c r="TKT187" s="117"/>
      <c r="TKU187" s="117"/>
      <c r="TKV187" s="117"/>
      <c r="TKW187" s="117"/>
      <c r="TKX187" s="117"/>
      <c r="TKY187" s="117"/>
      <c r="TKZ187" s="117"/>
      <c r="TLA187" s="117"/>
      <c r="TLB187" s="117"/>
      <c r="TLC187" s="117"/>
      <c r="TLD187" s="117"/>
      <c r="TLE187" s="117"/>
      <c r="TLF187" s="117"/>
      <c r="TLG187" s="117"/>
      <c r="TLH187" s="117"/>
      <c r="TLI187" s="117"/>
      <c r="TLJ187" s="117"/>
      <c r="TLK187" s="117"/>
      <c r="TLL187" s="117"/>
      <c r="TLM187" s="117"/>
      <c r="TLN187" s="117"/>
      <c r="TLO187" s="117"/>
      <c r="TLP187" s="117"/>
      <c r="TLQ187" s="117"/>
      <c r="TLR187" s="117"/>
      <c r="TLS187" s="117"/>
      <c r="TLT187" s="117"/>
      <c r="TLU187" s="117"/>
      <c r="TLV187" s="117"/>
      <c r="TLW187" s="117"/>
      <c r="TLX187" s="117"/>
      <c r="TLY187" s="117"/>
      <c r="TLZ187" s="117"/>
      <c r="TMA187" s="117"/>
      <c r="TMB187" s="117"/>
      <c r="TMC187" s="117"/>
      <c r="TMD187" s="117"/>
      <c r="TME187" s="117"/>
      <c r="TMF187" s="117"/>
      <c r="TMG187" s="117"/>
      <c r="TMH187" s="117"/>
      <c r="TMI187" s="117"/>
      <c r="TMJ187" s="117"/>
      <c r="TMK187" s="117"/>
      <c r="TML187" s="117"/>
      <c r="TMM187" s="117"/>
      <c r="TMN187" s="117"/>
      <c r="TMO187" s="117"/>
      <c r="TMP187" s="117"/>
      <c r="TMQ187" s="117"/>
      <c r="TMR187" s="117"/>
      <c r="TMS187" s="117"/>
      <c r="TMT187" s="117"/>
      <c r="TMU187" s="117"/>
      <c r="TMV187" s="117"/>
      <c r="TMW187" s="117"/>
      <c r="TMX187" s="117"/>
      <c r="TMY187" s="117"/>
      <c r="TMZ187" s="117"/>
      <c r="TNA187" s="117"/>
      <c r="TNB187" s="117"/>
      <c r="TNC187" s="117"/>
      <c r="TND187" s="117"/>
      <c r="TNE187" s="117"/>
      <c r="TNF187" s="117"/>
      <c r="TNG187" s="117"/>
      <c r="TNH187" s="117"/>
      <c r="TNI187" s="117"/>
      <c r="TNJ187" s="117"/>
      <c r="TNK187" s="117"/>
      <c r="TNL187" s="117"/>
      <c r="TNM187" s="117"/>
      <c r="TNN187" s="117"/>
      <c r="TNO187" s="117"/>
      <c r="TNP187" s="117"/>
      <c r="TNQ187" s="117"/>
      <c r="TNR187" s="117"/>
      <c r="TNS187" s="117"/>
      <c r="TNT187" s="117"/>
      <c r="TNU187" s="117"/>
      <c r="TNV187" s="117"/>
      <c r="TNW187" s="117"/>
      <c r="TNX187" s="117"/>
      <c r="TNY187" s="117"/>
      <c r="TNZ187" s="117"/>
      <c r="TOA187" s="117"/>
      <c r="TOB187" s="117"/>
      <c r="TOC187" s="117"/>
      <c r="TOD187" s="117"/>
      <c r="TOE187" s="117"/>
      <c r="TOF187" s="117"/>
      <c r="TOG187" s="117"/>
      <c r="TOH187" s="117"/>
      <c r="TOI187" s="117"/>
      <c r="TOJ187" s="117"/>
      <c r="TOK187" s="117"/>
      <c r="TOL187" s="117"/>
      <c r="TOM187" s="117"/>
      <c r="TON187" s="117"/>
      <c r="TOO187" s="117"/>
      <c r="TOP187" s="117"/>
      <c r="TOQ187" s="117"/>
      <c r="TOR187" s="117"/>
      <c r="TOS187" s="117"/>
      <c r="TOT187" s="117"/>
      <c r="TOU187" s="117"/>
      <c r="TOV187" s="117"/>
      <c r="TOW187" s="117"/>
      <c r="TOX187" s="117"/>
      <c r="TOY187" s="117"/>
      <c r="TOZ187" s="117"/>
      <c r="TPA187" s="117"/>
      <c r="TPB187" s="117"/>
      <c r="TPC187" s="117"/>
      <c r="TPD187" s="117"/>
      <c r="TPE187" s="117"/>
      <c r="TPF187" s="117"/>
      <c r="TPG187" s="117"/>
      <c r="TPH187" s="117"/>
      <c r="TPI187" s="117"/>
      <c r="TPJ187" s="117"/>
      <c r="TPK187" s="117"/>
      <c r="TPL187" s="117"/>
      <c r="TPM187" s="117"/>
      <c r="TPN187" s="117"/>
      <c r="TPO187" s="117"/>
      <c r="TPP187" s="117"/>
      <c r="TPQ187" s="117"/>
      <c r="TPR187" s="117"/>
      <c r="TPS187" s="117"/>
      <c r="TPT187" s="117"/>
      <c r="TPU187" s="117"/>
      <c r="TPV187" s="117"/>
      <c r="TPW187" s="117"/>
      <c r="TPX187" s="117"/>
      <c r="TPY187" s="117"/>
      <c r="TPZ187" s="117"/>
      <c r="TQA187" s="117"/>
      <c r="TQB187" s="117"/>
      <c r="TQC187" s="117"/>
      <c r="TQD187" s="117"/>
      <c r="TQE187" s="117"/>
      <c r="TQF187" s="117"/>
      <c r="TQG187" s="117"/>
      <c r="TQH187" s="117"/>
      <c r="TQI187" s="117"/>
      <c r="TQJ187" s="117"/>
      <c r="TQK187" s="117"/>
      <c r="TQL187" s="117"/>
      <c r="TQM187" s="117"/>
      <c r="TQN187" s="117"/>
      <c r="TQO187" s="117"/>
      <c r="TQP187" s="117"/>
      <c r="TQQ187" s="117"/>
      <c r="TQR187" s="117"/>
      <c r="TQS187" s="117"/>
      <c r="TQT187" s="117"/>
      <c r="TQU187" s="117"/>
      <c r="TQV187" s="117"/>
      <c r="TQW187" s="117"/>
      <c r="TQX187" s="117"/>
      <c r="TQY187" s="117"/>
      <c r="TQZ187" s="117"/>
      <c r="TRA187" s="117"/>
      <c r="TRB187" s="117"/>
      <c r="TRC187" s="117"/>
      <c r="TRD187" s="117"/>
      <c r="TRE187" s="117"/>
      <c r="TRF187" s="117"/>
      <c r="TRG187" s="117"/>
      <c r="TRH187" s="117"/>
      <c r="TRI187" s="117"/>
      <c r="TRJ187" s="117"/>
      <c r="TRK187" s="117"/>
      <c r="TRL187" s="117"/>
      <c r="TRM187" s="117"/>
      <c r="TRN187" s="117"/>
      <c r="TRO187" s="117"/>
      <c r="TRP187" s="117"/>
      <c r="TRQ187" s="117"/>
      <c r="TRR187" s="117"/>
      <c r="TRS187" s="117"/>
      <c r="TRT187" s="117"/>
      <c r="TRU187" s="117"/>
      <c r="TRV187" s="117"/>
      <c r="TRW187" s="117"/>
      <c r="TRX187" s="117"/>
      <c r="TRY187" s="117"/>
      <c r="TRZ187" s="117"/>
      <c r="TSA187" s="117"/>
      <c r="TSB187" s="117"/>
      <c r="TSC187" s="117"/>
      <c r="TSD187" s="117"/>
      <c r="TSE187" s="117"/>
      <c r="TSF187" s="117"/>
      <c r="TSG187" s="117"/>
      <c r="TSH187" s="117"/>
      <c r="TSI187" s="117"/>
      <c r="TSJ187" s="117"/>
      <c r="TSK187" s="117"/>
      <c r="TSL187" s="117"/>
      <c r="TSM187" s="117"/>
      <c r="TSN187" s="117"/>
      <c r="TSO187" s="117"/>
      <c r="TSP187" s="117"/>
      <c r="TSQ187" s="117"/>
      <c r="TSR187" s="117"/>
      <c r="TSS187" s="117"/>
      <c r="TST187" s="117"/>
      <c r="TSU187" s="117"/>
      <c r="TSV187" s="117"/>
      <c r="TSW187" s="117"/>
      <c r="TSX187" s="117"/>
      <c r="TSY187" s="117"/>
      <c r="TSZ187" s="117"/>
      <c r="TTA187" s="117"/>
      <c r="TTB187" s="117"/>
      <c r="TTC187" s="117"/>
      <c r="TTD187" s="117"/>
      <c r="TTE187" s="117"/>
      <c r="TTF187" s="117"/>
      <c r="TTG187" s="117"/>
      <c r="TTH187" s="117"/>
      <c r="TTI187" s="117"/>
      <c r="TTJ187" s="117"/>
      <c r="TTK187" s="117"/>
      <c r="TTL187" s="117"/>
      <c r="TTM187" s="117"/>
      <c r="TTN187" s="117"/>
      <c r="TTO187" s="117"/>
      <c r="TTP187" s="117"/>
      <c r="TTQ187" s="117"/>
      <c r="TTR187" s="117"/>
      <c r="TTS187" s="117"/>
      <c r="TTT187" s="117"/>
      <c r="TTU187" s="117"/>
      <c r="TTV187" s="117"/>
      <c r="TTW187" s="117"/>
      <c r="TTX187" s="117"/>
      <c r="TTY187" s="117"/>
      <c r="TTZ187" s="117"/>
      <c r="TUA187" s="117"/>
      <c r="TUB187" s="117"/>
      <c r="TUC187" s="117"/>
      <c r="TUD187" s="117"/>
      <c r="TUE187" s="117"/>
      <c r="TUF187" s="117"/>
      <c r="TUG187" s="117"/>
      <c r="TUH187" s="117"/>
      <c r="TUI187" s="117"/>
      <c r="TUJ187" s="117"/>
      <c r="TUK187" s="117"/>
      <c r="TUL187" s="117"/>
      <c r="TUM187" s="117"/>
      <c r="TUN187" s="117"/>
      <c r="TUO187" s="117"/>
      <c r="TUP187" s="117"/>
      <c r="TUQ187" s="117"/>
      <c r="TUR187" s="117"/>
      <c r="TUS187" s="117"/>
      <c r="TUT187" s="117"/>
      <c r="TUU187" s="117"/>
      <c r="TUV187" s="117"/>
      <c r="TUW187" s="117"/>
      <c r="TUX187" s="117"/>
      <c r="TUY187" s="117"/>
      <c r="TUZ187" s="117"/>
      <c r="TVA187" s="117"/>
      <c r="TVB187" s="117"/>
      <c r="TVC187" s="117"/>
      <c r="TVD187" s="117"/>
      <c r="TVE187" s="117"/>
      <c r="TVF187" s="117"/>
      <c r="TVG187" s="117"/>
      <c r="TVH187" s="117"/>
      <c r="TVI187" s="117"/>
      <c r="TVJ187" s="117"/>
      <c r="TVK187" s="117"/>
      <c r="TVL187" s="117"/>
      <c r="TVM187" s="117"/>
      <c r="TVN187" s="117"/>
      <c r="TVO187" s="117"/>
      <c r="TVP187" s="117"/>
      <c r="TVQ187" s="117"/>
      <c r="TVR187" s="117"/>
      <c r="TVS187" s="117"/>
      <c r="TVT187" s="117"/>
      <c r="TVU187" s="117"/>
      <c r="TVV187" s="117"/>
      <c r="TVW187" s="117"/>
      <c r="TVX187" s="117"/>
      <c r="TVY187" s="117"/>
      <c r="TVZ187" s="117"/>
      <c r="TWA187" s="117"/>
      <c r="TWB187" s="117"/>
      <c r="TWC187" s="117"/>
      <c r="TWD187" s="117"/>
      <c r="TWE187" s="117"/>
      <c r="TWF187" s="117"/>
      <c r="TWG187" s="117"/>
      <c r="TWH187" s="117"/>
      <c r="TWI187" s="117"/>
      <c r="TWJ187" s="117"/>
      <c r="TWK187" s="117"/>
      <c r="TWL187" s="117"/>
      <c r="TWM187" s="117"/>
      <c r="TWN187" s="117"/>
      <c r="TWO187" s="117"/>
      <c r="TWP187" s="117"/>
      <c r="TWQ187" s="117"/>
      <c r="TWR187" s="117"/>
      <c r="TWS187" s="117"/>
      <c r="TWT187" s="117"/>
      <c r="TWU187" s="117"/>
      <c r="TWV187" s="117"/>
      <c r="TWW187" s="117"/>
      <c r="TWX187" s="117"/>
      <c r="TWY187" s="117"/>
      <c r="TWZ187" s="117"/>
      <c r="TXA187" s="117"/>
      <c r="TXB187" s="117"/>
      <c r="TXC187" s="117"/>
      <c r="TXD187" s="117"/>
      <c r="TXE187" s="117"/>
      <c r="TXF187" s="117"/>
      <c r="TXG187" s="117"/>
      <c r="TXH187" s="117"/>
      <c r="TXI187" s="117"/>
      <c r="TXJ187" s="117"/>
      <c r="TXK187" s="117"/>
      <c r="TXL187" s="117"/>
      <c r="TXM187" s="117"/>
      <c r="TXN187" s="117"/>
      <c r="TXO187" s="117"/>
      <c r="TXP187" s="117"/>
      <c r="TXQ187" s="117"/>
      <c r="TXR187" s="117"/>
      <c r="TXS187" s="117"/>
      <c r="TXT187" s="117"/>
      <c r="TXU187" s="117"/>
      <c r="TXV187" s="117"/>
      <c r="TXW187" s="117"/>
      <c r="TXX187" s="117"/>
      <c r="TXY187" s="117"/>
      <c r="TXZ187" s="117"/>
      <c r="TYA187" s="117"/>
      <c r="TYB187" s="117"/>
      <c r="TYC187" s="117"/>
      <c r="TYD187" s="117"/>
      <c r="TYE187" s="117"/>
      <c r="TYF187" s="117"/>
      <c r="TYG187" s="117"/>
      <c r="TYH187" s="117"/>
      <c r="TYI187" s="117"/>
      <c r="TYJ187" s="117"/>
      <c r="TYK187" s="117"/>
      <c r="TYL187" s="117"/>
      <c r="TYM187" s="117"/>
      <c r="TYN187" s="117"/>
      <c r="TYO187" s="117"/>
      <c r="TYP187" s="117"/>
      <c r="TYQ187" s="117"/>
      <c r="TYR187" s="117"/>
      <c r="TYS187" s="117"/>
      <c r="TYT187" s="117"/>
      <c r="TYU187" s="117"/>
      <c r="TYV187" s="117"/>
      <c r="TYW187" s="117"/>
      <c r="TYX187" s="117"/>
      <c r="TYY187" s="117"/>
      <c r="TYZ187" s="117"/>
      <c r="TZA187" s="117"/>
      <c r="TZB187" s="117"/>
      <c r="TZC187" s="117"/>
      <c r="TZD187" s="117"/>
      <c r="TZE187" s="117"/>
      <c r="TZF187" s="117"/>
      <c r="TZG187" s="117"/>
      <c r="TZH187" s="117"/>
      <c r="TZI187" s="117"/>
      <c r="TZJ187" s="117"/>
      <c r="TZK187" s="117"/>
      <c r="TZL187" s="117"/>
      <c r="TZM187" s="117"/>
      <c r="TZN187" s="117"/>
      <c r="TZO187" s="117"/>
      <c r="TZP187" s="117"/>
      <c r="TZQ187" s="117"/>
      <c r="TZR187" s="117"/>
      <c r="TZS187" s="117"/>
      <c r="TZT187" s="117"/>
      <c r="TZU187" s="117"/>
      <c r="TZV187" s="117"/>
      <c r="TZW187" s="117"/>
      <c r="TZX187" s="117"/>
      <c r="TZY187" s="117"/>
      <c r="TZZ187" s="117"/>
      <c r="UAA187" s="117"/>
      <c r="UAB187" s="117"/>
      <c r="UAC187" s="117"/>
      <c r="UAD187" s="117"/>
      <c r="UAE187" s="117"/>
      <c r="UAF187" s="117"/>
      <c r="UAG187" s="117"/>
      <c r="UAH187" s="117"/>
      <c r="UAI187" s="117"/>
      <c r="UAJ187" s="117"/>
      <c r="UAK187" s="117"/>
      <c r="UAL187" s="117"/>
      <c r="UAM187" s="117"/>
      <c r="UAN187" s="117"/>
      <c r="UAO187" s="117"/>
      <c r="UAP187" s="117"/>
      <c r="UAQ187" s="117"/>
      <c r="UAR187" s="117"/>
      <c r="UAS187" s="117"/>
      <c r="UAT187" s="117"/>
      <c r="UAU187" s="117"/>
      <c r="UAV187" s="117"/>
      <c r="UAW187" s="117"/>
      <c r="UAX187" s="117"/>
      <c r="UAY187" s="117"/>
      <c r="UAZ187" s="117"/>
      <c r="UBA187" s="117"/>
      <c r="UBB187" s="117"/>
      <c r="UBC187" s="117"/>
      <c r="UBD187" s="117"/>
      <c r="UBE187" s="117"/>
      <c r="UBF187" s="117"/>
      <c r="UBG187" s="117"/>
      <c r="UBH187" s="117"/>
      <c r="UBI187" s="117"/>
      <c r="UBJ187" s="117"/>
      <c r="UBK187" s="117"/>
      <c r="UBL187" s="117"/>
      <c r="UBM187" s="117"/>
      <c r="UBN187" s="117"/>
      <c r="UBO187" s="117"/>
      <c r="UBP187" s="117"/>
      <c r="UBQ187" s="117"/>
      <c r="UBR187" s="117"/>
      <c r="UBS187" s="117"/>
      <c r="UBT187" s="117"/>
      <c r="UBU187" s="117"/>
      <c r="UBV187" s="117"/>
      <c r="UBW187" s="117"/>
      <c r="UBX187" s="117"/>
      <c r="UBY187" s="117"/>
      <c r="UBZ187" s="117"/>
      <c r="UCA187" s="117"/>
      <c r="UCB187" s="117"/>
      <c r="UCC187" s="117"/>
      <c r="UCD187" s="117"/>
      <c r="UCE187" s="117"/>
      <c r="UCF187" s="117"/>
      <c r="UCG187" s="117"/>
      <c r="UCH187" s="117"/>
      <c r="UCI187" s="117"/>
      <c r="UCJ187" s="117"/>
      <c r="UCK187" s="117"/>
      <c r="UCL187" s="117"/>
      <c r="UCM187" s="117"/>
      <c r="UCN187" s="117"/>
      <c r="UCO187" s="117"/>
      <c r="UCP187" s="117"/>
      <c r="UCQ187" s="117"/>
      <c r="UCR187" s="117"/>
      <c r="UCS187" s="117"/>
      <c r="UCT187" s="117"/>
      <c r="UCU187" s="117"/>
      <c r="UCV187" s="117"/>
      <c r="UCW187" s="117"/>
      <c r="UCX187" s="117"/>
      <c r="UCY187" s="117"/>
      <c r="UCZ187" s="117"/>
      <c r="UDA187" s="117"/>
      <c r="UDB187" s="117"/>
      <c r="UDC187" s="117"/>
      <c r="UDD187" s="117"/>
      <c r="UDE187" s="117"/>
      <c r="UDF187" s="117"/>
      <c r="UDG187" s="117"/>
      <c r="UDH187" s="117"/>
      <c r="UDI187" s="117"/>
      <c r="UDJ187" s="117"/>
      <c r="UDK187" s="117"/>
      <c r="UDL187" s="117"/>
      <c r="UDM187" s="117"/>
      <c r="UDN187" s="117"/>
      <c r="UDO187" s="117"/>
      <c r="UDP187" s="117"/>
      <c r="UDQ187" s="117"/>
      <c r="UDR187" s="117"/>
      <c r="UDS187" s="117"/>
      <c r="UDT187" s="117"/>
      <c r="UDU187" s="117"/>
      <c r="UDV187" s="117"/>
      <c r="UDW187" s="117"/>
      <c r="UDX187" s="117"/>
      <c r="UDY187" s="117"/>
      <c r="UDZ187" s="117"/>
      <c r="UEA187" s="117"/>
      <c r="UEB187" s="117"/>
      <c r="UEC187" s="117"/>
      <c r="UED187" s="117"/>
      <c r="UEE187" s="117"/>
      <c r="UEF187" s="117"/>
      <c r="UEG187" s="117"/>
      <c r="UEH187" s="117"/>
      <c r="UEI187" s="117"/>
      <c r="UEJ187" s="117"/>
      <c r="UEK187" s="117"/>
      <c r="UEL187" s="117"/>
      <c r="UEM187" s="117"/>
      <c r="UEN187" s="117"/>
      <c r="UEO187" s="117"/>
      <c r="UEP187" s="117"/>
      <c r="UEQ187" s="117"/>
      <c r="UER187" s="117"/>
      <c r="UES187" s="117"/>
      <c r="UET187" s="117"/>
      <c r="UEU187" s="117"/>
      <c r="UEV187" s="117"/>
      <c r="UEW187" s="117"/>
      <c r="UEX187" s="117"/>
      <c r="UEY187" s="117"/>
      <c r="UEZ187" s="117"/>
      <c r="UFA187" s="117"/>
      <c r="UFB187" s="117"/>
      <c r="UFC187" s="117"/>
      <c r="UFD187" s="117"/>
      <c r="UFE187" s="117"/>
      <c r="UFF187" s="117"/>
      <c r="UFG187" s="117"/>
      <c r="UFH187" s="117"/>
      <c r="UFI187" s="117"/>
      <c r="UFJ187" s="117"/>
      <c r="UFK187" s="117"/>
      <c r="UFL187" s="117"/>
      <c r="UFM187" s="117"/>
      <c r="UFN187" s="117"/>
      <c r="UFO187" s="117"/>
      <c r="UFP187" s="117"/>
      <c r="UFQ187" s="117"/>
      <c r="UFR187" s="117"/>
      <c r="UFS187" s="117"/>
      <c r="UFT187" s="117"/>
      <c r="UFU187" s="117"/>
      <c r="UFV187" s="117"/>
      <c r="UFW187" s="117"/>
      <c r="UFX187" s="117"/>
      <c r="UFY187" s="117"/>
      <c r="UFZ187" s="117"/>
      <c r="UGA187" s="117"/>
      <c r="UGB187" s="117"/>
      <c r="UGC187" s="117"/>
      <c r="UGD187" s="117"/>
      <c r="UGE187" s="117"/>
      <c r="UGF187" s="117"/>
      <c r="UGG187" s="117"/>
      <c r="UGH187" s="117"/>
      <c r="UGI187" s="117"/>
      <c r="UGJ187" s="117"/>
      <c r="UGK187" s="117"/>
      <c r="UGL187" s="117"/>
      <c r="UGM187" s="117"/>
      <c r="UGN187" s="117"/>
      <c r="UGO187" s="117"/>
      <c r="UGP187" s="117"/>
      <c r="UGQ187" s="117"/>
      <c r="UGR187" s="117"/>
      <c r="UGS187" s="117"/>
      <c r="UGT187" s="117"/>
      <c r="UGU187" s="117"/>
      <c r="UGV187" s="117"/>
      <c r="UGW187" s="117"/>
      <c r="UGX187" s="117"/>
      <c r="UGY187" s="117"/>
      <c r="UGZ187" s="117"/>
      <c r="UHA187" s="117"/>
      <c r="UHB187" s="117"/>
      <c r="UHC187" s="117"/>
      <c r="UHD187" s="117"/>
      <c r="UHE187" s="117"/>
      <c r="UHF187" s="117"/>
      <c r="UHG187" s="117"/>
      <c r="UHH187" s="117"/>
      <c r="UHI187" s="117"/>
      <c r="UHJ187" s="117"/>
      <c r="UHK187" s="117"/>
      <c r="UHL187" s="117"/>
      <c r="UHM187" s="117"/>
      <c r="UHN187" s="117"/>
      <c r="UHO187" s="117"/>
      <c r="UHP187" s="117"/>
      <c r="UHQ187" s="117"/>
      <c r="UHR187" s="117"/>
      <c r="UHS187" s="117"/>
      <c r="UHT187" s="117"/>
      <c r="UHU187" s="117"/>
      <c r="UHV187" s="117"/>
      <c r="UHW187" s="117"/>
      <c r="UHX187" s="117"/>
      <c r="UHY187" s="117"/>
      <c r="UHZ187" s="117"/>
      <c r="UIA187" s="117"/>
      <c r="UIB187" s="117"/>
      <c r="UIC187" s="117"/>
      <c r="UID187" s="117"/>
      <c r="UIE187" s="117"/>
      <c r="UIF187" s="117"/>
      <c r="UIG187" s="117"/>
      <c r="UIH187" s="117"/>
      <c r="UII187" s="117"/>
      <c r="UIJ187" s="117"/>
      <c r="UIK187" s="117"/>
      <c r="UIL187" s="117"/>
      <c r="UIM187" s="117"/>
      <c r="UIN187" s="117"/>
      <c r="UIO187" s="117"/>
      <c r="UIP187" s="117"/>
      <c r="UIQ187" s="117"/>
      <c r="UIR187" s="117"/>
      <c r="UIS187" s="117"/>
      <c r="UIT187" s="117"/>
      <c r="UIU187" s="117"/>
      <c r="UIV187" s="117"/>
      <c r="UIW187" s="117"/>
      <c r="UIX187" s="117"/>
      <c r="UIY187" s="117"/>
      <c r="UIZ187" s="117"/>
      <c r="UJA187" s="117"/>
      <c r="UJB187" s="117"/>
      <c r="UJC187" s="117"/>
      <c r="UJD187" s="117"/>
      <c r="UJE187" s="117"/>
      <c r="UJF187" s="117"/>
      <c r="UJG187" s="117"/>
      <c r="UJH187" s="117"/>
      <c r="UJI187" s="117"/>
      <c r="UJJ187" s="117"/>
      <c r="UJK187" s="117"/>
      <c r="UJL187" s="117"/>
      <c r="UJM187" s="117"/>
      <c r="UJN187" s="117"/>
      <c r="UJO187" s="117"/>
      <c r="UJP187" s="117"/>
      <c r="UJQ187" s="117"/>
      <c r="UJR187" s="117"/>
      <c r="UJS187" s="117"/>
      <c r="UJT187" s="117"/>
      <c r="UJU187" s="117"/>
      <c r="UJV187" s="117"/>
      <c r="UJW187" s="117"/>
      <c r="UJX187" s="117"/>
      <c r="UJY187" s="117"/>
      <c r="UJZ187" s="117"/>
      <c r="UKA187" s="117"/>
      <c r="UKB187" s="117"/>
      <c r="UKC187" s="117"/>
      <c r="UKD187" s="117"/>
      <c r="UKE187" s="117"/>
      <c r="UKF187" s="117"/>
      <c r="UKG187" s="117"/>
      <c r="UKH187" s="117"/>
      <c r="UKI187" s="117"/>
      <c r="UKJ187" s="117"/>
      <c r="UKK187" s="117"/>
      <c r="UKL187" s="117"/>
      <c r="UKM187" s="117"/>
      <c r="UKN187" s="117"/>
      <c r="UKO187" s="117"/>
      <c r="UKP187" s="117"/>
      <c r="UKQ187" s="117"/>
      <c r="UKR187" s="117"/>
      <c r="UKS187" s="117"/>
      <c r="UKT187" s="117"/>
      <c r="UKU187" s="117"/>
      <c r="UKV187" s="117"/>
      <c r="UKW187" s="117"/>
      <c r="UKX187" s="117"/>
      <c r="UKY187" s="117"/>
      <c r="UKZ187" s="117"/>
      <c r="ULA187" s="117"/>
      <c r="ULB187" s="117"/>
      <c r="ULC187" s="117"/>
      <c r="ULD187" s="117"/>
      <c r="ULE187" s="117"/>
      <c r="ULF187" s="117"/>
      <c r="ULG187" s="117"/>
      <c r="ULH187" s="117"/>
      <c r="ULI187" s="117"/>
      <c r="ULJ187" s="117"/>
      <c r="ULK187" s="117"/>
      <c r="ULL187" s="117"/>
      <c r="ULM187" s="117"/>
      <c r="ULN187" s="117"/>
      <c r="ULO187" s="117"/>
      <c r="ULP187" s="117"/>
      <c r="ULQ187" s="117"/>
      <c r="ULR187" s="117"/>
      <c r="ULS187" s="117"/>
      <c r="ULT187" s="117"/>
      <c r="ULU187" s="117"/>
      <c r="ULV187" s="117"/>
      <c r="ULW187" s="117"/>
      <c r="ULX187" s="117"/>
      <c r="ULY187" s="117"/>
      <c r="ULZ187" s="117"/>
      <c r="UMA187" s="117"/>
      <c r="UMB187" s="117"/>
      <c r="UMC187" s="117"/>
      <c r="UMD187" s="117"/>
      <c r="UME187" s="117"/>
      <c r="UMF187" s="117"/>
      <c r="UMG187" s="117"/>
      <c r="UMH187" s="117"/>
      <c r="UMI187" s="117"/>
      <c r="UMJ187" s="117"/>
      <c r="UMK187" s="117"/>
      <c r="UML187" s="117"/>
      <c r="UMM187" s="117"/>
      <c r="UMN187" s="117"/>
      <c r="UMO187" s="117"/>
      <c r="UMP187" s="117"/>
      <c r="UMQ187" s="117"/>
      <c r="UMR187" s="117"/>
      <c r="UMS187" s="117"/>
      <c r="UMT187" s="117"/>
      <c r="UMU187" s="117"/>
      <c r="UMV187" s="117"/>
      <c r="UMW187" s="117"/>
      <c r="UMX187" s="117"/>
      <c r="UMY187" s="117"/>
      <c r="UMZ187" s="117"/>
      <c r="UNA187" s="117"/>
      <c r="UNB187" s="117"/>
      <c r="UNC187" s="117"/>
      <c r="UND187" s="117"/>
      <c r="UNE187" s="117"/>
      <c r="UNF187" s="117"/>
      <c r="UNG187" s="117"/>
      <c r="UNH187" s="117"/>
      <c r="UNI187" s="117"/>
      <c r="UNJ187" s="117"/>
      <c r="UNK187" s="117"/>
      <c r="UNL187" s="117"/>
      <c r="UNM187" s="117"/>
      <c r="UNN187" s="117"/>
      <c r="UNO187" s="117"/>
      <c r="UNP187" s="117"/>
      <c r="UNQ187" s="117"/>
      <c r="UNR187" s="117"/>
      <c r="UNS187" s="117"/>
      <c r="UNT187" s="117"/>
      <c r="UNU187" s="117"/>
      <c r="UNV187" s="117"/>
      <c r="UNW187" s="117"/>
      <c r="UNX187" s="117"/>
      <c r="UNY187" s="117"/>
      <c r="UNZ187" s="117"/>
      <c r="UOA187" s="117"/>
      <c r="UOB187" s="117"/>
      <c r="UOC187" s="117"/>
      <c r="UOD187" s="117"/>
      <c r="UOE187" s="117"/>
      <c r="UOF187" s="117"/>
      <c r="UOG187" s="117"/>
      <c r="UOH187" s="117"/>
      <c r="UOI187" s="117"/>
      <c r="UOJ187" s="117"/>
      <c r="UOK187" s="117"/>
      <c r="UOL187" s="117"/>
      <c r="UOM187" s="117"/>
      <c r="UON187" s="117"/>
      <c r="UOO187" s="117"/>
      <c r="UOP187" s="117"/>
      <c r="UOQ187" s="117"/>
      <c r="UOR187" s="117"/>
      <c r="UOS187" s="117"/>
      <c r="UOT187" s="117"/>
      <c r="UOU187" s="117"/>
      <c r="UOV187" s="117"/>
      <c r="UOW187" s="117"/>
      <c r="UOX187" s="117"/>
      <c r="UOY187" s="117"/>
      <c r="UOZ187" s="117"/>
      <c r="UPA187" s="117"/>
      <c r="UPB187" s="117"/>
      <c r="UPC187" s="117"/>
      <c r="UPD187" s="117"/>
      <c r="UPE187" s="117"/>
      <c r="UPF187" s="117"/>
      <c r="UPG187" s="117"/>
      <c r="UPH187" s="117"/>
      <c r="UPI187" s="117"/>
      <c r="UPJ187" s="117"/>
      <c r="UPK187" s="117"/>
      <c r="UPL187" s="117"/>
      <c r="UPM187" s="117"/>
      <c r="UPN187" s="117"/>
      <c r="UPO187" s="117"/>
      <c r="UPP187" s="117"/>
      <c r="UPQ187" s="117"/>
      <c r="UPR187" s="117"/>
      <c r="UPS187" s="117"/>
      <c r="UPT187" s="117"/>
      <c r="UPU187" s="117"/>
      <c r="UPV187" s="117"/>
      <c r="UPW187" s="117"/>
      <c r="UPX187" s="117"/>
      <c r="UPY187" s="117"/>
      <c r="UPZ187" s="117"/>
      <c r="UQA187" s="117"/>
      <c r="UQB187" s="117"/>
      <c r="UQC187" s="117"/>
      <c r="UQD187" s="117"/>
      <c r="UQE187" s="117"/>
      <c r="UQF187" s="117"/>
      <c r="UQG187" s="117"/>
      <c r="UQH187" s="117"/>
      <c r="UQI187" s="117"/>
      <c r="UQJ187" s="117"/>
      <c r="UQK187" s="117"/>
      <c r="UQL187" s="117"/>
      <c r="UQM187" s="117"/>
      <c r="UQN187" s="117"/>
      <c r="UQO187" s="117"/>
      <c r="UQP187" s="117"/>
      <c r="UQQ187" s="117"/>
      <c r="UQR187" s="117"/>
      <c r="UQS187" s="117"/>
      <c r="UQT187" s="117"/>
      <c r="UQU187" s="117"/>
      <c r="UQV187" s="117"/>
      <c r="UQW187" s="117"/>
      <c r="UQX187" s="117"/>
      <c r="UQY187" s="117"/>
      <c r="UQZ187" s="117"/>
      <c r="URA187" s="117"/>
      <c r="URB187" s="117"/>
      <c r="URC187" s="117"/>
      <c r="URD187" s="117"/>
      <c r="URE187" s="117"/>
      <c r="URF187" s="117"/>
      <c r="URG187" s="117"/>
      <c r="URH187" s="117"/>
      <c r="URI187" s="117"/>
      <c r="URJ187" s="117"/>
      <c r="URK187" s="117"/>
      <c r="URL187" s="117"/>
      <c r="URM187" s="117"/>
      <c r="URN187" s="117"/>
      <c r="URO187" s="117"/>
      <c r="URP187" s="117"/>
      <c r="URQ187" s="117"/>
      <c r="URR187" s="117"/>
      <c r="URS187" s="117"/>
      <c r="URT187" s="117"/>
      <c r="URU187" s="117"/>
      <c r="URV187" s="117"/>
      <c r="URW187" s="117"/>
      <c r="URX187" s="117"/>
      <c r="URY187" s="117"/>
      <c r="URZ187" s="117"/>
      <c r="USA187" s="117"/>
      <c r="USB187" s="117"/>
      <c r="USC187" s="117"/>
      <c r="USD187" s="117"/>
      <c r="USE187" s="117"/>
      <c r="USF187" s="117"/>
      <c r="USG187" s="117"/>
      <c r="USH187" s="117"/>
      <c r="USI187" s="117"/>
      <c r="USJ187" s="117"/>
      <c r="USK187" s="117"/>
      <c r="USL187" s="117"/>
      <c r="USM187" s="117"/>
      <c r="USN187" s="117"/>
      <c r="USO187" s="117"/>
      <c r="USP187" s="117"/>
      <c r="USQ187" s="117"/>
      <c r="USR187" s="117"/>
      <c r="USS187" s="117"/>
      <c r="UST187" s="117"/>
      <c r="USU187" s="117"/>
      <c r="USV187" s="117"/>
      <c r="USW187" s="117"/>
      <c r="USX187" s="117"/>
      <c r="USY187" s="117"/>
      <c r="USZ187" s="117"/>
      <c r="UTA187" s="117"/>
      <c r="UTB187" s="117"/>
      <c r="UTC187" s="117"/>
      <c r="UTD187" s="117"/>
      <c r="UTE187" s="117"/>
      <c r="UTF187" s="117"/>
      <c r="UTG187" s="117"/>
      <c r="UTH187" s="117"/>
      <c r="UTI187" s="117"/>
      <c r="UTJ187" s="117"/>
      <c r="UTK187" s="117"/>
      <c r="UTL187" s="117"/>
      <c r="UTM187" s="117"/>
      <c r="UTN187" s="117"/>
      <c r="UTO187" s="117"/>
      <c r="UTP187" s="117"/>
      <c r="UTQ187" s="117"/>
      <c r="UTR187" s="117"/>
      <c r="UTS187" s="117"/>
      <c r="UTT187" s="117"/>
      <c r="UTU187" s="117"/>
      <c r="UTV187" s="117"/>
      <c r="UTW187" s="117"/>
      <c r="UTX187" s="117"/>
      <c r="UTY187" s="117"/>
      <c r="UTZ187" s="117"/>
      <c r="UUA187" s="117"/>
      <c r="UUB187" s="117"/>
      <c r="UUC187" s="117"/>
      <c r="UUD187" s="117"/>
      <c r="UUE187" s="117"/>
      <c r="UUF187" s="117"/>
      <c r="UUG187" s="117"/>
      <c r="UUH187" s="117"/>
      <c r="UUI187" s="117"/>
      <c r="UUJ187" s="117"/>
      <c r="UUK187" s="117"/>
      <c r="UUL187" s="117"/>
      <c r="UUM187" s="117"/>
      <c r="UUN187" s="117"/>
      <c r="UUO187" s="117"/>
      <c r="UUP187" s="117"/>
      <c r="UUQ187" s="117"/>
      <c r="UUR187" s="117"/>
      <c r="UUS187" s="117"/>
      <c r="UUT187" s="117"/>
      <c r="UUU187" s="117"/>
      <c r="UUV187" s="117"/>
      <c r="UUW187" s="117"/>
      <c r="UUX187" s="117"/>
      <c r="UUY187" s="117"/>
      <c r="UUZ187" s="117"/>
      <c r="UVA187" s="117"/>
      <c r="UVB187" s="117"/>
      <c r="UVC187" s="117"/>
      <c r="UVD187" s="117"/>
      <c r="UVE187" s="117"/>
      <c r="UVF187" s="117"/>
      <c r="UVG187" s="117"/>
      <c r="UVH187" s="117"/>
      <c r="UVI187" s="117"/>
      <c r="UVJ187" s="117"/>
      <c r="UVK187" s="117"/>
      <c r="UVL187" s="117"/>
      <c r="UVM187" s="117"/>
      <c r="UVN187" s="117"/>
      <c r="UVO187" s="117"/>
      <c r="UVP187" s="117"/>
      <c r="UVQ187" s="117"/>
      <c r="UVR187" s="117"/>
      <c r="UVS187" s="117"/>
      <c r="UVT187" s="117"/>
      <c r="UVU187" s="117"/>
      <c r="UVV187" s="117"/>
      <c r="UVW187" s="117"/>
      <c r="UVX187" s="117"/>
      <c r="UVY187" s="117"/>
      <c r="UVZ187" s="117"/>
      <c r="UWA187" s="117"/>
      <c r="UWB187" s="117"/>
      <c r="UWC187" s="117"/>
      <c r="UWD187" s="117"/>
      <c r="UWE187" s="117"/>
      <c r="UWF187" s="117"/>
      <c r="UWG187" s="117"/>
      <c r="UWH187" s="117"/>
      <c r="UWI187" s="117"/>
      <c r="UWJ187" s="117"/>
      <c r="UWK187" s="117"/>
      <c r="UWL187" s="117"/>
      <c r="UWM187" s="117"/>
      <c r="UWN187" s="117"/>
      <c r="UWO187" s="117"/>
      <c r="UWP187" s="117"/>
      <c r="UWQ187" s="117"/>
      <c r="UWR187" s="117"/>
      <c r="UWS187" s="117"/>
      <c r="UWT187" s="117"/>
      <c r="UWU187" s="117"/>
      <c r="UWV187" s="117"/>
      <c r="UWW187" s="117"/>
      <c r="UWX187" s="117"/>
      <c r="UWY187" s="117"/>
      <c r="UWZ187" s="117"/>
      <c r="UXA187" s="117"/>
      <c r="UXB187" s="117"/>
      <c r="UXC187" s="117"/>
      <c r="UXD187" s="117"/>
      <c r="UXE187" s="117"/>
      <c r="UXF187" s="117"/>
      <c r="UXG187" s="117"/>
      <c r="UXH187" s="117"/>
      <c r="UXI187" s="117"/>
      <c r="UXJ187" s="117"/>
      <c r="UXK187" s="117"/>
      <c r="UXL187" s="117"/>
      <c r="UXM187" s="117"/>
      <c r="UXN187" s="117"/>
      <c r="UXO187" s="117"/>
      <c r="UXP187" s="117"/>
      <c r="UXQ187" s="117"/>
      <c r="UXR187" s="117"/>
      <c r="UXS187" s="117"/>
      <c r="UXT187" s="117"/>
      <c r="UXU187" s="117"/>
      <c r="UXV187" s="117"/>
      <c r="UXW187" s="117"/>
      <c r="UXX187" s="117"/>
      <c r="UXY187" s="117"/>
      <c r="UXZ187" s="117"/>
      <c r="UYA187" s="117"/>
      <c r="UYB187" s="117"/>
      <c r="UYC187" s="117"/>
      <c r="UYD187" s="117"/>
      <c r="UYE187" s="117"/>
      <c r="UYF187" s="117"/>
      <c r="UYG187" s="117"/>
      <c r="UYH187" s="117"/>
      <c r="UYI187" s="117"/>
      <c r="UYJ187" s="117"/>
      <c r="UYK187" s="117"/>
      <c r="UYL187" s="117"/>
      <c r="UYM187" s="117"/>
      <c r="UYN187" s="117"/>
      <c r="UYO187" s="117"/>
      <c r="UYP187" s="117"/>
      <c r="UYQ187" s="117"/>
      <c r="UYR187" s="117"/>
      <c r="UYS187" s="117"/>
      <c r="UYT187" s="117"/>
      <c r="UYU187" s="117"/>
      <c r="UYV187" s="117"/>
      <c r="UYW187" s="117"/>
      <c r="UYX187" s="117"/>
      <c r="UYY187" s="117"/>
      <c r="UYZ187" s="117"/>
      <c r="UZA187" s="117"/>
      <c r="UZB187" s="117"/>
      <c r="UZC187" s="117"/>
      <c r="UZD187" s="117"/>
      <c r="UZE187" s="117"/>
      <c r="UZF187" s="117"/>
      <c r="UZG187" s="117"/>
      <c r="UZH187" s="117"/>
      <c r="UZI187" s="117"/>
      <c r="UZJ187" s="117"/>
      <c r="UZK187" s="117"/>
      <c r="UZL187" s="117"/>
      <c r="UZM187" s="117"/>
      <c r="UZN187" s="117"/>
      <c r="UZO187" s="117"/>
      <c r="UZP187" s="117"/>
      <c r="UZQ187" s="117"/>
      <c r="UZR187" s="117"/>
      <c r="UZS187" s="117"/>
      <c r="UZT187" s="117"/>
      <c r="UZU187" s="117"/>
      <c r="UZV187" s="117"/>
      <c r="UZW187" s="117"/>
      <c r="UZX187" s="117"/>
      <c r="UZY187" s="117"/>
      <c r="UZZ187" s="117"/>
      <c r="VAA187" s="117"/>
      <c r="VAB187" s="117"/>
      <c r="VAC187" s="117"/>
      <c r="VAD187" s="117"/>
      <c r="VAE187" s="117"/>
      <c r="VAF187" s="117"/>
      <c r="VAG187" s="117"/>
      <c r="VAH187" s="117"/>
      <c r="VAI187" s="117"/>
      <c r="VAJ187" s="117"/>
      <c r="VAK187" s="117"/>
      <c r="VAL187" s="117"/>
      <c r="VAM187" s="117"/>
      <c r="VAN187" s="117"/>
      <c r="VAO187" s="117"/>
      <c r="VAP187" s="117"/>
      <c r="VAQ187" s="117"/>
      <c r="VAR187" s="117"/>
      <c r="VAS187" s="117"/>
      <c r="VAT187" s="117"/>
      <c r="VAU187" s="117"/>
      <c r="VAV187" s="117"/>
      <c r="VAW187" s="117"/>
      <c r="VAX187" s="117"/>
      <c r="VAY187" s="117"/>
      <c r="VAZ187" s="117"/>
      <c r="VBA187" s="117"/>
      <c r="VBB187" s="117"/>
      <c r="VBC187" s="117"/>
      <c r="VBD187" s="117"/>
      <c r="VBE187" s="117"/>
      <c r="VBF187" s="117"/>
      <c r="VBG187" s="117"/>
      <c r="VBH187" s="117"/>
      <c r="VBI187" s="117"/>
      <c r="VBJ187" s="117"/>
      <c r="VBK187" s="117"/>
      <c r="VBL187" s="117"/>
      <c r="VBM187" s="117"/>
      <c r="VBN187" s="117"/>
      <c r="VBO187" s="117"/>
      <c r="VBP187" s="117"/>
      <c r="VBQ187" s="117"/>
      <c r="VBR187" s="117"/>
      <c r="VBS187" s="117"/>
      <c r="VBT187" s="117"/>
      <c r="VBU187" s="117"/>
      <c r="VBV187" s="117"/>
      <c r="VBW187" s="117"/>
      <c r="VBX187" s="117"/>
      <c r="VBY187" s="117"/>
      <c r="VBZ187" s="117"/>
      <c r="VCA187" s="117"/>
      <c r="VCB187" s="117"/>
      <c r="VCC187" s="117"/>
      <c r="VCD187" s="117"/>
      <c r="VCE187" s="117"/>
      <c r="VCF187" s="117"/>
      <c r="VCG187" s="117"/>
      <c r="VCH187" s="117"/>
      <c r="VCI187" s="117"/>
      <c r="VCJ187" s="117"/>
      <c r="VCK187" s="117"/>
      <c r="VCL187" s="117"/>
      <c r="VCM187" s="117"/>
      <c r="VCN187" s="117"/>
      <c r="VCO187" s="117"/>
      <c r="VCP187" s="117"/>
      <c r="VCQ187" s="117"/>
      <c r="VCR187" s="117"/>
      <c r="VCS187" s="117"/>
      <c r="VCT187" s="117"/>
      <c r="VCU187" s="117"/>
      <c r="VCV187" s="117"/>
      <c r="VCW187" s="117"/>
      <c r="VCX187" s="117"/>
      <c r="VCY187" s="117"/>
      <c r="VCZ187" s="117"/>
      <c r="VDA187" s="117"/>
      <c r="VDB187" s="117"/>
      <c r="VDC187" s="117"/>
      <c r="VDD187" s="117"/>
      <c r="VDE187" s="117"/>
      <c r="VDF187" s="117"/>
      <c r="VDG187" s="117"/>
      <c r="VDH187" s="117"/>
      <c r="VDI187" s="117"/>
      <c r="VDJ187" s="117"/>
      <c r="VDK187" s="117"/>
      <c r="VDL187" s="117"/>
      <c r="VDM187" s="117"/>
      <c r="VDN187" s="117"/>
      <c r="VDO187" s="117"/>
      <c r="VDP187" s="117"/>
      <c r="VDQ187" s="117"/>
      <c r="VDR187" s="117"/>
      <c r="VDS187" s="117"/>
      <c r="VDT187" s="117"/>
      <c r="VDU187" s="117"/>
      <c r="VDV187" s="117"/>
      <c r="VDW187" s="117"/>
      <c r="VDX187" s="117"/>
      <c r="VDY187" s="117"/>
      <c r="VDZ187" s="117"/>
      <c r="VEA187" s="117"/>
      <c r="VEB187" s="117"/>
      <c r="VEC187" s="117"/>
      <c r="VED187" s="117"/>
      <c r="VEE187" s="117"/>
      <c r="VEF187" s="117"/>
      <c r="VEG187" s="117"/>
      <c r="VEH187" s="117"/>
      <c r="VEI187" s="117"/>
      <c r="VEJ187" s="117"/>
      <c r="VEK187" s="117"/>
      <c r="VEL187" s="117"/>
      <c r="VEM187" s="117"/>
      <c r="VEN187" s="117"/>
      <c r="VEO187" s="117"/>
      <c r="VEP187" s="117"/>
      <c r="VEQ187" s="117"/>
      <c r="VER187" s="117"/>
      <c r="VES187" s="117"/>
      <c r="VET187" s="117"/>
      <c r="VEU187" s="117"/>
      <c r="VEV187" s="117"/>
      <c r="VEW187" s="117"/>
      <c r="VEX187" s="117"/>
      <c r="VEY187" s="117"/>
      <c r="VEZ187" s="117"/>
      <c r="VFA187" s="117"/>
      <c r="VFB187" s="117"/>
      <c r="VFC187" s="117"/>
      <c r="VFD187" s="117"/>
      <c r="VFE187" s="117"/>
      <c r="VFF187" s="117"/>
      <c r="VFG187" s="117"/>
      <c r="VFH187" s="117"/>
      <c r="VFI187" s="117"/>
      <c r="VFJ187" s="117"/>
      <c r="VFK187" s="117"/>
      <c r="VFL187" s="117"/>
      <c r="VFM187" s="117"/>
      <c r="VFN187" s="117"/>
      <c r="VFO187" s="117"/>
      <c r="VFP187" s="117"/>
      <c r="VFQ187" s="117"/>
      <c r="VFR187" s="117"/>
      <c r="VFS187" s="117"/>
      <c r="VFT187" s="117"/>
      <c r="VFU187" s="117"/>
      <c r="VFV187" s="117"/>
      <c r="VFW187" s="117"/>
      <c r="VFX187" s="117"/>
      <c r="VFY187" s="117"/>
      <c r="VFZ187" s="117"/>
      <c r="VGA187" s="117"/>
      <c r="VGB187" s="117"/>
      <c r="VGC187" s="117"/>
      <c r="VGD187" s="117"/>
      <c r="VGE187" s="117"/>
      <c r="VGF187" s="117"/>
      <c r="VGG187" s="117"/>
      <c r="VGH187" s="117"/>
      <c r="VGI187" s="117"/>
      <c r="VGJ187" s="117"/>
      <c r="VGK187" s="117"/>
      <c r="VGL187" s="117"/>
      <c r="VGM187" s="117"/>
      <c r="VGN187" s="117"/>
      <c r="VGO187" s="117"/>
      <c r="VGP187" s="117"/>
      <c r="VGQ187" s="117"/>
      <c r="VGR187" s="117"/>
      <c r="VGS187" s="117"/>
      <c r="VGT187" s="117"/>
      <c r="VGU187" s="117"/>
      <c r="VGV187" s="117"/>
      <c r="VGW187" s="117"/>
      <c r="VGX187" s="117"/>
      <c r="VGY187" s="117"/>
      <c r="VGZ187" s="117"/>
      <c r="VHA187" s="117"/>
      <c r="VHB187" s="117"/>
      <c r="VHC187" s="117"/>
      <c r="VHD187" s="117"/>
      <c r="VHE187" s="117"/>
      <c r="VHF187" s="117"/>
      <c r="VHG187" s="117"/>
      <c r="VHH187" s="117"/>
      <c r="VHI187" s="117"/>
      <c r="VHJ187" s="117"/>
      <c r="VHK187" s="117"/>
      <c r="VHL187" s="117"/>
      <c r="VHM187" s="117"/>
      <c r="VHN187" s="117"/>
      <c r="VHO187" s="117"/>
      <c r="VHP187" s="117"/>
      <c r="VHQ187" s="117"/>
      <c r="VHR187" s="117"/>
      <c r="VHS187" s="117"/>
      <c r="VHT187" s="117"/>
      <c r="VHU187" s="117"/>
      <c r="VHV187" s="117"/>
      <c r="VHW187" s="117"/>
      <c r="VHX187" s="117"/>
      <c r="VHY187" s="117"/>
      <c r="VHZ187" s="117"/>
      <c r="VIA187" s="117"/>
      <c r="VIB187" s="117"/>
      <c r="VIC187" s="117"/>
      <c r="VID187" s="117"/>
      <c r="VIE187" s="117"/>
      <c r="VIF187" s="117"/>
      <c r="VIG187" s="117"/>
      <c r="VIH187" s="117"/>
      <c r="VII187" s="117"/>
      <c r="VIJ187" s="117"/>
      <c r="VIK187" s="117"/>
      <c r="VIL187" s="117"/>
      <c r="VIM187" s="117"/>
      <c r="VIN187" s="117"/>
      <c r="VIO187" s="117"/>
      <c r="VIP187" s="117"/>
      <c r="VIQ187" s="117"/>
      <c r="VIR187" s="117"/>
      <c r="VIS187" s="117"/>
      <c r="VIT187" s="117"/>
      <c r="VIU187" s="117"/>
      <c r="VIV187" s="117"/>
      <c r="VIW187" s="117"/>
      <c r="VIX187" s="117"/>
      <c r="VIY187" s="117"/>
      <c r="VIZ187" s="117"/>
      <c r="VJA187" s="117"/>
      <c r="VJB187" s="117"/>
      <c r="VJC187" s="117"/>
      <c r="VJD187" s="117"/>
      <c r="VJE187" s="117"/>
      <c r="VJF187" s="117"/>
      <c r="VJG187" s="117"/>
      <c r="VJH187" s="117"/>
      <c r="VJI187" s="117"/>
      <c r="VJJ187" s="117"/>
      <c r="VJK187" s="117"/>
      <c r="VJL187" s="117"/>
      <c r="VJM187" s="117"/>
      <c r="VJN187" s="117"/>
      <c r="VJO187" s="117"/>
      <c r="VJP187" s="117"/>
      <c r="VJQ187" s="117"/>
      <c r="VJR187" s="117"/>
      <c r="VJS187" s="117"/>
      <c r="VJT187" s="117"/>
      <c r="VJU187" s="117"/>
      <c r="VJV187" s="117"/>
      <c r="VJW187" s="117"/>
      <c r="VJX187" s="117"/>
      <c r="VJY187" s="117"/>
      <c r="VJZ187" s="117"/>
      <c r="VKA187" s="117"/>
      <c r="VKB187" s="117"/>
      <c r="VKC187" s="117"/>
      <c r="VKD187" s="117"/>
      <c r="VKE187" s="117"/>
      <c r="VKF187" s="117"/>
      <c r="VKG187" s="117"/>
      <c r="VKH187" s="117"/>
      <c r="VKI187" s="117"/>
      <c r="VKJ187" s="117"/>
      <c r="VKK187" s="117"/>
      <c r="VKL187" s="117"/>
      <c r="VKM187" s="117"/>
      <c r="VKN187" s="117"/>
      <c r="VKO187" s="117"/>
      <c r="VKP187" s="117"/>
      <c r="VKQ187" s="117"/>
      <c r="VKR187" s="117"/>
      <c r="VKS187" s="117"/>
      <c r="VKT187" s="117"/>
      <c r="VKU187" s="117"/>
      <c r="VKV187" s="117"/>
      <c r="VKW187" s="117"/>
      <c r="VKX187" s="117"/>
      <c r="VKY187" s="117"/>
      <c r="VKZ187" s="117"/>
      <c r="VLA187" s="117"/>
      <c r="VLB187" s="117"/>
      <c r="VLC187" s="117"/>
      <c r="VLD187" s="117"/>
      <c r="VLE187" s="117"/>
      <c r="VLF187" s="117"/>
      <c r="VLG187" s="117"/>
      <c r="VLH187" s="117"/>
      <c r="VLI187" s="117"/>
      <c r="VLJ187" s="117"/>
      <c r="VLK187" s="117"/>
      <c r="VLL187" s="117"/>
      <c r="VLM187" s="117"/>
      <c r="VLN187" s="117"/>
      <c r="VLO187" s="117"/>
      <c r="VLP187" s="117"/>
      <c r="VLQ187" s="117"/>
      <c r="VLR187" s="117"/>
      <c r="VLS187" s="117"/>
      <c r="VLT187" s="117"/>
      <c r="VLU187" s="117"/>
      <c r="VLV187" s="117"/>
      <c r="VLW187" s="117"/>
      <c r="VLX187" s="117"/>
      <c r="VLY187" s="117"/>
      <c r="VLZ187" s="117"/>
      <c r="VMA187" s="117"/>
      <c r="VMB187" s="117"/>
      <c r="VMC187" s="117"/>
      <c r="VMD187" s="117"/>
      <c r="VME187" s="117"/>
      <c r="VMF187" s="117"/>
      <c r="VMG187" s="117"/>
      <c r="VMH187" s="117"/>
      <c r="VMI187" s="117"/>
      <c r="VMJ187" s="117"/>
      <c r="VMK187" s="117"/>
      <c r="VML187" s="117"/>
      <c r="VMM187" s="117"/>
      <c r="VMN187" s="117"/>
      <c r="VMO187" s="117"/>
      <c r="VMP187" s="117"/>
      <c r="VMQ187" s="117"/>
      <c r="VMR187" s="117"/>
      <c r="VMS187" s="117"/>
      <c r="VMT187" s="117"/>
      <c r="VMU187" s="117"/>
      <c r="VMV187" s="117"/>
      <c r="VMW187" s="117"/>
      <c r="VMX187" s="117"/>
      <c r="VMY187" s="117"/>
      <c r="VMZ187" s="117"/>
      <c r="VNA187" s="117"/>
      <c r="VNB187" s="117"/>
      <c r="VNC187" s="117"/>
      <c r="VND187" s="117"/>
      <c r="VNE187" s="117"/>
      <c r="VNF187" s="117"/>
      <c r="VNG187" s="117"/>
      <c r="VNH187" s="117"/>
      <c r="VNI187" s="117"/>
      <c r="VNJ187" s="117"/>
      <c r="VNK187" s="117"/>
      <c r="VNL187" s="117"/>
      <c r="VNM187" s="117"/>
      <c r="VNN187" s="117"/>
      <c r="VNO187" s="117"/>
      <c r="VNP187" s="117"/>
      <c r="VNQ187" s="117"/>
      <c r="VNR187" s="117"/>
      <c r="VNS187" s="117"/>
      <c r="VNT187" s="117"/>
      <c r="VNU187" s="117"/>
      <c r="VNV187" s="117"/>
      <c r="VNW187" s="117"/>
      <c r="VNX187" s="117"/>
      <c r="VNY187" s="117"/>
      <c r="VNZ187" s="117"/>
      <c r="VOA187" s="117"/>
      <c r="VOB187" s="117"/>
      <c r="VOC187" s="117"/>
      <c r="VOD187" s="117"/>
      <c r="VOE187" s="117"/>
      <c r="VOF187" s="117"/>
      <c r="VOG187" s="117"/>
      <c r="VOH187" s="117"/>
      <c r="VOI187" s="117"/>
      <c r="VOJ187" s="117"/>
      <c r="VOK187" s="117"/>
      <c r="VOL187" s="117"/>
      <c r="VOM187" s="117"/>
      <c r="VON187" s="117"/>
      <c r="VOO187" s="117"/>
      <c r="VOP187" s="117"/>
      <c r="VOQ187" s="117"/>
      <c r="VOR187" s="117"/>
      <c r="VOS187" s="117"/>
      <c r="VOT187" s="117"/>
      <c r="VOU187" s="117"/>
      <c r="VOV187" s="117"/>
      <c r="VOW187" s="117"/>
      <c r="VOX187" s="117"/>
      <c r="VOY187" s="117"/>
      <c r="VOZ187" s="117"/>
      <c r="VPA187" s="117"/>
      <c r="VPB187" s="117"/>
      <c r="VPC187" s="117"/>
      <c r="VPD187" s="117"/>
      <c r="VPE187" s="117"/>
      <c r="VPF187" s="117"/>
      <c r="VPG187" s="117"/>
      <c r="VPH187" s="117"/>
      <c r="VPI187" s="117"/>
      <c r="VPJ187" s="117"/>
      <c r="VPK187" s="117"/>
      <c r="VPL187" s="117"/>
      <c r="VPM187" s="117"/>
      <c r="VPN187" s="117"/>
      <c r="VPO187" s="117"/>
      <c r="VPP187" s="117"/>
      <c r="VPQ187" s="117"/>
      <c r="VPR187" s="117"/>
      <c r="VPS187" s="117"/>
      <c r="VPT187" s="117"/>
      <c r="VPU187" s="117"/>
      <c r="VPV187" s="117"/>
      <c r="VPW187" s="117"/>
      <c r="VPX187" s="117"/>
      <c r="VPY187" s="117"/>
      <c r="VPZ187" s="117"/>
      <c r="VQA187" s="117"/>
      <c r="VQB187" s="117"/>
      <c r="VQC187" s="117"/>
      <c r="VQD187" s="117"/>
      <c r="VQE187" s="117"/>
      <c r="VQF187" s="117"/>
      <c r="VQG187" s="117"/>
      <c r="VQH187" s="117"/>
      <c r="VQI187" s="117"/>
      <c r="VQJ187" s="117"/>
      <c r="VQK187" s="117"/>
      <c r="VQL187" s="117"/>
      <c r="VQM187" s="117"/>
      <c r="VQN187" s="117"/>
      <c r="VQO187" s="117"/>
      <c r="VQP187" s="117"/>
      <c r="VQQ187" s="117"/>
      <c r="VQR187" s="117"/>
      <c r="VQS187" s="117"/>
      <c r="VQT187" s="117"/>
      <c r="VQU187" s="117"/>
      <c r="VQV187" s="117"/>
      <c r="VQW187" s="117"/>
      <c r="VQX187" s="117"/>
      <c r="VQY187" s="117"/>
      <c r="VQZ187" s="117"/>
      <c r="VRA187" s="117"/>
      <c r="VRB187" s="117"/>
      <c r="VRC187" s="117"/>
      <c r="VRD187" s="117"/>
      <c r="VRE187" s="117"/>
      <c r="VRF187" s="117"/>
      <c r="VRG187" s="117"/>
      <c r="VRH187" s="117"/>
      <c r="VRI187" s="117"/>
      <c r="VRJ187" s="117"/>
      <c r="VRK187" s="117"/>
      <c r="VRL187" s="117"/>
      <c r="VRM187" s="117"/>
      <c r="VRN187" s="117"/>
      <c r="VRO187" s="117"/>
      <c r="VRP187" s="117"/>
      <c r="VRQ187" s="117"/>
      <c r="VRR187" s="117"/>
      <c r="VRS187" s="117"/>
      <c r="VRT187" s="117"/>
      <c r="VRU187" s="117"/>
      <c r="VRV187" s="117"/>
      <c r="VRW187" s="117"/>
      <c r="VRX187" s="117"/>
      <c r="VRY187" s="117"/>
      <c r="VRZ187" s="117"/>
      <c r="VSA187" s="117"/>
      <c r="VSB187" s="117"/>
      <c r="VSC187" s="117"/>
      <c r="VSD187" s="117"/>
      <c r="VSE187" s="117"/>
      <c r="VSF187" s="117"/>
      <c r="VSG187" s="117"/>
      <c r="VSH187" s="117"/>
      <c r="VSI187" s="117"/>
      <c r="VSJ187" s="117"/>
      <c r="VSK187" s="117"/>
      <c r="VSL187" s="117"/>
      <c r="VSM187" s="117"/>
      <c r="VSN187" s="117"/>
      <c r="VSO187" s="117"/>
      <c r="VSP187" s="117"/>
      <c r="VSQ187" s="117"/>
      <c r="VSR187" s="117"/>
      <c r="VSS187" s="117"/>
      <c r="VST187" s="117"/>
      <c r="VSU187" s="117"/>
      <c r="VSV187" s="117"/>
      <c r="VSW187" s="117"/>
      <c r="VSX187" s="117"/>
      <c r="VSY187" s="117"/>
      <c r="VSZ187" s="117"/>
      <c r="VTA187" s="117"/>
      <c r="VTB187" s="117"/>
      <c r="VTC187" s="117"/>
      <c r="VTD187" s="117"/>
      <c r="VTE187" s="117"/>
      <c r="VTF187" s="117"/>
      <c r="VTG187" s="117"/>
      <c r="VTH187" s="117"/>
      <c r="VTI187" s="117"/>
      <c r="VTJ187" s="117"/>
      <c r="VTK187" s="117"/>
      <c r="VTL187" s="117"/>
      <c r="VTM187" s="117"/>
      <c r="VTN187" s="117"/>
      <c r="VTO187" s="117"/>
      <c r="VTP187" s="117"/>
      <c r="VTQ187" s="117"/>
      <c r="VTR187" s="117"/>
      <c r="VTS187" s="117"/>
      <c r="VTT187" s="117"/>
      <c r="VTU187" s="117"/>
      <c r="VTV187" s="117"/>
      <c r="VTW187" s="117"/>
      <c r="VTX187" s="117"/>
      <c r="VTY187" s="117"/>
      <c r="VTZ187" s="117"/>
      <c r="VUA187" s="117"/>
      <c r="VUB187" s="117"/>
      <c r="VUC187" s="117"/>
      <c r="VUD187" s="117"/>
      <c r="VUE187" s="117"/>
      <c r="VUF187" s="117"/>
      <c r="VUG187" s="117"/>
      <c r="VUH187" s="117"/>
      <c r="VUI187" s="117"/>
      <c r="VUJ187" s="117"/>
      <c r="VUK187" s="117"/>
      <c r="VUL187" s="117"/>
      <c r="VUM187" s="117"/>
      <c r="VUN187" s="117"/>
      <c r="VUO187" s="117"/>
      <c r="VUP187" s="117"/>
      <c r="VUQ187" s="117"/>
      <c r="VUR187" s="117"/>
      <c r="VUS187" s="117"/>
      <c r="VUT187" s="117"/>
      <c r="VUU187" s="117"/>
      <c r="VUV187" s="117"/>
      <c r="VUW187" s="117"/>
      <c r="VUX187" s="117"/>
      <c r="VUY187" s="117"/>
      <c r="VUZ187" s="117"/>
      <c r="VVA187" s="117"/>
      <c r="VVB187" s="117"/>
      <c r="VVC187" s="117"/>
      <c r="VVD187" s="117"/>
      <c r="VVE187" s="117"/>
      <c r="VVF187" s="117"/>
      <c r="VVG187" s="117"/>
      <c r="VVH187" s="117"/>
      <c r="VVI187" s="117"/>
      <c r="VVJ187" s="117"/>
      <c r="VVK187" s="117"/>
      <c r="VVL187" s="117"/>
      <c r="VVM187" s="117"/>
      <c r="VVN187" s="117"/>
      <c r="VVO187" s="117"/>
      <c r="VVP187" s="117"/>
      <c r="VVQ187" s="117"/>
      <c r="VVR187" s="117"/>
      <c r="VVS187" s="117"/>
      <c r="VVT187" s="117"/>
      <c r="VVU187" s="117"/>
      <c r="VVV187" s="117"/>
      <c r="VVW187" s="117"/>
      <c r="VVX187" s="117"/>
      <c r="VVY187" s="117"/>
      <c r="VVZ187" s="117"/>
      <c r="VWA187" s="117"/>
      <c r="VWB187" s="117"/>
      <c r="VWC187" s="117"/>
      <c r="VWD187" s="117"/>
      <c r="VWE187" s="117"/>
      <c r="VWF187" s="117"/>
      <c r="VWG187" s="117"/>
      <c r="VWH187" s="117"/>
      <c r="VWI187" s="117"/>
      <c r="VWJ187" s="117"/>
      <c r="VWK187" s="117"/>
      <c r="VWL187" s="117"/>
      <c r="VWM187" s="117"/>
      <c r="VWN187" s="117"/>
      <c r="VWO187" s="117"/>
      <c r="VWP187" s="117"/>
      <c r="VWQ187" s="117"/>
      <c r="VWR187" s="117"/>
      <c r="VWS187" s="117"/>
      <c r="VWT187" s="117"/>
      <c r="VWU187" s="117"/>
      <c r="VWV187" s="117"/>
      <c r="VWW187" s="117"/>
      <c r="VWX187" s="117"/>
      <c r="VWY187" s="117"/>
      <c r="VWZ187" s="117"/>
      <c r="VXA187" s="117"/>
      <c r="VXB187" s="117"/>
      <c r="VXC187" s="117"/>
      <c r="VXD187" s="117"/>
      <c r="VXE187" s="117"/>
      <c r="VXF187" s="117"/>
      <c r="VXG187" s="117"/>
      <c r="VXH187" s="117"/>
      <c r="VXI187" s="117"/>
      <c r="VXJ187" s="117"/>
      <c r="VXK187" s="117"/>
      <c r="VXL187" s="117"/>
      <c r="VXM187" s="117"/>
      <c r="VXN187" s="117"/>
      <c r="VXO187" s="117"/>
      <c r="VXP187" s="117"/>
      <c r="VXQ187" s="117"/>
      <c r="VXR187" s="117"/>
      <c r="VXS187" s="117"/>
      <c r="VXT187" s="117"/>
      <c r="VXU187" s="117"/>
      <c r="VXV187" s="117"/>
      <c r="VXW187" s="117"/>
      <c r="VXX187" s="117"/>
      <c r="VXY187" s="117"/>
      <c r="VXZ187" s="117"/>
      <c r="VYA187" s="117"/>
      <c r="VYB187" s="117"/>
      <c r="VYC187" s="117"/>
      <c r="VYD187" s="117"/>
      <c r="VYE187" s="117"/>
      <c r="VYF187" s="117"/>
      <c r="VYG187" s="117"/>
      <c r="VYH187" s="117"/>
      <c r="VYI187" s="117"/>
      <c r="VYJ187" s="117"/>
      <c r="VYK187" s="117"/>
      <c r="VYL187" s="117"/>
      <c r="VYM187" s="117"/>
      <c r="VYN187" s="117"/>
      <c r="VYO187" s="117"/>
      <c r="VYP187" s="117"/>
      <c r="VYQ187" s="117"/>
      <c r="VYR187" s="117"/>
      <c r="VYS187" s="117"/>
      <c r="VYT187" s="117"/>
      <c r="VYU187" s="117"/>
      <c r="VYV187" s="117"/>
      <c r="VYW187" s="117"/>
      <c r="VYX187" s="117"/>
      <c r="VYY187" s="117"/>
      <c r="VYZ187" s="117"/>
      <c r="VZA187" s="117"/>
      <c r="VZB187" s="117"/>
      <c r="VZC187" s="117"/>
      <c r="VZD187" s="117"/>
      <c r="VZE187" s="117"/>
      <c r="VZF187" s="117"/>
      <c r="VZG187" s="117"/>
      <c r="VZH187" s="117"/>
      <c r="VZI187" s="117"/>
      <c r="VZJ187" s="117"/>
      <c r="VZK187" s="117"/>
      <c r="VZL187" s="117"/>
      <c r="VZM187" s="117"/>
      <c r="VZN187" s="117"/>
      <c r="VZO187" s="117"/>
      <c r="VZP187" s="117"/>
      <c r="VZQ187" s="117"/>
      <c r="VZR187" s="117"/>
      <c r="VZS187" s="117"/>
      <c r="VZT187" s="117"/>
      <c r="VZU187" s="117"/>
      <c r="VZV187" s="117"/>
      <c r="VZW187" s="117"/>
      <c r="VZX187" s="117"/>
      <c r="VZY187" s="117"/>
      <c r="VZZ187" s="117"/>
      <c r="WAA187" s="117"/>
      <c r="WAB187" s="117"/>
      <c r="WAC187" s="117"/>
      <c r="WAD187" s="117"/>
      <c r="WAE187" s="117"/>
      <c r="WAF187" s="117"/>
      <c r="WAG187" s="117"/>
      <c r="WAH187" s="117"/>
      <c r="WAI187" s="117"/>
      <c r="WAJ187" s="117"/>
      <c r="WAK187" s="117"/>
      <c r="WAL187" s="117"/>
      <c r="WAM187" s="117"/>
      <c r="WAN187" s="117"/>
      <c r="WAO187" s="117"/>
      <c r="WAP187" s="117"/>
      <c r="WAQ187" s="117"/>
      <c r="WAR187" s="117"/>
      <c r="WAS187" s="117"/>
      <c r="WAT187" s="117"/>
      <c r="WAU187" s="117"/>
      <c r="WAV187" s="117"/>
      <c r="WAW187" s="117"/>
      <c r="WAX187" s="117"/>
      <c r="WAY187" s="117"/>
      <c r="WAZ187" s="117"/>
      <c r="WBA187" s="117"/>
      <c r="WBB187" s="117"/>
      <c r="WBC187" s="117"/>
      <c r="WBD187" s="117"/>
      <c r="WBE187" s="117"/>
      <c r="WBF187" s="117"/>
      <c r="WBG187" s="117"/>
      <c r="WBH187" s="117"/>
      <c r="WBI187" s="117"/>
      <c r="WBJ187" s="117"/>
      <c r="WBK187" s="117"/>
      <c r="WBL187" s="117"/>
      <c r="WBM187" s="117"/>
      <c r="WBN187" s="117"/>
      <c r="WBO187" s="117"/>
      <c r="WBP187" s="117"/>
      <c r="WBQ187" s="117"/>
      <c r="WBR187" s="117"/>
      <c r="WBS187" s="117"/>
      <c r="WBT187" s="117"/>
      <c r="WBU187" s="117"/>
      <c r="WBV187" s="117"/>
      <c r="WBW187" s="117"/>
      <c r="WBX187" s="117"/>
      <c r="WBY187" s="117"/>
      <c r="WBZ187" s="117"/>
      <c r="WCA187" s="117"/>
      <c r="WCB187" s="117"/>
      <c r="WCC187" s="117"/>
      <c r="WCD187" s="117"/>
      <c r="WCE187" s="117"/>
      <c r="WCF187" s="117"/>
      <c r="WCG187" s="117"/>
      <c r="WCH187" s="117"/>
      <c r="WCI187" s="117"/>
      <c r="WCJ187" s="117"/>
      <c r="WCK187" s="117"/>
      <c r="WCL187" s="117"/>
      <c r="WCM187" s="117"/>
      <c r="WCN187" s="117"/>
      <c r="WCO187" s="117"/>
      <c r="WCP187" s="117"/>
      <c r="WCQ187" s="117"/>
      <c r="WCR187" s="117"/>
      <c r="WCS187" s="117"/>
      <c r="WCT187" s="117"/>
      <c r="WCU187" s="117"/>
      <c r="WCV187" s="117"/>
      <c r="WCW187" s="117"/>
      <c r="WCX187" s="117"/>
      <c r="WCY187" s="117"/>
      <c r="WCZ187" s="117"/>
      <c r="WDA187" s="117"/>
      <c r="WDB187" s="117"/>
      <c r="WDC187" s="117"/>
      <c r="WDD187" s="117"/>
      <c r="WDE187" s="117"/>
      <c r="WDF187" s="117"/>
      <c r="WDG187" s="117"/>
      <c r="WDH187" s="117"/>
      <c r="WDI187" s="117"/>
      <c r="WDJ187" s="117"/>
      <c r="WDK187" s="117"/>
      <c r="WDL187" s="117"/>
      <c r="WDM187" s="117"/>
      <c r="WDN187" s="117"/>
      <c r="WDO187" s="117"/>
      <c r="WDP187" s="117"/>
      <c r="WDQ187" s="117"/>
      <c r="WDR187" s="117"/>
      <c r="WDS187" s="117"/>
      <c r="WDT187" s="117"/>
      <c r="WDU187" s="117"/>
      <c r="WDV187" s="117"/>
      <c r="WDW187" s="117"/>
      <c r="WDX187" s="117"/>
      <c r="WDY187" s="117"/>
      <c r="WDZ187" s="117"/>
      <c r="WEA187" s="117"/>
      <c r="WEB187" s="117"/>
      <c r="WEC187" s="117"/>
      <c r="WED187" s="117"/>
      <c r="WEE187" s="117"/>
      <c r="WEF187" s="117"/>
      <c r="WEG187" s="117"/>
      <c r="WEH187" s="117"/>
      <c r="WEI187" s="117"/>
      <c r="WEJ187" s="117"/>
      <c r="WEK187" s="117"/>
      <c r="WEL187" s="117"/>
      <c r="WEM187" s="117"/>
      <c r="WEN187" s="117"/>
      <c r="WEO187" s="117"/>
      <c r="WEP187" s="117"/>
      <c r="WEQ187" s="117"/>
      <c r="WER187" s="117"/>
      <c r="WES187" s="117"/>
      <c r="WET187" s="117"/>
      <c r="WEU187" s="117"/>
      <c r="WEV187" s="117"/>
      <c r="WEW187" s="117"/>
      <c r="WEX187" s="117"/>
      <c r="WEY187" s="117"/>
      <c r="WEZ187" s="117"/>
      <c r="WFA187" s="117"/>
      <c r="WFB187" s="117"/>
      <c r="WFC187" s="117"/>
      <c r="WFD187" s="117"/>
      <c r="WFE187" s="117"/>
      <c r="WFF187" s="117"/>
      <c r="WFG187" s="117"/>
      <c r="WFH187" s="117"/>
      <c r="WFI187" s="117"/>
      <c r="WFJ187" s="117"/>
      <c r="WFK187" s="117"/>
      <c r="WFL187" s="117"/>
      <c r="WFM187" s="117"/>
      <c r="WFN187" s="117"/>
      <c r="WFO187" s="117"/>
      <c r="WFP187" s="117"/>
      <c r="WFQ187" s="117"/>
      <c r="WFR187" s="117"/>
      <c r="WFS187" s="117"/>
      <c r="WFT187" s="117"/>
      <c r="WFU187" s="117"/>
      <c r="WFV187" s="117"/>
      <c r="WFW187" s="117"/>
      <c r="WFX187" s="117"/>
      <c r="WFY187" s="117"/>
      <c r="WFZ187" s="117"/>
      <c r="WGA187" s="117"/>
      <c r="WGB187" s="117"/>
      <c r="WGC187" s="117"/>
      <c r="WGD187" s="117"/>
      <c r="WGE187" s="117"/>
      <c r="WGF187" s="117"/>
      <c r="WGG187" s="117"/>
      <c r="WGH187" s="117"/>
      <c r="WGI187" s="117"/>
      <c r="WGJ187" s="117"/>
      <c r="WGK187" s="117"/>
      <c r="WGL187" s="117"/>
      <c r="WGM187" s="117"/>
      <c r="WGN187" s="117"/>
      <c r="WGO187" s="117"/>
      <c r="WGP187" s="117"/>
      <c r="WGQ187" s="117"/>
      <c r="WGR187" s="117"/>
      <c r="WGS187" s="117"/>
      <c r="WGT187" s="117"/>
      <c r="WGU187" s="117"/>
      <c r="WGV187" s="117"/>
      <c r="WGW187" s="117"/>
      <c r="WGX187" s="117"/>
      <c r="WGY187" s="117"/>
      <c r="WGZ187" s="117"/>
      <c r="WHA187" s="117"/>
      <c r="WHB187" s="117"/>
      <c r="WHC187" s="117"/>
      <c r="WHD187" s="117"/>
      <c r="WHE187" s="117"/>
      <c r="WHF187" s="117"/>
      <c r="WHG187" s="117"/>
      <c r="WHH187" s="117"/>
      <c r="WHI187" s="117"/>
      <c r="WHJ187" s="117"/>
      <c r="WHK187" s="117"/>
      <c r="WHL187" s="117"/>
      <c r="WHM187" s="117"/>
      <c r="WHN187" s="117"/>
      <c r="WHO187" s="117"/>
      <c r="WHP187" s="117"/>
      <c r="WHQ187" s="117"/>
      <c r="WHR187" s="117"/>
      <c r="WHS187" s="117"/>
      <c r="WHT187" s="117"/>
      <c r="WHU187" s="117"/>
      <c r="WHV187" s="117"/>
      <c r="WHW187" s="117"/>
      <c r="WHX187" s="117"/>
      <c r="WHY187" s="117"/>
      <c r="WHZ187" s="117"/>
      <c r="WIA187" s="117"/>
      <c r="WIB187" s="117"/>
      <c r="WIC187" s="117"/>
      <c r="WID187" s="117"/>
      <c r="WIE187" s="117"/>
      <c r="WIF187" s="117"/>
      <c r="WIG187" s="117"/>
      <c r="WIH187" s="117"/>
      <c r="WII187" s="117"/>
      <c r="WIJ187" s="117"/>
      <c r="WIK187" s="117"/>
      <c r="WIL187" s="117"/>
      <c r="WIM187" s="117"/>
      <c r="WIN187" s="117"/>
      <c r="WIO187" s="117"/>
      <c r="WIP187" s="117"/>
      <c r="WIQ187" s="117"/>
      <c r="WIR187" s="117"/>
      <c r="WIS187" s="117"/>
      <c r="WIT187" s="117"/>
      <c r="WIU187" s="117"/>
      <c r="WIV187" s="117"/>
      <c r="WIW187" s="117"/>
      <c r="WIX187" s="117"/>
      <c r="WIY187" s="117"/>
      <c r="WIZ187" s="117"/>
      <c r="WJA187" s="117"/>
      <c r="WJB187" s="117"/>
      <c r="WJC187" s="117"/>
      <c r="WJD187" s="117"/>
      <c r="WJE187" s="117"/>
      <c r="WJF187" s="117"/>
      <c r="WJG187" s="117"/>
      <c r="WJH187" s="117"/>
      <c r="WJI187" s="117"/>
      <c r="WJJ187" s="117"/>
      <c r="WJK187" s="117"/>
      <c r="WJL187" s="117"/>
      <c r="WJM187" s="117"/>
      <c r="WJN187" s="117"/>
      <c r="WJO187" s="117"/>
      <c r="WJP187" s="117"/>
      <c r="WJQ187" s="117"/>
      <c r="WJR187" s="117"/>
      <c r="WJS187" s="117"/>
      <c r="WJT187" s="117"/>
      <c r="WJU187" s="117"/>
      <c r="WJV187" s="117"/>
      <c r="WJW187" s="117"/>
      <c r="WJX187" s="117"/>
      <c r="WJY187" s="117"/>
      <c r="WJZ187" s="117"/>
      <c r="WKA187" s="117"/>
      <c r="WKB187" s="117"/>
      <c r="WKC187" s="117"/>
      <c r="WKD187" s="117"/>
      <c r="WKE187" s="117"/>
      <c r="WKF187" s="117"/>
      <c r="WKG187" s="117"/>
      <c r="WKH187" s="117"/>
      <c r="WKI187" s="117"/>
      <c r="WKJ187" s="117"/>
      <c r="WKK187" s="117"/>
      <c r="WKL187" s="117"/>
      <c r="WKM187" s="117"/>
      <c r="WKN187" s="117"/>
      <c r="WKO187" s="117"/>
      <c r="WKP187" s="117"/>
      <c r="WKQ187" s="117"/>
      <c r="WKR187" s="117"/>
      <c r="WKS187" s="117"/>
      <c r="WKT187" s="117"/>
      <c r="WKU187" s="117"/>
      <c r="WKV187" s="117"/>
      <c r="WKW187" s="117"/>
      <c r="WKX187" s="117"/>
      <c r="WKY187" s="117"/>
      <c r="WKZ187" s="117"/>
      <c r="WLA187" s="117"/>
      <c r="WLB187" s="117"/>
      <c r="WLC187" s="117"/>
      <c r="WLD187" s="117"/>
      <c r="WLE187" s="117"/>
      <c r="WLF187" s="117"/>
      <c r="WLG187" s="117"/>
      <c r="WLH187" s="117"/>
      <c r="WLI187" s="117"/>
      <c r="WLJ187" s="117"/>
      <c r="WLK187" s="117"/>
      <c r="WLL187" s="117"/>
      <c r="WLM187" s="117"/>
      <c r="WLN187" s="117"/>
      <c r="WLO187" s="117"/>
      <c r="WLP187" s="117"/>
      <c r="WLQ187" s="117"/>
      <c r="WLR187" s="117"/>
      <c r="WLS187" s="117"/>
      <c r="WLT187" s="117"/>
      <c r="WLU187" s="117"/>
      <c r="WLV187" s="117"/>
      <c r="WLW187" s="117"/>
      <c r="WLX187" s="117"/>
      <c r="WLY187" s="117"/>
      <c r="WLZ187" s="117"/>
      <c r="WMA187" s="117"/>
      <c r="WMB187" s="117"/>
      <c r="WMC187" s="117"/>
      <c r="WMD187" s="117"/>
      <c r="WME187" s="117"/>
      <c r="WMF187" s="117"/>
      <c r="WMG187" s="117"/>
      <c r="WMH187" s="117"/>
      <c r="WMI187" s="117"/>
      <c r="WMJ187" s="117"/>
      <c r="WMK187" s="117"/>
      <c r="WML187" s="117"/>
      <c r="WMM187" s="117"/>
      <c r="WMN187" s="117"/>
      <c r="WMO187" s="117"/>
      <c r="WMP187" s="117"/>
      <c r="WMQ187" s="117"/>
      <c r="WMR187" s="117"/>
      <c r="WMS187" s="117"/>
      <c r="WMT187" s="117"/>
      <c r="WMU187" s="117"/>
      <c r="WMV187" s="117"/>
      <c r="WMW187" s="117"/>
      <c r="WMX187" s="117"/>
      <c r="WMY187" s="117"/>
      <c r="WMZ187" s="117"/>
      <c r="WNA187" s="117"/>
      <c r="WNB187" s="117"/>
      <c r="WNC187" s="117"/>
      <c r="WND187" s="117"/>
      <c r="WNE187" s="117"/>
      <c r="WNF187" s="117"/>
      <c r="WNG187" s="117"/>
      <c r="WNH187" s="117"/>
      <c r="WNI187" s="117"/>
      <c r="WNJ187" s="117"/>
      <c r="WNK187" s="117"/>
      <c r="WNL187" s="117"/>
      <c r="WNM187" s="117"/>
      <c r="WNN187" s="117"/>
      <c r="WNO187" s="117"/>
      <c r="WNP187" s="117"/>
      <c r="WNQ187" s="117"/>
      <c r="WNR187" s="117"/>
      <c r="WNS187" s="117"/>
      <c r="WNT187" s="117"/>
      <c r="WNU187" s="117"/>
      <c r="WNV187" s="117"/>
      <c r="WNW187" s="117"/>
      <c r="WNX187" s="117"/>
      <c r="WNY187" s="117"/>
      <c r="WNZ187" s="117"/>
      <c r="WOA187" s="117"/>
      <c r="WOB187" s="117"/>
      <c r="WOC187" s="117"/>
      <c r="WOD187" s="117"/>
      <c r="WOE187" s="117"/>
      <c r="WOF187" s="117"/>
      <c r="WOG187" s="117"/>
      <c r="WOH187" s="117"/>
      <c r="WOI187" s="117"/>
      <c r="WOJ187" s="117"/>
      <c r="WOK187" s="117"/>
      <c r="WOL187" s="117"/>
      <c r="WOM187" s="117"/>
      <c r="WON187" s="117"/>
      <c r="WOO187" s="117"/>
      <c r="WOP187" s="117"/>
      <c r="WOQ187" s="117"/>
      <c r="WOR187" s="117"/>
      <c r="WOS187" s="117"/>
      <c r="WOT187" s="117"/>
      <c r="WOU187" s="117"/>
      <c r="WOV187" s="117"/>
      <c r="WOW187" s="117"/>
      <c r="WOX187" s="117"/>
      <c r="WOY187" s="117"/>
      <c r="WOZ187" s="117"/>
      <c r="WPA187" s="117"/>
      <c r="WPB187" s="117"/>
      <c r="WPC187" s="117"/>
      <c r="WPD187" s="117"/>
      <c r="WPE187" s="117"/>
      <c r="WPF187" s="117"/>
      <c r="WPG187" s="117"/>
      <c r="WPH187" s="117"/>
      <c r="WPI187" s="117"/>
      <c r="WPJ187" s="117"/>
      <c r="WPK187" s="117"/>
      <c r="WPL187" s="117"/>
      <c r="WPM187" s="117"/>
      <c r="WPN187" s="117"/>
      <c r="WPO187" s="117"/>
      <c r="WPP187" s="117"/>
      <c r="WPQ187" s="117"/>
      <c r="WPR187" s="117"/>
      <c r="WPS187" s="117"/>
      <c r="WPT187" s="117"/>
      <c r="WPU187" s="117"/>
      <c r="WPV187" s="117"/>
      <c r="WPW187" s="117"/>
      <c r="WPX187" s="117"/>
      <c r="WPY187" s="117"/>
      <c r="WPZ187" s="117"/>
      <c r="WQA187" s="117"/>
      <c r="WQB187" s="117"/>
      <c r="WQC187" s="117"/>
      <c r="WQD187" s="117"/>
      <c r="WQE187" s="117"/>
      <c r="WQF187" s="117"/>
      <c r="WQG187" s="117"/>
      <c r="WQH187" s="117"/>
      <c r="WQI187" s="117"/>
      <c r="WQJ187" s="117"/>
      <c r="WQK187" s="117"/>
      <c r="WQL187" s="117"/>
      <c r="WQM187" s="117"/>
      <c r="WQN187" s="117"/>
      <c r="WQO187" s="117"/>
      <c r="WQP187" s="117"/>
      <c r="WQQ187" s="117"/>
      <c r="WQR187" s="117"/>
      <c r="WQS187" s="117"/>
      <c r="WQT187" s="117"/>
      <c r="WQU187" s="117"/>
      <c r="WQV187" s="117"/>
      <c r="WQW187" s="117"/>
      <c r="WQX187" s="117"/>
      <c r="WQY187" s="117"/>
      <c r="WQZ187" s="117"/>
      <c r="WRA187" s="117"/>
      <c r="WRB187" s="117"/>
      <c r="WRC187" s="117"/>
      <c r="WRD187" s="117"/>
      <c r="WRE187" s="117"/>
      <c r="WRF187" s="117"/>
      <c r="WRG187" s="117"/>
      <c r="WRH187" s="117"/>
      <c r="WRI187" s="117"/>
      <c r="WRJ187" s="117"/>
      <c r="WRK187" s="117"/>
      <c r="WRL187" s="117"/>
      <c r="WRM187" s="117"/>
      <c r="WRN187" s="117"/>
      <c r="WRO187" s="117"/>
      <c r="WRP187" s="117"/>
      <c r="WRQ187" s="117"/>
      <c r="WRR187" s="117"/>
      <c r="WRS187" s="117"/>
      <c r="WRT187" s="117"/>
      <c r="WRU187" s="117"/>
      <c r="WRV187" s="117"/>
      <c r="WRW187" s="117"/>
      <c r="WRX187" s="117"/>
      <c r="WRY187" s="117"/>
      <c r="WRZ187" s="117"/>
      <c r="WSA187" s="117"/>
      <c r="WSB187" s="117"/>
      <c r="WSC187" s="117"/>
      <c r="WSD187" s="117"/>
      <c r="WSE187" s="117"/>
      <c r="WSF187" s="117"/>
      <c r="WSG187" s="117"/>
      <c r="WSH187" s="117"/>
      <c r="WSI187" s="117"/>
      <c r="WSJ187" s="117"/>
      <c r="WSK187" s="117"/>
      <c r="WSL187" s="117"/>
      <c r="WSM187" s="117"/>
      <c r="WSN187" s="117"/>
      <c r="WSO187" s="117"/>
      <c r="WSP187" s="117"/>
      <c r="WSQ187" s="117"/>
      <c r="WSR187" s="117"/>
      <c r="WSS187" s="117"/>
      <c r="WST187" s="117"/>
      <c r="WSU187" s="117"/>
      <c r="WSV187" s="117"/>
      <c r="WSW187" s="117"/>
      <c r="WSX187" s="117"/>
      <c r="WSY187" s="117"/>
      <c r="WSZ187" s="117"/>
      <c r="WTA187" s="117"/>
      <c r="WTB187" s="117"/>
      <c r="WTC187" s="117"/>
      <c r="WTD187" s="117"/>
      <c r="WTE187" s="117"/>
      <c r="WTF187" s="117"/>
      <c r="WTG187" s="117"/>
      <c r="WTH187" s="117"/>
      <c r="WTI187" s="117"/>
      <c r="WTJ187" s="117"/>
      <c r="WTK187" s="117"/>
      <c r="WTL187" s="117"/>
      <c r="WTM187" s="117"/>
      <c r="WTN187" s="117"/>
      <c r="WTO187" s="117"/>
      <c r="WTP187" s="117"/>
      <c r="WTQ187" s="117"/>
      <c r="WTR187" s="117"/>
      <c r="WTS187" s="117"/>
      <c r="WTT187" s="117"/>
      <c r="WTU187" s="117"/>
      <c r="WTV187" s="117"/>
      <c r="WTW187" s="117"/>
      <c r="WTX187" s="117"/>
      <c r="WTY187" s="117"/>
      <c r="WTZ187" s="117"/>
      <c r="WUA187" s="117"/>
      <c r="WUB187" s="117"/>
      <c r="WUC187" s="117"/>
      <c r="WUD187" s="117"/>
      <c r="WUE187" s="117"/>
      <c r="WUF187" s="117"/>
      <c r="WUG187" s="117"/>
      <c r="WUH187" s="117"/>
      <c r="WUI187" s="117"/>
      <c r="WUJ187" s="117"/>
      <c r="WUK187" s="117"/>
      <c r="WUL187" s="117"/>
      <c r="WUM187" s="117"/>
      <c r="WUN187" s="117"/>
      <c r="WUO187" s="117"/>
      <c r="WUP187" s="117"/>
      <c r="WUQ187" s="117"/>
      <c r="WUR187" s="117"/>
      <c r="WUS187" s="117"/>
      <c r="WUT187" s="117"/>
      <c r="WUU187" s="117"/>
      <c r="WUV187" s="117"/>
      <c r="WUW187" s="117"/>
      <c r="WUX187" s="117"/>
      <c r="WUY187" s="117"/>
      <c r="WUZ187" s="117"/>
      <c r="WVA187" s="117"/>
      <c r="WVB187" s="117"/>
      <c r="WVC187" s="117"/>
      <c r="WVD187" s="117"/>
      <c r="WVE187" s="117"/>
      <c r="WVF187" s="117"/>
      <c r="WVG187" s="117"/>
      <c r="WVH187" s="117"/>
      <c r="WVI187" s="117"/>
      <c r="WVJ187" s="117"/>
      <c r="WVK187" s="117"/>
      <c r="WVL187" s="117"/>
      <c r="WVM187" s="117"/>
      <c r="WVN187" s="117"/>
      <c r="WVO187" s="117"/>
      <c r="WVP187" s="117"/>
      <c r="WVQ187" s="117"/>
      <c r="WVR187" s="117"/>
      <c r="WVS187" s="117"/>
      <c r="WVT187" s="117"/>
      <c r="WVU187" s="117"/>
      <c r="WVV187" s="117"/>
      <c r="WVW187" s="117"/>
      <c r="WVX187" s="117"/>
      <c r="WVY187" s="117"/>
      <c r="WVZ187" s="117"/>
      <c r="WWA187" s="117"/>
      <c r="WWB187" s="117"/>
      <c r="WWC187" s="117"/>
      <c r="WWD187" s="117"/>
      <c r="WWE187" s="117"/>
      <c r="WWF187" s="117"/>
      <c r="WWG187" s="117"/>
      <c r="WWH187" s="117"/>
      <c r="WWI187" s="117"/>
      <c r="WWJ187" s="117"/>
      <c r="WWK187" s="117"/>
      <c r="WWL187" s="117"/>
      <c r="WWM187" s="117"/>
      <c r="WWN187" s="117"/>
      <c r="WWO187" s="117"/>
      <c r="WWP187" s="117"/>
      <c r="WWQ187" s="117"/>
      <c r="WWR187" s="117"/>
      <c r="WWS187" s="117"/>
      <c r="WWT187" s="117"/>
      <c r="WWU187" s="117"/>
      <c r="WWV187" s="117"/>
      <c r="WWW187" s="117"/>
      <c r="WWX187" s="117"/>
      <c r="WWY187" s="117"/>
      <c r="WWZ187" s="117"/>
      <c r="WXA187" s="117"/>
      <c r="WXB187" s="117"/>
      <c r="WXC187" s="117"/>
      <c r="WXD187" s="117"/>
      <c r="WXE187" s="117"/>
      <c r="WXF187" s="117"/>
      <c r="WXG187" s="117"/>
      <c r="WXH187" s="117"/>
      <c r="WXI187" s="117"/>
      <c r="WXJ187" s="117"/>
      <c r="WXK187" s="117"/>
      <c r="WXL187" s="117"/>
      <c r="WXM187" s="117"/>
      <c r="WXN187" s="117"/>
      <c r="WXO187" s="117"/>
      <c r="WXP187" s="117"/>
      <c r="WXQ187" s="117"/>
      <c r="WXR187" s="117"/>
      <c r="WXS187" s="117"/>
      <c r="WXT187" s="117"/>
      <c r="WXU187" s="117"/>
      <c r="WXV187" s="117"/>
      <c r="WXW187" s="117"/>
      <c r="WXX187" s="117"/>
      <c r="WXY187" s="117"/>
      <c r="WXZ187" s="117"/>
      <c r="WYA187" s="117"/>
      <c r="WYB187" s="117"/>
      <c r="WYC187" s="117"/>
      <c r="WYD187" s="117"/>
      <c r="WYE187" s="117"/>
      <c r="WYF187" s="117"/>
      <c r="WYG187" s="117"/>
      <c r="WYH187" s="117"/>
      <c r="WYI187" s="117"/>
      <c r="WYJ187" s="117"/>
      <c r="WYK187" s="117"/>
      <c r="WYL187" s="117"/>
      <c r="WYM187" s="117"/>
      <c r="WYN187" s="117"/>
      <c r="WYO187" s="117"/>
      <c r="WYP187" s="117"/>
      <c r="WYQ187" s="117"/>
      <c r="WYR187" s="117"/>
      <c r="WYS187" s="117"/>
      <c r="WYT187" s="117"/>
      <c r="WYU187" s="117"/>
      <c r="WYV187" s="117"/>
      <c r="WYW187" s="117"/>
      <c r="WYX187" s="117"/>
      <c r="WYY187" s="117"/>
      <c r="WYZ187" s="117"/>
      <c r="WZA187" s="117"/>
      <c r="WZB187" s="117"/>
      <c r="WZC187" s="117"/>
      <c r="WZD187" s="117"/>
      <c r="WZE187" s="117"/>
      <c r="WZF187" s="117"/>
      <c r="WZG187" s="117"/>
      <c r="WZH187" s="117"/>
      <c r="WZI187" s="117"/>
      <c r="WZJ187" s="117"/>
      <c r="WZK187" s="117"/>
      <c r="WZL187" s="117"/>
      <c r="WZM187" s="117"/>
      <c r="WZN187" s="117"/>
      <c r="WZO187" s="117"/>
      <c r="WZP187" s="117"/>
      <c r="WZQ187" s="117"/>
      <c r="WZR187" s="117"/>
      <c r="WZS187" s="117"/>
      <c r="WZT187" s="117"/>
      <c r="WZU187" s="117"/>
      <c r="WZV187" s="117"/>
      <c r="WZW187" s="117"/>
      <c r="WZX187" s="117"/>
      <c r="WZY187" s="117"/>
      <c r="WZZ187" s="117"/>
      <c r="XAA187" s="117"/>
      <c r="XAB187" s="117"/>
      <c r="XAC187" s="117"/>
      <c r="XAD187" s="117"/>
      <c r="XAE187" s="117"/>
      <c r="XAF187" s="117"/>
      <c r="XAG187" s="117"/>
      <c r="XAH187" s="117"/>
      <c r="XAI187" s="117"/>
      <c r="XAJ187" s="117"/>
      <c r="XAK187" s="117"/>
      <c r="XAL187" s="117"/>
      <c r="XAM187" s="117"/>
      <c r="XAN187" s="117"/>
      <c r="XAO187" s="117"/>
      <c r="XAP187" s="117"/>
      <c r="XAQ187" s="117"/>
      <c r="XAR187" s="117"/>
      <c r="XAS187" s="117"/>
      <c r="XAT187" s="117"/>
      <c r="XAU187" s="117"/>
      <c r="XAV187" s="117"/>
      <c r="XAW187" s="117"/>
      <c r="XAX187" s="117"/>
      <c r="XAY187" s="117"/>
      <c r="XAZ187" s="117"/>
      <c r="XBA187" s="117"/>
      <c r="XBB187" s="117"/>
      <c r="XBC187" s="117"/>
      <c r="XBD187" s="117"/>
      <c r="XBE187" s="117"/>
      <c r="XBF187" s="117"/>
      <c r="XBG187" s="117"/>
      <c r="XBH187" s="117"/>
      <c r="XBI187" s="117"/>
      <c r="XBJ187" s="117"/>
      <c r="XBK187" s="117"/>
      <c r="XBL187" s="117"/>
      <c r="XBM187" s="117"/>
      <c r="XBN187" s="117"/>
      <c r="XBO187" s="117"/>
      <c r="XBP187" s="117"/>
      <c r="XBQ187" s="117"/>
      <c r="XBR187" s="117"/>
      <c r="XBS187" s="117"/>
      <c r="XBT187" s="117"/>
      <c r="XBU187" s="117"/>
      <c r="XBV187" s="117"/>
      <c r="XBW187" s="117"/>
      <c r="XBX187" s="117"/>
      <c r="XBY187" s="117"/>
      <c r="XBZ187" s="117"/>
      <c r="XCA187" s="117"/>
      <c r="XCB187" s="117"/>
      <c r="XCC187" s="117"/>
      <c r="XCD187" s="117"/>
      <c r="XCE187" s="117"/>
      <c r="XCF187" s="117"/>
      <c r="XCG187" s="117"/>
      <c r="XCH187" s="117"/>
      <c r="XCI187" s="117"/>
      <c r="XCJ187" s="117"/>
      <c r="XCK187" s="117"/>
      <c r="XCL187" s="117"/>
      <c r="XCM187" s="117"/>
      <c r="XCN187" s="117"/>
      <c r="XCO187" s="117"/>
      <c r="XCP187" s="117"/>
      <c r="XCQ187" s="117"/>
      <c r="XCR187" s="117"/>
      <c r="XCS187" s="117"/>
      <c r="XCT187" s="117"/>
      <c r="XCU187" s="117"/>
      <c r="XCV187" s="117"/>
      <c r="XCW187" s="117"/>
      <c r="XCX187" s="117"/>
      <c r="XCY187" s="117"/>
      <c r="XCZ187" s="117"/>
      <c r="XDA187" s="117"/>
      <c r="XDB187" s="117"/>
      <c r="XDC187" s="117"/>
      <c r="XDD187" s="117"/>
      <c r="XDE187" s="117"/>
      <c r="XDF187" s="117"/>
      <c r="XDG187" s="117"/>
      <c r="XDH187" s="117"/>
      <c r="XDI187" s="117"/>
      <c r="XDJ187" s="117"/>
      <c r="XDK187" s="117"/>
      <c r="XDL187" s="117"/>
      <c r="XDM187" s="117"/>
      <c r="XDN187" s="117"/>
      <c r="XDO187" s="117"/>
      <c r="XDP187" s="117"/>
      <c r="XDQ187" s="117"/>
      <c r="XDR187" s="117"/>
      <c r="XDS187" s="117"/>
      <c r="XDT187" s="117"/>
      <c r="XDU187" s="117"/>
      <c r="XDV187" s="117"/>
      <c r="XDW187" s="117"/>
      <c r="XDX187" s="117"/>
    </row>
    <row r="188" spans="1:16352" s="118" customFormat="1" ht="12.5" customHeight="1" x14ac:dyDescent="0.35">
      <c r="A188" s="116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117"/>
      <c r="BT188" s="117"/>
      <c r="BU188" s="117"/>
      <c r="BV188" s="117"/>
      <c r="BW188" s="117"/>
      <c r="BX188" s="117"/>
      <c r="BY188" s="117"/>
      <c r="BZ188" s="117"/>
      <c r="CA188" s="117"/>
      <c r="CB188" s="117"/>
      <c r="CC188" s="117"/>
      <c r="CD188" s="117"/>
      <c r="CE188" s="117"/>
      <c r="CF188" s="117"/>
      <c r="CG188" s="117"/>
      <c r="CH188" s="117"/>
      <c r="CI188" s="117"/>
      <c r="CJ188" s="117"/>
      <c r="CK188" s="117"/>
      <c r="CL188" s="117"/>
      <c r="CM188" s="117"/>
      <c r="CN188" s="117"/>
      <c r="CO188" s="117"/>
      <c r="CP188" s="117"/>
      <c r="CQ188" s="117"/>
      <c r="CR188" s="117"/>
      <c r="CS188" s="117"/>
      <c r="CT188" s="117"/>
      <c r="CU188" s="117"/>
      <c r="CV188" s="117"/>
      <c r="CW188" s="117"/>
      <c r="CX188" s="117"/>
      <c r="CY188" s="117"/>
      <c r="CZ188" s="117"/>
      <c r="DA188" s="117"/>
      <c r="DB188" s="117"/>
      <c r="DC188" s="117"/>
      <c r="DD188" s="117"/>
      <c r="DE188" s="117"/>
      <c r="DF188" s="117"/>
      <c r="DG188" s="117"/>
      <c r="DH188" s="117"/>
      <c r="DI188" s="117"/>
      <c r="DJ188" s="117"/>
      <c r="DK188" s="117"/>
      <c r="DL188" s="117"/>
      <c r="DM188" s="117"/>
      <c r="DN188" s="117"/>
      <c r="DO188" s="117"/>
      <c r="DP188" s="117"/>
      <c r="DQ188" s="117"/>
      <c r="DR188" s="117"/>
      <c r="DS188" s="117"/>
      <c r="DT188" s="117"/>
      <c r="DU188" s="117"/>
      <c r="DV188" s="117"/>
      <c r="DW188" s="117"/>
      <c r="DX188" s="117"/>
      <c r="DY188" s="117"/>
      <c r="DZ188" s="117"/>
      <c r="EA188" s="117"/>
      <c r="EB188" s="117"/>
      <c r="EC188" s="117"/>
      <c r="ED188" s="117"/>
      <c r="EE188" s="117"/>
      <c r="EF188" s="117"/>
      <c r="EG188" s="117"/>
      <c r="EH188" s="117"/>
      <c r="EI188" s="117"/>
      <c r="EJ188" s="117"/>
      <c r="EK188" s="117"/>
      <c r="EL188" s="117"/>
      <c r="EM188" s="117"/>
      <c r="EN188" s="117"/>
      <c r="EO188" s="117"/>
      <c r="EP188" s="117"/>
      <c r="EQ188" s="117"/>
      <c r="ER188" s="117"/>
      <c r="ES188" s="117"/>
      <c r="ET188" s="117"/>
      <c r="EU188" s="117"/>
      <c r="EV188" s="117"/>
      <c r="EW188" s="117"/>
      <c r="EX188" s="117"/>
      <c r="EY188" s="117"/>
      <c r="EZ188" s="117"/>
      <c r="FA188" s="117"/>
      <c r="FB188" s="117"/>
      <c r="FC188" s="117"/>
      <c r="FD188" s="117"/>
      <c r="FE188" s="117"/>
      <c r="FF188" s="117"/>
      <c r="FG188" s="117"/>
      <c r="FH188" s="117"/>
      <c r="FI188" s="117"/>
      <c r="FJ188" s="117"/>
      <c r="FK188" s="117"/>
      <c r="FL188" s="117"/>
      <c r="FM188" s="117"/>
      <c r="FN188" s="117"/>
      <c r="FO188" s="117"/>
      <c r="FP188" s="117"/>
      <c r="FQ188" s="117"/>
      <c r="FR188" s="117"/>
      <c r="FS188" s="117"/>
      <c r="FT188" s="117"/>
      <c r="FU188" s="117"/>
      <c r="FV188" s="117"/>
      <c r="FW188" s="117"/>
      <c r="FX188" s="117"/>
      <c r="FY188" s="117"/>
      <c r="FZ188" s="117"/>
      <c r="GA188" s="117"/>
      <c r="GB188" s="117"/>
      <c r="GC188" s="117"/>
      <c r="GD188" s="117"/>
      <c r="GE188" s="117"/>
      <c r="GF188" s="117"/>
      <c r="GG188" s="117"/>
      <c r="GH188" s="117"/>
      <c r="GI188" s="117"/>
      <c r="GJ188" s="117"/>
      <c r="GK188" s="117"/>
      <c r="GL188" s="117"/>
      <c r="GM188" s="117"/>
      <c r="GN188" s="117"/>
      <c r="GO188" s="117"/>
      <c r="GP188" s="117"/>
      <c r="GQ188" s="117"/>
      <c r="GR188" s="117"/>
      <c r="GS188" s="117"/>
      <c r="GT188" s="117"/>
      <c r="GU188" s="117"/>
      <c r="GV188" s="117"/>
      <c r="GW188" s="117"/>
      <c r="GX188" s="117"/>
      <c r="GY188" s="117"/>
      <c r="GZ188" s="117"/>
      <c r="HA188" s="117"/>
      <c r="HB188" s="117"/>
      <c r="HC188" s="117"/>
      <c r="HD188" s="117"/>
      <c r="HE188" s="117"/>
      <c r="HF188" s="117"/>
      <c r="HG188" s="117"/>
      <c r="HH188" s="117"/>
      <c r="HI188" s="117"/>
      <c r="HJ188" s="117"/>
      <c r="HK188" s="117"/>
      <c r="HL188" s="117"/>
      <c r="HM188" s="117"/>
      <c r="HN188" s="117"/>
      <c r="HO188" s="117"/>
      <c r="HP188" s="117"/>
      <c r="HQ188" s="117"/>
      <c r="HR188" s="117"/>
      <c r="HS188" s="117"/>
      <c r="HT188" s="117"/>
      <c r="HU188" s="117"/>
      <c r="HV188" s="117"/>
      <c r="HW188" s="117"/>
      <c r="HX188" s="117"/>
      <c r="HY188" s="117"/>
      <c r="HZ188" s="117"/>
      <c r="IA188" s="117"/>
      <c r="IB188" s="117"/>
      <c r="IC188" s="117"/>
      <c r="ID188" s="117"/>
      <c r="IE188" s="117"/>
      <c r="IF188" s="117"/>
      <c r="IG188" s="117"/>
      <c r="IH188" s="117"/>
      <c r="II188" s="117"/>
      <c r="IJ188" s="117"/>
      <c r="IK188" s="117"/>
      <c r="IL188" s="117"/>
      <c r="IM188" s="117"/>
      <c r="IN188" s="117"/>
      <c r="IO188" s="117"/>
      <c r="IP188" s="117"/>
      <c r="IQ188" s="117"/>
      <c r="IR188" s="117"/>
      <c r="IS188" s="117"/>
      <c r="IT188" s="117"/>
      <c r="IU188" s="117"/>
      <c r="IV188" s="117"/>
      <c r="IW188" s="117"/>
      <c r="IX188" s="117"/>
      <c r="IY188" s="117"/>
      <c r="IZ188" s="117"/>
      <c r="JA188" s="117"/>
      <c r="JB188" s="117"/>
      <c r="JC188" s="117"/>
      <c r="JD188" s="117"/>
      <c r="JE188" s="117"/>
      <c r="JF188" s="117"/>
      <c r="JG188" s="117"/>
      <c r="JH188" s="117"/>
      <c r="JI188" s="117"/>
      <c r="JJ188" s="117"/>
      <c r="JK188" s="117"/>
      <c r="JL188" s="117"/>
      <c r="JM188" s="117"/>
      <c r="JN188" s="117"/>
      <c r="JO188" s="117"/>
      <c r="JP188" s="117"/>
      <c r="JQ188" s="117"/>
      <c r="JR188" s="117"/>
      <c r="JS188" s="117"/>
      <c r="JT188" s="117"/>
      <c r="JU188" s="117"/>
      <c r="JV188" s="117"/>
      <c r="JW188" s="117"/>
      <c r="JX188" s="117"/>
      <c r="JY188" s="117"/>
      <c r="JZ188" s="117"/>
      <c r="KA188" s="117"/>
      <c r="KB188" s="117"/>
      <c r="KC188" s="117"/>
      <c r="KD188" s="117"/>
      <c r="KE188" s="117"/>
      <c r="KF188" s="117"/>
      <c r="KG188" s="117"/>
      <c r="KH188" s="117"/>
      <c r="KI188" s="117"/>
      <c r="KJ188" s="117"/>
      <c r="KK188" s="117"/>
      <c r="KL188" s="117"/>
      <c r="KM188" s="117"/>
      <c r="KN188" s="117"/>
      <c r="KO188" s="117"/>
      <c r="KP188" s="117"/>
      <c r="KQ188" s="117"/>
      <c r="KR188" s="117"/>
      <c r="KS188" s="117"/>
      <c r="KT188" s="117"/>
      <c r="KU188" s="117"/>
      <c r="KV188" s="117"/>
      <c r="KW188" s="117"/>
      <c r="KX188" s="117"/>
      <c r="KY188" s="117"/>
      <c r="KZ188" s="117"/>
      <c r="LA188" s="117"/>
      <c r="LB188" s="117"/>
      <c r="LC188" s="117"/>
      <c r="LD188" s="117"/>
      <c r="LE188" s="117"/>
      <c r="LF188" s="117"/>
      <c r="LG188" s="117"/>
      <c r="LH188" s="117"/>
      <c r="LI188" s="117"/>
      <c r="LJ188" s="117"/>
      <c r="LK188" s="117"/>
      <c r="LL188" s="117"/>
      <c r="LM188" s="117"/>
      <c r="LN188" s="117"/>
      <c r="LO188" s="117"/>
      <c r="LP188" s="117"/>
      <c r="LQ188" s="117"/>
      <c r="LR188" s="117"/>
      <c r="LS188" s="117"/>
      <c r="LT188" s="117"/>
      <c r="LU188" s="117"/>
      <c r="LV188" s="117"/>
      <c r="LW188" s="117"/>
      <c r="LX188" s="117"/>
      <c r="LY188" s="117"/>
      <c r="LZ188" s="117"/>
      <c r="MA188" s="117"/>
      <c r="MB188" s="117"/>
      <c r="MC188" s="117"/>
      <c r="MD188" s="117"/>
      <c r="ME188" s="117"/>
      <c r="MF188" s="117"/>
      <c r="MG188" s="117"/>
      <c r="MH188" s="117"/>
      <c r="MI188" s="117"/>
      <c r="MJ188" s="117"/>
      <c r="MK188" s="117"/>
      <c r="ML188" s="117"/>
      <c r="MM188" s="117"/>
      <c r="MN188" s="117"/>
      <c r="MO188" s="117"/>
      <c r="MP188" s="117"/>
      <c r="MQ188" s="117"/>
      <c r="MR188" s="117"/>
      <c r="MS188" s="117"/>
      <c r="MT188" s="117"/>
      <c r="MU188" s="117"/>
      <c r="MV188" s="117"/>
      <c r="MW188" s="117"/>
      <c r="MX188" s="117"/>
      <c r="MY188" s="117"/>
      <c r="MZ188" s="117"/>
      <c r="NA188" s="117"/>
      <c r="NB188" s="117"/>
      <c r="NC188" s="117"/>
      <c r="ND188" s="117"/>
      <c r="NE188" s="117"/>
      <c r="NF188" s="117"/>
      <c r="NG188" s="117"/>
      <c r="NH188" s="117"/>
      <c r="NI188" s="117"/>
      <c r="NJ188" s="117"/>
      <c r="NK188" s="117"/>
      <c r="NL188" s="117"/>
      <c r="NM188" s="117"/>
      <c r="NN188" s="117"/>
      <c r="NO188" s="117"/>
      <c r="NP188" s="117"/>
      <c r="NQ188" s="117"/>
      <c r="NR188" s="117"/>
      <c r="NS188" s="117"/>
      <c r="NT188" s="117"/>
      <c r="NU188" s="117"/>
      <c r="NV188" s="117"/>
      <c r="NW188" s="117"/>
      <c r="NX188" s="117"/>
      <c r="NY188" s="117"/>
      <c r="NZ188" s="117"/>
      <c r="OA188" s="117"/>
      <c r="OB188" s="117"/>
      <c r="OC188" s="117"/>
      <c r="OD188" s="117"/>
      <c r="OE188" s="117"/>
      <c r="OF188" s="117"/>
      <c r="OG188" s="117"/>
      <c r="OH188" s="117"/>
      <c r="OI188" s="117"/>
      <c r="OJ188" s="117"/>
      <c r="OK188" s="117"/>
      <c r="OL188" s="117"/>
      <c r="OM188" s="117"/>
      <c r="ON188" s="117"/>
      <c r="OO188" s="117"/>
      <c r="OP188" s="117"/>
      <c r="OQ188" s="117"/>
      <c r="OR188" s="117"/>
      <c r="OS188" s="117"/>
      <c r="OT188" s="117"/>
      <c r="OU188" s="117"/>
      <c r="OV188" s="117"/>
      <c r="OW188" s="117"/>
      <c r="OX188" s="117"/>
      <c r="OY188" s="117"/>
      <c r="OZ188" s="117"/>
      <c r="PA188" s="117"/>
      <c r="PB188" s="117"/>
      <c r="PC188" s="117"/>
      <c r="PD188" s="117"/>
      <c r="PE188" s="117"/>
      <c r="PF188" s="117"/>
      <c r="PG188" s="117"/>
      <c r="PH188" s="117"/>
      <c r="PI188" s="117"/>
      <c r="PJ188" s="117"/>
      <c r="PK188" s="117"/>
      <c r="PL188" s="117"/>
      <c r="PM188" s="117"/>
      <c r="PN188" s="117"/>
      <c r="PO188" s="117"/>
      <c r="PP188" s="117"/>
      <c r="PQ188" s="117"/>
      <c r="PR188" s="117"/>
      <c r="PS188" s="117"/>
      <c r="PT188" s="117"/>
      <c r="PU188" s="117"/>
      <c r="PV188" s="117"/>
      <c r="PW188" s="117"/>
      <c r="PX188" s="117"/>
      <c r="PY188" s="117"/>
      <c r="PZ188" s="117"/>
      <c r="QA188" s="117"/>
      <c r="QB188" s="117"/>
      <c r="QC188" s="117"/>
      <c r="QD188" s="117"/>
      <c r="QE188" s="117"/>
      <c r="QF188" s="117"/>
      <c r="QG188" s="117"/>
      <c r="QH188" s="117"/>
      <c r="QI188" s="117"/>
      <c r="QJ188" s="117"/>
      <c r="QK188" s="117"/>
      <c r="QL188" s="117"/>
      <c r="QM188" s="117"/>
      <c r="QN188" s="117"/>
      <c r="QO188" s="117"/>
      <c r="QP188" s="117"/>
      <c r="QQ188" s="117"/>
      <c r="QR188" s="117"/>
      <c r="QS188" s="117"/>
      <c r="QT188" s="117"/>
      <c r="QU188" s="117"/>
      <c r="QV188" s="117"/>
      <c r="QW188" s="117"/>
      <c r="QX188" s="117"/>
      <c r="QY188" s="117"/>
      <c r="QZ188" s="117"/>
      <c r="RA188" s="117"/>
      <c r="RB188" s="117"/>
      <c r="RC188" s="117"/>
      <c r="RD188" s="117"/>
      <c r="RE188" s="117"/>
      <c r="RF188" s="117"/>
      <c r="RG188" s="117"/>
      <c r="RH188" s="117"/>
      <c r="RI188" s="117"/>
      <c r="RJ188" s="117"/>
      <c r="RK188" s="117"/>
      <c r="RL188" s="117"/>
      <c r="RM188" s="117"/>
      <c r="RN188" s="117"/>
      <c r="RO188" s="117"/>
      <c r="RP188" s="117"/>
      <c r="RQ188" s="117"/>
      <c r="RR188" s="117"/>
      <c r="RS188" s="117"/>
      <c r="RT188" s="117"/>
      <c r="RU188" s="117"/>
      <c r="RV188" s="117"/>
      <c r="RW188" s="117"/>
      <c r="RX188" s="117"/>
      <c r="RY188" s="117"/>
      <c r="RZ188" s="117"/>
      <c r="SA188" s="117"/>
      <c r="SB188" s="117"/>
      <c r="SC188" s="117"/>
      <c r="SD188" s="117"/>
      <c r="SE188" s="117"/>
      <c r="SF188" s="117"/>
      <c r="SG188" s="117"/>
      <c r="SH188" s="117"/>
      <c r="SI188" s="117"/>
      <c r="SJ188" s="117"/>
      <c r="SK188" s="117"/>
      <c r="SL188" s="117"/>
      <c r="SM188" s="117"/>
      <c r="SN188" s="117"/>
      <c r="SO188" s="117"/>
      <c r="SP188" s="117"/>
      <c r="SQ188" s="117"/>
      <c r="SR188" s="117"/>
      <c r="SS188" s="117"/>
      <c r="ST188" s="117"/>
      <c r="SU188" s="117"/>
      <c r="SV188" s="117"/>
      <c r="SW188" s="117"/>
      <c r="SX188" s="117"/>
      <c r="SY188" s="117"/>
      <c r="SZ188" s="117"/>
      <c r="TA188" s="117"/>
      <c r="TB188" s="117"/>
      <c r="TC188" s="117"/>
      <c r="TD188" s="117"/>
      <c r="TE188" s="117"/>
      <c r="TF188" s="117"/>
      <c r="TG188" s="117"/>
      <c r="TH188" s="117"/>
      <c r="TI188" s="117"/>
      <c r="TJ188" s="117"/>
      <c r="TK188" s="117"/>
      <c r="TL188" s="117"/>
      <c r="TM188" s="117"/>
      <c r="TN188" s="117"/>
      <c r="TO188" s="117"/>
      <c r="TP188" s="117"/>
      <c r="TQ188" s="117"/>
      <c r="TR188" s="117"/>
      <c r="TS188" s="117"/>
      <c r="TT188" s="117"/>
      <c r="TU188" s="117"/>
      <c r="TV188" s="117"/>
      <c r="TW188" s="117"/>
      <c r="TX188" s="117"/>
      <c r="TY188" s="117"/>
      <c r="TZ188" s="117"/>
      <c r="UA188" s="117"/>
      <c r="UB188" s="117"/>
      <c r="UC188" s="117"/>
      <c r="UD188" s="117"/>
      <c r="UE188" s="117"/>
      <c r="UF188" s="117"/>
      <c r="UG188" s="117"/>
      <c r="UH188" s="117"/>
      <c r="UI188" s="117"/>
      <c r="UJ188" s="117"/>
      <c r="UK188" s="117"/>
      <c r="UL188" s="117"/>
      <c r="UM188" s="117"/>
      <c r="UN188" s="117"/>
      <c r="UO188" s="117"/>
      <c r="UP188" s="117"/>
      <c r="UQ188" s="117"/>
      <c r="UR188" s="117"/>
      <c r="US188" s="117"/>
      <c r="UT188" s="117"/>
      <c r="UU188" s="117"/>
      <c r="UV188" s="117"/>
      <c r="UW188" s="117"/>
      <c r="UX188" s="117"/>
      <c r="UY188" s="117"/>
      <c r="UZ188" s="117"/>
      <c r="VA188" s="117"/>
      <c r="VB188" s="117"/>
      <c r="VC188" s="117"/>
      <c r="VD188" s="117"/>
      <c r="VE188" s="117"/>
      <c r="VF188" s="117"/>
      <c r="VG188" s="117"/>
      <c r="VH188" s="117"/>
      <c r="VI188" s="117"/>
      <c r="VJ188" s="117"/>
      <c r="VK188" s="117"/>
      <c r="VL188" s="117"/>
      <c r="VM188" s="117"/>
      <c r="VN188" s="117"/>
      <c r="VO188" s="117"/>
      <c r="VP188" s="117"/>
      <c r="VQ188" s="117"/>
      <c r="VR188" s="117"/>
      <c r="VS188" s="117"/>
      <c r="VT188" s="117"/>
      <c r="VU188" s="117"/>
      <c r="VV188" s="117"/>
      <c r="VW188" s="117"/>
      <c r="VX188" s="117"/>
      <c r="VY188" s="117"/>
      <c r="VZ188" s="117"/>
      <c r="WA188" s="117"/>
      <c r="WB188" s="117"/>
      <c r="WC188" s="117"/>
      <c r="WD188" s="117"/>
      <c r="WE188" s="117"/>
      <c r="WF188" s="117"/>
      <c r="WG188" s="117"/>
      <c r="WH188" s="117"/>
      <c r="WI188" s="117"/>
      <c r="WJ188" s="117"/>
      <c r="WK188" s="117"/>
      <c r="WL188" s="117"/>
      <c r="WM188" s="117"/>
      <c r="WN188" s="117"/>
      <c r="WO188" s="117"/>
      <c r="WP188" s="117"/>
      <c r="WQ188" s="117"/>
      <c r="WR188" s="117"/>
      <c r="WS188" s="117"/>
      <c r="WT188" s="117"/>
      <c r="WU188" s="117"/>
      <c r="WV188" s="117"/>
      <c r="WW188" s="117"/>
      <c r="WX188" s="117"/>
      <c r="WY188" s="117"/>
      <c r="WZ188" s="117"/>
      <c r="XA188" s="117"/>
      <c r="XB188" s="117"/>
      <c r="XC188" s="117"/>
      <c r="XD188" s="117"/>
      <c r="XE188" s="117"/>
      <c r="XF188" s="117"/>
      <c r="XG188" s="117"/>
      <c r="XH188" s="117"/>
      <c r="XI188" s="117"/>
      <c r="XJ188" s="117"/>
      <c r="XK188" s="117"/>
      <c r="XL188" s="117"/>
      <c r="XM188" s="117"/>
      <c r="XN188" s="117"/>
      <c r="XO188" s="117"/>
      <c r="XP188" s="117"/>
      <c r="XQ188" s="117"/>
      <c r="XR188" s="117"/>
      <c r="XS188" s="117"/>
      <c r="XT188" s="117"/>
      <c r="XU188" s="117"/>
      <c r="XV188" s="117"/>
      <c r="XW188" s="117"/>
      <c r="XX188" s="117"/>
      <c r="XY188" s="117"/>
      <c r="XZ188" s="117"/>
      <c r="YA188" s="117"/>
      <c r="YB188" s="117"/>
      <c r="YC188" s="117"/>
      <c r="YD188" s="117"/>
      <c r="YE188" s="117"/>
      <c r="YF188" s="117"/>
      <c r="YG188" s="117"/>
      <c r="YH188" s="117"/>
      <c r="YI188" s="117"/>
      <c r="YJ188" s="117"/>
      <c r="YK188" s="117"/>
      <c r="YL188" s="117"/>
      <c r="YM188" s="117"/>
      <c r="YN188" s="117"/>
      <c r="YO188" s="117"/>
      <c r="YP188" s="117"/>
      <c r="YQ188" s="117"/>
      <c r="YR188" s="117"/>
      <c r="YS188" s="117"/>
      <c r="YT188" s="117"/>
      <c r="YU188" s="117"/>
      <c r="YV188" s="117"/>
      <c r="YW188" s="117"/>
      <c r="YX188" s="117"/>
      <c r="YY188" s="117"/>
      <c r="YZ188" s="117"/>
      <c r="ZA188" s="117"/>
      <c r="ZB188" s="117"/>
      <c r="ZC188" s="117"/>
      <c r="ZD188" s="117"/>
      <c r="ZE188" s="117"/>
      <c r="ZF188" s="117"/>
      <c r="ZG188" s="117"/>
      <c r="ZH188" s="117"/>
      <c r="ZI188" s="117"/>
      <c r="ZJ188" s="117"/>
      <c r="ZK188" s="117"/>
      <c r="ZL188" s="117"/>
      <c r="ZM188" s="117"/>
      <c r="ZN188" s="117"/>
      <c r="ZO188" s="117"/>
      <c r="ZP188" s="117"/>
      <c r="ZQ188" s="117"/>
      <c r="ZR188" s="117"/>
      <c r="ZS188" s="117"/>
      <c r="ZT188" s="117"/>
      <c r="ZU188" s="117"/>
      <c r="ZV188" s="117"/>
      <c r="ZW188" s="117"/>
      <c r="ZX188" s="117"/>
      <c r="ZY188" s="117"/>
      <c r="ZZ188" s="117"/>
      <c r="AAA188" s="117"/>
      <c r="AAB188" s="117"/>
      <c r="AAC188" s="117"/>
      <c r="AAD188" s="117"/>
      <c r="AAE188" s="117"/>
      <c r="AAF188" s="117"/>
      <c r="AAG188" s="117"/>
      <c r="AAH188" s="117"/>
      <c r="AAI188" s="117"/>
      <c r="AAJ188" s="117"/>
      <c r="AAK188" s="117"/>
      <c r="AAL188" s="117"/>
      <c r="AAM188" s="117"/>
      <c r="AAN188" s="117"/>
      <c r="AAO188" s="117"/>
      <c r="AAP188" s="117"/>
      <c r="AAQ188" s="117"/>
      <c r="AAR188" s="117"/>
      <c r="AAS188" s="117"/>
      <c r="AAT188" s="117"/>
      <c r="AAU188" s="117"/>
      <c r="AAV188" s="117"/>
      <c r="AAW188" s="117"/>
      <c r="AAX188" s="117"/>
      <c r="AAY188" s="117"/>
      <c r="AAZ188" s="117"/>
      <c r="ABA188" s="117"/>
      <c r="ABB188" s="117"/>
      <c r="ABC188" s="117"/>
      <c r="ABD188" s="117"/>
      <c r="ABE188" s="117"/>
      <c r="ABF188" s="117"/>
      <c r="ABG188" s="117"/>
      <c r="ABH188" s="117"/>
      <c r="ABI188" s="117"/>
      <c r="ABJ188" s="117"/>
      <c r="ABK188" s="117"/>
      <c r="ABL188" s="117"/>
      <c r="ABM188" s="117"/>
      <c r="ABN188" s="117"/>
      <c r="ABO188" s="117"/>
      <c r="ABP188" s="117"/>
      <c r="ABQ188" s="117"/>
      <c r="ABR188" s="117"/>
      <c r="ABS188" s="117"/>
      <c r="ABT188" s="117"/>
      <c r="ABU188" s="117"/>
      <c r="ABV188" s="117"/>
      <c r="ABW188" s="117"/>
      <c r="ABX188" s="117"/>
      <c r="ABY188" s="117"/>
      <c r="ABZ188" s="117"/>
      <c r="ACA188" s="117"/>
      <c r="ACB188" s="117"/>
      <c r="ACC188" s="117"/>
      <c r="ACD188" s="117"/>
      <c r="ACE188" s="117"/>
      <c r="ACF188" s="117"/>
      <c r="ACG188" s="117"/>
      <c r="ACH188" s="117"/>
      <c r="ACI188" s="117"/>
      <c r="ACJ188" s="117"/>
      <c r="ACK188" s="117"/>
      <c r="ACL188" s="117"/>
      <c r="ACM188" s="117"/>
      <c r="ACN188" s="117"/>
      <c r="ACO188" s="117"/>
      <c r="ACP188" s="117"/>
      <c r="ACQ188" s="117"/>
      <c r="ACR188" s="117"/>
      <c r="ACS188" s="117"/>
      <c r="ACT188" s="117"/>
      <c r="ACU188" s="117"/>
      <c r="ACV188" s="117"/>
      <c r="ACW188" s="117"/>
      <c r="ACX188" s="117"/>
      <c r="ACY188" s="117"/>
      <c r="ACZ188" s="117"/>
      <c r="ADA188" s="117"/>
      <c r="ADB188" s="117"/>
      <c r="ADC188" s="117"/>
      <c r="ADD188" s="117"/>
      <c r="ADE188" s="117"/>
      <c r="ADF188" s="117"/>
      <c r="ADG188" s="117"/>
      <c r="ADH188" s="117"/>
      <c r="ADI188" s="117"/>
      <c r="ADJ188" s="117"/>
      <c r="ADK188" s="117"/>
      <c r="ADL188" s="117"/>
      <c r="ADM188" s="117"/>
      <c r="ADN188" s="117"/>
      <c r="ADO188" s="117"/>
      <c r="ADP188" s="117"/>
      <c r="ADQ188" s="117"/>
      <c r="ADR188" s="117"/>
      <c r="ADS188" s="117"/>
      <c r="ADT188" s="117"/>
      <c r="ADU188" s="117"/>
      <c r="ADV188" s="117"/>
      <c r="ADW188" s="117"/>
      <c r="ADX188" s="117"/>
      <c r="ADY188" s="117"/>
      <c r="ADZ188" s="117"/>
      <c r="AEA188" s="117"/>
      <c r="AEB188" s="117"/>
      <c r="AEC188" s="117"/>
      <c r="AED188" s="117"/>
      <c r="AEE188" s="117"/>
      <c r="AEF188" s="117"/>
      <c r="AEG188" s="117"/>
      <c r="AEH188" s="117"/>
      <c r="AEI188" s="117"/>
      <c r="AEJ188" s="117"/>
      <c r="AEK188" s="117"/>
      <c r="AEL188" s="117"/>
      <c r="AEM188" s="117"/>
      <c r="AEN188" s="117"/>
      <c r="AEO188" s="117"/>
      <c r="AEP188" s="117"/>
      <c r="AEQ188" s="117"/>
      <c r="AER188" s="117"/>
      <c r="AES188" s="117"/>
      <c r="AET188" s="117"/>
      <c r="AEU188" s="117"/>
      <c r="AEV188" s="117"/>
      <c r="AEW188" s="117"/>
      <c r="AEX188" s="117"/>
      <c r="AEY188" s="117"/>
      <c r="AEZ188" s="117"/>
      <c r="AFA188" s="117"/>
      <c r="AFB188" s="117"/>
      <c r="AFC188" s="117"/>
      <c r="AFD188" s="117"/>
      <c r="AFE188" s="117"/>
      <c r="AFF188" s="117"/>
      <c r="AFG188" s="117"/>
      <c r="AFH188" s="117"/>
      <c r="AFI188" s="117"/>
      <c r="AFJ188" s="117"/>
      <c r="AFK188" s="117"/>
      <c r="AFL188" s="117"/>
      <c r="AFM188" s="117"/>
      <c r="AFN188" s="117"/>
      <c r="AFO188" s="117"/>
      <c r="AFP188" s="117"/>
      <c r="AFQ188" s="117"/>
      <c r="AFR188" s="117"/>
      <c r="AFS188" s="117"/>
      <c r="AFT188" s="117"/>
      <c r="AFU188" s="117"/>
      <c r="AFV188" s="117"/>
      <c r="AFW188" s="117"/>
      <c r="AFX188" s="117"/>
      <c r="AFY188" s="117"/>
      <c r="AFZ188" s="117"/>
      <c r="AGA188" s="117"/>
      <c r="AGB188" s="117"/>
      <c r="AGC188" s="117"/>
      <c r="AGD188" s="117"/>
      <c r="AGE188" s="117"/>
      <c r="AGF188" s="117"/>
      <c r="AGG188" s="117"/>
      <c r="AGH188" s="117"/>
      <c r="AGI188" s="117"/>
      <c r="AGJ188" s="117"/>
      <c r="AGK188" s="117"/>
      <c r="AGL188" s="117"/>
      <c r="AGM188" s="117"/>
      <c r="AGN188" s="117"/>
      <c r="AGO188" s="117"/>
      <c r="AGP188" s="117"/>
      <c r="AGQ188" s="117"/>
      <c r="AGR188" s="117"/>
      <c r="AGS188" s="117"/>
      <c r="AGT188" s="117"/>
      <c r="AGU188" s="117"/>
      <c r="AGV188" s="117"/>
      <c r="AGW188" s="117"/>
      <c r="AGX188" s="117"/>
      <c r="AGY188" s="117"/>
      <c r="AGZ188" s="117"/>
      <c r="AHA188" s="117"/>
      <c r="AHB188" s="117"/>
      <c r="AHC188" s="117"/>
      <c r="AHD188" s="117"/>
      <c r="AHE188" s="117"/>
      <c r="AHF188" s="117"/>
      <c r="AHG188" s="117"/>
      <c r="AHH188" s="117"/>
      <c r="AHI188" s="117"/>
      <c r="AHJ188" s="117"/>
      <c r="AHK188" s="117"/>
      <c r="AHL188" s="117"/>
      <c r="AHM188" s="117"/>
      <c r="AHN188" s="117"/>
      <c r="AHO188" s="117"/>
      <c r="AHP188" s="117"/>
      <c r="AHQ188" s="117"/>
      <c r="AHR188" s="117"/>
      <c r="AHS188" s="117"/>
      <c r="AHT188" s="117"/>
      <c r="AHU188" s="117"/>
      <c r="AHV188" s="117"/>
      <c r="AHW188" s="117"/>
      <c r="AHX188" s="117"/>
      <c r="AHY188" s="117"/>
      <c r="AHZ188" s="117"/>
      <c r="AIA188" s="117"/>
      <c r="AIB188" s="117"/>
      <c r="AIC188" s="117"/>
      <c r="AID188" s="117"/>
      <c r="AIE188" s="117"/>
      <c r="AIF188" s="117"/>
      <c r="AIG188" s="117"/>
      <c r="AIH188" s="117"/>
      <c r="AII188" s="117"/>
      <c r="AIJ188" s="117"/>
      <c r="AIK188" s="117"/>
      <c r="AIL188" s="117"/>
      <c r="AIM188" s="117"/>
      <c r="AIN188" s="117"/>
      <c r="AIO188" s="117"/>
      <c r="AIP188" s="117"/>
      <c r="AIQ188" s="117"/>
      <c r="AIR188" s="117"/>
      <c r="AIS188" s="117"/>
      <c r="AIT188" s="117"/>
      <c r="AIU188" s="117"/>
      <c r="AIV188" s="117"/>
      <c r="AIW188" s="117"/>
      <c r="AIX188" s="117"/>
      <c r="AIY188" s="117"/>
      <c r="AIZ188" s="117"/>
      <c r="AJA188" s="117"/>
      <c r="AJB188" s="117"/>
      <c r="AJC188" s="117"/>
      <c r="AJD188" s="117"/>
      <c r="AJE188" s="117"/>
      <c r="AJF188" s="117"/>
      <c r="AJG188" s="117"/>
      <c r="AJH188" s="117"/>
      <c r="AJI188" s="117"/>
      <c r="AJJ188" s="117"/>
      <c r="AJK188" s="117"/>
      <c r="AJL188" s="117"/>
      <c r="AJM188" s="117"/>
      <c r="AJN188" s="117"/>
      <c r="AJO188" s="117"/>
      <c r="AJP188" s="117"/>
      <c r="AJQ188" s="117"/>
      <c r="AJR188" s="117"/>
      <c r="AJS188" s="117"/>
      <c r="AJT188" s="117"/>
      <c r="AJU188" s="117"/>
      <c r="AJV188" s="117"/>
      <c r="AJW188" s="117"/>
      <c r="AJX188" s="117"/>
      <c r="AJY188" s="117"/>
      <c r="AJZ188" s="117"/>
      <c r="AKA188" s="117"/>
      <c r="AKB188" s="117"/>
      <c r="AKC188" s="117"/>
      <c r="AKD188" s="117"/>
      <c r="AKE188" s="117"/>
      <c r="AKF188" s="117"/>
      <c r="AKG188" s="117"/>
      <c r="AKH188" s="117"/>
      <c r="AKI188" s="117"/>
      <c r="AKJ188" s="117"/>
      <c r="AKK188" s="117"/>
      <c r="AKL188" s="117"/>
      <c r="AKM188" s="117"/>
      <c r="AKN188" s="117"/>
      <c r="AKO188" s="117"/>
      <c r="AKP188" s="117"/>
      <c r="AKQ188" s="117"/>
      <c r="AKR188" s="117"/>
      <c r="AKS188" s="117"/>
      <c r="AKT188" s="117"/>
      <c r="AKU188" s="117"/>
      <c r="AKV188" s="117"/>
      <c r="AKW188" s="117"/>
      <c r="AKX188" s="117"/>
      <c r="AKY188" s="117"/>
      <c r="AKZ188" s="117"/>
      <c r="ALA188" s="117"/>
      <c r="ALB188" s="117"/>
      <c r="ALC188" s="117"/>
      <c r="ALD188" s="117"/>
      <c r="ALE188" s="117"/>
      <c r="ALF188" s="117"/>
      <c r="ALG188" s="117"/>
      <c r="ALH188" s="117"/>
      <c r="ALI188" s="117"/>
      <c r="ALJ188" s="117"/>
      <c r="ALK188" s="117"/>
      <c r="ALL188" s="117"/>
      <c r="ALM188" s="117"/>
      <c r="ALN188" s="117"/>
      <c r="ALO188" s="117"/>
      <c r="ALP188" s="117"/>
      <c r="ALQ188" s="117"/>
      <c r="ALR188" s="117"/>
      <c r="ALS188" s="117"/>
      <c r="ALT188" s="117"/>
      <c r="ALU188" s="117"/>
      <c r="ALV188" s="117"/>
      <c r="ALW188" s="117"/>
      <c r="ALX188" s="117"/>
      <c r="ALY188" s="117"/>
      <c r="ALZ188" s="117"/>
      <c r="AMA188" s="117"/>
      <c r="AMB188" s="117"/>
      <c r="AMC188" s="117"/>
      <c r="AMD188" s="117"/>
      <c r="AME188" s="117"/>
      <c r="AMF188" s="117"/>
      <c r="AMG188" s="117"/>
      <c r="AMH188" s="117"/>
      <c r="AMI188" s="117"/>
      <c r="AMJ188" s="117"/>
      <c r="AMK188" s="117"/>
      <c r="AML188" s="117"/>
      <c r="AMM188" s="117"/>
      <c r="AMN188" s="117"/>
      <c r="AMO188" s="117"/>
      <c r="AMP188" s="117"/>
      <c r="AMQ188" s="117"/>
      <c r="AMR188" s="117"/>
      <c r="AMS188" s="117"/>
      <c r="AMT188" s="117"/>
      <c r="AMU188" s="117"/>
      <c r="AMV188" s="117"/>
      <c r="AMW188" s="117"/>
      <c r="AMX188" s="117"/>
      <c r="AMY188" s="117"/>
      <c r="AMZ188" s="117"/>
      <c r="ANA188" s="117"/>
      <c r="ANB188" s="117"/>
      <c r="ANC188" s="117"/>
      <c r="AND188" s="117"/>
      <c r="ANE188" s="117"/>
      <c r="ANF188" s="117"/>
      <c r="ANG188" s="117"/>
      <c r="ANH188" s="117"/>
      <c r="ANI188" s="117"/>
      <c r="ANJ188" s="117"/>
      <c r="ANK188" s="117"/>
      <c r="ANL188" s="117"/>
      <c r="ANM188" s="117"/>
      <c r="ANN188" s="117"/>
      <c r="ANO188" s="117"/>
      <c r="ANP188" s="117"/>
      <c r="ANQ188" s="117"/>
      <c r="ANR188" s="117"/>
      <c r="ANS188" s="117"/>
      <c r="ANT188" s="117"/>
      <c r="ANU188" s="117"/>
      <c r="ANV188" s="117"/>
      <c r="ANW188" s="117"/>
      <c r="ANX188" s="117"/>
      <c r="ANY188" s="117"/>
      <c r="ANZ188" s="117"/>
      <c r="AOA188" s="117"/>
      <c r="AOB188" s="117"/>
      <c r="AOC188" s="117"/>
      <c r="AOD188" s="117"/>
      <c r="AOE188" s="117"/>
      <c r="AOF188" s="117"/>
      <c r="AOG188" s="117"/>
      <c r="AOH188" s="117"/>
      <c r="AOI188" s="117"/>
      <c r="AOJ188" s="117"/>
      <c r="AOK188" s="117"/>
      <c r="AOL188" s="117"/>
      <c r="AOM188" s="117"/>
      <c r="AON188" s="117"/>
      <c r="AOO188" s="117"/>
      <c r="AOP188" s="117"/>
      <c r="AOQ188" s="117"/>
      <c r="AOR188" s="117"/>
      <c r="AOS188" s="117"/>
      <c r="AOT188" s="117"/>
      <c r="AOU188" s="117"/>
      <c r="AOV188" s="117"/>
      <c r="AOW188" s="117"/>
      <c r="AOX188" s="117"/>
      <c r="AOY188" s="117"/>
      <c r="AOZ188" s="117"/>
      <c r="APA188" s="117"/>
      <c r="APB188" s="117"/>
      <c r="APC188" s="117"/>
      <c r="APD188" s="117"/>
      <c r="APE188" s="117"/>
      <c r="APF188" s="117"/>
      <c r="APG188" s="117"/>
      <c r="APH188" s="117"/>
      <c r="API188" s="117"/>
      <c r="APJ188" s="117"/>
      <c r="APK188" s="117"/>
      <c r="APL188" s="117"/>
      <c r="APM188" s="117"/>
      <c r="APN188" s="117"/>
      <c r="APO188" s="117"/>
      <c r="APP188" s="117"/>
      <c r="APQ188" s="117"/>
      <c r="APR188" s="117"/>
      <c r="APS188" s="117"/>
      <c r="APT188" s="117"/>
      <c r="APU188" s="117"/>
      <c r="APV188" s="117"/>
      <c r="APW188" s="117"/>
      <c r="APX188" s="117"/>
      <c r="APY188" s="117"/>
      <c r="APZ188" s="117"/>
      <c r="AQA188" s="117"/>
      <c r="AQB188" s="117"/>
      <c r="AQC188" s="117"/>
      <c r="AQD188" s="117"/>
      <c r="AQE188" s="117"/>
      <c r="AQF188" s="117"/>
      <c r="AQG188" s="117"/>
      <c r="AQH188" s="117"/>
      <c r="AQI188" s="117"/>
      <c r="AQJ188" s="117"/>
      <c r="AQK188" s="117"/>
      <c r="AQL188" s="117"/>
      <c r="AQM188" s="117"/>
      <c r="AQN188" s="117"/>
      <c r="AQO188" s="117"/>
      <c r="AQP188" s="117"/>
      <c r="AQQ188" s="117"/>
      <c r="AQR188" s="117"/>
      <c r="AQS188" s="117"/>
      <c r="AQT188" s="117"/>
      <c r="AQU188" s="117"/>
      <c r="AQV188" s="117"/>
      <c r="AQW188" s="117"/>
      <c r="AQX188" s="117"/>
      <c r="AQY188" s="117"/>
      <c r="AQZ188" s="117"/>
      <c r="ARA188" s="117"/>
      <c r="ARB188" s="117"/>
      <c r="ARC188" s="117"/>
      <c r="ARD188" s="117"/>
      <c r="ARE188" s="117"/>
      <c r="ARF188" s="117"/>
      <c r="ARG188" s="117"/>
      <c r="ARH188" s="117"/>
      <c r="ARI188" s="117"/>
      <c r="ARJ188" s="117"/>
      <c r="ARK188" s="117"/>
      <c r="ARL188" s="117"/>
      <c r="ARM188" s="117"/>
      <c r="ARN188" s="117"/>
      <c r="ARO188" s="117"/>
      <c r="ARP188" s="117"/>
      <c r="ARQ188" s="117"/>
      <c r="ARR188" s="117"/>
      <c r="ARS188" s="117"/>
      <c r="ART188" s="117"/>
      <c r="ARU188" s="117"/>
      <c r="ARV188" s="117"/>
      <c r="ARW188" s="117"/>
      <c r="ARX188" s="117"/>
      <c r="ARY188" s="117"/>
      <c r="ARZ188" s="117"/>
      <c r="ASA188" s="117"/>
      <c r="ASB188" s="117"/>
      <c r="ASC188" s="117"/>
      <c r="ASD188" s="117"/>
      <c r="ASE188" s="117"/>
      <c r="ASF188" s="117"/>
      <c r="ASG188" s="117"/>
      <c r="ASH188" s="117"/>
      <c r="ASI188" s="117"/>
      <c r="ASJ188" s="117"/>
      <c r="ASK188" s="117"/>
      <c r="ASL188" s="117"/>
      <c r="ASM188" s="117"/>
      <c r="ASN188" s="117"/>
      <c r="ASO188" s="117"/>
      <c r="ASP188" s="117"/>
      <c r="ASQ188" s="117"/>
      <c r="ASR188" s="117"/>
      <c r="ASS188" s="117"/>
      <c r="AST188" s="117"/>
      <c r="ASU188" s="117"/>
      <c r="ASV188" s="117"/>
      <c r="ASW188" s="117"/>
      <c r="ASX188" s="117"/>
      <c r="ASY188" s="117"/>
      <c r="ASZ188" s="117"/>
      <c r="ATA188" s="117"/>
      <c r="ATB188" s="117"/>
      <c r="ATC188" s="117"/>
      <c r="ATD188" s="117"/>
      <c r="ATE188" s="117"/>
      <c r="ATF188" s="117"/>
      <c r="ATG188" s="117"/>
      <c r="ATH188" s="117"/>
      <c r="ATI188" s="117"/>
      <c r="ATJ188" s="117"/>
      <c r="ATK188" s="117"/>
      <c r="ATL188" s="117"/>
      <c r="ATM188" s="117"/>
      <c r="ATN188" s="117"/>
      <c r="ATO188" s="117"/>
      <c r="ATP188" s="117"/>
      <c r="ATQ188" s="117"/>
      <c r="ATR188" s="117"/>
      <c r="ATS188" s="117"/>
      <c r="ATT188" s="117"/>
      <c r="ATU188" s="117"/>
      <c r="ATV188" s="117"/>
      <c r="ATW188" s="117"/>
      <c r="ATX188" s="117"/>
      <c r="ATY188" s="117"/>
      <c r="ATZ188" s="117"/>
      <c r="AUA188" s="117"/>
      <c r="AUB188" s="117"/>
      <c r="AUC188" s="117"/>
      <c r="AUD188" s="117"/>
      <c r="AUE188" s="117"/>
      <c r="AUF188" s="117"/>
      <c r="AUG188" s="117"/>
      <c r="AUH188" s="117"/>
      <c r="AUI188" s="117"/>
      <c r="AUJ188" s="117"/>
      <c r="AUK188" s="117"/>
      <c r="AUL188" s="117"/>
      <c r="AUM188" s="117"/>
      <c r="AUN188" s="117"/>
      <c r="AUO188" s="117"/>
      <c r="AUP188" s="117"/>
      <c r="AUQ188" s="117"/>
      <c r="AUR188" s="117"/>
      <c r="AUS188" s="117"/>
      <c r="AUT188" s="117"/>
      <c r="AUU188" s="117"/>
      <c r="AUV188" s="117"/>
      <c r="AUW188" s="117"/>
      <c r="AUX188" s="117"/>
      <c r="AUY188" s="117"/>
      <c r="AUZ188" s="117"/>
      <c r="AVA188" s="117"/>
      <c r="AVB188" s="117"/>
      <c r="AVC188" s="117"/>
      <c r="AVD188" s="117"/>
      <c r="AVE188" s="117"/>
      <c r="AVF188" s="117"/>
      <c r="AVG188" s="117"/>
      <c r="AVH188" s="117"/>
      <c r="AVI188" s="117"/>
      <c r="AVJ188" s="117"/>
      <c r="AVK188" s="117"/>
      <c r="AVL188" s="117"/>
      <c r="AVM188" s="117"/>
      <c r="AVN188" s="117"/>
      <c r="AVO188" s="117"/>
      <c r="AVP188" s="117"/>
      <c r="AVQ188" s="117"/>
      <c r="AVR188" s="117"/>
      <c r="AVS188" s="117"/>
      <c r="AVT188" s="117"/>
      <c r="AVU188" s="117"/>
      <c r="AVV188" s="117"/>
      <c r="AVW188" s="117"/>
      <c r="AVX188" s="117"/>
      <c r="AVY188" s="117"/>
      <c r="AVZ188" s="117"/>
      <c r="AWA188" s="117"/>
      <c r="AWB188" s="117"/>
      <c r="AWC188" s="117"/>
      <c r="AWD188" s="117"/>
      <c r="AWE188" s="117"/>
      <c r="AWF188" s="117"/>
      <c r="AWG188" s="117"/>
      <c r="AWH188" s="117"/>
      <c r="AWI188" s="117"/>
      <c r="AWJ188" s="117"/>
      <c r="AWK188" s="117"/>
      <c r="AWL188" s="117"/>
      <c r="AWM188" s="117"/>
      <c r="AWN188" s="117"/>
      <c r="AWO188" s="117"/>
      <c r="AWP188" s="117"/>
      <c r="AWQ188" s="117"/>
      <c r="AWR188" s="117"/>
      <c r="AWS188" s="117"/>
      <c r="AWT188" s="117"/>
      <c r="AWU188" s="117"/>
      <c r="AWV188" s="117"/>
      <c r="AWW188" s="117"/>
      <c r="AWX188" s="117"/>
      <c r="AWY188" s="117"/>
      <c r="AWZ188" s="117"/>
      <c r="AXA188" s="117"/>
      <c r="AXB188" s="117"/>
      <c r="AXC188" s="117"/>
      <c r="AXD188" s="117"/>
      <c r="AXE188" s="117"/>
      <c r="AXF188" s="117"/>
      <c r="AXG188" s="117"/>
      <c r="AXH188" s="117"/>
      <c r="AXI188" s="117"/>
      <c r="AXJ188" s="117"/>
      <c r="AXK188" s="117"/>
      <c r="AXL188" s="117"/>
      <c r="AXM188" s="117"/>
      <c r="AXN188" s="117"/>
      <c r="AXO188" s="117"/>
      <c r="AXP188" s="117"/>
      <c r="AXQ188" s="117"/>
      <c r="AXR188" s="117"/>
      <c r="AXS188" s="117"/>
      <c r="AXT188" s="117"/>
      <c r="AXU188" s="117"/>
      <c r="AXV188" s="117"/>
      <c r="AXW188" s="117"/>
      <c r="AXX188" s="117"/>
      <c r="AXY188" s="117"/>
      <c r="AXZ188" s="117"/>
      <c r="AYA188" s="117"/>
      <c r="AYB188" s="117"/>
      <c r="AYC188" s="117"/>
      <c r="AYD188" s="117"/>
      <c r="AYE188" s="117"/>
      <c r="AYF188" s="117"/>
      <c r="AYG188" s="117"/>
      <c r="AYH188" s="117"/>
      <c r="AYI188" s="117"/>
      <c r="AYJ188" s="117"/>
      <c r="AYK188" s="117"/>
      <c r="AYL188" s="117"/>
      <c r="AYM188" s="117"/>
      <c r="AYN188" s="117"/>
      <c r="AYO188" s="117"/>
      <c r="AYP188" s="117"/>
      <c r="AYQ188" s="117"/>
      <c r="AYR188" s="117"/>
      <c r="AYS188" s="117"/>
      <c r="AYT188" s="117"/>
      <c r="AYU188" s="117"/>
      <c r="AYV188" s="117"/>
      <c r="AYW188" s="117"/>
      <c r="AYX188" s="117"/>
      <c r="AYY188" s="117"/>
      <c r="AYZ188" s="117"/>
      <c r="AZA188" s="117"/>
      <c r="AZB188" s="117"/>
      <c r="AZC188" s="117"/>
      <c r="AZD188" s="117"/>
      <c r="AZE188" s="117"/>
      <c r="AZF188" s="117"/>
      <c r="AZG188" s="117"/>
      <c r="AZH188" s="117"/>
      <c r="AZI188" s="117"/>
      <c r="AZJ188" s="117"/>
      <c r="AZK188" s="117"/>
      <c r="AZL188" s="117"/>
      <c r="AZM188" s="117"/>
      <c r="AZN188" s="117"/>
      <c r="AZO188" s="117"/>
      <c r="AZP188" s="117"/>
      <c r="AZQ188" s="117"/>
      <c r="AZR188" s="117"/>
      <c r="AZS188" s="117"/>
      <c r="AZT188" s="117"/>
      <c r="AZU188" s="117"/>
      <c r="AZV188" s="117"/>
      <c r="AZW188" s="117"/>
      <c r="AZX188" s="117"/>
      <c r="AZY188" s="117"/>
      <c r="AZZ188" s="117"/>
      <c r="BAA188" s="117"/>
      <c r="BAB188" s="117"/>
      <c r="BAC188" s="117"/>
      <c r="BAD188" s="117"/>
      <c r="BAE188" s="117"/>
      <c r="BAF188" s="117"/>
      <c r="BAG188" s="117"/>
      <c r="BAH188" s="117"/>
      <c r="BAI188" s="117"/>
      <c r="BAJ188" s="117"/>
      <c r="BAK188" s="117"/>
      <c r="BAL188" s="117"/>
      <c r="BAM188" s="117"/>
      <c r="BAN188" s="117"/>
      <c r="BAO188" s="117"/>
      <c r="BAP188" s="117"/>
      <c r="BAQ188" s="117"/>
      <c r="BAR188" s="117"/>
      <c r="BAS188" s="117"/>
      <c r="BAT188" s="117"/>
      <c r="BAU188" s="117"/>
      <c r="BAV188" s="117"/>
      <c r="BAW188" s="117"/>
      <c r="BAX188" s="117"/>
      <c r="BAY188" s="117"/>
      <c r="BAZ188" s="117"/>
      <c r="BBA188" s="117"/>
      <c r="BBB188" s="117"/>
      <c r="BBC188" s="117"/>
      <c r="BBD188" s="117"/>
      <c r="BBE188" s="117"/>
      <c r="BBF188" s="117"/>
      <c r="BBG188" s="117"/>
      <c r="BBH188" s="117"/>
      <c r="BBI188" s="117"/>
      <c r="BBJ188" s="117"/>
      <c r="BBK188" s="117"/>
      <c r="BBL188" s="117"/>
      <c r="BBM188" s="117"/>
      <c r="BBN188" s="117"/>
      <c r="BBO188" s="117"/>
      <c r="BBP188" s="117"/>
      <c r="BBQ188" s="117"/>
      <c r="BBR188" s="117"/>
      <c r="BBS188" s="117"/>
      <c r="BBT188" s="117"/>
      <c r="BBU188" s="117"/>
      <c r="BBV188" s="117"/>
      <c r="BBW188" s="117"/>
      <c r="BBX188" s="117"/>
      <c r="BBY188" s="117"/>
      <c r="BBZ188" s="117"/>
      <c r="BCA188" s="117"/>
      <c r="BCB188" s="117"/>
      <c r="BCC188" s="117"/>
      <c r="BCD188" s="117"/>
      <c r="BCE188" s="117"/>
      <c r="BCF188" s="117"/>
      <c r="BCG188" s="117"/>
      <c r="BCH188" s="117"/>
      <c r="BCI188" s="117"/>
      <c r="BCJ188" s="117"/>
      <c r="BCK188" s="117"/>
      <c r="BCL188" s="117"/>
      <c r="BCM188" s="117"/>
      <c r="BCN188" s="117"/>
      <c r="BCO188" s="117"/>
      <c r="BCP188" s="117"/>
      <c r="BCQ188" s="117"/>
      <c r="BCR188" s="117"/>
      <c r="BCS188" s="117"/>
      <c r="BCT188" s="117"/>
      <c r="BCU188" s="117"/>
      <c r="BCV188" s="117"/>
      <c r="BCW188" s="117"/>
      <c r="BCX188" s="117"/>
      <c r="BCY188" s="117"/>
      <c r="BCZ188" s="117"/>
      <c r="BDA188" s="117"/>
      <c r="BDB188" s="117"/>
      <c r="BDC188" s="117"/>
      <c r="BDD188" s="117"/>
      <c r="BDE188" s="117"/>
      <c r="BDF188" s="117"/>
      <c r="BDG188" s="117"/>
      <c r="BDH188" s="117"/>
      <c r="BDI188" s="117"/>
      <c r="BDJ188" s="117"/>
      <c r="BDK188" s="117"/>
      <c r="BDL188" s="117"/>
      <c r="BDM188" s="117"/>
      <c r="BDN188" s="117"/>
      <c r="BDO188" s="117"/>
      <c r="BDP188" s="117"/>
      <c r="BDQ188" s="117"/>
      <c r="BDR188" s="117"/>
      <c r="BDS188" s="117"/>
      <c r="BDT188" s="117"/>
      <c r="BDU188" s="117"/>
      <c r="BDV188" s="117"/>
      <c r="BDW188" s="117"/>
      <c r="BDX188" s="117"/>
      <c r="BDY188" s="117"/>
      <c r="BDZ188" s="117"/>
      <c r="BEA188" s="117"/>
      <c r="BEB188" s="117"/>
      <c r="BEC188" s="117"/>
      <c r="BED188" s="117"/>
      <c r="BEE188" s="117"/>
      <c r="BEF188" s="117"/>
      <c r="BEG188" s="117"/>
      <c r="BEH188" s="117"/>
      <c r="BEI188" s="117"/>
      <c r="BEJ188" s="117"/>
      <c r="BEK188" s="117"/>
      <c r="BEL188" s="117"/>
      <c r="BEM188" s="117"/>
      <c r="BEN188" s="117"/>
      <c r="BEO188" s="117"/>
      <c r="BEP188" s="117"/>
      <c r="BEQ188" s="117"/>
      <c r="BER188" s="117"/>
      <c r="BES188" s="117"/>
      <c r="BET188" s="117"/>
      <c r="BEU188" s="117"/>
      <c r="BEV188" s="117"/>
      <c r="BEW188" s="117"/>
      <c r="BEX188" s="117"/>
      <c r="BEY188" s="117"/>
      <c r="BEZ188" s="117"/>
      <c r="BFA188" s="117"/>
      <c r="BFB188" s="117"/>
      <c r="BFC188" s="117"/>
      <c r="BFD188" s="117"/>
      <c r="BFE188" s="117"/>
      <c r="BFF188" s="117"/>
      <c r="BFG188" s="117"/>
      <c r="BFH188" s="117"/>
      <c r="BFI188" s="117"/>
      <c r="BFJ188" s="117"/>
      <c r="BFK188" s="117"/>
      <c r="BFL188" s="117"/>
      <c r="BFM188" s="117"/>
      <c r="BFN188" s="117"/>
      <c r="BFO188" s="117"/>
      <c r="BFP188" s="117"/>
      <c r="BFQ188" s="117"/>
      <c r="BFR188" s="117"/>
      <c r="BFS188" s="117"/>
      <c r="BFT188" s="117"/>
      <c r="BFU188" s="117"/>
      <c r="BFV188" s="117"/>
      <c r="BFW188" s="117"/>
      <c r="BFX188" s="117"/>
      <c r="BFY188" s="117"/>
      <c r="BFZ188" s="117"/>
      <c r="BGA188" s="117"/>
      <c r="BGB188" s="117"/>
      <c r="BGC188" s="117"/>
      <c r="BGD188" s="117"/>
      <c r="BGE188" s="117"/>
      <c r="BGF188" s="117"/>
      <c r="BGG188" s="117"/>
      <c r="BGH188" s="117"/>
      <c r="BGI188" s="117"/>
      <c r="BGJ188" s="117"/>
      <c r="BGK188" s="117"/>
      <c r="BGL188" s="117"/>
      <c r="BGM188" s="117"/>
      <c r="BGN188" s="117"/>
      <c r="BGO188" s="117"/>
      <c r="BGP188" s="117"/>
      <c r="BGQ188" s="117"/>
      <c r="BGR188" s="117"/>
      <c r="BGS188" s="117"/>
      <c r="BGT188" s="117"/>
      <c r="BGU188" s="117"/>
      <c r="BGV188" s="117"/>
      <c r="BGW188" s="117"/>
      <c r="BGX188" s="117"/>
      <c r="BGY188" s="117"/>
      <c r="BGZ188" s="117"/>
      <c r="BHA188" s="117"/>
      <c r="BHB188" s="117"/>
      <c r="BHC188" s="117"/>
      <c r="BHD188" s="117"/>
      <c r="BHE188" s="117"/>
      <c r="BHF188" s="117"/>
      <c r="BHG188" s="117"/>
      <c r="BHH188" s="117"/>
      <c r="BHI188" s="117"/>
      <c r="BHJ188" s="117"/>
      <c r="BHK188" s="117"/>
      <c r="BHL188" s="117"/>
      <c r="BHM188" s="117"/>
      <c r="BHN188" s="117"/>
      <c r="BHO188" s="117"/>
      <c r="BHP188" s="117"/>
      <c r="BHQ188" s="117"/>
      <c r="BHR188" s="117"/>
      <c r="BHS188" s="117"/>
      <c r="BHT188" s="117"/>
      <c r="BHU188" s="117"/>
      <c r="BHV188" s="117"/>
      <c r="BHW188" s="117"/>
      <c r="BHX188" s="117"/>
      <c r="BHY188" s="117"/>
      <c r="BHZ188" s="117"/>
      <c r="BIA188" s="117"/>
      <c r="BIB188" s="117"/>
      <c r="BIC188" s="117"/>
      <c r="BID188" s="117"/>
      <c r="BIE188" s="117"/>
      <c r="BIF188" s="117"/>
      <c r="BIG188" s="117"/>
      <c r="BIH188" s="117"/>
      <c r="BII188" s="117"/>
      <c r="BIJ188" s="117"/>
      <c r="BIK188" s="117"/>
      <c r="BIL188" s="117"/>
      <c r="BIM188" s="117"/>
      <c r="BIN188" s="117"/>
      <c r="BIO188" s="117"/>
      <c r="BIP188" s="117"/>
      <c r="BIQ188" s="117"/>
      <c r="BIR188" s="117"/>
      <c r="BIS188" s="117"/>
      <c r="BIT188" s="117"/>
      <c r="BIU188" s="117"/>
      <c r="BIV188" s="117"/>
      <c r="BIW188" s="117"/>
      <c r="BIX188" s="117"/>
      <c r="BIY188" s="117"/>
      <c r="BIZ188" s="117"/>
      <c r="BJA188" s="117"/>
      <c r="BJB188" s="117"/>
      <c r="BJC188" s="117"/>
      <c r="BJD188" s="117"/>
      <c r="BJE188" s="117"/>
      <c r="BJF188" s="117"/>
      <c r="BJG188" s="117"/>
      <c r="BJH188" s="117"/>
      <c r="BJI188" s="117"/>
      <c r="BJJ188" s="117"/>
      <c r="BJK188" s="117"/>
      <c r="BJL188" s="117"/>
      <c r="BJM188" s="117"/>
      <c r="BJN188" s="117"/>
      <c r="BJO188" s="117"/>
      <c r="BJP188" s="117"/>
      <c r="BJQ188" s="117"/>
      <c r="BJR188" s="117"/>
      <c r="BJS188" s="117"/>
      <c r="BJT188" s="117"/>
      <c r="BJU188" s="117"/>
      <c r="BJV188" s="117"/>
      <c r="BJW188" s="117"/>
      <c r="BJX188" s="117"/>
      <c r="BJY188" s="117"/>
      <c r="BJZ188" s="117"/>
      <c r="BKA188" s="117"/>
      <c r="BKB188" s="117"/>
      <c r="BKC188" s="117"/>
      <c r="BKD188" s="117"/>
      <c r="BKE188" s="117"/>
      <c r="BKF188" s="117"/>
      <c r="BKG188" s="117"/>
      <c r="BKH188" s="117"/>
      <c r="BKI188" s="117"/>
      <c r="BKJ188" s="117"/>
      <c r="BKK188" s="117"/>
      <c r="BKL188" s="117"/>
      <c r="BKM188" s="117"/>
      <c r="BKN188" s="117"/>
      <c r="BKO188" s="117"/>
      <c r="BKP188" s="117"/>
      <c r="BKQ188" s="117"/>
      <c r="BKR188" s="117"/>
      <c r="BKS188" s="117"/>
      <c r="BKT188" s="117"/>
      <c r="BKU188" s="117"/>
      <c r="BKV188" s="117"/>
      <c r="BKW188" s="117"/>
      <c r="BKX188" s="117"/>
      <c r="BKY188" s="117"/>
      <c r="BKZ188" s="117"/>
      <c r="BLA188" s="117"/>
      <c r="BLB188" s="117"/>
      <c r="BLC188" s="117"/>
      <c r="BLD188" s="117"/>
      <c r="BLE188" s="117"/>
      <c r="BLF188" s="117"/>
      <c r="BLG188" s="117"/>
      <c r="BLH188" s="117"/>
      <c r="BLI188" s="117"/>
      <c r="BLJ188" s="117"/>
      <c r="BLK188" s="117"/>
      <c r="BLL188" s="117"/>
      <c r="BLM188" s="117"/>
      <c r="BLN188" s="117"/>
      <c r="BLO188" s="117"/>
      <c r="BLP188" s="117"/>
      <c r="BLQ188" s="117"/>
      <c r="BLR188" s="117"/>
      <c r="BLS188" s="117"/>
      <c r="BLT188" s="117"/>
      <c r="BLU188" s="117"/>
      <c r="BLV188" s="117"/>
      <c r="BLW188" s="117"/>
      <c r="BLX188" s="117"/>
      <c r="BLY188" s="117"/>
      <c r="BLZ188" s="117"/>
      <c r="BMA188" s="117"/>
      <c r="BMB188" s="117"/>
      <c r="BMC188" s="117"/>
      <c r="BMD188" s="117"/>
      <c r="BME188" s="117"/>
      <c r="BMF188" s="117"/>
      <c r="BMG188" s="117"/>
      <c r="BMH188" s="117"/>
      <c r="BMI188" s="117"/>
      <c r="BMJ188" s="117"/>
      <c r="BMK188" s="117"/>
      <c r="BML188" s="117"/>
      <c r="BMM188" s="117"/>
      <c r="BMN188" s="117"/>
      <c r="BMO188" s="117"/>
      <c r="BMP188" s="117"/>
      <c r="BMQ188" s="117"/>
      <c r="BMR188" s="117"/>
      <c r="BMS188" s="117"/>
      <c r="BMT188" s="117"/>
      <c r="BMU188" s="117"/>
      <c r="BMV188" s="117"/>
      <c r="BMW188" s="117"/>
      <c r="BMX188" s="117"/>
      <c r="BMY188" s="117"/>
      <c r="BMZ188" s="117"/>
      <c r="BNA188" s="117"/>
      <c r="BNB188" s="117"/>
      <c r="BNC188" s="117"/>
      <c r="BND188" s="117"/>
      <c r="BNE188" s="117"/>
      <c r="BNF188" s="117"/>
      <c r="BNG188" s="117"/>
      <c r="BNH188" s="117"/>
      <c r="BNI188" s="117"/>
      <c r="BNJ188" s="117"/>
      <c r="BNK188" s="117"/>
      <c r="BNL188" s="117"/>
      <c r="BNM188" s="117"/>
      <c r="BNN188" s="117"/>
      <c r="BNO188" s="117"/>
      <c r="BNP188" s="117"/>
      <c r="BNQ188" s="117"/>
      <c r="BNR188" s="117"/>
      <c r="BNS188" s="117"/>
      <c r="BNT188" s="117"/>
      <c r="BNU188" s="117"/>
      <c r="BNV188" s="117"/>
      <c r="BNW188" s="117"/>
      <c r="BNX188" s="117"/>
      <c r="BNY188" s="117"/>
      <c r="BNZ188" s="117"/>
      <c r="BOA188" s="117"/>
      <c r="BOB188" s="117"/>
      <c r="BOC188" s="117"/>
      <c r="BOD188" s="117"/>
      <c r="BOE188" s="117"/>
      <c r="BOF188" s="117"/>
      <c r="BOG188" s="117"/>
      <c r="BOH188" s="117"/>
      <c r="BOI188" s="117"/>
      <c r="BOJ188" s="117"/>
      <c r="BOK188" s="117"/>
      <c r="BOL188" s="117"/>
      <c r="BOM188" s="117"/>
      <c r="BON188" s="117"/>
      <c r="BOO188" s="117"/>
      <c r="BOP188" s="117"/>
      <c r="BOQ188" s="117"/>
      <c r="BOR188" s="117"/>
      <c r="BOS188" s="117"/>
      <c r="BOT188" s="117"/>
      <c r="BOU188" s="117"/>
      <c r="BOV188" s="117"/>
      <c r="BOW188" s="117"/>
      <c r="BOX188" s="117"/>
      <c r="BOY188" s="117"/>
      <c r="BOZ188" s="117"/>
      <c r="BPA188" s="117"/>
      <c r="BPB188" s="117"/>
      <c r="BPC188" s="117"/>
      <c r="BPD188" s="117"/>
      <c r="BPE188" s="117"/>
      <c r="BPF188" s="117"/>
      <c r="BPG188" s="117"/>
      <c r="BPH188" s="117"/>
      <c r="BPI188" s="117"/>
      <c r="BPJ188" s="117"/>
      <c r="BPK188" s="117"/>
      <c r="BPL188" s="117"/>
      <c r="BPM188" s="117"/>
      <c r="BPN188" s="117"/>
      <c r="BPO188" s="117"/>
      <c r="BPP188" s="117"/>
      <c r="BPQ188" s="117"/>
      <c r="BPR188" s="117"/>
      <c r="BPS188" s="117"/>
      <c r="BPT188" s="117"/>
      <c r="BPU188" s="117"/>
      <c r="BPV188" s="117"/>
      <c r="BPW188" s="117"/>
      <c r="BPX188" s="117"/>
      <c r="BPY188" s="117"/>
      <c r="BPZ188" s="117"/>
      <c r="BQA188" s="117"/>
      <c r="BQB188" s="117"/>
      <c r="BQC188" s="117"/>
      <c r="BQD188" s="117"/>
      <c r="BQE188" s="117"/>
      <c r="BQF188" s="117"/>
      <c r="BQG188" s="117"/>
      <c r="BQH188" s="117"/>
      <c r="BQI188" s="117"/>
      <c r="BQJ188" s="117"/>
      <c r="BQK188" s="117"/>
      <c r="BQL188" s="117"/>
      <c r="BQM188" s="117"/>
      <c r="BQN188" s="117"/>
      <c r="BQO188" s="117"/>
      <c r="BQP188" s="117"/>
      <c r="BQQ188" s="117"/>
      <c r="BQR188" s="117"/>
      <c r="BQS188" s="117"/>
      <c r="BQT188" s="117"/>
      <c r="BQU188" s="117"/>
      <c r="BQV188" s="117"/>
      <c r="BQW188" s="117"/>
      <c r="BQX188" s="117"/>
      <c r="BQY188" s="117"/>
      <c r="BQZ188" s="117"/>
      <c r="BRA188" s="117"/>
      <c r="BRB188" s="117"/>
      <c r="BRC188" s="117"/>
      <c r="BRD188" s="117"/>
      <c r="BRE188" s="117"/>
      <c r="BRF188" s="117"/>
      <c r="BRG188" s="117"/>
      <c r="BRH188" s="117"/>
      <c r="BRI188" s="117"/>
      <c r="BRJ188" s="117"/>
      <c r="BRK188" s="117"/>
      <c r="BRL188" s="117"/>
      <c r="BRM188" s="117"/>
      <c r="BRN188" s="117"/>
      <c r="BRO188" s="117"/>
      <c r="BRP188" s="117"/>
      <c r="BRQ188" s="117"/>
      <c r="BRR188" s="117"/>
      <c r="BRS188" s="117"/>
      <c r="BRT188" s="117"/>
      <c r="BRU188" s="117"/>
      <c r="BRV188" s="117"/>
      <c r="BRW188" s="117"/>
      <c r="BRX188" s="117"/>
      <c r="BRY188" s="117"/>
      <c r="BRZ188" s="117"/>
      <c r="BSA188" s="117"/>
      <c r="BSB188" s="117"/>
      <c r="BSC188" s="117"/>
      <c r="BSD188" s="117"/>
      <c r="BSE188" s="117"/>
      <c r="BSF188" s="117"/>
      <c r="BSG188" s="117"/>
      <c r="BSH188" s="117"/>
      <c r="BSI188" s="117"/>
      <c r="BSJ188" s="117"/>
      <c r="BSK188" s="117"/>
      <c r="BSL188" s="117"/>
      <c r="BSM188" s="117"/>
      <c r="BSN188" s="117"/>
      <c r="BSO188" s="117"/>
      <c r="BSP188" s="117"/>
      <c r="BSQ188" s="117"/>
      <c r="BSR188" s="117"/>
      <c r="BSS188" s="117"/>
      <c r="BST188" s="117"/>
      <c r="BSU188" s="117"/>
      <c r="BSV188" s="117"/>
      <c r="BSW188" s="117"/>
      <c r="BSX188" s="117"/>
      <c r="BSY188" s="117"/>
      <c r="BSZ188" s="117"/>
      <c r="BTA188" s="117"/>
      <c r="BTB188" s="117"/>
      <c r="BTC188" s="117"/>
      <c r="BTD188" s="117"/>
      <c r="BTE188" s="117"/>
      <c r="BTF188" s="117"/>
      <c r="BTG188" s="117"/>
      <c r="BTH188" s="117"/>
      <c r="BTI188" s="117"/>
      <c r="BTJ188" s="117"/>
      <c r="BTK188" s="117"/>
      <c r="BTL188" s="117"/>
      <c r="BTM188" s="117"/>
      <c r="BTN188" s="117"/>
      <c r="BTO188" s="117"/>
      <c r="BTP188" s="117"/>
      <c r="BTQ188" s="117"/>
      <c r="BTR188" s="117"/>
      <c r="BTS188" s="117"/>
      <c r="BTT188" s="117"/>
      <c r="BTU188" s="117"/>
      <c r="BTV188" s="117"/>
      <c r="BTW188" s="117"/>
      <c r="BTX188" s="117"/>
      <c r="BTY188" s="117"/>
      <c r="BTZ188" s="117"/>
      <c r="BUA188" s="117"/>
      <c r="BUB188" s="117"/>
      <c r="BUC188" s="117"/>
      <c r="BUD188" s="117"/>
      <c r="BUE188" s="117"/>
      <c r="BUF188" s="117"/>
      <c r="BUG188" s="117"/>
      <c r="BUH188" s="117"/>
      <c r="BUI188" s="117"/>
      <c r="BUJ188" s="117"/>
      <c r="BUK188" s="117"/>
      <c r="BUL188" s="117"/>
      <c r="BUM188" s="117"/>
      <c r="BUN188" s="117"/>
      <c r="BUO188" s="117"/>
      <c r="BUP188" s="117"/>
      <c r="BUQ188" s="117"/>
      <c r="BUR188" s="117"/>
      <c r="BUS188" s="117"/>
      <c r="BUT188" s="117"/>
      <c r="BUU188" s="117"/>
      <c r="BUV188" s="117"/>
      <c r="BUW188" s="117"/>
      <c r="BUX188" s="117"/>
      <c r="BUY188" s="117"/>
      <c r="BUZ188" s="117"/>
      <c r="BVA188" s="117"/>
      <c r="BVB188" s="117"/>
      <c r="BVC188" s="117"/>
      <c r="BVD188" s="117"/>
      <c r="BVE188" s="117"/>
      <c r="BVF188" s="117"/>
      <c r="BVG188" s="117"/>
      <c r="BVH188" s="117"/>
      <c r="BVI188" s="117"/>
      <c r="BVJ188" s="117"/>
      <c r="BVK188" s="117"/>
      <c r="BVL188" s="117"/>
      <c r="BVM188" s="117"/>
      <c r="BVN188" s="117"/>
      <c r="BVO188" s="117"/>
      <c r="BVP188" s="117"/>
      <c r="BVQ188" s="117"/>
      <c r="BVR188" s="117"/>
      <c r="BVS188" s="117"/>
      <c r="BVT188" s="117"/>
      <c r="BVU188" s="117"/>
      <c r="BVV188" s="117"/>
      <c r="BVW188" s="117"/>
      <c r="BVX188" s="117"/>
      <c r="BVY188" s="117"/>
      <c r="BVZ188" s="117"/>
      <c r="BWA188" s="117"/>
      <c r="BWB188" s="117"/>
      <c r="BWC188" s="117"/>
      <c r="BWD188" s="117"/>
      <c r="BWE188" s="117"/>
      <c r="BWF188" s="117"/>
      <c r="BWG188" s="117"/>
      <c r="BWH188" s="117"/>
      <c r="BWI188" s="117"/>
      <c r="BWJ188" s="117"/>
      <c r="BWK188" s="117"/>
      <c r="BWL188" s="117"/>
      <c r="BWM188" s="117"/>
      <c r="BWN188" s="117"/>
      <c r="BWO188" s="117"/>
      <c r="BWP188" s="117"/>
      <c r="BWQ188" s="117"/>
      <c r="BWR188" s="117"/>
      <c r="BWS188" s="117"/>
      <c r="BWT188" s="117"/>
      <c r="BWU188" s="117"/>
      <c r="BWV188" s="117"/>
      <c r="BWW188" s="117"/>
      <c r="BWX188" s="117"/>
      <c r="BWY188" s="117"/>
      <c r="BWZ188" s="117"/>
      <c r="BXA188" s="117"/>
      <c r="BXB188" s="117"/>
      <c r="BXC188" s="117"/>
      <c r="BXD188" s="117"/>
      <c r="BXE188" s="117"/>
      <c r="BXF188" s="117"/>
      <c r="BXG188" s="117"/>
      <c r="BXH188" s="117"/>
      <c r="BXI188" s="117"/>
      <c r="BXJ188" s="117"/>
      <c r="BXK188" s="117"/>
      <c r="BXL188" s="117"/>
      <c r="BXM188" s="117"/>
      <c r="BXN188" s="117"/>
      <c r="BXO188" s="117"/>
      <c r="BXP188" s="117"/>
      <c r="BXQ188" s="117"/>
      <c r="BXR188" s="117"/>
      <c r="BXS188" s="117"/>
      <c r="BXT188" s="117"/>
      <c r="BXU188" s="117"/>
      <c r="BXV188" s="117"/>
      <c r="BXW188" s="117"/>
      <c r="BXX188" s="117"/>
      <c r="BXY188" s="117"/>
      <c r="BXZ188" s="117"/>
      <c r="BYA188" s="117"/>
      <c r="BYB188" s="117"/>
      <c r="BYC188" s="117"/>
      <c r="BYD188" s="117"/>
      <c r="BYE188" s="117"/>
      <c r="BYF188" s="117"/>
      <c r="BYG188" s="117"/>
      <c r="BYH188" s="117"/>
      <c r="BYI188" s="117"/>
      <c r="BYJ188" s="117"/>
      <c r="BYK188" s="117"/>
      <c r="BYL188" s="117"/>
      <c r="BYM188" s="117"/>
      <c r="BYN188" s="117"/>
      <c r="BYO188" s="117"/>
      <c r="BYP188" s="117"/>
      <c r="BYQ188" s="117"/>
      <c r="BYR188" s="117"/>
      <c r="BYS188" s="117"/>
      <c r="BYT188" s="117"/>
      <c r="BYU188" s="117"/>
      <c r="BYV188" s="117"/>
      <c r="BYW188" s="117"/>
      <c r="BYX188" s="117"/>
      <c r="BYY188" s="117"/>
      <c r="BYZ188" s="117"/>
      <c r="BZA188" s="117"/>
      <c r="BZB188" s="117"/>
      <c r="BZC188" s="117"/>
      <c r="BZD188" s="117"/>
      <c r="BZE188" s="117"/>
      <c r="BZF188" s="117"/>
      <c r="BZG188" s="117"/>
      <c r="BZH188" s="117"/>
      <c r="BZI188" s="117"/>
      <c r="BZJ188" s="117"/>
      <c r="BZK188" s="117"/>
      <c r="BZL188" s="117"/>
      <c r="BZM188" s="117"/>
      <c r="BZN188" s="117"/>
      <c r="BZO188" s="117"/>
      <c r="BZP188" s="117"/>
      <c r="BZQ188" s="117"/>
      <c r="BZR188" s="117"/>
      <c r="BZS188" s="117"/>
      <c r="BZT188" s="117"/>
      <c r="BZU188" s="117"/>
      <c r="BZV188" s="117"/>
      <c r="BZW188" s="117"/>
      <c r="BZX188" s="117"/>
      <c r="BZY188" s="117"/>
      <c r="BZZ188" s="117"/>
      <c r="CAA188" s="117"/>
      <c r="CAB188" s="117"/>
      <c r="CAC188" s="117"/>
      <c r="CAD188" s="117"/>
      <c r="CAE188" s="117"/>
      <c r="CAF188" s="117"/>
      <c r="CAG188" s="117"/>
      <c r="CAH188" s="117"/>
      <c r="CAI188" s="117"/>
      <c r="CAJ188" s="117"/>
      <c r="CAK188" s="117"/>
      <c r="CAL188" s="117"/>
      <c r="CAM188" s="117"/>
      <c r="CAN188" s="117"/>
      <c r="CAO188" s="117"/>
      <c r="CAP188" s="117"/>
      <c r="CAQ188" s="117"/>
      <c r="CAR188" s="117"/>
      <c r="CAS188" s="117"/>
      <c r="CAT188" s="117"/>
      <c r="CAU188" s="117"/>
      <c r="CAV188" s="117"/>
      <c r="CAW188" s="117"/>
      <c r="CAX188" s="117"/>
      <c r="CAY188" s="117"/>
      <c r="CAZ188" s="117"/>
      <c r="CBA188" s="117"/>
      <c r="CBB188" s="117"/>
      <c r="CBC188" s="117"/>
      <c r="CBD188" s="117"/>
      <c r="CBE188" s="117"/>
      <c r="CBF188" s="117"/>
      <c r="CBG188" s="117"/>
      <c r="CBH188" s="117"/>
      <c r="CBI188" s="117"/>
      <c r="CBJ188" s="117"/>
      <c r="CBK188" s="117"/>
      <c r="CBL188" s="117"/>
      <c r="CBM188" s="117"/>
      <c r="CBN188" s="117"/>
      <c r="CBO188" s="117"/>
      <c r="CBP188" s="117"/>
      <c r="CBQ188" s="117"/>
      <c r="CBR188" s="117"/>
      <c r="CBS188" s="117"/>
      <c r="CBT188" s="117"/>
      <c r="CBU188" s="117"/>
      <c r="CBV188" s="117"/>
      <c r="CBW188" s="117"/>
      <c r="CBX188" s="117"/>
      <c r="CBY188" s="117"/>
      <c r="CBZ188" s="117"/>
      <c r="CCA188" s="117"/>
      <c r="CCB188" s="117"/>
      <c r="CCC188" s="117"/>
      <c r="CCD188" s="117"/>
      <c r="CCE188" s="117"/>
      <c r="CCF188" s="117"/>
      <c r="CCG188" s="117"/>
      <c r="CCH188" s="117"/>
      <c r="CCI188" s="117"/>
      <c r="CCJ188" s="117"/>
      <c r="CCK188" s="117"/>
      <c r="CCL188" s="117"/>
      <c r="CCM188" s="117"/>
      <c r="CCN188" s="117"/>
      <c r="CCO188" s="117"/>
      <c r="CCP188" s="117"/>
      <c r="CCQ188" s="117"/>
      <c r="CCR188" s="117"/>
      <c r="CCS188" s="117"/>
      <c r="CCT188" s="117"/>
      <c r="CCU188" s="117"/>
      <c r="CCV188" s="117"/>
      <c r="CCW188" s="117"/>
      <c r="CCX188" s="117"/>
      <c r="CCY188" s="117"/>
      <c r="CCZ188" s="117"/>
      <c r="CDA188" s="117"/>
      <c r="CDB188" s="117"/>
      <c r="CDC188" s="117"/>
      <c r="CDD188" s="117"/>
      <c r="CDE188" s="117"/>
      <c r="CDF188" s="117"/>
      <c r="CDG188" s="117"/>
      <c r="CDH188" s="117"/>
      <c r="CDI188" s="117"/>
      <c r="CDJ188" s="117"/>
      <c r="CDK188" s="117"/>
      <c r="CDL188" s="117"/>
      <c r="CDM188" s="117"/>
      <c r="CDN188" s="117"/>
      <c r="CDO188" s="117"/>
      <c r="CDP188" s="117"/>
      <c r="CDQ188" s="117"/>
      <c r="CDR188" s="117"/>
      <c r="CDS188" s="117"/>
      <c r="CDT188" s="117"/>
      <c r="CDU188" s="117"/>
      <c r="CDV188" s="117"/>
      <c r="CDW188" s="117"/>
      <c r="CDX188" s="117"/>
      <c r="CDY188" s="117"/>
      <c r="CDZ188" s="117"/>
      <c r="CEA188" s="117"/>
      <c r="CEB188" s="117"/>
      <c r="CEC188" s="117"/>
      <c r="CED188" s="117"/>
      <c r="CEE188" s="117"/>
      <c r="CEF188" s="117"/>
      <c r="CEG188" s="117"/>
      <c r="CEH188" s="117"/>
      <c r="CEI188" s="117"/>
      <c r="CEJ188" s="117"/>
      <c r="CEK188" s="117"/>
      <c r="CEL188" s="117"/>
      <c r="CEM188" s="117"/>
      <c r="CEN188" s="117"/>
      <c r="CEO188" s="117"/>
      <c r="CEP188" s="117"/>
      <c r="CEQ188" s="117"/>
      <c r="CER188" s="117"/>
      <c r="CES188" s="117"/>
      <c r="CET188" s="117"/>
      <c r="CEU188" s="117"/>
      <c r="CEV188" s="117"/>
      <c r="CEW188" s="117"/>
      <c r="CEX188" s="117"/>
      <c r="CEY188" s="117"/>
      <c r="CEZ188" s="117"/>
      <c r="CFA188" s="117"/>
      <c r="CFB188" s="117"/>
      <c r="CFC188" s="117"/>
      <c r="CFD188" s="117"/>
      <c r="CFE188" s="117"/>
      <c r="CFF188" s="117"/>
      <c r="CFG188" s="117"/>
      <c r="CFH188" s="117"/>
      <c r="CFI188" s="117"/>
      <c r="CFJ188" s="117"/>
      <c r="CFK188" s="117"/>
      <c r="CFL188" s="117"/>
      <c r="CFM188" s="117"/>
      <c r="CFN188" s="117"/>
      <c r="CFO188" s="117"/>
      <c r="CFP188" s="117"/>
      <c r="CFQ188" s="117"/>
      <c r="CFR188" s="117"/>
      <c r="CFS188" s="117"/>
      <c r="CFT188" s="117"/>
      <c r="CFU188" s="117"/>
      <c r="CFV188" s="117"/>
      <c r="CFW188" s="117"/>
      <c r="CFX188" s="117"/>
      <c r="CFY188" s="117"/>
      <c r="CFZ188" s="117"/>
      <c r="CGA188" s="117"/>
      <c r="CGB188" s="117"/>
      <c r="CGC188" s="117"/>
      <c r="CGD188" s="117"/>
      <c r="CGE188" s="117"/>
      <c r="CGF188" s="117"/>
      <c r="CGG188" s="117"/>
      <c r="CGH188" s="117"/>
      <c r="CGI188" s="117"/>
      <c r="CGJ188" s="117"/>
      <c r="CGK188" s="117"/>
      <c r="CGL188" s="117"/>
      <c r="CGM188" s="117"/>
      <c r="CGN188" s="117"/>
      <c r="CGO188" s="117"/>
      <c r="CGP188" s="117"/>
      <c r="CGQ188" s="117"/>
      <c r="CGR188" s="117"/>
      <c r="CGS188" s="117"/>
      <c r="CGT188" s="117"/>
      <c r="CGU188" s="117"/>
      <c r="CGV188" s="117"/>
      <c r="CGW188" s="117"/>
      <c r="CGX188" s="117"/>
      <c r="CGY188" s="117"/>
      <c r="CGZ188" s="117"/>
      <c r="CHA188" s="117"/>
      <c r="CHB188" s="117"/>
      <c r="CHC188" s="117"/>
      <c r="CHD188" s="117"/>
      <c r="CHE188" s="117"/>
      <c r="CHF188" s="117"/>
      <c r="CHG188" s="117"/>
      <c r="CHH188" s="117"/>
      <c r="CHI188" s="117"/>
      <c r="CHJ188" s="117"/>
      <c r="CHK188" s="117"/>
      <c r="CHL188" s="117"/>
      <c r="CHM188" s="117"/>
      <c r="CHN188" s="117"/>
      <c r="CHO188" s="117"/>
      <c r="CHP188" s="117"/>
      <c r="CHQ188" s="117"/>
      <c r="CHR188" s="117"/>
      <c r="CHS188" s="117"/>
      <c r="CHT188" s="117"/>
      <c r="CHU188" s="117"/>
      <c r="CHV188" s="117"/>
      <c r="CHW188" s="117"/>
      <c r="CHX188" s="117"/>
      <c r="CHY188" s="117"/>
      <c r="CHZ188" s="117"/>
      <c r="CIA188" s="117"/>
      <c r="CIB188" s="117"/>
      <c r="CIC188" s="117"/>
      <c r="CID188" s="117"/>
      <c r="CIE188" s="117"/>
      <c r="CIF188" s="117"/>
      <c r="CIG188" s="117"/>
      <c r="CIH188" s="117"/>
      <c r="CII188" s="117"/>
      <c r="CIJ188" s="117"/>
      <c r="CIK188" s="117"/>
      <c r="CIL188" s="117"/>
      <c r="CIM188" s="117"/>
      <c r="CIN188" s="117"/>
      <c r="CIO188" s="117"/>
      <c r="CIP188" s="117"/>
      <c r="CIQ188" s="117"/>
      <c r="CIR188" s="117"/>
      <c r="CIS188" s="117"/>
      <c r="CIT188" s="117"/>
      <c r="CIU188" s="117"/>
      <c r="CIV188" s="117"/>
      <c r="CIW188" s="117"/>
      <c r="CIX188" s="117"/>
      <c r="CIY188" s="117"/>
      <c r="CIZ188" s="117"/>
      <c r="CJA188" s="117"/>
      <c r="CJB188" s="117"/>
      <c r="CJC188" s="117"/>
      <c r="CJD188" s="117"/>
      <c r="CJE188" s="117"/>
      <c r="CJF188" s="117"/>
      <c r="CJG188" s="117"/>
      <c r="CJH188" s="117"/>
      <c r="CJI188" s="117"/>
      <c r="CJJ188" s="117"/>
      <c r="CJK188" s="117"/>
      <c r="CJL188" s="117"/>
      <c r="CJM188" s="117"/>
      <c r="CJN188" s="117"/>
      <c r="CJO188" s="117"/>
      <c r="CJP188" s="117"/>
      <c r="CJQ188" s="117"/>
      <c r="CJR188" s="117"/>
      <c r="CJS188" s="117"/>
      <c r="CJT188" s="117"/>
      <c r="CJU188" s="117"/>
      <c r="CJV188" s="117"/>
      <c r="CJW188" s="117"/>
      <c r="CJX188" s="117"/>
      <c r="CJY188" s="117"/>
      <c r="CJZ188" s="117"/>
      <c r="CKA188" s="117"/>
      <c r="CKB188" s="117"/>
      <c r="CKC188" s="117"/>
      <c r="CKD188" s="117"/>
      <c r="CKE188" s="117"/>
      <c r="CKF188" s="117"/>
      <c r="CKG188" s="117"/>
      <c r="CKH188" s="117"/>
      <c r="CKI188" s="117"/>
      <c r="CKJ188" s="117"/>
      <c r="CKK188" s="117"/>
      <c r="CKL188" s="117"/>
      <c r="CKM188" s="117"/>
      <c r="CKN188" s="117"/>
      <c r="CKO188" s="117"/>
      <c r="CKP188" s="117"/>
      <c r="CKQ188" s="117"/>
      <c r="CKR188" s="117"/>
      <c r="CKS188" s="117"/>
      <c r="CKT188" s="117"/>
      <c r="CKU188" s="117"/>
      <c r="CKV188" s="117"/>
      <c r="CKW188" s="117"/>
      <c r="CKX188" s="117"/>
      <c r="CKY188" s="117"/>
      <c r="CKZ188" s="117"/>
      <c r="CLA188" s="117"/>
      <c r="CLB188" s="117"/>
      <c r="CLC188" s="117"/>
      <c r="CLD188" s="117"/>
      <c r="CLE188" s="117"/>
      <c r="CLF188" s="117"/>
      <c r="CLG188" s="117"/>
      <c r="CLH188" s="117"/>
      <c r="CLI188" s="117"/>
      <c r="CLJ188" s="117"/>
      <c r="CLK188" s="117"/>
      <c r="CLL188" s="117"/>
      <c r="CLM188" s="117"/>
      <c r="CLN188" s="117"/>
      <c r="CLO188" s="117"/>
      <c r="CLP188" s="117"/>
      <c r="CLQ188" s="117"/>
      <c r="CLR188" s="117"/>
      <c r="CLS188" s="117"/>
      <c r="CLT188" s="117"/>
      <c r="CLU188" s="117"/>
      <c r="CLV188" s="117"/>
      <c r="CLW188" s="117"/>
      <c r="CLX188" s="117"/>
      <c r="CLY188" s="117"/>
      <c r="CLZ188" s="117"/>
      <c r="CMA188" s="117"/>
      <c r="CMB188" s="117"/>
      <c r="CMC188" s="117"/>
      <c r="CMD188" s="117"/>
      <c r="CME188" s="117"/>
      <c r="CMF188" s="117"/>
      <c r="CMG188" s="117"/>
      <c r="CMH188" s="117"/>
      <c r="CMI188" s="117"/>
      <c r="CMJ188" s="117"/>
      <c r="CMK188" s="117"/>
      <c r="CML188" s="117"/>
      <c r="CMM188" s="117"/>
      <c r="CMN188" s="117"/>
      <c r="CMO188" s="117"/>
      <c r="CMP188" s="117"/>
      <c r="CMQ188" s="117"/>
      <c r="CMR188" s="117"/>
      <c r="CMS188" s="117"/>
      <c r="CMT188" s="117"/>
      <c r="CMU188" s="117"/>
      <c r="CMV188" s="117"/>
      <c r="CMW188" s="117"/>
      <c r="CMX188" s="117"/>
      <c r="CMY188" s="117"/>
      <c r="CMZ188" s="117"/>
      <c r="CNA188" s="117"/>
      <c r="CNB188" s="117"/>
      <c r="CNC188" s="117"/>
      <c r="CND188" s="117"/>
      <c r="CNE188" s="117"/>
      <c r="CNF188" s="117"/>
      <c r="CNG188" s="117"/>
      <c r="CNH188" s="117"/>
      <c r="CNI188" s="117"/>
      <c r="CNJ188" s="117"/>
      <c r="CNK188" s="117"/>
      <c r="CNL188" s="117"/>
      <c r="CNM188" s="117"/>
      <c r="CNN188" s="117"/>
      <c r="CNO188" s="117"/>
      <c r="CNP188" s="117"/>
      <c r="CNQ188" s="117"/>
      <c r="CNR188" s="117"/>
      <c r="CNS188" s="117"/>
      <c r="CNT188" s="117"/>
      <c r="CNU188" s="117"/>
      <c r="CNV188" s="117"/>
      <c r="CNW188" s="117"/>
      <c r="CNX188" s="117"/>
      <c r="CNY188" s="117"/>
      <c r="CNZ188" s="117"/>
      <c r="COA188" s="117"/>
      <c r="COB188" s="117"/>
      <c r="COC188" s="117"/>
      <c r="COD188" s="117"/>
      <c r="COE188" s="117"/>
      <c r="COF188" s="117"/>
      <c r="COG188" s="117"/>
      <c r="COH188" s="117"/>
      <c r="COI188" s="117"/>
      <c r="COJ188" s="117"/>
      <c r="COK188" s="117"/>
      <c r="COL188" s="117"/>
      <c r="COM188" s="117"/>
      <c r="CON188" s="117"/>
      <c r="COO188" s="117"/>
      <c r="COP188" s="117"/>
      <c r="COQ188" s="117"/>
      <c r="COR188" s="117"/>
      <c r="COS188" s="117"/>
      <c r="COT188" s="117"/>
      <c r="COU188" s="117"/>
      <c r="COV188" s="117"/>
      <c r="COW188" s="117"/>
      <c r="COX188" s="117"/>
      <c r="COY188" s="117"/>
      <c r="COZ188" s="117"/>
      <c r="CPA188" s="117"/>
      <c r="CPB188" s="117"/>
      <c r="CPC188" s="117"/>
      <c r="CPD188" s="117"/>
      <c r="CPE188" s="117"/>
      <c r="CPF188" s="117"/>
      <c r="CPG188" s="117"/>
      <c r="CPH188" s="117"/>
      <c r="CPI188" s="117"/>
      <c r="CPJ188" s="117"/>
      <c r="CPK188" s="117"/>
      <c r="CPL188" s="117"/>
      <c r="CPM188" s="117"/>
      <c r="CPN188" s="117"/>
      <c r="CPO188" s="117"/>
      <c r="CPP188" s="117"/>
      <c r="CPQ188" s="117"/>
      <c r="CPR188" s="117"/>
      <c r="CPS188" s="117"/>
      <c r="CPT188" s="117"/>
      <c r="CPU188" s="117"/>
      <c r="CPV188" s="117"/>
      <c r="CPW188" s="117"/>
      <c r="CPX188" s="117"/>
      <c r="CPY188" s="117"/>
      <c r="CPZ188" s="117"/>
      <c r="CQA188" s="117"/>
      <c r="CQB188" s="117"/>
      <c r="CQC188" s="117"/>
      <c r="CQD188" s="117"/>
      <c r="CQE188" s="117"/>
      <c r="CQF188" s="117"/>
      <c r="CQG188" s="117"/>
      <c r="CQH188" s="117"/>
      <c r="CQI188" s="117"/>
      <c r="CQJ188" s="117"/>
      <c r="CQK188" s="117"/>
      <c r="CQL188" s="117"/>
      <c r="CQM188" s="117"/>
      <c r="CQN188" s="117"/>
      <c r="CQO188" s="117"/>
      <c r="CQP188" s="117"/>
      <c r="CQQ188" s="117"/>
      <c r="CQR188" s="117"/>
      <c r="CQS188" s="117"/>
      <c r="CQT188" s="117"/>
      <c r="CQU188" s="117"/>
      <c r="CQV188" s="117"/>
      <c r="CQW188" s="117"/>
      <c r="CQX188" s="117"/>
      <c r="CQY188" s="117"/>
      <c r="CQZ188" s="117"/>
      <c r="CRA188" s="117"/>
      <c r="CRB188" s="117"/>
      <c r="CRC188" s="117"/>
      <c r="CRD188" s="117"/>
      <c r="CRE188" s="117"/>
      <c r="CRF188" s="117"/>
      <c r="CRG188" s="117"/>
      <c r="CRH188" s="117"/>
      <c r="CRI188" s="117"/>
      <c r="CRJ188" s="117"/>
      <c r="CRK188" s="117"/>
      <c r="CRL188" s="117"/>
      <c r="CRM188" s="117"/>
      <c r="CRN188" s="117"/>
      <c r="CRO188" s="117"/>
      <c r="CRP188" s="117"/>
      <c r="CRQ188" s="117"/>
      <c r="CRR188" s="117"/>
      <c r="CRS188" s="117"/>
      <c r="CRT188" s="117"/>
      <c r="CRU188" s="117"/>
      <c r="CRV188" s="117"/>
      <c r="CRW188" s="117"/>
      <c r="CRX188" s="117"/>
      <c r="CRY188" s="117"/>
      <c r="CRZ188" s="117"/>
      <c r="CSA188" s="117"/>
      <c r="CSB188" s="117"/>
      <c r="CSC188" s="117"/>
      <c r="CSD188" s="117"/>
      <c r="CSE188" s="117"/>
      <c r="CSF188" s="117"/>
      <c r="CSG188" s="117"/>
      <c r="CSH188" s="117"/>
      <c r="CSI188" s="117"/>
      <c r="CSJ188" s="117"/>
      <c r="CSK188" s="117"/>
      <c r="CSL188" s="117"/>
      <c r="CSM188" s="117"/>
      <c r="CSN188" s="117"/>
      <c r="CSO188" s="117"/>
      <c r="CSP188" s="117"/>
      <c r="CSQ188" s="117"/>
      <c r="CSR188" s="117"/>
      <c r="CSS188" s="117"/>
      <c r="CST188" s="117"/>
      <c r="CSU188" s="117"/>
      <c r="CSV188" s="117"/>
      <c r="CSW188" s="117"/>
      <c r="CSX188" s="117"/>
      <c r="CSY188" s="117"/>
      <c r="CSZ188" s="117"/>
      <c r="CTA188" s="117"/>
      <c r="CTB188" s="117"/>
      <c r="CTC188" s="117"/>
      <c r="CTD188" s="117"/>
      <c r="CTE188" s="117"/>
      <c r="CTF188" s="117"/>
      <c r="CTG188" s="117"/>
      <c r="CTH188" s="117"/>
      <c r="CTI188" s="117"/>
      <c r="CTJ188" s="117"/>
      <c r="CTK188" s="117"/>
      <c r="CTL188" s="117"/>
      <c r="CTM188" s="117"/>
      <c r="CTN188" s="117"/>
      <c r="CTO188" s="117"/>
      <c r="CTP188" s="117"/>
      <c r="CTQ188" s="117"/>
      <c r="CTR188" s="117"/>
      <c r="CTS188" s="117"/>
      <c r="CTT188" s="117"/>
      <c r="CTU188" s="117"/>
      <c r="CTV188" s="117"/>
      <c r="CTW188" s="117"/>
      <c r="CTX188" s="117"/>
      <c r="CTY188" s="117"/>
      <c r="CTZ188" s="117"/>
      <c r="CUA188" s="117"/>
      <c r="CUB188" s="117"/>
      <c r="CUC188" s="117"/>
      <c r="CUD188" s="117"/>
      <c r="CUE188" s="117"/>
      <c r="CUF188" s="117"/>
      <c r="CUG188" s="117"/>
      <c r="CUH188" s="117"/>
      <c r="CUI188" s="117"/>
      <c r="CUJ188" s="117"/>
      <c r="CUK188" s="117"/>
      <c r="CUL188" s="117"/>
      <c r="CUM188" s="117"/>
      <c r="CUN188" s="117"/>
      <c r="CUO188" s="117"/>
      <c r="CUP188" s="117"/>
      <c r="CUQ188" s="117"/>
      <c r="CUR188" s="117"/>
      <c r="CUS188" s="117"/>
      <c r="CUT188" s="117"/>
      <c r="CUU188" s="117"/>
      <c r="CUV188" s="117"/>
      <c r="CUW188" s="117"/>
      <c r="CUX188" s="117"/>
      <c r="CUY188" s="117"/>
      <c r="CUZ188" s="117"/>
      <c r="CVA188" s="117"/>
      <c r="CVB188" s="117"/>
      <c r="CVC188" s="117"/>
      <c r="CVD188" s="117"/>
      <c r="CVE188" s="117"/>
      <c r="CVF188" s="117"/>
      <c r="CVG188" s="117"/>
      <c r="CVH188" s="117"/>
      <c r="CVI188" s="117"/>
      <c r="CVJ188" s="117"/>
      <c r="CVK188" s="117"/>
      <c r="CVL188" s="117"/>
      <c r="CVM188" s="117"/>
      <c r="CVN188" s="117"/>
      <c r="CVO188" s="117"/>
      <c r="CVP188" s="117"/>
      <c r="CVQ188" s="117"/>
      <c r="CVR188" s="117"/>
      <c r="CVS188" s="117"/>
      <c r="CVT188" s="117"/>
      <c r="CVU188" s="117"/>
      <c r="CVV188" s="117"/>
      <c r="CVW188" s="117"/>
      <c r="CVX188" s="117"/>
      <c r="CVY188" s="117"/>
      <c r="CVZ188" s="117"/>
      <c r="CWA188" s="117"/>
      <c r="CWB188" s="117"/>
      <c r="CWC188" s="117"/>
      <c r="CWD188" s="117"/>
      <c r="CWE188" s="117"/>
      <c r="CWF188" s="117"/>
      <c r="CWG188" s="117"/>
      <c r="CWH188" s="117"/>
      <c r="CWI188" s="117"/>
      <c r="CWJ188" s="117"/>
      <c r="CWK188" s="117"/>
      <c r="CWL188" s="117"/>
      <c r="CWM188" s="117"/>
      <c r="CWN188" s="117"/>
      <c r="CWO188" s="117"/>
      <c r="CWP188" s="117"/>
      <c r="CWQ188" s="117"/>
      <c r="CWR188" s="117"/>
      <c r="CWS188" s="117"/>
      <c r="CWT188" s="117"/>
      <c r="CWU188" s="117"/>
      <c r="CWV188" s="117"/>
      <c r="CWW188" s="117"/>
      <c r="CWX188" s="117"/>
      <c r="CWY188" s="117"/>
      <c r="CWZ188" s="117"/>
      <c r="CXA188" s="117"/>
      <c r="CXB188" s="117"/>
      <c r="CXC188" s="117"/>
      <c r="CXD188" s="117"/>
      <c r="CXE188" s="117"/>
      <c r="CXF188" s="117"/>
      <c r="CXG188" s="117"/>
      <c r="CXH188" s="117"/>
      <c r="CXI188" s="117"/>
      <c r="CXJ188" s="117"/>
      <c r="CXK188" s="117"/>
      <c r="CXL188" s="117"/>
      <c r="CXM188" s="117"/>
      <c r="CXN188" s="117"/>
      <c r="CXO188" s="117"/>
      <c r="CXP188" s="117"/>
      <c r="CXQ188" s="117"/>
      <c r="CXR188" s="117"/>
      <c r="CXS188" s="117"/>
      <c r="CXT188" s="117"/>
      <c r="CXU188" s="117"/>
      <c r="CXV188" s="117"/>
      <c r="CXW188" s="117"/>
      <c r="CXX188" s="117"/>
      <c r="CXY188" s="117"/>
      <c r="CXZ188" s="117"/>
      <c r="CYA188" s="117"/>
      <c r="CYB188" s="117"/>
      <c r="CYC188" s="117"/>
      <c r="CYD188" s="117"/>
      <c r="CYE188" s="117"/>
      <c r="CYF188" s="117"/>
      <c r="CYG188" s="117"/>
      <c r="CYH188" s="117"/>
      <c r="CYI188" s="117"/>
      <c r="CYJ188" s="117"/>
      <c r="CYK188" s="117"/>
      <c r="CYL188" s="117"/>
      <c r="CYM188" s="117"/>
      <c r="CYN188" s="117"/>
      <c r="CYO188" s="117"/>
      <c r="CYP188" s="117"/>
      <c r="CYQ188" s="117"/>
      <c r="CYR188" s="117"/>
      <c r="CYS188" s="117"/>
      <c r="CYT188" s="117"/>
      <c r="CYU188" s="117"/>
      <c r="CYV188" s="117"/>
      <c r="CYW188" s="117"/>
      <c r="CYX188" s="117"/>
      <c r="CYY188" s="117"/>
      <c r="CYZ188" s="117"/>
      <c r="CZA188" s="117"/>
      <c r="CZB188" s="117"/>
      <c r="CZC188" s="117"/>
      <c r="CZD188" s="117"/>
      <c r="CZE188" s="117"/>
      <c r="CZF188" s="117"/>
      <c r="CZG188" s="117"/>
      <c r="CZH188" s="117"/>
      <c r="CZI188" s="117"/>
      <c r="CZJ188" s="117"/>
      <c r="CZK188" s="117"/>
      <c r="CZL188" s="117"/>
      <c r="CZM188" s="117"/>
      <c r="CZN188" s="117"/>
      <c r="CZO188" s="117"/>
      <c r="CZP188" s="117"/>
      <c r="CZQ188" s="117"/>
      <c r="CZR188" s="117"/>
      <c r="CZS188" s="117"/>
      <c r="CZT188" s="117"/>
      <c r="CZU188" s="117"/>
      <c r="CZV188" s="117"/>
      <c r="CZW188" s="117"/>
      <c r="CZX188" s="117"/>
      <c r="CZY188" s="117"/>
      <c r="CZZ188" s="117"/>
      <c r="DAA188" s="117"/>
      <c r="DAB188" s="117"/>
      <c r="DAC188" s="117"/>
      <c r="DAD188" s="117"/>
      <c r="DAE188" s="117"/>
      <c r="DAF188" s="117"/>
      <c r="DAG188" s="117"/>
      <c r="DAH188" s="117"/>
      <c r="DAI188" s="117"/>
      <c r="DAJ188" s="117"/>
      <c r="DAK188" s="117"/>
      <c r="DAL188" s="117"/>
      <c r="DAM188" s="117"/>
      <c r="DAN188" s="117"/>
      <c r="DAO188" s="117"/>
      <c r="DAP188" s="117"/>
      <c r="DAQ188" s="117"/>
      <c r="DAR188" s="117"/>
      <c r="DAS188" s="117"/>
      <c r="DAT188" s="117"/>
      <c r="DAU188" s="117"/>
      <c r="DAV188" s="117"/>
      <c r="DAW188" s="117"/>
      <c r="DAX188" s="117"/>
      <c r="DAY188" s="117"/>
      <c r="DAZ188" s="117"/>
      <c r="DBA188" s="117"/>
      <c r="DBB188" s="117"/>
      <c r="DBC188" s="117"/>
      <c r="DBD188" s="117"/>
      <c r="DBE188" s="117"/>
      <c r="DBF188" s="117"/>
      <c r="DBG188" s="117"/>
      <c r="DBH188" s="117"/>
      <c r="DBI188" s="117"/>
      <c r="DBJ188" s="117"/>
      <c r="DBK188" s="117"/>
      <c r="DBL188" s="117"/>
      <c r="DBM188" s="117"/>
      <c r="DBN188" s="117"/>
      <c r="DBO188" s="117"/>
      <c r="DBP188" s="117"/>
      <c r="DBQ188" s="117"/>
      <c r="DBR188" s="117"/>
      <c r="DBS188" s="117"/>
      <c r="DBT188" s="117"/>
      <c r="DBU188" s="117"/>
      <c r="DBV188" s="117"/>
      <c r="DBW188" s="117"/>
      <c r="DBX188" s="117"/>
      <c r="DBY188" s="117"/>
      <c r="DBZ188" s="117"/>
      <c r="DCA188" s="117"/>
      <c r="DCB188" s="117"/>
      <c r="DCC188" s="117"/>
      <c r="DCD188" s="117"/>
      <c r="DCE188" s="117"/>
      <c r="DCF188" s="117"/>
      <c r="DCG188" s="117"/>
      <c r="DCH188" s="117"/>
      <c r="DCI188" s="117"/>
      <c r="DCJ188" s="117"/>
      <c r="DCK188" s="117"/>
      <c r="DCL188" s="117"/>
      <c r="DCM188" s="117"/>
      <c r="DCN188" s="117"/>
      <c r="DCO188" s="117"/>
      <c r="DCP188" s="117"/>
      <c r="DCQ188" s="117"/>
      <c r="DCR188" s="117"/>
      <c r="DCS188" s="117"/>
      <c r="DCT188" s="117"/>
      <c r="DCU188" s="117"/>
      <c r="DCV188" s="117"/>
      <c r="DCW188" s="117"/>
      <c r="DCX188" s="117"/>
      <c r="DCY188" s="117"/>
      <c r="DCZ188" s="117"/>
      <c r="DDA188" s="117"/>
      <c r="DDB188" s="117"/>
      <c r="DDC188" s="117"/>
      <c r="DDD188" s="117"/>
      <c r="DDE188" s="117"/>
      <c r="DDF188" s="117"/>
      <c r="DDG188" s="117"/>
      <c r="DDH188" s="117"/>
      <c r="DDI188" s="117"/>
      <c r="DDJ188" s="117"/>
      <c r="DDK188" s="117"/>
      <c r="DDL188" s="117"/>
      <c r="DDM188" s="117"/>
      <c r="DDN188" s="117"/>
      <c r="DDO188" s="117"/>
      <c r="DDP188" s="117"/>
      <c r="DDQ188" s="117"/>
      <c r="DDR188" s="117"/>
      <c r="DDS188" s="117"/>
      <c r="DDT188" s="117"/>
      <c r="DDU188" s="117"/>
      <c r="DDV188" s="117"/>
      <c r="DDW188" s="117"/>
      <c r="DDX188" s="117"/>
      <c r="DDY188" s="117"/>
      <c r="DDZ188" s="117"/>
      <c r="DEA188" s="117"/>
      <c r="DEB188" s="117"/>
      <c r="DEC188" s="117"/>
      <c r="DED188" s="117"/>
      <c r="DEE188" s="117"/>
      <c r="DEF188" s="117"/>
      <c r="DEG188" s="117"/>
      <c r="DEH188" s="117"/>
      <c r="DEI188" s="117"/>
      <c r="DEJ188" s="117"/>
      <c r="DEK188" s="117"/>
      <c r="DEL188" s="117"/>
      <c r="DEM188" s="117"/>
      <c r="DEN188" s="117"/>
      <c r="DEO188" s="117"/>
      <c r="DEP188" s="117"/>
      <c r="DEQ188" s="117"/>
      <c r="DER188" s="117"/>
      <c r="DES188" s="117"/>
      <c r="DET188" s="117"/>
      <c r="DEU188" s="117"/>
      <c r="DEV188" s="117"/>
      <c r="DEW188" s="117"/>
      <c r="DEX188" s="117"/>
      <c r="DEY188" s="117"/>
      <c r="DEZ188" s="117"/>
      <c r="DFA188" s="117"/>
      <c r="DFB188" s="117"/>
      <c r="DFC188" s="117"/>
      <c r="DFD188" s="117"/>
      <c r="DFE188" s="117"/>
      <c r="DFF188" s="117"/>
      <c r="DFG188" s="117"/>
      <c r="DFH188" s="117"/>
      <c r="DFI188" s="117"/>
      <c r="DFJ188" s="117"/>
      <c r="DFK188" s="117"/>
      <c r="DFL188" s="117"/>
      <c r="DFM188" s="117"/>
      <c r="DFN188" s="117"/>
      <c r="DFO188" s="117"/>
      <c r="DFP188" s="117"/>
      <c r="DFQ188" s="117"/>
      <c r="DFR188" s="117"/>
      <c r="DFS188" s="117"/>
      <c r="DFT188" s="117"/>
      <c r="DFU188" s="117"/>
      <c r="DFV188" s="117"/>
      <c r="DFW188" s="117"/>
      <c r="DFX188" s="117"/>
      <c r="DFY188" s="117"/>
      <c r="DFZ188" s="117"/>
      <c r="DGA188" s="117"/>
      <c r="DGB188" s="117"/>
      <c r="DGC188" s="117"/>
      <c r="DGD188" s="117"/>
      <c r="DGE188" s="117"/>
      <c r="DGF188" s="117"/>
      <c r="DGG188" s="117"/>
      <c r="DGH188" s="117"/>
      <c r="DGI188" s="117"/>
      <c r="DGJ188" s="117"/>
      <c r="DGK188" s="117"/>
      <c r="DGL188" s="117"/>
      <c r="DGM188" s="117"/>
      <c r="DGN188" s="117"/>
      <c r="DGO188" s="117"/>
      <c r="DGP188" s="117"/>
      <c r="DGQ188" s="117"/>
      <c r="DGR188" s="117"/>
      <c r="DGS188" s="117"/>
      <c r="DGT188" s="117"/>
      <c r="DGU188" s="117"/>
      <c r="DGV188" s="117"/>
      <c r="DGW188" s="117"/>
      <c r="DGX188" s="117"/>
      <c r="DGY188" s="117"/>
      <c r="DGZ188" s="117"/>
      <c r="DHA188" s="117"/>
      <c r="DHB188" s="117"/>
      <c r="DHC188" s="117"/>
      <c r="DHD188" s="117"/>
      <c r="DHE188" s="117"/>
      <c r="DHF188" s="117"/>
      <c r="DHG188" s="117"/>
      <c r="DHH188" s="117"/>
      <c r="DHI188" s="117"/>
      <c r="DHJ188" s="117"/>
      <c r="DHK188" s="117"/>
      <c r="DHL188" s="117"/>
      <c r="DHM188" s="117"/>
      <c r="DHN188" s="117"/>
      <c r="DHO188" s="117"/>
      <c r="DHP188" s="117"/>
      <c r="DHQ188" s="117"/>
      <c r="DHR188" s="117"/>
      <c r="DHS188" s="117"/>
      <c r="DHT188" s="117"/>
      <c r="DHU188" s="117"/>
      <c r="DHV188" s="117"/>
      <c r="DHW188" s="117"/>
      <c r="DHX188" s="117"/>
      <c r="DHY188" s="117"/>
      <c r="DHZ188" s="117"/>
      <c r="DIA188" s="117"/>
      <c r="DIB188" s="117"/>
      <c r="DIC188" s="117"/>
      <c r="DID188" s="117"/>
      <c r="DIE188" s="117"/>
      <c r="DIF188" s="117"/>
      <c r="DIG188" s="117"/>
      <c r="DIH188" s="117"/>
      <c r="DII188" s="117"/>
      <c r="DIJ188" s="117"/>
      <c r="DIK188" s="117"/>
      <c r="DIL188" s="117"/>
      <c r="DIM188" s="117"/>
      <c r="DIN188" s="117"/>
      <c r="DIO188" s="117"/>
      <c r="DIP188" s="117"/>
      <c r="DIQ188" s="117"/>
      <c r="DIR188" s="117"/>
      <c r="DIS188" s="117"/>
      <c r="DIT188" s="117"/>
      <c r="DIU188" s="117"/>
      <c r="DIV188" s="117"/>
      <c r="DIW188" s="117"/>
      <c r="DIX188" s="117"/>
      <c r="DIY188" s="117"/>
      <c r="DIZ188" s="117"/>
      <c r="DJA188" s="117"/>
      <c r="DJB188" s="117"/>
      <c r="DJC188" s="117"/>
      <c r="DJD188" s="117"/>
      <c r="DJE188" s="117"/>
      <c r="DJF188" s="117"/>
      <c r="DJG188" s="117"/>
      <c r="DJH188" s="117"/>
      <c r="DJI188" s="117"/>
      <c r="DJJ188" s="117"/>
      <c r="DJK188" s="117"/>
      <c r="DJL188" s="117"/>
      <c r="DJM188" s="117"/>
      <c r="DJN188" s="117"/>
      <c r="DJO188" s="117"/>
      <c r="DJP188" s="117"/>
      <c r="DJQ188" s="117"/>
      <c r="DJR188" s="117"/>
      <c r="DJS188" s="117"/>
      <c r="DJT188" s="117"/>
      <c r="DJU188" s="117"/>
      <c r="DJV188" s="117"/>
      <c r="DJW188" s="117"/>
      <c r="DJX188" s="117"/>
      <c r="DJY188" s="117"/>
      <c r="DJZ188" s="117"/>
      <c r="DKA188" s="117"/>
      <c r="DKB188" s="117"/>
      <c r="DKC188" s="117"/>
      <c r="DKD188" s="117"/>
      <c r="DKE188" s="117"/>
      <c r="DKF188" s="117"/>
      <c r="DKG188" s="117"/>
      <c r="DKH188" s="117"/>
      <c r="DKI188" s="117"/>
      <c r="DKJ188" s="117"/>
      <c r="DKK188" s="117"/>
      <c r="DKL188" s="117"/>
      <c r="DKM188" s="117"/>
      <c r="DKN188" s="117"/>
      <c r="DKO188" s="117"/>
      <c r="DKP188" s="117"/>
      <c r="DKQ188" s="117"/>
      <c r="DKR188" s="117"/>
      <c r="DKS188" s="117"/>
      <c r="DKT188" s="117"/>
      <c r="DKU188" s="117"/>
      <c r="DKV188" s="117"/>
      <c r="DKW188" s="117"/>
      <c r="DKX188" s="117"/>
      <c r="DKY188" s="117"/>
      <c r="DKZ188" s="117"/>
      <c r="DLA188" s="117"/>
      <c r="DLB188" s="117"/>
      <c r="DLC188" s="117"/>
      <c r="DLD188" s="117"/>
      <c r="DLE188" s="117"/>
      <c r="DLF188" s="117"/>
      <c r="DLG188" s="117"/>
      <c r="DLH188" s="117"/>
      <c r="DLI188" s="117"/>
      <c r="DLJ188" s="117"/>
      <c r="DLK188" s="117"/>
      <c r="DLL188" s="117"/>
      <c r="DLM188" s="117"/>
      <c r="DLN188" s="117"/>
      <c r="DLO188" s="117"/>
      <c r="DLP188" s="117"/>
      <c r="DLQ188" s="117"/>
      <c r="DLR188" s="117"/>
      <c r="DLS188" s="117"/>
      <c r="DLT188" s="117"/>
      <c r="DLU188" s="117"/>
      <c r="DLV188" s="117"/>
      <c r="DLW188" s="117"/>
      <c r="DLX188" s="117"/>
      <c r="DLY188" s="117"/>
      <c r="DLZ188" s="117"/>
      <c r="DMA188" s="117"/>
      <c r="DMB188" s="117"/>
      <c r="DMC188" s="117"/>
      <c r="DMD188" s="117"/>
      <c r="DME188" s="117"/>
      <c r="DMF188" s="117"/>
      <c r="DMG188" s="117"/>
      <c r="DMH188" s="117"/>
      <c r="DMI188" s="117"/>
      <c r="DMJ188" s="117"/>
      <c r="DMK188" s="117"/>
      <c r="DML188" s="117"/>
      <c r="DMM188" s="117"/>
      <c r="DMN188" s="117"/>
      <c r="DMO188" s="117"/>
      <c r="DMP188" s="117"/>
      <c r="DMQ188" s="117"/>
      <c r="DMR188" s="117"/>
      <c r="DMS188" s="117"/>
      <c r="DMT188" s="117"/>
      <c r="DMU188" s="117"/>
      <c r="DMV188" s="117"/>
      <c r="DMW188" s="117"/>
      <c r="DMX188" s="117"/>
      <c r="DMY188" s="117"/>
      <c r="DMZ188" s="117"/>
      <c r="DNA188" s="117"/>
      <c r="DNB188" s="117"/>
      <c r="DNC188" s="117"/>
      <c r="DND188" s="117"/>
      <c r="DNE188" s="117"/>
      <c r="DNF188" s="117"/>
      <c r="DNG188" s="117"/>
      <c r="DNH188" s="117"/>
      <c r="DNI188" s="117"/>
      <c r="DNJ188" s="117"/>
      <c r="DNK188" s="117"/>
      <c r="DNL188" s="117"/>
      <c r="DNM188" s="117"/>
      <c r="DNN188" s="117"/>
      <c r="DNO188" s="117"/>
      <c r="DNP188" s="117"/>
      <c r="DNQ188" s="117"/>
      <c r="DNR188" s="117"/>
      <c r="DNS188" s="117"/>
      <c r="DNT188" s="117"/>
      <c r="DNU188" s="117"/>
      <c r="DNV188" s="117"/>
      <c r="DNW188" s="117"/>
      <c r="DNX188" s="117"/>
      <c r="DNY188" s="117"/>
      <c r="DNZ188" s="117"/>
      <c r="DOA188" s="117"/>
      <c r="DOB188" s="117"/>
      <c r="DOC188" s="117"/>
      <c r="DOD188" s="117"/>
      <c r="DOE188" s="117"/>
      <c r="DOF188" s="117"/>
      <c r="DOG188" s="117"/>
      <c r="DOH188" s="117"/>
      <c r="DOI188" s="117"/>
      <c r="DOJ188" s="117"/>
      <c r="DOK188" s="117"/>
      <c r="DOL188" s="117"/>
      <c r="DOM188" s="117"/>
      <c r="DON188" s="117"/>
      <c r="DOO188" s="117"/>
      <c r="DOP188" s="117"/>
      <c r="DOQ188" s="117"/>
      <c r="DOR188" s="117"/>
      <c r="DOS188" s="117"/>
      <c r="DOT188" s="117"/>
      <c r="DOU188" s="117"/>
      <c r="DOV188" s="117"/>
      <c r="DOW188" s="117"/>
      <c r="DOX188" s="117"/>
      <c r="DOY188" s="117"/>
      <c r="DOZ188" s="117"/>
      <c r="DPA188" s="117"/>
      <c r="DPB188" s="117"/>
      <c r="DPC188" s="117"/>
      <c r="DPD188" s="117"/>
      <c r="DPE188" s="117"/>
      <c r="DPF188" s="117"/>
      <c r="DPG188" s="117"/>
      <c r="DPH188" s="117"/>
      <c r="DPI188" s="117"/>
      <c r="DPJ188" s="117"/>
      <c r="DPK188" s="117"/>
      <c r="DPL188" s="117"/>
      <c r="DPM188" s="117"/>
      <c r="DPN188" s="117"/>
      <c r="DPO188" s="117"/>
      <c r="DPP188" s="117"/>
      <c r="DPQ188" s="117"/>
      <c r="DPR188" s="117"/>
      <c r="DPS188" s="117"/>
      <c r="DPT188" s="117"/>
      <c r="DPU188" s="117"/>
      <c r="DPV188" s="117"/>
      <c r="DPW188" s="117"/>
      <c r="DPX188" s="117"/>
      <c r="DPY188" s="117"/>
      <c r="DPZ188" s="117"/>
      <c r="DQA188" s="117"/>
      <c r="DQB188" s="117"/>
      <c r="DQC188" s="117"/>
      <c r="DQD188" s="117"/>
      <c r="DQE188" s="117"/>
      <c r="DQF188" s="117"/>
      <c r="DQG188" s="117"/>
      <c r="DQH188" s="117"/>
      <c r="DQI188" s="117"/>
      <c r="DQJ188" s="117"/>
      <c r="DQK188" s="117"/>
      <c r="DQL188" s="117"/>
      <c r="DQM188" s="117"/>
      <c r="DQN188" s="117"/>
      <c r="DQO188" s="117"/>
      <c r="DQP188" s="117"/>
      <c r="DQQ188" s="117"/>
      <c r="DQR188" s="117"/>
      <c r="DQS188" s="117"/>
      <c r="DQT188" s="117"/>
      <c r="DQU188" s="117"/>
      <c r="DQV188" s="117"/>
      <c r="DQW188" s="117"/>
      <c r="DQX188" s="117"/>
      <c r="DQY188" s="117"/>
      <c r="DQZ188" s="117"/>
      <c r="DRA188" s="117"/>
      <c r="DRB188" s="117"/>
      <c r="DRC188" s="117"/>
      <c r="DRD188" s="117"/>
      <c r="DRE188" s="117"/>
      <c r="DRF188" s="117"/>
      <c r="DRG188" s="117"/>
      <c r="DRH188" s="117"/>
      <c r="DRI188" s="117"/>
      <c r="DRJ188" s="117"/>
      <c r="DRK188" s="117"/>
      <c r="DRL188" s="117"/>
      <c r="DRM188" s="117"/>
      <c r="DRN188" s="117"/>
      <c r="DRO188" s="117"/>
      <c r="DRP188" s="117"/>
      <c r="DRQ188" s="117"/>
      <c r="DRR188" s="117"/>
      <c r="DRS188" s="117"/>
      <c r="DRT188" s="117"/>
      <c r="DRU188" s="117"/>
      <c r="DRV188" s="117"/>
      <c r="DRW188" s="117"/>
      <c r="DRX188" s="117"/>
      <c r="DRY188" s="117"/>
      <c r="DRZ188" s="117"/>
      <c r="DSA188" s="117"/>
      <c r="DSB188" s="117"/>
      <c r="DSC188" s="117"/>
      <c r="DSD188" s="117"/>
      <c r="DSE188" s="117"/>
      <c r="DSF188" s="117"/>
      <c r="DSG188" s="117"/>
      <c r="DSH188" s="117"/>
      <c r="DSI188" s="117"/>
      <c r="DSJ188" s="117"/>
      <c r="DSK188" s="117"/>
      <c r="DSL188" s="117"/>
      <c r="DSM188" s="117"/>
      <c r="DSN188" s="117"/>
      <c r="DSO188" s="117"/>
      <c r="DSP188" s="117"/>
      <c r="DSQ188" s="117"/>
      <c r="DSR188" s="117"/>
      <c r="DSS188" s="117"/>
      <c r="DST188" s="117"/>
      <c r="DSU188" s="117"/>
      <c r="DSV188" s="117"/>
      <c r="DSW188" s="117"/>
      <c r="DSX188" s="117"/>
      <c r="DSY188" s="117"/>
      <c r="DSZ188" s="117"/>
      <c r="DTA188" s="117"/>
      <c r="DTB188" s="117"/>
      <c r="DTC188" s="117"/>
      <c r="DTD188" s="117"/>
      <c r="DTE188" s="117"/>
      <c r="DTF188" s="117"/>
      <c r="DTG188" s="117"/>
      <c r="DTH188" s="117"/>
      <c r="DTI188" s="117"/>
      <c r="DTJ188" s="117"/>
      <c r="DTK188" s="117"/>
      <c r="DTL188" s="117"/>
      <c r="DTM188" s="117"/>
      <c r="DTN188" s="117"/>
      <c r="DTO188" s="117"/>
      <c r="DTP188" s="117"/>
      <c r="DTQ188" s="117"/>
      <c r="DTR188" s="117"/>
      <c r="DTS188" s="117"/>
      <c r="DTT188" s="117"/>
      <c r="DTU188" s="117"/>
      <c r="DTV188" s="117"/>
      <c r="DTW188" s="117"/>
      <c r="DTX188" s="117"/>
      <c r="DTY188" s="117"/>
      <c r="DTZ188" s="117"/>
      <c r="DUA188" s="117"/>
      <c r="DUB188" s="117"/>
      <c r="DUC188" s="117"/>
      <c r="DUD188" s="117"/>
      <c r="DUE188" s="117"/>
      <c r="DUF188" s="117"/>
      <c r="DUG188" s="117"/>
      <c r="DUH188" s="117"/>
      <c r="DUI188" s="117"/>
      <c r="DUJ188" s="117"/>
      <c r="DUK188" s="117"/>
      <c r="DUL188" s="117"/>
      <c r="DUM188" s="117"/>
      <c r="DUN188" s="117"/>
      <c r="DUO188" s="117"/>
      <c r="DUP188" s="117"/>
      <c r="DUQ188" s="117"/>
      <c r="DUR188" s="117"/>
      <c r="DUS188" s="117"/>
      <c r="DUT188" s="117"/>
      <c r="DUU188" s="117"/>
      <c r="DUV188" s="117"/>
      <c r="DUW188" s="117"/>
      <c r="DUX188" s="117"/>
      <c r="DUY188" s="117"/>
      <c r="DUZ188" s="117"/>
      <c r="DVA188" s="117"/>
      <c r="DVB188" s="117"/>
      <c r="DVC188" s="117"/>
      <c r="DVD188" s="117"/>
      <c r="DVE188" s="117"/>
      <c r="DVF188" s="117"/>
      <c r="DVG188" s="117"/>
      <c r="DVH188" s="117"/>
      <c r="DVI188" s="117"/>
      <c r="DVJ188" s="117"/>
      <c r="DVK188" s="117"/>
      <c r="DVL188" s="117"/>
      <c r="DVM188" s="117"/>
      <c r="DVN188" s="117"/>
      <c r="DVO188" s="117"/>
      <c r="DVP188" s="117"/>
      <c r="DVQ188" s="117"/>
      <c r="DVR188" s="117"/>
      <c r="DVS188" s="117"/>
      <c r="DVT188" s="117"/>
      <c r="DVU188" s="117"/>
      <c r="DVV188" s="117"/>
      <c r="DVW188" s="117"/>
      <c r="DVX188" s="117"/>
      <c r="DVY188" s="117"/>
      <c r="DVZ188" s="117"/>
      <c r="DWA188" s="117"/>
      <c r="DWB188" s="117"/>
      <c r="DWC188" s="117"/>
      <c r="DWD188" s="117"/>
      <c r="DWE188" s="117"/>
      <c r="DWF188" s="117"/>
      <c r="DWG188" s="117"/>
      <c r="DWH188" s="117"/>
      <c r="DWI188" s="117"/>
      <c r="DWJ188" s="117"/>
      <c r="DWK188" s="117"/>
      <c r="DWL188" s="117"/>
      <c r="DWM188" s="117"/>
      <c r="DWN188" s="117"/>
      <c r="DWO188" s="117"/>
      <c r="DWP188" s="117"/>
      <c r="DWQ188" s="117"/>
      <c r="DWR188" s="117"/>
      <c r="DWS188" s="117"/>
      <c r="DWT188" s="117"/>
      <c r="DWU188" s="117"/>
      <c r="DWV188" s="117"/>
      <c r="DWW188" s="117"/>
      <c r="DWX188" s="117"/>
      <c r="DWY188" s="117"/>
      <c r="DWZ188" s="117"/>
      <c r="DXA188" s="117"/>
      <c r="DXB188" s="117"/>
      <c r="DXC188" s="117"/>
      <c r="DXD188" s="117"/>
      <c r="DXE188" s="117"/>
      <c r="DXF188" s="117"/>
      <c r="DXG188" s="117"/>
      <c r="DXH188" s="117"/>
      <c r="DXI188" s="117"/>
      <c r="DXJ188" s="117"/>
      <c r="DXK188" s="117"/>
      <c r="DXL188" s="117"/>
      <c r="DXM188" s="117"/>
      <c r="DXN188" s="117"/>
      <c r="DXO188" s="117"/>
      <c r="DXP188" s="117"/>
      <c r="DXQ188" s="117"/>
      <c r="DXR188" s="117"/>
      <c r="DXS188" s="117"/>
      <c r="DXT188" s="117"/>
      <c r="DXU188" s="117"/>
      <c r="DXV188" s="117"/>
      <c r="DXW188" s="117"/>
      <c r="DXX188" s="117"/>
      <c r="DXY188" s="117"/>
      <c r="DXZ188" s="117"/>
      <c r="DYA188" s="117"/>
      <c r="DYB188" s="117"/>
      <c r="DYC188" s="117"/>
      <c r="DYD188" s="117"/>
      <c r="DYE188" s="117"/>
      <c r="DYF188" s="117"/>
      <c r="DYG188" s="117"/>
      <c r="DYH188" s="117"/>
      <c r="DYI188" s="117"/>
      <c r="DYJ188" s="117"/>
      <c r="DYK188" s="117"/>
      <c r="DYL188" s="117"/>
      <c r="DYM188" s="117"/>
      <c r="DYN188" s="117"/>
      <c r="DYO188" s="117"/>
      <c r="DYP188" s="117"/>
      <c r="DYQ188" s="117"/>
      <c r="DYR188" s="117"/>
      <c r="DYS188" s="117"/>
      <c r="DYT188" s="117"/>
      <c r="DYU188" s="117"/>
      <c r="DYV188" s="117"/>
      <c r="DYW188" s="117"/>
      <c r="DYX188" s="117"/>
      <c r="DYY188" s="117"/>
      <c r="DYZ188" s="117"/>
      <c r="DZA188" s="117"/>
      <c r="DZB188" s="117"/>
      <c r="DZC188" s="117"/>
      <c r="DZD188" s="117"/>
      <c r="DZE188" s="117"/>
      <c r="DZF188" s="117"/>
      <c r="DZG188" s="117"/>
      <c r="DZH188" s="117"/>
      <c r="DZI188" s="117"/>
      <c r="DZJ188" s="117"/>
      <c r="DZK188" s="117"/>
      <c r="DZL188" s="117"/>
      <c r="DZM188" s="117"/>
      <c r="DZN188" s="117"/>
      <c r="DZO188" s="117"/>
      <c r="DZP188" s="117"/>
      <c r="DZQ188" s="117"/>
      <c r="DZR188" s="117"/>
      <c r="DZS188" s="117"/>
      <c r="DZT188" s="117"/>
      <c r="DZU188" s="117"/>
      <c r="DZV188" s="117"/>
      <c r="DZW188" s="117"/>
      <c r="DZX188" s="117"/>
      <c r="DZY188" s="117"/>
      <c r="DZZ188" s="117"/>
      <c r="EAA188" s="117"/>
      <c r="EAB188" s="117"/>
      <c r="EAC188" s="117"/>
      <c r="EAD188" s="117"/>
      <c r="EAE188" s="117"/>
      <c r="EAF188" s="117"/>
      <c r="EAG188" s="117"/>
      <c r="EAH188" s="117"/>
      <c r="EAI188" s="117"/>
      <c r="EAJ188" s="117"/>
      <c r="EAK188" s="117"/>
      <c r="EAL188" s="117"/>
      <c r="EAM188" s="117"/>
      <c r="EAN188" s="117"/>
      <c r="EAO188" s="117"/>
      <c r="EAP188" s="117"/>
      <c r="EAQ188" s="117"/>
      <c r="EAR188" s="117"/>
      <c r="EAS188" s="117"/>
      <c r="EAT188" s="117"/>
      <c r="EAU188" s="117"/>
      <c r="EAV188" s="117"/>
      <c r="EAW188" s="117"/>
      <c r="EAX188" s="117"/>
      <c r="EAY188" s="117"/>
      <c r="EAZ188" s="117"/>
      <c r="EBA188" s="117"/>
      <c r="EBB188" s="117"/>
      <c r="EBC188" s="117"/>
      <c r="EBD188" s="117"/>
      <c r="EBE188" s="117"/>
      <c r="EBF188" s="117"/>
      <c r="EBG188" s="117"/>
      <c r="EBH188" s="117"/>
      <c r="EBI188" s="117"/>
      <c r="EBJ188" s="117"/>
      <c r="EBK188" s="117"/>
      <c r="EBL188" s="117"/>
      <c r="EBM188" s="117"/>
      <c r="EBN188" s="117"/>
      <c r="EBO188" s="117"/>
      <c r="EBP188" s="117"/>
      <c r="EBQ188" s="117"/>
      <c r="EBR188" s="117"/>
      <c r="EBS188" s="117"/>
      <c r="EBT188" s="117"/>
      <c r="EBU188" s="117"/>
      <c r="EBV188" s="117"/>
      <c r="EBW188" s="117"/>
      <c r="EBX188" s="117"/>
      <c r="EBY188" s="117"/>
      <c r="EBZ188" s="117"/>
      <c r="ECA188" s="117"/>
      <c r="ECB188" s="117"/>
      <c r="ECC188" s="117"/>
      <c r="ECD188" s="117"/>
      <c r="ECE188" s="117"/>
      <c r="ECF188" s="117"/>
      <c r="ECG188" s="117"/>
      <c r="ECH188" s="117"/>
      <c r="ECI188" s="117"/>
      <c r="ECJ188" s="117"/>
      <c r="ECK188" s="117"/>
      <c r="ECL188" s="117"/>
      <c r="ECM188" s="117"/>
      <c r="ECN188" s="117"/>
      <c r="ECO188" s="117"/>
      <c r="ECP188" s="117"/>
      <c r="ECQ188" s="117"/>
      <c r="ECR188" s="117"/>
      <c r="ECS188" s="117"/>
      <c r="ECT188" s="117"/>
      <c r="ECU188" s="117"/>
      <c r="ECV188" s="117"/>
      <c r="ECW188" s="117"/>
      <c r="ECX188" s="117"/>
      <c r="ECY188" s="117"/>
      <c r="ECZ188" s="117"/>
      <c r="EDA188" s="117"/>
      <c r="EDB188" s="117"/>
      <c r="EDC188" s="117"/>
      <c r="EDD188" s="117"/>
      <c r="EDE188" s="117"/>
      <c r="EDF188" s="117"/>
      <c r="EDG188" s="117"/>
      <c r="EDH188" s="117"/>
      <c r="EDI188" s="117"/>
      <c r="EDJ188" s="117"/>
      <c r="EDK188" s="117"/>
      <c r="EDL188" s="117"/>
      <c r="EDM188" s="117"/>
      <c r="EDN188" s="117"/>
      <c r="EDO188" s="117"/>
      <c r="EDP188" s="117"/>
      <c r="EDQ188" s="117"/>
      <c r="EDR188" s="117"/>
      <c r="EDS188" s="117"/>
      <c r="EDT188" s="117"/>
      <c r="EDU188" s="117"/>
      <c r="EDV188" s="117"/>
      <c r="EDW188" s="117"/>
      <c r="EDX188" s="117"/>
      <c r="EDY188" s="117"/>
      <c r="EDZ188" s="117"/>
      <c r="EEA188" s="117"/>
      <c r="EEB188" s="117"/>
      <c r="EEC188" s="117"/>
      <c r="EED188" s="117"/>
      <c r="EEE188" s="117"/>
      <c r="EEF188" s="117"/>
      <c r="EEG188" s="117"/>
      <c r="EEH188" s="117"/>
      <c r="EEI188" s="117"/>
      <c r="EEJ188" s="117"/>
      <c r="EEK188" s="117"/>
      <c r="EEL188" s="117"/>
      <c r="EEM188" s="117"/>
      <c r="EEN188" s="117"/>
      <c r="EEO188" s="117"/>
      <c r="EEP188" s="117"/>
      <c r="EEQ188" s="117"/>
      <c r="EER188" s="117"/>
      <c r="EES188" s="117"/>
      <c r="EET188" s="117"/>
      <c r="EEU188" s="117"/>
      <c r="EEV188" s="117"/>
      <c r="EEW188" s="117"/>
      <c r="EEX188" s="117"/>
      <c r="EEY188" s="117"/>
      <c r="EEZ188" s="117"/>
      <c r="EFA188" s="117"/>
      <c r="EFB188" s="117"/>
      <c r="EFC188" s="117"/>
      <c r="EFD188" s="117"/>
      <c r="EFE188" s="117"/>
      <c r="EFF188" s="117"/>
      <c r="EFG188" s="117"/>
      <c r="EFH188" s="117"/>
      <c r="EFI188" s="117"/>
      <c r="EFJ188" s="117"/>
      <c r="EFK188" s="117"/>
      <c r="EFL188" s="117"/>
      <c r="EFM188" s="117"/>
      <c r="EFN188" s="117"/>
      <c r="EFO188" s="117"/>
      <c r="EFP188" s="117"/>
      <c r="EFQ188" s="117"/>
      <c r="EFR188" s="117"/>
      <c r="EFS188" s="117"/>
      <c r="EFT188" s="117"/>
      <c r="EFU188" s="117"/>
      <c r="EFV188" s="117"/>
      <c r="EFW188" s="117"/>
      <c r="EFX188" s="117"/>
      <c r="EFY188" s="117"/>
      <c r="EFZ188" s="117"/>
      <c r="EGA188" s="117"/>
      <c r="EGB188" s="117"/>
      <c r="EGC188" s="117"/>
      <c r="EGD188" s="117"/>
      <c r="EGE188" s="117"/>
      <c r="EGF188" s="117"/>
      <c r="EGG188" s="117"/>
      <c r="EGH188" s="117"/>
      <c r="EGI188" s="117"/>
      <c r="EGJ188" s="117"/>
      <c r="EGK188" s="117"/>
      <c r="EGL188" s="117"/>
      <c r="EGM188" s="117"/>
      <c r="EGN188" s="117"/>
      <c r="EGO188" s="117"/>
      <c r="EGP188" s="117"/>
      <c r="EGQ188" s="117"/>
      <c r="EGR188" s="117"/>
      <c r="EGS188" s="117"/>
      <c r="EGT188" s="117"/>
      <c r="EGU188" s="117"/>
      <c r="EGV188" s="117"/>
      <c r="EGW188" s="117"/>
      <c r="EGX188" s="117"/>
      <c r="EGY188" s="117"/>
      <c r="EGZ188" s="117"/>
      <c r="EHA188" s="117"/>
      <c r="EHB188" s="117"/>
      <c r="EHC188" s="117"/>
      <c r="EHD188" s="117"/>
      <c r="EHE188" s="117"/>
      <c r="EHF188" s="117"/>
      <c r="EHG188" s="117"/>
      <c r="EHH188" s="117"/>
      <c r="EHI188" s="117"/>
      <c r="EHJ188" s="117"/>
      <c r="EHK188" s="117"/>
      <c r="EHL188" s="117"/>
      <c r="EHM188" s="117"/>
      <c r="EHN188" s="117"/>
      <c r="EHO188" s="117"/>
      <c r="EHP188" s="117"/>
      <c r="EHQ188" s="117"/>
      <c r="EHR188" s="117"/>
      <c r="EHS188" s="117"/>
      <c r="EHT188" s="117"/>
      <c r="EHU188" s="117"/>
      <c r="EHV188" s="117"/>
      <c r="EHW188" s="117"/>
      <c r="EHX188" s="117"/>
      <c r="EHY188" s="117"/>
      <c r="EHZ188" s="117"/>
      <c r="EIA188" s="117"/>
      <c r="EIB188" s="117"/>
      <c r="EIC188" s="117"/>
      <c r="EID188" s="117"/>
      <c r="EIE188" s="117"/>
      <c r="EIF188" s="117"/>
      <c r="EIG188" s="117"/>
      <c r="EIH188" s="117"/>
      <c r="EII188" s="117"/>
      <c r="EIJ188" s="117"/>
      <c r="EIK188" s="117"/>
      <c r="EIL188" s="117"/>
      <c r="EIM188" s="117"/>
      <c r="EIN188" s="117"/>
      <c r="EIO188" s="117"/>
      <c r="EIP188" s="117"/>
      <c r="EIQ188" s="117"/>
      <c r="EIR188" s="117"/>
      <c r="EIS188" s="117"/>
      <c r="EIT188" s="117"/>
      <c r="EIU188" s="117"/>
      <c r="EIV188" s="117"/>
      <c r="EIW188" s="117"/>
      <c r="EIX188" s="117"/>
      <c r="EIY188" s="117"/>
      <c r="EIZ188" s="117"/>
      <c r="EJA188" s="117"/>
      <c r="EJB188" s="117"/>
      <c r="EJC188" s="117"/>
      <c r="EJD188" s="117"/>
      <c r="EJE188" s="117"/>
      <c r="EJF188" s="117"/>
      <c r="EJG188" s="117"/>
      <c r="EJH188" s="117"/>
      <c r="EJI188" s="117"/>
      <c r="EJJ188" s="117"/>
      <c r="EJK188" s="117"/>
      <c r="EJL188" s="117"/>
      <c r="EJM188" s="117"/>
      <c r="EJN188" s="117"/>
      <c r="EJO188" s="117"/>
      <c r="EJP188" s="117"/>
      <c r="EJQ188" s="117"/>
      <c r="EJR188" s="117"/>
      <c r="EJS188" s="117"/>
      <c r="EJT188" s="117"/>
      <c r="EJU188" s="117"/>
      <c r="EJV188" s="117"/>
      <c r="EJW188" s="117"/>
      <c r="EJX188" s="117"/>
      <c r="EJY188" s="117"/>
      <c r="EJZ188" s="117"/>
      <c r="EKA188" s="117"/>
      <c r="EKB188" s="117"/>
      <c r="EKC188" s="117"/>
      <c r="EKD188" s="117"/>
      <c r="EKE188" s="117"/>
      <c r="EKF188" s="117"/>
      <c r="EKG188" s="117"/>
      <c r="EKH188" s="117"/>
      <c r="EKI188" s="117"/>
      <c r="EKJ188" s="117"/>
      <c r="EKK188" s="117"/>
      <c r="EKL188" s="117"/>
      <c r="EKM188" s="117"/>
      <c r="EKN188" s="117"/>
      <c r="EKO188" s="117"/>
      <c r="EKP188" s="117"/>
      <c r="EKQ188" s="117"/>
      <c r="EKR188" s="117"/>
      <c r="EKS188" s="117"/>
      <c r="EKT188" s="117"/>
      <c r="EKU188" s="117"/>
      <c r="EKV188" s="117"/>
      <c r="EKW188" s="117"/>
      <c r="EKX188" s="117"/>
      <c r="EKY188" s="117"/>
      <c r="EKZ188" s="117"/>
      <c r="ELA188" s="117"/>
      <c r="ELB188" s="117"/>
      <c r="ELC188" s="117"/>
      <c r="ELD188" s="117"/>
      <c r="ELE188" s="117"/>
      <c r="ELF188" s="117"/>
      <c r="ELG188" s="117"/>
      <c r="ELH188" s="117"/>
      <c r="ELI188" s="117"/>
      <c r="ELJ188" s="117"/>
      <c r="ELK188" s="117"/>
      <c r="ELL188" s="117"/>
      <c r="ELM188" s="117"/>
      <c r="ELN188" s="117"/>
      <c r="ELO188" s="117"/>
      <c r="ELP188" s="117"/>
      <c r="ELQ188" s="117"/>
      <c r="ELR188" s="117"/>
      <c r="ELS188" s="117"/>
      <c r="ELT188" s="117"/>
      <c r="ELU188" s="117"/>
      <c r="ELV188" s="117"/>
      <c r="ELW188" s="117"/>
      <c r="ELX188" s="117"/>
      <c r="ELY188" s="117"/>
      <c r="ELZ188" s="117"/>
      <c r="EMA188" s="117"/>
      <c r="EMB188" s="117"/>
      <c r="EMC188" s="117"/>
      <c r="EMD188" s="117"/>
      <c r="EME188" s="117"/>
      <c r="EMF188" s="117"/>
      <c r="EMG188" s="117"/>
      <c r="EMH188" s="117"/>
      <c r="EMI188" s="117"/>
      <c r="EMJ188" s="117"/>
      <c r="EMK188" s="117"/>
      <c r="EML188" s="117"/>
      <c r="EMM188" s="117"/>
      <c r="EMN188" s="117"/>
      <c r="EMO188" s="117"/>
      <c r="EMP188" s="117"/>
      <c r="EMQ188" s="117"/>
      <c r="EMR188" s="117"/>
      <c r="EMS188" s="117"/>
      <c r="EMT188" s="117"/>
      <c r="EMU188" s="117"/>
      <c r="EMV188" s="117"/>
      <c r="EMW188" s="117"/>
      <c r="EMX188" s="117"/>
      <c r="EMY188" s="117"/>
      <c r="EMZ188" s="117"/>
      <c r="ENA188" s="117"/>
      <c r="ENB188" s="117"/>
      <c r="ENC188" s="117"/>
      <c r="END188" s="117"/>
      <c r="ENE188" s="117"/>
      <c r="ENF188" s="117"/>
      <c r="ENG188" s="117"/>
      <c r="ENH188" s="117"/>
      <c r="ENI188" s="117"/>
      <c r="ENJ188" s="117"/>
      <c r="ENK188" s="117"/>
      <c r="ENL188" s="117"/>
      <c r="ENM188" s="117"/>
      <c r="ENN188" s="117"/>
      <c r="ENO188" s="117"/>
      <c r="ENP188" s="117"/>
      <c r="ENQ188" s="117"/>
      <c r="ENR188" s="117"/>
      <c r="ENS188" s="117"/>
      <c r="ENT188" s="117"/>
      <c r="ENU188" s="117"/>
      <c r="ENV188" s="117"/>
      <c r="ENW188" s="117"/>
      <c r="ENX188" s="117"/>
      <c r="ENY188" s="117"/>
      <c r="ENZ188" s="117"/>
      <c r="EOA188" s="117"/>
      <c r="EOB188" s="117"/>
      <c r="EOC188" s="117"/>
      <c r="EOD188" s="117"/>
      <c r="EOE188" s="117"/>
      <c r="EOF188" s="117"/>
      <c r="EOG188" s="117"/>
      <c r="EOH188" s="117"/>
      <c r="EOI188" s="117"/>
      <c r="EOJ188" s="117"/>
      <c r="EOK188" s="117"/>
      <c r="EOL188" s="117"/>
      <c r="EOM188" s="117"/>
      <c r="EON188" s="117"/>
      <c r="EOO188" s="117"/>
      <c r="EOP188" s="117"/>
      <c r="EOQ188" s="117"/>
      <c r="EOR188" s="117"/>
      <c r="EOS188" s="117"/>
      <c r="EOT188" s="117"/>
      <c r="EOU188" s="117"/>
      <c r="EOV188" s="117"/>
      <c r="EOW188" s="117"/>
      <c r="EOX188" s="117"/>
      <c r="EOY188" s="117"/>
      <c r="EOZ188" s="117"/>
      <c r="EPA188" s="117"/>
      <c r="EPB188" s="117"/>
      <c r="EPC188" s="117"/>
      <c r="EPD188" s="117"/>
      <c r="EPE188" s="117"/>
      <c r="EPF188" s="117"/>
      <c r="EPG188" s="117"/>
      <c r="EPH188" s="117"/>
      <c r="EPI188" s="117"/>
      <c r="EPJ188" s="117"/>
      <c r="EPK188" s="117"/>
      <c r="EPL188" s="117"/>
      <c r="EPM188" s="117"/>
      <c r="EPN188" s="117"/>
      <c r="EPO188" s="117"/>
      <c r="EPP188" s="117"/>
      <c r="EPQ188" s="117"/>
      <c r="EPR188" s="117"/>
      <c r="EPS188" s="117"/>
      <c r="EPT188" s="117"/>
      <c r="EPU188" s="117"/>
      <c r="EPV188" s="117"/>
      <c r="EPW188" s="117"/>
      <c r="EPX188" s="117"/>
      <c r="EPY188" s="117"/>
      <c r="EPZ188" s="117"/>
      <c r="EQA188" s="117"/>
      <c r="EQB188" s="117"/>
      <c r="EQC188" s="117"/>
      <c r="EQD188" s="117"/>
      <c r="EQE188" s="117"/>
      <c r="EQF188" s="117"/>
      <c r="EQG188" s="117"/>
      <c r="EQH188" s="117"/>
      <c r="EQI188" s="117"/>
      <c r="EQJ188" s="117"/>
      <c r="EQK188" s="117"/>
      <c r="EQL188" s="117"/>
      <c r="EQM188" s="117"/>
      <c r="EQN188" s="117"/>
      <c r="EQO188" s="117"/>
      <c r="EQP188" s="117"/>
      <c r="EQQ188" s="117"/>
      <c r="EQR188" s="117"/>
      <c r="EQS188" s="117"/>
      <c r="EQT188" s="117"/>
      <c r="EQU188" s="117"/>
      <c r="EQV188" s="117"/>
      <c r="EQW188" s="117"/>
      <c r="EQX188" s="117"/>
      <c r="EQY188" s="117"/>
      <c r="EQZ188" s="117"/>
      <c r="ERA188" s="117"/>
      <c r="ERB188" s="117"/>
      <c r="ERC188" s="117"/>
      <c r="ERD188" s="117"/>
      <c r="ERE188" s="117"/>
      <c r="ERF188" s="117"/>
      <c r="ERG188" s="117"/>
      <c r="ERH188" s="117"/>
      <c r="ERI188" s="117"/>
      <c r="ERJ188" s="117"/>
      <c r="ERK188" s="117"/>
      <c r="ERL188" s="117"/>
      <c r="ERM188" s="117"/>
      <c r="ERN188" s="117"/>
      <c r="ERO188" s="117"/>
      <c r="ERP188" s="117"/>
      <c r="ERQ188" s="117"/>
      <c r="ERR188" s="117"/>
      <c r="ERS188" s="117"/>
      <c r="ERT188" s="117"/>
      <c r="ERU188" s="117"/>
      <c r="ERV188" s="117"/>
      <c r="ERW188" s="117"/>
      <c r="ERX188" s="117"/>
      <c r="ERY188" s="117"/>
      <c r="ERZ188" s="117"/>
      <c r="ESA188" s="117"/>
      <c r="ESB188" s="117"/>
      <c r="ESC188" s="117"/>
      <c r="ESD188" s="117"/>
      <c r="ESE188" s="117"/>
      <c r="ESF188" s="117"/>
      <c r="ESG188" s="117"/>
      <c r="ESH188" s="117"/>
      <c r="ESI188" s="117"/>
      <c r="ESJ188" s="117"/>
      <c r="ESK188" s="117"/>
      <c r="ESL188" s="117"/>
      <c r="ESM188" s="117"/>
      <c r="ESN188" s="117"/>
      <c r="ESO188" s="117"/>
      <c r="ESP188" s="117"/>
      <c r="ESQ188" s="117"/>
      <c r="ESR188" s="117"/>
      <c r="ESS188" s="117"/>
      <c r="EST188" s="117"/>
      <c r="ESU188" s="117"/>
      <c r="ESV188" s="117"/>
      <c r="ESW188" s="117"/>
      <c r="ESX188" s="117"/>
      <c r="ESY188" s="117"/>
      <c r="ESZ188" s="117"/>
      <c r="ETA188" s="117"/>
      <c r="ETB188" s="117"/>
      <c r="ETC188" s="117"/>
      <c r="ETD188" s="117"/>
      <c r="ETE188" s="117"/>
      <c r="ETF188" s="117"/>
      <c r="ETG188" s="117"/>
      <c r="ETH188" s="117"/>
      <c r="ETI188" s="117"/>
      <c r="ETJ188" s="117"/>
      <c r="ETK188" s="117"/>
      <c r="ETL188" s="117"/>
      <c r="ETM188" s="117"/>
      <c r="ETN188" s="117"/>
      <c r="ETO188" s="117"/>
      <c r="ETP188" s="117"/>
      <c r="ETQ188" s="117"/>
      <c r="ETR188" s="117"/>
      <c r="ETS188" s="117"/>
      <c r="ETT188" s="117"/>
      <c r="ETU188" s="117"/>
      <c r="ETV188" s="117"/>
      <c r="ETW188" s="117"/>
      <c r="ETX188" s="117"/>
      <c r="ETY188" s="117"/>
      <c r="ETZ188" s="117"/>
      <c r="EUA188" s="117"/>
      <c r="EUB188" s="117"/>
      <c r="EUC188" s="117"/>
      <c r="EUD188" s="117"/>
      <c r="EUE188" s="117"/>
      <c r="EUF188" s="117"/>
      <c r="EUG188" s="117"/>
      <c r="EUH188" s="117"/>
      <c r="EUI188" s="117"/>
      <c r="EUJ188" s="117"/>
      <c r="EUK188" s="117"/>
      <c r="EUL188" s="117"/>
      <c r="EUM188" s="117"/>
      <c r="EUN188" s="117"/>
      <c r="EUO188" s="117"/>
      <c r="EUP188" s="117"/>
      <c r="EUQ188" s="117"/>
      <c r="EUR188" s="117"/>
      <c r="EUS188" s="117"/>
      <c r="EUT188" s="117"/>
      <c r="EUU188" s="117"/>
      <c r="EUV188" s="117"/>
      <c r="EUW188" s="117"/>
      <c r="EUX188" s="117"/>
      <c r="EUY188" s="117"/>
      <c r="EUZ188" s="117"/>
      <c r="EVA188" s="117"/>
      <c r="EVB188" s="117"/>
      <c r="EVC188" s="117"/>
      <c r="EVD188" s="117"/>
      <c r="EVE188" s="117"/>
      <c r="EVF188" s="117"/>
      <c r="EVG188" s="117"/>
      <c r="EVH188" s="117"/>
      <c r="EVI188" s="117"/>
      <c r="EVJ188" s="117"/>
      <c r="EVK188" s="117"/>
      <c r="EVL188" s="117"/>
      <c r="EVM188" s="117"/>
      <c r="EVN188" s="117"/>
      <c r="EVO188" s="117"/>
      <c r="EVP188" s="117"/>
      <c r="EVQ188" s="117"/>
      <c r="EVR188" s="117"/>
      <c r="EVS188" s="117"/>
      <c r="EVT188" s="117"/>
      <c r="EVU188" s="117"/>
      <c r="EVV188" s="117"/>
      <c r="EVW188" s="117"/>
      <c r="EVX188" s="117"/>
      <c r="EVY188" s="117"/>
      <c r="EVZ188" s="117"/>
      <c r="EWA188" s="117"/>
      <c r="EWB188" s="117"/>
      <c r="EWC188" s="117"/>
      <c r="EWD188" s="117"/>
      <c r="EWE188" s="117"/>
      <c r="EWF188" s="117"/>
      <c r="EWG188" s="117"/>
      <c r="EWH188" s="117"/>
      <c r="EWI188" s="117"/>
      <c r="EWJ188" s="117"/>
      <c r="EWK188" s="117"/>
      <c r="EWL188" s="117"/>
      <c r="EWM188" s="117"/>
      <c r="EWN188" s="117"/>
      <c r="EWO188" s="117"/>
      <c r="EWP188" s="117"/>
      <c r="EWQ188" s="117"/>
      <c r="EWR188" s="117"/>
      <c r="EWS188" s="117"/>
      <c r="EWT188" s="117"/>
      <c r="EWU188" s="117"/>
      <c r="EWV188" s="117"/>
      <c r="EWW188" s="117"/>
      <c r="EWX188" s="117"/>
      <c r="EWY188" s="117"/>
      <c r="EWZ188" s="117"/>
      <c r="EXA188" s="117"/>
      <c r="EXB188" s="117"/>
      <c r="EXC188" s="117"/>
      <c r="EXD188" s="117"/>
      <c r="EXE188" s="117"/>
      <c r="EXF188" s="117"/>
      <c r="EXG188" s="117"/>
      <c r="EXH188" s="117"/>
      <c r="EXI188" s="117"/>
      <c r="EXJ188" s="117"/>
      <c r="EXK188" s="117"/>
      <c r="EXL188" s="117"/>
      <c r="EXM188" s="117"/>
      <c r="EXN188" s="117"/>
      <c r="EXO188" s="117"/>
      <c r="EXP188" s="117"/>
      <c r="EXQ188" s="117"/>
      <c r="EXR188" s="117"/>
      <c r="EXS188" s="117"/>
      <c r="EXT188" s="117"/>
      <c r="EXU188" s="117"/>
      <c r="EXV188" s="117"/>
      <c r="EXW188" s="117"/>
      <c r="EXX188" s="117"/>
      <c r="EXY188" s="117"/>
      <c r="EXZ188" s="117"/>
      <c r="EYA188" s="117"/>
      <c r="EYB188" s="117"/>
      <c r="EYC188" s="117"/>
      <c r="EYD188" s="117"/>
      <c r="EYE188" s="117"/>
      <c r="EYF188" s="117"/>
      <c r="EYG188" s="117"/>
      <c r="EYH188" s="117"/>
      <c r="EYI188" s="117"/>
      <c r="EYJ188" s="117"/>
      <c r="EYK188" s="117"/>
      <c r="EYL188" s="117"/>
      <c r="EYM188" s="117"/>
      <c r="EYN188" s="117"/>
      <c r="EYO188" s="117"/>
      <c r="EYP188" s="117"/>
      <c r="EYQ188" s="117"/>
      <c r="EYR188" s="117"/>
      <c r="EYS188" s="117"/>
      <c r="EYT188" s="117"/>
      <c r="EYU188" s="117"/>
      <c r="EYV188" s="117"/>
      <c r="EYW188" s="117"/>
      <c r="EYX188" s="117"/>
      <c r="EYY188" s="117"/>
      <c r="EYZ188" s="117"/>
      <c r="EZA188" s="117"/>
      <c r="EZB188" s="117"/>
      <c r="EZC188" s="117"/>
      <c r="EZD188" s="117"/>
      <c r="EZE188" s="117"/>
      <c r="EZF188" s="117"/>
      <c r="EZG188" s="117"/>
      <c r="EZH188" s="117"/>
      <c r="EZI188" s="117"/>
      <c r="EZJ188" s="117"/>
      <c r="EZK188" s="117"/>
      <c r="EZL188" s="117"/>
      <c r="EZM188" s="117"/>
      <c r="EZN188" s="117"/>
      <c r="EZO188" s="117"/>
      <c r="EZP188" s="117"/>
      <c r="EZQ188" s="117"/>
      <c r="EZR188" s="117"/>
      <c r="EZS188" s="117"/>
      <c r="EZT188" s="117"/>
      <c r="EZU188" s="117"/>
      <c r="EZV188" s="117"/>
      <c r="EZW188" s="117"/>
      <c r="EZX188" s="117"/>
      <c r="EZY188" s="117"/>
      <c r="EZZ188" s="117"/>
      <c r="FAA188" s="117"/>
      <c r="FAB188" s="117"/>
      <c r="FAC188" s="117"/>
      <c r="FAD188" s="117"/>
      <c r="FAE188" s="117"/>
      <c r="FAF188" s="117"/>
      <c r="FAG188" s="117"/>
      <c r="FAH188" s="117"/>
      <c r="FAI188" s="117"/>
      <c r="FAJ188" s="117"/>
      <c r="FAK188" s="117"/>
      <c r="FAL188" s="117"/>
      <c r="FAM188" s="117"/>
      <c r="FAN188" s="117"/>
      <c r="FAO188" s="117"/>
      <c r="FAP188" s="117"/>
      <c r="FAQ188" s="117"/>
      <c r="FAR188" s="117"/>
      <c r="FAS188" s="117"/>
      <c r="FAT188" s="117"/>
      <c r="FAU188" s="117"/>
      <c r="FAV188" s="117"/>
      <c r="FAW188" s="117"/>
      <c r="FAX188" s="117"/>
      <c r="FAY188" s="117"/>
      <c r="FAZ188" s="117"/>
      <c r="FBA188" s="117"/>
      <c r="FBB188" s="117"/>
      <c r="FBC188" s="117"/>
      <c r="FBD188" s="117"/>
      <c r="FBE188" s="117"/>
      <c r="FBF188" s="117"/>
      <c r="FBG188" s="117"/>
      <c r="FBH188" s="117"/>
      <c r="FBI188" s="117"/>
      <c r="FBJ188" s="117"/>
      <c r="FBK188" s="117"/>
      <c r="FBL188" s="117"/>
      <c r="FBM188" s="117"/>
      <c r="FBN188" s="117"/>
      <c r="FBO188" s="117"/>
      <c r="FBP188" s="117"/>
      <c r="FBQ188" s="117"/>
      <c r="FBR188" s="117"/>
      <c r="FBS188" s="117"/>
      <c r="FBT188" s="117"/>
      <c r="FBU188" s="117"/>
      <c r="FBV188" s="117"/>
      <c r="FBW188" s="117"/>
      <c r="FBX188" s="117"/>
      <c r="FBY188" s="117"/>
      <c r="FBZ188" s="117"/>
      <c r="FCA188" s="117"/>
      <c r="FCB188" s="117"/>
      <c r="FCC188" s="117"/>
      <c r="FCD188" s="117"/>
      <c r="FCE188" s="117"/>
      <c r="FCF188" s="117"/>
      <c r="FCG188" s="117"/>
      <c r="FCH188" s="117"/>
      <c r="FCI188" s="117"/>
      <c r="FCJ188" s="117"/>
      <c r="FCK188" s="117"/>
      <c r="FCL188" s="117"/>
      <c r="FCM188" s="117"/>
      <c r="FCN188" s="117"/>
      <c r="FCO188" s="117"/>
      <c r="FCP188" s="117"/>
      <c r="FCQ188" s="117"/>
      <c r="FCR188" s="117"/>
      <c r="FCS188" s="117"/>
      <c r="FCT188" s="117"/>
      <c r="FCU188" s="117"/>
      <c r="FCV188" s="117"/>
      <c r="FCW188" s="117"/>
      <c r="FCX188" s="117"/>
      <c r="FCY188" s="117"/>
      <c r="FCZ188" s="117"/>
      <c r="FDA188" s="117"/>
      <c r="FDB188" s="117"/>
      <c r="FDC188" s="117"/>
      <c r="FDD188" s="117"/>
      <c r="FDE188" s="117"/>
      <c r="FDF188" s="117"/>
      <c r="FDG188" s="117"/>
      <c r="FDH188" s="117"/>
      <c r="FDI188" s="117"/>
      <c r="FDJ188" s="117"/>
      <c r="FDK188" s="117"/>
      <c r="FDL188" s="117"/>
      <c r="FDM188" s="117"/>
      <c r="FDN188" s="117"/>
      <c r="FDO188" s="117"/>
      <c r="FDP188" s="117"/>
      <c r="FDQ188" s="117"/>
      <c r="FDR188" s="117"/>
      <c r="FDS188" s="117"/>
      <c r="FDT188" s="117"/>
      <c r="FDU188" s="117"/>
      <c r="FDV188" s="117"/>
      <c r="FDW188" s="117"/>
      <c r="FDX188" s="117"/>
      <c r="FDY188" s="117"/>
      <c r="FDZ188" s="117"/>
      <c r="FEA188" s="117"/>
      <c r="FEB188" s="117"/>
      <c r="FEC188" s="117"/>
      <c r="FED188" s="117"/>
      <c r="FEE188" s="117"/>
      <c r="FEF188" s="117"/>
      <c r="FEG188" s="117"/>
      <c r="FEH188" s="117"/>
      <c r="FEI188" s="117"/>
      <c r="FEJ188" s="117"/>
      <c r="FEK188" s="117"/>
      <c r="FEL188" s="117"/>
      <c r="FEM188" s="117"/>
      <c r="FEN188" s="117"/>
      <c r="FEO188" s="117"/>
      <c r="FEP188" s="117"/>
      <c r="FEQ188" s="117"/>
      <c r="FER188" s="117"/>
      <c r="FES188" s="117"/>
      <c r="FET188" s="117"/>
      <c r="FEU188" s="117"/>
      <c r="FEV188" s="117"/>
      <c r="FEW188" s="117"/>
      <c r="FEX188" s="117"/>
      <c r="FEY188" s="117"/>
      <c r="FEZ188" s="117"/>
      <c r="FFA188" s="117"/>
      <c r="FFB188" s="117"/>
      <c r="FFC188" s="117"/>
      <c r="FFD188" s="117"/>
      <c r="FFE188" s="117"/>
      <c r="FFF188" s="117"/>
      <c r="FFG188" s="117"/>
      <c r="FFH188" s="117"/>
      <c r="FFI188" s="117"/>
      <c r="FFJ188" s="117"/>
      <c r="FFK188" s="117"/>
      <c r="FFL188" s="117"/>
      <c r="FFM188" s="117"/>
      <c r="FFN188" s="117"/>
      <c r="FFO188" s="117"/>
      <c r="FFP188" s="117"/>
      <c r="FFQ188" s="117"/>
      <c r="FFR188" s="117"/>
      <c r="FFS188" s="117"/>
      <c r="FFT188" s="117"/>
      <c r="FFU188" s="117"/>
      <c r="FFV188" s="117"/>
      <c r="FFW188" s="117"/>
      <c r="FFX188" s="117"/>
      <c r="FFY188" s="117"/>
      <c r="FFZ188" s="117"/>
      <c r="FGA188" s="117"/>
      <c r="FGB188" s="117"/>
      <c r="FGC188" s="117"/>
      <c r="FGD188" s="117"/>
      <c r="FGE188" s="117"/>
      <c r="FGF188" s="117"/>
      <c r="FGG188" s="117"/>
      <c r="FGH188" s="117"/>
      <c r="FGI188" s="117"/>
      <c r="FGJ188" s="117"/>
      <c r="FGK188" s="117"/>
      <c r="FGL188" s="117"/>
      <c r="FGM188" s="117"/>
      <c r="FGN188" s="117"/>
      <c r="FGO188" s="117"/>
      <c r="FGP188" s="117"/>
      <c r="FGQ188" s="117"/>
      <c r="FGR188" s="117"/>
      <c r="FGS188" s="117"/>
      <c r="FGT188" s="117"/>
      <c r="FGU188" s="117"/>
      <c r="FGV188" s="117"/>
      <c r="FGW188" s="117"/>
      <c r="FGX188" s="117"/>
      <c r="FGY188" s="117"/>
      <c r="FGZ188" s="117"/>
      <c r="FHA188" s="117"/>
      <c r="FHB188" s="117"/>
      <c r="FHC188" s="117"/>
      <c r="FHD188" s="117"/>
      <c r="FHE188" s="117"/>
      <c r="FHF188" s="117"/>
      <c r="FHG188" s="117"/>
      <c r="FHH188" s="117"/>
      <c r="FHI188" s="117"/>
      <c r="FHJ188" s="117"/>
      <c r="FHK188" s="117"/>
      <c r="FHL188" s="117"/>
      <c r="FHM188" s="117"/>
      <c r="FHN188" s="117"/>
      <c r="FHO188" s="117"/>
      <c r="FHP188" s="117"/>
      <c r="FHQ188" s="117"/>
      <c r="FHR188" s="117"/>
      <c r="FHS188" s="117"/>
      <c r="FHT188" s="117"/>
      <c r="FHU188" s="117"/>
      <c r="FHV188" s="117"/>
      <c r="FHW188" s="117"/>
      <c r="FHX188" s="117"/>
      <c r="FHY188" s="117"/>
      <c r="FHZ188" s="117"/>
      <c r="FIA188" s="117"/>
      <c r="FIB188" s="117"/>
      <c r="FIC188" s="117"/>
      <c r="FID188" s="117"/>
      <c r="FIE188" s="117"/>
      <c r="FIF188" s="117"/>
      <c r="FIG188" s="117"/>
      <c r="FIH188" s="117"/>
      <c r="FII188" s="117"/>
      <c r="FIJ188" s="117"/>
      <c r="FIK188" s="117"/>
      <c r="FIL188" s="117"/>
      <c r="FIM188" s="117"/>
      <c r="FIN188" s="117"/>
      <c r="FIO188" s="117"/>
      <c r="FIP188" s="117"/>
      <c r="FIQ188" s="117"/>
      <c r="FIR188" s="117"/>
      <c r="FIS188" s="117"/>
      <c r="FIT188" s="117"/>
      <c r="FIU188" s="117"/>
      <c r="FIV188" s="117"/>
      <c r="FIW188" s="117"/>
      <c r="FIX188" s="117"/>
      <c r="FIY188" s="117"/>
      <c r="FIZ188" s="117"/>
      <c r="FJA188" s="117"/>
      <c r="FJB188" s="117"/>
      <c r="FJC188" s="117"/>
      <c r="FJD188" s="117"/>
      <c r="FJE188" s="117"/>
      <c r="FJF188" s="117"/>
      <c r="FJG188" s="117"/>
      <c r="FJH188" s="117"/>
      <c r="FJI188" s="117"/>
      <c r="FJJ188" s="117"/>
      <c r="FJK188" s="117"/>
      <c r="FJL188" s="117"/>
      <c r="FJM188" s="117"/>
      <c r="FJN188" s="117"/>
      <c r="FJO188" s="117"/>
      <c r="FJP188" s="117"/>
      <c r="FJQ188" s="117"/>
      <c r="FJR188" s="117"/>
      <c r="FJS188" s="117"/>
      <c r="FJT188" s="117"/>
      <c r="FJU188" s="117"/>
      <c r="FJV188" s="117"/>
      <c r="FJW188" s="117"/>
      <c r="FJX188" s="117"/>
      <c r="FJY188" s="117"/>
      <c r="FJZ188" s="117"/>
      <c r="FKA188" s="117"/>
      <c r="FKB188" s="117"/>
      <c r="FKC188" s="117"/>
      <c r="FKD188" s="117"/>
      <c r="FKE188" s="117"/>
      <c r="FKF188" s="117"/>
      <c r="FKG188" s="117"/>
      <c r="FKH188" s="117"/>
      <c r="FKI188" s="117"/>
      <c r="FKJ188" s="117"/>
      <c r="FKK188" s="117"/>
      <c r="FKL188" s="117"/>
      <c r="FKM188" s="117"/>
      <c r="FKN188" s="117"/>
      <c r="FKO188" s="117"/>
      <c r="FKP188" s="117"/>
      <c r="FKQ188" s="117"/>
      <c r="FKR188" s="117"/>
      <c r="FKS188" s="117"/>
      <c r="FKT188" s="117"/>
      <c r="FKU188" s="117"/>
      <c r="FKV188" s="117"/>
      <c r="FKW188" s="117"/>
      <c r="FKX188" s="117"/>
      <c r="FKY188" s="117"/>
      <c r="FKZ188" s="117"/>
      <c r="FLA188" s="117"/>
      <c r="FLB188" s="117"/>
      <c r="FLC188" s="117"/>
      <c r="FLD188" s="117"/>
      <c r="FLE188" s="117"/>
      <c r="FLF188" s="117"/>
      <c r="FLG188" s="117"/>
      <c r="FLH188" s="117"/>
      <c r="FLI188" s="117"/>
      <c r="FLJ188" s="117"/>
      <c r="FLK188" s="117"/>
      <c r="FLL188" s="117"/>
      <c r="FLM188" s="117"/>
      <c r="FLN188" s="117"/>
      <c r="FLO188" s="117"/>
      <c r="FLP188" s="117"/>
      <c r="FLQ188" s="117"/>
      <c r="FLR188" s="117"/>
      <c r="FLS188" s="117"/>
      <c r="FLT188" s="117"/>
      <c r="FLU188" s="117"/>
      <c r="FLV188" s="117"/>
      <c r="FLW188" s="117"/>
      <c r="FLX188" s="117"/>
      <c r="FLY188" s="117"/>
      <c r="FLZ188" s="117"/>
      <c r="FMA188" s="117"/>
      <c r="FMB188" s="117"/>
      <c r="FMC188" s="117"/>
      <c r="FMD188" s="117"/>
      <c r="FME188" s="117"/>
      <c r="FMF188" s="117"/>
      <c r="FMG188" s="117"/>
      <c r="FMH188" s="117"/>
      <c r="FMI188" s="117"/>
      <c r="FMJ188" s="117"/>
      <c r="FMK188" s="117"/>
      <c r="FML188" s="117"/>
      <c r="FMM188" s="117"/>
      <c r="FMN188" s="117"/>
      <c r="FMO188" s="117"/>
      <c r="FMP188" s="117"/>
      <c r="FMQ188" s="117"/>
      <c r="FMR188" s="117"/>
      <c r="FMS188" s="117"/>
      <c r="FMT188" s="117"/>
      <c r="FMU188" s="117"/>
      <c r="FMV188" s="117"/>
      <c r="FMW188" s="117"/>
      <c r="FMX188" s="117"/>
      <c r="FMY188" s="117"/>
      <c r="FMZ188" s="117"/>
      <c r="FNA188" s="117"/>
      <c r="FNB188" s="117"/>
      <c r="FNC188" s="117"/>
      <c r="FND188" s="117"/>
      <c r="FNE188" s="117"/>
      <c r="FNF188" s="117"/>
      <c r="FNG188" s="117"/>
      <c r="FNH188" s="117"/>
      <c r="FNI188" s="117"/>
      <c r="FNJ188" s="117"/>
      <c r="FNK188" s="117"/>
      <c r="FNL188" s="117"/>
      <c r="FNM188" s="117"/>
      <c r="FNN188" s="117"/>
      <c r="FNO188" s="117"/>
      <c r="FNP188" s="117"/>
      <c r="FNQ188" s="117"/>
      <c r="FNR188" s="117"/>
      <c r="FNS188" s="117"/>
      <c r="FNT188" s="117"/>
      <c r="FNU188" s="117"/>
      <c r="FNV188" s="117"/>
      <c r="FNW188" s="117"/>
      <c r="FNX188" s="117"/>
      <c r="FNY188" s="117"/>
      <c r="FNZ188" s="117"/>
      <c r="FOA188" s="117"/>
      <c r="FOB188" s="117"/>
      <c r="FOC188" s="117"/>
      <c r="FOD188" s="117"/>
      <c r="FOE188" s="117"/>
      <c r="FOF188" s="117"/>
      <c r="FOG188" s="117"/>
      <c r="FOH188" s="117"/>
      <c r="FOI188" s="117"/>
      <c r="FOJ188" s="117"/>
      <c r="FOK188" s="117"/>
      <c r="FOL188" s="117"/>
      <c r="FOM188" s="117"/>
      <c r="FON188" s="117"/>
      <c r="FOO188" s="117"/>
      <c r="FOP188" s="117"/>
      <c r="FOQ188" s="117"/>
      <c r="FOR188" s="117"/>
      <c r="FOS188" s="117"/>
      <c r="FOT188" s="117"/>
      <c r="FOU188" s="117"/>
      <c r="FOV188" s="117"/>
      <c r="FOW188" s="117"/>
      <c r="FOX188" s="117"/>
      <c r="FOY188" s="117"/>
      <c r="FOZ188" s="117"/>
      <c r="FPA188" s="117"/>
      <c r="FPB188" s="117"/>
      <c r="FPC188" s="117"/>
      <c r="FPD188" s="117"/>
      <c r="FPE188" s="117"/>
      <c r="FPF188" s="117"/>
      <c r="FPG188" s="117"/>
      <c r="FPH188" s="117"/>
      <c r="FPI188" s="117"/>
      <c r="FPJ188" s="117"/>
      <c r="FPK188" s="117"/>
      <c r="FPL188" s="117"/>
      <c r="FPM188" s="117"/>
      <c r="FPN188" s="117"/>
      <c r="FPO188" s="117"/>
      <c r="FPP188" s="117"/>
      <c r="FPQ188" s="117"/>
      <c r="FPR188" s="117"/>
      <c r="FPS188" s="117"/>
      <c r="FPT188" s="117"/>
      <c r="FPU188" s="117"/>
      <c r="FPV188" s="117"/>
      <c r="FPW188" s="117"/>
      <c r="FPX188" s="117"/>
      <c r="FPY188" s="117"/>
      <c r="FPZ188" s="117"/>
      <c r="FQA188" s="117"/>
      <c r="FQB188" s="117"/>
      <c r="FQC188" s="117"/>
      <c r="FQD188" s="117"/>
      <c r="FQE188" s="117"/>
      <c r="FQF188" s="117"/>
      <c r="FQG188" s="117"/>
      <c r="FQH188" s="117"/>
      <c r="FQI188" s="117"/>
      <c r="FQJ188" s="117"/>
      <c r="FQK188" s="117"/>
      <c r="FQL188" s="117"/>
      <c r="FQM188" s="117"/>
      <c r="FQN188" s="117"/>
      <c r="FQO188" s="117"/>
      <c r="FQP188" s="117"/>
      <c r="FQQ188" s="117"/>
      <c r="FQR188" s="117"/>
      <c r="FQS188" s="117"/>
      <c r="FQT188" s="117"/>
      <c r="FQU188" s="117"/>
      <c r="FQV188" s="117"/>
      <c r="FQW188" s="117"/>
      <c r="FQX188" s="117"/>
      <c r="FQY188" s="117"/>
      <c r="FQZ188" s="117"/>
      <c r="FRA188" s="117"/>
      <c r="FRB188" s="117"/>
      <c r="FRC188" s="117"/>
      <c r="FRD188" s="117"/>
      <c r="FRE188" s="117"/>
      <c r="FRF188" s="117"/>
      <c r="FRG188" s="117"/>
      <c r="FRH188" s="117"/>
      <c r="FRI188" s="117"/>
      <c r="FRJ188" s="117"/>
      <c r="FRK188" s="117"/>
      <c r="FRL188" s="117"/>
      <c r="FRM188" s="117"/>
      <c r="FRN188" s="117"/>
      <c r="FRO188" s="117"/>
      <c r="FRP188" s="117"/>
      <c r="FRQ188" s="117"/>
      <c r="FRR188" s="117"/>
      <c r="FRS188" s="117"/>
      <c r="FRT188" s="117"/>
      <c r="FRU188" s="117"/>
      <c r="FRV188" s="117"/>
      <c r="FRW188" s="117"/>
      <c r="FRX188" s="117"/>
      <c r="FRY188" s="117"/>
      <c r="FRZ188" s="117"/>
      <c r="FSA188" s="117"/>
      <c r="FSB188" s="117"/>
      <c r="FSC188" s="117"/>
      <c r="FSD188" s="117"/>
      <c r="FSE188" s="117"/>
      <c r="FSF188" s="117"/>
      <c r="FSG188" s="117"/>
      <c r="FSH188" s="117"/>
      <c r="FSI188" s="117"/>
      <c r="FSJ188" s="117"/>
      <c r="FSK188" s="117"/>
      <c r="FSL188" s="117"/>
      <c r="FSM188" s="117"/>
      <c r="FSN188" s="117"/>
      <c r="FSO188" s="117"/>
      <c r="FSP188" s="117"/>
      <c r="FSQ188" s="117"/>
      <c r="FSR188" s="117"/>
      <c r="FSS188" s="117"/>
      <c r="FST188" s="117"/>
      <c r="FSU188" s="117"/>
      <c r="FSV188" s="117"/>
      <c r="FSW188" s="117"/>
      <c r="FSX188" s="117"/>
      <c r="FSY188" s="117"/>
      <c r="FSZ188" s="117"/>
      <c r="FTA188" s="117"/>
      <c r="FTB188" s="117"/>
      <c r="FTC188" s="117"/>
      <c r="FTD188" s="117"/>
      <c r="FTE188" s="117"/>
      <c r="FTF188" s="117"/>
      <c r="FTG188" s="117"/>
      <c r="FTH188" s="117"/>
      <c r="FTI188" s="117"/>
      <c r="FTJ188" s="117"/>
      <c r="FTK188" s="117"/>
      <c r="FTL188" s="117"/>
      <c r="FTM188" s="117"/>
      <c r="FTN188" s="117"/>
      <c r="FTO188" s="117"/>
      <c r="FTP188" s="117"/>
      <c r="FTQ188" s="117"/>
      <c r="FTR188" s="117"/>
      <c r="FTS188" s="117"/>
      <c r="FTT188" s="117"/>
      <c r="FTU188" s="117"/>
      <c r="FTV188" s="117"/>
      <c r="FTW188" s="117"/>
      <c r="FTX188" s="117"/>
      <c r="FTY188" s="117"/>
      <c r="FTZ188" s="117"/>
      <c r="FUA188" s="117"/>
      <c r="FUB188" s="117"/>
      <c r="FUC188" s="117"/>
      <c r="FUD188" s="117"/>
      <c r="FUE188" s="117"/>
      <c r="FUF188" s="117"/>
      <c r="FUG188" s="117"/>
      <c r="FUH188" s="117"/>
      <c r="FUI188" s="117"/>
      <c r="FUJ188" s="117"/>
      <c r="FUK188" s="117"/>
      <c r="FUL188" s="117"/>
      <c r="FUM188" s="117"/>
      <c r="FUN188" s="117"/>
      <c r="FUO188" s="117"/>
      <c r="FUP188" s="117"/>
      <c r="FUQ188" s="117"/>
      <c r="FUR188" s="117"/>
      <c r="FUS188" s="117"/>
      <c r="FUT188" s="117"/>
      <c r="FUU188" s="117"/>
      <c r="FUV188" s="117"/>
      <c r="FUW188" s="117"/>
      <c r="FUX188" s="117"/>
      <c r="FUY188" s="117"/>
      <c r="FUZ188" s="117"/>
      <c r="FVA188" s="117"/>
      <c r="FVB188" s="117"/>
      <c r="FVC188" s="117"/>
      <c r="FVD188" s="117"/>
      <c r="FVE188" s="117"/>
      <c r="FVF188" s="117"/>
      <c r="FVG188" s="117"/>
      <c r="FVH188" s="117"/>
      <c r="FVI188" s="117"/>
      <c r="FVJ188" s="117"/>
      <c r="FVK188" s="117"/>
      <c r="FVL188" s="117"/>
      <c r="FVM188" s="117"/>
      <c r="FVN188" s="117"/>
      <c r="FVO188" s="117"/>
      <c r="FVP188" s="117"/>
      <c r="FVQ188" s="117"/>
      <c r="FVR188" s="117"/>
      <c r="FVS188" s="117"/>
      <c r="FVT188" s="117"/>
      <c r="FVU188" s="117"/>
      <c r="FVV188" s="117"/>
      <c r="FVW188" s="117"/>
      <c r="FVX188" s="117"/>
      <c r="FVY188" s="117"/>
      <c r="FVZ188" s="117"/>
      <c r="FWA188" s="117"/>
      <c r="FWB188" s="117"/>
      <c r="FWC188" s="117"/>
      <c r="FWD188" s="117"/>
      <c r="FWE188" s="117"/>
      <c r="FWF188" s="117"/>
      <c r="FWG188" s="117"/>
      <c r="FWH188" s="117"/>
      <c r="FWI188" s="117"/>
      <c r="FWJ188" s="117"/>
      <c r="FWK188" s="117"/>
      <c r="FWL188" s="117"/>
      <c r="FWM188" s="117"/>
      <c r="FWN188" s="117"/>
      <c r="FWO188" s="117"/>
      <c r="FWP188" s="117"/>
      <c r="FWQ188" s="117"/>
      <c r="FWR188" s="117"/>
      <c r="FWS188" s="117"/>
      <c r="FWT188" s="117"/>
      <c r="FWU188" s="117"/>
      <c r="FWV188" s="117"/>
      <c r="FWW188" s="117"/>
      <c r="FWX188" s="117"/>
      <c r="FWY188" s="117"/>
      <c r="FWZ188" s="117"/>
      <c r="FXA188" s="117"/>
      <c r="FXB188" s="117"/>
      <c r="FXC188" s="117"/>
      <c r="FXD188" s="117"/>
      <c r="FXE188" s="117"/>
      <c r="FXF188" s="117"/>
      <c r="FXG188" s="117"/>
      <c r="FXH188" s="117"/>
      <c r="FXI188" s="117"/>
      <c r="FXJ188" s="117"/>
      <c r="FXK188" s="117"/>
      <c r="FXL188" s="117"/>
      <c r="FXM188" s="117"/>
      <c r="FXN188" s="117"/>
      <c r="FXO188" s="117"/>
      <c r="FXP188" s="117"/>
      <c r="FXQ188" s="117"/>
      <c r="FXR188" s="117"/>
      <c r="FXS188" s="117"/>
      <c r="FXT188" s="117"/>
      <c r="FXU188" s="117"/>
      <c r="FXV188" s="117"/>
      <c r="FXW188" s="117"/>
      <c r="FXX188" s="117"/>
      <c r="FXY188" s="117"/>
      <c r="FXZ188" s="117"/>
      <c r="FYA188" s="117"/>
      <c r="FYB188" s="117"/>
      <c r="FYC188" s="117"/>
      <c r="FYD188" s="117"/>
      <c r="FYE188" s="117"/>
      <c r="FYF188" s="117"/>
      <c r="FYG188" s="117"/>
      <c r="FYH188" s="117"/>
      <c r="FYI188" s="117"/>
      <c r="FYJ188" s="117"/>
      <c r="FYK188" s="117"/>
      <c r="FYL188" s="117"/>
      <c r="FYM188" s="117"/>
      <c r="FYN188" s="117"/>
      <c r="FYO188" s="117"/>
      <c r="FYP188" s="117"/>
      <c r="FYQ188" s="117"/>
      <c r="FYR188" s="117"/>
      <c r="FYS188" s="117"/>
      <c r="FYT188" s="117"/>
      <c r="FYU188" s="117"/>
      <c r="FYV188" s="117"/>
      <c r="FYW188" s="117"/>
      <c r="FYX188" s="117"/>
      <c r="FYY188" s="117"/>
      <c r="FYZ188" s="117"/>
      <c r="FZA188" s="117"/>
      <c r="FZB188" s="117"/>
      <c r="FZC188" s="117"/>
      <c r="FZD188" s="117"/>
      <c r="FZE188" s="117"/>
      <c r="FZF188" s="117"/>
      <c r="FZG188" s="117"/>
      <c r="FZH188" s="117"/>
      <c r="FZI188" s="117"/>
      <c r="FZJ188" s="117"/>
      <c r="FZK188" s="117"/>
      <c r="FZL188" s="117"/>
      <c r="FZM188" s="117"/>
      <c r="FZN188" s="117"/>
      <c r="FZO188" s="117"/>
      <c r="FZP188" s="117"/>
      <c r="FZQ188" s="117"/>
      <c r="FZR188" s="117"/>
      <c r="FZS188" s="117"/>
      <c r="FZT188" s="117"/>
      <c r="FZU188" s="117"/>
      <c r="FZV188" s="117"/>
      <c r="FZW188" s="117"/>
      <c r="FZX188" s="117"/>
      <c r="FZY188" s="117"/>
      <c r="FZZ188" s="117"/>
      <c r="GAA188" s="117"/>
      <c r="GAB188" s="117"/>
      <c r="GAC188" s="117"/>
      <c r="GAD188" s="117"/>
      <c r="GAE188" s="117"/>
      <c r="GAF188" s="117"/>
      <c r="GAG188" s="117"/>
      <c r="GAH188" s="117"/>
      <c r="GAI188" s="117"/>
      <c r="GAJ188" s="117"/>
      <c r="GAK188" s="117"/>
      <c r="GAL188" s="117"/>
      <c r="GAM188" s="117"/>
      <c r="GAN188" s="117"/>
      <c r="GAO188" s="117"/>
      <c r="GAP188" s="117"/>
      <c r="GAQ188" s="117"/>
      <c r="GAR188" s="117"/>
      <c r="GAS188" s="117"/>
      <c r="GAT188" s="117"/>
      <c r="GAU188" s="117"/>
      <c r="GAV188" s="117"/>
      <c r="GAW188" s="117"/>
      <c r="GAX188" s="117"/>
      <c r="GAY188" s="117"/>
      <c r="GAZ188" s="117"/>
      <c r="GBA188" s="117"/>
      <c r="GBB188" s="117"/>
      <c r="GBC188" s="117"/>
      <c r="GBD188" s="117"/>
      <c r="GBE188" s="117"/>
      <c r="GBF188" s="117"/>
      <c r="GBG188" s="117"/>
      <c r="GBH188" s="117"/>
      <c r="GBI188" s="117"/>
      <c r="GBJ188" s="117"/>
      <c r="GBK188" s="117"/>
      <c r="GBL188" s="117"/>
      <c r="GBM188" s="117"/>
      <c r="GBN188" s="117"/>
      <c r="GBO188" s="117"/>
      <c r="GBP188" s="117"/>
      <c r="GBQ188" s="117"/>
      <c r="GBR188" s="117"/>
      <c r="GBS188" s="117"/>
      <c r="GBT188" s="117"/>
      <c r="GBU188" s="117"/>
      <c r="GBV188" s="117"/>
      <c r="GBW188" s="117"/>
      <c r="GBX188" s="117"/>
      <c r="GBY188" s="117"/>
      <c r="GBZ188" s="117"/>
      <c r="GCA188" s="117"/>
      <c r="GCB188" s="117"/>
      <c r="GCC188" s="117"/>
      <c r="GCD188" s="117"/>
      <c r="GCE188" s="117"/>
      <c r="GCF188" s="117"/>
      <c r="GCG188" s="117"/>
      <c r="GCH188" s="117"/>
      <c r="GCI188" s="117"/>
      <c r="GCJ188" s="117"/>
      <c r="GCK188" s="117"/>
      <c r="GCL188" s="117"/>
      <c r="GCM188" s="117"/>
      <c r="GCN188" s="117"/>
      <c r="GCO188" s="117"/>
      <c r="GCP188" s="117"/>
      <c r="GCQ188" s="117"/>
      <c r="GCR188" s="117"/>
      <c r="GCS188" s="117"/>
      <c r="GCT188" s="117"/>
      <c r="GCU188" s="117"/>
      <c r="GCV188" s="117"/>
      <c r="GCW188" s="117"/>
      <c r="GCX188" s="117"/>
      <c r="GCY188" s="117"/>
      <c r="GCZ188" s="117"/>
      <c r="GDA188" s="117"/>
      <c r="GDB188" s="117"/>
      <c r="GDC188" s="117"/>
      <c r="GDD188" s="117"/>
      <c r="GDE188" s="117"/>
      <c r="GDF188" s="117"/>
      <c r="GDG188" s="117"/>
      <c r="GDH188" s="117"/>
      <c r="GDI188" s="117"/>
      <c r="GDJ188" s="117"/>
      <c r="GDK188" s="117"/>
      <c r="GDL188" s="117"/>
      <c r="GDM188" s="117"/>
      <c r="GDN188" s="117"/>
      <c r="GDO188" s="117"/>
      <c r="GDP188" s="117"/>
      <c r="GDQ188" s="117"/>
      <c r="GDR188" s="117"/>
      <c r="GDS188" s="117"/>
      <c r="GDT188" s="117"/>
      <c r="GDU188" s="117"/>
      <c r="GDV188" s="117"/>
      <c r="GDW188" s="117"/>
      <c r="GDX188" s="117"/>
      <c r="GDY188" s="117"/>
      <c r="GDZ188" s="117"/>
      <c r="GEA188" s="117"/>
      <c r="GEB188" s="117"/>
      <c r="GEC188" s="117"/>
      <c r="GED188" s="117"/>
      <c r="GEE188" s="117"/>
      <c r="GEF188" s="117"/>
      <c r="GEG188" s="117"/>
      <c r="GEH188" s="117"/>
      <c r="GEI188" s="117"/>
      <c r="GEJ188" s="117"/>
      <c r="GEK188" s="117"/>
      <c r="GEL188" s="117"/>
      <c r="GEM188" s="117"/>
      <c r="GEN188" s="117"/>
      <c r="GEO188" s="117"/>
      <c r="GEP188" s="117"/>
      <c r="GEQ188" s="117"/>
      <c r="GER188" s="117"/>
      <c r="GES188" s="117"/>
      <c r="GET188" s="117"/>
      <c r="GEU188" s="117"/>
      <c r="GEV188" s="117"/>
      <c r="GEW188" s="117"/>
      <c r="GEX188" s="117"/>
      <c r="GEY188" s="117"/>
      <c r="GEZ188" s="117"/>
      <c r="GFA188" s="117"/>
      <c r="GFB188" s="117"/>
      <c r="GFC188" s="117"/>
      <c r="GFD188" s="117"/>
      <c r="GFE188" s="117"/>
      <c r="GFF188" s="117"/>
      <c r="GFG188" s="117"/>
      <c r="GFH188" s="117"/>
      <c r="GFI188" s="117"/>
      <c r="GFJ188" s="117"/>
      <c r="GFK188" s="117"/>
      <c r="GFL188" s="117"/>
      <c r="GFM188" s="117"/>
      <c r="GFN188" s="117"/>
      <c r="GFO188" s="117"/>
      <c r="GFP188" s="117"/>
      <c r="GFQ188" s="117"/>
      <c r="GFR188" s="117"/>
      <c r="GFS188" s="117"/>
      <c r="GFT188" s="117"/>
      <c r="GFU188" s="117"/>
      <c r="GFV188" s="117"/>
      <c r="GFW188" s="117"/>
      <c r="GFX188" s="117"/>
      <c r="GFY188" s="117"/>
      <c r="GFZ188" s="117"/>
      <c r="GGA188" s="117"/>
      <c r="GGB188" s="117"/>
      <c r="GGC188" s="117"/>
      <c r="GGD188" s="117"/>
      <c r="GGE188" s="117"/>
      <c r="GGF188" s="117"/>
      <c r="GGG188" s="117"/>
      <c r="GGH188" s="117"/>
      <c r="GGI188" s="117"/>
      <c r="GGJ188" s="117"/>
      <c r="GGK188" s="117"/>
      <c r="GGL188" s="117"/>
      <c r="GGM188" s="117"/>
      <c r="GGN188" s="117"/>
      <c r="GGO188" s="117"/>
      <c r="GGP188" s="117"/>
      <c r="GGQ188" s="117"/>
      <c r="GGR188" s="117"/>
      <c r="GGS188" s="117"/>
      <c r="GGT188" s="117"/>
      <c r="GGU188" s="117"/>
      <c r="GGV188" s="117"/>
      <c r="GGW188" s="117"/>
      <c r="GGX188" s="117"/>
      <c r="GGY188" s="117"/>
      <c r="GGZ188" s="117"/>
      <c r="GHA188" s="117"/>
      <c r="GHB188" s="117"/>
      <c r="GHC188" s="117"/>
      <c r="GHD188" s="117"/>
      <c r="GHE188" s="117"/>
      <c r="GHF188" s="117"/>
      <c r="GHG188" s="117"/>
      <c r="GHH188" s="117"/>
      <c r="GHI188" s="117"/>
      <c r="GHJ188" s="117"/>
      <c r="GHK188" s="117"/>
      <c r="GHL188" s="117"/>
      <c r="GHM188" s="117"/>
      <c r="GHN188" s="117"/>
      <c r="GHO188" s="117"/>
      <c r="GHP188" s="117"/>
      <c r="GHQ188" s="117"/>
      <c r="GHR188" s="117"/>
      <c r="GHS188" s="117"/>
      <c r="GHT188" s="117"/>
      <c r="GHU188" s="117"/>
      <c r="GHV188" s="117"/>
      <c r="GHW188" s="117"/>
      <c r="GHX188" s="117"/>
      <c r="GHY188" s="117"/>
      <c r="GHZ188" s="117"/>
      <c r="GIA188" s="117"/>
      <c r="GIB188" s="117"/>
      <c r="GIC188" s="117"/>
      <c r="GID188" s="117"/>
      <c r="GIE188" s="117"/>
      <c r="GIF188" s="117"/>
      <c r="GIG188" s="117"/>
      <c r="GIH188" s="117"/>
      <c r="GII188" s="117"/>
      <c r="GIJ188" s="117"/>
      <c r="GIK188" s="117"/>
      <c r="GIL188" s="117"/>
      <c r="GIM188" s="117"/>
      <c r="GIN188" s="117"/>
      <c r="GIO188" s="117"/>
      <c r="GIP188" s="117"/>
      <c r="GIQ188" s="117"/>
      <c r="GIR188" s="117"/>
      <c r="GIS188" s="117"/>
      <c r="GIT188" s="117"/>
      <c r="GIU188" s="117"/>
      <c r="GIV188" s="117"/>
      <c r="GIW188" s="117"/>
      <c r="GIX188" s="117"/>
      <c r="GIY188" s="117"/>
      <c r="GIZ188" s="117"/>
      <c r="GJA188" s="117"/>
      <c r="GJB188" s="117"/>
      <c r="GJC188" s="117"/>
      <c r="GJD188" s="117"/>
      <c r="GJE188" s="117"/>
      <c r="GJF188" s="117"/>
      <c r="GJG188" s="117"/>
      <c r="GJH188" s="117"/>
      <c r="GJI188" s="117"/>
      <c r="GJJ188" s="117"/>
      <c r="GJK188" s="117"/>
      <c r="GJL188" s="117"/>
      <c r="GJM188" s="117"/>
      <c r="GJN188" s="117"/>
      <c r="GJO188" s="117"/>
      <c r="GJP188" s="117"/>
      <c r="GJQ188" s="117"/>
      <c r="GJR188" s="117"/>
      <c r="GJS188" s="117"/>
      <c r="GJT188" s="117"/>
      <c r="GJU188" s="117"/>
      <c r="GJV188" s="117"/>
      <c r="GJW188" s="117"/>
      <c r="GJX188" s="117"/>
      <c r="GJY188" s="117"/>
      <c r="GJZ188" s="117"/>
      <c r="GKA188" s="117"/>
      <c r="GKB188" s="117"/>
      <c r="GKC188" s="117"/>
      <c r="GKD188" s="117"/>
      <c r="GKE188" s="117"/>
      <c r="GKF188" s="117"/>
      <c r="GKG188" s="117"/>
      <c r="GKH188" s="117"/>
      <c r="GKI188" s="117"/>
      <c r="GKJ188" s="117"/>
      <c r="GKK188" s="117"/>
      <c r="GKL188" s="117"/>
      <c r="GKM188" s="117"/>
      <c r="GKN188" s="117"/>
      <c r="GKO188" s="117"/>
      <c r="GKP188" s="117"/>
      <c r="GKQ188" s="117"/>
      <c r="GKR188" s="117"/>
      <c r="GKS188" s="117"/>
      <c r="GKT188" s="117"/>
      <c r="GKU188" s="117"/>
      <c r="GKV188" s="117"/>
      <c r="GKW188" s="117"/>
      <c r="GKX188" s="117"/>
      <c r="GKY188" s="117"/>
      <c r="GKZ188" s="117"/>
      <c r="GLA188" s="117"/>
      <c r="GLB188" s="117"/>
      <c r="GLC188" s="117"/>
      <c r="GLD188" s="117"/>
      <c r="GLE188" s="117"/>
      <c r="GLF188" s="117"/>
      <c r="GLG188" s="117"/>
      <c r="GLH188" s="117"/>
      <c r="GLI188" s="117"/>
      <c r="GLJ188" s="117"/>
      <c r="GLK188" s="117"/>
      <c r="GLL188" s="117"/>
      <c r="GLM188" s="117"/>
      <c r="GLN188" s="117"/>
      <c r="GLO188" s="117"/>
      <c r="GLP188" s="117"/>
      <c r="GLQ188" s="117"/>
      <c r="GLR188" s="117"/>
      <c r="GLS188" s="117"/>
      <c r="GLT188" s="117"/>
      <c r="GLU188" s="117"/>
      <c r="GLV188" s="117"/>
      <c r="GLW188" s="117"/>
      <c r="GLX188" s="117"/>
      <c r="GLY188" s="117"/>
      <c r="GLZ188" s="117"/>
      <c r="GMA188" s="117"/>
      <c r="GMB188" s="117"/>
      <c r="GMC188" s="117"/>
      <c r="GMD188" s="117"/>
      <c r="GME188" s="117"/>
      <c r="GMF188" s="117"/>
      <c r="GMG188" s="117"/>
      <c r="GMH188" s="117"/>
      <c r="GMI188" s="117"/>
      <c r="GMJ188" s="117"/>
      <c r="GMK188" s="117"/>
      <c r="GML188" s="117"/>
      <c r="GMM188" s="117"/>
      <c r="GMN188" s="117"/>
      <c r="GMO188" s="117"/>
      <c r="GMP188" s="117"/>
      <c r="GMQ188" s="117"/>
      <c r="GMR188" s="117"/>
      <c r="GMS188" s="117"/>
      <c r="GMT188" s="117"/>
      <c r="GMU188" s="117"/>
      <c r="GMV188" s="117"/>
      <c r="GMW188" s="117"/>
      <c r="GMX188" s="117"/>
      <c r="GMY188" s="117"/>
      <c r="GMZ188" s="117"/>
      <c r="GNA188" s="117"/>
      <c r="GNB188" s="117"/>
      <c r="GNC188" s="117"/>
      <c r="GND188" s="117"/>
      <c r="GNE188" s="117"/>
      <c r="GNF188" s="117"/>
      <c r="GNG188" s="117"/>
      <c r="GNH188" s="117"/>
      <c r="GNI188" s="117"/>
      <c r="GNJ188" s="117"/>
      <c r="GNK188" s="117"/>
      <c r="GNL188" s="117"/>
      <c r="GNM188" s="117"/>
      <c r="GNN188" s="117"/>
      <c r="GNO188" s="117"/>
      <c r="GNP188" s="117"/>
      <c r="GNQ188" s="117"/>
      <c r="GNR188" s="117"/>
      <c r="GNS188" s="117"/>
      <c r="GNT188" s="117"/>
      <c r="GNU188" s="117"/>
      <c r="GNV188" s="117"/>
      <c r="GNW188" s="117"/>
      <c r="GNX188" s="117"/>
      <c r="GNY188" s="117"/>
      <c r="GNZ188" s="117"/>
      <c r="GOA188" s="117"/>
      <c r="GOB188" s="117"/>
      <c r="GOC188" s="117"/>
      <c r="GOD188" s="117"/>
      <c r="GOE188" s="117"/>
      <c r="GOF188" s="117"/>
      <c r="GOG188" s="117"/>
      <c r="GOH188" s="117"/>
      <c r="GOI188" s="117"/>
      <c r="GOJ188" s="117"/>
      <c r="GOK188" s="117"/>
      <c r="GOL188" s="117"/>
      <c r="GOM188" s="117"/>
      <c r="GON188" s="117"/>
      <c r="GOO188" s="117"/>
      <c r="GOP188" s="117"/>
      <c r="GOQ188" s="117"/>
      <c r="GOR188" s="117"/>
      <c r="GOS188" s="117"/>
      <c r="GOT188" s="117"/>
      <c r="GOU188" s="117"/>
      <c r="GOV188" s="117"/>
      <c r="GOW188" s="117"/>
      <c r="GOX188" s="117"/>
      <c r="GOY188" s="117"/>
      <c r="GOZ188" s="117"/>
      <c r="GPA188" s="117"/>
      <c r="GPB188" s="117"/>
      <c r="GPC188" s="117"/>
      <c r="GPD188" s="117"/>
      <c r="GPE188" s="117"/>
      <c r="GPF188" s="117"/>
      <c r="GPG188" s="117"/>
      <c r="GPH188" s="117"/>
      <c r="GPI188" s="117"/>
      <c r="GPJ188" s="117"/>
      <c r="GPK188" s="117"/>
      <c r="GPL188" s="117"/>
      <c r="GPM188" s="117"/>
      <c r="GPN188" s="117"/>
      <c r="GPO188" s="117"/>
      <c r="GPP188" s="117"/>
      <c r="GPQ188" s="117"/>
      <c r="GPR188" s="117"/>
      <c r="GPS188" s="117"/>
      <c r="GPT188" s="117"/>
      <c r="GPU188" s="117"/>
      <c r="GPV188" s="117"/>
      <c r="GPW188" s="117"/>
      <c r="GPX188" s="117"/>
      <c r="GPY188" s="117"/>
      <c r="GPZ188" s="117"/>
      <c r="GQA188" s="117"/>
      <c r="GQB188" s="117"/>
      <c r="GQC188" s="117"/>
      <c r="GQD188" s="117"/>
      <c r="GQE188" s="117"/>
      <c r="GQF188" s="117"/>
      <c r="GQG188" s="117"/>
      <c r="GQH188" s="117"/>
      <c r="GQI188" s="117"/>
      <c r="GQJ188" s="117"/>
      <c r="GQK188" s="117"/>
      <c r="GQL188" s="117"/>
      <c r="GQM188" s="117"/>
      <c r="GQN188" s="117"/>
      <c r="GQO188" s="117"/>
      <c r="GQP188" s="117"/>
      <c r="GQQ188" s="117"/>
      <c r="GQR188" s="117"/>
      <c r="GQS188" s="117"/>
      <c r="GQT188" s="117"/>
      <c r="GQU188" s="117"/>
      <c r="GQV188" s="117"/>
      <c r="GQW188" s="117"/>
      <c r="GQX188" s="117"/>
      <c r="GQY188" s="117"/>
      <c r="GQZ188" s="117"/>
      <c r="GRA188" s="117"/>
      <c r="GRB188" s="117"/>
      <c r="GRC188" s="117"/>
      <c r="GRD188" s="117"/>
      <c r="GRE188" s="117"/>
      <c r="GRF188" s="117"/>
      <c r="GRG188" s="117"/>
      <c r="GRH188" s="117"/>
      <c r="GRI188" s="117"/>
      <c r="GRJ188" s="117"/>
      <c r="GRK188" s="117"/>
      <c r="GRL188" s="117"/>
      <c r="GRM188" s="117"/>
      <c r="GRN188" s="117"/>
      <c r="GRO188" s="117"/>
      <c r="GRP188" s="117"/>
      <c r="GRQ188" s="117"/>
      <c r="GRR188" s="117"/>
      <c r="GRS188" s="117"/>
      <c r="GRT188" s="117"/>
      <c r="GRU188" s="117"/>
      <c r="GRV188" s="117"/>
      <c r="GRW188" s="117"/>
      <c r="GRX188" s="117"/>
      <c r="GRY188" s="117"/>
      <c r="GRZ188" s="117"/>
      <c r="GSA188" s="117"/>
      <c r="GSB188" s="117"/>
      <c r="GSC188" s="117"/>
      <c r="GSD188" s="117"/>
      <c r="GSE188" s="117"/>
      <c r="GSF188" s="117"/>
      <c r="GSG188" s="117"/>
      <c r="GSH188" s="117"/>
      <c r="GSI188" s="117"/>
      <c r="GSJ188" s="117"/>
      <c r="GSK188" s="117"/>
      <c r="GSL188" s="117"/>
      <c r="GSM188" s="117"/>
      <c r="GSN188" s="117"/>
      <c r="GSO188" s="117"/>
      <c r="GSP188" s="117"/>
      <c r="GSQ188" s="117"/>
      <c r="GSR188" s="117"/>
      <c r="GSS188" s="117"/>
      <c r="GST188" s="117"/>
      <c r="GSU188" s="117"/>
      <c r="GSV188" s="117"/>
      <c r="GSW188" s="117"/>
      <c r="GSX188" s="117"/>
      <c r="GSY188" s="117"/>
      <c r="GSZ188" s="117"/>
      <c r="GTA188" s="117"/>
      <c r="GTB188" s="117"/>
      <c r="GTC188" s="117"/>
      <c r="GTD188" s="117"/>
      <c r="GTE188" s="117"/>
      <c r="GTF188" s="117"/>
      <c r="GTG188" s="117"/>
      <c r="GTH188" s="117"/>
      <c r="GTI188" s="117"/>
      <c r="GTJ188" s="117"/>
      <c r="GTK188" s="117"/>
      <c r="GTL188" s="117"/>
      <c r="GTM188" s="117"/>
      <c r="GTN188" s="117"/>
      <c r="GTO188" s="117"/>
      <c r="GTP188" s="117"/>
      <c r="GTQ188" s="117"/>
      <c r="GTR188" s="117"/>
      <c r="GTS188" s="117"/>
      <c r="GTT188" s="117"/>
      <c r="GTU188" s="117"/>
      <c r="GTV188" s="117"/>
      <c r="GTW188" s="117"/>
      <c r="GTX188" s="117"/>
      <c r="GTY188" s="117"/>
      <c r="GTZ188" s="117"/>
      <c r="GUA188" s="117"/>
      <c r="GUB188" s="117"/>
      <c r="GUC188" s="117"/>
      <c r="GUD188" s="117"/>
      <c r="GUE188" s="117"/>
      <c r="GUF188" s="117"/>
      <c r="GUG188" s="117"/>
      <c r="GUH188" s="117"/>
      <c r="GUI188" s="117"/>
      <c r="GUJ188" s="117"/>
      <c r="GUK188" s="117"/>
      <c r="GUL188" s="117"/>
      <c r="GUM188" s="117"/>
      <c r="GUN188" s="117"/>
      <c r="GUO188" s="117"/>
      <c r="GUP188" s="117"/>
      <c r="GUQ188" s="117"/>
      <c r="GUR188" s="117"/>
      <c r="GUS188" s="117"/>
      <c r="GUT188" s="117"/>
      <c r="GUU188" s="117"/>
      <c r="GUV188" s="117"/>
      <c r="GUW188" s="117"/>
      <c r="GUX188" s="117"/>
      <c r="GUY188" s="117"/>
      <c r="GUZ188" s="117"/>
      <c r="GVA188" s="117"/>
      <c r="GVB188" s="117"/>
      <c r="GVC188" s="117"/>
      <c r="GVD188" s="117"/>
      <c r="GVE188" s="117"/>
      <c r="GVF188" s="117"/>
      <c r="GVG188" s="117"/>
      <c r="GVH188" s="117"/>
      <c r="GVI188" s="117"/>
      <c r="GVJ188" s="117"/>
      <c r="GVK188" s="117"/>
      <c r="GVL188" s="117"/>
      <c r="GVM188" s="117"/>
      <c r="GVN188" s="117"/>
      <c r="GVO188" s="117"/>
      <c r="GVP188" s="117"/>
      <c r="GVQ188" s="117"/>
      <c r="GVR188" s="117"/>
      <c r="GVS188" s="117"/>
      <c r="GVT188" s="117"/>
      <c r="GVU188" s="117"/>
      <c r="GVV188" s="117"/>
      <c r="GVW188" s="117"/>
      <c r="GVX188" s="117"/>
      <c r="GVY188" s="117"/>
      <c r="GVZ188" s="117"/>
      <c r="GWA188" s="117"/>
      <c r="GWB188" s="117"/>
      <c r="GWC188" s="117"/>
      <c r="GWD188" s="117"/>
      <c r="GWE188" s="117"/>
      <c r="GWF188" s="117"/>
      <c r="GWG188" s="117"/>
      <c r="GWH188" s="117"/>
      <c r="GWI188" s="117"/>
      <c r="GWJ188" s="117"/>
      <c r="GWK188" s="117"/>
      <c r="GWL188" s="117"/>
      <c r="GWM188" s="117"/>
      <c r="GWN188" s="117"/>
      <c r="GWO188" s="117"/>
      <c r="GWP188" s="117"/>
      <c r="GWQ188" s="117"/>
      <c r="GWR188" s="117"/>
      <c r="GWS188" s="117"/>
      <c r="GWT188" s="117"/>
      <c r="GWU188" s="117"/>
      <c r="GWV188" s="117"/>
      <c r="GWW188" s="117"/>
      <c r="GWX188" s="117"/>
      <c r="GWY188" s="117"/>
      <c r="GWZ188" s="117"/>
      <c r="GXA188" s="117"/>
      <c r="GXB188" s="117"/>
      <c r="GXC188" s="117"/>
      <c r="GXD188" s="117"/>
      <c r="GXE188" s="117"/>
      <c r="GXF188" s="117"/>
      <c r="GXG188" s="117"/>
      <c r="GXH188" s="117"/>
      <c r="GXI188" s="117"/>
      <c r="GXJ188" s="117"/>
      <c r="GXK188" s="117"/>
      <c r="GXL188" s="117"/>
      <c r="GXM188" s="117"/>
      <c r="GXN188" s="117"/>
      <c r="GXO188" s="117"/>
      <c r="GXP188" s="117"/>
      <c r="GXQ188" s="117"/>
      <c r="GXR188" s="117"/>
      <c r="GXS188" s="117"/>
      <c r="GXT188" s="117"/>
      <c r="GXU188" s="117"/>
      <c r="GXV188" s="117"/>
      <c r="GXW188" s="117"/>
      <c r="GXX188" s="117"/>
      <c r="GXY188" s="117"/>
      <c r="GXZ188" s="117"/>
      <c r="GYA188" s="117"/>
      <c r="GYB188" s="117"/>
      <c r="GYC188" s="117"/>
      <c r="GYD188" s="117"/>
      <c r="GYE188" s="117"/>
      <c r="GYF188" s="117"/>
      <c r="GYG188" s="117"/>
      <c r="GYH188" s="117"/>
      <c r="GYI188" s="117"/>
      <c r="GYJ188" s="117"/>
      <c r="GYK188" s="117"/>
      <c r="GYL188" s="117"/>
      <c r="GYM188" s="117"/>
      <c r="GYN188" s="117"/>
      <c r="GYO188" s="117"/>
      <c r="GYP188" s="117"/>
      <c r="GYQ188" s="117"/>
      <c r="GYR188" s="117"/>
      <c r="GYS188" s="117"/>
      <c r="GYT188" s="117"/>
      <c r="GYU188" s="117"/>
      <c r="GYV188" s="117"/>
      <c r="GYW188" s="117"/>
      <c r="GYX188" s="117"/>
      <c r="GYY188" s="117"/>
      <c r="GYZ188" s="117"/>
      <c r="GZA188" s="117"/>
      <c r="GZB188" s="117"/>
      <c r="GZC188" s="117"/>
      <c r="GZD188" s="117"/>
      <c r="GZE188" s="117"/>
      <c r="GZF188" s="117"/>
      <c r="GZG188" s="117"/>
      <c r="GZH188" s="117"/>
      <c r="GZI188" s="117"/>
      <c r="GZJ188" s="117"/>
      <c r="GZK188" s="117"/>
      <c r="GZL188" s="117"/>
      <c r="GZM188" s="117"/>
      <c r="GZN188" s="117"/>
      <c r="GZO188" s="117"/>
      <c r="GZP188" s="117"/>
      <c r="GZQ188" s="117"/>
      <c r="GZR188" s="117"/>
      <c r="GZS188" s="117"/>
      <c r="GZT188" s="117"/>
      <c r="GZU188" s="117"/>
      <c r="GZV188" s="117"/>
      <c r="GZW188" s="117"/>
      <c r="GZX188" s="117"/>
      <c r="GZY188" s="117"/>
      <c r="GZZ188" s="117"/>
      <c r="HAA188" s="117"/>
      <c r="HAB188" s="117"/>
      <c r="HAC188" s="117"/>
      <c r="HAD188" s="117"/>
      <c r="HAE188" s="117"/>
      <c r="HAF188" s="117"/>
      <c r="HAG188" s="117"/>
      <c r="HAH188" s="117"/>
      <c r="HAI188" s="117"/>
      <c r="HAJ188" s="117"/>
      <c r="HAK188" s="117"/>
      <c r="HAL188" s="117"/>
      <c r="HAM188" s="117"/>
      <c r="HAN188" s="117"/>
      <c r="HAO188" s="117"/>
      <c r="HAP188" s="117"/>
      <c r="HAQ188" s="117"/>
      <c r="HAR188" s="117"/>
      <c r="HAS188" s="117"/>
      <c r="HAT188" s="117"/>
      <c r="HAU188" s="117"/>
      <c r="HAV188" s="117"/>
      <c r="HAW188" s="117"/>
      <c r="HAX188" s="117"/>
      <c r="HAY188" s="117"/>
      <c r="HAZ188" s="117"/>
      <c r="HBA188" s="117"/>
      <c r="HBB188" s="117"/>
      <c r="HBC188" s="117"/>
      <c r="HBD188" s="117"/>
      <c r="HBE188" s="117"/>
      <c r="HBF188" s="117"/>
      <c r="HBG188" s="117"/>
      <c r="HBH188" s="117"/>
      <c r="HBI188" s="117"/>
      <c r="HBJ188" s="117"/>
      <c r="HBK188" s="117"/>
      <c r="HBL188" s="117"/>
      <c r="HBM188" s="117"/>
      <c r="HBN188" s="117"/>
      <c r="HBO188" s="117"/>
      <c r="HBP188" s="117"/>
      <c r="HBQ188" s="117"/>
      <c r="HBR188" s="117"/>
      <c r="HBS188" s="117"/>
      <c r="HBT188" s="117"/>
      <c r="HBU188" s="117"/>
      <c r="HBV188" s="117"/>
      <c r="HBW188" s="117"/>
      <c r="HBX188" s="117"/>
      <c r="HBY188" s="117"/>
      <c r="HBZ188" s="117"/>
      <c r="HCA188" s="117"/>
      <c r="HCB188" s="117"/>
      <c r="HCC188" s="117"/>
      <c r="HCD188" s="117"/>
      <c r="HCE188" s="117"/>
      <c r="HCF188" s="117"/>
      <c r="HCG188" s="117"/>
      <c r="HCH188" s="117"/>
      <c r="HCI188" s="117"/>
      <c r="HCJ188" s="117"/>
      <c r="HCK188" s="117"/>
      <c r="HCL188" s="117"/>
      <c r="HCM188" s="117"/>
      <c r="HCN188" s="117"/>
      <c r="HCO188" s="117"/>
      <c r="HCP188" s="117"/>
      <c r="HCQ188" s="117"/>
      <c r="HCR188" s="117"/>
      <c r="HCS188" s="117"/>
      <c r="HCT188" s="117"/>
      <c r="HCU188" s="117"/>
      <c r="HCV188" s="117"/>
      <c r="HCW188" s="117"/>
      <c r="HCX188" s="117"/>
      <c r="HCY188" s="117"/>
      <c r="HCZ188" s="117"/>
      <c r="HDA188" s="117"/>
      <c r="HDB188" s="117"/>
      <c r="HDC188" s="117"/>
      <c r="HDD188" s="117"/>
      <c r="HDE188" s="117"/>
      <c r="HDF188" s="117"/>
      <c r="HDG188" s="117"/>
      <c r="HDH188" s="117"/>
      <c r="HDI188" s="117"/>
      <c r="HDJ188" s="117"/>
      <c r="HDK188" s="117"/>
      <c r="HDL188" s="117"/>
      <c r="HDM188" s="117"/>
      <c r="HDN188" s="117"/>
      <c r="HDO188" s="117"/>
      <c r="HDP188" s="117"/>
      <c r="HDQ188" s="117"/>
      <c r="HDR188" s="117"/>
      <c r="HDS188" s="117"/>
      <c r="HDT188" s="117"/>
      <c r="HDU188" s="117"/>
      <c r="HDV188" s="117"/>
      <c r="HDW188" s="117"/>
      <c r="HDX188" s="117"/>
      <c r="HDY188" s="117"/>
      <c r="HDZ188" s="117"/>
      <c r="HEA188" s="117"/>
      <c r="HEB188" s="117"/>
      <c r="HEC188" s="117"/>
      <c r="HED188" s="117"/>
      <c r="HEE188" s="117"/>
      <c r="HEF188" s="117"/>
      <c r="HEG188" s="117"/>
      <c r="HEH188" s="117"/>
      <c r="HEI188" s="117"/>
      <c r="HEJ188" s="117"/>
      <c r="HEK188" s="117"/>
      <c r="HEL188" s="117"/>
      <c r="HEM188" s="117"/>
      <c r="HEN188" s="117"/>
      <c r="HEO188" s="117"/>
      <c r="HEP188" s="117"/>
      <c r="HEQ188" s="117"/>
      <c r="HER188" s="117"/>
      <c r="HES188" s="117"/>
      <c r="HET188" s="117"/>
      <c r="HEU188" s="117"/>
      <c r="HEV188" s="117"/>
      <c r="HEW188" s="117"/>
      <c r="HEX188" s="117"/>
      <c r="HEY188" s="117"/>
      <c r="HEZ188" s="117"/>
      <c r="HFA188" s="117"/>
      <c r="HFB188" s="117"/>
      <c r="HFC188" s="117"/>
      <c r="HFD188" s="117"/>
      <c r="HFE188" s="117"/>
      <c r="HFF188" s="117"/>
      <c r="HFG188" s="117"/>
      <c r="HFH188" s="117"/>
      <c r="HFI188" s="117"/>
      <c r="HFJ188" s="117"/>
      <c r="HFK188" s="117"/>
      <c r="HFL188" s="117"/>
      <c r="HFM188" s="117"/>
      <c r="HFN188" s="117"/>
      <c r="HFO188" s="117"/>
      <c r="HFP188" s="117"/>
      <c r="HFQ188" s="117"/>
      <c r="HFR188" s="117"/>
      <c r="HFS188" s="117"/>
      <c r="HFT188" s="117"/>
      <c r="HFU188" s="117"/>
      <c r="HFV188" s="117"/>
      <c r="HFW188" s="117"/>
      <c r="HFX188" s="117"/>
      <c r="HFY188" s="117"/>
      <c r="HFZ188" s="117"/>
      <c r="HGA188" s="117"/>
      <c r="HGB188" s="117"/>
      <c r="HGC188" s="117"/>
      <c r="HGD188" s="117"/>
      <c r="HGE188" s="117"/>
      <c r="HGF188" s="117"/>
      <c r="HGG188" s="117"/>
      <c r="HGH188" s="117"/>
      <c r="HGI188" s="117"/>
      <c r="HGJ188" s="117"/>
      <c r="HGK188" s="117"/>
      <c r="HGL188" s="117"/>
      <c r="HGM188" s="117"/>
      <c r="HGN188" s="117"/>
      <c r="HGO188" s="117"/>
      <c r="HGP188" s="117"/>
      <c r="HGQ188" s="117"/>
      <c r="HGR188" s="117"/>
      <c r="HGS188" s="117"/>
      <c r="HGT188" s="117"/>
      <c r="HGU188" s="117"/>
      <c r="HGV188" s="117"/>
      <c r="HGW188" s="117"/>
      <c r="HGX188" s="117"/>
      <c r="HGY188" s="117"/>
      <c r="HGZ188" s="117"/>
      <c r="HHA188" s="117"/>
      <c r="HHB188" s="117"/>
      <c r="HHC188" s="117"/>
      <c r="HHD188" s="117"/>
      <c r="HHE188" s="117"/>
      <c r="HHF188" s="117"/>
      <c r="HHG188" s="117"/>
      <c r="HHH188" s="117"/>
      <c r="HHI188" s="117"/>
      <c r="HHJ188" s="117"/>
      <c r="HHK188" s="117"/>
      <c r="HHL188" s="117"/>
      <c r="HHM188" s="117"/>
      <c r="HHN188" s="117"/>
      <c r="HHO188" s="117"/>
      <c r="HHP188" s="117"/>
      <c r="HHQ188" s="117"/>
      <c r="HHR188" s="117"/>
      <c r="HHS188" s="117"/>
      <c r="HHT188" s="117"/>
      <c r="HHU188" s="117"/>
      <c r="HHV188" s="117"/>
      <c r="HHW188" s="117"/>
      <c r="HHX188" s="117"/>
      <c r="HHY188" s="117"/>
      <c r="HHZ188" s="117"/>
      <c r="HIA188" s="117"/>
      <c r="HIB188" s="117"/>
      <c r="HIC188" s="117"/>
      <c r="HID188" s="117"/>
      <c r="HIE188" s="117"/>
      <c r="HIF188" s="117"/>
      <c r="HIG188" s="117"/>
      <c r="HIH188" s="117"/>
      <c r="HII188" s="117"/>
      <c r="HIJ188" s="117"/>
      <c r="HIK188" s="117"/>
      <c r="HIL188" s="117"/>
      <c r="HIM188" s="117"/>
      <c r="HIN188" s="117"/>
      <c r="HIO188" s="117"/>
      <c r="HIP188" s="117"/>
      <c r="HIQ188" s="117"/>
      <c r="HIR188" s="117"/>
      <c r="HIS188" s="117"/>
      <c r="HIT188" s="117"/>
      <c r="HIU188" s="117"/>
      <c r="HIV188" s="117"/>
      <c r="HIW188" s="117"/>
      <c r="HIX188" s="117"/>
      <c r="HIY188" s="117"/>
      <c r="HIZ188" s="117"/>
      <c r="HJA188" s="117"/>
      <c r="HJB188" s="117"/>
      <c r="HJC188" s="117"/>
      <c r="HJD188" s="117"/>
      <c r="HJE188" s="117"/>
      <c r="HJF188" s="117"/>
      <c r="HJG188" s="117"/>
      <c r="HJH188" s="117"/>
      <c r="HJI188" s="117"/>
      <c r="HJJ188" s="117"/>
      <c r="HJK188" s="117"/>
      <c r="HJL188" s="117"/>
      <c r="HJM188" s="117"/>
      <c r="HJN188" s="117"/>
      <c r="HJO188" s="117"/>
      <c r="HJP188" s="117"/>
      <c r="HJQ188" s="117"/>
      <c r="HJR188" s="117"/>
      <c r="HJS188" s="117"/>
      <c r="HJT188" s="117"/>
      <c r="HJU188" s="117"/>
      <c r="HJV188" s="117"/>
      <c r="HJW188" s="117"/>
      <c r="HJX188" s="117"/>
      <c r="HJY188" s="117"/>
      <c r="HJZ188" s="117"/>
      <c r="HKA188" s="117"/>
      <c r="HKB188" s="117"/>
      <c r="HKC188" s="117"/>
      <c r="HKD188" s="117"/>
      <c r="HKE188" s="117"/>
      <c r="HKF188" s="117"/>
      <c r="HKG188" s="117"/>
      <c r="HKH188" s="117"/>
      <c r="HKI188" s="117"/>
      <c r="HKJ188" s="117"/>
      <c r="HKK188" s="117"/>
      <c r="HKL188" s="117"/>
      <c r="HKM188" s="117"/>
      <c r="HKN188" s="117"/>
      <c r="HKO188" s="117"/>
      <c r="HKP188" s="117"/>
      <c r="HKQ188" s="117"/>
      <c r="HKR188" s="117"/>
      <c r="HKS188" s="117"/>
      <c r="HKT188" s="117"/>
      <c r="HKU188" s="117"/>
      <c r="HKV188" s="117"/>
      <c r="HKW188" s="117"/>
      <c r="HKX188" s="117"/>
      <c r="HKY188" s="117"/>
      <c r="HKZ188" s="117"/>
      <c r="HLA188" s="117"/>
      <c r="HLB188" s="117"/>
      <c r="HLC188" s="117"/>
      <c r="HLD188" s="117"/>
      <c r="HLE188" s="117"/>
      <c r="HLF188" s="117"/>
      <c r="HLG188" s="117"/>
      <c r="HLH188" s="117"/>
      <c r="HLI188" s="117"/>
      <c r="HLJ188" s="117"/>
      <c r="HLK188" s="117"/>
      <c r="HLL188" s="117"/>
      <c r="HLM188" s="117"/>
      <c r="HLN188" s="117"/>
      <c r="HLO188" s="117"/>
      <c r="HLP188" s="117"/>
      <c r="HLQ188" s="117"/>
      <c r="HLR188" s="117"/>
      <c r="HLS188" s="117"/>
      <c r="HLT188" s="117"/>
      <c r="HLU188" s="117"/>
      <c r="HLV188" s="117"/>
      <c r="HLW188" s="117"/>
      <c r="HLX188" s="117"/>
      <c r="HLY188" s="117"/>
      <c r="HLZ188" s="117"/>
      <c r="HMA188" s="117"/>
      <c r="HMB188" s="117"/>
      <c r="HMC188" s="117"/>
      <c r="HMD188" s="117"/>
      <c r="HME188" s="117"/>
      <c r="HMF188" s="117"/>
      <c r="HMG188" s="117"/>
      <c r="HMH188" s="117"/>
      <c r="HMI188" s="117"/>
      <c r="HMJ188" s="117"/>
      <c r="HMK188" s="117"/>
      <c r="HML188" s="117"/>
      <c r="HMM188" s="117"/>
      <c r="HMN188" s="117"/>
      <c r="HMO188" s="117"/>
      <c r="HMP188" s="117"/>
      <c r="HMQ188" s="117"/>
      <c r="HMR188" s="117"/>
      <c r="HMS188" s="117"/>
      <c r="HMT188" s="117"/>
      <c r="HMU188" s="117"/>
      <c r="HMV188" s="117"/>
      <c r="HMW188" s="117"/>
      <c r="HMX188" s="117"/>
      <c r="HMY188" s="117"/>
      <c r="HMZ188" s="117"/>
      <c r="HNA188" s="117"/>
      <c r="HNB188" s="117"/>
      <c r="HNC188" s="117"/>
      <c r="HND188" s="117"/>
      <c r="HNE188" s="117"/>
      <c r="HNF188" s="117"/>
      <c r="HNG188" s="117"/>
      <c r="HNH188" s="117"/>
      <c r="HNI188" s="117"/>
      <c r="HNJ188" s="117"/>
      <c r="HNK188" s="117"/>
      <c r="HNL188" s="117"/>
      <c r="HNM188" s="117"/>
      <c r="HNN188" s="117"/>
      <c r="HNO188" s="117"/>
      <c r="HNP188" s="117"/>
      <c r="HNQ188" s="117"/>
      <c r="HNR188" s="117"/>
      <c r="HNS188" s="117"/>
      <c r="HNT188" s="117"/>
      <c r="HNU188" s="117"/>
      <c r="HNV188" s="117"/>
      <c r="HNW188" s="117"/>
      <c r="HNX188" s="117"/>
      <c r="HNY188" s="117"/>
      <c r="HNZ188" s="117"/>
      <c r="HOA188" s="117"/>
      <c r="HOB188" s="117"/>
      <c r="HOC188" s="117"/>
      <c r="HOD188" s="117"/>
      <c r="HOE188" s="117"/>
      <c r="HOF188" s="117"/>
      <c r="HOG188" s="117"/>
      <c r="HOH188" s="117"/>
      <c r="HOI188" s="117"/>
      <c r="HOJ188" s="117"/>
      <c r="HOK188" s="117"/>
      <c r="HOL188" s="117"/>
      <c r="HOM188" s="117"/>
      <c r="HON188" s="117"/>
      <c r="HOO188" s="117"/>
      <c r="HOP188" s="117"/>
      <c r="HOQ188" s="117"/>
      <c r="HOR188" s="117"/>
      <c r="HOS188" s="117"/>
      <c r="HOT188" s="117"/>
      <c r="HOU188" s="117"/>
      <c r="HOV188" s="117"/>
      <c r="HOW188" s="117"/>
      <c r="HOX188" s="117"/>
      <c r="HOY188" s="117"/>
      <c r="HOZ188" s="117"/>
      <c r="HPA188" s="117"/>
      <c r="HPB188" s="117"/>
      <c r="HPC188" s="117"/>
      <c r="HPD188" s="117"/>
      <c r="HPE188" s="117"/>
      <c r="HPF188" s="117"/>
      <c r="HPG188" s="117"/>
      <c r="HPH188" s="117"/>
      <c r="HPI188" s="117"/>
      <c r="HPJ188" s="117"/>
      <c r="HPK188" s="117"/>
      <c r="HPL188" s="117"/>
      <c r="HPM188" s="117"/>
      <c r="HPN188" s="117"/>
      <c r="HPO188" s="117"/>
      <c r="HPP188" s="117"/>
      <c r="HPQ188" s="117"/>
      <c r="HPR188" s="117"/>
      <c r="HPS188" s="117"/>
      <c r="HPT188" s="117"/>
      <c r="HPU188" s="117"/>
      <c r="HPV188" s="117"/>
      <c r="HPW188" s="117"/>
      <c r="HPX188" s="117"/>
      <c r="HPY188" s="117"/>
      <c r="HPZ188" s="117"/>
      <c r="HQA188" s="117"/>
      <c r="HQB188" s="117"/>
      <c r="HQC188" s="117"/>
      <c r="HQD188" s="117"/>
      <c r="HQE188" s="117"/>
      <c r="HQF188" s="117"/>
      <c r="HQG188" s="117"/>
      <c r="HQH188" s="117"/>
      <c r="HQI188" s="117"/>
      <c r="HQJ188" s="117"/>
      <c r="HQK188" s="117"/>
      <c r="HQL188" s="117"/>
      <c r="HQM188" s="117"/>
      <c r="HQN188" s="117"/>
      <c r="HQO188" s="117"/>
      <c r="HQP188" s="117"/>
      <c r="HQQ188" s="117"/>
      <c r="HQR188" s="117"/>
      <c r="HQS188" s="117"/>
      <c r="HQT188" s="117"/>
      <c r="HQU188" s="117"/>
      <c r="HQV188" s="117"/>
      <c r="HQW188" s="117"/>
      <c r="HQX188" s="117"/>
      <c r="HQY188" s="117"/>
      <c r="HQZ188" s="117"/>
      <c r="HRA188" s="117"/>
      <c r="HRB188" s="117"/>
      <c r="HRC188" s="117"/>
      <c r="HRD188" s="117"/>
      <c r="HRE188" s="117"/>
      <c r="HRF188" s="117"/>
      <c r="HRG188" s="117"/>
      <c r="HRH188" s="117"/>
      <c r="HRI188" s="117"/>
      <c r="HRJ188" s="117"/>
      <c r="HRK188" s="117"/>
      <c r="HRL188" s="117"/>
      <c r="HRM188" s="117"/>
      <c r="HRN188" s="117"/>
      <c r="HRO188" s="117"/>
      <c r="HRP188" s="117"/>
      <c r="HRQ188" s="117"/>
      <c r="HRR188" s="117"/>
      <c r="HRS188" s="117"/>
      <c r="HRT188" s="117"/>
      <c r="HRU188" s="117"/>
      <c r="HRV188" s="117"/>
      <c r="HRW188" s="117"/>
      <c r="HRX188" s="117"/>
      <c r="HRY188" s="117"/>
      <c r="HRZ188" s="117"/>
      <c r="HSA188" s="117"/>
      <c r="HSB188" s="117"/>
      <c r="HSC188" s="117"/>
      <c r="HSD188" s="117"/>
      <c r="HSE188" s="117"/>
      <c r="HSF188" s="117"/>
      <c r="HSG188" s="117"/>
      <c r="HSH188" s="117"/>
      <c r="HSI188" s="117"/>
      <c r="HSJ188" s="117"/>
      <c r="HSK188" s="117"/>
      <c r="HSL188" s="117"/>
      <c r="HSM188" s="117"/>
      <c r="HSN188" s="117"/>
      <c r="HSO188" s="117"/>
      <c r="HSP188" s="117"/>
      <c r="HSQ188" s="117"/>
      <c r="HSR188" s="117"/>
      <c r="HSS188" s="117"/>
      <c r="HST188" s="117"/>
      <c r="HSU188" s="117"/>
      <c r="HSV188" s="117"/>
      <c r="HSW188" s="117"/>
      <c r="HSX188" s="117"/>
      <c r="HSY188" s="117"/>
      <c r="HSZ188" s="117"/>
      <c r="HTA188" s="117"/>
      <c r="HTB188" s="117"/>
      <c r="HTC188" s="117"/>
      <c r="HTD188" s="117"/>
      <c r="HTE188" s="117"/>
      <c r="HTF188" s="117"/>
      <c r="HTG188" s="117"/>
      <c r="HTH188" s="117"/>
      <c r="HTI188" s="117"/>
      <c r="HTJ188" s="117"/>
      <c r="HTK188" s="117"/>
      <c r="HTL188" s="117"/>
      <c r="HTM188" s="117"/>
      <c r="HTN188" s="117"/>
      <c r="HTO188" s="117"/>
      <c r="HTP188" s="117"/>
      <c r="HTQ188" s="117"/>
      <c r="HTR188" s="117"/>
      <c r="HTS188" s="117"/>
      <c r="HTT188" s="117"/>
      <c r="HTU188" s="117"/>
      <c r="HTV188" s="117"/>
      <c r="HTW188" s="117"/>
      <c r="HTX188" s="117"/>
      <c r="HTY188" s="117"/>
      <c r="HTZ188" s="117"/>
      <c r="HUA188" s="117"/>
      <c r="HUB188" s="117"/>
      <c r="HUC188" s="117"/>
      <c r="HUD188" s="117"/>
      <c r="HUE188" s="117"/>
      <c r="HUF188" s="117"/>
      <c r="HUG188" s="117"/>
      <c r="HUH188" s="117"/>
      <c r="HUI188" s="117"/>
      <c r="HUJ188" s="117"/>
      <c r="HUK188" s="117"/>
      <c r="HUL188" s="117"/>
      <c r="HUM188" s="117"/>
      <c r="HUN188" s="117"/>
      <c r="HUO188" s="117"/>
      <c r="HUP188" s="117"/>
      <c r="HUQ188" s="117"/>
      <c r="HUR188" s="117"/>
      <c r="HUS188" s="117"/>
      <c r="HUT188" s="117"/>
      <c r="HUU188" s="117"/>
      <c r="HUV188" s="117"/>
      <c r="HUW188" s="117"/>
      <c r="HUX188" s="117"/>
      <c r="HUY188" s="117"/>
      <c r="HUZ188" s="117"/>
      <c r="HVA188" s="117"/>
      <c r="HVB188" s="117"/>
      <c r="HVC188" s="117"/>
      <c r="HVD188" s="117"/>
      <c r="HVE188" s="117"/>
      <c r="HVF188" s="117"/>
      <c r="HVG188" s="117"/>
      <c r="HVH188" s="117"/>
      <c r="HVI188" s="117"/>
      <c r="HVJ188" s="117"/>
      <c r="HVK188" s="117"/>
      <c r="HVL188" s="117"/>
      <c r="HVM188" s="117"/>
      <c r="HVN188" s="117"/>
      <c r="HVO188" s="117"/>
      <c r="HVP188" s="117"/>
      <c r="HVQ188" s="117"/>
      <c r="HVR188" s="117"/>
      <c r="HVS188" s="117"/>
      <c r="HVT188" s="117"/>
      <c r="HVU188" s="117"/>
      <c r="HVV188" s="117"/>
      <c r="HVW188" s="117"/>
      <c r="HVX188" s="117"/>
      <c r="HVY188" s="117"/>
      <c r="HVZ188" s="117"/>
      <c r="HWA188" s="117"/>
      <c r="HWB188" s="117"/>
      <c r="HWC188" s="117"/>
      <c r="HWD188" s="117"/>
      <c r="HWE188" s="117"/>
      <c r="HWF188" s="117"/>
      <c r="HWG188" s="117"/>
      <c r="HWH188" s="117"/>
      <c r="HWI188" s="117"/>
      <c r="HWJ188" s="117"/>
      <c r="HWK188" s="117"/>
      <c r="HWL188" s="117"/>
      <c r="HWM188" s="117"/>
      <c r="HWN188" s="117"/>
      <c r="HWO188" s="117"/>
      <c r="HWP188" s="117"/>
      <c r="HWQ188" s="117"/>
      <c r="HWR188" s="117"/>
      <c r="HWS188" s="117"/>
      <c r="HWT188" s="117"/>
      <c r="HWU188" s="117"/>
      <c r="HWV188" s="117"/>
      <c r="HWW188" s="117"/>
      <c r="HWX188" s="117"/>
      <c r="HWY188" s="117"/>
      <c r="HWZ188" s="117"/>
      <c r="HXA188" s="117"/>
      <c r="HXB188" s="117"/>
      <c r="HXC188" s="117"/>
      <c r="HXD188" s="117"/>
      <c r="HXE188" s="117"/>
      <c r="HXF188" s="117"/>
      <c r="HXG188" s="117"/>
      <c r="HXH188" s="117"/>
      <c r="HXI188" s="117"/>
      <c r="HXJ188" s="117"/>
      <c r="HXK188" s="117"/>
      <c r="HXL188" s="117"/>
      <c r="HXM188" s="117"/>
      <c r="HXN188" s="117"/>
      <c r="HXO188" s="117"/>
      <c r="HXP188" s="117"/>
      <c r="HXQ188" s="117"/>
      <c r="HXR188" s="117"/>
      <c r="HXS188" s="117"/>
      <c r="HXT188" s="117"/>
      <c r="HXU188" s="117"/>
      <c r="HXV188" s="117"/>
      <c r="HXW188" s="117"/>
      <c r="HXX188" s="117"/>
      <c r="HXY188" s="117"/>
      <c r="HXZ188" s="117"/>
      <c r="HYA188" s="117"/>
      <c r="HYB188" s="117"/>
      <c r="HYC188" s="117"/>
      <c r="HYD188" s="117"/>
      <c r="HYE188" s="117"/>
      <c r="HYF188" s="117"/>
      <c r="HYG188" s="117"/>
      <c r="HYH188" s="117"/>
      <c r="HYI188" s="117"/>
      <c r="HYJ188" s="117"/>
      <c r="HYK188" s="117"/>
      <c r="HYL188" s="117"/>
      <c r="HYM188" s="117"/>
      <c r="HYN188" s="117"/>
      <c r="HYO188" s="117"/>
      <c r="HYP188" s="117"/>
      <c r="HYQ188" s="117"/>
      <c r="HYR188" s="117"/>
      <c r="HYS188" s="117"/>
      <c r="HYT188" s="117"/>
      <c r="HYU188" s="117"/>
      <c r="HYV188" s="117"/>
      <c r="HYW188" s="117"/>
      <c r="HYX188" s="117"/>
      <c r="HYY188" s="117"/>
      <c r="HYZ188" s="117"/>
      <c r="HZA188" s="117"/>
      <c r="HZB188" s="117"/>
      <c r="HZC188" s="117"/>
      <c r="HZD188" s="117"/>
      <c r="HZE188" s="117"/>
      <c r="HZF188" s="117"/>
      <c r="HZG188" s="117"/>
      <c r="HZH188" s="117"/>
      <c r="HZI188" s="117"/>
      <c r="HZJ188" s="117"/>
      <c r="HZK188" s="117"/>
      <c r="HZL188" s="117"/>
      <c r="HZM188" s="117"/>
      <c r="HZN188" s="117"/>
      <c r="HZO188" s="117"/>
      <c r="HZP188" s="117"/>
      <c r="HZQ188" s="117"/>
      <c r="HZR188" s="117"/>
      <c r="HZS188" s="117"/>
      <c r="HZT188" s="117"/>
      <c r="HZU188" s="117"/>
      <c r="HZV188" s="117"/>
      <c r="HZW188" s="117"/>
      <c r="HZX188" s="117"/>
      <c r="HZY188" s="117"/>
      <c r="HZZ188" s="117"/>
      <c r="IAA188" s="117"/>
      <c r="IAB188" s="117"/>
      <c r="IAC188" s="117"/>
      <c r="IAD188" s="117"/>
      <c r="IAE188" s="117"/>
      <c r="IAF188" s="117"/>
      <c r="IAG188" s="117"/>
      <c r="IAH188" s="117"/>
      <c r="IAI188" s="117"/>
      <c r="IAJ188" s="117"/>
      <c r="IAK188" s="117"/>
      <c r="IAL188" s="117"/>
      <c r="IAM188" s="117"/>
      <c r="IAN188" s="117"/>
      <c r="IAO188" s="117"/>
      <c r="IAP188" s="117"/>
      <c r="IAQ188" s="117"/>
      <c r="IAR188" s="117"/>
      <c r="IAS188" s="117"/>
      <c r="IAT188" s="117"/>
      <c r="IAU188" s="117"/>
      <c r="IAV188" s="117"/>
      <c r="IAW188" s="117"/>
      <c r="IAX188" s="117"/>
      <c r="IAY188" s="117"/>
      <c r="IAZ188" s="117"/>
      <c r="IBA188" s="117"/>
      <c r="IBB188" s="117"/>
      <c r="IBC188" s="117"/>
      <c r="IBD188" s="117"/>
      <c r="IBE188" s="117"/>
      <c r="IBF188" s="117"/>
      <c r="IBG188" s="117"/>
      <c r="IBH188" s="117"/>
      <c r="IBI188" s="117"/>
      <c r="IBJ188" s="117"/>
      <c r="IBK188" s="117"/>
      <c r="IBL188" s="117"/>
      <c r="IBM188" s="117"/>
      <c r="IBN188" s="117"/>
      <c r="IBO188" s="117"/>
      <c r="IBP188" s="117"/>
      <c r="IBQ188" s="117"/>
      <c r="IBR188" s="117"/>
      <c r="IBS188" s="117"/>
      <c r="IBT188" s="117"/>
      <c r="IBU188" s="117"/>
      <c r="IBV188" s="117"/>
      <c r="IBW188" s="117"/>
      <c r="IBX188" s="117"/>
      <c r="IBY188" s="117"/>
      <c r="IBZ188" s="117"/>
      <c r="ICA188" s="117"/>
      <c r="ICB188" s="117"/>
      <c r="ICC188" s="117"/>
      <c r="ICD188" s="117"/>
      <c r="ICE188" s="117"/>
      <c r="ICF188" s="117"/>
      <c r="ICG188" s="117"/>
      <c r="ICH188" s="117"/>
      <c r="ICI188" s="117"/>
      <c r="ICJ188" s="117"/>
      <c r="ICK188" s="117"/>
      <c r="ICL188" s="117"/>
      <c r="ICM188" s="117"/>
      <c r="ICN188" s="117"/>
      <c r="ICO188" s="117"/>
      <c r="ICP188" s="117"/>
      <c r="ICQ188" s="117"/>
      <c r="ICR188" s="117"/>
      <c r="ICS188" s="117"/>
      <c r="ICT188" s="117"/>
      <c r="ICU188" s="117"/>
      <c r="ICV188" s="117"/>
      <c r="ICW188" s="117"/>
      <c r="ICX188" s="117"/>
      <c r="ICY188" s="117"/>
      <c r="ICZ188" s="117"/>
      <c r="IDA188" s="117"/>
      <c r="IDB188" s="117"/>
      <c r="IDC188" s="117"/>
      <c r="IDD188" s="117"/>
      <c r="IDE188" s="117"/>
      <c r="IDF188" s="117"/>
      <c r="IDG188" s="117"/>
      <c r="IDH188" s="117"/>
      <c r="IDI188" s="117"/>
      <c r="IDJ188" s="117"/>
      <c r="IDK188" s="117"/>
      <c r="IDL188" s="117"/>
      <c r="IDM188" s="117"/>
      <c r="IDN188" s="117"/>
      <c r="IDO188" s="117"/>
      <c r="IDP188" s="117"/>
      <c r="IDQ188" s="117"/>
      <c r="IDR188" s="117"/>
      <c r="IDS188" s="117"/>
      <c r="IDT188" s="117"/>
      <c r="IDU188" s="117"/>
      <c r="IDV188" s="117"/>
      <c r="IDW188" s="117"/>
      <c r="IDX188" s="117"/>
      <c r="IDY188" s="117"/>
      <c r="IDZ188" s="117"/>
      <c r="IEA188" s="117"/>
      <c r="IEB188" s="117"/>
      <c r="IEC188" s="117"/>
      <c r="IED188" s="117"/>
      <c r="IEE188" s="117"/>
      <c r="IEF188" s="117"/>
      <c r="IEG188" s="117"/>
      <c r="IEH188" s="117"/>
      <c r="IEI188" s="117"/>
      <c r="IEJ188" s="117"/>
      <c r="IEK188" s="117"/>
      <c r="IEL188" s="117"/>
      <c r="IEM188" s="117"/>
      <c r="IEN188" s="117"/>
      <c r="IEO188" s="117"/>
      <c r="IEP188" s="117"/>
      <c r="IEQ188" s="117"/>
      <c r="IER188" s="117"/>
      <c r="IES188" s="117"/>
      <c r="IET188" s="117"/>
      <c r="IEU188" s="117"/>
      <c r="IEV188" s="117"/>
      <c r="IEW188" s="117"/>
      <c r="IEX188" s="117"/>
      <c r="IEY188" s="117"/>
      <c r="IEZ188" s="117"/>
      <c r="IFA188" s="117"/>
      <c r="IFB188" s="117"/>
      <c r="IFC188" s="117"/>
      <c r="IFD188" s="117"/>
      <c r="IFE188" s="117"/>
      <c r="IFF188" s="117"/>
      <c r="IFG188" s="117"/>
      <c r="IFH188" s="117"/>
      <c r="IFI188" s="117"/>
      <c r="IFJ188" s="117"/>
      <c r="IFK188" s="117"/>
      <c r="IFL188" s="117"/>
      <c r="IFM188" s="117"/>
      <c r="IFN188" s="117"/>
      <c r="IFO188" s="117"/>
      <c r="IFP188" s="117"/>
      <c r="IFQ188" s="117"/>
      <c r="IFR188" s="117"/>
      <c r="IFS188" s="117"/>
      <c r="IFT188" s="117"/>
      <c r="IFU188" s="117"/>
      <c r="IFV188" s="117"/>
      <c r="IFW188" s="117"/>
      <c r="IFX188" s="117"/>
      <c r="IFY188" s="117"/>
      <c r="IFZ188" s="117"/>
      <c r="IGA188" s="117"/>
      <c r="IGB188" s="117"/>
      <c r="IGC188" s="117"/>
      <c r="IGD188" s="117"/>
      <c r="IGE188" s="117"/>
      <c r="IGF188" s="117"/>
      <c r="IGG188" s="117"/>
      <c r="IGH188" s="117"/>
      <c r="IGI188" s="117"/>
      <c r="IGJ188" s="117"/>
      <c r="IGK188" s="117"/>
      <c r="IGL188" s="117"/>
      <c r="IGM188" s="117"/>
      <c r="IGN188" s="117"/>
      <c r="IGO188" s="117"/>
      <c r="IGP188" s="117"/>
      <c r="IGQ188" s="117"/>
      <c r="IGR188" s="117"/>
      <c r="IGS188" s="117"/>
      <c r="IGT188" s="117"/>
      <c r="IGU188" s="117"/>
      <c r="IGV188" s="117"/>
      <c r="IGW188" s="117"/>
      <c r="IGX188" s="117"/>
      <c r="IGY188" s="117"/>
      <c r="IGZ188" s="117"/>
      <c r="IHA188" s="117"/>
      <c r="IHB188" s="117"/>
      <c r="IHC188" s="117"/>
      <c r="IHD188" s="117"/>
      <c r="IHE188" s="117"/>
      <c r="IHF188" s="117"/>
      <c r="IHG188" s="117"/>
      <c r="IHH188" s="117"/>
      <c r="IHI188" s="117"/>
      <c r="IHJ188" s="117"/>
      <c r="IHK188" s="117"/>
      <c r="IHL188" s="117"/>
      <c r="IHM188" s="117"/>
      <c r="IHN188" s="117"/>
      <c r="IHO188" s="117"/>
      <c r="IHP188" s="117"/>
      <c r="IHQ188" s="117"/>
      <c r="IHR188" s="117"/>
      <c r="IHS188" s="117"/>
      <c r="IHT188" s="117"/>
      <c r="IHU188" s="117"/>
      <c r="IHV188" s="117"/>
      <c r="IHW188" s="117"/>
      <c r="IHX188" s="117"/>
      <c r="IHY188" s="117"/>
      <c r="IHZ188" s="117"/>
      <c r="IIA188" s="117"/>
      <c r="IIB188" s="117"/>
      <c r="IIC188" s="117"/>
      <c r="IID188" s="117"/>
      <c r="IIE188" s="117"/>
      <c r="IIF188" s="117"/>
      <c r="IIG188" s="117"/>
      <c r="IIH188" s="117"/>
      <c r="III188" s="117"/>
      <c r="IIJ188" s="117"/>
      <c r="IIK188" s="117"/>
      <c r="IIL188" s="117"/>
      <c r="IIM188" s="117"/>
      <c r="IIN188" s="117"/>
      <c r="IIO188" s="117"/>
      <c r="IIP188" s="117"/>
      <c r="IIQ188" s="117"/>
      <c r="IIR188" s="117"/>
      <c r="IIS188" s="117"/>
      <c r="IIT188" s="117"/>
      <c r="IIU188" s="117"/>
      <c r="IIV188" s="117"/>
      <c r="IIW188" s="117"/>
      <c r="IIX188" s="117"/>
      <c r="IIY188" s="117"/>
      <c r="IIZ188" s="117"/>
      <c r="IJA188" s="117"/>
      <c r="IJB188" s="117"/>
      <c r="IJC188" s="117"/>
      <c r="IJD188" s="117"/>
      <c r="IJE188" s="117"/>
      <c r="IJF188" s="117"/>
      <c r="IJG188" s="117"/>
      <c r="IJH188" s="117"/>
      <c r="IJI188" s="117"/>
      <c r="IJJ188" s="117"/>
      <c r="IJK188" s="117"/>
      <c r="IJL188" s="117"/>
      <c r="IJM188" s="117"/>
      <c r="IJN188" s="117"/>
      <c r="IJO188" s="117"/>
      <c r="IJP188" s="117"/>
      <c r="IJQ188" s="117"/>
      <c r="IJR188" s="117"/>
      <c r="IJS188" s="117"/>
      <c r="IJT188" s="117"/>
      <c r="IJU188" s="117"/>
      <c r="IJV188" s="117"/>
      <c r="IJW188" s="117"/>
      <c r="IJX188" s="117"/>
      <c r="IJY188" s="117"/>
      <c r="IJZ188" s="117"/>
      <c r="IKA188" s="117"/>
      <c r="IKB188" s="117"/>
      <c r="IKC188" s="117"/>
      <c r="IKD188" s="117"/>
      <c r="IKE188" s="117"/>
      <c r="IKF188" s="117"/>
      <c r="IKG188" s="117"/>
      <c r="IKH188" s="117"/>
      <c r="IKI188" s="117"/>
      <c r="IKJ188" s="117"/>
      <c r="IKK188" s="117"/>
      <c r="IKL188" s="117"/>
      <c r="IKM188" s="117"/>
      <c r="IKN188" s="117"/>
      <c r="IKO188" s="117"/>
      <c r="IKP188" s="117"/>
      <c r="IKQ188" s="117"/>
      <c r="IKR188" s="117"/>
      <c r="IKS188" s="117"/>
      <c r="IKT188" s="117"/>
      <c r="IKU188" s="117"/>
      <c r="IKV188" s="117"/>
      <c r="IKW188" s="117"/>
      <c r="IKX188" s="117"/>
      <c r="IKY188" s="117"/>
      <c r="IKZ188" s="117"/>
      <c r="ILA188" s="117"/>
      <c r="ILB188" s="117"/>
      <c r="ILC188" s="117"/>
      <c r="ILD188" s="117"/>
      <c r="ILE188" s="117"/>
      <c r="ILF188" s="117"/>
      <c r="ILG188" s="117"/>
      <c r="ILH188" s="117"/>
      <c r="ILI188" s="117"/>
      <c r="ILJ188" s="117"/>
      <c r="ILK188" s="117"/>
      <c r="ILL188" s="117"/>
      <c r="ILM188" s="117"/>
      <c r="ILN188" s="117"/>
      <c r="ILO188" s="117"/>
      <c r="ILP188" s="117"/>
      <c r="ILQ188" s="117"/>
      <c r="ILR188" s="117"/>
      <c r="ILS188" s="117"/>
      <c r="ILT188" s="117"/>
      <c r="ILU188" s="117"/>
      <c r="ILV188" s="117"/>
      <c r="ILW188" s="117"/>
      <c r="ILX188" s="117"/>
      <c r="ILY188" s="117"/>
      <c r="ILZ188" s="117"/>
      <c r="IMA188" s="117"/>
      <c r="IMB188" s="117"/>
      <c r="IMC188" s="117"/>
      <c r="IMD188" s="117"/>
      <c r="IME188" s="117"/>
      <c r="IMF188" s="117"/>
      <c r="IMG188" s="117"/>
      <c r="IMH188" s="117"/>
      <c r="IMI188" s="117"/>
      <c r="IMJ188" s="117"/>
      <c r="IMK188" s="117"/>
      <c r="IML188" s="117"/>
      <c r="IMM188" s="117"/>
      <c r="IMN188" s="117"/>
      <c r="IMO188" s="117"/>
      <c r="IMP188" s="117"/>
      <c r="IMQ188" s="117"/>
      <c r="IMR188" s="117"/>
      <c r="IMS188" s="117"/>
      <c r="IMT188" s="117"/>
      <c r="IMU188" s="117"/>
      <c r="IMV188" s="117"/>
      <c r="IMW188" s="117"/>
      <c r="IMX188" s="117"/>
      <c r="IMY188" s="117"/>
      <c r="IMZ188" s="117"/>
      <c r="INA188" s="117"/>
      <c r="INB188" s="117"/>
      <c r="INC188" s="117"/>
      <c r="IND188" s="117"/>
      <c r="INE188" s="117"/>
      <c r="INF188" s="117"/>
      <c r="ING188" s="117"/>
      <c r="INH188" s="117"/>
      <c r="INI188" s="117"/>
      <c r="INJ188" s="117"/>
      <c r="INK188" s="117"/>
      <c r="INL188" s="117"/>
      <c r="INM188" s="117"/>
      <c r="INN188" s="117"/>
      <c r="INO188" s="117"/>
      <c r="INP188" s="117"/>
      <c r="INQ188" s="117"/>
      <c r="INR188" s="117"/>
      <c r="INS188" s="117"/>
      <c r="INT188" s="117"/>
      <c r="INU188" s="117"/>
      <c r="INV188" s="117"/>
      <c r="INW188" s="117"/>
      <c r="INX188" s="117"/>
      <c r="INY188" s="117"/>
      <c r="INZ188" s="117"/>
      <c r="IOA188" s="117"/>
      <c r="IOB188" s="117"/>
      <c r="IOC188" s="117"/>
      <c r="IOD188" s="117"/>
      <c r="IOE188" s="117"/>
      <c r="IOF188" s="117"/>
      <c r="IOG188" s="117"/>
      <c r="IOH188" s="117"/>
      <c r="IOI188" s="117"/>
      <c r="IOJ188" s="117"/>
      <c r="IOK188" s="117"/>
      <c r="IOL188" s="117"/>
      <c r="IOM188" s="117"/>
      <c r="ION188" s="117"/>
      <c r="IOO188" s="117"/>
      <c r="IOP188" s="117"/>
      <c r="IOQ188" s="117"/>
      <c r="IOR188" s="117"/>
      <c r="IOS188" s="117"/>
      <c r="IOT188" s="117"/>
      <c r="IOU188" s="117"/>
      <c r="IOV188" s="117"/>
      <c r="IOW188" s="117"/>
      <c r="IOX188" s="117"/>
      <c r="IOY188" s="117"/>
      <c r="IOZ188" s="117"/>
      <c r="IPA188" s="117"/>
      <c r="IPB188" s="117"/>
      <c r="IPC188" s="117"/>
      <c r="IPD188" s="117"/>
      <c r="IPE188" s="117"/>
      <c r="IPF188" s="117"/>
      <c r="IPG188" s="117"/>
      <c r="IPH188" s="117"/>
      <c r="IPI188" s="117"/>
      <c r="IPJ188" s="117"/>
      <c r="IPK188" s="117"/>
      <c r="IPL188" s="117"/>
      <c r="IPM188" s="117"/>
      <c r="IPN188" s="117"/>
      <c r="IPO188" s="117"/>
      <c r="IPP188" s="117"/>
      <c r="IPQ188" s="117"/>
      <c r="IPR188" s="117"/>
      <c r="IPS188" s="117"/>
      <c r="IPT188" s="117"/>
      <c r="IPU188" s="117"/>
      <c r="IPV188" s="117"/>
      <c r="IPW188" s="117"/>
      <c r="IPX188" s="117"/>
      <c r="IPY188" s="117"/>
      <c r="IPZ188" s="117"/>
      <c r="IQA188" s="117"/>
      <c r="IQB188" s="117"/>
      <c r="IQC188" s="117"/>
      <c r="IQD188" s="117"/>
      <c r="IQE188" s="117"/>
      <c r="IQF188" s="117"/>
      <c r="IQG188" s="117"/>
      <c r="IQH188" s="117"/>
      <c r="IQI188" s="117"/>
      <c r="IQJ188" s="117"/>
      <c r="IQK188" s="117"/>
      <c r="IQL188" s="117"/>
      <c r="IQM188" s="117"/>
      <c r="IQN188" s="117"/>
      <c r="IQO188" s="117"/>
      <c r="IQP188" s="117"/>
      <c r="IQQ188" s="117"/>
      <c r="IQR188" s="117"/>
      <c r="IQS188" s="117"/>
      <c r="IQT188" s="117"/>
      <c r="IQU188" s="117"/>
      <c r="IQV188" s="117"/>
      <c r="IQW188" s="117"/>
      <c r="IQX188" s="117"/>
      <c r="IQY188" s="117"/>
      <c r="IQZ188" s="117"/>
      <c r="IRA188" s="117"/>
      <c r="IRB188" s="117"/>
      <c r="IRC188" s="117"/>
      <c r="IRD188" s="117"/>
      <c r="IRE188" s="117"/>
      <c r="IRF188" s="117"/>
      <c r="IRG188" s="117"/>
      <c r="IRH188" s="117"/>
      <c r="IRI188" s="117"/>
      <c r="IRJ188" s="117"/>
      <c r="IRK188" s="117"/>
      <c r="IRL188" s="117"/>
      <c r="IRM188" s="117"/>
      <c r="IRN188" s="117"/>
      <c r="IRO188" s="117"/>
      <c r="IRP188" s="117"/>
      <c r="IRQ188" s="117"/>
      <c r="IRR188" s="117"/>
      <c r="IRS188" s="117"/>
      <c r="IRT188" s="117"/>
      <c r="IRU188" s="117"/>
      <c r="IRV188" s="117"/>
      <c r="IRW188" s="117"/>
      <c r="IRX188" s="117"/>
      <c r="IRY188" s="117"/>
      <c r="IRZ188" s="117"/>
      <c r="ISA188" s="117"/>
      <c r="ISB188" s="117"/>
      <c r="ISC188" s="117"/>
      <c r="ISD188" s="117"/>
      <c r="ISE188" s="117"/>
      <c r="ISF188" s="117"/>
      <c r="ISG188" s="117"/>
      <c r="ISH188" s="117"/>
      <c r="ISI188" s="117"/>
      <c r="ISJ188" s="117"/>
      <c r="ISK188" s="117"/>
      <c r="ISL188" s="117"/>
      <c r="ISM188" s="117"/>
      <c r="ISN188" s="117"/>
      <c r="ISO188" s="117"/>
      <c r="ISP188" s="117"/>
      <c r="ISQ188" s="117"/>
      <c r="ISR188" s="117"/>
      <c r="ISS188" s="117"/>
      <c r="IST188" s="117"/>
      <c r="ISU188" s="117"/>
      <c r="ISV188" s="117"/>
      <c r="ISW188" s="117"/>
      <c r="ISX188" s="117"/>
      <c r="ISY188" s="117"/>
      <c r="ISZ188" s="117"/>
      <c r="ITA188" s="117"/>
      <c r="ITB188" s="117"/>
      <c r="ITC188" s="117"/>
      <c r="ITD188" s="117"/>
      <c r="ITE188" s="117"/>
      <c r="ITF188" s="117"/>
      <c r="ITG188" s="117"/>
      <c r="ITH188" s="117"/>
      <c r="ITI188" s="117"/>
      <c r="ITJ188" s="117"/>
      <c r="ITK188" s="117"/>
      <c r="ITL188" s="117"/>
      <c r="ITM188" s="117"/>
      <c r="ITN188" s="117"/>
      <c r="ITO188" s="117"/>
      <c r="ITP188" s="117"/>
      <c r="ITQ188" s="117"/>
      <c r="ITR188" s="117"/>
      <c r="ITS188" s="117"/>
      <c r="ITT188" s="117"/>
      <c r="ITU188" s="117"/>
      <c r="ITV188" s="117"/>
      <c r="ITW188" s="117"/>
      <c r="ITX188" s="117"/>
      <c r="ITY188" s="117"/>
      <c r="ITZ188" s="117"/>
      <c r="IUA188" s="117"/>
      <c r="IUB188" s="117"/>
      <c r="IUC188" s="117"/>
      <c r="IUD188" s="117"/>
      <c r="IUE188" s="117"/>
      <c r="IUF188" s="117"/>
      <c r="IUG188" s="117"/>
      <c r="IUH188" s="117"/>
      <c r="IUI188" s="117"/>
      <c r="IUJ188" s="117"/>
      <c r="IUK188" s="117"/>
      <c r="IUL188" s="117"/>
      <c r="IUM188" s="117"/>
      <c r="IUN188" s="117"/>
      <c r="IUO188" s="117"/>
      <c r="IUP188" s="117"/>
      <c r="IUQ188" s="117"/>
      <c r="IUR188" s="117"/>
      <c r="IUS188" s="117"/>
      <c r="IUT188" s="117"/>
      <c r="IUU188" s="117"/>
      <c r="IUV188" s="117"/>
      <c r="IUW188" s="117"/>
      <c r="IUX188" s="117"/>
      <c r="IUY188" s="117"/>
      <c r="IUZ188" s="117"/>
      <c r="IVA188" s="117"/>
      <c r="IVB188" s="117"/>
      <c r="IVC188" s="117"/>
      <c r="IVD188" s="117"/>
      <c r="IVE188" s="117"/>
      <c r="IVF188" s="117"/>
      <c r="IVG188" s="117"/>
      <c r="IVH188" s="117"/>
      <c r="IVI188" s="117"/>
      <c r="IVJ188" s="117"/>
      <c r="IVK188" s="117"/>
      <c r="IVL188" s="117"/>
      <c r="IVM188" s="117"/>
      <c r="IVN188" s="117"/>
      <c r="IVO188" s="117"/>
      <c r="IVP188" s="117"/>
      <c r="IVQ188" s="117"/>
      <c r="IVR188" s="117"/>
      <c r="IVS188" s="117"/>
      <c r="IVT188" s="117"/>
      <c r="IVU188" s="117"/>
      <c r="IVV188" s="117"/>
      <c r="IVW188" s="117"/>
      <c r="IVX188" s="117"/>
      <c r="IVY188" s="117"/>
      <c r="IVZ188" s="117"/>
      <c r="IWA188" s="117"/>
      <c r="IWB188" s="117"/>
      <c r="IWC188" s="117"/>
      <c r="IWD188" s="117"/>
      <c r="IWE188" s="117"/>
      <c r="IWF188" s="117"/>
      <c r="IWG188" s="117"/>
      <c r="IWH188" s="117"/>
      <c r="IWI188" s="117"/>
      <c r="IWJ188" s="117"/>
      <c r="IWK188" s="117"/>
      <c r="IWL188" s="117"/>
      <c r="IWM188" s="117"/>
      <c r="IWN188" s="117"/>
      <c r="IWO188" s="117"/>
      <c r="IWP188" s="117"/>
      <c r="IWQ188" s="117"/>
      <c r="IWR188" s="117"/>
      <c r="IWS188" s="117"/>
      <c r="IWT188" s="117"/>
      <c r="IWU188" s="117"/>
      <c r="IWV188" s="117"/>
      <c r="IWW188" s="117"/>
      <c r="IWX188" s="117"/>
      <c r="IWY188" s="117"/>
      <c r="IWZ188" s="117"/>
      <c r="IXA188" s="117"/>
      <c r="IXB188" s="117"/>
      <c r="IXC188" s="117"/>
      <c r="IXD188" s="117"/>
      <c r="IXE188" s="117"/>
      <c r="IXF188" s="117"/>
      <c r="IXG188" s="117"/>
      <c r="IXH188" s="117"/>
      <c r="IXI188" s="117"/>
      <c r="IXJ188" s="117"/>
      <c r="IXK188" s="117"/>
      <c r="IXL188" s="117"/>
      <c r="IXM188" s="117"/>
      <c r="IXN188" s="117"/>
      <c r="IXO188" s="117"/>
      <c r="IXP188" s="117"/>
      <c r="IXQ188" s="117"/>
      <c r="IXR188" s="117"/>
      <c r="IXS188" s="117"/>
      <c r="IXT188" s="117"/>
      <c r="IXU188" s="117"/>
      <c r="IXV188" s="117"/>
      <c r="IXW188" s="117"/>
      <c r="IXX188" s="117"/>
      <c r="IXY188" s="117"/>
      <c r="IXZ188" s="117"/>
      <c r="IYA188" s="117"/>
      <c r="IYB188" s="117"/>
      <c r="IYC188" s="117"/>
      <c r="IYD188" s="117"/>
      <c r="IYE188" s="117"/>
      <c r="IYF188" s="117"/>
      <c r="IYG188" s="117"/>
      <c r="IYH188" s="117"/>
      <c r="IYI188" s="117"/>
      <c r="IYJ188" s="117"/>
      <c r="IYK188" s="117"/>
      <c r="IYL188" s="117"/>
      <c r="IYM188" s="117"/>
      <c r="IYN188" s="117"/>
      <c r="IYO188" s="117"/>
      <c r="IYP188" s="117"/>
      <c r="IYQ188" s="117"/>
      <c r="IYR188" s="117"/>
      <c r="IYS188" s="117"/>
      <c r="IYT188" s="117"/>
      <c r="IYU188" s="117"/>
      <c r="IYV188" s="117"/>
      <c r="IYW188" s="117"/>
      <c r="IYX188" s="117"/>
      <c r="IYY188" s="117"/>
      <c r="IYZ188" s="117"/>
      <c r="IZA188" s="117"/>
      <c r="IZB188" s="117"/>
      <c r="IZC188" s="117"/>
      <c r="IZD188" s="117"/>
      <c r="IZE188" s="117"/>
      <c r="IZF188" s="117"/>
      <c r="IZG188" s="117"/>
      <c r="IZH188" s="117"/>
      <c r="IZI188" s="117"/>
      <c r="IZJ188" s="117"/>
      <c r="IZK188" s="117"/>
      <c r="IZL188" s="117"/>
      <c r="IZM188" s="117"/>
      <c r="IZN188" s="117"/>
      <c r="IZO188" s="117"/>
      <c r="IZP188" s="117"/>
      <c r="IZQ188" s="117"/>
      <c r="IZR188" s="117"/>
      <c r="IZS188" s="117"/>
      <c r="IZT188" s="117"/>
      <c r="IZU188" s="117"/>
      <c r="IZV188" s="117"/>
      <c r="IZW188" s="117"/>
      <c r="IZX188" s="117"/>
      <c r="IZY188" s="117"/>
      <c r="IZZ188" s="117"/>
      <c r="JAA188" s="117"/>
      <c r="JAB188" s="117"/>
      <c r="JAC188" s="117"/>
      <c r="JAD188" s="117"/>
      <c r="JAE188" s="117"/>
      <c r="JAF188" s="117"/>
      <c r="JAG188" s="117"/>
      <c r="JAH188" s="117"/>
      <c r="JAI188" s="117"/>
      <c r="JAJ188" s="117"/>
      <c r="JAK188" s="117"/>
      <c r="JAL188" s="117"/>
      <c r="JAM188" s="117"/>
      <c r="JAN188" s="117"/>
      <c r="JAO188" s="117"/>
      <c r="JAP188" s="117"/>
      <c r="JAQ188" s="117"/>
      <c r="JAR188" s="117"/>
      <c r="JAS188" s="117"/>
      <c r="JAT188" s="117"/>
      <c r="JAU188" s="117"/>
      <c r="JAV188" s="117"/>
      <c r="JAW188" s="117"/>
      <c r="JAX188" s="117"/>
      <c r="JAY188" s="117"/>
      <c r="JAZ188" s="117"/>
      <c r="JBA188" s="117"/>
      <c r="JBB188" s="117"/>
      <c r="JBC188" s="117"/>
      <c r="JBD188" s="117"/>
      <c r="JBE188" s="117"/>
      <c r="JBF188" s="117"/>
      <c r="JBG188" s="117"/>
      <c r="JBH188" s="117"/>
      <c r="JBI188" s="117"/>
      <c r="JBJ188" s="117"/>
      <c r="JBK188" s="117"/>
      <c r="JBL188" s="117"/>
      <c r="JBM188" s="117"/>
      <c r="JBN188" s="117"/>
      <c r="JBO188" s="117"/>
      <c r="JBP188" s="117"/>
      <c r="JBQ188" s="117"/>
      <c r="JBR188" s="117"/>
      <c r="JBS188" s="117"/>
      <c r="JBT188" s="117"/>
      <c r="JBU188" s="117"/>
      <c r="JBV188" s="117"/>
      <c r="JBW188" s="117"/>
      <c r="JBX188" s="117"/>
      <c r="JBY188" s="117"/>
      <c r="JBZ188" s="117"/>
      <c r="JCA188" s="117"/>
      <c r="JCB188" s="117"/>
      <c r="JCC188" s="117"/>
      <c r="JCD188" s="117"/>
      <c r="JCE188" s="117"/>
      <c r="JCF188" s="117"/>
      <c r="JCG188" s="117"/>
      <c r="JCH188" s="117"/>
      <c r="JCI188" s="117"/>
      <c r="JCJ188" s="117"/>
      <c r="JCK188" s="117"/>
      <c r="JCL188" s="117"/>
      <c r="JCM188" s="117"/>
      <c r="JCN188" s="117"/>
      <c r="JCO188" s="117"/>
      <c r="JCP188" s="117"/>
      <c r="JCQ188" s="117"/>
      <c r="JCR188" s="117"/>
      <c r="JCS188" s="117"/>
      <c r="JCT188" s="117"/>
      <c r="JCU188" s="117"/>
      <c r="JCV188" s="117"/>
      <c r="JCW188" s="117"/>
      <c r="JCX188" s="117"/>
      <c r="JCY188" s="117"/>
      <c r="JCZ188" s="117"/>
      <c r="JDA188" s="117"/>
      <c r="JDB188" s="117"/>
      <c r="JDC188" s="117"/>
      <c r="JDD188" s="117"/>
      <c r="JDE188" s="117"/>
      <c r="JDF188" s="117"/>
      <c r="JDG188" s="117"/>
      <c r="JDH188" s="117"/>
      <c r="JDI188" s="117"/>
      <c r="JDJ188" s="117"/>
      <c r="JDK188" s="117"/>
      <c r="JDL188" s="117"/>
      <c r="JDM188" s="117"/>
      <c r="JDN188" s="117"/>
      <c r="JDO188" s="117"/>
      <c r="JDP188" s="117"/>
      <c r="JDQ188" s="117"/>
      <c r="JDR188" s="117"/>
      <c r="JDS188" s="117"/>
      <c r="JDT188" s="117"/>
      <c r="JDU188" s="117"/>
      <c r="JDV188" s="117"/>
      <c r="JDW188" s="117"/>
      <c r="JDX188" s="117"/>
      <c r="JDY188" s="117"/>
      <c r="JDZ188" s="117"/>
      <c r="JEA188" s="117"/>
      <c r="JEB188" s="117"/>
      <c r="JEC188" s="117"/>
      <c r="JED188" s="117"/>
      <c r="JEE188" s="117"/>
      <c r="JEF188" s="117"/>
      <c r="JEG188" s="117"/>
      <c r="JEH188" s="117"/>
      <c r="JEI188" s="117"/>
      <c r="JEJ188" s="117"/>
      <c r="JEK188" s="117"/>
      <c r="JEL188" s="117"/>
      <c r="JEM188" s="117"/>
      <c r="JEN188" s="117"/>
      <c r="JEO188" s="117"/>
      <c r="JEP188" s="117"/>
      <c r="JEQ188" s="117"/>
      <c r="JER188" s="117"/>
      <c r="JES188" s="117"/>
      <c r="JET188" s="117"/>
      <c r="JEU188" s="117"/>
      <c r="JEV188" s="117"/>
      <c r="JEW188" s="117"/>
      <c r="JEX188" s="117"/>
      <c r="JEY188" s="117"/>
      <c r="JEZ188" s="117"/>
      <c r="JFA188" s="117"/>
      <c r="JFB188" s="117"/>
      <c r="JFC188" s="117"/>
      <c r="JFD188" s="117"/>
      <c r="JFE188" s="117"/>
      <c r="JFF188" s="117"/>
      <c r="JFG188" s="117"/>
      <c r="JFH188" s="117"/>
      <c r="JFI188" s="117"/>
      <c r="JFJ188" s="117"/>
      <c r="JFK188" s="117"/>
      <c r="JFL188" s="117"/>
      <c r="JFM188" s="117"/>
      <c r="JFN188" s="117"/>
      <c r="JFO188" s="117"/>
      <c r="JFP188" s="117"/>
      <c r="JFQ188" s="117"/>
      <c r="JFR188" s="117"/>
      <c r="JFS188" s="117"/>
      <c r="JFT188" s="117"/>
      <c r="JFU188" s="117"/>
      <c r="JFV188" s="117"/>
      <c r="JFW188" s="117"/>
      <c r="JFX188" s="117"/>
      <c r="JFY188" s="117"/>
      <c r="JFZ188" s="117"/>
      <c r="JGA188" s="117"/>
      <c r="JGB188" s="117"/>
      <c r="JGC188" s="117"/>
      <c r="JGD188" s="117"/>
      <c r="JGE188" s="117"/>
      <c r="JGF188" s="117"/>
      <c r="JGG188" s="117"/>
      <c r="JGH188" s="117"/>
      <c r="JGI188" s="117"/>
      <c r="JGJ188" s="117"/>
      <c r="JGK188" s="117"/>
      <c r="JGL188" s="117"/>
      <c r="JGM188" s="117"/>
      <c r="JGN188" s="117"/>
      <c r="JGO188" s="117"/>
      <c r="JGP188" s="117"/>
      <c r="JGQ188" s="117"/>
      <c r="JGR188" s="117"/>
      <c r="JGS188" s="117"/>
      <c r="JGT188" s="117"/>
      <c r="JGU188" s="117"/>
      <c r="JGV188" s="117"/>
      <c r="JGW188" s="117"/>
      <c r="JGX188" s="117"/>
      <c r="JGY188" s="117"/>
      <c r="JGZ188" s="117"/>
      <c r="JHA188" s="117"/>
      <c r="JHB188" s="117"/>
      <c r="JHC188" s="117"/>
      <c r="JHD188" s="117"/>
      <c r="JHE188" s="117"/>
      <c r="JHF188" s="117"/>
      <c r="JHG188" s="117"/>
      <c r="JHH188" s="117"/>
      <c r="JHI188" s="117"/>
      <c r="JHJ188" s="117"/>
      <c r="JHK188" s="117"/>
      <c r="JHL188" s="117"/>
      <c r="JHM188" s="117"/>
      <c r="JHN188" s="117"/>
      <c r="JHO188" s="117"/>
      <c r="JHP188" s="117"/>
      <c r="JHQ188" s="117"/>
      <c r="JHR188" s="117"/>
      <c r="JHS188" s="117"/>
      <c r="JHT188" s="117"/>
      <c r="JHU188" s="117"/>
      <c r="JHV188" s="117"/>
      <c r="JHW188" s="117"/>
      <c r="JHX188" s="117"/>
      <c r="JHY188" s="117"/>
      <c r="JHZ188" s="117"/>
      <c r="JIA188" s="117"/>
      <c r="JIB188" s="117"/>
      <c r="JIC188" s="117"/>
      <c r="JID188" s="117"/>
      <c r="JIE188" s="117"/>
      <c r="JIF188" s="117"/>
      <c r="JIG188" s="117"/>
      <c r="JIH188" s="117"/>
      <c r="JII188" s="117"/>
      <c r="JIJ188" s="117"/>
      <c r="JIK188" s="117"/>
      <c r="JIL188" s="117"/>
      <c r="JIM188" s="117"/>
      <c r="JIN188" s="117"/>
      <c r="JIO188" s="117"/>
      <c r="JIP188" s="117"/>
      <c r="JIQ188" s="117"/>
      <c r="JIR188" s="117"/>
      <c r="JIS188" s="117"/>
      <c r="JIT188" s="117"/>
      <c r="JIU188" s="117"/>
      <c r="JIV188" s="117"/>
      <c r="JIW188" s="117"/>
      <c r="JIX188" s="117"/>
      <c r="JIY188" s="117"/>
      <c r="JIZ188" s="117"/>
      <c r="JJA188" s="117"/>
      <c r="JJB188" s="117"/>
      <c r="JJC188" s="117"/>
      <c r="JJD188" s="117"/>
      <c r="JJE188" s="117"/>
      <c r="JJF188" s="117"/>
      <c r="JJG188" s="117"/>
      <c r="JJH188" s="117"/>
      <c r="JJI188" s="117"/>
      <c r="JJJ188" s="117"/>
      <c r="JJK188" s="117"/>
      <c r="JJL188" s="117"/>
      <c r="JJM188" s="117"/>
      <c r="JJN188" s="117"/>
      <c r="JJO188" s="117"/>
      <c r="JJP188" s="117"/>
      <c r="JJQ188" s="117"/>
      <c r="JJR188" s="117"/>
      <c r="JJS188" s="117"/>
      <c r="JJT188" s="117"/>
      <c r="JJU188" s="117"/>
      <c r="JJV188" s="117"/>
      <c r="JJW188" s="117"/>
      <c r="JJX188" s="117"/>
      <c r="JJY188" s="117"/>
      <c r="JJZ188" s="117"/>
      <c r="JKA188" s="117"/>
      <c r="JKB188" s="117"/>
      <c r="JKC188" s="117"/>
      <c r="JKD188" s="117"/>
      <c r="JKE188" s="117"/>
      <c r="JKF188" s="117"/>
      <c r="JKG188" s="117"/>
      <c r="JKH188" s="117"/>
      <c r="JKI188" s="117"/>
      <c r="JKJ188" s="117"/>
      <c r="JKK188" s="117"/>
      <c r="JKL188" s="117"/>
      <c r="JKM188" s="117"/>
      <c r="JKN188" s="117"/>
      <c r="JKO188" s="117"/>
      <c r="JKP188" s="117"/>
      <c r="JKQ188" s="117"/>
      <c r="JKR188" s="117"/>
      <c r="JKS188" s="117"/>
      <c r="JKT188" s="117"/>
      <c r="JKU188" s="117"/>
      <c r="JKV188" s="117"/>
      <c r="JKW188" s="117"/>
      <c r="JKX188" s="117"/>
      <c r="JKY188" s="117"/>
      <c r="JKZ188" s="117"/>
      <c r="JLA188" s="117"/>
      <c r="JLB188" s="117"/>
      <c r="JLC188" s="117"/>
      <c r="JLD188" s="117"/>
      <c r="JLE188" s="117"/>
      <c r="JLF188" s="117"/>
      <c r="JLG188" s="117"/>
      <c r="JLH188" s="117"/>
      <c r="JLI188" s="117"/>
      <c r="JLJ188" s="117"/>
      <c r="JLK188" s="117"/>
      <c r="JLL188" s="117"/>
      <c r="JLM188" s="117"/>
      <c r="JLN188" s="117"/>
      <c r="JLO188" s="117"/>
      <c r="JLP188" s="117"/>
      <c r="JLQ188" s="117"/>
      <c r="JLR188" s="117"/>
      <c r="JLS188" s="117"/>
      <c r="JLT188" s="117"/>
      <c r="JLU188" s="117"/>
      <c r="JLV188" s="117"/>
      <c r="JLW188" s="117"/>
      <c r="JLX188" s="117"/>
      <c r="JLY188" s="117"/>
      <c r="JLZ188" s="117"/>
      <c r="JMA188" s="117"/>
      <c r="JMB188" s="117"/>
      <c r="JMC188" s="117"/>
      <c r="JMD188" s="117"/>
      <c r="JME188" s="117"/>
      <c r="JMF188" s="117"/>
      <c r="JMG188" s="117"/>
      <c r="JMH188" s="117"/>
      <c r="JMI188" s="117"/>
      <c r="JMJ188" s="117"/>
      <c r="JMK188" s="117"/>
      <c r="JML188" s="117"/>
      <c r="JMM188" s="117"/>
      <c r="JMN188" s="117"/>
      <c r="JMO188" s="117"/>
      <c r="JMP188" s="117"/>
      <c r="JMQ188" s="117"/>
      <c r="JMR188" s="117"/>
      <c r="JMS188" s="117"/>
      <c r="JMT188" s="117"/>
      <c r="JMU188" s="117"/>
      <c r="JMV188" s="117"/>
      <c r="JMW188" s="117"/>
      <c r="JMX188" s="117"/>
      <c r="JMY188" s="117"/>
      <c r="JMZ188" s="117"/>
      <c r="JNA188" s="117"/>
      <c r="JNB188" s="117"/>
      <c r="JNC188" s="117"/>
      <c r="JND188" s="117"/>
      <c r="JNE188" s="117"/>
      <c r="JNF188" s="117"/>
      <c r="JNG188" s="117"/>
      <c r="JNH188" s="117"/>
      <c r="JNI188" s="117"/>
      <c r="JNJ188" s="117"/>
      <c r="JNK188" s="117"/>
      <c r="JNL188" s="117"/>
      <c r="JNM188" s="117"/>
      <c r="JNN188" s="117"/>
      <c r="JNO188" s="117"/>
      <c r="JNP188" s="117"/>
      <c r="JNQ188" s="117"/>
      <c r="JNR188" s="117"/>
      <c r="JNS188" s="117"/>
      <c r="JNT188" s="117"/>
      <c r="JNU188" s="117"/>
      <c r="JNV188" s="117"/>
      <c r="JNW188" s="117"/>
      <c r="JNX188" s="117"/>
      <c r="JNY188" s="117"/>
      <c r="JNZ188" s="117"/>
      <c r="JOA188" s="117"/>
      <c r="JOB188" s="117"/>
      <c r="JOC188" s="117"/>
      <c r="JOD188" s="117"/>
      <c r="JOE188" s="117"/>
      <c r="JOF188" s="117"/>
      <c r="JOG188" s="117"/>
      <c r="JOH188" s="117"/>
      <c r="JOI188" s="117"/>
      <c r="JOJ188" s="117"/>
      <c r="JOK188" s="117"/>
      <c r="JOL188" s="117"/>
      <c r="JOM188" s="117"/>
      <c r="JON188" s="117"/>
      <c r="JOO188" s="117"/>
      <c r="JOP188" s="117"/>
      <c r="JOQ188" s="117"/>
      <c r="JOR188" s="117"/>
      <c r="JOS188" s="117"/>
      <c r="JOT188" s="117"/>
      <c r="JOU188" s="117"/>
      <c r="JOV188" s="117"/>
      <c r="JOW188" s="117"/>
      <c r="JOX188" s="117"/>
      <c r="JOY188" s="117"/>
      <c r="JOZ188" s="117"/>
      <c r="JPA188" s="117"/>
      <c r="JPB188" s="117"/>
      <c r="JPC188" s="117"/>
      <c r="JPD188" s="117"/>
      <c r="JPE188" s="117"/>
      <c r="JPF188" s="117"/>
      <c r="JPG188" s="117"/>
      <c r="JPH188" s="117"/>
      <c r="JPI188" s="117"/>
      <c r="JPJ188" s="117"/>
      <c r="JPK188" s="117"/>
      <c r="JPL188" s="117"/>
      <c r="JPM188" s="117"/>
      <c r="JPN188" s="117"/>
      <c r="JPO188" s="117"/>
      <c r="JPP188" s="117"/>
      <c r="JPQ188" s="117"/>
      <c r="JPR188" s="117"/>
      <c r="JPS188" s="117"/>
      <c r="JPT188" s="117"/>
      <c r="JPU188" s="117"/>
      <c r="JPV188" s="117"/>
      <c r="JPW188" s="117"/>
      <c r="JPX188" s="117"/>
      <c r="JPY188" s="117"/>
      <c r="JPZ188" s="117"/>
      <c r="JQA188" s="117"/>
      <c r="JQB188" s="117"/>
      <c r="JQC188" s="117"/>
      <c r="JQD188" s="117"/>
      <c r="JQE188" s="117"/>
      <c r="JQF188" s="117"/>
      <c r="JQG188" s="117"/>
      <c r="JQH188" s="117"/>
      <c r="JQI188" s="117"/>
      <c r="JQJ188" s="117"/>
      <c r="JQK188" s="117"/>
      <c r="JQL188" s="117"/>
      <c r="JQM188" s="117"/>
      <c r="JQN188" s="117"/>
      <c r="JQO188" s="117"/>
      <c r="JQP188" s="117"/>
      <c r="JQQ188" s="117"/>
      <c r="JQR188" s="117"/>
      <c r="JQS188" s="117"/>
      <c r="JQT188" s="117"/>
      <c r="JQU188" s="117"/>
      <c r="JQV188" s="117"/>
      <c r="JQW188" s="117"/>
      <c r="JQX188" s="117"/>
      <c r="JQY188" s="117"/>
      <c r="JQZ188" s="117"/>
      <c r="JRA188" s="117"/>
      <c r="JRB188" s="117"/>
      <c r="JRC188" s="117"/>
      <c r="JRD188" s="117"/>
      <c r="JRE188" s="117"/>
      <c r="JRF188" s="117"/>
      <c r="JRG188" s="117"/>
      <c r="JRH188" s="117"/>
      <c r="JRI188" s="117"/>
      <c r="JRJ188" s="117"/>
      <c r="JRK188" s="117"/>
      <c r="JRL188" s="117"/>
      <c r="JRM188" s="117"/>
      <c r="JRN188" s="117"/>
      <c r="JRO188" s="117"/>
      <c r="JRP188" s="117"/>
      <c r="JRQ188" s="117"/>
      <c r="JRR188" s="117"/>
      <c r="JRS188" s="117"/>
      <c r="JRT188" s="117"/>
      <c r="JRU188" s="117"/>
      <c r="JRV188" s="117"/>
      <c r="JRW188" s="117"/>
      <c r="JRX188" s="117"/>
      <c r="JRY188" s="117"/>
      <c r="JRZ188" s="117"/>
      <c r="JSA188" s="117"/>
      <c r="JSB188" s="117"/>
      <c r="JSC188" s="117"/>
      <c r="JSD188" s="117"/>
      <c r="JSE188" s="117"/>
      <c r="JSF188" s="117"/>
      <c r="JSG188" s="117"/>
      <c r="JSH188" s="117"/>
      <c r="JSI188" s="117"/>
      <c r="JSJ188" s="117"/>
      <c r="JSK188" s="117"/>
      <c r="JSL188" s="117"/>
      <c r="JSM188" s="117"/>
      <c r="JSN188" s="117"/>
      <c r="JSO188" s="117"/>
      <c r="JSP188" s="117"/>
      <c r="JSQ188" s="117"/>
      <c r="JSR188" s="117"/>
      <c r="JSS188" s="117"/>
      <c r="JST188" s="117"/>
      <c r="JSU188" s="117"/>
      <c r="JSV188" s="117"/>
      <c r="JSW188" s="117"/>
      <c r="JSX188" s="117"/>
      <c r="JSY188" s="117"/>
      <c r="JSZ188" s="117"/>
      <c r="JTA188" s="117"/>
      <c r="JTB188" s="117"/>
      <c r="JTC188" s="117"/>
      <c r="JTD188" s="117"/>
      <c r="JTE188" s="117"/>
      <c r="JTF188" s="117"/>
      <c r="JTG188" s="117"/>
      <c r="JTH188" s="117"/>
      <c r="JTI188" s="117"/>
      <c r="JTJ188" s="117"/>
      <c r="JTK188" s="117"/>
      <c r="JTL188" s="117"/>
      <c r="JTM188" s="117"/>
      <c r="JTN188" s="117"/>
      <c r="JTO188" s="117"/>
      <c r="JTP188" s="117"/>
      <c r="JTQ188" s="117"/>
      <c r="JTR188" s="117"/>
      <c r="JTS188" s="117"/>
      <c r="JTT188" s="117"/>
      <c r="JTU188" s="117"/>
      <c r="JTV188" s="117"/>
      <c r="JTW188" s="117"/>
      <c r="JTX188" s="117"/>
      <c r="JTY188" s="117"/>
      <c r="JTZ188" s="117"/>
      <c r="JUA188" s="117"/>
      <c r="JUB188" s="117"/>
      <c r="JUC188" s="117"/>
      <c r="JUD188" s="117"/>
      <c r="JUE188" s="117"/>
      <c r="JUF188" s="117"/>
      <c r="JUG188" s="117"/>
      <c r="JUH188" s="117"/>
      <c r="JUI188" s="117"/>
      <c r="JUJ188" s="117"/>
      <c r="JUK188" s="117"/>
      <c r="JUL188" s="117"/>
      <c r="JUM188" s="117"/>
      <c r="JUN188" s="117"/>
      <c r="JUO188" s="117"/>
      <c r="JUP188" s="117"/>
      <c r="JUQ188" s="117"/>
      <c r="JUR188" s="117"/>
      <c r="JUS188" s="117"/>
      <c r="JUT188" s="117"/>
      <c r="JUU188" s="117"/>
      <c r="JUV188" s="117"/>
      <c r="JUW188" s="117"/>
      <c r="JUX188" s="117"/>
      <c r="JUY188" s="117"/>
      <c r="JUZ188" s="117"/>
      <c r="JVA188" s="117"/>
      <c r="JVB188" s="117"/>
      <c r="JVC188" s="117"/>
      <c r="JVD188" s="117"/>
      <c r="JVE188" s="117"/>
      <c r="JVF188" s="117"/>
      <c r="JVG188" s="117"/>
      <c r="JVH188" s="117"/>
      <c r="JVI188" s="117"/>
      <c r="JVJ188" s="117"/>
      <c r="JVK188" s="117"/>
      <c r="JVL188" s="117"/>
      <c r="JVM188" s="117"/>
      <c r="JVN188" s="117"/>
      <c r="JVO188" s="117"/>
      <c r="JVP188" s="117"/>
      <c r="JVQ188" s="117"/>
      <c r="JVR188" s="117"/>
      <c r="JVS188" s="117"/>
      <c r="JVT188" s="117"/>
      <c r="JVU188" s="117"/>
      <c r="JVV188" s="117"/>
      <c r="JVW188" s="117"/>
      <c r="JVX188" s="117"/>
      <c r="JVY188" s="117"/>
      <c r="JVZ188" s="117"/>
      <c r="JWA188" s="117"/>
      <c r="JWB188" s="117"/>
      <c r="JWC188" s="117"/>
      <c r="JWD188" s="117"/>
      <c r="JWE188" s="117"/>
      <c r="JWF188" s="117"/>
      <c r="JWG188" s="117"/>
      <c r="JWH188" s="117"/>
      <c r="JWI188" s="117"/>
      <c r="JWJ188" s="117"/>
      <c r="JWK188" s="117"/>
      <c r="JWL188" s="117"/>
      <c r="JWM188" s="117"/>
      <c r="JWN188" s="117"/>
      <c r="JWO188" s="117"/>
      <c r="JWP188" s="117"/>
      <c r="JWQ188" s="117"/>
      <c r="JWR188" s="117"/>
      <c r="JWS188" s="117"/>
      <c r="JWT188" s="117"/>
      <c r="JWU188" s="117"/>
      <c r="JWV188" s="117"/>
      <c r="JWW188" s="117"/>
      <c r="JWX188" s="117"/>
      <c r="JWY188" s="117"/>
      <c r="JWZ188" s="117"/>
      <c r="JXA188" s="117"/>
      <c r="JXB188" s="117"/>
      <c r="JXC188" s="117"/>
      <c r="JXD188" s="117"/>
      <c r="JXE188" s="117"/>
      <c r="JXF188" s="117"/>
      <c r="JXG188" s="117"/>
      <c r="JXH188" s="117"/>
      <c r="JXI188" s="117"/>
      <c r="JXJ188" s="117"/>
      <c r="JXK188" s="117"/>
      <c r="JXL188" s="117"/>
      <c r="JXM188" s="117"/>
      <c r="JXN188" s="117"/>
      <c r="JXO188" s="117"/>
      <c r="JXP188" s="117"/>
      <c r="JXQ188" s="117"/>
      <c r="JXR188" s="117"/>
      <c r="JXS188" s="117"/>
      <c r="JXT188" s="117"/>
      <c r="JXU188" s="117"/>
      <c r="JXV188" s="117"/>
      <c r="JXW188" s="117"/>
      <c r="JXX188" s="117"/>
      <c r="JXY188" s="117"/>
      <c r="JXZ188" s="117"/>
      <c r="JYA188" s="117"/>
      <c r="JYB188" s="117"/>
      <c r="JYC188" s="117"/>
      <c r="JYD188" s="117"/>
      <c r="JYE188" s="117"/>
      <c r="JYF188" s="117"/>
      <c r="JYG188" s="117"/>
      <c r="JYH188" s="117"/>
      <c r="JYI188" s="117"/>
      <c r="JYJ188" s="117"/>
      <c r="JYK188" s="117"/>
      <c r="JYL188" s="117"/>
      <c r="JYM188" s="117"/>
      <c r="JYN188" s="117"/>
      <c r="JYO188" s="117"/>
      <c r="JYP188" s="117"/>
      <c r="JYQ188" s="117"/>
      <c r="JYR188" s="117"/>
      <c r="JYS188" s="117"/>
      <c r="JYT188" s="117"/>
      <c r="JYU188" s="117"/>
      <c r="JYV188" s="117"/>
      <c r="JYW188" s="117"/>
      <c r="JYX188" s="117"/>
      <c r="JYY188" s="117"/>
      <c r="JYZ188" s="117"/>
      <c r="JZA188" s="117"/>
      <c r="JZB188" s="117"/>
      <c r="JZC188" s="117"/>
      <c r="JZD188" s="117"/>
      <c r="JZE188" s="117"/>
      <c r="JZF188" s="117"/>
      <c r="JZG188" s="117"/>
      <c r="JZH188" s="117"/>
      <c r="JZI188" s="117"/>
      <c r="JZJ188" s="117"/>
      <c r="JZK188" s="117"/>
      <c r="JZL188" s="117"/>
      <c r="JZM188" s="117"/>
      <c r="JZN188" s="117"/>
      <c r="JZO188" s="117"/>
      <c r="JZP188" s="117"/>
      <c r="JZQ188" s="117"/>
      <c r="JZR188" s="117"/>
      <c r="JZS188" s="117"/>
      <c r="JZT188" s="117"/>
      <c r="JZU188" s="117"/>
      <c r="JZV188" s="117"/>
      <c r="JZW188" s="117"/>
      <c r="JZX188" s="117"/>
      <c r="JZY188" s="117"/>
      <c r="JZZ188" s="117"/>
      <c r="KAA188" s="117"/>
      <c r="KAB188" s="117"/>
      <c r="KAC188" s="117"/>
      <c r="KAD188" s="117"/>
      <c r="KAE188" s="117"/>
      <c r="KAF188" s="117"/>
      <c r="KAG188" s="117"/>
      <c r="KAH188" s="117"/>
      <c r="KAI188" s="117"/>
      <c r="KAJ188" s="117"/>
      <c r="KAK188" s="117"/>
      <c r="KAL188" s="117"/>
      <c r="KAM188" s="117"/>
      <c r="KAN188" s="117"/>
      <c r="KAO188" s="117"/>
      <c r="KAP188" s="117"/>
      <c r="KAQ188" s="117"/>
      <c r="KAR188" s="117"/>
      <c r="KAS188" s="117"/>
      <c r="KAT188" s="117"/>
      <c r="KAU188" s="117"/>
      <c r="KAV188" s="117"/>
      <c r="KAW188" s="117"/>
      <c r="KAX188" s="117"/>
      <c r="KAY188" s="117"/>
      <c r="KAZ188" s="117"/>
      <c r="KBA188" s="117"/>
      <c r="KBB188" s="117"/>
      <c r="KBC188" s="117"/>
      <c r="KBD188" s="117"/>
      <c r="KBE188" s="117"/>
      <c r="KBF188" s="117"/>
      <c r="KBG188" s="117"/>
      <c r="KBH188" s="117"/>
      <c r="KBI188" s="117"/>
      <c r="KBJ188" s="117"/>
      <c r="KBK188" s="117"/>
      <c r="KBL188" s="117"/>
      <c r="KBM188" s="117"/>
      <c r="KBN188" s="117"/>
      <c r="KBO188" s="117"/>
      <c r="KBP188" s="117"/>
      <c r="KBQ188" s="117"/>
      <c r="KBR188" s="117"/>
      <c r="KBS188" s="117"/>
      <c r="KBT188" s="117"/>
      <c r="KBU188" s="117"/>
      <c r="KBV188" s="117"/>
      <c r="KBW188" s="117"/>
      <c r="KBX188" s="117"/>
      <c r="KBY188" s="117"/>
      <c r="KBZ188" s="117"/>
      <c r="KCA188" s="117"/>
      <c r="KCB188" s="117"/>
      <c r="KCC188" s="117"/>
      <c r="KCD188" s="117"/>
      <c r="KCE188" s="117"/>
      <c r="KCF188" s="117"/>
      <c r="KCG188" s="117"/>
      <c r="KCH188" s="117"/>
      <c r="KCI188" s="117"/>
      <c r="KCJ188" s="117"/>
      <c r="KCK188" s="117"/>
      <c r="KCL188" s="117"/>
      <c r="KCM188" s="117"/>
      <c r="KCN188" s="117"/>
      <c r="KCO188" s="117"/>
      <c r="KCP188" s="117"/>
      <c r="KCQ188" s="117"/>
      <c r="KCR188" s="117"/>
      <c r="KCS188" s="117"/>
      <c r="KCT188" s="117"/>
      <c r="KCU188" s="117"/>
      <c r="KCV188" s="117"/>
      <c r="KCW188" s="117"/>
      <c r="KCX188" s="117"/>
      <c r="KCY188" s="117"/>
      <c r="KCZ188" s="117"/>
      <c r="KDA188" s="117"/>
      <c r="KDB188" s="117"/>
      <c r="KDC188" s="117"/>
      <c r="KDD188" s="117"/>
      <c r="KDE188" s="117"/>
      <c r="KDF188" s="117"/>
      <c r="KDG188" s="117"/>
      <c r="KDH188" s="117"/>
      <c r="KDI188" s="117"/>
      <c r="KDJ188" s="117"/>
      <c r="KDK188" s="117"/>
      <c r="KDL188" s="117"/>
      <c r="KDM188" s="117"/>
      <c r="KDN188" s="117"/>
      <c r="KDO188" s="117"/>
      <c r="KDP188" s="117"/>
      <c r="KDQ188" s="117"/>
      <c r="KDR188" s="117"/>
      <c r="KDS188" s="117"/>
      <c r="KDT188" s="117"/>
      <c r="KDU188" s="117"/>
      <c r="KDV188" s="117"/>
      <c r="KDW188" s="117"/>
      <c r="KDX188" s="117"/>
      <c r="KDY188" s="117"/>
      <c r="KDZ188" s="117"/>
      <c r="KEA188" s="117"/>
      <c r="KEB188" s="117"/>
      <c r="KEC188" s="117"/>
      <c r="KED188" s="117"/>
      <c r="KEE188" s="117"/>
      <c r="KEF188" s="117"/>
      <c r="KEG188" s="117"/>
      <c r="KEH188" s="117"/>
      <c r="KEI188" s="117"/>
      <c r="KEJ188" s="117"/>
      <c r="KEK188" s="117"/>
      <c r="KEL188" s="117"/>
      <c r="KEM188" s="117"/>
      <c r="KEN188" s="117"/>
      <c r="KEO188" s="117"/>
      <c r="KEP188" s="117"/>
      <c r="KEQ188" s="117"/>
      <c r="KER188" s="117"/>
      <c r="KES188" s="117"/>
      <c r="KET188" s="117"/>
      <c r="KEU188" s="117"/>
      <c r="KEV188" s="117"/>
      <c r="KEW188" s="117"/>
      <c r="KEX188" s="117"/>
      <c r="KEY188" s="117"/>
      <c r="KEZ188" s="117"/>
      <c r="KFA188" s="117"/>
      <c r="KFB188" s="117"/>
      <c r="KFC188" s="117"/>
      <c r="KFD188" s="117"/>
      <c r="KFE188" s="117"/>
      <c r="KFF188" s="117"/>
      <c r="KFG188" s="117"/>
      <c r="KFH188" s="117"/>
      <c r="KFI188" s="117"/>
      <c r="KFJ188" s="117"/>
      <c r="KFK188" s="117"/>
      <c r="KFL188" s="117"/>
      <c r="KFM188" s="117"/>
      <c r="KFN188" s="117"/>
      <c r="KFO188" s="117"/>
      <c r="KFP188" s="117"/>
      <c r="KFQ188" s="117"/>
      <c r="KFR188" s="117"/>
      <c r="KFS188" s="117"/>
      <c r="KFT188" s="117"/>
      <c r="KFU188" s="117"/>
      <c r="KFV188" s="117"/>
      <c r="KFW188" s="117"/>
      <c r="KFX188" s="117"/>
      <c r="KFY188" s="117"/>
      <c r="KFZ188" s="117"/>
      <c r="KGA188" s="117"/>
      <c r="KGB188" s="117"/>
      <c r="KGC188" s="117"/>
      <c r="KGD188" s="117"/>
      <c r="KGE188" s="117"/>
      <c r="KGF188" s="117"/>
      <c r="KGG188" s="117"/>
      <c r="KGH188" s="117"/>
      <c r="KGI188" s="117"/>
      <c r="KGJ188" s="117"/>
      <c r="KGK188" s="117"/>
      <c r="KGL188" s="117"/>
      <c r="KGM188" s="117"/>
      <c r="KGN188" s="117"/>
      <c r="KGO188" s="117"/>
      <c r="KGP188" s="117"/>
      <c r="KGQ188" s="117"/>
      <c r="KGR188" s="117"/>
      <c r="KGS188" s="117"/>
      <c r="KGT188" s="117"/>
      <c r="KGU188" s="117"/>
      <c r="KGV188" s="117"/>
      <c r="KGW188" s="117"/>
      <c r="KGX188" s="117"/>
      <c r="KGY188" s="117"/>
      <c r="KGZ188" s="117"/>
      <c r="KHA188" s="117"/>
      <c r="KHB188" s="117"/>
      <c r="KHC188" s="117"/>
      <c r="KHD188" s="117"/>
      <c r="KHE188" s="117"/>
      <c r="KHF188" s="117"/>
      <c r="KHG188" s="117"/>
      <c r="KHH188" s="117"/>
      <c r="KHI188" s="117"/>
      <c r="KHJ188" s="117"/>
      <c r="KHK188" s="117"/>
      <c r="KHL188" s="117"/>
      <c r="KHM188" s="117"/>
      <c r="KHN188" s="117"/>
      <c r="KHO188" s="117"/>
      <c r="KHP188" s="117"/>
      <c r="KHQ188" s="117"/>
      <c r="KHR188" s="117"/>
      <c r="KHS188" s="117"/>
      <c r="KHT188" s="117"/>
      <c r="KHU188" s="117"/>
      <c r="KHV188" s="117"/>
      <c r="KHW188" s="117"/>
      <c r="KHX188" s="117"/>
      <c r="KHY188" s="117"/>
      <c r="KHZ188" s="117"/>
      <c r="KIA188" s="117"/>
      <c r="KIB188" s="117"/>
      <c r="KIC188" s="117"/>
      <c r="KID188" s="117"/>
      <c r="KIE188" s="117"/>
      <c r="KIF188" s="117"/>
      <c r="KIG188" s="117"/>
      <c r="KIH188" s="117"/>
      <c r="KII188" s="117"/>
      <c r="KIJ188" s="117"/>
      <c r="KIK188" s="117"/>
      <c r="KIL188" s="117"/>
      <c r="KIM188" s="117"/>
      <c r="KIN188" s="117"/>
      <c r="KIO188" s="117"/>
      <c r="KIP188" s="117"/>
      <c r="KIQ188" s="117"/>
      <c r="KIR188" s="117"/>
      <c r="KIS188" s="117"/>
      <c r="KIT188" s="117"/>
      <c r="KIU188" s="117"/>
      <c r="KIV188" s="117"/>
      <c r="KIW188" s="117"/>
      <c r="KIX188" s="117"/>
      <c r="KIY188" s="117"/>
      <c r="KIZ188" s="117"/>
      <c r="KJA188" s="117"/>
      <c r="KJB188" s="117"/>
      <c r="KJC188" s="117"/>
      <c r="KJD188" s="117"/>
      <c r="KJE188" s="117"/>
      <c r="KJF188" s="117"/>
      <c r="KJG188" s="117"/>
      <c r="KJH188" s="117"/>
      <c r="KJI188" s="117"/>
      <c r="KJJ188" s="117"/>
      <c r="KJK188" s="117"/>
      <c r="KJL188" s="117"/>
      <c r="KJM188" s="117"/>
      <c r="KJN188" s="117"/>
      <c r="KJO188" s="117"/>
      <c r="KJP188" s="117"/>
      <c r="KJQ188" s="117"/>
      <c r="KJR188" s="117"/>
      <c r="KJS188" s="117"/>
      <c r="KJT188" s="117"/>
      <c r="KJU188" s="117"/>
      <c r="KJV188" s="117"/>
      <c r="KJW188" s="117"/>
      <c r="KJX188" s="117"/>
      <c r="KJY188" s="117"/>
      <c r="KJZ188" s="117"/>
      <c r="KKA188" s="117"/>
      <c r="KKB188" s="117"/>
      <c r="KKC188" s="117"/>
      <c r="KKD188" s="117"/>
      <c r="KKE188" s="117"/>
      <c r="KKF188" s="117"/>
      <c r="KKG188" s="117"/>
      <c r="KKH188" s="117"/>
      <c r="KKI188" s="117"/>
      <c r="KKJ188" s="117"/>
      <c r="KKK188" s="117"/>
      <c r="KKL188" s="117"/>
      <c r="KKM188" s="117"/>
      <c r="KKN188" s="117"/>
      <c r="KKO188" s="117"/>
      <c r="KKP188" s="117"/>
      <c r="KKQ188" s="117"/>
      <c r="KKR188" s="117"/>
      <c r="KKS188" s="117"/>
      <c r="KKT188" s="117"/>
      <c r="KKU188" s="117"/>
      <c r="KKV188" s="117"/>
      <c r="KKW188" s="117"/>
      <c r="KKX188" s="117"/>
      <c r="KKY188" s="117"/>
      <c r="KKZ188" s="117"/>
      <c r="KLA188" s="117"/>
      <c r="KLB188" s="117"/>
      <c r="KLC188" s="117"/>
      <c r="KLD188" s="117"/>
      <c r="KLE188" s="117"/>
      <c r="KLF188" s="117"/>
      <c r="KLG188" s="117"/>
      <c r="KLH188" s="117"/>
      <c r="KLI188" s="117"/>
      <c r="KLJ188" s="117"/>
      <c r="KLK188" s="117"/>
      <c r="KLL188" s="117"/>
      <c r="KLM188" s="117"/>
      <c r="KLN188" s="117"/>
      <c r="KLO188" s="117"/>
      <c r="KLP188" s="117"/>
      <c r="KLQ188" s="117"/>
      <c r="KLR188" s="117"/>
      <c r="KLS188" s="117"/>
      <c r="KLT188" s="117"/>
      <c r="KLU188" s="117"/>
      <c r="KLV188" s="117"/>
      <c r="KLW188" s="117"/>
      <c r="KLX188" s="117"/>
      <c r="KLY188" s="117"/>
      <c r="KLZ188" s="117"/>
      <c r="KMA188" s="117"/>
      <c r="KMB188" s="117"/>
      <c r="KMC188" s="117"/>
      <c r="KMD188" s="117"/>
      <c r="KME188" s="117"/>
      <c r="KMF188" s="117"/>
      <c r="KMG188" s="117"/>
      <c r="KMH188" s="117"/>
      <c r="KMI188" s="117"/>
      <c r="KMJ188" s="117"/>
      <c r="KMK188" s="117"/>
      <c r="KML188" s="117"/>
      <c r="KMM188" s="117"/>
      <c r="KMN188" s="117"/>
      <c r="KMO188" s="117"/>
      <c r="KMP188" s="117"/>
      <c r="KMQ188" s="117"/>
      <c r="KMR188" s="117"/>
      <c r="KMS188" s="117"/>
      <c r="KMT188" s="117"/>
      <c r="KMU188" s="117"/>
      <c r="KMV188" s="117"/>
      <c r="KMW188" s="117"/>
      <c r="KMX188" s="117"/>
      <c r="KMY188" s="117"/>
      <c r="KMZ188" s="117"/>
      <c r="KNA188" s="117"/>
      <c r="KNB188" s="117"/>
      <c r="KNC188" s="117"/>
      <c r="KND188" s="117"/>
      <c r="KNE188" s="117"/>
      <c r="KNF188" s="117"/>
      <c r="KNG188" s="117"/>
      <c r="KNH188" s="117"/>
      <c r="KNI188" s="117"/>
      <c r="KNJ188" s="117"/>
      <c r="KNK188" s="117"/>
      <c r="KNL188" s="117"/>
      <c r="KNM188" s="117"/>
      <c r="KNN188" s="117"/>
      <c r="KNO188" s="117"/>
      <c r="KNP188" s="117"/>
      <c r="KNQ188" s="117"/>
      <c r="KNR188" s="117"/>
      <c r="KNS188" s="117"/>
      <c r="KNT188" s="117"/>
      <c r="KNU188" s="117"/>
      <c r="KNV188" s="117"/>
      <c r="KNW188" s="117"/>
      <c r="KNX188" s="117"/>
      <c r="KNY188" s="117"/>
      <c r="KNZ188" s="117"/>
      <c r="KOA188" s="117"/>
      <c r="KOB188" s="117"/>
      <c r="KOC188" s="117"/>
      <c r="KOD188" s="117"/>
      <c r="KOE188" s="117"/>
      <c r="KOF188" s="117"/>
      <c r="KOG188" s="117"/>
      <c r="KOH188" s="117"/>
      <c r="KOI188" s="117"/>
      <c r="KOJ188" s="117"/>
      <c r="KOK188" s="117"/>
      <c r="KOL188" s="117"/>
      <c r="KOM188" s="117"/>
      <c r="KON188" s="117"/>
      <c r="KOO188" s="117"/>
      <c r="KOP188" s="117"/>
      <c r="KOQ188" s="117"/>
      <c r="KOR188" s="117"/>
      <c r="KOS188" s="117"/>
      <c r="KOT188" s="117"/>
      <c r="KOU188" s="117"/>
      <c r="KOV188" s="117"/>
      <c r="KOW188" s="117"/>
      <c r="KOX188" s="117"/>
      <c r="KOY188" s="117"/>
      <c r="KOZ188" s="117"/>
      <c r="KPA188" s="117"/>
      <c r="KPB188" s="117"/>
      <c r="KPC188" s="117"/>
      <c r="KPD188" s="117"/>
      <c r="KPE188" s="117"/>
      <c r="KPF188" s="117"/>
      <c r="KPG188" s="117"/>
      <c r="KPH188" s="117"/>
      <c r="KPI188" s="117"/>
      <c r="KPJ188" s="117"/>
      <c r="KPK188" s="117"/>
      <c r="KPL188" s="117"/>
      <c r="KPM188" s="117"/>
      <c r="KPN188" s="117"/>
      <c r="KPO188" s="117"/>
      <c r="KPP188" s="117"/>
      <c r="KPQ188" s="117"/>
      <c r="KPR188" s="117"/>
      <c r="KPS188" s="117"/>
      <c r="KPT188" s="117"/>
      <c r="KPU188" s="117"/>
      <c r="KPV188" s="117"/>
      <c r="KPW188" s="117"/>
      <c r="KPX188" s="117"/>
      <c r="KPY188" s="117"/>
      <c r="KPZ188" s="117"/>
      <c r="KQA188" s="117"/>
      <c r="KQB188" s="117"/>
      <c r="KQC188" s="117"/>
      <c r="KQD188" s="117"/>
      <c r="KQE188" s="117"/>
      <c r="KQF188" s="117"/>
      <c r="KQG188" s="117"/>
      <c r="KQH188" s="117"/>
      <c r="KQI188" s="117"/>
      <c r="KQJ188" s="117"/>
      <c r="KQK188" s="117"/>
      <c r="KQL188" s="117"/>
      <c r="KQM188" s="117"/>
      <c r="KQN188" s="117"/>
      <c r="KQO188" s="117"/>
      <c r="KQP188" s="117"/>
      <c r="KQQ188" s="117"/>
      <c r="KQR188" s="117"/>
      <c r="KQS188" s="117"/>
      <c r="KQT188" s="117"/>
      <c r="KQU188" s="117"/>
      <c r="KQV188" s="117"/>
      <c r="KQW188" s="117"/>
      <c r="KQX188" s="117"/>
      <c r="KQY188" s="117"/>
      <c r="KQZ188" s="117"/>
      <c r="KRA188" s="117"/>
      <c r="KRB188" s="117"/>
      <c r="KRC188" s="117"/>
      <c r="KRD188" s="117"/>
      <c r="KRE188" s="117"/>
      <c r="KRF188" s="117"/>
      <c r="KRG188" s="117"/>
      <c r="KRH188" s="117"/>
      <c r="KRI188" s="117"/>
      <c r="KRJ188" s="117"/>
      <c r="KRK188" s="117"/>
      <c r="KRL188" s="117"/>
      <c r="KRM188" s="117"/>
      <c r="KRN188" s="117"/>
      <c r="KRO188" s="117"/>
      <c r="KRP188" s="117"/>
      <c r="KRQ188" s="117"/>
      <c r="KRR188" s="117"/>
      <c r="KRS188" s="117"/>
      <c r="KRT188" s="117"/>
      <c r="KRU188" s="117"/>
      <c r="KRV188" s="117"/>
      <c r="KRW188" s="117"/>
      <c r="KRX188" s="117"/>
      <c r="KRY188" s="117"/>
      <c r="KRZ188" s="117"/>
      <c r="KSA188" s="117"/>
      <c r="KSB188" s="117"/>
      <c r="KSC188" s="117"/>
      <c r="KSD188" s="117"/>
      <c r="KSE188" s="117"/>
      <c r="KSF188" s="117"/>
      <c r="KSG188" s="117"/>
      <c r="KSH188" s="117"/>
      <c r="KSI188" s="117"/>
      <c r="KSJ188" s="117"/>
      <c r="KSK188" s="117"/>
      <c r="KSL188" s="117"/>
      <c r="KSM188" s="117"/>
      <c r="KSN188" s="117"/>
      <c r="KSO188" s="117"/>
      <c r="KSP188" s="117"/>
      <c r="KSQ188" s="117"/>
      <c r="KSR188" s="117"/>
      <c r="KSS188" s="117"/>
      <c r="KST188" s="117"/>
      <c r="KSU188" s="117"/>
      <c r="KSV188" s="117"/>
      <c r="KSW188" s="117"/>
      <c r="KSX188" s="117"/>
      <c r="KSY188" s="117"/>
      <c r="KSZ188" s="117"/>
      <c r="KTA188" s="117"/>
      <c r="KTB188" s="117"/>
      <c r="KTC188" s="117"/>
      <c r="KTD188" s="117"/>
      <c r="KTE188" s="117"/>
      <c r="KTF188" s="117"/>
      <c r="KTG188" s="117"/>
      <c r="KTH188" s="117"/>
      <c r="KTI188" s="117"/>
      <c r="KTJ188" s="117"/>
      <c r="KTK188" s="117"/>
      <c r="KTL188" s="117"/>
      <c r="KTM188" s="117"/>
      <c r="KTN188" s="117"/>
      <c r="KTO188" s="117"/>
      <c r="KTP188" s="117"/>
      <c r="KTQ188" s="117"/>
      <c r="KTR188" s="117"/>
      <c r="KTS188" s="117"/>
      <c r="KTT188" s="117"/>
      <c r="KTU188" s="117"/>
      <c r="KTV188" s="117"/>
      <c r="KTW188" s="117"/>
      <c r="KTX188" s="117"/>
      <c r="KTY188" s="117"/>
      <c r="KTZ188" s="117"/>
      <c r="KUA188" s="117"/>
      <c r="KUB188" s="117"/>
      <c r="KUC188" s="117"/>
      <c r="KUD188" s="117"/>
      <c r="KUE188" s="117"/>
      <c r="KUF188" s="117"/>
      <c r="KUG188" s="117"/>
      <c r="KUH188" s="117"/>
      <c r="KUI188" s="117"/>
      <c r="KUJ188" s="117"/>
      <c r="KUK188" s="117"/>
      <c r="KUL188" s="117"/>
      <c r="KUM188" s="117"/>
      <c r="KUN188" s="117"/>
      <c r="KUO188" s="117"/>
      <c r="KUP188" s="117"/>
      <c r="KUQ188" s="117"/>
      <c r="KUR188" s="117"/>
      <c r="KUS188" s="117"/>
      <c r="KUT188" s="117"/>
      <c r="KUU188" s="117"/>
      <c r="KUV188" s="117"/>
      <c r="KUW188" s="117"/>
      <c r="KUX188" s="117"/>
      <c r="KUY188" s="117"/>
      <c r="KUZ188" s="117"/>
      <c r="KVA188" s="117"/>
      <c r="KVB188" s="117"/>
      <c r="KVC188" s="117"/>
      <c r="KVD188" s="117"/>
      <c r="KVE188" s="117"/>
      <c r="KVF188" s="117"/>
      <c r="KVG188" s="117"/>
      <c r="KVH188" s="117"/>
      <c r="KVI188" s="117"/>
      <c r="KVJ188" s="117"/>
      <c r="KVK188" s="117"/>
      <c r="KVL188" s="117"/>
      <c r="KVM188" s="117"/>
      <c r="KVN188" s="117"/>
      <c r="KVO188" s="117"/>
      <c r="KVP188" s="117"/>
      <c r="KVQ188" s="117"/>
      <c r="KVR188" s="117"/>
      <c r="KVS188" s="117"/>
      <c r="KVT188" s="117"/>
      <c r="KVU188" s="117"/>
      <c r="KVV188" s="117"/>
      <c r="KVW188" s="117"/>
      <c r="KVX188" s="117"/>
      <c r="KVY188" s="117"/>
      <c r="KVZ188" s="117"/>
      <c r="KWA188" s="117"/>
      <c r="KWB188" s="117"/>
      <c r="KWC188" s="117"/>
      <c r="KWD188" s="117"/>
      <c r="KWE188" s="117"/>
      <c r="KWF188" s="117"/>
      <c r="KWG188" s="117"/>
      <c r="KWH188" s="117"/>
      <c r="KWI188" s="117"/>
      <c r="KWJ188" s="117"/>
      <c r="KWK188" s="117"/>
      <c r="KWL188" s="117"/>
      <c r="KWM188" s="117"/>
      <c r="KWN188" s="117"/>
      <c r="KWO188" s="117"/>
      <c r="KWP188" s="117"/>
      <c r="KWQ188" s="117"/>
      <c r="KWR188" s="117"/>
      <c r="KWS188" s="117"/>
      <c r="KWT188" s="117"/>
      <c r="KWU188" s="117"/>
      <c r="KWV188" s="117"/>
      <c r="KWW188" s="117"/>
      <c r="KWX188" s="117"/>
      <c r="KWY188" s="117"/>
      <c r="KWZ188" s="117"/>
      <c r="KXA188" s="117"/>
      <c r="KXB188" s="117"/>
      <c r="KXC188" s="117"/>
      <c r="KXD188" s="117"/>
      <c r="KXE188" s="117"/>
      <c r="KXF188" s="117"/>
      <c r="KXG188" s="117"/>
      <c r="KXH188" s="117"/>
      <c r="KXI188" s="117"/>
      <c r="KXJ188" s="117"/>
      <c r="KXK188" s="117"/>
      <c r="KXL188" s="117"/>
      <c r="KXM188" s="117"/>
      <c r="KXN188" s="117"/>
      <c r="KXO188" s="117"/>
      <c r="KXP188" s="117"/>
      <c r="KXQ188" s="117"/>
      <c r="KXR188" s="117"/>
      <c r="KXS188" s="117"/>
      <c r="KXT188" s="117"/>
      <c r="KXU188" s="117"/>
      <c r="KXV188" s="117"/>
      <c r="KXW188" s="117"/>
      <c r="KXX188" s="117"/>
      <c r="KXY188" s="117"/>
      <c r="KXZ188" s="117"/>
      <c r="KYA188" s="117"/>
      <c r="KYB188" s="117"/>
      <c r="KYC188" s="117"/>
      <c r="KYD188" s="117"/>
      <c r="KYE188" s="117"/>
      <c r="KYF188" s="117"/>
      <c r="KYG188" s="117"/>
      <c r="KYH188" s="117"/>
      <c r="KYI188" s="117"/>
      <c r="KYJ188" s="117"/>
      <c r="KYK188" s="117"/>
      <c r="KYL188" s="117"/>
      <c r="KYM188" s="117"/>
      <c r="KYN188" s="117"/>
      <c r="KYO188" s="117"/>
      <c r="KYP188" s="117"/>
      <c r="KYQ188" s="117"/>
      <c r="KYR188" s="117"/>
      <c r="KYS188" s="117"/>
      <c r="KYT188" s="117"/>
      <c r="KYU188" s="117"/>
      <c r="KYV188" s="117"/>
      <c r="KYW188" s="117"/>
      <c r="KYX188" s="117"/>
      <c r="KYY188" s="117"/>
      <c r="KYZ188" s="117"/>
      <c r="KZA188" s="117"/>
      <c r="KZB188" s="117"/>
      <c r="KZC188" s="117"/>
      <c r="KZD188" s="117"/>
      <c r="KZE188" s="117"/>
      <c r="KZF188" s="117"/>
      <c r="KZG188" s="117"/>
      <c r="KZH188" s="117"/>
      <c r="KZI188" s="117"/>
      <c r="KZJ188" s="117"/>
      <c r="KZK188" s="117"/>
      <c r="KZL188" s="117"/>
      <c r="KZM188" s="117"/>
      <c r="KZN188" s="117"/>
      <c r="KZO188" s="117"/>
      <c r="KZP188" s="117"/>
      <c r="KZQ188" s="117"/>
      <c r="KZR188" s="117"/>
      <c r="KZS188" s="117"/>
      <c r="KZT188" s="117"/>
      <c r="KZU188" s="117"/>
      <c r="KZV188" s="117"/>
      <c r="KZW188" s="117"/>
      <c r="KZX188" s="117"/>
      <c r="KZY188" s="117"/>
      <c r="KZZ188" s="117"/>
      <c r="LAA188" s="117"/>
      <c r="LAB188" s="117"/>
      <c r="LAC188" s="117"/>
      <c r="LAD188" s="117"/>
      <c r="LAE188" s="117"/>
      <c r="LAF188" s="117"/>
      <c r="LAG188" s="117"/>
      <c r="LAH188" s="117"/>
      <c r="LAI188" s="117"/>
      <c r="LAJ188" s="117"/>
      <c r="LAK188" s="117"/>
      <c r="LAL188" s="117"/>
      <c r="LAM188" s="117"/>
      <c r="LAN188" s="117"/>
      <c r="LAO188" s="117"/>
      <c r="LAP188" s="117"/>
      <c r="LAQ188" s="117"/>
      <c r="LAR188" s="117"/>
      <c r="LAS188" s="117"/>
      <c r="LAT188" s="117"/>
      <c r="LAU188" s="117"/>
      <c r="LAV188" s="117"/>
      <c r="LAW188" s="117"/>
      <c r="LAX188" s="117"/>
      <c r="LAY188" s="117"/>
      <c r="LAZ188" s="117"/>
      <c r="LBA188" s="117"/>
      <c r="LBB188" s="117"/>
      <c r="LBC188" s="117"/>
      <c r="LBD188" s="117"/>
      <c r="LBE188" s="117"/>
      <c r="LBF188" s="117"/>
      <c r="LBG188" s="117"/>
      <c r="LBH188" s="117"/>
      <c r="LBI188" s="117"/>
      <c r="LBJ188" s="117"/>
      <c r="LBK188" s="117"/>
      <c r="LBL188" s="117"/>
      <c r="LBM188" s="117"/>
      <c r="LBN188" s="117"/>
      <c r="LBO188" s="117"/>
      <c r="LBP188" s="117"/>
      <c r="LBQ188" s="117"/>
      <c r="LBR188" s="117"/>
      <c r="LBS188" s="117"/>
      <c r="LBT188" s="117"/>
      <c r="LBU188" s="117"/>
      <c r="LBV188" s="117"/>
      <c r="LBW188" s="117"/>
      <c r="LBX188" s="117"/>
      <c r="LBY188" s="117"/>
      <c r="LBZ188" s="117"/>
      <c r="LCA188" s="117"/>
      <c r="LCB188" s="117"/>
      <c r="LCC188" s="117"/>
      <c r="LCD188" s="117"/>
      <c r="LCE188" s="117"/>
      <c r="LCF188" s="117"/>
      <c r="LCG188" s="117"/>
      <c r="LCH188" s="117"/>
      <c r="LCI188" s="117"/>
      <c r="LCJ188" s="117"/>
      <c r="LCK188" s="117"/>
      <c r="LCL188" s="117"/>
      <c r="LCM188" s="117"/>
      <c r="LCN188" s="117"/>
      <c r="LCO188" s="117"/>
      <c r="LCP188" s="117"/>
      <c r="LCQ188" s="117"/>
      <c r="LCR188" s="117"/>
      <c r="LCS188" s="117"/>
      <c r="LCT188" s="117"/>
      <c r="LCU188" s="117"/>
      <c r="LCV188" s="117"/>
      <c r="LCW188" s="117"/>
      <c r="LCX188" s="117"/>
      <c r="LCY188" s="117"/>
      <c r="LCZ188" s="117"/>
      <c r="LDA188" s="117"/>
      <c r="LDB188" s="117"/>
      <c r="LDC188" s="117"/>
      <c r="LDD188" s="117"/>
      <c r="LDE188" s="117"/>
      <c r="LDF188" s="117"/>
      <c r="LDG188" s="117"/>
      <c r="LDH188" s="117"/>
      <c r="LDI188" s="117"/>
      <c r="LDJ188" s="117"/>
      <c r="LDK188" s="117"/>
      <c r="LDL188" s="117"/>
      <c r="LDM188" s="117"/>
      <c r="LDN188" s="117"/>
      <c r="LDO188" s="117"/>
      <c r="LDP188" s="117"/>
      <c r="LDQ188" s="117"/>
      <c r="LDR188" s="117"/>
      <c r="LDS188" s="117"/>
      <c r="LDT188" s="117"/>
      <c r="LDU188" s="117"/>
      <c r="LDV188" s="117"/>
      <c r="LDW188" s="117"/>
      <c r="LDX188" s="117"/>
      <c r="LDY188" s="117"/>
      <c r="LDZ188" s="117"/>
      <c r="LEA188" s="117"/>
      <c r="LEB188" s="117"/>
      <c r="LEC188" s="117"/>
      <c r="LED188" s="117"/>
      <c r="LEE188" s="117"/>
      <c r="LEF188" s="117"/>
      <c r="LEG188" s="117"/>
      <c r="LEH188" s="117"/>
      <c r="LEI188" s="117"/>
      <c r="LEJ188" s="117"/>
      <c r="LEK188" s="117"/>
      <c r="LEL188" s="117"/>
      <c r="LEM188" s="117"/>
      <c r="LEN188" s="117"/>
      <c r="LEO188" s="117"/>
      <c r="LEP188" s="117"/>
      <c r="LEQ188" s="117"/>
      <c r="LER188" s="117"/>
      <c r="LES188" s="117"/>
      <c r="LET188" s="117"/>
      <c r="LEU188" s="117"/>
      <c r="LEV188" s="117"/>
      <c r="LEW188" s="117"/>
      <c r="LEX188" s="117"/>
      <c r="LEY188" s="117"/>
      <c r="LEZ188" s="117"/>
      <c r="LFA188" s="117"/>
      <c r="LFB188" s="117"/>
      <c r="LFC188" s="117"/>
      <c r="LFD188" s="117"/>
      <c r="LFE188" s="117"/>
      <c r="LFF188" s="117"/>
      <c r="LFG188" s="117"/>
      <c r="LFH188" s="117"/>
      <c r="LFI188" s="117"/>
      <c r="LFJ188" s="117"/>
      <c r="LFK188" s="117"/>
      <c r="LFL188" s="117"/>
      <c r="LFM188" s="117"/>
      <c r="LFN188" s="117"/>
      <c r="LFO188" s="117"/>
      <c r="LFP188" s="117"/>
      <c r="LFQ188" s="117"/>
      <c r="LFR188" s="117"/>
      <c r="LFS188" s="117"/>
      <c r="LFT188" s="117"/>
      <c r="LFU188" s="117"/>
      <c r="LFV188" s="117"/>
      <c r="LFW188" s="117"/>
      <c r="LFX188" s="117"/>
      <c r="LFY188" s="117"/>
      <c r="LFZ188" s="117"/>
      <c r="LGA188" s="117"/>
      <c r="LGB188" s="117"/>
      <c r="LGC188" s="117"/>
      <c r="LGD188" s="117"/>
      <c r="LGE188" s="117"/>
      <c r="LGF188" s="117"/>
      <c r="LGG188" s="117"/>
      <c r="LGH188" s="117"/>
      <c r="LGI188" s="117"/>
      <c r="LGJ188" s="117"/>
      <c r="LGK188" s="117"/>
      <c r="LGL188" s="117"/>
      <c r="LGM188" s="117"/>
      <c r="LGN188" s="117"/>
      <c r="LGO188" s="117"/>
      <c r="LGP188" s="117"/>
      <c r="LGQ188" s="117"/>
      <c r="LGR188" s="117"/>
      <c r="LGS188" s="117"/>
      <c r="LGT188" s="117"/>
      <c r="LGU188" s="117"/>
      <c r="LGV188" s="117"/>
      <c r="LGW188" s="117"/>
      <c r="LGX188" s="117"/>
      <c r="LGY188" s="117"/>
      <c r="LGZ188" s="117"/>
      <c r="LHA188" s="117"/>
      <c r="LHB188" s="117"/>
      <c r="LHC188" s="117"/>
      <c r="LHD188" s="117"/>
      <c r="LHE188" s="117"/>
      <c r="LHF188" s="117"/>
      <c r="LHG188" s="117"/>
      <c r="LHH188" s="117"/>
      <c r="LHI188" s="117"/>
      <c r="LHJ188" s="117"/>
      <c r="LHK188" s="117"/>
      <c r="LHL188" s="117"/>
      <c r="LHM188" s="117"/>
      <c r="LHN188" s="117"/>
      <c r="LHO188" s="117"/>
      <c r="LHP188" s="117"/>
      <c r="LHQ188" s="117"/>
      <c r="LHR188" s="117"/>
      <c r="LHS188" s="117"/>
      <c r="LHT188" s="117"/>
      <c r="LHU188" s="117"/>
      <c r="LHV188" s="117"/>
      <c r="LHW188" s="117"/>
      <c r="LHX188" s="117"/>
      <c r="LHY188" s="117"/>
      <c r="LHZ188" s="117"/>
      <c r="LIA188" s="117"/>
      <c r="LIB188" s="117"/>
      <c r="LIC188" s="117"/>
      <c r="LID188" s="117"/>
      <c r="LIE188" s="117"/>
      <c r="LIF188" s="117"/>
      <c r="LIG188" s="117"/>
      <c r="LIH188" s="117"/>
      <c r="LII188" s="117"/>
      <c r="LIJ188" s="117"/>
      <c r="LIK188" s="117"/>
      <c r="LIL188" s="117"/>
      <c r="LIM188" s="117"/>
      <c r="LIN188" s="117"/>
      <c r="LIO188" s="117"/>
      <c r="LIP188" s="117"/>
      <c r="LIQ188" s="117"/>
      <c r="LIR188" s="117"/>
      <c r="LIS188" s="117"/>
      <c r="LIT188" s="117"/>
      <c r="LIU188" s="117"/>
      <c r="LIV188" s="117"/>
      <c r="LIW188" s="117"/>
      <c r="LIX188" s="117"/>
      <c r="LIY188" s="117"/>
      <c r="LIZ188" s="117"/>
      <c r="LJA188" s="117"/>
      <c r="LJB188" s="117"/>
      <c r="LJC188" s="117"/>
      <c r="LJD188" s="117"/>
      <c r="LJE188" s="117"/>
      <c r="LJF188" s="117"/>
      <c r="LJG188" s="117"/>
      <c r="LJH188" s="117"/>
      <c r="LJI188" s="117"/>
      <c r="LJJ188" s="117"/>
      <c r="LJK188" s="117"/>
      <c r="LJL188" s="117"/>
      <c r="LJM188" s="117"/>
      <c r="LJN188" s="117"/>
      <c r="LJO188" s="117"/>
      <c r="LJP188" s="117"/>
      <c r="LJQ188" s="117"/>
      <c r="LJR188" s="117"/>
      <c r="LJS188" s="117"/>
      <c r="LJT188" s="117"/>
      <c r="LJU188" s="117"/>
      <c r="LJV188" s="117"/>
      <c r="LJW188" s="117"/>
      <c r="LJX188" s="117"/>
      <c r="LJY188" s="117"/>
      <c r="LJZ188" s="117"/>
      <c r="LKA188" s="117"/>
      <c r="LKB188" s="117"/>
      <c r="LKC188" s="117"/>
      <c r="LKD188" s="117"/>
      <c r="LKE188" s="117"/>
      <c r="LKF188" s="117"/>
      <c r="LKG188" s="117"/>
      <c r="LKH188" s="117"/>
      <c r="LKI188" s="117"/>
      <c r="LKJ188" s="117"/>
      <c r="LKK188" s="117"/>
      <c r="LKL188" s="117"/>
      <c r="LKM188" s="117"/>
      <c r="LKN188" s="117"/>
      <c r="LKO188" s="117"/>
      <c r="LKP188" s="117"/>
      <c r="LKQ188" s="117"/>
      <c r="LKR188" s="117"/>
      <c r="LKS188" s="117"/>
      <c r="LKT188" s="117"/>
      <c r="LKU188" s="117"/>
      <c r="LKV188" s="117"/>
      <c r="LKW188" s="117"/>
      <c r="LKX188" s="117"/>
      <c r="LKY188" s="117"/>
      <c r="LKZ188" s="117"/>
      <c r="LLA188" s="117"/>
      <c r="LLB188" s="117"/>
      <c r="LLC188" s="117"/>
      <c r="LLD188" s="117"/>
      <c r="LLE188" s="117"/>
      <c r="LLF188" s="117"/>
      <c r="LLG188" s="117"/>
      <c r="LLH188" s="117"/>
      <c r="LLI188" s="117"/>
      <c r="LLJ188" s="117"/>
      <c r="LLK188" s="117"/>
      <c r="LLL188" s="117"/>
      <c r="LLM188" s="117"/>
      <c r="LLN188" s="117"/>
      <c r="LLO188" s="117"/>
      <c r="LLP188" s="117"/>
      <c r="LLQ188" s="117"/>
      <c r="LLR188" s="117"/>
      <c r="LLS188" s="117"/>
      <c r="LLT188" s="117"/>
      <c r="LLU188" s="117"/>
      <c r="LLV188" s="117"/>
      <c r="LLW188" s="117"/>
      <c r="LLX188" s="117"/>
      <c r="LLY188" s="117"/>
      <c r="LLZ188" s="117"/>
      <c r="LMA188" s="117"/>
      <c r="LMB188" s="117"/>
      <c r="LMC188" s="117"/>
      <c r="LMD188" s="117"/>
      <c r="LME188" s="117"/>
      <c r="LMF188" s="117"/>
      <c r="LMG188" s="117"/>
      <c r="LMH188" s="117"/>
      <c r="LMI188" s="117"/>
      <c r="LMJ188" s="117"/>
      <c r="LMK188" s="117"/>
      <c r="LML188" s="117"/>
      <c r="LMM188" s="117"/>
      <c r="LMN188" s="117"/>
      <c r="LMO188" s="117"/>
      <c r="LMP188" s="117"/>
      <c r="LMQ188" s="117"/>
      <c r="LMR188" s="117"/>
      <c r="LMS188" s="117"/>
      <c r="LMT188" s="117"/>
      <c r="LMU188" s="117"/>
      <c r="LMV188" s="117"/>
      <c r="LMW188" s="117"/>
      <c r="LMX188" s="117"/>
      <c r="LMY188" s="117"/>
      <c r="LMZ188" s="117"/>
      <c r="LNA188" s="117"/>
      <c r="LNB188" s="117"/>
      <c r="LNC188" s="117"/>
      <c r="LND188" s="117"/>
      <c r="LNE188" s="117"/>
      <c r="LNF188" s="117"/>
      <c r="LNG188" s="117"/>
      <c r="LNH188" s="117"/>
      <c r="LNI188" s="117"/>
      <c r="LNJ188" s="117"/>
      <c r="LNK188" s="117"/>
      <c r="LNL188" s="117"/>
      <c r="LNM188" s="117"/>
      <c r="LNN188" s="117"/>
      <c r="LNO188" s="117"/>
      <c r="LNP188" s="117"/>
      <c r="LNQ188" s="117"/>
      <c r="LNR188" s="117"/>
      <c r="LNS188" s="117"/>
      <c r="LNT188" s="117"/>
      <c r="LNU188" s="117"/>
      <c r="LNV188" s="117"/>
      <c r="LNW188" s="117"/>
      <c r="LNX188" s="117"/>
      <c r="LNY188" s="117"/>
      <c r="LNZ188" s="117"/>
      <c r="LOA188" s="117"/>
      <c r="LOB188" s="117"/>
      <c r="LOC188" s="117"/>
      <c r="LOD188" s="117"/>
      <c r="LOE188" s="117"/>
      <c r="LOF188" s="117"/>
      <c r="LOG188" s="117"/>
      <c r="LOH188" s="117"/>
      <c r="LOI188" s="117"/>
      <c r="LOJ188" s="117"/>
      <c r="LOK188" s="117"/>
      <c r="LOL188" s="117"/>
      <c r="LOM188" s="117"/>
      <c r="LON188" s="117"/>
      <c r="LOO188" s="117"/>
      <c r="LOP188" s="117"/>
      <c r="LOQ188" s="117"/>
      <c r="LOR188" s="117"/>
      <c r="LOS188" s="117"/>
      <c r="LOT188" s="117"/>
      <c r="LOU188" s="117"/>
      <c r="LOV188" s="117"/>
      <c r="LOW188" s="117"/>
      <c r="LOX188" s="117"/>
      <c r="LOY188" s="117"/>
      <c r="LOZ188" s="117"/>
      <c r="LPA188" s="117"/>
      <c r="LPB188" s="117"/>
      <c r="LPC188" s="117"/>
      <c r="LPD188" s="117"/>
      <c r="LPE188" s="117"/>
      <c r="LPF188" s="117"/>
      <c r="LPG188" s="117"/>
      <c r="LPH188" s="117"/>
      <c r="LPI188" s="117"/>
      <c r="LPJ188" s="117"/>
      <c r="LPK188" s="117"/>
      <c r="LPL188" s="117"/>
      <c r="LPM188" s="117"/>
      <c r="LPN188" s="117"/>
      <c r="LPO188" s="117"/>
      <c r="LPP188" s="117"/>
      <c r="LPQ188" s="117"/>
      <c r="LPR188" s="117"/>
      <c r="LPS188" s="117"/>
      <c r="LPT188" s="117"/>
      <c r="LPU188" s="117"/>
      <c r="LPV188" s="117"/>
      <c r="LPW188" s="117"/>
      <c r="LPX188" s="117"/>
      <c r="LPY188" s="117"/>
      <c r="LPZ188" s="117"/>
      <c r="LQA188" s="117"/>
      <c r="LQB188" s="117"/>
      <c r="LQC188" s="117"/>
      <c r="LQD188" s="117"/>
      <c r="LQE188" s="117"/>
      <c r="LQF188" s="117"/>
      <c r="LQG188" s="117"/>
      <c r="LQH188" s="117"/>
      <c r="LQI188" s="117"/>
      <c r="LQJ188" s="117"/>
      <c r="LQK188" s="117"/>
      <c r="LQL188" s="117"/>
      <c r="LQM188" s="117"/>
      <c r="LQN188" s="117"/>
      <c r="LQO188" s="117"/>
      <c r="LQP188" s="117"/>
      <c r="LQQ188" s="117"/>
      <c r="LQR188" s="117"/>
      <c r="LQS188" s="117"/>
      <c r="LQT188" s="117"/>
      <c r="LQU188" s="117"/>
      <c r="LQV188" s="117"/>
      <c r="LQW188" s="117"/>
      <c r="LQX188" s="117"/>
      <c r="LQY188" s="117"/>
      <c r="LQZ188" s="117"/>
      <c r="LRA188" s="117"/>
      <c r="LRB188" s="117"/>
      <c r="LRC188" s="117"/>
      <c r="LRD188" s="117"/>
      <c r="LRE188" s="117"/>
      <c r="LRF188" s="117"/>
      <c r="LRG188" s="117"/>
      <c r="LRH188" s="117"/>
      <c r="LRI188" s="117"/>
      <c r="LRJ188" s="117"/>
      <c r="LRK188" s="117"/>
      <c r="LRL188" s="117"/>
      <c r="LRM188" s="117"/>
      <c r="LRN188" s="117"/>
      <c r="LRO188" s="117"/>
      <c r="LRP188" s="117"/>
      <c r="LRQ188" s="117"/>
      <c r="LRR188" s="117"/>
      <c r="LRS188" s="117"/>
      <c r="LRT188" s="117"/>
      <c r="LRU188" s="117"/>
      <c r="LRV188" s="117"/>
      <c r="LRW188" s="117"/>
      <c r="LRX188" s="117"/>
      <c r="LRY188" s="117"/>
      <c r="LRZ188" s="117"/>
      <c r="LSA188" s="117"/>
      <c r="LSB188" s="117"/>
      <c r="LSC188" s="117"/>
      <c r="LSD188" s="117"/>
      <c r="LSE188" s="117"/>
      <c r="LSF188" s="117"/>
      <c r="LSG188" s="117"/>
      <c r="LSH188" s="117"/>
      <c r="LSI188" s="117"/>
      <c r="LSJ188" s="117"/>
      <c r="LSK188" s="117"/>
      <c r="LSL188" s="117"/>
      <c r="LSM188" s="117"/>
      <c r="LSN188" s="117"/>
      <c r="LSO188" s="117"/>
      <c r="LSP188" s="117"/>
      <c r="LSQ188" s="117"/>
      <c r="LSR188" s="117"/>
      <c r="LSS188" s="117"/>
      <c r="LST188" s="117"/>
      <c r="LSU188" s="117"/>
      <c r="LSV188" s="117"/>
      <c r="LSW188" s="117"/>
      <c r="LSX188" s="117"/>
      <c r="LSY188" s="117"/>
      <c r="LSZ188" s="117"/>
      <c r="LTA188" s="117"/>
      <c r="LTB188" s="117"/>
      <c r="LTC188" s="117"/>
      <c r="LTD188" s="117"/>
      <c r="LTE188" s="117"/>
      <c r="LTF188" s="117"/>
      <c r="LTG188" s="117"/>
      <c r="LTH188" s="117"/>
      <c r="LTI188" s="117"/>
      <c r="LTJ188" s="117"/>
      <c r="LTK188" s="117"/>
      <c r="LTL188" s="117"/>
      <c r="LTM188" s="117"/>
      <c r="LTN188" s="117"/>
      <c r="LTO188" s="117"/>
      <c r="LTP188" s="117"/>
      <c r="LTQ188" s="117"/>
      <c r="LTR188" s="117"/>
      <c r="LTS188" s="117"/>
      <c r="LTT188" s="117"/>
      <c r="LTU188" s="117"/>
      <c r="LTV188" s="117"/>
      <c r="LTW188" s="117"/>
      <c r="LTX188" s="117"/>
      <c r="LTY188" s="117"/>
      <c r="LTZ188" s="117"/>
      <c r="LUA188" s="117"/>
      <c r="LUB188" s="117"/>
      <c r="LUC188" s="117"/>
      <c r="LUD188" s="117"/>
      <c r="LUE188" s="117"/>
      <c r="LUF188" s="117"/>
      <c r="LUG188" s="117"/>
      <c r="LUH188" s="117"/>
      <c r="LUI188" s="117"/>
      <c r="LUJ188" s="117"/>
      <c r="LUK188" s="117"/>
      <c r="LUL188" s="117"/>
      <c r="LUM188" s="117"/>
      <c r="LUN188" s="117"/>
      <c r="LUO188" s="117"/>
      <c r="LUP188" s="117"/>
      <c r="LUQ188" s="117"/>
      <c r="LUR188" s="117"/>
      <c r="LUS188" s="117"/>
      <c r="LUT188" s="117"/>
      <c r="LUU188" s="117"/>
      <c r="LUV188" s="117"/>
      <c r="LUW188" s="117"/>
      <c r="LUX188" s="117"/>
      <c r="LUY188" s="117"/>
      <c r="LUZ188" s="117"/>
      <c r="LVA188" s="117"/>
      <c r="LVB188" s="117"/>
      <c r="LVC188" s="117"/>
      <c r="LVD188" s="117"/>
      <c r="LVE188" s="117"/>
      <c r="LVF188" s="117"/>
      <c r="LVG188" s="117"/>
      <c r="LVH188" s="117"/>
      <c r="LVI188" s="117"/>
      <c r="LVJ188" s="117"/>
      <c r="LVK188" s="117"/>
      <c r="LVL188" s="117"/>
      <c r="LVM188" s="117"/>
      <c r="LVN188" s="117"/>
      <c r="LVO188" s="117"/>
      <c r="LVP188" s="117"/>
      <c r="LVQ188" s="117"/>
      <c r="LVR188" s="117"/>
      <c r="LVS188" s="117"/>
      <c r="LVT188" s="117"/>
      <c r="LVU188" s="117"/>
      <c r="LVV188" s="117"/>
      <c r="LVW188" s="117"/>
      <c r="LVX188" s="117"/>
      <c r="LVY188" s="117"/>
      <c r="LVZ188" s="117"/>
      <c r="LWA188" s="117"/>
      <c r="LWB188" s="117"/>
      <c r="LWC188" s="117"/>
      <c r="LWD188" s="117"/>
      <c r="LWE188" s="117"/>
      <c r="LWF188" s="117"/>
      <c r="LWG188" s="117"/>
      <c r="LWH188" s="117"/>
      <c r="LWI188" s="117"/>
      <c r="LWJ188" s="117"/>
      <c r="LWK188" s="117"/>
      <c r="LWL188" s="117"/>
      <c r="LWM188" s="117"/>
      <c r="LWN188" s="117"/>
      <c r="LWO188" s="117"/>
      <c r="LWP188" s="117"/>
      <c r="LWQ188" s="117"/>
      <c r="LWR188" s="117"/>
      <c r="LWS188" s="117"/>
      <c r="LWT188" s="117"/>
      <c r="LWU188" s="117"/>
      <c r="LWV188" s="117"/>
      <c r="LWW188" s="117"/>
      <c r="LWX188" s="117"/>
      <c r="LWY188" s="117"/>
      <c r="LWZ188" s="117"/>
      <c r="LXA188" s="117"/>
      <c r="LXB188" s="117"/>
      <c r="LXC188" s="117"/>
      <c r="LXD188" s="117"/>
      <c r="LXE188" s="117"/>
      <c r="LXF188" s="117"/>
      <c r="LXG188" s="117"/>
      <c r="LXH188" s="117"/>
      <c r="LXI188" s="117"/>
      <c r="LXJ188" s="117"/>
      <c r="LXK188" s="117"/>
      <c r="LXL188" s="117"/>
      <c r="LXM188" s="117"/>
      <c r="LXN188" s="117"/>
      <c r="LXO188" s="117"/>
      <c r="LXP188" s="117"/>
      <c r="LXQ188" s="117"/>
      <c r="LXR188" s="117"/>
      <c r="LXS188" s="117"/>
      <c r="LXT188" s="117"/>
      <c r="LXU188" s="117"/>
      <c r="LXV188" s="117"/>
      <c r="LXW188" s="117"/>
      <c r="LXX188" s="117"/>
      <c r="LXY188" s="117"/>
      <c r="LXZ188" s="117"/>
      <c r="LYA188" s="117"/>
      <c r="LYB188" s="117"/>
      <c r="LYC188" s="117"/>
      <c r="LYD188" s="117"/>
      <c r="LYE188" s="117"/>
      <c r="LYF188" s="117"/>
      <c r="LYG188" s="117"/>
      <c r="LYH188" s="117"/>
      <c r="LYI188" s="117"/>
      <c r="LYJ188" s="117"/>
      <c r="LYK188" s="117"/>
      <c r="LYL188" s="117"/>
      <c r="LYM188" s="117"/>
      <c r="LYN188" s="117"/>
      <c r="LYO188" s="117"/>
      <c r="LYP188" s="117"/>
      <c r="LYQ188" s="117"/>
      <c r="LYR188" s="117"/>
      <c r="LYS188" s="117"/>
      <c r="LYT188" s="117"/>
      <c r="LYU188" s="117"/>
      <c r="LYV188" s="117"/>
      <c r="LYW188" s="117"/>
      <c r="LYX188" s="117"/>
      <c r="LYY188" s="117"/>
      <c r="LYZ188" s="117"/>
      <c r="LZA188" s="117"/>
      <c r="LZB188" s="117"/>
      <c r="LZC188" s="117"/>
      <c r="LZD188" s="117"/>
      <c r="LZE188" s="117"/>
      <c r="LZF188" s="117"/>
      <c r="LZG188" s="117"/>
      <c r="LZH188" s="117"/>
      <c r="LZI188" s="117"/>
      <c r="LZJ188" s="117"/>
      <c r="LZK188" s="117"/>
      <c r="LZL188" s="117"/>
      <c r="LZM188" s="117"/>
      <c r="LZN188" s="117"/>
      <c r="LZO188" s="117"/>
      <c r="LZP188" s="117"/>
      <c r="LZQ188" s="117"/>
      <c r="LZR188" s="117"/>
      <c r="LZS188" s="117"/>
      <c r="LZT188" s="117"/>
      <c r="LZU188" s="117"/>
      <c r="LZV188" s="117"/>
      <c r="LZW188" s="117"/>
      <c r="LZX188" s="117"/>
      <c r="LZY188" s="117"/>
      <c r="LZZ188" s="117"/>
      <c r="MAA188" s="117"/>
      <c r="MAB188" s="117"/>
      <c r="MAC188" s="117"/>
      <c r="MAD188" s="117"/>
      <c r="MAE188" s="117"/>
      <c r="MAF188" s="117"/>
      <c r="MAG188" s="117"/>
      <c r="MAH188" s="117"/>
      <c r="MAI188" s="117"/>
      <c r="MAJ188" s="117"/>
      <c r="MAK188" s="117"/>
      <c r="MAL188" s="117"/>
      <c r="MAM188" s="117"/>
      <c r="MAN188" s="117"/>
      <c r="MAO188" s="117"/>
      <c r="MAP188" s="117"/>
      <c r="MAQ188" s="117"/>
      <c r="MAR188" s="117"/>
      <c r="MAS188" s="117"/>
      <c r="MAT188" s="117"/>
      <c r="MAU188" s="117"/>
      <c r="MAV188" s="117"/>
      <c r="MAW188" s="117"/>
      <c r="MAX188" s="117"/>
      <c r="MAY188" s="117"/>
      <c r="MAZ188" s="117"/>
      <c r="MBA188" s="117"/>
      <c r="MBB188" s="117"/>
      <c r="MBC188" s="117"/>
      <c r="MBD188" s="117"/>
      <c r="MBE188" s="117"/>
      <c r="MBF188" s="117"/>
      <c r="MBG188" s="117"/>
      <c r="MBH188" s="117"/>
      <c r="MBI188" s="117"/>
      <c r="MBJ188" s="117"/>
      <c r="MBK188" s="117"/>
      <c r="MBL188" s="117"/>
      <c r="MBM188" s="117"/>
      <c r="MBN188" s="117"/>
      <c r="MBO188" s="117"/>
      <c r="MBP188" s="117"/>
      <c r="MBQ188" s="117"/>
      <c r="MBR188" s="117"/>
      <c r="MBS188" s="117"/>
      <c r="MBT188" s="117"/>
      <c r="MBU188" s="117"/>
      <c r="MBV188" s="117"/>
      <c r="MBW188" s="117"/>
      <c r="MBX188" s="117"/>
      <c r="MBY188" s="117"/>
      <c r="MBZ188" s="117"/>
      <c r="MCA188" s="117"/>
      <c r="MCB188" s="117"/>
      <c r="MCC188" s="117"/>
      <c r="MCD188" s="117"/>
      <c r="MCE188" s="117"/>
      <c r="MCF188" s="117"/>
      <c r="MCG188" s="117"/>
      <c r="MCH188" s="117"/>
      <c r="MCI188" s="117"/>
      <c r="MCJ188" s="117"/>
      <c r="MCK188" s="117"/>
      <c r="MCL188" s="117"/>
      <c r="MCM188" s="117"/>
      <c r="MCN188" s="117"/>
      <c r="MCO188" s="117"/>
      <c r="MCP188" s="117"/>
      <c r="MCQ188" s="117"/>
      <c r="MCR188" s="117"/>
      <c r="MCS188" s="117"/>
      <c r="MCT188" s="117"/>
      <c r="MCU188" s="117"/>
      <c r="MCV188" s="117"/>
      <c r="MCW188" s="117"/>
      <c r="MCX188" s="117"/>
      <c r="MCY188" s="117"/>
      <c r="MCZ188" s="117"/>
      <c r="MDA188" s="117"/>
      <c r="MDB188" s="117"/>
      <c r="MDC188" s="117"/>
      <c r="MDD188" s="117"/>
      <c r="MDE188" s="117"/>
      <c r="MDF188" s="117"/>
      <c r="MDG188" s="117"/>
      <c r="MDH188" s="117"/>
      <c r="MDI188" s="117"/>
      <c r="MDJ188" s="117"/>
      <c r="MDK188" s="117"/>
      <c r="MDL188" s="117"/>
      <c r="MDM188" s="117"/>
      <c r="MDN188" s="117"/>
      <c r="MDO188" s="117"/>
      <c r="MDP188" s="117"/>
      <c r="MDQ188" s="117"/>
      <c r="MDR188" s="117"/>
      <c r="MDS188" s="117"/>
      <c r="MDT188" s="117"/>
      <c r="MDU188" s="117"/>
      <c r="MDV188" s="117"/>
      <c r="MDW188" s="117"/>
      <c r="MDX188" s="117"/>
      <c r="MDY188" s="117"/>
      <c r="MDZ188" s="117"/>
      <c r="MEA188" s="117"/>
      <c r="MEB188" s="117"/>
      <c r="MEC188" s="117"/>
      <c r="MED188" s="117"/>
      <c r="MEE188" s="117"/>
      <c r="MEF188" s="117"/>
      <c r="MEG188" s="117"/>
      <c r="MEH188" s="117"/>
      <c r="MEI188" s="117"/>
      <c r="MEJ188" s="117"/>
      <c r="MEK188" s="117"/>
      <c r="MEL188" s="117"/>
      <c r="MEM188" s="117"/>
      <c r="MEN188" s="117"/>
      <c r="MEO188" s="117"/>
      <c r="MEP188" s="117"/>
      <c r="MEQ188" s="117"/>
      <c r="MER188" s="117"/>
      <c r="MES188" s="117"/>
      <c r="MET188" s="117"/>
      <c r="MEU188" s="117"/>
      <c r="MEV188" s="117"/>
      <c r="MEW188" s="117"/>
      <c r="MEX188" s="117"/>
      <c r="MEY188" s="117"/>
      <c r="MEZ188" s="117"/>
      <c r="MFA188" s="117"/>
      <c r="MFB188" s="117"/>
      <c r="MFC188" s="117"/>
      <c r="MFD188" s="117"/>
      <c r="MFE188" s="117"/>
      <c r="MFF188" s="117"/>
      <c r="MFG188" s="117"/>
      <c r="MFH188" s="117"/>
      <c r="MFI188" s="117"/>
      <c r="MFJ188" s="117"/>
      <c r="MFK188" s="117"/>
      <c r="MFL188" s="117"/>
      <c r="MFM188" s="117"/>
      <c r="MFN188" s="117"/>
      <c r="MFO188" s="117"/>
      <c r="MFP188" s="117"/>
      <c r="MFQ188" s="117"/>
      <c r="MFR188" s="117"/>
      <c r="MFS188" s="117"/>
      <c r="MFT188" s="117"/>
      <c r="MFU188" s="117"/>
      <c r="MFV188" s="117"/>
      <c r="MFW188" s="117"/>
      <c r="MFX188" s="117"/>
      <c r="MFY188" s="117"/>
      <c r="MFZ188" s="117"/>
      <c r="MGA188" s="117"/>
      <c r="MGB188" s="117"/>
      <c r="MGC188" s="117"/>
      <c r="MGD188" s="117"/>
      <c r="MGE188" s="117"/>
      <c r="MGF188" s="117"/>
      <c r="MGG188" s="117"/>
      <c r="MGH188" s="117"/>
      <c r="MGI188" s="117"/>
      <c r="MGJ188" s="117"/>
      <c r="MGK188" s="117"/>
      <c r="MGL188" s="117"/>
      <c r="MGM188" s="117"/>
      <c r="MGN188" s="117"/>
      <c r="MGO188" s="117"/>
      <c r="MGP188" s="117"/>
      <c r="MGQ188" s="117"/>
      <c r="MGR188" s="117"/>
      <c r="MGS188" s="117"/>
      <c r="MGT188" s="117"/>
      <c r="MGU188" s="117"/>
      <c r="MGV188" s="117"/>
      <c r="MGW188" s="117"/>
      <c r="MGX188" s="117"/>
      <c r="MGY188" s="117"/>
      <c r="MGZ188" s="117"/>
      <c r="MHA188" s="117"/>
      <c r="MHB188" s="117"/>
      <c r="MHC188" s="117"/>
      <c r="MHD188" s="117"/>
      <c r="MHE188" s="117"/>
      <c r="MHF188" s="117"/>
      <c r="MHG188" s="117"/>
      <c r="MHH188" s="117"/>
      <c r="MHI188" s="117"/>
      <c r="MHJ188" s="117"/>
      <c r="MHK188" s="117"/>
      <c r="MHL188" s="117"/>
      <c r="MHM188" s="117"/>
      <c r="MHN188" s="117"/>
      <c r="MHO188" s="117"/>
      <c r="MHP188" s="117"/>
      <c r="MHQ188" s="117"/>
      <c r="MHR188" s="117"/>
      <c r="MHS188" s="117"/>
      <c r="MHT188" s="117"/>
      <c r="MHU188" s="117"/>
      <c r="MHV188" s="117"/>
      <c r="MHW188" s="117"/>
      <c r="MHX188" s="117"/>
      <c r="MHY188" s="117"/>
      <c r="MHZ188" s="117"/>
      <c r="MIA188" s="117"/>
      <c r="MIB188" s="117"/>
      <c r="MIC188" s="117"/>
      <c r="MID188" s="117"/>
      <c r="MIE188" s="117"/>
      <c r="MIF188" s="117"/>
      <c r="MIG188" s="117"/>
      <c r="MIH188" s="117"/>
      <c r="MII188" s="117"/>
      <c r="MIJ188" s="117"/>
      <c r="MIK188" s="117"/>
      <c r="MIL188" s="117"/>
      <c r="MIM188" s="117"/>
      <c r="MIN188" s="117"/>
      <c r="MIO188" s="117"/>
      <c r="MIP188" s="117"/>
      <c r="MIQ188" s="117"/>
      <c r="MIR188" s="117"/>
      <c r="MIS188" s="117"/>
      <c r="MIT188" s="117"/>
      <c r="MIU188" s="117"/>
      <c r="MIV188" s="117"/>
      <c r="MIW188" s="117"/>
      <c r="MIX188" s="117"/>
      <c r="MIY188" s="117"/>
      <c r="MIZ188" s="117"/>
      <c r="MJA188" s="117"/>
      <c r="MJB188" s="117"/>
      <c r="MJC188" s="117"/>
      <c r="MJD188" s="117"/>
      <c r="MJE188" s="117"/>
      <c r="MJF188" s="117"/>
      <c r="MJG188" s="117"/>
      <c r="MJH188" s="117"/>
      <c r="MJI188" s="117"/>
      <c r="MJJ188" s="117"/>
      <c r="MJK188" s="117"/>
      <c r="MJL188" s="117"/>
      <c r="MJM188" s="117"/>
      <c r="MJN188" s="117"/>
      <c r="MJO188" s="117"/>
      <c r="MJP188" s="117"/>
      <c r="MJQ188" s="117"/>
      <c r="MJR188" s="117"/>
      <c r="MJS188" s="117"/>
      <c r="MJT188" s="117"/>
      <c r="MJU188" s="117"/>
      <c r="MJV188" s="117"/>
      <c r="MJW188" s="117"/>
      <c r="MJX188" s="117"/>
      <c r="MJY188" s="117"/>
      <c r="MJZ188" s="117"/>
      <c r="MKA188" s="117"/>
      <c r="MKB188" s="117"/>
      <c r="MKC188" s="117"/>
      <c r="MKD188" s="117"/>
      <c r="MKE188" s="117"/>
      <c r="MKF188" s="117"/>
      <c r="MKG188" s="117"/>
      <c r="MKH188" s="117"/>
      <c r="MKI188" s="117"/>
      <c r="MKJ188" s="117"/>
      <c r="MKK188" s="117"/>
      <c r="MKL188" s="117"/>
      <c r="MKM188" s="117"/>
      <c r="MKN188" s="117"/>
      <c r="MKO188" s="117"/>
      <c r="MKP188" s="117"/>
      <c r="MKQ188" s="117"/>
      <c r="MKR188" s="117"/>
      <c r="MKS188" s="117"/>
      <c r="MKT188" s="117"/>
      <c r="MKU188" s="117"/>
      <c r="MKV188" s="117"/>
      <c r="MKW188" s="117"/>
      <c r="MKX188" s="117"/>
      <c r="MKY188" s="117"/>
      <c r="MKZ188" s="117"/>
      <c r="MLA188" s="117"/>
      <c r="MLB188" s="117"/>
      <c r="MLC188" s="117"/>
      <c r="MLD188" s="117"/>
      <c r="MLE188" s="117"/>
      <c r="MLF188" s="117"/>
      <c r="MLG188" s="117"/>
      <c r="MLH188" s="117"/>
      <c r="MLI188" s="117"/>
      <c r="MLJ188" s="117"/>
      <c r="MLK188" s="117"/>
      <c r="MLL188" s="117"/>
      <c r="MLM188" s="117"/>
      <c r="MLN188" s="117"/>
      <c r="MLO188" s="117"/>
      <c r="MLP188" s="117"/>
      <c r="MLQ188" s="117"/>
      <c r="MLR188" s="117"/>
      <c r="MLS188" s="117"/>
      <c r="MLT188" s="117"/>
      <c r="MLU188" s="117"/>
      <c r="MLV188" s="117"/>
      <c r="MLW188" s="117"/>
      <c r="MLX188" s="117"/>
      <c r="MLY188" s="117"/>
      <c r="MLZ188" s="117"/>
      <c r="MMA188" s="117"/>
      <c r="MMB188" s="117"/>
      <c r="MMC188" s="117"/>
      <c r="MMD188" s="117"/>
      <c r="MME188" s="117"/>
      <c r="MMF188" s="117"/>
      <c r="MMG188" s="117"/>
      <c r="MMH188" s="117"/>
      <c r="MMI188" s="117"/>
      <c r="MMJ188" s="117"/>
      <c r="MMK188" s="117"/>
      <c r="MML188" s="117"/>
      <c r="MMM188" s="117"/>
      <c r="MMN188" s="117"/>
      <c r="MMO188" s="117"/>
      <c r="MMP188" s="117"/>
      <c r="MMQ188" s="117"/>
      <c r="MMR188" s="117"/>
      <c r="MMS188" s="117"/>
      <c r="MMT188" s="117"/>
      <c r="MMU188" s="117"/>
      <c r="MMV188" s="117"/>
      <c r="MMW188" s="117"/>
      <c r="MMX188" s="117"/>
      <c r="MMY188" s="117"/>
      <c r="MMZ188" s="117"/>
      <c r="MNA188" s="117"/>
      <c r="MNB188" s="117"/>
      <c r="MNC188" s="117"/>
      <c r="MND188" s="117"/>
      <c r="MNE188" s="117"/>
      <c r="MNF188" s="117"/>
      <c r="MNG188" s="117"/>
      <c r="MNH188" s="117"/>
      <c r="MNI188" s="117"/>
      <c r="MNJ188" s="117"/>
      <c r="MNK188" s="117"/>
      <c r="MNL188" s="117"/>
      <c r="MNM188" s="117"/>
      <c r="MNN188" s="117"/>
      <c r="MNO188" s="117"/>
      <c r="MNP188" s="117"/>
      <c r="MNQ188" s="117"/>
      <c r="MNR188" s="117"/>
      <c r="MNS188" s="117"/>
      <c r="MNT188" s="117"/>
      <c r="MNU188" s="117"/>
      <c r="MNV188" s="117"/>
      <c r="MNW188" s="117"/>
      <c r="MNX188" s="117"/>
      <c r="MNY188" s="117"/>
      <c r="MNZ188" s="117"/>
      <c r="MOA188" s="117"/>
      <c r="MOB188" s="117"/>
      <c r="MOC188" s="117"/>
      <c r="MOD188" s="117"/>
      <c r="MOE188" s="117"/>
      <c r="MOF188" s="117"/>
      <c r="MOG188" s="117"/>
      <c r="MOH188" s="117"/>
      <c r="MOI188" s="117"/>
      <c r="MOJ188" s="117"/>
      <c r="MOK188" s="117"/>
      <c r="MOL188" s="117"/>
      <c r="MOM188" s="117"/>
      <c r="MON188" s="117"/>
      <c r="MOO188" s="117"/>
      <c r="MOP188" s="117"/>
      <c r="MOQ188" s="117"/>
      <c r="MOR188" s="117"/>
      <c r="MOS188" s="117"/>
      <c r="MOT188" s="117"/>
      <c r="MOU188" s="117"/>
      <c r="MOV188" s="117"/>
      <c r="MOW188" s="117"/>
      <c r="MOX188" s="117"/>
      <c r="MOY188" s="117"/>
      <c r="MOZ188" s="117"/>
      <c r="MPA188" s="117"/>
      <c r="MPB188" s="117"/>
      <c r="MPC188" s="117"/>
      <c r="MPD188" s="117"/>
      <c r="MPE188" s="117"/>
      <c r="MPF188" s="117"/>
      <c r="MPG188" s="117"/>
      <c r="MPH188" s="117"/>
      <c r="MPI188" s="117"/>
      <c r="MPJ188" s="117"/>
      <c r="MPK188" s="117"/>
      <c r="MPL188" s="117"/>
      <c r="MPM188" s="117"/>
      <c r="MPN188" s="117"/>
      <c r="MPO188" s="117"/>
      <c r="MPP188" s="117"/>
      <c r="MPQ188" s="117"/>
      <c r="MPR188" s="117"/>
      <c r="MPS188" s="117"/>
      <c r="MPT188" s="117"/>
      <c r="MPU188" s="117"/>
      <c r="MPV188" s="117"/>
      <c r="MPW188" s="117"/>
      <c r="MPX188" s="117"/>
      <c r="MPY188" s="117"/>
      <c r="MPZ188" s="117"/>
      <c r="MQA188" s="117"/>
      <c r="MQB188" s="117"/>
      <c r="MQC188" s="117"/>
      <c r="MQD188" s="117"/>
      <c r="MQE188" s="117"/>
      <c r="MQF188" s="117"/>
      <c r="MQG188" s="117"/>
      <c r="MQH188" s="117"/>
      <c r="MQI188" s="117"/>
      <c r="MQJ188" s="117"/>
      <c r="MQK188" s="117"/>
      <c r="MQL188" s="117"/>
      <c r="MQM188" s="117"/>
      <c r="MQN188" s="117"/>
      <c r="MQO188" s="117"/>
      <c r="MQP188" s="117"/>
      <c r="MQQ188" s="117"/>
      <c r="MQR188" s="117"/>
      <c r="MQS188" s="117"/>
      <c r="MQT188" s="117"/>
      <c r="MQU188" s="117"/>
      <c r="MQV188" s="117"/>
      <c r="MQW188" s="117"/>
      <c r="MQX188" s="117"/>
      <c r="MQY188" s="117"/>
      <c r="MQZ188" s="117"/>
      <c r="MRA188" s="117"/>
      <c r="MRB188" s="117"/>
      <c r="MRC188" s="117"/>
      <c r="MRD188" s="117"/>
      <c r="MRE188" s="117"/>
      <c r="MRF188" s="117"/>
      <c r="MRG188" s="117"/>
      <c r="MRH188" s="117"/>
      <c r="MRI188" s="117"/>
      <c r="MRJ188" s="117"/>
      <c r="MRK188" s="117"/>
      <c r="MRL188" s="117"/>
      <c r="MRM188" s="117"/>
      <c r="MRN188" s="117"/>
      <c r="MRO188" s="117"/>
      <c r="MRP188" s="117"/>
      <c r="MRQ188" s="117"/>
      <c r="MRR188" s="117"/>
      <c r="MRS188" s="117"/>
      <c r="MRT188" s="117"/>
      <c r="MRU188" s="117"/>
      <c r="MRV188" s="117"/>
      <c r="MRW188" s="117"/>
      <c r="MRX188" s="117"/>
      <c r="MRY188" s="117"/>
      <c r="MRZ188" s="117"/>
      <c r="MSA188" s="117"/>
      <c r="MSB188" s="117"/>
      <c r="MSC188" s="117"/>
      <c r="MSD188" s="117"/>
      <c r="MSE188" s="117"/>
      <c r="MSF188" s="117"/>
      <c r="MSG188" s="117"/>
      <c r="MSH188" s="117"/>
      <c r="MSI188" s="117"/>
      <c r="MSJ188" s="117"/>
      <c r="MSK188" s="117"/>
      <c r="MSL188" s="117"/>
      <c r="MSM188" s="117"/>
      <c r="MSN188" s="117"/>
      <c r="MSO188" s="117"/>
      <c r="MSP188" s="117"/>
      <c r="MSQ188" s="117"/>
      <c r="MSR188" s="117"/>
      <c r="MSS188" s="117"/>
      <c r="MST188" s="117"/>
      <c r="MSU188" s="117"/>
      <c r="MSV188" s="117"/>
      <c r="MSW188" s="117"/>
      <c r="MSX188" s="117"/>
      <c r="MSY188" s="117"/>
      <c r="MSZ188" s="117"/>
      <c r="MTA188" s="117"/>
      <c r="MTB188" s="117"/>
      <c r="MTC188" s="117"/>
      <c r="MTD188" s="117"/>
      <c r="MTE188" s="117"/>
      <c r="MTF188" s="117"/>
      <c r="MTG188" s="117"/>
      <c r="MTH188" s="117"/>
      <c r="MTI188" s="117"/>
      <c r="MTJ188" s="117"/>
      <c r="MTK188" s="117"/>
      <c r="MTL188" s="117"/>
      <c r="MTM188" s="117"/>
      <c r="MTN188" s="117"/>
      <c r="MTO188" s="117"/>
      <c r="MTP188" s="117"/>
      <c r="MTQ188" s="117"/>
      <c r="MTR188" s="117"/>
      <c r="MTS188" s="117"/>
      <c r="MTT188" s="117"/>
      <c r="MTU188" s="117"/>
      <c r="MTV188" s="117"/>
      <c r="MTW188" s="117"/>
      <c r="MTX188" s="117"/>
      <c r="MTY188" s="117"/>
      <c r="MTZ188" s="117"/>
      <c r="MUA188" s="117"/>
      <c r="MUB188" s="117"/>
      <c r="MUC188" s="117"/>
      <c r="MUD188" s="117"/>
      <c r="MUE188" s="117"/>
      <c r="MUF188" s="117"/>
      <c r="MUG188" s="117"/>
      <c r="MUH188" s="117"/>
      <c r="MUI188" s="117"/>
      <c r="MUJ188" s="117"/>
      <c r="MUK188" s="117"/>
      <c r="MUL188" s="117"/>
      <c r="MUM188" s="117"/>
      <c r="MUN188" s="117"/>
      <c r="MUO188" s="117"/>
      <c r="MUP188" s="117"/>
      <c r="MUQ188" s="117"/>
      <c r="MUR188" s="117"/>
      <c r="MUS188" s="117"/>
      <c r="MUT188" s="117"/>
      <c r="MUU188" s="117"/>
      <c r="MUV188" s="117"/>
      <c r="MUW188" s="117"/>
      <c r="MUX188" s="117"/>
      <c r="MUY188" s="117"/>
      <c r="MUZ188" s="117"/>
      <c r="MVA188" s="117"/>
      <c r="MVB188" s="117"/>
      <c r="MVC188" s="117"/>
      <c r="MVD188" s="117"/>
      <c r="MVE188" s="117"/>
      <c r="MVF188" s="117"/>
      <c r="MVG188" s="117"/>
      <c r="MVH188" s="117"/>
      <c r="MVI188" s="117"/>
      <c r="MVJ188" s="117"/>
      <c r="MVK188" s="117"/>
      <c r="MVL188" s="117"/>
      <c r="MVM188" s="117"/>
      <c r="MVN188" s="117"/>
      <c r="MVO188" s="117"/>
      <c r="MVP188" s="117"/>
      <c r="MVQ188" s="117"/>
      <c r="MVR188" s="117"/>
      <c r="MVS188" s="117"/>
      <c r="MVT188" s="117"/>
      <c r="MVU188" s="117"/>
      <c r="MVV188" s="117"/>
      <c r="MVW188" s="117"/>
      <c r="MVX188" s="117"/>
      <c r="MVY188" s="117"/>
      <c r="MVZ188" s="117"/>
      <c r="MWA188" s="117"/>
      <c r="MWB188" s="117"/>
      <c r="MWC188" s="117"/>
      <c r="MWD188" s="117"/>
      <c r="MWE188" s="117"/>
      <c r="MWF188" s="117"/>
      <c r="MWG188" s="117"/>
      <c r="MWH188" s="117"/>
      <c r="MWI188" s="117"/>
      <c r="MWJ188" s="117"/>
      <c r="MWK188" s="117"/>
      <c r="MWL188" s="117"/>
      <c r="MWM188" s="117"/>
      <c r="MWN188" s="117"/>
      <c r="MWO188" s="117"/>
      <c r="MWP188" s="117"/>
      <c r="MWQ188" s="117"/>
      <c r="MWR188" s="117"/>
      <c r="MWS188" s="117"/>
      <c r="MWT188" s="117"/>
      <c r="MWU188" s="117"/>
      <c r="MWV188" s="117"/>
      <c r="MWW188" s="117"/>
      <c r="MWX188" s="117"/>
      <c r="MWY188" s="117"/>
      <c r="MWZ188" s="117"/>
      <c r="MXA188" s="117"/>
      <c r="MXB188" s="117"/>
      <c r="MXC188" s="117"/>
      <c r="MXD188" s="117"/>
      <c r="MXE188" s="117"/>
      <c r="MXF188" s="117"/>
      <c r="MXG188" s="117"/>
      <c r="MXH188" s="117"/>
      <c r="MXI188" s="117"/>
      <c r="MXJ188" s="117"/>
      <c r="MXK188" s="117"/>
      <c r="MXL188" s="117"/>
      <c r="MXM188" s="117"/>
      <c r="MXN188" s="117"/>
      <c r="MXO188" s="117"/>
      <c r="MXP188" s="117"/>
      <c r="MXQ188" s="117"/>
      <c r="MXR188" s="117"/>
      <c r="MXS188" s="117"/>
      <c r="MXT188" s="117"/>
      <c r="MXU188" s="117"/>
      <c r="MXV188" s="117"/>
      <c r="MXW188" s="117"/>
      <c r="MXX188" s="117"/>
      <c r="MXY188" s="117"/>
      <c r="MXZ188" s="117"/>
      <c r="MYA188" s="117"/>
      <c r="MYB188" s="117"/>
      <c r="MYC188" s="117"/>
      <c r="MYD188" s="117"/>
      <c r="MYE188" s="117"/>
      <c r="MYF188" s="117"/>
      <c r="MYG188" s="117"/>
      <c r="MYH188" s="117"/>
      <c r="MYI188" s="117"/>
      <c r="MYJ188" s="117"/>
      <c r="MYK188" s="117"/>
      <c r="MYL188" s="117"/>
      <c r="MYM188" s="117"/>
      <c r="MYN188" s="117"/>
      <c r="MYO188" s="117"/>
      <c r="MYP188" s="117"/>
      <c r="MYQ188" s="117"/>
      <c r="MYR188" s="117"/>
      <c r="MYS188" s="117"/>
      <c r="MYT188" s="117"/>
      <c r="MYU188" s="117"/>
      <c r="MYV188" s="117"/>
      <c r="MYW188" s="117"/>
      <c r="MYX188" s="117"/>
      <c r="MYY188" s="117"/>
      <c r="MYZ188" s="117"/>
      <c r="MZA188" s="117"/>
      <c r="MZB188" s="117"/>
      <c r="MZC188" s="117"/>
      <c r="MZD188" s="117"/>
      <c r="MZE188" s="117"/>
      <c r="MZF188" s="117"/>
      <c r="MZG188" s="117"/>
      <c r="MZH188" s="117"/>
      <c r="MZI188" s="117"/>
      <c r="MZJ188" s="117"/>
      <c r="MZK188" s="117"/>
      <c r="MZL188" s="117"/>
      <c r="MZM188" s="117"/>
      <c r="MZN188" s="117"/>
      <c r="MZO188" s="117"/>
      <c r="MZP188" s="117"/>
      <c r="MZQ188" s="117"/>
      <c r="MZR188" s="117"/>
      <c r="MZS188" s="117"/>
      <c r="MZT188" s="117"/>
      <c r="MZU188" s="117"/>
      <c r="MZV188" s="117"/>
      <c r="MZW188" s="117"/>
      <c r="MZX188" s="117"/>
      <c r="MZY188" s="117"/>
      <c r="MZZ188" s="117"/>
      <c r="NAA188" s="117"/>
      <c r="NAB188" s="117"/>
      <c r="NAC188" s="117"/>
      <c r="NAD188" s="117"/>
      <c r="NAE188" s="117"/>
      <c r="NAF188" s="117"/>
      <c r="NAG188" s="117"/>
      <c r="NAH188" s="117"/>
      <c r="NAI188" s="117"/>
      <c r="NAJ188" s="117"/>
      <c r="NAK188" s="117"/>
      <c r="NAL188" s="117"/>
      <c r="NAM188" s="117"/>
      <c r="NAN188" s="117"/>
      <c r="NAO188" s="117"/>
      <c r="NAP188" s="117"/>
      <c r="NAQ188" s="117"/>
      <c r="NAR188" s="117"/>
      <c r="NAS188" s="117"/>
      <c r="NAT188" s="117"/>
      <c r="NAU188" s="117"/>
      <c r="NAV188" s="117"/>
      <c r="NAW188" s="117"/>
      <c r="NAX188" s="117"/>
      <c r="NAY188" s="117"/>
      <c r="NAZ188" s="117"/>
      <c r="NBA188" s="117"/>
      <c r="NBB188" s="117"/>
      <c r="NBC188" s="117"/>
      <c r="NBD188" s="117"/>
      <c r="NBE188" s="117"/>
      <c r="NBF188" s="117"/>
      <c r="NBG188" s="117"/>
      <c r="NBH188" s="117"/>
      <c r="NBI188" s="117"/>
      <c r="NBJ188" s="117"/>
      <c r="NBK188" s="117"/>
      <c r="NBL188" s="117"/>
      <c r="NBM188" s="117"/>
      <c r="NBN188" s="117"/>
      <c r="NBO188" s="117"/>
      <c r="NBP188" s="117"/>
      <c r="NBQ188" s="117"/>
      <c r="NBR188" s="117"/>
      <c r="NBS188" s="117"/>
      <c r="NBT188" s="117"/>
      <c r="NBU188" s="117"/>
      <c r="NBV188" s="117"/>
      <c r="NBW188" s="117"/>
      <c r="NBX188" s="117"/>
      <c r="NBY188" s="117"/>
      <c r="NBZ188" s="117"/>
      <c r="NCA188" s="117"/>
      <c r="NCB188" s="117"/>
      <c r="NCC188" s="117"/>
      <c r="NCD188" s="117"/>
      <c r="NCE188" s="117"/>
      <c r="NCF188" s="117"/>
      <c r="NCG188" s="117"/>
      <c r="NCH188" s="117"/>
      <c r="NCI188" s="117"/>
      <c r="NCJ188" s="117"/>
      <c r="NCK188" s="117"/>
      <c r="NCL188" s="117"/>
      <c r="NCM188" s="117"/>
      <c r="NCN188" s="117"/>
      <c r="NCO188" s="117"/>
      <c r="NCP188" s="117"/>
      <c r="NCQ188" s="117"/>
      <c r="NCR188" s="117"/>
      <c r="NCS188" s="117"/>
      <c r="NCT188" s="117"/>
      <c r="NCU188" s="117"/>
      <c r="NCV188" s="117"/>
      <c r="NCW188" s="117"/>
      <c r="NCX188" s="117"/>
      <c r="NCY188" s="117"/>
      <c r="NCZ188" s="117"/>
      <c r="NDA188" s="117"/>
      <c r="NDB188" s="117"/>
      <c r="NDC188" s="117"/>
      <c r="NDD188" s="117"/>
      <c r="NDE188" s="117"/>
      <c r="NDF188" s="117"/>
      <c r="NDG188" s="117"/>
      <c r="NDH188" s="117"/>
      <c r="NDI188" s="117"/>
      <c r="NDJ188" s="117"/>
      <c r="NDK188" s="117"/>
      <c r="NDL188" s="117"/>
      <c r="NDM188" s="117"/>
      <c r="NDN188" s="117"/>
      <c r="NDO188" s="117"/>
      <c r="NDP188" s="117"/>
      <c r="NDQ188" s="117"/>
      <c r="NDR188" s="117"/>
      <c r="NDS188" s="117"/>
      <c r="NDT188" s="117"/>
      <c r="NDU188" s="117"/>
      <c r="NDV188" s="117"/>
      <c r="NDW188" s="117"/>
      <c r="NDX188" s="117"/>
      <c r="NDY188" s="117"/>
      <c r="NDZ188" s="117"/>
      <c r="NEA188" s="117"/>
      <c r="NEB188" s="117"/>
      <c r="NEC188" s="117"/>
      <c r="NED188" s="117"/>
      <c r="NEE188" s="117"/>
      <c r="NEF188" s="117"/>
      <c r="NEG188" s="117"/>
      <c r="NEH188" s="117"/>
      <c r="NEI188" s="117"/>
      <c r="NEJ188" s="117"/>
      <c r="NEK188" s="117"/>
      <c r="NEL188" s="117"/>
      <c r="NEM188" s="117"/>
      <c r="NEN188" s="117"/>
      <c r="NEO188" s="117"/>
      <c r="NEP188" s="117"/>
      <c r="NEQ188" s="117"/>
      <c r="NER188" s="117"/>
      <c r="NES188" s="117"/>
      <c r="NET188" s="117"/>
      <c r="NEU188" s="117"/>
      <c r="NEV188" s="117"/>
      <c r="NEW188" s="117"/>
      <c r="NEX188" s="117"/>
      <c r="NEY188" s="117"/>
      <c r="NEZ188" s="117"/>
      <c r="NFA188" s="117"/>
      <c r="NFB188" s="117"/>
      <c r="NFC188" s="117"/>
      <c r="NFD188" s="117"/>
      <c r="NFE188" s="117"/>
      <c r="NFF188" s="117"/>
      <c r="NFG188" s="117"/>
      <c r="NFH188" s="117"/>
      <c r="NFI188" s="117"/>
      <c r="NFJ188" s="117"/>
      <c r="NFK188" s="117"/>
      <c r="NFL188" s="117"/>
      <c r="NFM188" s="117"/>
      <c r="NFN188" s="117"/>
      <c r="NFO188" s="117"/>
      <c r="NFP188" s="117"/>
      <c r="NFQ188" s="117"/>
      <c r="NFR188" s="117"/>
      <c r="NFS188" s="117"/>
      <c r="NFT188" s="117"/>
      <c r="NFU188" s="117"/>
      <c r="NFV188" s="117"/>
      <c r="NFW188" s="117"/>
      <c r="NFX188" s="117"/>
      <c r="NFY188" s="117"/>
      <c r="NFZ188" s="117"/>
      <c r="NGA188" s="117"/>
      <c r="NGB188" s="117"/>
      <c r="NGC188" s="117"/>
      <c r="NGD188" s="117"/>
      <c r="NGE188" s="117"/>
      <c r="NGF188" s="117"/>
      <c r="NGG188" s="117"/>
      <c r="NGH188" s="117"/>
      <c r="NGI188" s="117"/>
      <c r="NGJ188" s="117"/>
      <c r="NGK188" s="117"/>
      <c r="NGL188" s="117"/>
      <c r="NGM188" s="117"/>
      <c r="NGN188" s="117"/>
      <c r="NGO188" s="117"/>
      <c r="NGP188" s="117"/>
      <c r="NGQ188" s="117"/>
      <c r="NGR188" s="117"/>
      <c r="NGS188" s="117"/>
      <c r="NGT188" s="117"/>
      <c r="NGU188" s="117"/>
      <c r="NGV188" s="117"/>
      <c r="NGW188" s="117"/>
      <c r="NGX188" s="117"/>
      <c r="NGY188" s="117"/>
      <c r="NGZ188" s="117"/>
      <c r="NHA188" s="117"/>
      <c r="NHB188" s="117"/>
      <c r="NHC188" s="117"/>
      <c r="NHD188" s="117"/>
      <c r="NHE188" s="117"/>
      <c r="NHF188" s="117"/>
      <c r="NHG188" s="117"/>
      <c r="NHH188" s="117"/>
      <c r="NHI188" s="117"/>
      <c r="NHJ188" s="117"/>
      <c r="NHK188" s="117"/>
      <c r="NHL188" s="117"/>
      <c r="NHM188" s="117"/>
      <c r="NHN188" s="117"/>
      <c r="NHO188" s="117"/>
      <c r="NHP188" s="117"/>
      <c r="NHQ188" s="117"/>
      <c r="NHR188" s="117"/>
      <c r="NHS188" s="117"/>
      <c r="NHT188" s="117"/>
      <c r="NHU188" s="117"/>
      <c r="NHV188" s="117"/>
      <c r="NHW188" s="117"/>
      <c r="NHX188" s="117"/>
      <c r="NHY188" s="117"/>
      <c r="NHZ188" s="117"/>
      <c r="NIA188" s="117"/>
      <c r="NIB188" s="117"/>
      <c r="NIC188" s="117"/>
      <c r="NID188" s="117"/>
      <c r="NIE188" s="117"/>
      <c r="NIF188" s="117"/>
      <c r="NIG188" s="117"/>
      <c r="NIH188" s="117"/>
      <c r="NII188" s="117"/>
      <c r="NIJ188" s="117"/>
      <c r="NIK188" s="117"/>
      <c r="NIL188" s="117"/>
      <c r="NIM188" s="117"/>
      <c r="NIN188" s="117"/>
      <c r="NIO188" s="117"/>
      <c r="NIP188" s="117"/>
      <c r="NIQ188" s="117"/>
      <c r="NIR188" s="117"/>
      <c r="NIS188" s="117"/>
      <c r="NIT188" s="117"/>
      <c r="NIU188" s="117"/>
      <c r="NIV188" s="117"/>
      <c r="NIW188" s="117"/>
      <c r="NIX188" s="117"/>
      <c r="NIY188" s="117"/>
      <c r="NIZ188" s="117"/>
      <c r="NJA188" s="117"/>
      <c r="NJB188" s="117"/>
      <c r="NJC188" s="117"/>
      <c r="NJD188" s="117"/>
      <c r="NJE188" s="117"/>
      <c r="NJF188" s="117"/>
      <c r="NJG188" s="117"/>
      <c r="NJH188" s="117"/>
      <c r="NJI188" s="117"/>
      <c r="NJJ188" s="117"/>
      <c r="NJK188" s="117"/>
      <c r="NJL188" s="117"/>
      <c r="NJM188" s="117"/>
      <c r="NJN188" s="117"/>
      <c r="NJO188" s="117"/>
      <c r="NJP188" s="117"/>
      <c r="NJQ188" s="117"/>
      <c r="NJR188" s="117"/>
      <c r="NJS188" s="117"/>
      <c r="NJT188" s="117"/>
      <c r="NJU188" s="117"/>
      <c r="NJV188" s="117"/>
      <c r="NJW188" s="117"/>
      <c r="NJX188" s="117"/>
      <c r="NJY188" s="117"/>
      <c r="NJZ188" s="117"/>
      <c r="NKA188" s="117"/>
      <c r="NKB188" s="117"/>
      <c r="NKC188" s="117"/>
      <c r="NKD188" s="117"/>
      <c r="NKE188" s="117"/>
      <c r="NKF188" s="117"/>
      <c r="NKG188" s="117"/>
      <c r="NKH188" s="117"/>
      <c r="NKI188" s="117"/>
      <c r="NKJ188" s="117"/>
      <c r="NKK188" s="117"/>
      <c r="NKL188" s="117"/>
      <c r="NKM188" s="117"/>
      <c r="NKN188" s="117"/>
      <c r="NKO188" s="117"/>
      <c r="NKP188" s="117"/>
      <c r="NKQ188" s="117"/>
      <c r="NKR188" s="117"/>
      <c r="NKS188" s="117"/>
      <c r="NKT188" s="117"/>
      <c r="NKU188" s="117"/>
      <c r="NKV188" s="117"/>
      <c r="NKW188" s="117"/>
      <c r="NKX188" s="117"/>
      <c r="NKY188" s="117"/>
      <c r="NKZ188" s="117"/>
      <c r="NLA188" s="117"/>
      <c r="NLB188" s="117"/>
      <c r="NLC188" s="117"/>
      <c r="NLD188" s="117"/>
      <c r="NLE188" s="117"/>
      <c r="NLF188" s="117"/>
      <c r="NLG188" s="117"/>
      <c r="NLH188" s="117"/>
      <c r="NLI188" s="117"/>
      <c r="NLJ188" s="117"/>
      <c r="NLK188" s="117"/>
      <c r="NLL188" s="117"/>
      <c r="NLM188" s="117"/>
      <c r="NLN188" s="117"/>
      <c r="NLO188" s="117"/>
      <c r="NLP188" s="117"/>
      <c r="NLQ188" s="117"/>
      <c r="NLR188" s="117"/>
      <c r="NLS188" s="117"/>
      <c r="NLT188" s="117"/>
      <c r="NLU188" s="117"/>
      <c r="NLV188" s="117"/>
      <c r="NLW188" s="117"/>
      <c r="NLX188" s="117"/>
      <c r="NLY188" s="117"/>
      <c r="NLZ188" s="117"/>
      <c r="NMA188" s="117"/>
      <c r="NMB188" s="117"/>
      <c r="NMC188" s="117"/>
      <c r="NMD188" s="117"/>
      <c r="NME188" s="117"/>
      <c r="NMF188" s="117"/>
      <c r="NMG188" s="117"/>
      <c r="NMH188" s="117"/>
      <c r="NMI188" s="117"/>
      <c r="NMJ188" s="117"/>
      <c r="NMK188" s="117"/>
      <c r="NML188" s="117"/>
      <c r="NMM188" s="117"/>
      <c r="NMN188" s="117"/>
      <c r="NMO188" s="117"/>
      <c r="NMP188" s="117"/>
      <c r="NMQ188" s="117"/>
      <c r="NMR188" s="117"/>
      <c r="NMS188" s="117"/>
      <c r="NMT188" s="117"/>
      <c r="NMU188" s="117"/>
      <c r="NMV188" s="117"/>
      <c r="NMW188" s="117"/>
      <c r="NMX188" s="117"/>
      <c r="NMY188" s="117"/>
      <c r="NMZ188" s="117"/>
      <c r="NNA188" s="117"/>
      <c r="NNB188" s="117"/>
      <c r="NNC188" s="117"/>
      <c r="NND188" s="117"/>
      <c r="NNE188" s="117"/>
      <c r="NNF188" s="117"/>
      <c r="NNG188" s="117"/>
      <c r="NNH188" s="117"/>
      <c r="NNI188" s="117"/>
      <c r="NNJ188" s="117"/>
      <c r="NNK188" s="117"/>
      <c r="NNL188" s="117"/>
      <c r="NNM188" s="117"/>
      <c r="NNN188" s="117"/>
      <c r="NNO188" s="117"/>
      <c r="NNP188" s="117"/>
      <c r="NNQ188" s="117"/>
      <c r="NNR188" s="117"/>
      <c r="NNS188" s="117"/>
      <c r="NNT188" s="117"/>
      <c r="NNU188" s="117"/>
      <c r="NNV188" s="117"/>
      <c r="NNW188" s="117"/>
      <c r="NNX188" s="117"/>
      <c r="NNY188" s="117"/>
      <c r="NNZ188" s="117"/>
      <c r="NOA188" s="117"/>
      <c r="NOB188" s="117"/>
      <c r="NOC188" s="117"/>
      <c r="NOD188" s="117"/>
      <c r="NOE188" s="117"/>
      <c r="NOF188" s="117"/>
      <c r="NOG188" s="117"/>
      <c r="NOH188" s="117"/>
      <c r="NOI188" s="117"/>
      <c r="NOJ188" s="117"/>
      <c r="NOK188" s="117"/>
      <c r="NOL188" s="117"/>
      <c r="NOM188" s="117"/>
      <c r="NON188" s="117"/>
      <c r="NOO188" s="117"/>
      <c r="NOP188" s="117"/>
      <c r="NOQ188" s="117"/>
      <c r="NOR188" s="117"/>
      <c r="NOS188" s="117"/>
      <c r="NOT188" s="117"/>
      <c r="NOU188" s="117"/>
      <c r="NOV188" s="117"/>
      <c r="NOW188" s="117"/>
      <c r="NOX188" s="117"/>
      <c r="NOY188" s="117"/>
      <c r="NOZ188" s="117"/>
      <c r="NPA188" s="117"/>
      <c r="NPB188" s="117"/>
      <c r="NPC188" s="117"/>
      <c r="NPD188" s="117"/>
      <c r="NPE188" s="117"/>
      <c r="NPF188" s="117"/>
      <c r="NPG188" s="117"/>
      <c r="NPH188" s="117"/>
      <c r="NPI188" s="117"/>
      <c r="NPJ188" s="117"/>
      <c r="NPK188" s="117"/>
      <c r="NPL188" s="117"/>
      <c r="NPM188" s="117"/>
      <c r="NPN188" s="117"/>
      <c r="NPO188" s="117"/>
      <c r="NPP188" s="117"/>
      <c r="NPQ188" s="117"/>
      <c r="NPR188" s="117"/>
      <c r="NPS188" s="117"/>
      <c r="NPT188" s="117"/>
      <c r="NPU188" s="117"/>
      <c r="NPV188" s="117"/>
      <c r="NPW188" s="117"/>
      <c r="NPX188" s="117"/>
      <c r="NPY188" s="117"/>
      <c r="NPZ188" s="117"/>
      <c r="NQA188" s="117"/>
      <c r="NQB188" s="117"/>
      <c r="NQC188" s="117"/>
      <c r="NQD188" s="117"/>
      <c r="NQE188" s="117"/>
      <c r="NQF188" s="117"/>
      <c r="NQG188" s="117"/>
      <c r="NQH188" s="117"/>
      <c r="NQI188" s="117"/>
      <c r="NQJ188" s="117"/>
      <c r="NQK188" s="117"/>
      <c r="NQL188" s="117"/>
      <c r="NQM188" s="117"/>
      <c r="NQN188" s="117"/>
      <c r="NQO188" s="117"/>
      <c r="NQP188" s="117"/>
      <c r="NQQ188" s="117"/>
      <c r="NQR188" s="117"/>
      <c r="NQS188" s="117"/>
      <c r="NQT188" s="117"/>
      <c r="NQU188" s="117"/>
      <c r="NQV188" s="117"/>
      <c r="NQW188" s="117"/>
      <c r="NQX188" s="117"/>
      <c r="NQY188" s="117"/>
      <c r="NQZ188" s="117"/>
      <c r="NRA188" s="117"/>
      <c r="NRB188" s="117"/>
      <c r="NRC188" s="117"/>
      <c r="NRD188" s="117"/>
      <c r="NRE188" s="117"/>
      <c r="NRF188" s="117"/>
      <c r="NRG188" s="117"/>
      <c r="NRH188" s="117"/>
      <c r="NRI188" s="117"/>
      <c r="NRJ188" s="117"/>
      <c r="NRK188" s="117"/>
      <c r="NRL188" s="117"/>
      <c r="NRM188" s="117"/>
      <c r="NRN188" s="117"/>
      <c r="NRO188" s="117"/>
      <c r="NRP188" s="117"/>
      <c r="NRQ188" s="117"/>
      <c r="NRR188" s="117"/>
      <c r="NRS188" s="117"/>
      <c r="NRT188" s="117"/>
      <c r="NRU188" s="117"/>
      <c r="NRV188" s="117"/>
      <c r="NRW188" s="117"/>
      <c r="NRX188" s="117"/>
      <c r="NRY188" s="117"/>
      <c r="NRZ188" s="117"/>
      <c r="NSA188" s="117"/>
      <c r="NSB188" s="117"/>
      <c r="NSC188" s="117"/>
      <c r="NSD188" s="117"/>
      <c r="NSE188" s="117"/>
      <c r="NSF188" s="117"/>
      <c r="NSG188" s="117"/>
      <c r="NSH188" s="117"/>
      <c r="NSI188" s="117"/>
      <c r="NSJ188" s="117"/>
      <c r="NSK188" s="117"/>
      <c r="NSL188" s="117"/>
      <c r="NSM188" s="117"/>
      <c r="NSN188" s="117"/>
      <c r="NSO188" s="117"/>
      <c r="NSP188" s="117"/>
      <c r="NSQ188" s="117"/>
      <c r="NSR188" s="117"/>
      <c r="NSS188" s="117"/>
      <c r="NST188" s="117"/>
      <c r="NSU188" s="117"/>
      <c r="NSV188" s="117"/>
      <c r="NSW188" s="117"/>
      <c r="NSX188" s="117"/>
      <c r="NSY188" s="117"/>
      <c r="NSZ188" s="117"/>
      <c r="NTA188" s="117"/>
      <c r="NTB188" s="117"/>
      <c r="NTC188" s="117"/>
      <c r="NTD188" s="117"/>
      <c r="NTE188" s="117"/>
      <c r="NTF188" s="117"/>
      <c r="NTG188" s="117"/>
      <c r="NTH188" s="117"/>
      <c r="NTI188" s="117"/>
      <c r="NTJ188" s="117"/>
      <c r="NTK188" s="117"/>
      <c r="NTL188" s="117"/>
      <c r="NTM188" s="117"/>
      <c r="NTN188" s="117"/>
      <c r="NTO188" s="117"/>
      <c r="NTP188" s="117"/>
      <c r="NTQ188" s="117"/>
      <c r="NTR188" s="117"/>
      <c r="NTS188" s="117"/>
      <c r="NTT188" s="117"/>
      <c r="NTU188" s="117"/>
      <c r="NTV188" s="117"/>
      <c r="NTW188" s="117"/>
      <c r="NTX188" s="117"/>
      <c r="NTY188" s="117"/>
      <c r="NTZ188" s="117"/>
      <c r="NUA188" s="117"/>
      <c r="NUB188" s="117"/>
      <c r="NUC188" s="117"/>
      <c r="NUD188" s="117"/>
      <c r="NUE188" s="117"/>
      <c r="NUF188" s="117"/>
      <c r="NUG188" s="117"/>
      <c r="NUH188" s="117"/>
      <c r="NUI188" s="117"/>
      <c r="NUJ188" s="117"/>
      <c r="NUK188" s="117"/>
      <c r="NUL188" s="117"/>
      <c r="NUM188" s="117"/>
      <c r="NUN188" s="117"/>
      <c r="NUO188" s="117"/>
      <c r="NUP188" s="117"/>
      <c r="NUQ188" s="117"/>
      <c r="NUR188" s="117"/>
      <c r="NUS188" s="117"/>
      <c r="NUT188" s="117"/>
      <c r="NUU188" s="117"/>
      <c r="NUV188" s="117"/>
      <c r="NUW188" s="117"/>
      <c r="NUX188" s="117"/>
      <c r="NUY188" s="117"/>
      <c r="NUZ188" s="117"/>
      <c r="NVA188" s="117"/>
      <c r="NVB188" s="117"/>
      <c r="NVC188" s="117"/>
      <c r="NVD188" s="117"/>
      <c r="NVE188" s="117"/>
      <c r="NVF188" s="117"/>
      <c r="NVG188" s="117"/>
      <c r="NVH188" s="117"/>
      <c r="NVI188" s="117"/>
      <c r="NVJ188" s="117"/>
      <c r="NVK188" s="117"/>
      <c r="NVL188" s="117"/>
      <c r="NVM188" s="117"/>
      <c r="NVN188" s="117"/>
      <c r="NVO188" s="117"/>
      <c r="NVP188" s="117"/>
      <c r="NVQ188" s="117"/>
      <c r="NVR188" s="117"/>
      <c r="NVS188" s="117"/>
      <c r="NVT188" s="117"/>
      <c r="NVU188" s="117"/>
      <c r="NVV188" s="117"/>
      <c r="NVW188" s="117"/>
      <c r="NVX188" s="117"/>
      <c r="NVY188" s="117"/>
      <c r="NVZ188" s="117"/>
      <c r="NWA188" s="117"/>
      <c r="NWB188" s="117"/>
      <c r="NWC188" s="117"/>
      <c r="NWD188" s="117"/>
      <c r="NWE188" s="117"/>
      <c r="NWF188" s="117"/>
      <c r="NWG188" s="117"/>
      <c r="NWH188" s="117"/>
      <c r="NWI188" s="117"/>
      <c r="NWJ188" s="117"/>
      <c r="NWK188" s="117"/>
      <c r="NWL188" s="117"/>
      <c r="NWM188" s="117"/>
      <c r="NWN188" s="117"/>
      <c r="NWO188" s="117"/>
      <c r="NWP188" s="117"/>
      <c r="NWQ188" s="117"/>
      <c r="NWR188" s="117"/>
      <c r="NWS188" s="117"/>
      <c r="NWT188" s="117"/>
      <c r="NWU188" s="117"/>
      <c r="NWV188" s="117"/>
      <c r="NWW188" s="117"/>
      <c r="NWX188" s="117"/>
      <c r="NWY188" s="117"/>
      <c r="NWZ188" s="117"/>
      <c r="NXA188" s="117"/>
      <c r="NXB188" s="117"/>
      <c r="NXC188" s="117"/>
      <c r="NXD188" s="117"/>
      <c r="NXE188" s="117"/>
      <c r="NXF188" s="117"/>
      <c r="NXG188" s="117"/>
      <c r="NXH188" s="117"/>
      <c r="NXI188" s="117"/>
      <c r="NXJ188" s="117"/>
      <c r="NXK188" s="117"/>
      <c r="NXL188" s="117"/>
      <c r="NXM188" s="117"/>
      <c r="NXN188" s="117"/>
      <c r="NXO188" s="117"/>
      <c r="NXP188" s="117"/>
      <c r="NXQ188" s="117"/>
      <c r="NXR188" s="117"/>
      <c r="NXS188" s="117"/>
      <c r="NXT188" s="117"/>
      <c r="NXU188" s="117"/>
      <c r="NXV188" s="117"/>
      <c r="NXW188" s="117"/>
      <c r="NXX188" s="117"/>
      <c r="NXY188" s="117"/>
      <c r="NXZ188" s="117"/>
      <c r="NYA188" s="117"/>
      <c r="NYB188" s="117"/>
      <c r="NYC188" s="117"/>
      <c r="NYD188" s="117"/>
      <c r="NYE188" s="117"/>
      <c r="NYF188" s="117"/>
      <c r="NYG188" s="117"/>
      <c r="NYH188" s="117"/>
      <c r="NYI188" s="117"/>
      <c r="NYJ188" s="117"/>
      <c r="NYK188" s="117"/>
      <c r="NYL188" s="117"/>
      <c r="NYM188" s="117"/>
      <c r="NYN188" s="117"/>
      <c r="NYO188" s="117"/>
      <c r="NYP188" s="117"/>
      <c r="NYQ188" s="117"/>
      <c r="NYR188" s="117"/>
      <c r="NYS188" s="117"/>
      <c r="NYT188" s="117"/>
      <c r="NYU188" s="117"/>
      <c r="NYV188" s="117"/>
      <c r="NYW188" s="117"/>
      <c r="NYX188" s="117"/>
      <c r="NYY188" s="117"/>
      <c r="NYZ188" s="117"/>
      <c r="NZA188" s="117"/>
      <c r="NZB188" s="117"/>
      <c r="NZC188" s="117"/>
      <c r="NZD188" s="117"/>
      <c r="NZE188" s="117"/>
      <c r="NZF188" s="117"/>
      <c r="NZG188" s="117"/>
      <c r="NZH188" s="117"/>
      <c r="NZI188" s="117"/>
      <c r="NZJ188" s="117"/>
      <c r="NZK188" s="117"/>
      <c r="NZL188" s="117"/>
      <c r="NZM188" s="117"/>
      <c r="NZN188" s="117"/>
      <c r="NZO188" s="117"/>
      <c r="NZP188" s="117"/>
      <c r="NZQ188" s="117"/>
      <c r="NZR188" s="117"/>
      <c r="NZS188" s="117"/>
      <c r="NZT188" s="117"/>
      <c r="NZU188" s="117"/>
      <c r="NZV188" s="117"/>
      <c r="NZW188" s="117"/>
      <c r="NZX188" s="117"/>
      <c r="NZY188" s="117"/>
      <c r="NZZ188" s="117"/>
      <c r="OAA188" s="117"/>
      <c r="OAB188" s="117"/>
      <c r="OAC188" s="117"/>
      <c r="OAD188" s="117"/>
      <c r="OAE188" s="117"/>
      <c r="OAF188" s="117"/>
      <c r="OAG188" s="117"/>
      <c r="OAH188" s="117"/>
      <c r="OAI188" s="117"/>
      <c r="OAJ188" s="117"/>
      <c r="OAK188" s="117"/>
      <c r="OAL188" s="117"/>
      <c r="OAM188" s="117"/>
      <c r="OAN188" s="117"/>
      <c r="OAO188" s="117"/>
      <c r="OAP188" s="117"/>
      <c r="OAQ188" s="117"/>
      <c r="OAR188" s="117"/>
      <c r="OAS188" s="117"/>
      <c r="OAT188" s="117"/>
      <c r="OAU188" s="117"/>
      <c r="OAV188" s="117"/>
      <c r="OAW188" s="117"/>
      <c r="OAX188" s="117"/>
      <c r="OAY188" s="117"/>
      <c r="OAZ188" s="117"/>
      <c r="OBA188" s="117"/>
      <c r="OBB188" s="117"/>
      <c r="OBC188" s="117"/>
      <c r="OBD188" s="117"/>
      <c r="OBE188" s="117"/>
      <c r="OBF188" s="117"/>
      <c r="OBG188" s="117"/>
      <c r="OBH188" s="117"/>
      <c r="OBI188" s="117"/>
      <c r="OBJ188" s="117"/>
      <c r="OBK188" s="117"/>
      <c r="OBL188" s="117"/>
      <c r="OBM188" s="117"/>
      <c r="OBN188" s="117"/>
      <c r="OBO188" s="117"/>
      <c r="OBP188" s="117"/>
      <c r="OBQ188" s="117"/>
      <c r="OBR188" s="117"/>
      <c r="OBS188" s="117"/>
      <c r="OBT188" s="117"/>
      <c r="OBU188" s="117"/>
      <c r="OBV188" s="117"/>
      <c r="OBW188" s="117"/>
      <c r="OBX188" s="117"/>
      <c r="OBY188" s="117"/>
      <c r="OBZ188" s="117"/>
      <c r="OCA188" s="117"/>
      <c r="OCB188" s="117"/>
      <c r="OCC188" s="117"/>
      <c r="OCD188" s="117"/>
      <c r="OCE188" s="117"/>
      <c r="OCF188" s="117"/>
      <c r="OCG188" s="117"/>
      <c r="OCH188" s="117"/>
      <c r="OCI188" s="117"/>
      <c r="OCJ188" s="117"/>
      <c r="OCK188" s="117"/>
      <c r="OCL188" s="117"/>
      <c r="OCM188" s="117"/>
      <c r="OCN188" s="117"/>
      <c r="OCO188" s="117"/>
      <c r="OCP188" s="117"/>
      <c r="OCQ188" s="117"/>
      <c r="OCR188" s="117"/>
      <c r="OCS188" s="117"/>
      <c r="OCT188" s="117"/>
      <c r="OCU188" s="117"/>
      <c r="OCV188" s="117"/>
      <c r="OCW188" s="117"/>
      <c r="OCX188" s="117"/>
      <c r="OCY188" s="117"/>
      <c r="OCZ188" s="117"/>
      <c r="ODA188" s="117"/>
      <c r="ODB188" s="117"/>
      <c r="ODC188" s="117"/>
      <c r="ODD188" s="117"/>
      <c r="ODE188" s="117"/>
      <c r="ODF188" s="117"/>
      <c r="ODG188" s="117"/>
      <c r="ODH188" s="117"/>
      <c r="ODI188" s="117"/>
      <c r="ODJ188" s="117"/>
      <c r="ODK188" s="117"/>
      <c r="ODL188" s="117"/>
      <c r="ODM188" s="117"/>
      <c r="ODN188" s="117"/>
      <c r="ODO188" s="117"/>
      <c r="ODP188" s="117"/>
      <c r="ODQ188" s="117"/>
      <c r="ODR188" s="117"/>
      <c r="ODS188" s="117"/>
      <c r="ODT188" s="117"/>
      <c r="ODU188" s="117"/>
      <c r="ODV188" s="117"/>
      <c r="ODW188" s="117"/>
      <c r="ODX188" s="117"/>
      <c r="ODY188" s="117"/>
      <c r="ODZ188" s="117"/>
      <c r="OEA188" s="117"/>
      <c r="OEB188" s="117"/>
      <c r="OEC188" s="117"/>
      <c r="OED188" s="117"/>
      <c r="OEE188" s="117"/>
      <c r="OEF188" s="117"/>
      <c r="OEG188" s="117"/>
      <c r="OEH188" s="117"/>
      <c r="OEI188" s="117"/>
      <c r="OEJ188" s="117"/>
      <c r="OEK188" s="117"/>
      <c r="OEL188" s="117"/>
      <c r="OEM188" s="117"/>
      <c r="OEN188" s="117"/>
      <c r="OEO188" s="117"/>
      <c r="OEP188" s="117"/>
      <c r="OEQ188" s="117"/>
      <c r="OER188" s="117"/>
      <c r="OES188" s="117"/>
      <c r="OET188" s="117"/>
      <c r="OEU188" s="117"/>
      <c r="OEV188" s="117"/>
      <c r="OEW188" s="117"/>
      <c r="OEX188" s="117"/>
      <c r="OEY188" s="117"/>
      <c r="OEZ188" s="117"/>
      <c r="OFA188" s="117"/>
      <c r="OFB188" s="117"/>
      <c r="OFC188" s="117"/>
      <c r="OFD188" s="117"/>
      <c r="OFE188" s="117"/>
      <c r="OFF188" s="117"/>
      <c r="OFG188" s="117"/>
      <c r="OFH188" s="117"/>
      <c r="OFI188" s="117"/>
      <c r="OFJ188" s="117"/>
      <c r="OFK188" s="117"/>
      <c r="OFL188" s="117"/>
      <c r="OFM188" s="117"/>
      <c r="OFN188" s="117"/>
      <c r="OFO188" s="117"/>
      <c r="OFP188" s="117"/>
      <c r="OFQ188" s="117"/>
      <c r="OFR188" s="117"/>
      <c r="OFS188" s="117"/>
      <c r="OFT188" s="117"/>
      <c r="OFU188" s="117"/>
      <c r="OFV188" s="117"/>
      <c r="OFW188" s="117"/>
      <c r="OFX188" s="117"/>
      <c r="OFY188" s="117"/>
      <c r="OFZ188" s="117"/>
      <c r="OGA188" s="117"/>
      <c r="OGB188" s="117"/>
      <c r="OGC188" s="117"/>
      <c r="OGD188" s="117"/>
      <c r="OGE188" s="117"/>
      <c r="OGF188" s="117"/>
      <c r="OGG188" s="117"/>
      <c r="OGH188" s="117"/>
      <c r="OGI188" s="117"/>
      <c r="OGJ188" s="117"/>
      <c r="OGK188" s="117"/>
      <c r="OGL188" s="117"/>
      <c r="OGM188" s="117"/>
      <c r="OGN188" s="117"/>
      <c r="OGO188" s="117"/>
      <c r="OGP188" s="117"/>
      <c r="OGQ188" s="117"/>
      <c r="OGR188" s="117"/>
      <c r="OGS188" s="117"/>
      <c r="OGT188" s="117"/>
      <c r="OGU188" s="117"/>
      <c r="OGV188" s="117"/>
      <c r="OGW188" s="117"/>
      <c r="OGX188" s="117"/>
      <c r="OGY188" s="117"/>
      <c r="OGZ188" s="117"/>
      <c r="OHA188" s="117"/>
      <c r="OHB188" s="117"/>
      <c r="OHC188" s="117"/>
      <c r="OHD188" s="117"/>
      <c r="OHE188" s="117"/>
      <c r="OHF188" s="117"/>
      <c r="OHG188" s="117"/>
      <c r="OHH188" s="117"/>
      <c r="OHI188" s="117"/>
      <c r="OHJ188" s="117"/>
      <c r="OHK188" s="117"/>
      <c r="OHL188" s="117"/>
      <c r="OHM188" s="117"/>
      <c r="OHN188" s="117"/>
      <c r="OHO188" s="117"/>
      <c r="OHP188" s="117"/>
      <c r="OHQ188" s="117"/>
      <c r="OHR188" s="117"/>
      <c r="OHS188" s="117"/>
      <c r="OHT188" s="117"/>
      <c r="OHU188" s="117"/>
      <c r="OHV188" s="117"/>
      <c r="OHW188" s="117"/>
      <c r="OHX188" s="117"/>
      <c r="OHY188" s="117"/>
      <c r="OHZ188" s="117"/>
      <c r="OIA188" s="117"/>
      <c r="OIB188" s="117"/>
      <c r="OIC188" s="117"/>
      <c r="OID188" s="117"/>
      <c r="OIE188" s="117"/>
      <c r="OIF188" s="117"/>
      <c r="OIG188" s="117"/>
      <c r="OIH188" s="117"/>
      <c r="OII188" s="117"/>
      <c r="OIJ188" s="117"/>
      <c r="OIK188" s="117"/>
      <c r="OIL188" s="117"/>
      <c r="OIM188" s="117"/>
      <c r="OIN188" s="117"/>
      <c r="OIO188" s="117"/>
      <c r="OIP188" s="117"/>
      <c r="OIQ188" s="117"/>
      <c r="OIR188" s="117"/>
      <c r="OIS188" s="117"/>
      <c r="OIT188" s="117"/>
      <c r="OIU188" s="117"/>
      <c r="OIV188" s="117"/>
      <c r="OIW188" s="117"/>
      <c r="OIX188" s="117"/>
      <c r="OIY188" s="117"/>
      <c r="OIZ188" s="117"/>
      <c r="OJA188" s="117"/>
      <c r="OJB188" s="117"/>
      <c r="OJC188" s="117"/>
      <c r="OJD188" s="117"/>
      <c r="OJE188" s="117"/>
      <c r="OJF188" s="117"/>
      <c r="OJG188" s="117"/>
      <c r="OJH188" s="117"/>
      <c r="OJI188" s="117"/>
      <c r="OJJ188" s="117"/>
      <c r="OJK188" s="117"/>
      <c r="OJL188" s="117"/>
      <c r="OJM188" s="117"/>
      <c r="OJN188" s="117"/>
      <c r="OJO188" s="117"/>
      <c r="OJP188" s="117"/>
      <c r="OJQ188" s="117"/>
      <c r="OJR188" s="117"/>
      <c r="OJS188" s="117"/>
      <c r="OJT188" s="117"/>
      <c r="OJU188" s="117"/>
      <c r="OJV188" s="117"/>
      <c r="OJW188" s="117"/>
      <c r="OJX188" s="117"/>
      <c r="OJY188" s="117"/>
      <c r="OJZ188" s="117"/>
      <c r="OKA188" s="117"/>
      <c r="OKB188" s="117"/>
      <c r="OKC188" s="117"/>
      <c r="OKD188" s="117"/>
      <c r="OKE188" s="117"/>
      <c r="OKF188" s="117"/>
      <c r="OKG188" s="117"/>
      <c r="OKH188" s="117"/>
      <c r="OKI188" s="117"/>
      <c r="OKJ188" s="117"/>
      <c r="OKK188" s="117"/>
      <c r="OKL188" s="117"/>
      <c r="OKM188" s="117"/>
      <c r="OKN188" s="117"/>
      <c r="OKO188" s="117"/>
      <c r="OKP188" s="117"/>
      <c r="OKQ188" s="117"/>
      <c r="OKR188" s="117"/>
      <c r="OKS188" s="117"/>
      <c r="OKT188" s="117"/>
      <c r="OKU188" s="117"/>
      <c r="OKV188" s="117"/>
      <c r="OKW188" s="117"/>
      <c r="OKX188" s="117"/>
      <c r="OKY188" s="117"/>
      <c r="OKZ188" s="117"/>
      <c r="OLA188" s="117"/>
      <c r="OLB188" s="117"/>
      <c r="OLC188" s="117"/>
      <c r="OLD188" s="117"/>
      <c r="OLE188" s="117"/>
      <c r="OLF188" s="117"/>
      <c r="OLG188" s="117"/>
      <c r="OLH188" s="117"/>
      <c r="OLI188" s="117"/>
      <c r="OLJ188" s="117"/>
      <c r="OLK188" s="117"/>
      <c r="OLL188" s="117"/>
      <c r="OLM188" s="117"/>
      <c r="OLN188" s="117"/>
      <c r="OLO188" s="117"/>
      <c r="OLP188" s="117"/>
      <c r="OLQ188" s="117"/>
      <c r="OLR188" s="117"/>
      <c r="OLS188" s="117"/>
      <c r="OLT188" s="117"/>
      <c r="OLU188" s="117"/>
      <c r="OLV188" s="117"/>
      <c r="OLW188" s="117"/>
      <c r="OLX188" s="117"/>
      <c r="OLY188" s="117"/>
      <c r="OLZ188" s="117"/>
      <c r="OMA188" s="117"/>
      <c r="OMB188" s="117"/>
      <c r="OMC188" s="117"/>
      <c r="OMD188" s="117"/>
      <c r="OME188" s="117"/>
      <c r="OMF188" s="117"/>
      <c r="OMG188" s="117"/>
      <c r="OMH188" s="117"/>
      <c r="OMI188" s="117"/>
      <c r="OMJ188" s="117"/>
      <c r="OMK188" s="117"/>
      <c r="OML188" s="117"/>
      <c r="OMM188" s="117"/>
      <c r="OMN188" s="117"/>
      <c r="OMO188" s="117"/>
      <c r="OMP188" s="117"/>
      <c r="OMQ188" s="117"/>
      <c r="OMR188" s="117"/>
      <c r="OMS188" s="117"/>
      <c r="OMT188" s="117"/>
      <c r="OMU188" s="117"/>
      <c r="OMV188" s="117"/>
      <c r="OMW188" s="117"/>
      <c r="OMX188" s="117"/>
      <c r="OMY188" s="117"/>
      <c r="OMZ188" s="117"/>
      <c r="ONA188" s="117"/>
      <c r="ONB188" s="117"/>
      <c r="ONC188" s="117"/>
      <c r="OND188" s="117"/>
      <c r="ONE188" s="117"/>
      <c r="ONF188" s="117"/>
      <c r="ONG188" s="117"/>
      <c r="ONH188" s="117"/>
      <c r="ONI188" s="117"/>
      <c r="ONJ188" s="117"/>
      <c r="ONK188" s="117"/>
      <c r="ONL188" s="117"/>
      <c r="ONM188" s="117"/>
      <c r="ONN188" s="117"/>
      <c r="ONO188" s="117"/>
      <c r="ONP188" s="117"/>
      <c r="ONQ188" s="117"/>
      <c r="ONR188" s="117"/>
      <c r="ONS188" s="117"/>
      <c r="ONT188" s="117"/>
      <c r="ONU188" s="117"/>
      <c r="ONV188" s="117"/>
      <c r="ONW188" s="117"/>
      <c r="ONX188" s="117"/>
      <c r="ONY188" s="117"/>
      <c r="ONZ188" s="117"/>
      <c r="OOA188" s="117"/>
      <c r="OOB188" s="117"/>
      <c r="OOC188" s="117"/>
      <c r="OOD188" s="117"/>
      <c r="OOE188" s="117"/>
      <c r="OOF188" s="117"/>
      <c r="OOG188" s="117"/>
      <c r="OOH188" s="117"/>
      <c r="OOI188" s="117"/>
      <c r="OOJ188" s="117"/>
      <c r="OOK188" s="117"/>
      <c r="OOL188" s="117"/>
      <c r="OOM188" s="117"/>
      <c r="OON188" s="117"/>
      <c r="OOO188" s="117"/>
      <c r="OOP188" s="117"/>
      <c r="OOQ188" s="117"/>
      <c r="OOR188" s="117"/>
      <c r="OOS188" s="117"/>
      <c r="OOT188" s="117"/>
      <c r="OOU188" s="117"/>
      <c r="OOV188" s="117"/>
      <c r="OOW188" s="117"/>
      <c r="OOX188" s="117"/>
      <c r="OOY188" s="117"/>
      <c r="OOZ188" s="117"/>
      <c r="OPA188" s="117"/>
      <c r="OPB188" s="117"/>
      <c r="OPC188" s="117"/>
      <c r="OPD188" s="117"/>
      <c r="OPE188" s="117"/>
      <c r="OPF188" s="117"/>
      <c r="OPG188" s="117"/>
      <c r="OPH188" s="117"/>
      <c r="OPI188" s="117"/>
      <c r="OPJ188" s="117"/>
      <c r="OPK188" s="117"/>
      <c r="OPL188" s="117"/>
      <c r="OPM188" s="117"/>
      <c r="OPN188" s="117"/>
      <c r="OPO188" s="117"/>
      <c r="OPP188" s="117"/>
      <c r="OPQ188" s="117"/>
      <c r="OPR188" s="117"/>
      <c r="OPS188" s="117"/>
      <c r="OPT188" s="117"/>
      <c r="OPU188" s="117"/>
      <c r="OPV188" s="117"/>
      <c r="OPW188" s="117"/>
      <c r="OPX188" s="117"/>
      <c r="OPY188" s="117"/>
      <c r="OPZ188" s="117"/>
      <c r="OQA188" s="117"/>
      <c r="OQB188" s="117"/>
      <c r="OQC188" s="117"/>
      <c r="OQD188" s="117"/>
      <c r="OQE188" s="117"/>
      <c r="OQF188" s="117"/>
      <c r="OQG188" s="117"/>
      <c r="OQH188" s="117"/>
      <c r="OQI188" s="117"/>
      <c r="OQJ188" s="117"/>
      <c r="OQK188" s="117"/>
      <c r="OQL188" s="117"/>
      <c r="OQM188" s="117"/>
      <c r="OQN188" s="117"/>
      <c r="OQO188" s="117"/>
      <c r="OQP188" s="117"/>
      <c r="OQQ188" s="117"/>
      <c r="OQR188" s="117"/>
      <c r="OQS188" s="117"/>
      <c r="OQT188" s="117"/>
      <c r="OQU188" s="117"/>
      <c r="OQV188" s="117"/>
      <c r="OQW188" s="117"/>
      <c r="OQX188" s="117"/>
      <c r="OQY188" s="117"/>
      <c r="OQZ188" s="117"/>
      <c r="ORA188" s="117"/>
      <c r="ORB188" s="117"/>
      <c r="ORC188" s="117"/>
      <c r="ORD188" s="117"/>
      <c r="ORE188" s="117"/>
      <c r="ORF188" s="117"/>
      <c r="ORG188" s="117"/>
      <c r="ORH188" s="117"/>
      <c r="ORI188" s="117"/>
      <c r="ORJ188" s="117"/>
      <c r="ORK188" s="117"/>
      <c r="ORL188" s="117"/>
      <c r="ORM188" s="117"/>
      <c r="ORN188" s="117"/>
      <c r="ORO188" s="117"/>
      <c r="ORP188" s="117"/>
      <c r="ORQ188" s="117"/>
      <c r="ORR188" s="117"/>
      <c r="ORS188" s="117"/>
      <c r="ORT188" s="117"/>
      <c r="ORU188" s="117"/>
      <c r="ORV188" s="117"/>
      <c r="ORW188" s="117"/>
      <c r="ORX188" s="117"/>
      <c r="ORY188" s="117"/>
      <c r="ORZ188" s="117"/>
      <c r="OSA188" s="117"/>
      <c r="OSB188" s="117"/>
      <c r="OSC188" s="117"/>
      <c r="OSD188" s="117"/>
      <c r="OSE188" s="117"/>
      <c r="OSF188" s="117"/>
      <c r="OSG188" s="117"/>
      <c r="OSH188" s="117"/>
      <c r="OSI188" s="117"/>
      <c r="OSJ188" s="117"/>
      <c r="OSK188" s="117"/>
      <c r="OSL188" s="117"/>
      <c r="OSM188" s="117"/>
      <c r="OSN188" s="117"/>
      <c r="OSO188" s="117"/>
      <c r="OSP188" s="117"/>
      <c r="OSQ188" s="117"/>
      <c r="OSR188" s="117"/>
      <c r="OSS188" s="117"/>
      <c r="OST188" s="117"/>
      <c r="OSU188" s="117"/>
      <c r="OSV188" s="117"/>
      <c r="OSW188" s="117"/>
      <c r="OSX188" s="117"/>
      <c r="OSY188" s="117"/>
      <c r="OSZ188" s="117"/>
      <c r="OTA188" s="117"/>
      <c r="OTB188" s="117"/>
      <c r="OTC188" s="117"/>
      <c r="OTD188" s="117"/>
      <c r="OTE188" s="117"/>
      <c r="OTF188" s="117"/>
      <c r="OTG188" s="117"/>
      <c r="OTH188" s="117"/>
      <c r="OTI188" s="117"/>
      <c r="OTJ188" s="117"/>
      <c r="OTK188" s="117"/>
      <c r="OTL188" s="117"/>
      <c r="OTM188" s="117"/>
      <c r="OTN188" s="117"/>
      <c r="OTO188" s="117"/>
      <c r="OTP188" s="117"/>
      <c r="OTQ188" s="117"/>
      <c r="OTR188" s="117"/>
      <c r="OTS188" s="117"/>
      <c r="OTT188" s="117"/>
      <c r="OTU188" s="117"/>
      <c r="OTV188" s="117"/>
      <c r="OTW188" s="117"/>
      <c r="OTX188" s="117"/>
      <c r="OTY188" s="117"/>
      <c r="OTZ188" s="117"/>
      <c r="OUA188" s="117"/>
      <c r="OUB188" s="117"/>
      <c r="OUC188" s="117"/>
      <c r="OUD188" s="117"/>
      <c r="OUE188" s="117"/>
      <c r="OUF188" s="117"/>
      <c r="OUG188" s="117"/>
      <c r="OUH188" s="117"/>
      <c r="OUI188" s="117"/>
      <c r="OUJ188" s="117"/>
      <c r="OUK188" s="117"/>
      <c r="OUL188" s="117"/>
      <c r="OUM188" s="117"/>
      <c r="OUN188" s="117"/>
      <c r="OUO188" s="117"/>
      <c r="OUP188" s="117"/>
      <c r="OUQ188" s="117"/>
      <c r="OUR188" s="117"/>
      <c r="OUS188" s="117"/>
      <c r="OUT188" s="117"/>
      <c r="OUU188" s="117"/>
      <c r="OUV188" s="117"/>
      <c r="OUW188" s="117"/>
      <c r="OUX188" s="117"/>
      <c r="OUY188" s="117"/>
      <c r="OUZ188" s="117"/>
      <c r="OVA188" s="117"/>
      <c r="OVB188" s="117"/>
      <c r="OVC188" s="117"/>
      <c r="OVD188" s="117"/>
      <c r="OVE188" s="117"/>
      <c r="OVF188" s="117"/>
      <c r="OVG188" s="117"/>
      <c r="OVH188" s="117"/>
      <c r="OVI188" s="117"/>
      <c r="OVJ188" s="117"/>
      <c r="OVK188" s="117"/>
      <c r="OVL188" s="117"/>
      <c r="OVM188" s="117"/>
      <c r="OVN188" s="117"/>
      <c r="OVO188" s="117"/>
      <c r="OVP188" s="117"/>
      <c r="OVQ188" s="117"/>
      <c r="OVR188" s="117"/>
      <c r="OVS188" s="117"/>
      <c r="OVT188" s="117"/>
      <c r="OVU188" s="117"/>
      <c r="OVV188" s="117"/>
      <c r="OVW188" s="117"/>
      <c r="OVX188" s="117"/>
      <c r="OVY188" s="117"/>
      <c r="OVZ188" s="117"/>
      <c r="OWA188" s="117"/>
      <c r="OWB188" s="117"/>
      <c r="OWC188" s="117"/>
      <c r="OWD188" s="117"/>
      <c r="OWE188" s="117"/>
      <c r="OWF188" s="117"/>
      <c r="OWG188" s="117"/>
      <c r="OWH188" s="117"/>
      <c r="OWI188" s="117"/>
      <c r="OWJ188" s="117"/>
      <c r="OWK188" s="117"/>
      <c r="OWL188" s="117"/>
      <c r="OWM188" s="117"/>
      <c r="OWN188" s="117"/>
      <c r="OWO188" s="117"/>
      <c r="OWP188" s="117"/>
      <c r="OWQ188" s="117"/>
      <c r="OWR188" s="117"/>
      <c r="OWS188" s="117"/>
      <c r="OWT188" s="117"/>
      <c r="OWU188" s="117"/>
      <c r="OWV188" s="117"/>
      <c r="OWW188" s="117"/>
      <c r="OWX188" s="117"/>
      <c r="OWY188" s="117"/>
      <c r="OWZ188" s="117"/>
      <c r="OXA188" s="117"/>
      <c r="OXB188" s="117"/>
      <c r="OXC188" s="117"/>
      <c r="OXD188" s="117"/>
      <c r="OXE188" s="117"/>
      <c r="OXF188" s="117"/>
      <c r="OXG188" s="117"/>
      <c r="OXH188" s="117"/>
      <c r="OXI188" s="117"/>
      <c r="OXJ188" s="117"/>
      <c r="OXK188" s="117"/>
      <c r="OXL188" s="117"/>
      <c r="OXM188" s="117"/>
      <c r="OXN188" s="117"/>
      <c r="OXO188" s="117"/>
      <c r="OXP188" s="117"/>
      <c r="OXQ188" s="117"/>
      <c r="OXR188" s="117"/>
      <c r="OXS188" s="117"/>
      <c r="OXT188" s="117"/>
      <c r="OXU188" s="117"/>
      <c r="OXV188" s="117"/>
      <c r="OXW188" s="117"/>
      <c r="OXX188" s="117"/>
      <c r="OXY188" s="117"/>
      <c r="OXZ188" s="117"/>
      <c r="OYA188" s="117"/>
      <c r="OYB188" s="117"/>
      <c r="OYC188" s="117"/>
      <c r="OYD188" s="117"/>
      <c r="OYE188" s="117"/>
      <c r="OYF188" s="117"/>
      <c r="OYG188" s="117"/>
      <c r="OYH188" s="117"/>
      <c r="OYI188" s="117"/>
      <c r="OYJ188" s="117"/>
      <c r="OYK188" s="117"/>
      <c r="OYL188" s="117"/>
      <c r="OYM188" s="117"/>
      <c r="OYN188" s="117"/>
      <c r="OYO188" s="117"/>
      <c r="OYP188" s="117"/>
      <c r="OYQ188" s="117"/>
      <c r="OYR188" s="117"/>
      <c r="OYS188" s="117"/>
      <c r="OYT188" s="117"/>
      <c r="OYU188" s="117"/>
      <c r="OYV188" s="117"/>
      <c r="OYW188" s="117"/>
      <c r="OYX188" s="117"/>
      <c r="OYY188" s="117"/>
      <c r="OYZ188" s="117"/>
      <c r="OZA188" s="117"/>
      <c r="OZB188" s="117"/>
      <c r="OZC188" s="117"/>
      <c r="OZD188" s="117"/>
      <c r="OZE188" s="117"/>
      <c r="OZF188" s="117"/>
      <c r="OZG188" s="117"/>
      <c r="OZH188" s="117"/>
      <c r="OZI188" s="117"/>
      <c r="OZJ188" s="117"/>
      <c r="OZK188" s="117"/>
      <c r="OZL188" s="117"/>
      <c r="OZM188" s="117"/>
      <c r="OZN188" s="117"/>
      <c r="OZO188" s="117"/>
      <c r="OZP188" s="117"/>
      <c r="OZQ188" s="117"/>
      <c r="OZR188" s="117"/>
      <c r="OZS188" s="117"/>
      <c r="OZT188" s="117"/>
      <c r="OZU188" s="117"/>
      <c r="OZV188" s="117"/>
      <c r="OZW188" s="117"/>
      <c r="OZX188" s="117"/>
      <c r="OZY188" s="117"/>
      <c r="OZZ188" s="117"/>
      <c r="PAA188" s="117"/>
      <c r="PAB188" s="117"/>
      <c r="PAC188" s="117"/>
      <c r="PAD188" s="117"/>
      <c r="PAE188" s="117"/>
      <c r="PAF188" s="117"/>
      <c r="PAG188" s="117"/>
      <c r="PAH188" s="117"/>
      <c r="PAI188" s="117"/>
      <c r="PAJ188" s="117"/>
      <c r="PAK188" s="117"/>
      <c r="PAL188" s="117"/>
      <c r="PAM188" s="117"/>
      <c r="PAN188" s="117"/>
      <c r="PAO188" s="117"/>
      <c r="PAP188" s="117"/>
      <c r="PAQ188" s="117"/>
      <c r="PAR188" s="117"/>
      <c r="PAS188" s="117"/>
      <c r="PAT188" s="117"/>
      <c r="PAU188" s="117"/>
      <c r="PAV188" s="117"/>
      <c r="PAW188" s="117"/>
      <c r="PAX188" s="117"/>
      <c r="PAY188" s="117"/>
      <c r="PAZ188" s="117"/>
      <c r="PBA188" s="117"/>
      <c r="PBB188" s="117"/>
      <c r="PBC188" s="117"/>
      <c r="PBD188" s="117"/>
      <c r="PBE188" s="117"/>
      <c r="PBF188" s="117"/>
      <c r="PBG188" s="117"/>
      <c r="PBH188" s="117"/>
      <c r="PBI188" s="117"/>
      <c r="PBJ188" s="117"/>
      <c r="PBK188" s="117"/>
      <c r="PBL188" s="117"/>
      <c r="PBM188" s="117"/>
      <c r="PBN188" s="117"/>
      <c r="PBO188" s="117"/>
      <c r="PBP188" s="117"/>
      <c r="PBQ188" s="117"/>
      <c r="PBR188" s="117"/>
      <c r="PBS188" s="117"/>
      <c r="PBT188" s="117"/>
      <c r="PBU188" s="117"/>
      <c r="PBV188" s="117"/>
      <c r="PBW188" s="117"/>
      <c r="PBX188" s="117"/>
      <c r="PBY188" s="117"/>
      <c r="PBZ188" s="117"/>
      <c r="PCA188" s="117"/>
      <c r="PCB188" s="117"/>
      <c r="PCC188" s="117"/>
      <c r="PCD188" s="117"/>
      <c r="PCE188" s="117"/>
      <c r="PCF188" s="117"/>
      <c r="PCG188" s="117"/>
      <c r="PCH188" s="117"/>
      <c r="PCI188" s="117"/>
      <c r="PCJ188" s="117"/>
      <c r="PCK188" s="117"/>
      <c r="PCL188" s="117"/>
      <c r="PCM188" s="117"/>
      <c r="PCN188" s="117"/>
      <c r="PCO188" s="117"/>
      <c r="PCP188" s="117"/>
      <c r="PCQ188" s="117"/>
      <c r="PCR188" s="117"/>
      <c r="PCS188" s="117"/>
      <c r="PCT188" s="117"/>
      <c r="PCU188" s="117"/>
      <c r="PCV188" s="117"/>
      <c r="PCW188" s="117"/>
      <c r="PCX188" s="117"/>
      <c r="PCY188" s="117"/>
      <c r="PCZ188" s="117"/>
      <c r="PDA188" s="117"/>
      <c r="PDB188" s="117"/>
      <c r="PDC188" s="117"/>
      <c r="PDD188" s="117"/>
      <c r="PDE188" s="117"/>
      <c r="PDF188" s="117"/>
      <c r="PDG188" s="117"/>
      <c r="PDH188" s="117"/>
      <c r="PDI188" s="117"/>
      <c r="PDJ188" s="117"/>
      <c r="PDK188" s="117"/>
      <c r="PDL188" s="117"/>
      <c r="PDM188" s="117"/>
      <c r="PDN188" s="117"/>
      <c r="PDO188" s="117"/>
      <c r="PDP188" s="117"/>
      <c r="PDQ188" s="117"/>
      <c r="PDR188" s="117"/>
      <c r="PDS188" s="117"/>
      <c r="PDT188" s="117"/>
      <c r="PDU188" s="117"/>
      <c r="PDV188" s="117"/>
      <c r="PDW188" s="117"/>
      <c r="PDX188" s="117"/>
      <c r="PDY188" s="117"/>
      <c r="PDZ188" s="117"/>
      <c r="PEA188" s="117"/>
      <c r="PEB188" s="117"/>
      <c r="PEC188" s="117"/>
      <c r="PED188" s="117"/>
      <c r="PEE188" s="117"/>
      <c r="PEF188" s="117"/>
      <c r="PEG188" s="117"/>
      <c r="PEH188" s="117"/>
      <c r="PEI188" s="117"/>
      <c r="PEJ188" s="117"/>
      <c r="PEK188" s="117"/>
      <c r="PEL188" s="117"/>
      <c r="PEM188" s="117"/>
      <c r="PEN188" s="117"/>
      <c r="PEO188" s="117"/>
      <c r="PEP188" s="117"/>
      <c r="PEQ188" s="117"/>
      <c r="PER188" s="117"/>
      <c r="PES188" s="117"/>
      <c r="PET188" s="117"/>
      <c r="PEU188" s="117"/>
      <c r="PEV188" s="117"/>
      <c r="PEW188" s="117"/>
      <c r="PEX188" s="117"/>
      <c r="PEY188" s="117"/>
      <c r="PEZ188" s="117"/>
      <c r="PFA188" s="117"/>
      <c r="PFB188" s="117"/>
      <c r="PFC188" s="117"/>
      <c r="PFD188" s="117"/>
      <c r="PFE188" s="117"/>
      <c r="PFF188" s="117"/>
      <c r="PFG188" s="117"/>
      <c r="PFH188" s="117"/>
      <c r="PFI188" s="117"/>
      <c r="PFJ188" s="117"/>
      <c r="PFK188" s="117"/>
      <c r="PFL188" s="117"/>
      <c r="PFM188" s="117"/>
      <c r="PFN188" s="117"/>
      <c r="PFO188" s="117"/>
      <c r="PFP188" s="117"/>
      <c r="PFQ188" s="117"/>
      <c r="PFR188" s="117"/>
      <c r="PFS188" s="117"/>
      <c r="PFT188" s="117"/>
      <c r="PFU188" s="117"/>
      <c r="PFV188" s="117"/>
      <c r="PFW188" s="117"/>
      <c r="PFX188" s="117"/>
      <c r="PFY188" s="117"/>
      <c r="PFZ188" s="117"/>
      <c r="PGA188" s="117"/>
      <c r="PGB188" s="117"/>
      <c r="PGC188" s="117"/>
      <c r="PGD188" s="117"/>
      <c r="PGE188" s="117"/>
      <c r="PGF188" s="117"/>
      <c r="PGG188" s="117"/>
      <c r="PGH188" s="117"/>
      <c r="PGI188" s="117"/>
      <c r="PGJ188" s="117"/>
      <c r="PGK188" s="117"/>
      <c r="PGL188" s="117"/>
      <c r="PGM188" s="117"/>
      <c r="PGN188" s="117"/>
      <c r="PGO188" s="117"/>
      <c r="PGP188" s="117"/>
      <c r="PGQ188" s="117"/>
      <c r="PGR188" s="117"/>
      <c r="PGS188" s="117"/>
      <c r="PGT188" s="117"/>
      <c r="PGU188" s="117"/>
      <c r="PGV188" s="117"/>
      <c r="PGW188" s="117"/>
      <c r="PGX188" s="117"/>
      <c r="PGY188" s="117"/>
      <c r="PGZ188" s="117"/>
      <c r="PHA188" s="117"/>
      <c r="PHB188" s="117"/>
      <c r="PHC188" s="117"/>
      <c r="PHD188" s="117"/>
      <c r="PHE188" s="117"/>
      <c r="PHF188" s="117"/>
      <c r="PHG188" s="117"/>
      <c r="PHH188" s="117"/>
      <c r="PHI188" s="117"/>
      <c r="PHJ188" s="117"/>
      <c r="PHK188" s="117"/>
      <c r="PHL188" s="117"/>
      <c r="PHM188" s="117"/>
      <c r="PHN188" s="117"/>
      <c r="PHO188" s="117"/>
      <c r="PHP188" s="117"/>
      <c r="PHQ188" s="117"/>
      <c r="PHR188" s="117"/>
      <c r="PHS188" s="117"/>
      <c r="PHT188" s="117"/>
      <c r="PHU188" s="117"/>
      <c r="PHV188" s="117"/>
      <c r="PHW188" s="117"/>
      <c r="PHX188" s="117"/>
      <c r="PHY188" s="117"/>
      <c r="PHZ188" s="117"/>
      <c r="PIA188" s="117"/>
      <c r="PIB188" s="117"/>
      <c r="PIC188" s="117"/>
      <c r="PID188" s="117"/>
      <c r="PIE188" s="117"/>
      <c r="PIF188" s="117"/>
      <c r="PIG188" s="117"/>
      <c r="PIH188" s="117"/>
      <c r="PII188" s="117"/>
      <c r="PIJ188" s="117"/>
      <c r="PIK188" s="117"/>
      <c r="PIL188" s="117"/>
      <c r="PIM188" s="117"/>
      <c r="PIN188" s="117"/>
      <c r="PIO188" s="117"/>
      <c r="PIP188" s="117"/>
      <c r="PIQ188" s="117"/>
      <c r="PIR188" s="117"/>
      <c r="PIS188" s="117"/>
      <c r="PIT188" s="117"/>
      <c r="PIU188" s="117"/>
      <c r="PIV188" s="117"/>
      <c r="PIW188" s="117"/>
      <c r="PIX188" s="117"/>
      <c r="PIY188" s="117"/>
      <c r="PIZ188" s="117"/>
      <c r="PJA188" s="117"/>
      <c r="PJB188" s="117"/>
      <c r="PJC188" s="117"/>
      <c r="PJD188" s="117"/>
      <c r="PJE188" s="117"/>
      <c r="PJF188" s="117"/>
      <c r="PJG188" s="117"/>
      <c r="PJH188" s="117"/>
      <c r="PJI188" s="117"/>
      <c r="PJJ188" s="117"/>
      <c r="PJK188" s="117"/>
      <c r="PJL188" s="117"/>
      <c r="PJM188" s="117"/>
      <c r="PJN188" s="117"/>
      <c r="PJO188" s="117"/>
      <c r="PJP188" s="117"/>
      <c r="PJQ188" s="117"/>
      <c r="PJR188" s="117"/>
      <c r="PJS188" s="117"/>
      <c r="PJT188" s="117"/>
      <c r="PJU188" s="117"/>
      <c r="PJV188" s="117"/>
      <c r="PJW188" s="117"/>
      <c r="PJX188" s="117"/>
      <c r="PJY188" s="117"/>
      <c r="PJZ188" s="117"/>
      <c r="PKA188" s="117"/>
      <c r="PKB188" s="117"/>
      <c r="PKC188" s="117"/>
      <c r="PKD188" s="117"/>
      <c r="PKE188" s="117"/>
      <c r="PKF188" s="117"/>
      <c r="PKG188" s="117"/>
      <c r="PKH188" s="117"/>
      <c r="PKI188" s="117"/>
      <c r="PKJ188" s="117"/>
      <c r="PKK188" s="117"/>
      <c r="PKL188" s="117"/>
      <c r="PKM188" s="117"/>
      <c r="PKN188" s="117"/>
      <c r="PKO188" s="117"/>
      <c r="PKP188" s="117"/>
      <c r="PKQ188" s="117"/>
      <c r="PKR188" s="117"/>
      <c r="PKS188" s="117"/>
      <c r="PKT188" s="117"/>
      <c r="PKU188" s="117"/>
      <c r="PKV188" s="117"/>
      <c r="PKW188" s="117"/>
      <c r="PKX188" s="117"/>
      <c r="PKY188" s="117"/>
      <c r="PKZ188" s="117"/>
      <c r="PLA188" s="117"/>
      <c r="PLB188" s="117"/>
      <c r="PLC188" s="117"/>
      <c r="PLD188" s="117"/>
      <c r="PLE188" s="117"/>
      <c r="PLF188" s="117"/>
      <c r="PLG188" s="117"/>
      <c r="PLH188" s="117"/>
      <c r="PLI188" s="117"/>
      <c r="PLJ188" s="117"/>
      <c r="PLK188" s="117"/>
      <c r="PLL188" s="117"/>
      <c r="PLM188" s="117"/>
      <c r="PLN188" s="117"/>
      <c r="PLO188" s="117"/>
      <c r="PLP188" s="117"/>
      <c r="PLQ188" s="117"/>
      <c r="PLR188" s="117"/>
      <c r="PLS188" s="117"/>
      <c r="PLT188" s="117"/>
      <c r="PLU188" s="117"/>
      <c r="PLV188" s="117"/>
      <c r="PLW188" s="117"/>
      <c r="PLX188" s="117"/>
      <c r="PLY188" s="117"/>
      <c r="PLZ188" s="117"/>
      <c r="PMA188" s="117"/>
      <c r="PMB188" s="117"/>
      <c r="PMC188" s="117"/>
      <c r="PMD188" s="117"/>
      <c r="PME188" s="117"/>
      <c r="PMF188" s="117"/>
      <c r="PMG188" s="117"/>
      <c r="PMH188" s="117"/>
      <c r="PMI188" s="117"/>
      <c r="PMJ188" s="117"/>
      <c r="PMK188" s="117"/>
      <c r="PML188" s="117"/>
      <c r="PMM188" s="117"/>
      <c r="PMN188" s="117"/>
      <c r="PMO188" s="117"/>
      <c r="PMP188" s="117"/>
      <c r="PMQ188" s="117"/>
      <c r="PMR188" s="117"/>
      <c r="PMS188" s="117"/>
      <c r="PMT188" s="117"/>
      <c r="PMU188" s="117"/>
      <c r="PMV188" s="117"/>
      <c r="PMW188" s="117"/>
      <c r="PMX188" s="117"/>
      <c r="PMY188" s="117"/>
      <c r="PMZ188" s="117"/>
      <c r="PNA188" s="117"/>
      <c r="PNB188" s="117"/>
      <c r="PNC188" s="117"/>
      <c r="PND188" s="117"/>
      <c r="PNE188" s="117"/>
      <c r="PNF188" s="117"/>
      <c r="PNG188" s="117"/>
      <c r="PNH188" s="117"/>
      <c r="PNI188" s="117"/>
      <c r="PNJ188" s="117"/>
      <c r="PNK188" s="117"/>
      <c r="PNL188" s="117"/>
      <c r="PNM188" s="117"/>
      <c r="PNN188" s="117"/>
      <c r="PNO188" s="117"/>
      <c r="PNP188" s="117"/>
      <c r="PNQ188" s="117"/>
      <c r="PNR188" s="117"/>
      <c r="PNS188" s="117"/>
      <c r="PNT188" s="117"/>
      <c r="PNU188" s="117"/>
      <c r="PNV188" s="117"/>
      <c r="PNW188" s="117"/>
      <c r="PNX188" s="117"/>
      <c r="PNY188" s="117"/>
      <c r="PNZ188" s="117"/>
      <c r="POA188" s="117"/>
      <c r="POB188" s="117"/>
      <c r="POC188" s="117"/>
      <c r="POD188" s="117"/>
      <c r="POE188" s="117"/>
      <c r="POF188" s="117"/>
      <c r="POG188" s="117"/>
      <c r="POH188" s="117"/>
      <c r="POI188" s="117"/>
      <c r="POJ188" s="117"/>
      <c r="POK188" s="117"/>
      <c r="POL188" s="117"/>
      <c r="POM188" s="117"/>
      <c r="PON188" s="117"/>
      <c r="POO188" s="117"/>
      <c r="POP188" s="117"/>
      <c r="POQ188" s="117"/>
      <c r="POR188" s="117"/>
      <c r="POS188" s="117"/>
      <c r="POT188" s="117"/>
      <c r="POU188" s="117"/>
      <c r="POV188" s="117"/>
      <c r="POW188" s="117"/>
      <c r="POX188" s="117"/>
      <c r="POY188" s="117"/>
      <c r="POZ188" s="117"/>
      <c r="PPA188" s="117"/>
      <c r="PPB188" s="117"/>
      <c r="PPC188" s="117"/>
      <c r="PPD188" s="117"/>
      <c r="PPE188" s="117"/>
      <c r="PPF188" s="117"/>
      <c r="PPG188" s="117"/>
      <c r="PPH188" s="117"/>
      <c r="PPI188" s="117"/>
      <c r="PPJ188" s="117"/>
      <c r="PPK188" s="117"/>
      <c r="PPL188" s="117"/>
      <c r="PPM188" s="117"/>
      <c r="PPN188" s="117"/>
      <c r="PPO188" s="117"/>
      <c r="PPP188" s="117"/>
      <c r="PPQ188" s="117"/>
      <c r="PPR188" s="117"/>
      <c r="PPS188" s="117"/>
      <c r="PPT188" s="117"/>
      <c r="PPU188" s="117"/>
      <c r="PPV188" s="117"/>
      <c r="PPW188" s="117"/>
      <c r="PPX188" s="117"/>
      <c r="PPY188" s="117"/>
      <c r="PPZ188" s="117"/>
      <c r="PQA188" s="117"/>
      <c r="PQB188" s="117"/>
      <c r="PQC188" s="117"/>
      <c r="PQD188" s="117"/>
      <c r="PQE188" s="117"/>
      <c r="PQF188" s="117"/>
      <c r="PQG188" s="117"/>
      <c r="PQH188" s="117"/>
      <c r="PQI188" s="117"/>
      <c r="PQJ188" s="117"/>
      <c r="PQK188" s="117"/>
      <c r="PQL188" s="117"/>
      <c r="PQM188" s="117"/>
      <c r="PQN188" s="117"/>
      <c r="PQO188" s="117"/>
      <c r="PQP188" s="117"/>
      <c r="PQQ188" s="117"/>
      <c r="PQR188" s="117"/>
      <c r="PQS188" s="117"/>
      <c r="PQT188" s="117"/>
      <c r="PQU188" s="117"/>
      <c r="PQV188" s="117"/>
      <c r="PQW188" s="117"/>
      <c r="PQX188" s="117"/>
      <c r="PQY188" s="117"/>
      <c r="PQZ188" s="117"/>
      <c r="PRA188" s="117"/>
      <c r="PRB188" s="117"/>
      <c r="PRC188" s="117"/>
      <c r="PRD188" s="117"/>
      <c r="PRE188" s="117"/>
      <c r="PRF188" s="117"/>
      <c r="PRG188" s="117"/>
      <c r="PRH188" s="117"/>
      <c r="PRI188" s="117"/>
      <c r="PRJ188" s="117"/>
      <c r="PRK188" s="117"/>
      <c r="PRL188" s="117"/>
      <c r="PRM188" s="117"/>
      <c r="PRN188" s="117"/>
      <c r="PRO188" s="117"/>
      <c r="PRP188" s="117"/>
      <c r="PRQ188" s="117"/>
      <c r="PRR188" s="117"/>
      <c r="PRS188" s="117"/>
      <c r="PRT188" s="117"/>
      <c r="PRU188" s="117"/>
      <c r="PRV188" s="117"/>
      <c r="PRW188" s="117"/>
      <c r="PRX188" s="117"/>
      <c r="PRY188" s="117"/>
      <c r="PRZ188" s="117"/>
      <c r="PSA188" s="117"/>
      <c r="PSB188" s="117"/>
      <c r="PSC188" s="117"/>
      <c r="PSD188" s="117"/>
      <c r="PSE188" s="117"/>
      <c r="PSF188" s="117"/>
      <c r="PSG188" s="117"/>
      <c r="PSH188" s="117"/>
      <c r="PSI188" s="117"/>
      <c r="PSJ188" s="117"/>
      <c r="PSK188" s="117"/>
      <c r="PSL188" s="117"/>
      <c r="PSM188" s="117"/>
      <c r="PSN188" s="117"/>
      <c r="PSO188" s="117"/>
      <c r="PSP188" s="117"/>
      <c r="PSQ188" s="117"/>
      <c r="PSR188" s="117"/>
      <c r="PSS188" s="117"/>
      <c r="PST188" s="117"/>
      <c r="PSU188" s="117"/>
      <c r="PSV188" s="117"/>
      <c r="PSW188" s="117"/>
      <c r="PSX188" s="117"/>
      <c r="PSY188" s="117"/>
      <c r="PSZ188" s="117"/>
      <c r="PTA188" s="117"/>
      <c r="PTB188" s="117"/>
      <c r="PTC188" s="117"/>
      <c r="PTD188" s="117"/>
      <c r="PTE188" s="117"/>
      <c r="PTF188" s="117"/>
      <c r="PTG188" s="117"/>
      <c r="PTH188" s="117"/>
      <c r="PTI188" s="117"/>
      <c r="PTJ188" s="117"/>
      <c r="PTK188" s="117"/>
      <c r="PTL188" s="117"/>
      <c r="PTM188" s="117"/>
      <c r="PTN188" s="117"/>
      <c r="PTO188" s="117"/>
      <c r="PTP188" s="117"/>
      <c r="PTQ188" s="117"/>
      <c r="PTR188" s="117"/>
      <c r="PTS188" s="117"/>
      <c r="PTT188" s="117"/>
      <c r="PTU188" s="117"/>
      <c r="PTV188" s="117"/>
      <c r="PTW188" s="117"/>
      <c r="PTX188" s="117"/>
      <c r="PTY188" s="117"/>
      <c r="PTZ188" s="117"/>
      <c r="PUA188" s="117"/>
      <c r="PUB188" s="117"/>
      <c r="PUC188" s="117"/>
      <c r="PUD188" s="117"/>
      <c r="PUE188" s="117"/>
      <c r="PUF188" s="117"/>
      <c r="PUG188" s="117"/>
      <c r="PUH188" s="117"/>
      <c r="PUI188" s="117"/>
      <c r="PUJ188" s="117"/>
      <c r="PUK188" s="117"/>
      <c r="PUL188" s="117"/>
      <c r="PUM188" s="117"/>
      <c r="PUN188" s="117"/>
      <c r="PUO188" s="117"/>
      <c r="PUP188" s="117"/>
      <c r="PUQ188" s="117"/>
      <c r="PUR188" s="117"/>
      <c r="PUS188" s="117"/>
      <c r="PUT188" s="117"/>
      <c r="PUU188" s="117"/>
      <c r="PUV188" s="117"/>
      <c r="PUW188" s="117"/>
      <c r="PUX188" s="117"/>
      <c r="PUY188" s="117"/>
      <c r="PUZ188" s="117"/>
      <c r="PVA188" s="117"/>
      <c r="PVB188" s="117"/>
      <c r="PVC188" s="117"/>
      <c r="PVD188" s="117"/>
      <c r="PVE188" s="117"/>
      <c r="PVF188" s="117"/>
      <c r="PVG188" s="117"/>
      <c r="PVH188" s="117"/>
      <c r="PVI188" s="117"/>
      <c r="PVJ188" s="117"/>
      <c r="PVK188" s="117"/>
      <c r="PVL188" s="117"/>
      <c r="PVM188" s="117"/>
      <c r="PVN188" s="117"/>
      <c r="PVO188" s="117"/>
      <c r="PVP188" s="117"/>
      <c r="PVQ188" s="117"/>
      <c r="PVR188" s="117"/>
      <c r="PVS188" s="117"/>
      <c r="PVT188" s="117"/>
      <c r="PVU188" s="117"/>
      <c r="PVV188" s="117"/>
      <c r="PVW188" s="117"/>
      <c r="PVX188" s="117"/>
      <c r="PVY188" s="117"/>
      <c r="PVZ188" s="117"/>
      <c r="PWA188" s="117"/>
      <c r="PWB188" s="117"/>
      <c r="PWC188" s="117"/>
      <c r="PWD188" s="117"/>
      <c r="PWE188" s="117"/>
      <c r="PWF188" s="117"/>
      <c r="PWG188" s="117"/>
      <c r="PWH188" s="117"/>
      <c r="PWI188" s="117"/>
      <c r="PWJ188" s="117"/>
      <c r="PWK188" s="117"/>
      <c r="PWL188" s="117"/>
      <c r="PWM188" s="117"/>
      <c r="PWN188" s="117"/>
      <c r="PWO188" s="117"/>
      <c r="PWP188" s="117"/>
      <c r="PWQ188" s="117"/>
      <c r="PWR188" s="117"/>
      <c r="PWS188" s="117"/>
      <c r="PWT188" s="117"/>
      <c r="PWU188" s="117"/>
      <c r="PWV188" s="117"/>
      <c r="PWW188" s="117"/>
      <c r="PWX188" s="117"/>
      <c r="PWY188" s="117"/>
      <c r="PWZ188" s="117"/>
      <c r="PXA188" s="117"/>
      <c r="PXB188" s="117"/>
      <c r="PXC188" s="117"/>
      <c r="PXD188" s="117"/>
      <c r="PXE188" s="117"/>
      <c r="PXF188" s="117"/>
      <c r="PXG188" s="117"/>
      <c r="PXH188" s="117"/>
      <c r="PXI188" s="117"/>
      <c r="PXJ188" s="117"/>
      <c r="PXK188" s="117"/>
      <c r="PXL188" s="117"/>
      <c r="PXM188" s="117"/>
      <c r="PXN188" s="117"/>
      <c r="PXO188" s="117"/>
      <c r="PXP188" s="117"/>
      <c r="PXQ188" s="117"/>
      <c r="PXR188" s="117"/>
      <c r="PXS188" s="117"/>
      <c r="PXT188" s="117"/>
      <c r="PXU188" s="117"/>
      <c r="PXV188" s="117"/>
      <c r="PXW188" s="117"/>
      <c r="PXX188" s="117"/>
      <c r="PXY188" s="117"/>
      <c r="PXZ188" s="117"/>
      <c r="PYA188" s="117"/>
      <c r="PYB188" s="117"/>
      <c r="PYC188" s="117"/>
      <c r="PYD188" s="117"/>
      <c r="PYE188" s="117"/>
      <c r="PYF188" s="117"/>
      <c r="PYG188" s="117"/>
      <c r="PYH188" s="117"/>
      <c r="PYI188" s="117"/>
      <c r="PYJ188" s="117"/>
      <c r="PYK188" s="117"/>
      <c r="PYL188" s="117"/>
      <c r="PYM188" s="117"/>
      <c r="PYN188" s="117"/>
      <c r="PYO188" s="117"/>
      <c r="PYP188" s="117"/>
      <c r="PYQ188" s="117"/>
      <c r="PYR188" s="117"/>
      <c r="PYS188" s="117"/>
      <c r="PYT188" s="117"/>
      <c r="PYU188" s="117"/>
      <c r="PYV188" s="117"/>
      <c r="PYW188" s="117"/>
      <c r="PYX188" s="117"/>
      <c r="PYY188" s="117"/>
      <c r="PYZ188" s="117"/>
      <c r="PZA188" s="117"/>
      <c r="PZB188" s="117"/>
      <c r="PZC188" s="117"/>
      <c r="PZD188" s="117"/>
      <c r="PZE188" s="117"/>
      <c r="PZF188" s="117"/>
      <c r="PZG188" s="117"/>
      <c r="PZH188" s="117"/>
      <c r="PZI188" s="117"/>
      <c r="PZJ188" s="117"/>
      <c r="PZK188" s="117"/>
      <c r="PZL188" s="117"/>
      <c r="PZM188" s="117"/>
      <c r="PZN188" s="117"/>
      <c r="PZO188" s="117"/>
      <c r="PZP188" s="117"/>
      <c r="PZQ188" s="117"/>
      <c r="PZR188" s="117"/>
      <c r="PZS188" s="117"/>
      <c r="PZT188" s="117"/>
      <c r="PZU188" s="117"/>
      <c r="PZV188" s="117"/>
      <c r="PZW188" s="117"/>
      <c r="PZX188" s="117"/>
      <c r="PZY188" s="117"/>
      <c r="PZZ188" s="117"/>
      <c r="QAA188" s="117"/>
      <c r="QAB188" s="117"/>
      <c r="QAC188" s="117"/>
      <c r="QAD188" s="117"/>
      <c r="QAE188" s="117"/>
      <c r="QAF188" s="117"/>
      <c r="QAG188" s="117"/>
      <c r="QAH188" s="117"/>
      <c r="QAI188" s="117"/>
      <c r="QAJ188" s="117"/>
      <c r="QAK188" s="117"/>
      <c r="QAL188" s="117"/>
      <c r="QAM188" s="117"/>
      <c r="QAN188" s="117"/>
      <c r="QAO188" s="117"/>
      <c r="QAP188" s="117"/>
      <c r="QAQ188" s="117"/>
      <c r="QAR188" s="117"/>
      <c r="QAS188" s="117"/>
      <c r="QAT188" s="117"/>
      <c r="QAU188" s="117"/>
      <c r="QAV188" s="117"/>
      <c r="QAW188" s="117"/>
      <c r="QAX188" s="117"/>
      <c r="QAY188" s="117"/>
      <c r="QAZ188" s="117"/>
      <c r="QBA188" s="117"/>
      <c r="QBB188" s="117"/>
      <c r="QBC188" s="117"/>
      <c r="QBD188" s="117"/>
      <c r="QBE188" s="117"/>
      <c r="QBF188" s="117"/>
      <c r="QBG188" s="117"/>
      <c r="QBH188" s="117"/>
      <c r="QBI188" s="117"/>
      <c r="QBJ188" s="117"/>
      <c r="QBK188" s="117"/>
      <c r="QBL188" s="117"/>
      <c r="QBM188" s="117"/>
      <c r="QBN188" s="117"/>
      <c r="QBO188" s="117"/>
      <c r="QBP188" s="117"/>
      <c r="QBQ188" s="117"/>
      <c r="QBR188" s="117"/>
      <c r="QBS188" s="117"/>
      <c r="QBT188" s="117"/>
      <c r="QBU188" s="117"/>
      <c r="QBV188" s="117"/>
      <c r="QBW188" s="117"/>
      <c r="QBX188" s="117"/>
      <c r="QBY188" s="117"/>
      <c r="QBZ188" s="117"/>
      <c r="QCA188" s="117"/>
      <c r="QCB188" s="117"/>
      <c r="QCC188" s="117"/>
      <c r="QCD188" s="117"/>
      <c r="QCE188" s="117"/>
      <c r="QCF188" s="117"/>
      <c r="QCG188" s="117"/>
      <c r="QCH188" s="117"/>
      <c r="QCI188" s="117"/>
      <c r="QCJ188" s="117"/>
      <c r="QCK188" s="117"/>
      <c r="QCL188" s="117"/>
      <c r="QCM188" s="117"/>
      <c r="QCN188" s="117"/>
      <c r="QCO188" s="117"/>
      <c r="QCP188" s="117"/>
      <c r="QCQ188" s="117"/>
      <c r="QCR188" s="117"/>
      <c r="QCS188" s="117"/>
      <c r="QCT188" s="117"/>
      <c r="QCU188" s="117"/>
      <c r="QCV188" s="117"/>
      <c r="QCW188" s="117"/>
      <c r="QCX188" s="117"/>
      <c r="QCY188" s="117"/>
      <c r="QCZ188" s="117"/>
      <c r="QDA188" s="117"/>
      <c r="QDB188" s="117"/>
      <c r="QDC188" s="117"/>
      <c r="QDD188" s="117"/>
      <c r="QDE188" s="117"/>
      <c r="QDF188" s="117"/>
      <c r="QDG188" s="117"/>
      <c r="QDH188" s="117"/>
      <c r="QDI188" s="117"/>
      <c r="QDJ188" s="117"/>
      <c r="QDK188" s="117"/>
      <c r="QDL188" s="117"/>
      <c r="QDM188" s="117"/>
      <c r="QDN188" s="117"/>
      <c r="QDO188" s="117"/>
      <c r="QDP188" s="117"/>
      <c r="QDQ188" s="117"/>
      <c r="QDR188" s="117"/>
      <c r="QDS188" s="117"/>
      <c r="QDT188" s="117"/>
      <c r="QDU188" s="117"/>
      <c r="QDV188" s="117"/>
      <c r="QDW188" s="117"/>
      <c r="QDX188" s="117"/>
      <c r="QDY188" s="117"/>
      <c r="QDZ188" s="117"/>
      <c r="QEA188" s="117"/>
      <c r="QEB188" s="117"/>
      <c r="QEC188" s="117"/>
      <c r="QED188" s="117"/>
      <c r="QEE188" s="117"/>
      <c r="QEF188" s="117"/>
      <c r="QEG188" s="117"/>
      <c r="QEH188" s="117"/>
      <c r="QEI188" s="117"/>
      <c r="QEJ188" s="117"/>
      <c r="QEK188" s="117"/>
      <c r="QEL188" s="117"/>
      <c r="QEM188" s="117"/>
      <c r="QEN188" s="117"/>
      <c r="QEO188" s="117"/>
      <c r="QEP188" s="117"/>
      <c r="QEQ188" s="117"/>
      <c r="QER188" s="117"/>
      <c r="QES188" s="117"/>
      <c r="QET188" s="117"/>
      <c r="QEU188" s="117"/>
      <c r="QEV188" s="117"/>
      <c r="QEW188" s="117"/>
      <c r="QEX188" s="117"/>
      <c r="QEY188" s="117"/>
      <c r="QEZ188" s="117"/>
      <c r="QFA188" s="117"/>
      <c r="QFB188" s="117"/>
      <c r="QFC188" s="117"/>
      <c r="QFD188" s="117"/>
      <c r="QFE188" s="117"/>
      <c r="QFF188" s="117"/>
      <c r="QFG188" s="117"/>
      <c r="QFH188" s="117"/>
      <c r="QFI188" s="117"/>
      <c r="QFJ188" s="117"/>
      <c r="QFK188" s="117"/>
      <c r="QFL188" s="117"/>
      <c r="QFM188" s="117"/>
      <c r="QFN188" s="117"/>
      <c r="QFO188" s="117"/>
      <c r="QFP188" s="117"/>
      <c r="QFQ188" s="117"/>
      <c r="QFR188" s="117"/>
      <c r="QFS188" s="117"/>
      <c r="QFT188" s="117"/>
      <c r="QFU188" s="117"/>
      <c r="QFV188" s="117"/>
      <c r="QFW188" s="117"/>
      <c r="QFX188" s="117"/>
      <c r="QFY188" s="117"/>
      <c r="QFZ188" s="117"/>
      <c r="QGA188" s="117"/>
      <c r="QGB188" s="117"/>
      <c r="QGC188" s="117"/>
      <c r="QGD188" s="117"/>
      <c r="QGE188" s="117"/>
      <c r="QGF188" s="117"/>
      <c r="QGG188" s="117"/>
      <c r="QGH188" s="117"/>
      <c r="QGI188" s="117"/>
      <c r="QGJ188" s="117"/>
      <c r="QGK188" s="117"/>
      <c r="QGL188" s="117"/>
      <c r="QGM188" s="117"/>
      <c r="QGN188" s="117"/>
      <c r="QGO188" s="117"/>
      <c r="QGP188" s="117"/>
      <c r="QGQ188" s="117"/>
      <c r="QGR188" s="117"/>
      <c r="QGS188" s="117"/>
      <c r="QGT188" s="117"/>
      <c r="QGU188" s="117"/>
      <c r="QGV188" s="117"/>
      <c r="QGW188" s="117"/>
      <c r="QGX188" s="117"/>
      <c r="QGY188" s="117"/>
      <c r="QGZ188" s="117"/>
      <c r="QHA188" s="117"/>
      <c r="QHB188" s="117"/>
      <c r="QHC188" s="117"/>
      <c r="QHD188" s="117"/>
      <c r="QHE188" s="117"/>
      <c r="QHF188" s="117"/>
      <c r="QHG188" s="117"/>
      <c r="QHH188" s="117"/>
      <c r="QHI188" s="117"/>
      <c r="QHJ188" s="117"/>
      <c r="QHK188" s="117"/>
      <c r="QHL188" s="117"/>
      <c r="QHM188" s="117"/>
      <c r="QHN188" s="117"/>
      <c r="QHO188" s="117"/>
      <c r="QHP188" s="117"/>
      <c r="QHQ188" s="117"/>
      <c r="QHR188" s="117"/>
      <c r="QHS188" s="117"/>
      <c r="QHT188" s="117"/>
      <c r="QHU188" s="117"/>
      <c r="QHV188" s="117"/>
      <c r="QHW188" s="117"/>
      <c r="QHX188" s="117"/>
      <c r="QHY188" s="117"/>
      <c r="QHZ188" s="117"/>
      <c r="QIA188" s="117"/>
      <c r="QIB188" s="117"/>
      <c r="QIC188" s="117"/>
      <c r="QID188" s="117"/>
      <c r="QIE188" s="117"/>
      <c r="QIF188" s="117"/>
      <c r="QIG188" s="117"/>
      <c r="QIH188" s="117"/>
      <c r="QII188" s="117"/>
      <c r="QIJ188" s="117"/>
      <c r="QIK188" s="117"/>
      <c r="QIL188" s="117"/>
      <c r="QIM188" s="117"/>
      <c r="QIN188" s="117"/>
      <c r="QIO188" s="117"/>
      <c r="QIP188" s="117"/>
      <c r="QIQ188" s="117"/>
      <c r="QIR188" s="117"/>
      <c r="QIS188" s="117"/>
      <c r="QIT188" s="117"/>
      <c r="QIU188" s="117"/>
      <c r="QIV188" s="117"/>
      <c r="QIW188" s="117"/>
      <c r="QIX188" s="117"/>
      <c r="QIY188" s="117"/>
      <c r="QIZ188" s="117"/>
      <c r="QJA188" s="117"/>
      <c r="QJB188" s="117"/>
      <c r="QJC188" s="117"/>
      <c r="QJD188" s="117"/>
      <c r="QJE188" s="117"/>
      <c r="QJF188" s="117"/>
      <c r="QJG188" s="117"/>
      <c r="QJH188" s="117"/>
      <c r="QJI188" s="117"/>
      <c r="QJJ188" s="117"/>
      <c r="QJK188" s="117"/>
      <c r="QJL188" s="117"/>
      <c r="QJM188" s="117"/>
      <c r="QJN188" s="117"/>
      <c r="QJO188" s="117"/>
      <c r="QJP188" s="117"/>
      <c r="QJQ188" s="117"/>
      <c r="QJR188" s="117"/>
      <c r="QJS188" s="117"/>
      <c r="QJT188" s="117"/>
      <c r="QJU188" s="117"/>
      <c r="QJV188" s="117"/>
      <c r="QJW188" s="117"/>
      <c r="QJX188" s="117"/>
      <c r="QJY188" s="117"/>
      <c r="QJZ188" s="117"/>
      <c r="QKA188" s="117"/>
      <c r="QKB188" s="117"/>
      <c r="QKC188" s="117"/>
      <c r="QKD188" s="117"/>
      <c r="QKE188" s="117"/>
      <c r="QKF188" s="117"/>
      <c r="QKG188" s="117"/>
      <c r="QKH188" s="117"/>
      <c r="QKI188" s="117"/>
      <c r="QKJ188" s="117"/>
      <c r="QKK188" s="117"/>
      <c r="QKL188" s="117"/>
      <c r="QKM188" s="117"/>
      <c r="QKN188" s="117"/>
      <c r="QKO188" s="117"/>
      <c r="QKP188" s="117"/>
      <c r="QKQ188" s="117"/>
      <c r="QKR188" s="117"/>
      <c r="QKS188" s="117"/>
      <c r="QKT188" s="117"/>
      <c r="QKU188" s="117"/>
      <c r="QKV188" s="117"/>
      <c r="QKW188" s="117"/>
      <c r="QKX188" s="117"/>
      <c r="QKY188" s="117"/>
      <c r="QKZ188" s="117"/>
      <c r="QLA188" s="117"/>
      <c r="QLB188" s="117"/>
      <c r="QLC188" s="117"/>
      <c r="QLD188" s="117"/>
      <c r="QLE188" s="117"/>
      <c r="QLF188" s="117"/>
      <c r="QLG188" s="117"/>
      <c r="QLH188" s="117"/>
      <c r="QLI188" s="117"/>
      <c r="QLJ188" s="117"/>
      <c r="QLK188" s="117"/>
      <c r="QLL188" s="117"/>
      <c r="QLM188" s="117"/>
      <c r="QLN188" s="117"/>
      <c r="QLO188" s="117"/>
      <c r="QLP188" s="117"/>
      <c r="QLQ188" s="117"/>
      <c r="QLR188" s="117"/>
      <c r="QLS188" s="117"/>
      <c r="QLT188" s="117"/>
      <c r="QLU188" s="117"/>
      <c r="QLV188" s="117"/>
      <c r="QLW188" s="117"/>
      <c r="QLX188" s="117"/>
      <c r="QLY188" s="117"/>
      <c r="QLZ188" s="117"/>
      <c r="QMA188" s="117"/>
      <c r="QMB188" s="117"/>
      <c r="QMC188" s="117"/>
      <c r="QMD188" s="117"/>
      <c r="QME188" s="117"/>
      <c r="QMF188" s="117"/>
      <c r="QMG188" s="117"/>
      <c r="QMH188" s="117"/>
      <c r="QMI188" s="117"/>
      <c r="QMJ188" s="117"/>
      <c r="QMK188" s="117"/>
      <c r="QML188" s="117"/>
      <c r="QMM188" s="117"/>
      <c r="QMN188" s="117"/>
      <c r="QMO188" s="117"/>
      <c r="QMP188" s="117"/>
      <c r="QMQ188" s="117"/>
      <c r="QMR188" s="117"/>
      <c r="QMS188" s="117"/>
      <c r="QMT188" s="117"/>
      <c r="QMU188" s="117"/>
      <c r="QMV188" s="117"/>
      <c r="QMW188" s="117"/>
      <c r="QMX188" s="117"/>
      <c r="QMY188" s="117"/>
      <c r="QMZ188" s="117"/>
      <c r="QNA188" s="117"/>
      <c r="QNB188" s="117"/>
      <c r="QNC188" s="117"/>
      <c r="QND188" s="117"/>
      <c r="QNE188" s="117"/>
      <c r="QNF188" s="117"/>
      <c r="QNG188" s="117"/>
      <c r="QNH188" s="117"/>
      <c r="QNI188" s="117"/>
      <c r="QNJ188" s="117"/>
      <c r="QNK188" s="117"/>
      <c r="QNL188" s="117"/>
      <c r="QNM188" s="117"/>
      <c r="QNN188" s="117"/>
      <c r="QNO188" s="117"/>
      <c r="QNP188" s="117"/>
      <c r="QNQ188" s="117"/>
      <c r="QNR188" s="117"/>
      <c r="QNS188" s="117"/>
      <c r="QNT188" s="117"/>
      <c r="QNU188" s="117"/>
      <c r="QNV188" s="117"/>
      <c r="QNW188" s="117"/>
      <c r="QNX188" s="117"/>
      <c r="QNY188" s="117"/>
      <c r="QNZ188" s="117"/>
      <c r="QOA188" s="117"/>
      <c r="QOB188" s="117"/>
      <c r="QOC188" s="117"/>
      <c r="QOD188" s="117"/>
      <c r="QOE188" s="117"/>
      <c r="QOF188" s="117"/>
      <c r="QOG188" s="117"/>
      <c r="QOH188" s="117"/>
      <c r="QOI188" s="117"/>
      <c r="QOJ188" s="117"/>
      <c r="QOK188" s="117"/>
      <c r="QOL188" s="117"/>
      <c r="QOM188" s="117"/>
      <c r="QON188" s="117"/>
      <c r="QOO188" s="117"/>
      <c r="QOP188" s="117"/>
      <c r="QOQ188" s="117"/>
      <c r="QOR188" s="117"/>
      <c r="QOS188" s="117"/>
      <c r="QOT188" s="117"/>
      <c r="QOU188" s="117"/>
      <c r="QOV188" s="117"/>
      <c r="QOW188" s="117"/>
      <c r="QOX188" s="117"/>
      <c r="QOY188" s="117"/>
      <c r="QOZ188" s="117"/>
      <c r="QPA188" s="117"/>
      <c r="QPB188" s="117"/>
      <c r="QPC188" s="117"/>
      <c r="QPD188" s="117"/>
      <c r="QPE188" s="117"/>
      <c r="QPF188" s="117"/>
      <c r="QPG188" s="117"/>
      <c r="QPH188" s="117"/>
      <c r="QPI188" s="117"/>
      <c r="QPJ188" s="117"/>
      <c r="QPK188" s="117"/>
      <c r="QPL188" s="117"/>
      <c r="QPM188" s="117"/>
      <c r="QPN188" s="117"/>
      <c r="QPO188" s="117"/>
      <c r="QPP188" s="117"/>
      <c r="QPQ188" s="117"/>
      <c r="QPR188" s="117"/>
      <c r="QPS188" s="117"/>
      <c r="QPT188" s="117"/>
      <c r="QPU188" s="117"/>
      <c r="QPV188" s="117"/>
      <c r="QPW188" s="117"/>
      <c r="QPX188" s="117"/>
      <c r="QPY188" s="117"/>
      <c r="QPZ188" s="117"/>
      <c r="QQA188" s="117"/>
      <c r="QQB188" s="117"/>
      <c r="QQC188" s="117"/>
      <c r="QQD188" s="117"/>
      <c r="QQE188" s="117"/>
      <c r="QQF188" s="117"/>
      <c r="QQG188" s="117"/>
      <c r="QQH188" s="117"/>
      <c r="QQI188" s="117"/>
      <c r="QQJ188" s="117"/>
      <c r="QQK188" s="117"/>
      <c r="QQL188" s="117"/>
      <c r="QQM188" s="117"/>
      <c r="QQN188" s="117"/>
      <c r="QQO188" s="117"/>
      <c r="QQP188" s="117"/>
      <c r="QQQ188" s="117"/>
      <c r="QQR188" s="117"/>
      <c r="QQS188" s="117"/>
      <c r="QQT188" s="117"/>
      <c r="QQU188" s="117"/>
      <c r="QQV188" s="117"/>
      <c r="QQW188" s="117"/>
      <c r="QQX188" s="117"/>
      <c r="QQY188" s="117"/>
      <c r="QQZ188" s="117"/>
      <c r="QRA188" s="117"/>
      <c r="QRB188" s="117"/>
      <c r="QRC188" s="117"/>
      <c r="QRD188" s="117"/>
      <c r="QRE188" s="117"/>
      <c r="QRF188" s="117"/>
      <c r="QRG188" s="117"/>
      <c r="QRH188" s="117"/>
      <c r="QRI188" s="117"/>
      <c r="QRJ188" s="117"/>
      <c r="QRK188" s="117"/>
      <c r="QRL188" s="117"/>
      <c r="QRM188" s="117"/>
      <c r="QRN188" s="117"/>
      <c r="QRO188" s="117"/>
      <c r="QRP188" s="117"/>
      <c r="QRQ188" s="117"/>
      <c r="QRR188" s="117"/>
      <c r="QRS188" s="117"/>
      <c r="QRT188" s="117"/>
      <c r="QRU188" s="117"/>
      <c r="QRV188" s="117"/>
      <c r="QRW188" s="117"/>
      <c r="QRX188" s="117"/>
      <c r="QRY188" s="117"/>
      <c r="QRZ188" s="117"/>
      <c r="QSA188" s="117"/>
      <c r="QSB188" s="117"/>
      <c r="QSC188" s="117"/>
      <c r="QSD188" s="117"/>
      <c r="QSE188" s="117"/>
      <c r="QSF188" s="117"/>
      <c r="QSG188" s="117"/>
      <c r="QSH188" s="117"/>
      <c r="QSI188" s="117"/>
      <c r="QSJ188" s="117"/>
      <c r="QSK188" s="117"/>
      <c r="QSL188" s="117"/>
      <c r="QSM188" s="117"/>
      <c r="QSN188" s="117"/>
      <c r="QSO188" s="117"/>
      <c r="QSP188" s="117"/>
      <c r="QSQ188" s="117"/>
      <c r="QSR188" s="117"/>
      <c r="QSS188" s="117"/>
      <c r="QST188" s="117"/>
      <c r="QSU188" s="117"/>
      <c r="QSV188" s="117"/>
      <c r="QSW188" s="117"/>
      <c r="QSX188" s="117"/>
      <c r="QSY188" s="117"/>
      <c r="QSZ188" s="117"/>
      <c r="QTA188" s="117"/>
      <c r="QTB188" s="117"/>
      <c r="QTC188" s="117"/>
      <c r="QTD188" s="117"/>
      <c r="QTE188" s="117"/>
      <c r="QTF188" s="117"/>
      <c r="QTG188" s="117"/>
      <c r="QTH188" s="117"/>
      <c r="QTI188" s="117"/>
      <c r="QTJ188" s="117"/>
      <c r="QTK188" s="117"/>
      <c r="QTL188" s="117"/>
      <c r="QTM188" s="117"/>
      <c r="QTN188" s="117"/>
      <c r="QTO188" s="117"/>
      <c r="QTP188" s="117"/>
      <c r="QTQ188" s="117"/>
      <c r="QTR188" s="117"/>
      <c r="QTS188" s="117"/>
      <c r="QTT188" s="117"/>
      <c r="QTU188" s="117"/>
      <c r="QTV188" s="117"/>
      <c r="QTW188" s="117"/>
      <c r="QTX188" s="117"/>
      <c r="QTY188" s="117"/>
      <c r="QTZ188" s="117"/>
      <c r="QUA188" s="117"/>
      <c r="QUB188" s="117"/>
      <c r="QUC188" s="117"/>
      <c r="QUD188" s="117"/>
      <c r="QUE188" s="117"/>
      <c r="QUF188" s="117"/>
      <c r="QUG188" s="117"/>
      <c r="QUH188" s="117"/>
      <c r="QUI188" s="117"/>
      <c r="QUJ188" s="117"/>
      <c r="QUK188" s="117"/>
      <c r="QUL188" s="117"/>
      <c r="QUM188" s="117"/>
      <c r="QUN188" s="117"/>
      <c r="QUO188" s="117"/>
      <c r="QUP188" s="117"/>
      <c r="QUQ188" s="117"/>
      <c r="QUR188" s="117"/>
      <c r="QUS188" s="117"/>
      <c r="QUT188" s="117"/>
      <c r="QUU188" s="117"/>
      <c r="QUV188" s="117"/>
      <c r="QUW188" s="117"/>
      <c r="QUX188" s="117"/>
      <c r="QUY188" s="117"/>
      <c r="QUZ188" s="117"/>
      <c r="QVA188" s="117"/>
      <c r="QVB188" s="117"/>
      <c r="QVC188" s="117"/>
      <c r="QVD188" s="117"/>
      <c r="QVE188" s="117"/>
      <c r="QVF188" s="117"/>
      <c r="QVG188" s="117"/>
      <c r="QVH188" s="117"/>
      <c r="QVI188" s="117"/>
      <c r="QVJ188" s="117"/>
      <c r="QVK188" s="117"/>
      <c r="QVL188" s="117"/>
      <c r="QVM188" s="117"/>
      <c r="QVN188" s="117"/>
      <c r="QVO188" s="117"/>
      <c r="QVP188" s="117"/>
      <c r="QVQ188" s="117"/>
      <c r="QVR188" s="117"/>
      <c r="QVS188" s="117"/>
      <c r="QVT188" s="117"/>
      <c r="QVU188" s="117"/>
      <c r="QVV188" s="117"/>
      <c r="QVW188" s="117"/>
      <c r="QVX188" s="117"/>
      <c r="QVY188" s="117"/>
      <c r="QVZ188" s="117"/>
      <c r="QWA188" s="117"/>
      <c r="QWB188" s="117"/>
      <c r="QWC188" s="117"/>
      <c r="QWD188" s="117"/>
      <c r="QWE188" s="117"/>
      <c r="QWF188" s="117"/>
      <c r="QWG188" s="117"/>
      <c r="QWH188" s="117"/>
      <c r="QWI188" s="117"/>
      <c r="QWJ188" s="117"/>
      <c r="QWK188" s="117"/>
      <c r="QWL188" s="117"/>
      <c r="QWM188" s="117"/>
      <c r="QWN188" s="117"/>
      <c r="QWO188" s="117"/>
      <c r="QWP188" s="117"/>
      <c r="QWQ188" s="117"/>
      <c r="QWR188" s="117"/>
      <c r="QWS188" s="117"/>
      <c r="QWT188" s="117"/>
      <c r="QWU188" s="117"/>
      <c r="QWV188" s="117"/>
      <c r="QWW188" s="117"/>
      <c r="QWX188" s="117"/>
      <c r="QWY188" s="117"/>
      <c r="QWZ188" s="117"/>
      <c r="QXA188" s="117"/>
      <c r="QXB188" s="117"/>
      <c r="QXC188" s="117"/>
      <c r="QXD188" s="117"/>
      <c r="QXE188" s="117"/>
      <c r="QXF188" s="117"/>
      <c r="QXG188" s="117"/>
      <c r="QXH188" s="117"/>
      <c r="QXI188" s="117"/>
      <c r="QXJ188" s="117"/>
      <c r="QXK188" s="117"/>
      <c r="QXL188" s="117"/>
      <c r="QXM188" s="117"/>
      <c r="QXN188" s="117"/>
      <c r="QXO188" s="117"/>
      <c r="QXP188" s="117"/>
      <c r="QXQ188" s="117"/>
      <c r="QXR188" s="117"/>
      <c r="QXS188" s="117"/>
      <c r="QXT188" s="117"/>
      <c r="QXU188" s="117"/>
      <c r="QXV188" s="117"/>
      <c r="QXW188" s="117"/>
      <c r="QXX188" s="117"/>
      <c r="QXY188" s="117"/>
      <c r="QXZ188" s="117"/>
      <c r="QYA188" s="117"/>
      <c r="QYB188" s="117"/>
      <c r="QYC188" s="117"/>
      <c r="QYD188" s="117"/>
      <c r="QYE188" s="117"/>
      <c r="QYF188" s="117"/>
      <c r="QYG188" s="117"/>
      <c r="QYH188" s="117"/>
      <c r="QYI188" s="117"/>
      <c r="QYJ188" s="117"/>
      <c r="QYK188" s="117"/>
      <c r="QYL188" s="117"/>
      <c r="QYM188" s="117"/>
      <c r="QYN188" s="117"/>
      <c r="QYO188" s="117"/>
      <c r="QYP188" s="117"/>
      <c r="QYQ188" s="117"/>
      <c r="QYR188" s="117"/>
      <c r="QYS188" s="117"/>
      <c r="QYT188" s="117"/>
      <c r="QYU188" s="117"/>
      <c r="QYV188" s="117"/>
      <c r="QYW188" s="117"/>
      <c r="QYX188" s="117"/>
      <c r="QYY188" s="117"/>
      <c r="QYZ188" s="117"/>
      <c r="QZA188" s="117"/>
      <c r="QZB188" s="117"/>
      <c r="QZC188" s="117"/>
      <c r="QZD188" s="117"/>
      <c r="QZE188" s="117"/>
      <c r="QZF188" s="117"/>
      <c r="QZG188" s="117"/>
      <c r="QZH188" s="117"/>
      <c r="QZI188" s="117"/>
      <c r="QZJ188" s="117"/>
      <c r="QZK188" s="117"/>
      <c r="QZL188" s="117"/>
      <c r="QZM188" s="117"/>
      <c r="QZN188" s="117"/>
      <c r="QZO188" s="117"/>
      <c r="QZP188" s="117"/>
      <c r="QZQ188" s="117"/>
      <c r="QZR188" s="117"/>
      <c r="QZS188" s="117"/>
      <c r="QZT188" s="117"/>
      <c r="QZU188" s="117"/>
      <c r="QZV188" s="117"/>
      <c r="QZW188" s="117"/>
      <c r="QZX188" s="117"/>
      <c r="QZY188" s="117"/>
      <c r="QZZ188" s="117"/>
      <c r="RAA188" s="117"/>
      <c r="RAB188" s="117"/>
      <c r="RAC188" s="117"/>
      <c r="RAD188" s="117"/>
      <c r="RAE188" s="117"/>
      <c r="RAF188" s="117"/>
      <c r="RAG188" s="117"/>
      <c r="RAH188" s="117"/>
      <c r="RAI188" s="117"/>
      <c r="RAJ188" s="117"/>
      <c r="RAK188" s="117"/>
      <c r="RAL188" s="117"/>
      <c r="RAM188" s="117"/>
      <c r="RAN188" s="117"/>
      <c r="RAO188" s="117"/>
      <c r="RAP188" s="117"/>
      <c r="RAQ188" s="117"/>
      <c r="RAR188" s="117"/>
      <c r="RAS188" s="117"/>
      <c r="RAT188" s="117"/>
      <c r="RAU188" s="117"/>
      <c r="RAV188" s="117"/>
      <c r="RAW188" s="117"/>
      <c r="RAX188" s="117"/>
      <c r="RAY188" s="117"/>
      <c r="RAZ188" s="117"/>
      <c r="RBA188" s="117"/>
      <c r="RBB188" s="117"/>
      <c r="RBC188" s="117"/>
      <c r="RBD188" s="117"/>
      <c r="RBE188" s="117"/>
      <c r="RBF188" s="117"/>
      <c r="RBG188" s="117"/>
      <c r="RBH188" s="117"/>
      <c r="RBI188" s="117"/>
      <c r="RBJ188" s="117"/>
      <c r="RBK188" s="117"/>
      <c r="RBL188" s="117"/>
      <c r="RBM188" s="117"/>
      <c r="RBN188" s="117"/>
      <c r="RBO188" s="117"/>
      <c r="RBP188" s="117"/>
      <c r="RBQ188" s="117"/>
      <c r="RBR188" s="117"/>
      <c r="RBS188" s="117"/>
      <c r="RBT188" s="117"/>
      <c r="RBU188" s="117"/>
      <c r="RBV188" s="117"/>
      <c r="RBW188" s="117"/>
      <c r="RBX188" s="117"/>
      <c r="RBY188" s="117"/>
      <c r="RBZ188" s="117"/>
      <c r="RCA188" s="117"/>
      <c r="RCB188" s="117"/>
      <c r="RCC188" s="117"/>
      <c r="RCD188" s="117"/>
      <c r="RCE188" s="117"/>
      <c r="RCF188" s="117"/>
      <c r="RCG188" s="117"/>
      <c r="RCH188" s="117"/>
      <c r="RCI188" s="117"/>
      <c r="RCJ188" s="117"/>
      <c r="RCK188" s="117"/>
      <c r="RCL188" s="117"/>
      <c r="RCM188" s="117"/>
      <c r="RCN188" s="117"/>
      <c r="RCO188" s="117"/>
      <c r="RCP188" s="117"/>
      <c r="RCQ188" s="117"/>
      <c r="RCR188" s="117"/>
      <c r="RCS188" s="117"/>
      <c r="RCT188" s="117"/>
      <c r="RCU188" s="117"/>
      <c r="RCV188" s="117"/>
      <c r="RCW188" s="117"/>
      <c r="RCX188" s="117"/>
      <c r="RCY188" s="117"/>
      <c r="RCZ188" s="117"/>
      <c r="RDA188" s="117"/>
      <c r="RDB188" s="117"/>
      <c r="RDC188" s="117"/>
      <c r="RDD188" s="117"/>
      <c r="RDE188" s="117"/>
      <c r="RDF188" s="117"/>
      <c r="RDG188" s="117"/>
      <c r="RDH188" s="117"/>
      <c r="RDI188" s="117"/>
      <c r="RDJ188" s="117"/>
      <c r="RDK188" s="117"/>
      <c r="RDL188" s="117"/>
      <c r="RDM188" s="117"/>
      <c r="RDN188" s="117"/>
      <c r="RDO188" s="117"/>
      <c r="RDP188" s="117"/>
      <c r="RDQ188" s="117"/>
      <c r="RDR188" s="117"/>
      <c r="RDS188" s="117"/>
      <c r="RDT188" s="117"/>
      <c r="RDU188" s="117"/>
      <c r="RDV188" s="117"/>
      <c r="RDW188" s="117"/>
      <c r="RDX188" s="117"/>
      <c r="RDY188" s="117"/>
      <c r="RDZ188" s="117"/>
      <c r="REA188" s="117"/>
      <c r="REB188" s="117"/>
      <c r="REC188" s="117"/>
      <c r="RED188" s="117"/>
      <c r="REE188" s="117"/>
      <c r="REF188" s="117"/>
      <c r="REG188" s="117"/>
      <c r="REH188" s="117"/>
      <c r="REI188" s="117"/>
      <c r="REJ188" s="117"/>
      <c r="REK188" s="117"/>
      <c r="REL188" s="117"/>
      <c r="REM188" s="117"/>
      <c r="REN188" s="117"/>
      <c r="REO188" s="117"/>
      <c r="REP188" s="117"/>
      <c r="REQ188" s="117"/>
      <c r="RER188" s="117"/>
      <c r="RES188" s="117"/>
      <c r="RET188" s="117"/>
      <c r="REU188" s="117"/>
      <c r="REV188" s="117"/>
      <c r="REW188" s="117"/>
      <c r="REX188" s="117"/>
      <c r="REY188" s="117"/>
      <c r="REZ188" s="117"/>
      <c r="RFA188" s="117"/>
      <c r="RFB188" s="117"/>
      <c r="RFC188" s="117"/>
      <c r="RFD188" s="117"/>
      <c r="RFE188" s="117"/>
      <c r="RFF188" s="117"/>
      <c r="RFG188" s="117"/>
      <c r="RFH188" s="117"/>
      <c r="RFI188" s="117"/>
      <c r="RFJ188" s="117"/>
      <c r="RFK188" s="117"/>
      <c r="RFL188" s="117"/>
      <c r="RFM188" s="117"/>
      <c r="RFN188" s="117"/>
      <c r="RFO188" s="117"/>
      <c r="RFP188" s="117"/>
      <c r="RFQ188" s="117"/>
      <c r="RFR188" s="117"/>
      <c r="RFS188" s="117"/>
      <c r="RFT188" s="117"/>
      <c r="RFU188" s="117"/>
      <c r="RFV188" s="117"/>
      <c r="RFW188" s="117"/>
      <c r="RFX188" s="117"/>
      <c r="RFY188" s="117"/>
      <c r="RFZ188" s="117"/>
      <c r="RGA188" s="117"/>
      <c r="RGB188" s="117"/>
      <c r="RGC188" s="117"/>
      <c r="RGD188" s="117"/>
      <c r="RGE188" s="117"/>
      <c r="RGF188" s="117"/>
      <c r="RGG188" s="117"/>
      <c r="RGH188" s="117"/>
      <c r="RGI188" s="117"/>
      <c r="RGJ188" s="117"/>
      <c r="RGK188" s="117"/>
      <c r="RGL188" s="117"/>
      <c r="RGM188" s="117"/>
      <c r="RGN188" s="117"/>
      <c r="RGO188" s="117"/>
      <c r="RGP188" s="117"/>
      <c r="RGQ188" s="117"/>
      <c r="RGR188" s="117"/>
      <c r="RGS188" s="117"/>
      <c r="RGT188" s="117"/>
      <c r="RGU188" s="117"/>
      <c r="RGV188" s="117"/>
      <c r="RGW188" s="117"/>
      <c r="RGX188" s="117"/>
      <c r="RGY188" s="117"/>
      <c r="RGZ188" s="117"/>
      <c r="RHA188" s="117"/>
      <c r="RHB188" s="117"/>
      <c r="RHC188" s="117"/>
      <c r="RHD188" s="117"/>
      <c r="RHE188" s="117"/>
      <c r="RHF188" s="117"/>
      <c r="RHG188" s="117"/>
      <c r="RHH188" s="117"/>
      <c r="RHI188" s="117"/>
      <c r="RHJ188" s="117"/>
      <c r="RHK188" s="117"/>
      <c r="RHL188" s="117"/>
      <c r="RHM188" s="117"/>
      <c r="RHN188" s="117"/>
      <c r="RHO188" s="117"/>
      <c r="RHP188" s="117"/>
      <c r="RHQ188" s="117"/>
      <c r="RHR188" s="117"/>
      <c r="RHS188" s="117"/>
      <c r="RHT188" s="117"/>
      <c r="RHU188" s="117"/>
      <c r="RHV188" s="117"/>
      <c r="RHW188" s="117"/>
      <c r="RHX188" s="117"/>
      <c r="RHY188" s="117"/>
      <c r="RHZ188" s="117"/>
      <c r="RIA188" s="117"/>
      <c r="RIB188" s="117"/>
      <c r="RIC188" s="117"/>
      <c r="RID188" s="117"/>
      <c r="RIE188" s="117"/>
      <c r="RIF188" s="117"/>
      <c r="RIG188" s="117"/>
      <c r="RIH188" s="117"/>
      <c r="RII188" s="117"/>
      <c r="RIJ188" s="117"/>
      <c r="RIK188" s="117"/>
      <c r="RIL188" s="117"/>
      <c r="RIM188" s="117"/>
      <c r="RIN188" s="117"/>
      <c r="RIO188" s="117"/>
      <c r="RIP188" s="117"/>
      <c r="RIQ188" s="117"/>
      <c r="RIR188" s="117"/>
      <c r="RIS188" s="117"/>
      <c r="RIT188" s="117"/>
      <c r="RIU188" s="117"/>
      <c r="RIV188" s="117"/>
      <c r="RIW188" s="117"/>
      <c r="RIX188" s="117"/>
      <c r="RIY188" s="117"/>
      <c r="RIZ188" s="117"/>
      <c r="RJA188" s="117"/>
      <c r="RJB188" s="117"/>
      <c r="RJC188" s="117"/>
      <c r="RJD188" s="117"/>
      <c r="RJE188" s="117"/>
      <c r="RJF188" s="117"/>
      <c r="RJG188" s="117"/>
      <c r="RJH188" s="117"/>
      <c r="RJI188" s="117"/>
      <c r="RJJ188" s="117"/>
      <c r="RJK188" s="117"/>
      <c r="RJL188" s="117"/>
      <c r="RJM188" s="117"/>
      <c r="RJN188" s="117"/>
      <c r="RJO188" s="117"/>
      <c r="RJP188" s="117"/>
      <c r="RJQ188" s="117"/>
      <c r="RJR188" s="117"/>
      <c r="RJS188" s="117"/>
      <c r="RJT188" s="117"/>
      <c r="RJU188" s="117"/>
      <c r="RJV188" s="117"/>
      <c r="RJW188" s="117"/>
      <c r="RJX188" s="117"/>
      <c r="RJY188" s="117"/>
      <c r="RJZ188" s="117"/>
      <c r="RKA188" s="117"/>
      <c r="RKB188" s="117"/>
      <c r="RKC188" s="117"/>
      <c r="RKD188" s="117"/>
      <c r="RKE188" s="117"/>
      <c r="RKF188" s="117"/>
      <c r="RKG188" s="117"/>
      <c r="RKH188" s="117"/>
      <c r="RKI188" s="117"/>
      <c r="RKJ188" s="117"/>
      <c r="RKK188" s="117"/>
      <c r="RKL188" s="117"/>
      <c r="RKM188" s="117"/>
      <c r="RKN188" s="117"/>
      <c r="RKO188" s="117"/>
      <c r="RKP188" s="117"/>
      <c r="RKQ188" s="117"/>
      <c r="RKR188" s="117"/>
      <c r="RKS188" s="117"/>
      <c r="RKT188" s="117"/>
      <c r="RKU188" s="117"/>
      <c r="RKV188" s="117"/>
      <c r="RKW188" s="117"/>
      <c r="RKX188" s="117"/>
      <c r="RKY188" s="117"/>
      <c r="RKZ188" s="117"/>
      <c r="RLA188" s="117"/>
      <c r="RLB188" s="117"/>
      <c r="RLC188" s="117"/>
      <c r="RLD188" s="117"/>
      <c r="RLE188" s="117"/>
      <c r="RLF188" s="117"/>
      <c r="RLG188" s="117"/>
      <c r="RLH188" s="117"/>
      <c r="RLI188" s="117"/>
      <c r="RLJ188" s="117"/>
      <c r="RLK188" s="117"/>
      <c r="RLL188" s="117"/>
      <c r="RLM188" s="117"/>
      <c r="RLN188" s="117"/>
      <c r="RLO188" s="117"/>
      <c r="RLP188" s="117"/>
      <c r="RLQ188" s="117"/>
      <c r="RLR188" s="117"/>
      <c r="RLS188" s="117"/>
      <c r="RLT188" s="117"/>
      <c r="RLU188" s="117"/>
      <c r="RLV188" s="117"/>
      <c r="RLW188" s="117"/>
      <c r="RLX188" s="117"/>
      <c r="RLY188" s="117"/>
      <c r="RLZ188" s="117"/>
      <c r="RMA188" s="117"/>
      <c r="RMB188" s="117"/>
      <c r="RMC188" s="117"/>
      <c r="RMD188" s="117"/>
      <c r="RME188" s="117"/>
      <c r="RMF188" s="117"/>
      <c r="RMG188" s="117"/>
      <c r="RMH188" s="117"/>
      <c r="RMI188" s="117"/>
      <c r="RMJ188" s="117"/>
      <c r="RMK188" s="117"/>
      <c r="RML188" s="117"/>
      <c r="RMM188" s="117"/>
      <c r="RMN188" s="117"/>
      <c r="RMO188" s="117"/>
      <c r="RMP188" s="117"/>
      <c r="RMQ188" s="117"/>
      <c r="RMR188" s="117"/>
      <c r="RMS188" s="117"/>
      <c r="RMT188" s="117"/>
      <c r="RMU188" s="117"/>
      <c r="RMV188" s="117"/>
      <c r="RMW188" s="117"/>
      <c r="RMX188" s="117"/>
      <c r="RMY188" s="117"/>
      <c r="RMZ188" s="117"/>
      <c r="RNA188" s="117"/>
      <c r="RNB188" s="117"/>
      <c r="RNC188" s="117"/>
      <c r="RND188" s="117"/>
      <c r="RNE188" s="117"/>
      <c r="RNF188" s="117"/>
      <c r="RNG188" s="117"/>
      <c r="RNH188" s="117"/>
      <c r="RNI188" s="117"/>
      <c r="RNJ188" s="117"/>
      <c r="RNK188" s="117"/>
      <c r="RNL188" s="117"/>
      <c r="RNM188" s="117"/>
      <c r="RNN188" s="117"/>
      <c r="RNO188" s="117"/>
      <c r="RNP188" s="117"/>
      <c r="RNQ188" s="117"/>
      <c r="RNR188" s="117"/>
      <c r="RNS188" s="117"/>
      <c r="RNT188" s="117"/>
      <c r="RNU188" s="117"/>
      <c r="RNV188" s="117"/>
      <c r="RNW188" s="117"/>
      <c r="RNX188" s="117"/>
      <c r="RNY188" s="117"/>
      <c r="RNZ188" s="117"/>
      <c r="ROA188" s="117"/>
      <c r="ROB188" s="117"/>
      <c r="ROC188" s="117"/>
      <c r="ROD188" s="117"/>
      <c r="ROE188" s="117"/>
      <c r="ROF188" s="117"/>
      <c r="ROG188" s="117"/>
      <c r="ROH188" s="117"/>
      <c r="ROI188" s="117"/>
      <c r="ROJ188" s="117"/>
      <c r="ROK188" s="117"/>
      <c r="ROL188" s="117"/>
      <c r="ROM188" s="117"/>
      <c r="RON188" s="117"/>
      <c r="ROO188" s="117"/>
      <c r="ROP188" s="117"/>
      <c r="ROQ188" s="117"/>
      <c r="ROR188" s="117"/>
      <c r="ROS188" s="117"/>
      <c r="ROT188" s="117"/>
      <c r="ROU188" s="117"/>
      <c r="ROV188" s="117"/>
      <c r="ROW188" s="117"/>
      <c r="ROX188" s="117"/>
      <c r="ROY188" s="117"/>
      <c r="ROZ188" s="117"/>
      <c r="RPA188" s="117"/>
      <c r="RPB188" s="117"/>
      <c r="RPC188" s="117"/>
      <c r="RPD188" s="117"/>
      <c r="RPE188" s="117"/>
      <c r="RPF188" s="117"/>
      <c r="RPG188" s="117"/>
      <c r="RPH188" s="117"/>
      <c r="RPI188" s="117"/>
      <c r="RPJ188" s="117"/>
      <c r="RPK188" s="117"/>
      <c r="RPL188" s="117"/>
      <c r="RPM188" s="117"/>
      <c r="RPN188" s="117"/>
      <c r="RPO188" s="117"/>
      <c r="RPP188" s="117"/>
      <c r="RPQ188" s="117"/>
      <c r="RPR188" s="117"/>
      <c r="RPS188" s="117"/>
      <c r="RPT188" s="117"/>
      <c r="RPU188" s="117"/>
      <c r="RPV188" s="117"/>
      <c r="RPW188" s="117"/>
      <c r="RPX188" s="117"/>
      <c r="RPY188" s="117"/>
      <c r="RPZ188" s="117"/>
      <c r="RQA188" s="117"/>
      <c r="RQB188" s="117"/>
      <c r="RQC188" s="117"/>
      <c r="RQD188" s="117"/>
      <c r="RQE188" s="117"/>
      <c r="RQF188" s="117"/>
      <c r="RQG188" s="117"/>
      <c r="RQH188" s="117"/>
      <c r="RQI188" s="117"/>
      <c r="RQJ188" s="117"/>
      <c r="RQK188" s="117"/>
      <c r="RQL188" s="117"/>
      <c r="RQM188" s="117"/>
      <c r="RQN188" s="117"/>
      <c r="RQO188" s="117"/>
      <c r="RQP188" s="117"/>
      <c r="RQQ188" s="117"/>
      <c r="RQR188" s="117"/>
      <c r="RQS188" s="117"/>
      <c r="RQT188" s="117"/>
      <c r="RQU188" s="117"/>
      <c r="RQV188" s="117"/>
      <c r="RQW188" s="117"/>
      <c r="RQX188" s="117"/>
      <c r="RQY188" s="117"/>
      <c r="RQZ188" s="117"/>
      <c r="RRA188" s="117"/>
      <c r="RRB188" s="117"/>
      <c r="RRC188" s="117"/>
      <c r="RRD188" s="117"/>
      <c r="RRE188" s="117"/>
      <c r="RRF188" s="117"/>
      <c r="RRG188" s="117"/>
      <c r="RRH188" s="117"/>
      <c r="RRI188" s="117"/>
      <c r="RRJ188" s="117"/>
      <c r="RRK188" s="117"/>
      <c r="RRL188" s="117"/>
      <c r="RRM188" s="117"/>
      <c r="RRN188" s="117"/>
      <c r="RRO188" s="117"/>
      <c r="RRP188" s="117"/>
      <c r="RRQ188" s="117"/>
      <c r="RRR188" s="117"/>
      <c r="RRS188" s="117"/>
      <c r="RRT188" s="117"/>
      <c r="RRU188" s="117"/>
      <c r="RRV188" s="117"/>
      <c r="RRW188" s="117"/>
      <c r="RRX188" s="117"/>
      <c r="RRY188" s="117"/>
      <c r="RRZ188" s="117"/>
      <c r="RSA188" s="117"/>
      <c r="RSB188" s="117"/>
      <c r="RSC188" s="117"/>
      <c r="RSD188" s="117"/>
      <c r="RSE188" s="117"/>
      <c r="RSF188" s="117"/>
      <c r="RSG188" s="117"/>
      <c r="RSH188" s="117"/>
      <c r="RSI188" s="117"/>
      <c r="RSJ188" s="117"/>
      <c r="RSK188" s="117"/>
      <c r="RSL188" s="117"/>
      <c r="RSM188" s="117"/>
      <c r="RSN188" s="117"/>
      <c r="RSO188" s="117"/>
      <c r="RSP188" s="117"/>
      <c r="RSQ188" s="117"/>
      <c r="RSR188" s="117"/>
      <c r="RSS188" s="117"/>
      <c r="RST188" s="117"/>
      <c r="RSU188" s="117"/>
      <c r="RSV188" s="117"/>
      <c r="RSW188" s="117"/>
      <c r="RSX188" s="117"/>
      <c r="RSY188" s="117"/>
      <c r="RSZ188" s="117"/>
      <c r="RTA188" s="117"/>
      <c r="RTB188" s="117"/>
      <c r="RTC188" s="117"/>
      <c r="RTD188" s="117"/>
      <c r="RTE188" s="117"/>
      <c r="RTF188" s="117"/>
      <c r="RTG188" s="117"/>
      <c r="RTH188" s="117"/>
      <c r="RTI188" s="117"/>
      <c r="RTJ188" s="117"/>
      <c r="RTK188" s="117"/>
      <c r="RTL188" s="117"/>
      <c r="RTM188" s="117"/>
      <c r="RTN188" s="117"/>
      <c r="RTO188" s="117"/>
      <c r="RTP188" s="117"/>
      <c r="RTQ188" s="117"/>
      <c r="RTR188" s="117"/>
      <c r="RTS188" s="117"/>
      <c r="RTT188" s="117"/>
      <c r="RTU188" s="117"/>
      <c r="RTV188" s="117"/>
      <c r="RTW188" s="117"/>
      <c r="RTX188" s="117"/>
      <c r="RTY188" s="117"/>
      <c r="RTZ188" s="117"/>
      <c r="RUA188" s="117"/>
      <c r="RUB188" s="117"/>
      <c r="RUC188" s="117"/>
      <c r="RUD188" s="117"/>
      <c r="RUE188" s="117"/>
      <c r="RUF188" s="117"/>
      <c r="RUG188" s="117"/>
      <c r="RUH188" s="117"/>
      <c r="RUI188" s="117"/>
      <c r="RUJ188" s="117"/>
      <c r="RUK188" s="117"/>
      <c r="RUL188" s="117"/>
      <c r="RUM188" s="117"/>
      <c r="RUN188" s="117"/>
      <c r="RUO188" s="117"/>
      <c r="RUP188" s="117"/>
      <c r="RUQ188" s="117"/>
      <c r="RUR188" s="117"/>
      <c r="RUS188" s="117"/>
      <c r="RUT188" s="117"/>
      <c r="RUU188" s="117"/>
      <c r="RUV188" s="117"/>
      <c r="RUW188" s="117"/>
      <c r="RUX188" s="117"/>
      <c r="RUY188" s="117"/>
      <c r="RUZ188" s="117"/>
      <c r="RVA188" s="117"/>
      <c r="RVB188" s="117"/>
      <c r="RVC188" s="117"/>
      <c r="RVD188" s="117"/>
      <c r="RVE188" s="117"/>
      <c r="RVF188" s="117"/>
      <c r="RVG188" s="117"/>
      <c r="RVH188" s="117"/>
      <c r="RVI188" s="117"/>
      <c r="RVJ188" s="117"/>
      <c r="RVK188" s="117"/>
      <c r="RVL188" s="117"/>
      <c r="RVM188" s="117"/>
      <c r="RVN188" s="117"/>
      <c r="RVO188" s="117"/>
      <c r="RVP188" s="117"/>
      <c r="RVQ188" s="117"/>
      <c r="RVR188" s="117"/>
      <c r="RVS188" s="117"/>
      <c r="RVT188" s="117"/>
      <c r="RVU188" s="117"/>
      <c r="RVV188" s="117"/>
      <c r="RVW188" s="117"/>
      <c r="RVX188" s="117"/>
      <c r="RVY188" s="117"/>
      <c r="RVZ188" s="117"/>
      <c r="RWA188" s="117"/>
      <c r="RWB188" s="117"/>
      <c r="RWC188" s="117"/>
      <c r="RWD188" s="117"/>
      <c r="RWE188" s="117"/>
      <c r="RWF188" s="117"/>
      <c r="RWG188" s="117"/>
      <c r="RWH188" s="117"/>
      <c r="RWI188" s="117"/>
      <c r="RWJ188" s="117"/>
      <c r="RWK188" s="117"/>
      <c r="RWL188" s="117"/>
      <c r="RWM188" s="117"/>
      <c r="RWN188" s="117"/>
      <c r="RWO188" s="117"/>
      <c r="RWP188" s="117"/>
      <c r="RWQ188" s="117"/>
      <c r="RWR188" s="117"/>
      <c r="RWS188" s="117"/>
      <c r="RWT188" s="117"/>
      <c r="RWU188" s="117"/>
      <c r="RWV188" s="117"/>
      <c r="RWW188" s="117"/>
      <c r="RWX188" s="117"/>
      <c r="RWY188" s="117"/>
      <c r="RWZ188" s="117"/>
      <c r="RXA188" s="117"/>
      <c r="RXB188" s="117"/>
      <c r="RXC188" s="117"/>
      <c r="RXD188" s="117"/>
      <c r="RXE188" s="117"/>
      <c r="RXF188" s="117"/>
      <c r="RXG188" s="117"/>
      <c r="RXH188" s="117"/>
      <c r="RXI188" s="117"/>
      <c r="RXJ188" s="117"/>
      <c r="RXK188" s="117"/>
      <c r="RXL188" s="117"/>
      <c r="RXM188" s="117"/>
      <c r="RXN188" s="117"/>
      <c r="RXO188" s="117"/>
      <c r="RXP188" s="117"/>
      <c r="RXQ188" s="117"/>
      <c r="RXR188" s="117"/>
      <c r="RXS188" s="117"/>
      <c r="RXT188" s="117"/>
      <c r="RXU188" s="117"/>
      <c r="RXV188" s="117"/>
      <c r="RXW188" s="117"/>
      <c r="RXX188" s="117"/>
      <c r="RXY188" s="117"/>
      <c r="RXZ188" s="117"/>
      <c r="RYA188" s="117"/>
      <c r="RYB188" s="117"/>
      <c r="RYC188" s="117"/>
      <c r="RYD188" s="117"/>
      <c r="RYE188" s="117"/>
      <c r="RYF188" s="117"/>
      <c r="RYG188" s="117"/>
      <c r="RYH188" s="117"/>
      <c r="RYI188" s="117"/>
      <c r="RYJ188" s="117"/>
      <c r="RYK188" s="117"/>
      <c r="RYL188" s="117"/>
      <c r="RYM188" s="117"/>
      <c r="RYN188" s="117"/>
      <c r="RYO188" s="117"/>
      <c r="RYP188" s="117"/>
      <c r="RYQ188" s="117"/>
      <c r="RYR188" s="117"/>
      <c r="RYS188" s="117"/>
      <c r="RYT188" s="117"/>
      <c r="RYU188" s="117"/>
      <c r="RYV188" s="117"/>
      <c r="RYW188" s="117"/>
      <c r="RYX188" s="117"/>
      <c r="RYY188" s="117"/>
      <c r="RYZ188" s="117"/>
      <c r="RZA188" s="117"/>
      <c r="RZB188" s="117"/>
      <c r="RZC188" s="117"/>
      <c r="RZD188" s="117"/>
      <c r="RZE188" s="117"/>
      <c r="RZF188" s="117"/>
      <c r="RZG188" s="117"/>
      <c r="RZH188" s="117"/>
      <c r="RZI188" s="117"/>
      <c r="RZJ188" s="117"/>
      <c r="RZK188" s="117"/>
      <c r="RZL188" s="117"/>
      <c r="RZM188" s="117"/>
      <c r="RZN188" s="117"/>
      <c r="RZO188" s="117"/>
      <c r="RZP188" s="117"/>
      <c r="RZQ188" s="117"/>
      <c r="RZR188" s="117"/>
      <c r="RZS188" s="117"/>
      <c r="RZT188" s="117"/>
      <c r="RZU188" s="117"/>
      <c r="RZV188" s="117"/>
      <c r="RZW188" s="117"/>
      <c r="RZX188" s="117"/>
      <c r="RZY188" s="117"/>
      <c r="RZZ188" s="117"/>
      <c r="SAA188" s="117"/>
      <c r="SAB188" s="117"/>
      <c r="SAC188" s="117"/>
      <c r="SAD188" s="117"/>
      <c r="SAE188" s="117"/>
      <c r="SAF188" s="117"/>
      <c r="SAG188" s="117"/>
      <c r="SAH188" s="117"/>
      <c r="SAI188" s="117"/>
      <c r="SAJ188" s="117"/>
      <c r="SAK188" s="117"/>
      <c r="SAL188" s="117"/>
      <c r="SAM188" s="117"/>
      <c r="SAN188" s="117"/>
      <c r="SAO188" s="117"/>
      <c r="SAP188" s="117"/>
      <c r="SAQ188" s="117"/>
      <c r="SAR188" s="117"/>
      <c r="SAS188" s="117"/>
      <c r="SAT188" s="117"/>
      <c r="SAU188" s="117"/>
      <c r="SAV188" s="117"/>
      <c r="SAW188" s="117"/>
      <c r="SAX188" s="117"/>
      <c r="SAY188" s="117"/>
      <c r="SAZ188" s="117"/>
      <c r="SBA188" s="117"/>
      <c r="SBB188" s="117"/>
      <c r="SBC188" s="117"/>
      <c r="SBD188" s="117"/>
      <c r="SBE188" s="117"/>
      <c r="SBF188" s="117"/>
      <c r="SBG188" s="117"/>
      <c r="SBH188" s="117"/>
      <c r="SBI188" s="117"/>
      <c r="SBJ188" s="117"/>
      <c r="SBK188" s="117"/>
      <c r="SBL188" s="117"/>
      <c r="SBM188" s="117"/>
      <c r="SBN188" s="117"/>
      <c r="SBO188" s="117"/>
      <c r="SBP188" s="117"/>
      <c r="SBQ188" s="117"/>
      <c r="SBR188" s="117"/>
      <c r="SBS188" s="117"/>
      <c r="SBT188" s="117"/>
      <c r="SBU188" s="117"/>
      <c r="SBV188" s="117"/>
      <c r="SBW188" s="117"/>
      <c r="SBX188" s="117"/>
      <c r="SBY188" s="117"/>
      <c r="SBZ188" s="117"/>
      <c r="SCA188" s="117"/>
      <c r="SCB188" s="117"/>
      <c r="SCC188" s="117"/>
      <c r="SCD188" s="117"/>
      <c r="SCE188" s="117"/>
      <c r="SCF188" s="117"/>
      <c r="SCG188" s="117"/>
      <c r="SCH188" s="117"/>
      <c r="SCI188" s="117"/>
      <c r="SCJ188" s="117"/>
      <c r="SCK188" s="117"/>
      <c r="SCL188" s="117"/>
      <c r="SCM188" s="117"/>
      <c r="SCN188" s="117"/>
      <c r="SCO188" s="117"/>
      <c r="SCP188" s="117"/>
      <c r="SCQ188" s="117"/>
      <c r="SCR188" s="117"/>
      <c r="SCS188" s="117"/>
      <c r="SCT188" s="117"/>
      <c r="SCU188" s="117"/>
      <c r="SCV188" s="117"/>
      <c r="SCW188" s="117"/>
      <c r="SCX188" s="117"/>
      <c r="SCY188" s="117"/>
      <c r="SCZ188" s="117"/>
      <c r="SDA188" s="117"/>
      <c r="SDB188" s="117"/>
      <c r="SDC188" s="117"/>
      <c r="SDD188" s="117"/>
      <c r="SDE188" s="117"/>
      <c r="SDF188" s="117"/>
      <c r="SDG188" s="117"/>
      <c r="SDH188" s="117"/>
      <c r="SDI188" s="117"/>
      <c r="SDJ188" s="117"/>
      <c r="SDK188" s="117"/>
      <c r="SDL188" s="117"/>
      <c r="SDM188" s="117"/>
      <c r="SDN188" s="117"/>
      <c r="SDO188" s="117"/>
      <c r="SDP188" s="117"/>
      <c r="SDQ188" s="117"/>
      <c r="SDR188" s="117"/>
      <c r="SDS188" s="117"/>
      <c r="SDT188" s="117"/>
      <c r="SDU188" s="117"/>
      <c r="SDV188" s="117"/>
      <c r="SDW188" s="117"/>
      <c r="SDX188" s="117"/>
      <c r="SDY188" s="117"/>
      <c r="SDZ188" s="117"/>
      <c r="SEA188" s="117"/>
      <c r="SEB188" s="117"/>
      <c r="SEC188" s="117"/>
      <c r="SED188" s="117"/>
      <c r="SEE188" s="117"/>
      <c r="SEF188" s="117"/>
      <c r="SEG188" s="117"/>
      <c r="SEH188" s="117"/>
      <c r="SEI188" s="117"/>
      <c r="SEJ188" s="117"/>
      <c r="SEK188" s="117"/>
      <c r="SEL188" s="117"/>
      <c r="SEM188" s="117"/>
      <c r="SEN188" s="117"/>
      <c r="SEO188" s="117"/>
      <c r="SEP188" s="117"/>
      <c r="SEQ188" s="117"/>
      <c r="SER188" s="117"/>
      <c r="SES188" s="117"/>
      <c r="SET188" s="117"/>
      <c r="SEU188" s="117"/>
      <c r="SEV188" s="117"/>
      <c r="SEW188" s="117"/>
      <c r="SEX188" s="117"/>
      <c r="SEY188" s="117"/>
      <c r="SEZ188" s="117"/>
      <c r="SFA188" s="117"/>
      <c r="SFB188" s="117"/>
      <c r="SFC188" s="117"/>
      <c r="SFD188" s="117"/>
      <c r="SFE188" s="117"/>
      <c r="SFF188" s="117"/>
      <c r="SFG188" s="117"/>
      <c r="SFH188" s="117"/>
      <c r="SFI188" s="117"/>
      <c r="SFJ188" s="117"/>
      <c r="SFK188" s="117"/>
      <c r="SFL188" s="117"/>
      <c r="SFM188" s="117"/>
      <c r="SFN188" s="117"/>
      <c r="SFO188" s="117"/>
      <c r="SFP188" s="117"/>
      <c r="SFQ188" s="117"/>
      <c r="SFR188" s="117"/>
      <c r="SFS188" s="117"/>
      <c r="SFT188" s="117"/>
      <c r="SFU188" s="117"/>
      <c r="SFV188" s="117"/>
      <c r="SFW188" s="117"/>
      <c r="SFX188" s="117"/>
      <c r="SFY188" s="117"/>
      <c r="SFZ188" s="117"/>
      <c r="SGA188" s="117"/>
      <c r="SGB188" s="117"/>
      <c r="SGC188" s="117"/>
      <c r="SGD188" s="117"/>
      <c r="SGE188" s="117"/>
      <c r="SGF188" s="117"/>
      <c r="SGG188" s="117"/>
      <c r="SGH188" s="117"/>
      <c r="SGI188" s="117"/>
      <c r="SGJ188" s="117"/>
      <c r="SGK188" s="117"/>
      <c r="SGL188" s="117"/>
      <c r="SGM188" s="117"/>
      <c r="SGN188" s="117"/>
      <c r="SGO188" s="117"/>
      <c r="SGP188" s="117"/>
      <c r="SGQ188" s="117"/>
      <c r="SGR188" s="117"/>
      <c r="SGS188" s="117"/>
      <c r="SGT188" s="117"/>
      <c r="SGU188" s="117"/>
      <c r="SGV188" s="117"/>
      <c r="SGW188" s="117"/>
      <c r="SGX188" s="117"/>
      <c r="SGY188" s="117"/>
      <c r="SGZ188" s="117"/>
      <c r="SHA188" s="117"/>
      <c r="SHB188" s="117"/>
      <c r="SHC188" s="117"/>
      <c r="SHD188" s="117"/>
      <c r="SHE188" s="117"/>
      <c r="SHF188" s="117"/>
      <c r="SHG188" s="117"/>
      <c r="SHH188" s="117"/>
      <c r="SHI188" s="117"/>
      <c r="SHJ188" s="117"/>
      <c r="SHK188" s="117"/>
      <c r="SHL188" s="117"/>
      <c r="SHM188" s="117"/>
      <c r="SHN188" s="117"/>
      <c r="SHO188" s="117"/>
      <c r="SHP188" s="117"/>
      <c r="SHQ188" s="117"/>
      <c r="SHR188" s="117"/>
      <c r="SHS188" s="117"/>
      <c r="SHT188" s="117"/>
      <c r="SHU188" s="117"/>
      <c r="SHV188" s="117"/>
      <c r="SHW188" s="117"/>
      <c r="SHX188" s="117"/>
      <c r="SHY188" s="117"/>
      <c r="SHZ188" s="117"/>
      <c r="SIA188" s="117"/>
      <c r="SIB188" s="117"/>
      <c r="SIC188" s="117"/>
      <c r="SID188" s="117"/>
      <c r="SIE188" s="117"/>
      <c r="SIF188" s="117"/>
      <c r="SIG188" s="117"/>
      <c r="SIH188" s="117"/>
      <c r="SII188" s="117"/>
      <c r="SIJ188" s="117"/>
      <c r="SIK188" s="117"/>
      <c r="SIL188" s="117"/>
      <c r="SIM188" s="117"/>
      <c r="SIN188" s="117"/>
      <c r="SIO188" s="117"/>
      <c r="SIP188" s="117"/>
      <c r="SIQ188" s="117"/>
      <c r="SIR188" s="117"/>
      <c r="SIS188" s="117"/>
      <c r="SIT188" s="117"/>
      <c r="SIU188" s="117"/>
      <c r="SIV188" s="117"/>
      <c r="SIW188" s="117"/>
      <c r="SIX188" s="117"/>
      <c r="SIY188" s="117"/>
      <c r="SIZ188" s="117"/>
      <c r="SJA188" s="117"/>
      <c r="SJB188" s="117"/>
      <c r="SJC188" s="117"/>
      <c r="SJD188" s="117"/>
      <c r="SJE188" s="117"/>
      <c r="SJF188" s="117"/>
      <c r="SJG188" s="117"/>
      <c r="SJH188" s="117"/>
      <c r="SJI188" s="117"/>
      <c r="SJJ188" s="117"/>
      <c r="SJK188" s="117"/>
      <c r="SJL188" s="117"/>
      <c r="SJM188" s="117"/>
      <c r="SJN188" s="117"/>
      <c r="SJO188" s="117"/>
      <c r="SJP188" s="117"/>
      <c r="SJQ188" s="117"/>
      <c r="SJR188" s="117"/>
      <c r="SJS188" s="117"/>
      <c r="SJT188" s="117"/>
      <c r="SJU188" s="117"/>
      <c r="SJV188" s="117"/>
      <c r="SJW188" s="117"/>
      <c r="SJX188" s="117"/>
      <c r="SJY188" s="117"/>
      <c r="SJZ188" s="117"/>
      <c r="SKA188" s="117"/>
      <c r="SKB188" s="117"/>
      <c r="SKC188" s="117"/>
      <c r="SKD188" s="117"/>
      <c r="SKE188" s="117"/>
      <c r="SKF188" s="117"/>
      <c r="SKG188" s="117"/>
      <c r="SKH188" s="117"/>
      <c r="SKI188" s="117"/>
      <c r="SKJ188" s="117"/>
      <c r="SKK188" s="117"/>
      <c r="SKL188" s="117"/>
      <c r="SKM188" s="117"/>
      <c r="SKN188" s="117"/>
      <c r="SKO188" s="117"/>
      <c r="SKP188" s="117"/>
      <c r="SKQ188" s="117"/>
      <c r="SKR188" s="117"/>
      <c r="SKS188" s="117"/>
      <c r="SKT188" s="117"/>
      <c r="SKU188" s="117"/>
      <c r="SKV188" s="117"/>
      <c r="SKW188" s="117"/>
      <c r="SKX188" s="117"/>
      <c r="SKY188" s="117"/>
      <c r="SKZ188" s="117"/>
      <c r="SLA188" s="117"/>
      <c r="SLB188" s="117"/>
      <c r="SLC188" s="117"/>
      <c r="SLD188" s="117"/>
      <c r="SLE188" s="117"/>
      <c r="SLF188" s="117"/>
      <c r="SLG188" s="117"/>
      <c r="SLH188" s="117"/>
      <c r="SLI188" s="117"/>
      <c r="SLJ188" s="117"/>
      <c r="SLK188" s="117"/>
      <c r="SLL188" s="117"/>
      <c r="SLM188" s="117"/>
      <c r="SLN188" s="117"/>
      <c r="SLO188" s="117"/>
      <c r="SLP188" s="117"/>
      <c r="SLQ188" s="117"/>
      <c r="SLR188" s="117"/>
      <c r="SLS188" s="117"/>
      <c r="SLT188" s="117"/>
      <c r="SLU188" s="117"/>
      <c r="SLV188" s="117"/>
      <c r="SLW188" s="117"/>
      <c r="SLX188" s="117"/>
      <c r="SLY188" s="117"/>
      <c r="SLZ188" s="117"/>
      <c r="SMA188" s="117"/>
      <c r="SMB188" s="117"/>
      <c r="SMC188" s="117"/>
      <c r="SMD188" s="117"/>
      <c r="SME188" s="117"/>
      <c r="SMF188" s="117"/>
      <c r="SMG188" s="117"/>
      <c r="SMH188" s="117"/>
      <c r="SMI188" s="117"/>
      <c r="SMJ188" s="117"/>
      <c r="SMK188" s="117"/>
      <c r="SML188" s="117"/>
      <c r="SMM188" s="117"/>
      <c r="SMN188" s="117"/>
      <c r="SMO188" s="117"/>
      <c r="SMP188" s="117"/>
      <c r="SMQ188" s="117"/>
      <c r="SMR188" s="117"/>
      <c r="SMS188" s="117"/>
      <c r="SMT188" s="117"/>
      <c r="SMU188" s="117"/>
      <c r="SMV188" s="117"/>
      <c r="SMW188" s="117"/>
      <c r="SMX188" s="117"/>
      <c r="SMY188" s="117"/>
      <c r="SMZ188" s="117"/>
      <c r="SNA188" s="117"/>
      <c r="SNB188" s="117"/>
      <c r="SNC188" s="117"/>
      <c r="SND188" s="117"/>
      <c r="SNE188" s="117"/>
      <c r="SNF188" s="117"/>
      <c r="SNG188" s="117"/>
      <c r="SNH188" s="117"/>
      <c r="SNI188" s="117"/>
      <c r="SNJ188" s="117"/>
      <c r="SNK188" s="117"/>
      <c r="SNL188" s="117"/>
      <c r="SNM188" s="117"/>
      <c r="SNN188" s="117"/>
      <c r="SNO188" s="117"/>
      <c r="SNP188" s="117"/>
      <c r="SNQ188" s="117"/>
      <c r="SNR188" s="117"/>
      <c r="SNS188" s="117"/>
      <c r="SNT188" s="117"/>
      <c r="SNU188" s="117"/>
      <c r="SNV188" s="117"/>
      <c r="SNW188" s="117"/>
      <c r="SNX188" s="117"/>
      <c r="SNY188" s="117"/>
      <c r="SNZ188" s="117"/>
      <c r="SOA188" s="117"/>
      <c r="SOB188" s="117"/>
      <c r="SOC188" s="117"/>
      <c r="SOD188" s="117"/>
      <c r="SOE188" s="117"/>
      <c r="SOF188" s="117"/>
      <c r="SOG188" s="117"/>
      <c r="SOH188" s="117"/>
      <c r="SOI188" s="117"/>
      <c r="SOJ188" s="117"/>
      <c r="SOK188" s="117"/>
      <c r="SOL188" s="117"/>
      <c r="SOM188" s="117"/>
      <c r="SON188" s="117"/>
      <c r="SOO188" s="117"/>
      <c r="SOP188" s="117"/>
      <c r="SOQ188" s="117"/>
      <c r="SOR188" s="117"/>
      <c r="SOS188" s="117"/>
      <c r="SOT188" s="117"/>
      <c r="SOU188" s="117"/>
      <c r="SOV188" s="117"/>
      <c r="SOW188" s="117"/>
      <c r="SOX188" s="117"/>
      <c r="SOY188" s="117"/>
      <c r="SOZ188" s="117"/>
      <c r="SPA188" s="117"/>
      <c r="SPB188" s="117"/>
      <c r="SPC188" s="117"/>
      <c r="SPD188" s="117"/>
      <c r="SPE188" s="117"/>
      <c r="SPF188" s="117"/>
      <c r="SPG188" s="117"/>
      <c r="SPH188" s="117"/>
      <c r="SPI188" s="117"/>
      <c r="SPJ188" s="117"/>
      <c r="SPK188" s="117"/>
      <c r="SPL188" s="117"/>
      <c r="SPM188" s="117"/>
      <c r="SPN188" s="117"/>
      <c r="SPO188" s="117"/>
      <c r="SPP188" s="117"/>
      <c r="SPQ188" s="117"/>
      <c r="SPR188" s="117"/>
      <c r="SPS188" s="117"/>
      <c r="SPT188" s="117"/>
      <c r="SPU188" s="117"/>
      <c r="SPV188" s="117"/>
      <c r="SPW188" s="117"/>
      <c r="SPX188" s="117"/>
      <c r="SPY188" s="117"/>
      <c r="SPZ188" s="117"/>
      <c r="SQA188" s="117"/>
      <c r="SQB188" s="117"/>
      <c r="SQC188" s="117"/>
      <c r="SQD188" s="117"/>
      <c r="SQE188" s="117"/>
      <c r="SQF188" s="117"/>
      <c r="SQG188" s="117"/>
      <c r="SQH188" s="117"/>
      <c r="SQI188" s="117"/>
      <c r="SQJ188" s="117"/>
      <c r="SQK188" s="117"/>
      <c r="SQL188" s="117"/>
      <c r="SQM188" s="117"/>
      <c r="SQN188" s="117"/>
      <c r="SQO188" s="117"/>
      <c r="SQP188" s="117"/>
      <c r="SQQ188" s="117"/>
      <c r="SQR188" s="117"/>
      <c r="SQS188" s="117"/>
      <c r="SQT188" s="117"/>
      <c r="SQU188" s="117"/>
      <c r="SQV188" s="117"/>
      <c r="SQW188" s="117"/>
      <c r="SQX188" s="117"/>
      <c r="SQY188" s="117"/>
      <c r="SQZ188" s="117"/>
      <c r="SRA188" s="117"/>
      <c r="SRB188" s="117"/>
      <c r="SRC188" s="117"/>
      <c r="SRD188" s="117"/>
      <c r="SRE188" s="117"/>
      <c r="SRF188" s="117"/>
      <c r="SRG188" s="117"/>
      <c r="SRH188" s="117"/>
      <c r="SRI188" s="117"/>
      <c r="SRJ188" s="117"/>
      <c r="SRK188" s="117"/>
      <c r="SRL188" s="117"/>
      <c r="SRM188" s="117"/>
      <c r="SRN188" s="117"/>
      <c r="SRO188" s="117"/>
      <c r="SRP188" s="117"/>
      <c r="SRQ188" s="117"/>
      <c r="SRR188" s="117"/>
      <c r="SRS188" s="117"/>
      <c r="SRT188" s="117"/>
      <c r="SRU188" s="117"/>
      <c r="SRV188" s="117"/>
      <c r="SRW188" s="117"/>
      <c r="SRX188" s="117"/>
      <c r="SRY188" s="117"/>
      <c r="SRZ188" s="117"/>
      <c r="SSA188" s="117"/>
      <c r="SSB188" s="117"/>
      <c r="SSC188" s="117"/>
      <c r="SSD188" s="117"/>
      <c r="SSE188" s="117"/>
      <c r="SSF188" s="117"/>
      <c r="SSG188" s="117"/>
      <c r="SSH188" s="117"/>
      <c r="SSI188" s="117"/>
      <c r="SSJ188" s="117"/>
      <c r="SSK188" s="117"/>
      <c r="SSL188" s="117"/>
      <c r="SSM188" s="117"/>
      <c r="SSN188" s="117"/>
      <c r="SSO188" s="117"/>
      <c r="SSP188" s="117"/>
      <c r="SSQ188" s="117"/>
      <c r="SSR188" s="117"/>
      <c r="SSS188" s="117"/>
      <c r="SST188" s="117"/>
      <c r="SSU188" s="117"/>
      <c r="SSV188" s="117"/>
      <c r="SSW188" s="117"/>
      <c r="SSX188" s="117"/>
      <c r="SSY188" s="117"/>
      <c r="SSZ188" s="117"/>
      <c r="STA188" s="117"/>
      <c r="STB188" s="117"/>
      <c r="STC188" s="117"/>
      <c r="STD188" s="117"/>
      <c r="STE188" s="117"/>
      <c r="STF188" s="117"/>
      <c r="STG188" s="117"/>
      <c r="STH188" s="117"/>
      <c r="STI188" s="117"/>
      <c r="STJ188" s="117"/>
      <c r="STK188" s="117"/>
      <c r="STL188" s="117"/>
      <c r="STM188" s="117"/>
      <c r="STN188" s="117"/>
      <c r="STO188" s="117"/>
      <c r="STP188" s="117"/>
      <c r="STQ188" s="117"/>
      <c r="STR188" s="117"/>
      <c r="STS188" s="117"/>
      <c r="STT188" s="117"/>
      <c r="STU188" s="117"/>
      <c r="STV188" s="117"/>
      <c r="STW188" s="117"/>
      <c r="STX188" s="117"/>
      <c r="STY188" s="117"/>
      <c r="STZ188" s="117"/>
      <c r="SUA188" s="117"/>
      <c r="SUB188" s="117"/>
      <c r="SUC188" s="117"/>
      <c r="SUD188" s="117"/>
      <c r="SUE188" s="117"/>
      <c r="SUF188" s="117"/>
      <c r="SUG188" s="117"/>
      <c r="SUH188" s="117"/>
      <c r="SUI188" s="117"/>
      <c r="SUJ188" s="117"/>
      <c r="SUK188" s="117"/>
      <c r="SUL188" s="117"/>
      <c r="SUM188" s="117"/>
      <c r="SUN188" s="117"/>
      <c r="SUO188" s="117"/>
      <c r="SUP188" s="117"/>
      <c r="SUQ188" s="117"/>
      <c r="SUR188" s="117"/>
      <c r="SUS188" s="117"/>
      <c r="SUT188" s="117"/>
      <c r="SUU188" s="117"/>
      <c r="SUV188" s="117"/>
      <c r="SUW188" s="117"/>
      <c r="SUX188" s="117"/>
      <c r="SUY188" s="117"/>
      <c r="SUZ188" s="117"/>
      <c r="SVA188" s="117"/>
      <c r="SVB188" s="117"/>
      <c r="SVC188" s="117"/>
      <c r="SVD188" s="117"/>
      <c r="SVE188" s="117"/>
      <c r="SVF188" s="117"/>
      <c r="SVG188" s="117"/>
      <c r="SVH188" s="117"/>
      <c r="SVI188" s="117"/>
      <c r="SVJ188" s="117"/>
      <c r="SVK188" s="117"/>
      <c r="SVL188" s="117"/>
      <c r="SVM188" s="117"/>
      <c r="SVN188" s="117"/>
      <c r="SVO188" s="117"/>
      <c r="SVP188" s="117"/>
      <c r="SVQ188" s="117"/>
      <c r="SVR188" s="117"/>
      <c r="SVS188" s="117"/>
      <c r="SVT188" s="117"/>
      <c r="SVU188" s="117"/>
      <c r="SVV188" s="117"/>
      <c r="SVW188" s="117"/>
      <c r="SVX188" s="117"/>
      <c r="SVY188" s="117"/>
      <c r="SVZ188" s="117"/>
      <c r="SWA188" s="117"/>
      <c r="SWB188" s="117"/>
      <c r="SWC188" s="117"/>
      <c r="SWD188" s="117"/>
      <c r="SWE188" s="117"/>
      <c r="SWF188" s="117"/>
      <c r="SWG188" s="117"/>
      <c r="SWH188" s="117"/>
      <c r="SWI188" s="117"/>
      <c r="SWJ188" s="117"/>
      <c r="SWK188" s="117"/>
      <c r="SWL188" s="117"/>
      <c r="SWM188" s="117"/>
      <c r="SWN188" s="117"/>
      <c r="SWO188" s="117"/>
      <c r="SWP188" s="117"/>
      <c r="SWQ188" s="117"/>
      <c r="SWR188" s="117"/>
      <c r="SWS188" s="117"/>
      <c r="SWT188" s="117"/>
      <c r="SWU188" s="117"/>
      <c r="SWV188" s="117"/>
      <c r="SWW188" s="117"/>
      <c r="SWX188" s="117"/>
      <c r="SWY188" s="117"/>
      <c r="SWZ188" s="117"/>
      <c r="SXA188" s="117"/>
      <c r="SXB188" s="117"/>
      <c r="SXC188" s="117"/>
      <c r="SXD188" s="117"/>
      <c r="SXE188" s="117"/>
      <c r="SXF188" s="117"/>
      <c r="SXG188" s="117"/>
      <c r="SXH188" s="117"/>
      <c r="SXI188" s="117"/>
      <c r="SXJ188" s="117"/>
      <c r="SXK188" s="117"/>
      <c r="SXL188" s="117"/>
      <c r="SXM188" s="117"/>
      <c r="SXN188" s="117"/>
      <c r="SXO188" s="117"/>
      <c r="SXP188" s="117"/>
      <c r="SXQ188" s="117"/>
      <c r="SXR188" s="117"/>
      <c r="SXS188" s="117"/>
      <c r="SXT188" s="117"/>
      <c r="SXU188" s="117"/>
      <c r="SXV188" s="117"/>
      <c r="SXW188" s="117"/>
      <c r="SXX188" s="117"/>
      <c r="SXY188" s="117"/>
      <c r="SXZ188" s="117"/>
      <c r="SYA188" s="117"/>
      <c r="SYB188" s="117"/>
      <c r="SYC188" s="117"/>
      <c r="SYD188" s="117"/>
      <c r="SYE188" s="117"/>
      <c r="SYF188" s="117"/>
      <c r="SYG188" s="117"/>
      <c r="SYH188" s="117"/>
      <c r="SYI188" s="117"/>
      <c r="SYJ188" s="117"/>
      <c r="SYK188" s="117"/>
      <c r="SYL188" s="117"/>
      <c r="SYM188" s="117"/>
      <c r="SYN188" s="117"/>
      <c r="SYO188" s="117"/>
      <c r="SYP188" s="117"/>
      <c r="SYQ188" s="117"/>
      <c r="SYR188" s="117"/>
      <c r="SYS188" s="117"/>
      <c r="SYT188" s="117"/>
      <c r="SYU188" s="117"/>
      <c r="SYV188" s="117"/>
      <c r="SYW188" s="117"/>
      <c r="SYX188" s="117"/>
      <c r="SYY188" s="117"/>
      <c r="SYZ188" s="117"/>
      <c r="SZA188" s="117"/>
      <c r="SZB188" s="117"/>
      <c r="SZC188" s="117"/>
      <c r="SZD188" s="117"/>
      <c r="SZE188" s="117"/>
      <c r="SZF188" s="117"/>
      <c r="SZG188" s="117"/>
      <c r="SZH188" s="117"/>
      <c r="SZI188" s="117"/>
      <c r="SZJ188" s="117"/>
      <c r="SZK188" s="117"/>
      <c r="SZL188" s="117"/>
      <c r="SZM188" s="117"/>
      <c r="SZN188" s="117"/>
      <c r="SZO188" s="117"/>
      <c r="SZP188" s="117"/>
      <c r="SZQ188" s="117"/>
      <c r="SZR188" s="117"/>
      <c r="SZS188" s="117"/>
      <c r="SZT188" s="117"/>
      <c r="SZU188" s="117"/>
      <c r="SZV188" s="117"/>
      <c r="SZW188" s="117"/>
      <c r="SZX188" s="117"/>
      <c r="SZY188" s="117"/>
      <c r="SZZ188" s="117"/>
      <c r="TAA188" s="117"/>
      <c r="TAB188" s="117"/>
      <c r="TAC188" s="117"/>
      <c r="TAD188" s="117"/>
      <c r="TAE188" s="117"/>
      <c r="TAF188" s="117"/>
      <c r="TAG188" s="117"/>
      <c r="TAH188" s="117"/>
      <c r="TAI188" s="117"/>
      <c r="TAJ188" s="117"/>
      <c r="TAK188" s="117"/>
      <c r="TAL188" s="117"/>
      <c r="TAM188" s="117"/>
      <c r="TAN188" s="117"/>
      <c r="TAO188" s="117"/>
      <c r="TAP188" s="117"/>
      <c r="TAQ188" s="117"/>
      <c r="TAR188" s="117"/>
      <c r="TAS188" s="117"/>
      <c r="TAT188" s="117"/>
      <c r="TAU188" s="117"/>
      <c r="TAV188" s="117"/>
      <c r="TAW188" s="117"/>
      <c r="TAX188" s="117"/>
      <c r="TAY188" s="117"/>
      <c r="TAZ188" s="117"/>
      <c r="TBA188" s="117"/>
      <c r="TBB188" s="117"/>
      <c r="TBC188" s="117"/>
      <c r="TBD188" s="117"/>
      <c r="TBE188" s="117"/>
      <c r="TBF188" s="117"/>
      <c r="TBG188" s="117"/>
      <c r="TBH188" s="117"/>
      <c r="TBI188" s="117"/>
      <c r="TBJ188" s="117"/>
      <c r="TBK188" s="117"/>
      <c r="TBL188" s="117"/>
      <c r="TBM188" s="117"/>
      <c r="TBN188" s="117"/>
      <c r="TBO188" s="117"/>
      <c r="TBP188" s="117"/>
      <c r="TBQ188" s="117"/>
      <c r="TBR188" s="117"/>
      <c r="TBS188" s="117"/>
      <c r="TBT188" s="117"/>
      <c r="TBU188" s="117"/>
      <c r="TBV188" s="117"/>
      <c r="TBW188" s="117"/>
      <c r="TBX188" s="117"/>
      <c r="TBY188" s="117"/>
      <c r="TBZ188" s="117"/>
      <c r="TCA188" s="117"/>
      <c r="TCB188" s="117"/>
      <c r="TCC188" s="117"/>
      <c r="TCD188" s="117"/>
      <c r="TCE188" s="117"/>
      <c r="TCF188" s="117"/>
      <c r="TCG188" s="117"/>
      <c r="TCH188" s="117"/>
      <c r="TCI188" s="117"/>
      <c r="TCJ188" s="117"/>
      <c r="TCK188" s="117"/>
      <c r="TCL188" s="117"/>
      <c r="TCM188" s="117"/>
      <c r="TCN188" s="117"/>
      <c r="TCO188" s="117"/>
      <c r="TCP188" s="117"/>
      <c r="TCQ188" s="117"/>
      <c r="TCR188" s="117"/>
      <c r="TCS188" s="117"/>
      <c r="TCT188" s="117"/>
      <c r="TCU188" s="117"/>
      <c r="TCV188" s="117"/>
      <c r="TCW188" s="117"/>
      <c r="TCX188" s="117"/>
      <c r="TCY188" s="117"/>
      <c r="TCZ188" s="117"/>
      <c r="TDA188" s="117"/>
      <c r="TDB188" s="117"/>
      <c r="TDC188" s="117"/>
      <c r="TDD188" s="117"/>
      <c r="TDE188" s="117"/>
      <c r="TDF188" s="117"/>
      <c r="TDG188" s="117"/>
      <c r="TDH188" s="117"/>
      <c r="TDI188" s="117"/>
      <c r="TDJ188" s="117"/>
      <c r="TDK188" s="117"/>
      <c r="TDL188" s="117"/>
      <c r="TDM188" s="117"/>
      <c r="TDN188" s="117"/>
      <c r="TDO188" s="117"/>
      <c r="TDP188" s="117"/>
      <c r="TDQ188" s="117"/>
      <c r="TDR188" s="117"/>
      <c r="TDS188" s="117"/>
      <c r="TDT188" s="117"/>
      <c r="TDU188" s="117"/>
      <c r="TDV188" s="117"/>
      <c r="TDW188" s="117"/>
      <c r="TDX188" s="117"/>
      <c r="TDY188" s="117"/>
      <c r="TDZ188" s="117"/>
      <c r="TEA188" s="117"/>
      <c r="TEB188" s="117"/>
      <c r="TEC188" s="117"/>
      <c r="TED188" s="117"/>
      <c r="TEE188" s="117"/>
      <c r="TEF188" s="117"/>
      <c r="TEG188" s="117"/>
      <c r="TEH188" s="117"/>
      <c r="TEI188" s="117"/>
      <c r="TEJ188" s="117"/>
      <c r="TEK188" s="117"/>
      <c r="TEL188" s="117"/>
      <c r="TEM188" s="117"/>
      <c r="TEN188" s="117"/>
      <c r="TEO188" s="117"/>
      <c r="TEP188" s="117"/>
      <c r="TEQ188" s="117"/>
      <c r="TER188" s="117"/>
      <c r="TES188" s="117"/>
      <c r="TET188" s="117"/>
      <c r="TEU188" s="117"/>
      <c r="TEV188" s="117"/>
      <c r="TEW188" s="117"/>
      <c r="TEX188" s="117"/>
      <c r="TEY188" s="117"/>
      <c r="TEZ188" s="117"/>
      <c r="TFA188" s="117"/>
      <c r="TFB188" s="117"/>
      <c r="TFC188" s="117"/>
      <c r="TFD188" s="117"/>
      <c r="TFE188" s="117"/>
      <c r="TFF188" s="117"/>
      <c r="TFG188" s="117"/>
      <c r="TFH188" s="117"/>
      <c r="TFI188" s="117"/>
      <c r="TFJ188" s="117"/>
      <c r="TFK188" s="117"/>
      <c r="TFL188" s="117"/>
      <c r="TFM188" s="117"/>
      <c r="TFN188" s="117"/>
      <c r="TFO188" s="117"/>
      <c r="TFP188" s="117"/>
      <c r="TFQ188" s="117"/>
      <c r="TFR188" s="117"/>
      <c r="TFS188" s="117"/>
      <c r="TFT188" s="117"/>
      <c r="TFU188" s="117"/>
      <c r="TFV188" s="117"/>
      <c r="TFW188" s="117"/>
      <c r="TFX188" s="117"/>
      <c r="TFY188" s="117"/>
      <c r="TFZ188" s="117"/>
      <c r="TGA188" s="117"/>
      <c r="TGB188" s="117"/>
      <c r="TGC188" s="117"/>
      <c r="TGD188" s="117"/>
      <c r="TGE188" s="117"/>
      <c r="TGF188" s="117"/>
      <c r="TGG188" s="117"/>
      <c r="TGH188" s="117"/>
      <c r="TGI188" s="117"/>
      <c r="TGJ188" s="117"/>
      <c r="TGK188" s="117"/>
      <c r="TGL188" s="117"/>
      <c r="TGM188" s="117"/>
      <c r="TGN188" s="117"/>
      <c r="TGO188" s="117"/>
      <c r="TGP188" s="117"/>
      <c r="TGQ188" s="117"/>
      <c r="TGR188" s="117"/>
      <c r="TGS188" s="117"/>
      <c r="TGT188" s="117"/>
      <c r="TGU188" s="117"/>
      <c r="TGV188" s="117"/>
      <c r="TGW188" s="117"/>
      <c r="TGX188" s="117"/>
      <c r="TGY188" s="117"/>
      <c r="TGZ188" s="117"/>
      <c r="THA188" s="117"/>
      <c r="THB188" s="117"/>
      <c r="THC188" s="117"/>
      <c r="THD188" s="117"/>
      <c r="THE188" s="117"/>
      <c r="THF188" s="117"/>
      <c r="THG188" s="117"/>
      <c r="THH188" s="117"/>
      <c r="THI188" s="117"/>
      <c r="THJ188" s="117"/>
      <c r="THK188" s="117"/>
      <c r="THL188" s="117"/>
      <c r="THM188" s="117"/>
      <c r="THN188" s="117"/>
      <c r="THO188" s="117"/>
      <c r="THP188" s="117"/>
      <c r="THQ188" s="117"/>
      <c r="THR188" s="117"/>
      <c r="THS188" s="117"/>
      <c r="THT188" s="117"/>
      <c r="THU188" s="117"/>
      <c r="THV188" s="117"/>
      <c r="THW188" s="117"/>
      <c r="THX188" s="117"/>
      <c r="THY188" s="117"/>
      <c r="THZ188" s="117"/>
      <c r="TIA188" s="117"/>
      <c r="TIB188" s="117"/>
      <c r="TIC188" s="117"/>
      <c r="TID188" s="117"/>
      <c r="TIE188" s="117"/>
      <c r="TIF188" s="117"/>
      <c r="TIG188" s="117"/>
      <c r="TIH188" s="117"/>
      <c r="TII188" s="117"/>
      <c r="TIJ188" s="117"/>
      <c r="TIK188" s="117"/>
      <c r="TIL188" s="117"/>
      <c r="TIM188" s="117"/>
      <c r="TIN188" s="117"/>
      <c r="TIO188" s="117"/>
      <c r="TIP188" s="117"/>
      <c r="TIQ188" s="117"/>
      <c r="TIR188" s="117"/>
      <c r="TIS188" s="117"/>
      <c r="TIT188" s="117"/>
      <c r="TIU188" s="117"/>
      <c r="TIV188" s="117"/>
      <c r="TIW188" s="117"/>
      <c r="TIX188" s="117"/>
      <c r="TIY188" s="117"/>
      <c r="TIZ188" s="117"/>
      <c r="TJA188" s="117"/>
      <c r="TJB188" s="117"/>
      <c r="TJC188" s="117"/>
      <c r="TJD188" s="117"/>
      <c r="TJE188" s="117"/>
      <c r="TJF188" s="117"/>
      <c r="TJG188" s="117"/>
      <c r="TJH188" s="117"/>
      <c r="TJI188" s="117"/>
      <c r="TJJ188" s="117"/>
      <c r="TJK188" s="117"/>
      <c r="TJL188" s="117"/>
      <c r="TJM188" s="117"/>
      <c r="TJN188" s="117"/>
      <c r="TJO188" s="117"/>
      <c r="TJP188" s="117"/>
      <c r="TJQ188" s="117"/>
      <c r="TJR188" s="117"/>
      <c r="TJS188" s="117"/>
      <c r="TJT188" s="117"/>
      <c r="TJU188" s="117"/>
      <c r="TJV188" s="117"/>
      <c r="TJW188" s="117"/>
      <c r="TJX188" s="117"/>
      <c r="TJY188" s="117"/>
      <c r="TJZ188" s="117"/>
      <c r="TKA188" s="117"/>
      <c r="TKB188" s="117"/>
      <c r="TKC188" s="117"/>
      <c r="TKD188" s="117"/>
      <c r="TKE188" s="117"/>
      <c r="TKF188" s="117"/>
      <c r="TKG188" s="117"/>
      <c r="TKH188" s="117"/>
      <c r="TKI188" s="117"/>
      <c r="TKJ188" s="117"/>
      <c r="TKK188" s="117"/>
      <c r="TKL188" s="117"/>
      <c r="TKM188" s="117"/>
      <c r="TKN188" s="117"/>
      <c r="TKO188" s="117"/>
      <c r="TKP188" s="117"/>
      <c r="TKQ188" s="117"/>
      <c r="TKR188" s="117"/>
      <c r="TKS188" s="117"/>
      <c r="TKT188" s="117"/>
      <c r="TKU188" s="117"/>
      <c r="TKV188" s="117"/>
      <c r="TKW188" s="117"/>
      <c r="TKX188" s="117"/>
      <c r="TKY188" s="117"/>
      <c r="TKZ188" s="117"/>
      <c r="TLA188" s="117"/>
      <c r="TLB188" s="117"/>
      <c r="TLC188" s="117"/>
      <c r="TLD188" s="117"/>
      <c r="TLE188" s="117"/>
      <c r="TLF188" s="117"/>
      <c r="TLG188" s="117"/>
      <c r="TLH188" s="117"/>
      <c r="TLI188" s="117"/>
      <c r="TLJ188" s="117"/>
      <c r="TLK188" s="117"/>
      <c r="TLL188" s="117"/>
      <c r="TLM188" s="117"/>
      <c r="TLN188" s="117"/>
      <c r="TLO188" s="117"/>
      <c r="TLP188" s="117"/>
      <c r="TLQ188" s="117"/>
      <c r="TLR188" s="117"/>
      <c r="TLS188" s="117"/>
      <c r="TLT188" s="117"/>
      <c r="TLU188" s="117"/>
      <c r="TLV188" s="117"/>
      <c r="TLW188" s="117"/>
      <c r="TLX188" s="117"/>
      <c r="TLY188" s="117"/>
      <c r="TLZ188" s="117"/>
      <c r="TMA188" s="117"/>
      <c r="TMB188" s="117"/>
      <c r="TMC188" s="117"/>
      <c r="TMD188" s="117"/>
      <c r="TME188" s="117"/>
      <c r="TMF188" s="117"/>
      <c r="TMG188" s="117"/>
      <c r="TMH188" s="117"/>
      <c r="TMI188" s="117"/>
      <c r="TMJ188" s="117"/>
      <c r="TMK188" s="117"/>
      <c r="TML188" s="117"/>
      <c r="TMM188" s="117"/>
      <c r="TMN188" s="117"/>
      <c r="TMO188" s="117"/>
      <c r="TMP188" s="117"/>
      <c r="TMQ188" s="117"/>
      <c r="TMR188" s="117"/>
      <c r="TMS188" s="117"/>
      <c r="TMT188" s="117"/>
      <c r="TMU188" s="117"/>
      <c r="TMV188" s="117"/>
      <c r="TMW188" s="117"/>
      <c r="TMX188" s="117"/>
      <c r="TMY188" s="117"/>
      <c r="TMZ188" s="117"/>
      <c r="TNA188" s="117"/>
      <c r="TNB188" s="117"/>
      <c r="TNC188" s="117"/>
      <c r="TND188" s="117"/>
      <c r="TNE188" s="117"/>
      <c r="TNF188" s="117"/>
      <c r="TNG188" s="117"/>
      <c r="TNH188" s="117"/>
      <c r="TNI188" s="117"/>
      <c r="TNJ188" s="117"/>
      <c r="TNK188" s="117"/>
      <c r="TNL188" s="117"/>
      <c r="TNM188" s="117"/>
      <c r="TNN188" s="117"/>
      <c r="TNO188" s="117"/>
      <c r="TNP188" s="117"/>
      <c r="TNQ188" s="117"/>
      <c r="TNR188" s="117"/>
      <c r="TNS188" s="117"/>
      <c r="TNT188" s="117"/>
      <c r="TNU188" s="117"/>
      <c r="TNV188" s="117"/>
      <c r="TNW188" s="117"/>
      <c r="TNX188" s="117"/>
      <c r="TNY188" s="117"/>
      <c r="TNZ188" s="117"/>
      <c r="TOA188" s="117"/>
      <c r="TOB188" s="117"/>
      <c r="TOC188" s="117"/>
      <c r="TOD188" s="117"/>
      <c r="TOE188" s="117"/>
      <c r="TOF188" s="117"/>
      <c r="TOG188" s="117"/>
      <c r="TOH188" s="117"/>
      <c r="TOI188" s="117"/>
      <c r="TOJ188" s="117"/>
      <c r="TOK188" s="117"/>
      <c r="TOL188" s="117"/>
      <c r="TOM188" s="117"/>
      <c r="TON188" s="117"/>
      <c r="TOO188" s="117"/>
      <c r="TOP188" s="117"/>
      <c r="TOQ188" s="117"/>
      <c r="TOR188" s="117"/>
      <c r="TOS188" s="117"/>
      <c r="TOT188" s="117"/>
      <c r="TOU188" s="117"/>
      <c r="TOV188" s="117"/>
      <c r="TOW188" s="117"/>
      <c r="TOX188" s="117"/>
      <c r="TOY188" s="117"/>
      <c r="TOZ188" s="117"/>
      <c r="TPA188" s="117"/>
      <c r="TPB188" s="117"/>
      <c r="TPC188" s="117"/>
      <c r="TPD188" s="117"/>
      <c r="TPE188" s="117"/>
      <c r="TPF188" s="117"/>
      <c r="TPG188" s="117"/>
      <c r="TPH188" s="117"/>
      <c r="TPI188" s="117"/>
      <c r="TPJ188" s="117"/>
      <c r="TPK188" s="117"/>
      <c r="TPL188" s="117"/>
      <c r="TPM188" s="117"/>
      <c r="TPN188" s="117"/>
      <c r="TPO188" s="117"/>
      <c r="TPP188" s="117"/>
      <c r="TPQ188" s="117"/>
      <c r="TPR188" s="117"/>
      <c r="TPS188" s="117"/>
      <c r="TPT188" s="117"/>
      <c r="TPU188" s="117"/>
      <c r="TPV188" s="117"/>
      <c r="TPW188" s="117"/>
      <c r="TPX188" s="117"/>
      <c r="TPY188" s="117"/>
      <c r="TPZ188" s="117"/>
      <c r="TQA188" s="117"/>
      <c r="TQB188" s="117"/>
      <c r="TQC188" s="117"/>
      <c r="TQD188" s="117"/>
      <c r="TQE188" s="117"/>
      <c r="TQF188" s="117"/>
      <c r="TQG188" s="117"/>
      <c r="TQH188" s="117"/>
      <c r="TQI188" s="117"/>
      <c r="TQJ188" s="117"/>
      <c r="TQK188" s="117"/>
      <c r="TQL188" s="117"/>
      <c r="TQM188" s="117"/>
      <c r="TQN188" s="117"/>
      <c r="TQO188" s="117"/>
      <c r="TQP188" s="117"/>
      <c r="TQQ188" s="117"/>
      <c r="TQR188" s="117"/>
      <c r="TQS188" s="117"/>
      <c r="TQT188" s="117"/>
      <c r="TQU188" s="117"/>
      <c r="TQV188" s="117"/>
      <c r="TQW188" s="117"/>
      <c r="TQX188" s="117"/>
      <c r="TQY188" s="117"/>
      <c r="TQZ188" s="117"/>
      <c r="TRA188" s="117"/>
      <c r="TRB188" s="117"/>
      <c r="TRC188" s="117"/>
      <c r="TRD188" s="117"/>
      <c r="TRE188" s="117"/>
      <c r="TRF188" s="117"/>
      <c r="TRG188" s="117"/>
      <c r="TRH188" s="117"/>
      <c r="TRI188" s="117"/>
      <c r="TRJ188" s="117"/>
      <c r="TRK188" s="117"/>
      <c r="TRL188" s="117"/>
      <c r="TRM188" s="117"/>
      <c r="TRN188" s="117"/>
      <c r="TRO188" s="117"/>
      <c r="TRP188" s="117"/>
      <c r="TRQ188" s="117"/>
      <c r="TRR188" s="117"/>
      <c r="TRS188" s="117"/>
      <c r="TRT188" s="117"/>
      <c r="TRU188" s="117"/>
      <c r="TRV188" s="117"/>
      <c r="TRW188" s="117"/>
      <c r="TRX188" s="117"/>
      <c r="TRY188" s="117"/>
      <c r="TRZ188" s="117"/>
      <c r="TSA188" s="117"/>
      <c r="TSB188" s="117"/>
      <c r="TSC188" s="117"/>
      <c r="TSD188" s="117"/>
      <c r="TSE188" s="117"/>
      <c r="TSF188" s="117"/>
      <c r="TSG188" s="117"/>
      <c r="TSH188" s="117"/>
      <c r="TSI188" s="117"/>
      <c r="TSJ188" s="117"/>
      <c r="TSK188" s="117"/>
      <c r="TSL188" s="117"/>
      <c r="TSM188" s="117"/>
      <c r="TSN188" s="117"/>
      <c r="TSO188" s="117"/>
      <c r="TSP188" s="117"/>
      <c r="TSQ188" s="117"/>
      <c r="TSR188" s="117"/>
      <c r="TSS188" s="117"/>
      <c r="TST188" s="117"/>
      <c r="TSU188" s="117"/>
      <c r="TSV188" s="117"/>
      <c r="TSW188" s="117"/>
      <c r="TSX188" s="117"/>
      <c r="TSY188" s="117"/>
      <c r="TSZ188" s="117"/>
      <c r="TTA188" s="117"/>
      <c r="TTB188" s="117"/>
      <c r="TTC188" s="117"/>
      <c r="TTD188" s="117"/>
      <c r="TTE188" s="117"/>
      <c r="TTF188" s="117"/>
      <c r="TTG188" s="117"/>
      <c r="TTH188" s="117"/>
      <c r="TTI188" s="117"/>
      <c r="TTJ188" s="117"/>
      <c r="TTK188" s="117"/>
      <c r="TTL188" s="117"/>
      <c r="TTM188" s="117"/>
      <c r="TTN188" s="117"/>
      <c r="TTO188" s="117"/>
      <c r="TTP188" s="117"/>
      <c r="TTQ188" s="117"/>
      <c r="TTR188" s="117"/>
      <c r="TTS188" s="117"/>
      <c r="TTT188" s="117"/>
      <c r="TTU188" s="117"/>
      <c r="TTV188" s="117"/>
      <c r="TTW188" s="117"/>
      <c r="TTX188" s="117"/>
      <c r="TTY188" s="117"/>
      <c r="TTZ188" s="117"/>
      <c r="TUA188" s="117"/>
      <c r="TUB188" s="117"/>
      <c r="TUC188" s="117"/>
      <c r="TUD188" s="117"/>
      <c r="TUE188" s="117"/>
      <c r="TUF188" s="117"/>
      <c r="TUG188" s="117"/>
      <c r="TUH188" s="117"/>
      <c r="TUI188" s="117"/>
      <c r="TUJ188" s="117"/>
      <c r="TUK188" s="117"/>
      <c r="TUL188" s="117"/>
      <c r="TUM188" s="117"/>
      <c r="TUN188" s="117"/>
      <c r="TUO188" s="117"/>
      <c r="TUP188" s="117"/>
      <c r="TUQ188" s="117"/>
      <c r="TUR188" s="117"/>
      <c r="TUS188" s="117"/>
      <c r="TUT188" s="117"/>
      <c r="TUU188" s="117"/>
      <c r="TUV188" s="117"/>
      <c r="TUW188" s="117"/>
      <c r="TUX188" s="117"/>
      <c r="TUY188" s="117"/>
      <c r="TUZ188" s="117"/>
      <c r="TVA188" s="117"/>
      <c r="TVB188" s="117"/>
      <c r="TVC188" s="117"/>
      <c r="TVD188" s="117"/>
      <c r="TVE188" s="117"/>
      <c r="TVF188" s="117"/>
      <c r="TVG188" s="117"/>
      <c r="TVH188" s="117"/>
      <c r="TVI188" s="117"/>
      <c r="TVJ188" s="117"/>
      <c r="TVK188" s="117"/>
      <c r="TVL188" s="117"/>
      <c r="TVM188" s="117"/>
      <c r="TVN188" s="117"/>
      <c r="TVO188" s="117"/>
      <c r="TVP188" s="117"/>
      <c r="TVQ188" s="117"/>
      <c r="TVR188" s="117"/>
      <c r="TVS188" s="117"/>
      <c r="TVT188" s="117"/>
      <c r="TVU188" s="117"/>
      <c r="TVV188" s="117"/>
      <c r="TVW188" s="117"/>
      <c r="TVX188" s="117"/>
      <c r="TVY188" s="117"/>
      <c r="TVZ188" s="117"/>
      <c r="TWA188" s="117"/>
      <c r="TWB188" s="117"/>
      <c r="TWC188" s="117"/>
      <c r="TWD188" s="117"/>
      <c r="TWE188" s="117"/>
      <c r="TWF188" s="117"/>
      <c r="TWG188" s="117"/>
      <c r="TWH188" s="117"/>
      <c r="TWI188" s="117"/>
      <c r="TWJ188" s="117"/>
      <c r="TWK188" s="117"/>
      <c r="TWL188" s="117"/>
      <c r="TWM188" s="117"/>
      <c r="TWN188" s="117"/>
      <c r="TWO188" s="117"/>
      <c r="TWP188" s="117"/>
      <c r="TWQ188" s="117"/>
      <c r="TWR188" s="117"/>
      <c r="TWS188" s="117"/>
      <c r="TWT188" s="117"/>
      <c r="TWU188" s="117"/>
      <c r="TWV188" s="117"/>
      <c r="TWW188" s="117"/>
      <c r="TWX188" s="117"/>
      <c r="TWY188" s="117"/>
      <c r="TWZ188" s="117"/>
      <c r="TXA188" s="117"/>
      <c r="TXB188" s="117"/>
      <c r="TXC188" s="117"/>
      <c r="TXD188" s="117"/>
      <c r="TXE188" s="117"/>
      <c r="TXF188" s="117"/>
      <c r="TXG188" s="117"/>
      <c r="TXH188" s="117"/>
      <c r="TXI188" s="117"/>
      <c r="TXJ188" s="117"/>
      <c r="TXK188" s="117"/>
      <c r="TXL188" s="117"/>
      <c r="TXM188" s="117"/>
      <c r="TXN188" s="117"/>
      <c r="TXO188" s="117"/>
      <c r="TXP188" s="117"/>
      <c r="TXQ188" s="117"/>
      <c r="TXR188" s="117"/>
      <c r="TXS188" s="117"/>
      <c r="TXT188" s="117"/>
      <c r="TXU188" s="117"/>
      <c r="TXV188" s="117"/>
      <c r="TXW188" s="117"/>
      <c r="TXX188" s="117"/>
      <c r="TXY188" s="117"/>
      <c r="TXZ188" s="117"/>
      <c r="TYA188" s="117"/>
      <c r="TYB188" s="117"/>
      <c r="TYC188" s="117"/>
      <c r="TYD188" s="117"/>
      <c r="TYE188" s="117"/>
      <c r="TYF188" s="117"/>
      <c r="TYG188" s="117"/>
      <c r="TYH188" s="117"/>
      <c r="TYI188" s="117"/>
      <c r="TYJ188" s="117"/>
      <c r="TYK188" s="117"/>
      <c r="TYL188" s="117"/>
      <c r="TYM188" s="117"/>
      <c r="TYN188" s="117"/>
      <c r="TYO188" s="117"/>
      <c r="TYP188" s="117"/>
      <c r="TYQ188" s="117"/>
      <c r="TYR188" s="117"/>
      <c r="TYS188" s="117"/>
      <c r="TYT188" s="117"/>
      <c r="TYU188" s="117"/>
      <c r="TYV188" s="117"/>
      <c r="TYW188" s="117"/>
      <c r="TYX188" s="117"/>
      <c r="TYY188" s="117"/>
      <c r="TYZ188" s="117"/>
      <c r="TZA188" s="117"/>
      <c r="TZB188" s="117"/>
      <c r="TZC188" s="117"/>
      <c r="TZD188" s="117"/>
      <c r="TZE188" s="117"/>
      <c r="TZF188" s="117"/>
      <c r="TZG188" s="117"/>
      <c r="TZH188" s="117"/>
      <c r="TZI188" s="117"/>
      <c r="TZJ188" s="117"/>
      <c r="TZK188" s="117"/>
      <c r="TZL188" s="117"/>
      <c r="TZM188" s="117"/>
      <c r="TZN188" s="117"/>
      <c r="TZO188" s="117"/>
      <c r="TZP188" s="117"/>
      <c r="TZQ188" s="117"/>
      <c r="TZR188" s="117"/>
      <c r="TZS188" s="117"/>
      <c r="TZT188" s="117"/>
      <c r="TZU188" s="117"/>
      <c r="TZV188" s="117"/>
      <c r="TZW188" s="117"/>
      <c r="TZX188" s="117"/>
      <c r="TZY188" s="117"/>
      <c r="TZZ188" s="117"/>
      <c r="UAA188" s="117"/>
      <c r="UAB188" s="117"/>
      <c r="UAC188" s="117"/>
      <c r="UAD188" s="117"/>
      <c r="UAE188" s="117"/>
      <c r="UAF188" s="117"/>
      <c r="UAG188" s="117"/>
      <c r="UAH188" s="117"/>
      <c r="UAI188" s="117"/>
      <c r="UAJ188" s="117"/>
      <c r="UAK188" s="117"/>
      <c r="UAL188" s="117"/>
      <c r="UAM188" s="117"/>
      <c r="UAN188" s="117"/>
      <c r="UAO188" s="117"/>
      <c r="UAP188" s="117"/>
      <c r="UAQ188" s="117"/>
      <c r="UAR188" s="117"/>
      <c r="UAS188" s="117"/>
      <c r="UAT188" s="117"/>
      <c r="UAU188" s="117"/>
      <c r="UAV188" s="117"/>
      <c r="UAW188" s="117"/>
      <c r="UAX188" s="117"/>
      <c r="UAY188" s="117"/>
      <c r="UAZ188" s="117"/>
      <c r="UBA188" s="117"/>
      <c r="UBB188" s="117"/>
      <c r="UBC188" s="117"/>
      <c r="UBD188" s="117"/>
      <c r="UBE188" s="117"/>
      <c r="UBF188" s="117"/>
      <c r="UBG188" s="117"/>
      <c r="UBH188" s="117"/>
      <c r="UBI188" s="117"/>
      <c r="UBJ188" s="117"/>
      <c r="UBK188" s="117"/>
      <c r="UBL188" s="117"/>
      <c r="UBM188" s="117"/>
      <c r="UBN188" s="117"/>
      <c r="UBO188" s="117"/>
      <c r="UBP188" s="117"/>
      <c r="UBQ188" s="117"/>
      <c r="UBR188" s="117"/>
      <c r="UBS188" s="117"/>
      <c r="UBT188" s="117"/>
      <c r="UBU188" s="117"/>
      <c r="UBV188" s="117"/>
      <c r="UBW188" s="117"/>
      <c r="UBX188" s="117"/>
      <c r="UBY188" s="117"/>
      <c r="UBZ188" s="117"/>
      <c r="UCA188" s="117"/>
      <c r="UCB188" s="117"/>
      <c r="UCC188" s="117"/>
      <c r="UCD188" s="117"/>
      <c r="UCE188" s="117"/>
      <c r="UCF188" s="117"/>
      <c r="UCG188" s="117"/>
      <c r="UCH188" s="117"/>
      <c r="UCI188" s="117"/>
      <c r="UCJ188" s="117"/>
      <c r="UCK188" s="117"/>
      <c r="UCL188" s="117"/>
      <c r="UCM188" s="117"/>
      <c r="UCN188" s="117"/>
      <c r="UCO188" s="117"/>
      <c r="UCP188" s="117"/>
      <c r="UCQ188" s="117"/>
      <c r="UCR188" s="117"/>
      <c r="UCS188" s="117"/>
      <c r="UCT188" s="117"/>
      <c r="UCU188" s="117"/>
      <c r="UCV188" s="117"/>
      <c r="UCW188" s="117"/>
      <c r="UCX188" s="117"/>
      <c r="UCY188" s="117"/>
      <c r="UCZ188" s="117"/>
      <c r="UDA188" s="117"/>
      <c r="UDB188" s="117"/>
      <c r="UDC188" s="117"/>
      <c r="UDD188" s="117"/>
      <c r="UDE188" s="117"/>
      <c r="UDF188" s="117"/>
      <c r="UDG188" s="117"/>
      <c r="UDH188" s="117"/>
      <c r="UDI188" s="117"/>
      <c r="UDJ188" s="117"/>
      <c r="UDK188" s="117"/>
      <c r="UDL188" s="117"/>
      <c r="UDM188" s="117"/>
      <c r="UDN188" s="117"/>
      <c r="UDO188" s="117"/>
      <c r="UDP188" s="117"/>
      <c r="UDQ188" s="117"/>
      <c r="UDR188" s="117"/>
      <c r="UDS188" s="117"/>
      <c r="UDT188" s="117"/>
      <c r="UDU188" s="117"/>
      <c r="UDV188" s="117"/>
      <c r="UDW188" s="117"/>
      <c r="UDX188" s="117"/>
      <c r="UDY188" s="117"/>
      <c r="UDZ188" s="117"/>
      <c r="UEA188" s="117"/>
      <c r="UEB188" s="117"/>
      <c r="UEC188" s="117"/>
      <c r="UED188" s="117"/>
      <c r="UEE188" s="117"/>
      <c r="UEF188" s="117"/>
      <c r="UEG188" s="117"/>
      <c r="UEH188" s="117"/>
      <c r="UEI188" s="117"/>
      <c r="UEJ188" s="117"/>
      <c r="UEK188" s="117"/>
      <c r="UEL188" s="117"/>
      <c r="UEM188" s="117"/>
      <c r="UEN188" s="117"/>
      <c r="UEO188" s="117"/>
      <c r="UEP188" s="117"/>
      <c r="UEQ188" s="117"/>
      <c r="UER188" s="117"/>
      <c r="UES188" s="117"/>
      <c r="UET188" s="117"/>
      <c r="UEU188" s="117"/>
      <c r="UEV188" s="117"/>
      <c r="UEW188" s="117"/>
      <c r="UEX188" s="117"/>
      <c r="UEY188" s="117"/>
      <c r="UEZ188" s="117"/>
      <c r="UFA188" s="117"/>
      <c r="UFB188" s="117"/>
      <c r="UFC188" s="117"/>
      <c r="UFD188" s="117"/>
      <c r="UFE188" s="117"/>
      <c r="UFF188" s="117"/>
      <c r="UFG188" s="117"/>
      <c r="UFH188" s="117"/>
      <c r="UFI188" s="117"/>
      <c r="UFJ188" s="117"/>
      <c r="UFK188" s="117"/>
      <c r="UFL188" s="117"/>
      <c r="UFM188" s="117"/>
      <c r="UFN188" s="117"/>
      <c r="UFO188" s="117"/>
      <c r="UFP188" s="117"/>
      <c r="UFQ188" s="117"/>
      <c r="UFR188" s="117"/>
      <c r="UFS188" s="117"/>
      <c r="UFT188" s="117"/>
      <c r="UFU188" s="117"/>
      <c r="UFV188" s="117"/>
      <c r="UFW188" s="117"/>
      <c r="UFX188" s="117"/>
      <c r="UFY188" s="117"/>
      <c r="UFZ188" s="117"/>
      <c r="UGA188" s="117"/>
      <c r="UGB188" s="117"/>
      <c r="UGC188" s="117"/>
      <c r="UGD188" s="117"/>
      <c r="UGE188" s="117"/>
      <c r="UGF188" s="117"/>
      <c r="UGG188" s="117"/>
      <c r="UGH188" s="117"/>
      <c r="UGI188" s="117"/>
      <c r="UGJ188" s="117"/>
      <c r="UGK188" s="117"/>
      <c r="UGL188" s="117"/>
      <c r="UGM188" s="117"/>
      <c r="UGN188" s="117"/>
      <c r="UGO188" s="117"/>
      <c r="UGP188" s="117"/>
      <c r="UGQ188" s="117"/>
      <c r="UGR188" s="117"/>
      <c r="UGS188" s="117"/>
      <c r="UGT188" s="117"/>
      <c r="UGU188" s="117"/>
      <c r="UGV188" s="117"/>
      <c r="UGW188" s="117"/>
      <c r="UGX188" s="117"/>
      <c r="UGY188" s="117"/>
      <c r="UGZ188" s="117"/>
      <c r="UHA188" s="117"/>
      <c r="UHB188" s="117"/>
      <c r="UHC188" s="117"/>
      <c r="UHD188" s="117"/>
      <c r="UHE188" s="117"/>
      <c r="UHF188" s="117"/>
      <c r="UHG188" s="117"/>
      <c r="UHH188" s="117"/>
      <c r="UHI188" s="117"/>
      <c r="UHJ188" s="117"/>
      <c r="UHK188" s="117"/>
      <c r="UHL188" s="117"/>
      <c r="UHM188" s="117"/>
      <c r="UHN188" s="117"/>
      <c r="UHO188" s="117"/>
      <c r="UHP188" s="117"/>
      <c r="UHQ188" s="117"/>
      <c r="UHR188" s="117"/>
      <c r="UHS188" s="117"/>
      <c r="UHT188" s="117"/>
      <c r="UHU188" s="117"/>
      <c r="UHV188" s="117"/>
      <c r="UHW188" s="117"/>
      <c r="UHX188" s="117"/>
      <c r="UHY188" s="117"/>
      <c r="UHZ188" s="117"/>
      <c r="UIA188" s="117"/>
      <c r="UIB188" s="117"/>
      <c r="UIC188" s="117"/>
      <c r="UID188" s="117"/>
      <c r="UIE188" s="117"/>
      <c r="UIF188" s="117"/>
      <c r="UIG188" s="117"/>
      <c r="UIH188" s="117"/>
      <c r="UII188" s="117"/>
      <c r="UIJ188" s="117"/>
      <c r="UIK188" s="117"/>
      <c r="UIL188" s="117"/>
      <c r="UIM188" s="117"/>
      <c r="UIN188" s="117"/>
      <c r="UIO188" s="117"/>
      <c r="UIP188" s="117"/>
      <c r="UIQ188" s="117"/>
      <c r="UIR188" s="117"/>
      <c r="UIS188" s="117"/>
      <c r="UIT188" s="117"/>
      <c r="UIU188" s="117"/>
      <c r="UIV188" s="117"/>
      <c r="UIW188" s="117"/>
      <c r="UIX188" s="117"/>
      <c r="UIY188" s="117"/>
      <c r="UIZ188" s="117"/>
      <c r="UJA188" s="117"/>
      <c r="UJB188" s="117"/>
      <c r="UJC188" s="117"/>
      <c r="UJD188" s="117"/>
      <c r="UJE188" s="117"/>
      <c r="UJF188" s="117"/>
      <c r="UJG188" s="117"/>
      <c r="UJH188" s="117"/>
      <c r="UJI188" s="117"/>
      <c r="UJJ188" s="117"/>
      <c r="UJK188" s="117"/>
      <c r="UJL188" s="117"/>
      <c r="UJM188" s="117"/>
      <c r="UJN188" s="117"/>
      <c r="UJO188" s="117"/>
      <c r="UJP188" s="117"/>
      <c r="UJQ188" s="117"/>
      <c r="UJR188" s="117"/>
      <c r="UJS188" s="117"/>
      <c r="UJT188" s="117"/>
      <c r="UJU188" s="117"/>
      <c r="UJV188" s="117"/>
      <c r="UJW188" s="117"/>
      <c r="UJX188" s="117"/>
      <c r="UJY188" s="117"/>
      <c r="UJZ188" s="117"/>
      <c r="UKA188" s="117"/>
      <c r="UKB188" s="117"/>
      <c r="UKC188" s="117"/>
      <c r="UKD188" s="117"/>
      <c r="UKE188" s="117"/>
      <c r="UKF188" s="117"/>
      <c r="UKG188" s="117"/>
      <c r="UKH188" s="117"/>
      <c r="UKI188" s="117"/>
      <c r="UKJ188" s="117"/>
      <c r="UKK188" s="117"/>
      <c r="UKL188" s="117"/>
      <c r="UKM188" s="117"/>
      <c r="UKN188" s="117"/>
      <c r="UKO188" s="117"/>
      <c r="UKP188" s="117"/>
      <c r="UKQ188" s="117"/>
      <c r="UKR188" s="117"/>
      <c r="UKS188" s="117"/>
      <c r="UKT188" s="117"/>
      <c r="UKU188" s="117"/>
      <c r="UKV188" s="117"/>
      <c r="UKW188" s="117"/>
      <c r="UKX188" s="117"/>
      <c r="UKY188" s="117"/>
      <c r="UKZ188" s="117"/>
      <c r="ULA188" s="117"/>
      <c r="ULB188" s="117"/>
      <c r="ULC188" s="117"/>
      <c r="ULD188" s="117"/>
      <c r="ULE188" s="117"/>
      <c r="ULF188" s="117"/>
      <c r="ULG188" s="117"/>
      <c r="ULH188" s="117"/>
      <c r="ULI188" s="117"/>
      <c r="ULJ188" s="117"/>
      <c r="ULK188" s="117"/>
      <c r="ULL188" s="117"/>
      <c r="ULM188" s="117"/>
      <c r="ULN188" s="117"/>
      <c r="ULO188" s="117"/>
      <c r="ULP188" s="117"/>
      <c r="ULQ188" s="117"/>
      <c r="ULR188" s="117"/>
      <c r="ULS188" s="117"/>
      <c r="ULT188" s="117"/>
      <c r="ULU188" s="117"/>
      <c r="ULV188" s="117"/>
      <c r="ULW188" s="117"/>
      <c r="ULX188" s="117"/>
      <c r="ULY188" s="117"/>
      <c r="ULZ188" s="117"/>
      <c r="UMA188" s="117"/>
      <c r="UMB188" s="117"/>
      <c r="UMC188" s="117"/>
      <c r="UMD188" s="117"/>
      <c r="UME188" s="117"/>
      <c r="UMF188" s="117"/>
      <c r="UMG188" s="117"/>
      <c r="UMH188" s="117"/>
      <c r="UMI188" s="117"/>
      <c r="UMJ188" s="117"/>
      <c r="UMK188" s="117"/>
      <c r="UML188" s="117"/>
      <c r="UMM188" s="117"/>
      <c r="UMN188" s="117"/>
      <c r="UMO188" s="117"/>
      <c r="UMP188" s="117"/>
      <c r="UMQ188" s="117"/>
      <c r="UMR188" s="117"/>
      <c r="UMS188" s="117"/>
      <c r="UMT188" s="117"/>
      <c r="UMU188" s="117"/>
      <c r="UMV188" s="117"/>
      <c r="UMW188" s="117"/>
      <c r="UMX188" s="117"/>
      <c r="UMY188" s="117"/>
      <c r="UMZ188" s="117"/>
      <c r="UNA188" s="117"/>
      <c r="UNB188" s="117"/>
      <c r="UNC188" s="117"/>
      <c r="UND188" s="117"/>
      <c r="UNE188" s="117"/>
      <c r="UNF188" s="117"/>
      <c r="UNG188" s="117"/>
      <c r="UNH188" s="117"/>
      <c r="UNI188" s="117"/>
      <c r="UNJ188" s="117"/>
      <c r="UNK188" s="117"/>
      <c r="UNL188" s="117"/>
      <c r="UNM188" s="117"/>
      <c r="UNN188" s="117"/>
      <c r="UNO188" s="117"/>
      <c r="UNP188" s="117"/>
      <c r="UNQ188" s="117"/>
      <c r="UNR188" s="117"/>
      <c r="UNS188" s="117"/>
      <c r="UNT188" s="117"/>
      <c r="UNU188" s="117"/>
      <c r="UNV188" s="117"/>
      <c r="UNW188" s="117"/>
      <c r="UNX188" s="117"/>
      <c r="UNY188" s="117"/>
      <c r="UNZ188" s="117"/>
      <c r="UOA188" s="117"/>
      <c r="UOB188" s="117"/>
      <c r="UOC188" s="117"/>
      <c r="UOD188" s="117"/>
      <c r="UOE188" s="117"/>
      <c r="UOF188" s="117"/>
      <c r="UOG188" s="117"/>
      <c r="UOH188" s="117"/>
      <c r="UOI188" s="117"/>
      <c r="UOJ188" s="117"/>
      <c r="UOK188" s="117"/>
      <c r="UOL188" s="117"/>
      <c r="UOM188" s="117"/>
      <c r="UON188" s="117"/>
      <c r="UOO188" s="117"/>
      <c r="UOP188" s="117"/>
      <c r="UOQ188" s="117"/>
      <c r="UOR188" s="117"/>
      <c r="UOS188" s="117"/>
      <c r="UOT188" s="117"/>
      <c r="UOU188" s="117"/>
      <c r="UOV188" s="117"/>
      <c r="UOW188" s="117"/>
      <c r="UOX188" s="117"/>
      <c r="UOY188" s="117"/>
      <c r="UOZ188" s="117"/>
      <c r="UPA188" s="117"/>
      <c r="UPB188" s="117"/>
      <c r="UPC188" s="117"/>
      <c r="UPD188" s="117"/>
      <c r="UPE188" s="117"/>
      <c r="UPF188" s="117"/>
      <c r="UPG188" s="117"/>
      <c r="UPH188" s="117"/>
      <c r="UPI188" s="117"/>
      <c r="UPJ188" s="117"/>
      <c r="UPK188" s="117"/>
      <c r="UPL188" s="117"/>
      <c r="UPM188" s="117"/>
      <c r="UPN188" s="117"/>
      <c r="UPO188" s="117"/>
      <c r="UPP188" s="117"/>
      <c r="UPQ188" s="117"/>
      <c r="UPR188" s="117"/>
      <c r="UPS188" s="117"/>
      <c r="UPT188" s="117"/>
      <c r="UPU188" s="117"/>
      <c r="UPV188" s="117"/>
      <c r="UPW188" s="117"/>
      <c r="UPX188" s="117"/>
      <c r="UPY188" s="117"/>
      <c r="UPZ188" s="117"/>
      <c r="UQA188" s="117"/>
      <c r="UQB188" s="117"/>
      <c r="UQC188" s="117"/>
      <c r="UQD188" s="117"/>
      <c r="UQE188" s="117"/>
      <c r="UQF188" s="117"/>
      <c r="UQG188" s="117"/>
      <c r="UQH188" s="117"/>
      <c r="UQI188" s="117"/>
      <c r="UQJ188" s="117"/>
      <c r="UQK188" s="117"/>
      <c r="UQL188" s="117"/>
      <c r="UQM188" s="117"/>
      <c r="UQN188" s="117"/>
      <c r="UQO188" s="117"/>
      <c r="UQP188" s="117"/>
      <c r="UQQ188" s="117"/>
      <c r="UQR188" s="117"/>
      <c r="UQS188" s="117"/>
      <c r="UQT188" s="117"/>
      <c r="UQU188" s="117"/>
      <c r="UQV188" s="117"/>
      <c r="UQW188" s="117"/>
      <c r="UQX188" s="117"/>
      <c r="UQY188" s="117"/>
      <c r="UQZ188" s="117"/>
      <c r="URA188" s="117"/>
      <c r="URB188" s="117"/>
      <c r="URC188" s="117"/>
      <c r="URD188" s="117"/>
      <c r="URE188" s="117"/>
      <c r="URF188" s="117"/>
      <c r="URG188" s="117"/>
      <c r="URH188" s="117"/>
      <c r="URI188" s="117"/>
      <c r="URJ188" s="117"/>
      <c r="URK188" s="117"/>
      <c r="URL188" s="117"/>
      <c r="URM188" s="117"/>
      <c r="URN188" s="117"/>
      <c r="URO188" s="117"/>
      <c r="URP188" s="117"/>
      <c r="URQ188" s="117"/>
      <c r="URR188" s="117"/>
      <c r="URS188" s="117"/>
      <c r="URT188" s="117"/>
      <c r="URU188" s="117"/>
      <c r="URV188" s="117"/>
      <c r="URW188" s="117"/>
      <c r="URX188" s="117"/>
      <c r="URY188" s="117"/>
      <c r="URZ188" s="117"/>
      <c r="USA188" s="117"/>
      <c r="USB188" s="117"/>
      <c r="USC188" s="117"/>
      <c r="USD188" s="117"/>
      <c r="USE188" s="117"/>
      <c r="USF188" s="117"/>
      <c r="USG188" s="117"/>
      <c r="USH188" s="117"/>
      <c r="USI188" s="117"/>
      <c r="USJ188" s="117"/>
      <c r="USK188" s="117"/>
      <c r="USL188" s="117"/>
      <c r="USM188" s="117"/>
      <c r="USN188" s="117"/>
      <c r="USO188" s="117"/>
      <c r="USP188" s="117"/>
      <c r="USQ188" s="117"/>
      <c r="USR188" s="117"/>
      <c r="USS188" s="117"/>
      <c r="UST188" s="117"/>
      <c r="USU188" s="117"/>
      <c r="USV188" s="117"/>
      <c r="USW188" s="117"/>
      <c r="USX188" s="117"/>
      <c r="USY188" s="117"/>
      <c r="USZ188" s="117"/>
      <c r="UTA188" s="117"/>
      <c r="UTB188" s="117"/>
      <c r="UTC188" s="117"/>
      <c r="UTD188" s="117"/>
      <c r="UTE188" s="117"/>
      <c r="UTF188" s="117"/>
      <c r="UTG188" s="117"/>
      <c r="UTH188" s="117"/>
      <c r="UTI188" s="117"/>
      <c r="UTJ188" s="117"/>
      <c r="UTK188" s="117"/>
      <c r="UTL188" s="117"/>
      <c r="UTM188" s="117"/>
      <c r="UTN188" s="117"/>
      <c r="UTO188" s="117"/>
      <c r="UTP188" s="117"/>
      <c r="UTQ188" s="117"/>
      <c r="UTR188" s="117"/>
      <c r="UTS188" s="117"/>
      <c r="UTT188" s="117"/>
      <c r="UTU188" s="117"/>
      <c r="UTV188" s="117"/>
      <c r="UTW188" s="117"/>
      <c r="UTX188" s="117"/>
      <c r="UTY188" s="117"/>
      <c r="UTZ188" s="117"/>
      <c r="UUA188" s="117"/>
      <c r="UUB188" s="117"/>
      <c r="UUC188" s="117"/>
      <c r="UUD188" s="117"/>
      <c r="UUE188" s="117"/>
      <c r="UUF188" s="117"/>
      <c r="UUG188" s="117"/>
      <c r="UUH188" s="117"/>
      <c r="UUI188" s="117"/>
      <c r="UUJ188" s="117"/>
      <c r="UUK188" s="117"/>
      <c r="UUL188" s="117"/>
      <c r="UUM188" s="117"/>
      <c r="UUN188" s="117"/>
      <c r="UUO188" s="117"/>
      <c r="UUP188" s="117"/>
      <c r="UUQ188" s="117"/>
      <c r="UUR188" s="117"/>
      <c r="UUS188" s="117"/>
      <c r="UUT188" s="117"/>
      <c r="UUU188" s="117"/>
      <c r="UUV188" s="117"/>
      <c r="UUW188" s="117"/>
      <c r="UUX188" s="117"/>
      <c r="UUY188" s="117"/>
      <c r="UUZ188" s="117"/>
      <c r="UVA188" s="117"/>
      <c r="UVB188" s="117"/>
      <c r="UVC188" s="117"/>
      <c r="UVD188" s="117"/>
      <c r="UVE188" s="117"/>
      <c r="UVF188" s="117"/>
      <c r="UVG188" s="117"/>
      <c r="UVH188" s="117"/>
      <c r="UVI188" s="117"/>
      <c r="UVJ188" s="117"/>
      <c r="UVK188" s="117"/>
      <c r="UVL188" s="117"/>
      <c r="UVM188" s="117"/>
      <c r="UVN188" s="117"/>
      <c r="UVO188" s="117"/>
      <c r="UVP188" s="117"/>
      <c r="UVQ188" s="117"/>
      <c r="UVR188" s="117"/>
      <c r="UVS188" s="117"/>
      <c r="UVT188" s="117"/>
      <c r="UVU188" s="117"/>
      <c r="UVV188" s="117"/>
      <c r="UVW188" s="117"/>
      <c r="UVX188" s="117"/>
      <c r="UVY188" s="117"/>
      <c r="UVZ188" s="117"/>
      <c r="UWA188" s="117"/>
      <c r="UWB188" s="117"/>
      <c r="UWC188" s="117"/>
      <c r="UWD188" s="117"/>
      <c r="UWE188" s="117"/>
      <c r="UWF188" s="117"/>
      <c r="UWG188" s="117"/>
      <c r="UWH188" s="117"/>
      <c r="UWI188" s="117"/>
      <c r="UWJ188" s="117"/>
      <c r="UWK188" s="117"/>
      <c r="UWL188" s="117"/>
      <c r="UWM188" s="117"/>
      <c r="UWN188" s="117"/>
      <c r="UWO188" s="117"/>
      <c r="UWP188" s="117"/>
      <c r="UWQ188" s="117"/>
      <c r="UWR188" s="117"/>
      <c r="UWS188" s="117"/>
      <c r="UWT188" s="117"/>
      <c r="UWU188" s="117"/>
      <c r="UWV188" s="117"/>
      <c r="UWW188" s="117"/>
      <c r="UWX188" s="117"/>
      <c r="UWY188" s="117"/>
      <c r="UWZ188" s="117"/>
      <c r="UXA188" s="117"/>
      <c r="UXB188" s="117"/>
      <c r="UXC188" s="117"/>
      <c r="UXD188" s="117"/>
      <c r="UXE188" s="117"/>
      <c r="UXF188" s="117"/>
      <c r="UXG188" s="117"/>
      <c r="UXH188" s="117"/>
      <c r="UXI188" s="117"/>
      <c r="UXJ188" s="117"/>
      <c r="UXK188" s="117"/>
      <c r="UXL188" s="117"/>
      <c r="UXM188" s="117"/>
      <c r="UXN188" s="117"/>
      <c r="UXO188" s="117"/>
      <c r="UXP188" s="117"/>
      <c r="UXQ188" s="117"/>
      <c r="UXR188" s="117"/>
      <c r="UXS188" s="117"/>
      <c r="UXT188" s="117"/>
      <c r="UXU188" s="117"/>
      <c r="UXV188" s="117"/>
      <c r="UXW188" s="117"/>
      <c r="UXX188" s="117"/>
      <c r="UXY188" s="117"/>
      <c r="UXZ188" s="117"/>
      <c r="UYA188" s="117"/>
      <c r="UYB188" s="117"/>
      <c r="UYC188" s="117"/>
      <c r="UYD188" s="117"/>
      <c r="UYE188" s="117"/>
      <c r="UYF188" s="117"/>
      <c r="UYG188" s="117"/>
      <c r="UYH188" s="117"/>
      <c r="UYI188" s="117"/>
      <c r="UYJ188" s="117"/>
      <c r="UYK188" s="117"/>
      <c r="UYL188" s="117"/>
      <c r="UYM188" s="117"/>
      <c r="UYN188" s="117"/>
      <c r="UYO188" s="117"/>
      <c r="UYP188" s="117"/>
      <c r="UYQ188" s="117"/>
      <c r="UYR188" s="117"/>
      <c r="UYS188" s="117"/>
      <c r="UYT188" s="117"/>
      <c r="UYU188" s="117"/>
      <c r="UYV188" s="117"/>
      <c r="UYW188" s="117"/>
      <c r="UYX188" s="117"/>
      <c r="UYY188" s="117"/>
      <c r="UYZ188" s="117"/>
      <c r="UZA188" s="117"/>
      <c r="UZB188" s="117"/>
      <c r="UZC188" s="117"/>
      <c r="UZD188" s="117"/>
      <c r="UZE188" s="117"/>
      <c r="UZF188" s="117"/>
      <c r="UZG188" s="117"/>
      <c r="UZH188" s="117"/>
      <c r="UZI188" s="117"/>
      <c r="UZJ188" s="117"/>
      <c r="UZK188" s="117"/>
      <c r="UZL188" s="117"/>
      <c r="UZM188" s="117"/>
      <c r="UZN188" s="117"/>
      <c r="UZO188" s="117"/>
      <c r="UZP188" s="117"/>
      <c r="UZQ188" s="117"/>
      <c r="UZR188" s="117"/>
      <c r="UZS188" s="117"/>
      <c r="UZT188" s="117"/>
      <c r="UZU188" s="117"/>
      <c r="UZV188" s="117"/>
      <c r="UZW188" s="117"/>
      <c r="UZX188" s="117"/>
      <c r="UZY188" s="117"/>
      <c r="UZZ188" s="117"/>
      <c r="VAA188" s="117"/>
      <c r="VAB188" s="117"/>
      <c r="VAC188" s="117"/>
      <c r="VAD188" s="117"/>
      <c r="VAE188" s="117"/>
      <c r="VAF188" s="117"/>
      <c r="VAG188" s="117"/>
      <c r="VAH188" s="117"/>
      <c r="VAI188" s="117"/>
      <c r="VAJ188" s="117"/>
      <c r="VAK188" s="117"/>
      <c r="VAL188" s="117"/>
      <c r="VAM188" s="117"/>
      <c r="VAN188" s="117"/>
      <c r="VAO188" s="117"/>
      <c r="VAP188" s="117"/>
      <c r="VAQ188" s="117"/>
      <c r="VAR188" s="117"/>
      <c r="VAS188" s="117"/>
      <c r="VAT188" s="117"/>
      <c r="VAU188" s="117"/>
      <c r="VAV188" s="117"/>
      <c r="VAW188" s="117"/>
      <c r="VAX188" s="117"/>
      <c r="VAY188" s="117"/>
      <c r="VAZ188" s="117"/>
      <c r="VBA188" s="117"/>
      <c r="VBB188" s="117"/>
      <c r="VBC188" s="117"/>
      <c r="VBD188" s="117"/>
      <c r="VBE188" s="117"/>
      <c r="VBF188" s="117"/>
      <c r="VBG188" s="117"/>
      <c r="VBH188" s="117"/>
      <c r="VBI188" s="117"/>
      <c r="VBJ188" s="117"/>
      <c r="VBK188" s="117"/>
      <c r="VBL188" s="117"/>
      <c r="VBM188" s="117"/>
      <c r="VBN188" s="117"/>
      <c r="VBO188" s="117"/>
      <c r="VBP188" s="117"/>
      <c r="VBQ188" s="117"/>
      <c r="VBR188" s="117"/>
      <c r="VBS188" s="117"/>
      <c r="VBT188" s="117"/>
      <c r="VBU188" s="117"/>
      <c r="VBV188" s="117"/>
      <c r="VBW188" s="117"/>
      <c r="VBX188" s="117"/>
      <c r="VBY188" s="117"/>
      <c r="VBZ188" s="117"/>
      <c r="VCA188" s="117"/>
      <c r="VCB188" s="117"/>
      <c r="VCC188" s="117"/>
      <c r="VCD188" s="117"/>
      <c r="VCE188" s="117"/>
      <c r="VCF188" s="117"/>
      <c r="VCG188" s="117"/>
      <c r="VCH188" s="117"/>
      <c r="VCI188" s="117"/>
      <c r="VCJ188" s="117"/>
      <c r="VCK188" s="117"/>
      <c r="VCL188" s="117"/>
      <c r="VCM188" s="117"/>
      <c r="VCN188" s="117"/>
      <c r="VCO188" s="117"/>
      <c r="VCP188" s="117"/>
      <c r="VCQ188" s="117"/>
      <c r="VCR188" s="117"/>
      <c r="VCS188" s="117"/>
      <c r="VCT188" s="117"/>
      <c r="VCU188" s="117"/>
      <c r="VCV188" s="117"/>
      <c r="VCW188" s="117"/>
      <c r="VCX188" s="117"/>
      <c r="VCY188" s="117"/>
      <c r="VCZ188" s="117"/>
      <c r="VDA188" s="117"/>
      <c r="VDB188" s="117"/>
      <c r="VDC188" s="117"/>
      <c r="VDD188" s="117"/>
      <c r="VDE188" s="117"/>
      <c r="VDF188" s="117"/>
      <c r="VDG188" s="117"/>
      <c r="VDH188" s="117"/>
      <c r="VDI188" s="117"/>
      <c r="VDJ188" s="117"/>
      <c r="VDK188" s="117"/>
      <c r="VDL188" s="117"/>
      <c r="VDM188" s="117"/>
      <c r="VDN188" s="117"/>
      <c r="VDO188" s="117"/>
      <c r="VDP188" s="117"/>
      <c r="VDQ188" s="117"/>
      <c r="VDR188" s="117"/>
      <c r="VDS188" s="117"/>
      <c r="VDT188" s="117"/>
      <c r="VDU188" s="117"/>
      <c r="VDV188" s="117"/>
      <c r="VDW188" s="117"/>
      <c r="VDX188" s="117"/>
      <c r="VDY188" s="117"/>
      <c r="VDZ188" s="117"/>
      <c r="VEA188" s="117"/>
      <c r="VEB188" s="117"/>
      <c r="VEC188" s="117"/>
      <c r="VED188" s="117"/>
      <c r="VEE188" s="117"/>
      <c r="VEF188" s="117"/>
      <c r="VEG188" s="117"/>
      <c r="VEH188" s="117"/>
      <c r="VEI188" s="117"/>
      <c r="VEJ188" s="117"/>
      <c r="VEK188" s="117"/>
      <c r="VEL188" s="117"/>
      <c r="VEM188" s="117"/>
      <c r="VEN188" s="117"/>
      <c r="VEO188" s="117"/>
      <c r="VEP188" s="117"/>
      <c r="VEQ188" s="117"/>
      <c r="VER188" s="117"/>
      <c r="VES188" s="117"/>
      <c r="VET188" s="117"/>
      <c r="VEU188" s="117"/>
      <c r="VEV188" s="117"/>
      <c r="VEW188" s="117"/>
      <c r="VEX188" s="117"/>
      <c r="VEY188" s="117"/>
      <c r="VEZ188" s="117"/>
      <c r="VFA188" s="117"/>
      <c r="VFB188" s="117"/>
      <c r="VFC188" s="117"/>
      <c r="VFD188" s="117"/>
      <c r="VFE188" s="117"/>
      <c r="VFF188" s="117"/>
      <c r="VFG188" s="117"/>
      <c r="VFH188" s="117"/>
      <c r="VFI188" s="117"/>
      <c r="VFJ188" s="117"/>
      <c r="VFK188" s="117"/>
      <c r="VFL188" s="117"/>
      <c r="VFM188" s="117"/>
      <c r="VFN188" s="117"/>
      <c r="VFO188" s="117"/>
      <c r="VFP188" s="117"/>
      <c r="VFQ188" s="117"/>
      <c r="VFR188" s="117"/>
      <c r="VFS188" s="117"/>
      <c r="VFT188" s="117"/>
      <c r="VFU188" s="117"/>
      <c r="VFV188" s="117"/>
      <c r="VFW188" s="117"/>
      <c r="VFX188" s="117"/>
      <c r="VFY188" s="117"/>
      <c r="VFZ188" s="117"/>
      <c r="VGA188" s="117"/>
      <c r="VGB188" s="117"/>
      <c r="VGC188" s="117"/>
      <c r="VGD188" s="117"/>
      <c r="VGE188" s="117"/>
      <c r="VGF188" s="117"/>
      <c r="VGG188" s="117"/>
      <c r="VGH188" s="117"/>
      <c r="VGI188" s="117"/>
      <c r="VGJ188" s="117"/>
      <c r="VGK188" s="117"/>
      <c r="VGL188" s="117"/>
      <c r="VGM188" s="117"/>
      <c r="VGN188" s="117"/>
      <c r="VGO188" s="117"/>
      <c r="VGP188" s="117"/>
      <c r="VGQ188" s="117"/>
      <c r="VGR188" s="117"/>
      <c r="VGS188" s="117"/>
      <c r="VGT188" s="117"/>
      <c r="VGU188" s="117"/>
      <c r="VGV188" s="117"/>
      <c r="VGW188" s="117"/>
      <c r="VGX188" s="117"/>
      <c r="VGY188" s="117"/>
      <c r="VGZ188" s="117"/>
      <c r="VHA188" s="117"/>
      <c r="VHB188" s="117"/>
      <c r="VHC188" s="117"/>
      <c r="VHD188" s="117"/>
      <c r="VHE188" s="117"/>
      <c r="VHF188" s="117"/>
      <c r="VHG188" s="117"/>
      <c r="VHH188" s="117"/>
      <c r="VHI188" s="117"/>
      <c r="VHJ188" s="117"/>
      <c r="VHK188" s="117"/>
      <c r="VHL188" s="117"/>
      <c r="VHM188" s="117"/>
      <c r="VHN188" s="117"/>
      <c r="VHO188" s="117"/>
      <c r="VHP188" s="117"/>
      <c r="VHQ188" s="117"/>
      <c r="VHR188" s="117"/>
      <c r="VHS188" s="117"/>
      <c r="VHT188" s="117"/>
      <c r="VHU188" s="117"/>
      <c r="VHV188" s="117"/>
      <c r="VHW188" s="117"/>
      <c r="VHX188" s="117"/>
      <c r="VHY188" s="117"/>
      <c r="VHZ188" s="117"/>
      <c r="VIA188" s="117"/>
      <c r="VIB188" s="117"/>
      <c r="VIC188" s="117"/>
      <c r="VID188" s="117"/>
      <c r="VIE188" s="117"/>
      <c r="VIF188" s="117"/>
      <c r="VIG188" s="117"/>
      <c r="VIH188" s="117"/>
      <c r="VII188" s="117"/>
      <c r="VIJ188" s="117"/>
      <c r="VIK188" s="117"/>
      <c r="VIL188" s="117"/>
      <c r="VIM188" s="117"/>
      <c r="VIN188" s="117"/>
      <c r="VIO188" s="117"/>
      <c r="VIP188" s="117"/>
      <c r="VIQ188" s="117"/>
      <c r="VIR188" s="117"/>
      <c r="VIS188" s="117"/>
      <c r="VIT188" s="117"/>
      <c r="VIU188" s="117"/>
      <c r="VIV188" s="117"/>
      <c r="VIW188" s="117"/>
      <c r="VIX188" s="117"/>
      <c r="VIY188" s="117"/>
      <c r="VIZ188" s="117"/>
      <c r="VJA188" s="117"/>
      <c r="VJB188" s="117"/>
      <c r="VJC188" s="117"/>
      <c r="VJD188" s="117"/>
      <c r="VJE188" s="117"/>
      <c r="VJF188" s="117"/>
      <c r="VJG188" s="117"/>
      <c r="VJH188" s="117"/>
      <c r="VJI188" s="117"/>
      <c r="VJJ188" s="117"/>
      <c r="VJK188" s="117"/>
      <c r="VJL188" s="117"/>
      <c r="VJM188" s="117"/>
      <c r="VJN188" s="117"/>
      <c r="VJO188" s="117"/>
      <c r="VJP188" s="117"/>
      <c r="VJQ188" s="117"/>
      <c r="VJR188" s="117"/>
      <c r="VJS188" s="117"/>
      <c r="VJT188" s="117"/>
      <c r="VJU188" s="117"/>
      <c r="VJV188" s="117"/>
      <c r="VJW188" s="117"/>
      <c r="VJX188" s="117"/>
      <c r="VJY188" s="117"/>
      <c r="VJZ188" s="117"/>
      <c r="VKA188" s="117"/>
      <c r="VKB188" s="117"/>
      <c r="VKC188" s="117"/>
      <c r="VKD188" s="117"/>
      <c r="VKE188" s="117"/>
      <c r="VKF188" s="117"/>
      <c r="VKG188" s="117"/>
      <c r="VKH188" s="117"/>
      <c r="VKI188" s="117"/>
      <c r="VKJ188" s="117"/>
      <c r="VKK188" s="117"/>
      <c r="VKL188" s="117"/>
      <c r="VKM188" s="117"/>
      <c r="VKN188" s="117"/>
      <c r="VKO188" s="117"/>
      <c r="VKP188" s="117"/>
      <c r="VKQ188" s="117"/>
      <c r="VKR188" s="117"/>
      <c r="VKS188" s="117"/>
      <c r="VKT188" s="117"/>
      <c r="VKU188" s="117"/>
      <c r="VKV188" s="117"/>
      <c r="VKW188" s="117"/>
      <c r="VKX188" s="117"/>
      <c r="VKY188" s="117"/>
      <c r="VKZ188" s="117"/>
      <c r="VLA188" s="117"/>
      <c r="VLB188" s="117"/>
      <c r="VLC188" s="117"/>
      <c r="VLD188" s="117"/>
      <c r="VLE188" s="117"/>
      <c r="VLF188" s="117"/>
      <c r="VLG188" s="117"/>
      <c r="VLH188" s="117"/>
      <c r="VLI188" s="117"/>
      <c r="VLJ188" s="117"/>
      <c r="VLK188" s="117"/>
      <c r="VLL188" s="117"/>
      <c r="VLM188" s="117"/>
      <c r="VLN188" s="117"/>
      <c r="VLO188" s="117"/>
      <c r="VLP188" s="117"/>
      <c r="VLQ188" s="117"/>
      <c r="VLR188" s="117"/>
      <c r="VLS188" s="117"/>
      <c r="VLT188" s="117"/>
      <c r="VLU188" s="117"/>
      <c r="VLV188" s="117"/>
      <c r="VLW188" s="117"/>
      <c r="VLX188" s="117"/>
      <c r="VLY188" s="117"/>
      <c r="VLZ188" s="117"/>
      <c r="VMA188" s="117"/>
      <c r="VMB188" s="117"/>
      <c r="VMC188" s="117"/>
      <c r="VMD188" s="117"/>
      <c r="VME188" s="117"/>
      <c r="VMF188" s="117"/>
      <c r="VMG188" s="117"/>
      <c r="VMH188" s="117"/>
      <c r="VMI188" s="117"/>
      <c r="VMJ188" s="117"/>
      <c r="VMK188" s="117"/>
      <c r="VML188" s="117"/>
      <c r="VMM188" s="117"/>
      <c r="VMN188" s="117"/>
      <c r="VMO188" s="117"/>
      <c r="VMP188" s="117"/>
      <c r="VMQ188" s="117"/>
      <c r="VMR188" s="117"/>
      <c r="VMS188" s="117"/>
      <c r="VMT188" s="117"/>
      <c r="VMU188" s="117"/>
      <c r="VMV188" s="117"/>
      <c r="VMW188" s="117"/>
      <c r="VMX188" s="117"/>
      <c r="VMY188" s="117"/>
      <c r="VMZ188" s="117"/>
      <c r="VNA188" s="117"/>
      <c r="VNB188" s="117"/>
      <c r="VNC188" s="117"/>
      <c r="VND188" s="117"/>
      <c r="VNE188" s="117"/>
      <c r="VNF188" s="117"/>
      <c r="VNG188" s="117"/>
      <c r="VNH188" s="117"/>
      <c r="VNI188" s="117"/>
      <c r="VNJ188" s="117"/>
      <c r="VNK188" s="117"/>
      <c r="VNL188" s="117"/>
      <c r="VNM188" s="117"/>
      <c r="VNN188" s="117"/>
      <c r="VNO188" s="117"/>
      <c r="VNP188" s="117"/>
      <c r="VNQ188" s="117"/>
      <c r="VNR188" s="117"/>
      <c r="VNS188" s="117"/>
      <c r="VNT188" s="117"/>
      <c r="VNU188" s="117"/>
      <c r="VNV188" s="117"/>
      <c r="VNW188" s="117"/>
      <c r="VNX188" s="117"/>
      <c r="VNY188" s="117"/>
      <c r="VNZ188" s="117"/>
      <c r="VOA188" s="117"/>
      <c r="VOB188" s="117"/>
      <c r="VOC188" s="117"/>
      <c r="VOD188" s="117"/>
      <c r="VOE188" s="117"/>
      <c r="VOF188" s="117"/>
      <c r="VOG188" s="117"/>
      <c r="VOH188" s="117"/>
      <c r="VOI188" s="117"/>
      <c r="VOJ188" s="117"/>
      <c r="VOK188" s="117"/>
      <c r="VOL188" s="117"/>
      <c r="VOM188" s="117"/>
      <c r="VON188" s="117"/>
      <c r="VOO188" s="117"/>
      <c r="VOP188" s="117"/>
      <c r="VOQ188" s="117"/>
      <c r="VOR188" s="117"/>
      <c r="VOS188" s="117"/>
      <c r="VOT188" s="117"/>
      <c r="VOU188" s="117"/>
      <c r="VOV188" s="117"/>
      <c r="VOW188" s="117"/>
      <c r="VOX188" s="117"/>
      <c r="VOY188" s="117"/>
      <c r="VOZ188" s="117"/>
      <c r="VPA188" s="117"/>
      <c r="VPB188" s="117"/>
      <c r="VPC188" s="117"/>
      <c r="VPD188" s="117"/>
      <c r="VPE188" s="117"/>
      <c r="VPF188" s="117"/>
      <c r="VPG188" s="117"/>
      <c r="VPH188" s="117"/>
      <c r="VPI188" s="117"/>
      <c r="VPJ188" s="117"/>
      <c r="VPK188" s="117"/>
      <c r="VPL188" s="117"/>
      <c r="VPM188" s="117"/>
      <c r="VPN188" s="117"/>
      <c r="VPO188" s="117"/>
      <c r="VPP188" s="117"/>
      <c r="VPQ188" s="117"/>
      <c r="VPR188" s="117"/>
      <c r="VPS188" s="117"/>
      <c r="VPT188" s="117"/>
      <c r="VPU188" s="117"/>
      <c r="VPV188" s="117"/>
      <c r="VPW188" s="117"/>
      <c r="VPX188" s="117"/>
      <c r="VPY188" s="117"/>
      <c r="VPZ188" s="117"/>
      <c r="VQA188" s="117"/>
      <c r="VQB188" s="117"/>
      <c r="VQC188" s="117"/>
      <c r="VQD188" s="117"/>
      <c r="VQE188" s="117"/>
      <c r="VQF188" s="117"/>
      <c r="VQG188" s="117"/>
      <c r="VQH188" s="117"/>
      <c r="VQI188" s="117"/>
      <c r="VQJ188" s="117"/>
      <c r="VQK188" s="117"/>
      <c r="VQL188" s="117"/>
      <c r="VQM188" s="117"/>
      <c r="VQN188" s="117"/>
      <c r="VQO188" s="117"/>
      <c r="VQP188" s="117"/>
      <c r="VQQ188" s="117"/>
      <c r="VQR188" s="117"/>
      <c r="VQS188" s="117"/>
      <c r="VQT188" s="117"/>
      <c r="VQU188" s="117"/>
      <c r="VQV188" s="117"/>
      <c r="VQW188" s="117"/>
      <c r="VQX188" s="117"/>
      <c r="VQY188" s="117"/>
      <c r="VQZ188" s="117"/>
      <c r="VRA188" s="117"/>
      <c r="VRB188" s="117"/>
      <c r="VRC188" s="117"/>
      <c r="VRD188" s="117"/>
      <c r="VRE188" s="117"/>
      <c r="VRF188" s="117"/>
      <c r="VRG188" s="117"/>
      <c r="VRH188" s="117"/>
      <c r="VRI188" s="117"/>
      <c r="VRJ188" s="117"/>
      <c r="VRK188" s="117"/>
      <c r="VRL188" s="117"/>
      <c r="VRM188" s="117"/>
      <c r="VRN188" s="117"/>
      <c r="VRO188" s="117"/>
      <c r="VRP188" s="117"/>
      <c r="VRQ188" s="117"/>
      <c r="VRR188" s="117"/>
      <c r="VRS188" s="117"/>
      <c r="VRT188" s="117"/>
      <c r="VRU188" s="117"/>
      <c r="VRV188" s="117"/>
      <c r="VRW188" s="117"/>
      <c r="VRX188" s="117"/>
      <c r="VRY188" s="117"/>
      <c r="VRZ188" s="117"/>
      <c r="VSA188" s="117"/>
      <c r="VSB188" s="117"/>
      <c r="VSC188" s="117"/>
      <c r="VSD188" s="117"/>
      <c r="VSE188" s="117"/>
      <c r="VSF188" s="117"/>
      <c r="VSG188" s="117"/>
      <c r="VSH188" s="117"/>
      <c r="VSI188" s="117"/>
      <c r="VSJ188" s="117"/>
      <c r="VSK188" s="117"/>
      <c r="VSL188" s="117"/>
      <c r="VSM188" s="117"/>
      <c r="VSN188" s="117"/>
      <c r="VSO188" s="117"/>
      <c r="VSP188" s="117"/>
      <c r="VSQ188" s="117"/>
      <c r="VSR188" s="117"/>
      <c r="VSS188" s="117"/>
      <c r="VST188" s="117"/>
      <c r="VSU188" s="117"/>
      <c r="VSV188" s="117"/>
      <c r="VSW188" s="117"/>
      <c r="VSX188" s="117"/>
      <c r="VSY188" s="117"/>
      <c r="VSZ188" s="117"/>
      <c r="VTA188" s="117"/>
      <c r="VTB188" s="117"/>
      <c r="VTC188" s="117"/>
      <c r="VTD188" s="117"/>
      <c r="VTE188" s="117"/>
      <c r="VTF188" s="117"/>
      <c r="VTG188" s="117"/>
      <c r="VTH188" s="117"/>
      <c r="VTI188" s="117"/>
      <c r="VTJ188" s="117"/>
      <c r="VTK188" s="117"/>
      <c r="VTL188" s="117"/>
      <c r="VTM188" s="117"/>
      <c r="VTN188" s="117"/>
      <c r="VTO188" s="117"/>
      <c r="VTP188" s="117"/>
      <c r="VTQ188" s="117"/>
      <c r="VTR188" s="117"/>
      <c r="VTS188" s="117"/>
      <c r="VTT188" s="117"/>
      <c r="VTU188" s="117"/>
      <c r="VTV188" s="117"/>
      <c r="VTW188" s="117"/>
      <c r="VTX188" s="117"/>
      <c r="VTY188" s="117"/>
      <c r="VTZ188" s="117"/>
      <c r="VUA188" s="117"/>
      <c r="VUB188" s="117"/>
      <c r="VUC188" s="117"/>
      <c r="VUD188" s="117"/>
      <c r="VUE188" s="117"/>
      <c r="VUF188" s="117"/>
      <c r="VUG188" s="117"/>
      <c r="VUH188" s="117"/>
      <c r="VUI188" s="117"/>
      <c r="VUJ188" s="117"/>
      <c r="VUK188" s="117"/>
      <c r="VUL188" s="117"/>
      <c r="VUM188" s="117"/>
      <c r="VUN188" s="117"/>
      <c r="VUO188" s="117"/>
      <c r="VUP188" s="117"/>
      <c r="VUQ188" s="117"/>
      <c r="VUR188" s="117"/>
      <c r="VUS188" s="117"/>
      <c r="VUT188" s="117"/>
      <c r="VUU188" s="117"/>
      <c r="VUV188" s="117"/>
      <c r="VUW188" s="117"/>
      <c r="VUX188" s="117"/>
      <c r="VUY188" s="117"/>
      <c r="VUZ188" s="117"/>
      <c r="VVA188" s="117"/>
      <c r="VVB188" s="117"/>
      <c r="VVC188" s="117"/>
      <c r="VVD188" s="117"/>
      <c r="VVE188" s="117"/>
      <c r="VVF188" s="117"/>
      <c r="VVG188" s="117"/>
      <c r="VVH188" s="117"/>
      <c r="VVI188" s="117"/>
      <c r="VVJ188" s="117"/>
      <c r="VVK188" s="117"/>
      <c r="VVL188" s="117"/>
      <c r="VVM188" s="117"/>
      <c r="VVN188" s="117"/>
      <c r="VVO188" s="117"/>
      <c r="VVP188" s="117"/>
      <c r="VVQ188" s="117"/>
      <c r="VVR188" s="117"/>
      <c r="VVS188" s="117"/>
      <c r="VVT188" s="117"/>
      <c r="VVU188" s="117"/>
      <c r="VVV188" s="117"/>
      <c r="VVW188" s="117"/>
      <c r="VVX188" s="117"/>
      <c r="VVY188" s="117"/>
      <c r="VVZ188" s="117"/>
      <c r="VWA188" s="117"/>
      <c r="VWB188" s="117"/>
      <c r="VWC188" s="117"/>
      <c r="VWD188" s="117"/>
      <c r="VWE188" s="117"/>
      <c r="VWF188" s="117"/>
      <c r="VWG188" s="117"/>
      <c r="VWH188" s="117"/>
      <c r="VWI188" s="117"/>
      <c r="VWJ188" s="117"/>
      <c r="VWK188" s="117"/>
      <c r="VWL188" s="117"/>
      <c r="VWM188" s="117"/>
      <c r="VWN188" s="117"/>
      <c r="VWO188" s="117"/>
      <c r="VWP188" s="117"/>
      <c r="VWQ188" s="117"/>
      <c r="VWR188" s="117"/>
      <c r="VWS188" s="117"/>
      <c r="VWT188" s="117"/>
      <c r="VWU188" s="117"/>
      <c r="VWV188" s="117"/>
      <c r="VWW188" s="117"/>
      <c r="VWX188" s="117"/>
      <c r="VWY188" s="117"/>
      <c r="VWZ188" s="117"/>
      <c r="VXA188" s="117"/>
      <c r="VXB188" s="117"/>
      <c r="VXC188" s="117"/>
      <c r="VXD188" s="117"/>
      <c r="VXE188" s="117"/>
      <c r="VXF188" s="117"/>
      <c r="VXG188" s="117"/>
      <c r="VXH188" s="117"/>
      <c r="VXI188" s="117"/>
      <c r="VXJ188" s="117"/>
      <c r="VXK188" s="117"/>
      <c r="VXL188" s="117"/>
      <c r="VXM188" s="117"/>
      <c r="VXN188" s="117"/>
      <c r="VXO188" s="117"/>
      <c r="VXP188" s="117"/>
      <c r="VXQ188" s="117"/>
      <c r="VXR188" s="117"/>
      <c r="VXS188" s="117"/>
      <c r="VXT188" s="117"/>
      <c r="VXU188" s="117"/>
      <c r="VXV188" s="117"/>
      <c r="VXW188" s="117"/>
      <c r="VXX188" s="117"/>
      <c r="VXY188" s="117"/>
      <c r="VXZ188" s="117"/>
      <c r="VYA188" s="117"/>
      <c r="VYB188" s="117"/>
      <c r="VYC188" s="117"/>
      <c r="VYD188" s="117"/>
      <c r="VYE188" s="117"/>
      <c r="VYF188" s="117"/>
      <c r="VYG188" s="117"/>
      <c r="VYH188" s="117"/>
      <c r="VYI188" s="117"/>
      <c r="VYJ188" s="117"/>
      <c r="VYK188" s="117"/>
      <c r="VYL188" s="117"/>
      <c r="VYM188" s="117"/>
      <c r="VYN188" s="117"/>
      <c r="VYO188" s="117"/>
      <c r="VYP188" s="117"/>
      <c r="VYQ188" s="117"/>
      <c r="VYR188" s="117"/>
      <c r="VYS188" s="117"/>
      <c r="VYT188" s="117"/>
      <c r="VYU188" s="117"/>
      <c r="VYV188" s="117"/>
      <c r="VYW188" s="117"/>
      <c r="VYX188" s="117"/>
      <c r="VYY188" s="117"/>
      <c r="VYZ188" s="117"/>
      <c r="VZA188" s="117"/>
      <c r="VZB188" s="117"/>
      <c r="VZC188" s="117"/>
      <c r="VZD188" s="117"/>
      <c r="VZE188" s="117"/>
      <c r="VZF188" s="117"/>
      <c r="VZG188" s="117"/>
      <c r="VZH188" s="117"/>
      <c r="VZI188" s="117"/>
      <c r="VZJ188" s="117"/>
      <c r="VZK188" s="117"/>
      <c r="VZL188" s="117"/>
      <c r="VZM188" s="117"/>
      <c r="VZN188" s="117"/>
      <c r="VZO188" s="117"/>
      <c r="VZP188" s="117"/>
      <c r="VZQ188" s="117"/>
      <c r="VZR188" s="117"/>
      <c r="VZS188" s="117"/>
      <c r="VZT188" s="117"/>
      <c r="VZU188" s="117"/>
      <c r="VZV188" s="117"/>
      <c r="VZW188" s="117"/>
      <c r="VZX188" s="117"/>
      <c r="VZY188" s="117"/>
      <c r="VZZ188" s="117"/>
      <c r="WAA188" s="117"/>
      <c r="WAB188" s="117"/>
      <c r="WAC188" s="117"/>
      <c r="WAD188" s="117"/>
      <c r="WAE188" s="117"/>
      <c r="WAF188" s="117"/>
      <c r="WAG188" s="117"/>
      <c r="WAH188" s="117"/>
      <c r="WAI188" s="117"/>
      <c r="WAJ188" s="117"/>
      <c r="WAK188" s="117"/>
      <c r="WAL188" s="117"/>
      <c r="WAM188" s="117"/>
      <c r="WAN188" s="117"/>
      <c r="WAO188" s="117"/>
      <c r="WAP188" s="117"/>
      <c r="WAQ188" s="117"/>
      <c r="WAR188" s="117"/>
      <c r="WAS188" s="117"/>
      <c r="WAT188" s="117"/>
      <c r="WAU188" s="117"/>
      <c r="WAV188" s="117"/>
      <c r="WAW188" s="117"/>
      <c r="WAX188" s="117"/>
      <c r="WAY188" s="117"/>
      <c r="WAZ188" s="117"/>
      <c r="WBA188" s="117"/>
      <c r="WBB188" s="117"/>
      <c r="WBC188" s="117"/>
      <c r="WBD188" s="117"/>
      <c r="WBE188" s="117"/>
      <c r="WBF188" s="117"/>
      <c r="WBG188" s="117"/>
      <c r="WBH188" s="117"/>
      <c r="WBI188" s="117"/>
      <c r="WBJ188" s="117"/>
      <c r="WBK188" s="117"/>
      <c r="WBL188" s="117"/>
      <c r="WBM188" s="117"/>
      <c r="WBN188" s="117"/>
      <c r="WBO188" s="117"/>
      <c r="WBP188" s="117"/>
      <c r="WBQ188" s="117"/>
      <c r="WBR188" s="117"/>
      <c r="WBS188" s="117"/>
      <c r="WBT188" s="117"/>
      <c r="WBU188" s="117"/>
      <c r="WBV188" s="117"/>
      <c r="WBW188" s="117"/>
      <c r="WBX188" s="117"/>
      <c r="WBY188" s="117"/>
      <c r="WBZ188" s="117"/>
      <c r="WCA188" s="117"/>
      <c r="WCB188" s="117"/>
      <c r="WCC188" s="117"/>
      <c r="WCD188" s="117"/>
      <c r="WCE188" s="117"/>
      <c r="WCF188" s="117"/>
      <c r="WCG188" s="117"/>
      <c r="WCH188" s="117"/>
      <c r="WCI188" s="117"/>
      <c r="WCJ188" s="117"/>
      <c r="WCK188" s="117"/>
      <c r="WCL188" s="117"/>
      <c r="WCM188" s="117"/>
      <c r="WCN188" s="117"/>
      <c r="WCO188" s="117"/>
      <c r="WCP188" s="117"/>
      <c r="WCQ188" s="117"/>
      <c r="WCR188" s="117"/>
      <c r="WCS188" s="117"/>
      <c r="WCT188" s="117"/>
      <c r="WCU188" s="117"/>
      <c r="WCV188" s="117"/>
      <c r="WCW188" s="117"/>
      <c r="WCX188" s="117"/>
      <c r="WCY188" s="117"/>
      <c r="WCZ188" s="117"/>
      <c r="WDA188" s="117"/>
      <c r="WDB188" s="117"/>
      <c r="WDC188" s="117"/>
      <c r="WDD188" s="117"/>
      <c r="WDE188" s="117"/>
      <c r="WDF188" s="117"/>
      <c r="WDG188" s="117"/>
      <c r="WDH188" s="117"/>
      <c r="WDI188" s="117"/>
      <c r="WDJ188" s="117"/>
      <c r="WDK188" s="117"/>
      <c r="WDL188" s="117"/>
      <c r="WDM188" s="117"/>
      <c r="WDN188" s="117"/>
      <c r="WDO188" s="117"/>
      <c r="WDP188" s="117"/>
      <c r="WDQ188" s="117"/>
      <c r="WDR188" s="117"/>
      <c r="WDS188" s="117"/>
      <c r="WDT188" s="117"/>
      <c r="WDU188" s="117"/>
      <c r="WDV188" s="117"/>
      <c r="WDW188" s="117"/>
      <c r="WDX188" s="117"/>
      <c r="WDY188" s="117"/>
      <c r="WDZ188" s="117"/>
      <c r="WEA188" s="117"/>
      <c r="WEB188" s="117"/>
      <c r="WEC188" s="117"/>
      <c r="WED188" s="117"/>
      <c r="WEE188" s="117"/>
      <c r="WEF188" s="117"/>
      <c r="WEG188" s="117"/>
      <c r="WEH188" s="117"/>
      <c r="WEI188" s="117"/>
      <c r="WEJ188" s="117"/>
      <c r="WEK188" s="117"/>
      <c r="WEL188" s="117"/>
      <c r="WEM188" s="117"/>
      <c r="WEN188" s="117"/>
      <c r="WEO188" s="117"/>
      <c r="WEP188" s="117"/>
      <c r="WEQ188" s="117"/>
      <c r="WER188" s="117"/>
      <c r="WES188" s="117"/>
      <c r="WET188" s="117"/>
      <c r="WEU188" s="117"/>
      <c r="WEV188" s="117"/>
      <c r="WEW188" s="117"/>
      <c r="WEX188" s="117"/>
      <c r="WEY188" s="117"/>
      <c r="WEZ188" s="117"/>
      <c r="WFA188" s="117"/>
      <c r="WFB188" s="117"/>
      <c r="WFC188" s="117"/>
      <c r="WFD188" s="117"/>
      <c r="WFE188" s="117"/>
      <c r="WFF188" s="117"/>
      <c r="WFG188" s="117"/>
      <c r="WFH188" s="117"/>
      <c r="WFI188" s="117"/>
      <c r="WFJ188" s="117"/>
      <c r="WFK188" s="117"/>
      <c r="WFL188" s="117"/>
      <c r="WFM188" s="117"/>
      <c r="WFN188" s="117"/>
      <c r="WFO188" s="117"/>
      <c r="WFP188" s="117"/>
      <c r="WFQ188" s="117"/>
      <c r="WFR188" s="117"/>
      <c r="WFS188" s="117"/>
      <c r="WFT188" s="117"/>
      <c r="WFU188" s="117"/>
      <c r="WFV188" s="117"/>
      <c r="WFW188" s="117"/>
      <c r="WFX188" s="117"/>
      <c r="WFY188" s="117"/>
      <c r="WFZ188" s="117"/>
      <c r="WGA188" s="117"/>
      <c r="WGB188" s="117"/>
      <c r="WGC188" s="117"/>
      <c r="WGD188" s="117"/>
      <c r="WGE188" s="117"/>
      <c r="WGF188" s="117"/>
      <c r="WGG188" s="117"/>
      <c r="WGH188" s="117"/>
      <c r="WGI188" s="117"/>
      <c r="WGJ188" s="117"/>
      <c r="WGK188" s="117"/>
      <c r="WGL188" s="117"/>
      <c r="WGM188" s="117"/>
      <c r="WGN188" s="117"/>
      <c r="WGO188" s="117"/>
      <c r="WGP188" s="117"/>
      <c r="WGQ188" s="117"/>
      <c r="WGR188" s="117"/>
      <c r="WGS188" s="117"/>
      <c r="WGT188" s="117"/>
      <c r="WGU188" s="117"/>
      <c r="WGV188" s="117"/>
      <c r="WGW188" s="117"/>
      <c r="WGX188" s="117"/>
      <c r="WGY188" s="117"/>
      <c r="WGZ188" s="117"/>
      <c r="WHA188" s="117"/>
      <c r="WHB188" s="117"/>
      <c r="WHC188" s="117"/>
      <c r="WHD188" s="117"/>
      <c r="WHE188" s="117"/>
      <c r="WHF188" s="117"/>
      <c r="WHG188" s="117"/>
      <c r="WHH188" s="117"/>
      <c r="WHI188" s="117"/>
      <c r="WHJ188" s="117"/>
      <c r="WHK188" s="117"/>
      <c r="WHL188" s="117"/>
      <c r="WHM188" s="117"/>
      <c r="WHN188" s="117"/>
      <c r="WHO188" s="117"/>
      <c r="WHP188" s="117"/>
      <c r="WHQ188" s="117"/>
      <c r="WHR188" s="117"/>
      <c r="WHS188" s="117"/>
      <c r="WHT188" s="117"/>
      <c r="WHU188" s="117"/>
      <c r="WHV188" s="117"/>
      <c r="WHW188" s="117"/>
      <c r="WHX188" s="117"/>
      <c r="WHY188" s="117"/>
      <c r="WHZ188" s="117"/>
      <c r="WIA188" s="117"/>
      <c r="WIB188" s="117"/>
      <c r="WIC188" s="117"/>
      <c r="WID188" s="117"/>
      <c r="WIE188" s="117"/>
      <c r="WIF188" s="117"/>
      <c r="WIG188" s="117"/>
      <c r="WIH188" s="117"/>
      <c r="WII188" s="117"/>
      <c r="WIJ188" s="117"/>
      <c r="WIK188" s="117"/>
      <c r="WIL188" s="117"/>
      <c r="WIM188" s="117"/>
      <c r="WIN188" s="117"/>
      <c r="WIO188" s="117"/>
      <c r="WIP188" s="117"/>
      <c r="WIQ188" s="117"/>
      <c r="WIR188" s="117"/>
      <c r="WIS188" s="117"/>
      <c r="WIT188" s="117"/>
      <c r="WIU188" s="117"/>
      <c r="WIV188" s="117"/>
      <c r="WIW188" s="117"/>
      <c r="WIX188" s="117"/>
      <c r="WIY188" s="117"/>
      <c r="WIZ188" s="117"/>
      <c r="WJA188" s="117"/>
      <c r="WJB188" s="117"/>
      <c r="WJC188" s="117"/>
      <c r="WJD188" s="117"/>
      <c r="WJE188" s="117"/>
      <c r="WJF188" s="117"/>
      <c r="WJG188" s="117"/>
      <c r="WJH188" s="117"/>
      <c r="WJI188" s="117"/>
      <c r="WJJ188" s="117"/>
      <c r="WJK188" s="117"/>
      <c r="WJL188" s="117"/>
      <c r="WJM188" s="117"/>
      <c r="WJN188" s="117"/>
      <c r="WJO188" s="117"/>
      <c r="WJP188" s="117"/>
      <c r="WJQ188" s="117"/>
      <c r="WJR188" s="117"/>
      <c r="WJS188" s="117"/>
      <c r="WJT188" s="117"/>
      <c r="WJU188" s="117"/>
      <c r="WJV188" s="117"/>
      <c r="WJW188" s="117"/>
      <c r="WJX188" s="117"/>
      <c r="WJY188" s="117"/>
      <c r="WJZ188" s="117"/>
      <c r="WKA188" s="117"/>
      <c r="WKB188" s="117"/>
      <c r="WKC188" s="117"/>
      <c r="WKD188" s="117"/>
      <c r="WKE188" s="117"/>
      <c r="WKF188" s="117"/>
      <c r="WKG188" s="117"/>
      <c r="WKH188" s="117"/>
      <c r="WKI188" s="117"/>
      <c r="WKJ188" s="117"/>
      <c r="WKK188" s="117"/>
      <c r="WKL188" s="117"/>
      <c r="WKM188" s="117"/>
      <c r="WKN188" s="117"/>
      <c r="WKO188" s="117"/>
      <c r="WKP188" s="117"/>
      <c r="WKQ188" s="117"/>
      <c r="WKR188" s="117"/>
      <c r="WKS188" s="117"/>
      <c r="WKT188" s="117"/>
      <c r="WKU188" s="117"/>
      <c r="WKV188" s="117"/>
      <c r="WKW188" s="117"/>
      <c r="WKX188" s="117"/>
      <c r="WKY188" s="117"/>
      <c r="WKZ188" s="117"/>
      <c r="WLA188" s="117"/>
      <c r="WLB188" s="117"/>
      <c r="WLC188" s="117"/>
      <c r="WLD188" s="117"/>
      <c r="WLE188" s="117"/>
      <c r="WLF188" s="117"/>
      <c r="WLG188" s="117"/>
      <c r="WLH188" s="117"/>
      <c r="WLI188" s="117"/>
      <c r="WLJ188" s="117"/>
      <c r="WLK188" s="117"/>
      <c r="WLL188" s="117"/>
      <c r="WLM188" s="117"/>
      <c r="WLN188" s="117"/>
      <c r="WLO188" s="117"/>
      <c r="WLP188" s="117"/>
      <c r="WLQ188" s="117"/>
      <c r="WLR188" s="117"/>
      <c r="WLS188" s="117"/>
      <c r="WLT188" s="117"/>
      <c r="WLU188" s="117"/>
      <c r="WLV188" s="117"/>
      <c r="WLW188" s="117"/>
      <c r="WLX188" s="117"/>
      <c r="WLY188" s="117"/>
      <c r="WLZ188" s="117"/>
      <c r="WMA188" s="117"/>
      <c r="WMB188" s="117"/>
      <c r="WMC188" s="117"/>
      <c r="WMD188" s="117"/>
      <c r="WME188" s="117"/>
      <c r="WMF188" s="117"/>
      <c r="WMG188" s="117"/>
      <c r="WMH188" s="117"/>
      <c r="WMI188" s="117"/>
      <c r="WMJ188" s="117"/>
      <c r="WMK188" s="117"/>
      <c r="WML188" s="117"/>
      <c r="WMM188" s="117"/>
      <c r="WMN188" s="117"/>
      <c r="WMO188" s="117"/>
      <c r="WMP188" s="117"/>
      <c r="WMQ188" s="117"/>
      <c r="WMR188" s="117"/>
      <c r="WMS188" s="117"/>
      <c r="WMT188" s="117"/>
      <c r="WMU188" s="117"/>
      <c r="WMV188" s="117"/>
      <c r="WMW188" s="117"/>
      <c r="WMX188" s="117"/>
      <c r="WMY188" s="117"/>
      <c r="WMZ188" s="117"/>
      <c r="WNA188" s="117"/>
      <c r="WNB188" s="117"/>
      <c r="WNC188" s="117"/>
      <c r="WND188" s="117"/>
      <c r="WNE188" s="117"/>
      <c r="WNF188" s="117"/>
      <c r="WNG188" s="117"/>
      <c r="WNH188" s="117"/>
      <c r="WNI188" s="117"/>
      <c r="WNJ188" s="117"/>
      <c r="WNK188" s="117"/>
      <c r="WNL188" s="117"/>
      <c r="WNM188" s="117"/>
      <c r="WNN188" s="117"/>
      <c r="WNO188" s="117"/>
      <c r="WNP188" s="117"/>
      <c r="WNQ188" s="117"/>
      <c r="WNR188" s="117"/>
      <c r="WNS188" s="117"/>
      <c r="WNT188" s="117"/>
      <c r="WNU188" s="117"/>
      <c r="WNV188" s="117"/>
      <c r="WNW188" s="117"/>
      <c r="WNX188" s="117"/>
      <c r="WNY188" s="117"/>
      <c r="WNZ188" s="117"/>
      <c r="WOA188" s="117"/>
      <c r="WOB188" s="117"/>
      <c r="WOC188" s="117"/>
      <c r="WOD188" s="117"/>
      <c r="WOE188" s="117"/>
      <c r="WOF188" s="117"/>
      <c r="WOG188" s="117"/>
      <c r="WOH188" s="117"/>
      <c r="WOI188" s="117"/>
      <c r="WOJ188" s="117"/>
      <c r="WOK188" s="117"/>
      <c r="WOL188" s="117"/>
      <c r="WOM188" s="117"/>
      <c r="WON188" s="117"/>
      <c r="WOO188" s="117"/>
      <c r="WOP188" s="117"/>
      <c r="WOQ188" s="117"/>
      <c r="WOR188" s="117"/>
      <c r="WOS188" s="117"/>
      <c r="WOT188" s="117"/>
      <c r="WOU188" s="117"/>
      <c r="WOV188" s="117"/>
      <c r="WOW188" s="117"/>
      <c r="WOX188" s="117"/>
      <c r="WOY188" s="117"/>
      <c r="WOZ188" s="117"/>
      <c r="WPA188" s="117"/>
      <c r="WPB188" s="117"/>
      <c r="WPC188" s="117"/>
      <c r="WPD188" s="117"/>
      <c r="WPE188" s="117"/>
      <c r="WPF188" s="117"/>
      <c r="WPG188" s="117"/>
      <c r="WPH188" s="117"/>
      <c r="WPI188" s="117"/>
      <c r="WPJ188" s="117"/>
      <c r="WPK188" s="117"/>
      <c r="WPL188" s="117"/>
      <c r="WPM188" s="117"/>
      <c r="WPN188" s="117"/>
      <c r="WPO188" s="117"/>
      <c r="WPP188" s="117"/>
      <c r="WPQ188" s="117"/>
      <c r="WPR188" s="117"/>
      <c r="WPS188" s="117"/>
      <c r="WPT188" s="117"/>
      <c r="WPU188" s="117"/>
      <c r="WPV188" s="117"/>
      <c r="WPW188" s="117"/>
      <c r="WPX188" s="117"/>
      <c r="WPY188" s="117"/>
      <c r="WPZ188" s="117"/>
      <c r="WQA188" s="117"/>
      <c r="WQB188" s="117"/>
      <c r="WQC188" s="117"/>
      <c r="WQD188" s="117"/>
      <c r="WQE188" s="117"/>
      <c r="WQF188" s="117"/>
      <c r="WQG188" s="117"/>
      <c r="WQH188" s="117"/>
      <c r="WQI188" s="117"/>
      <c r="WQJ188" s="117"/>
      <c r="WQK188" s="117"/>
      <c r="WQL188" s="117"/>
      <c r="WQM188" s="117"/>
      <c r="WQN188" s="117"/>
      <c r="WQO188" s="117"/>
      <c r="WQP188" s="117"/>
      <c r="WQQ188" s="117"/>
      <c r="WQR188" s="117"/>
      <c r="WQS188" s="117"/>
      <c r="WQT188" s="117"/>
      <c r="WQU188" s="117"/>
      <c r="WQV188" s="117"/>
      <c r="WQW188" s="117"/>
      <c r="WQX188" s="117"/>
      <c r="WQY188" s="117"/>
      <c r="WQZ188" s="117"/>
      <c r="WRA188" s="117"/>
      <c r="WRB188" s="117"/>
      <c r="WRC188" s="117"/>
      <c r="WRD188" s="117"/>
      <c r="WRE188" s="117"/>
      <c r="WRF188" s="117"/>
      <c r="WRG188" s="117"/>
      <c r="WRH188" s="117"/>
      <c r="WRI188" s="117"/>
      <c r="WRJ188" s="117"/>
      <c r="WRK188" s="117"/>
      <c r="WRL188" s="117"/>
      <c r="WRM188" s="117"/>
      <c r="WRN188" s="117"/>
      <c r="WRO188" s="117"/>
      <c r="WRP188" s="117"/>
      <c r="WRQ188" s="117"/>
      <c r="WRR188" s="117"/>
      <c r="WRS188" s="117"/>
      <c r="WRT188" s="117"/>
      <c r="WRU188" s="117"/>
      <c r="WRV188" s="117"/>
      <c r="WRW188" s="117"/>
      <c r="WRX188" s="117"/>
      <c r="WRY188" s="117"/>
      <c r="WRZ188" s="117"/>
      <c r="WSA188" s="117"/>
      <c r="WSB188" s="117"/>
      <c r="WSC188" s="117"/>
      <c r="WSD188" s="117"/>
      <c r="WSE188" s="117"/>
      <c r="WSF188" s="117"/>
      <c r="WSG188" s="117"/>
      <c r="WSH188" s="117"/>
      <c r="WSI188" s="117"/>
      <c r="WSJ188" s="117"/>
      <c r="WSK188" s="117"/>
      <c r="WSL188" s="117"/>
      <c r="WSM188" s="117"/>
      <c r="WSN188" s="117"/>
      <c r="WSO188" s="117"/>
      <c r="WSP188" s="117"/>
      <c r="WSQ188" s="117"/>
      <c r="WSR188" s="117"/>
      <c r="WSS188" s="117"/>
      <c r="WST188" s="117"/>
      <c r="WSU188" s="117"/>
      <c r="WSV188" s="117"/>
      <c r="WSW188" s="117"/>
      <c r="WSX188" s="117"/>
      <c r="WSY188" s="117"/>
      <c r="WSZ188" s="117"/>
      <c r="WTA188" s="117"/>
      <c r="WTB188" s="117"/>
      <c r="WTC188" s="117"/>
      <c r="WTD188" s="117"/>
      <c r="WTE188" s="117"/>
      <c r="WTF188" s="117"/>
      <c r="WTG188" s="117"/>
      <c r="WTH188" s="117"/>
      <c r="WTI188" s="117"/>
      <c r="WTJ188" s="117"/>
      <c r="WTK188" s="117"/>
      <c r="WTL188" s="117"/>
      <c r="WTM188" s="117"/>
      <c r="WTN188" s="117"/>
      <c r="WTO188" s="117"/>
      <c r="WTP188" s="117"/>
      <c r="WTQ188" s="117"/>
      <c r="WTR188" s="117"/>
      <c r="WTS188" s="117"/>
      <c r="WTT188" s="117"/>
      <c r="WTU188" s="117"/>
      <c r="WTV188" s="117"/>
      <c r="WTW188" s="117"/>
      <c r="WTX188" s="117"/>
      <c r="WTY188" s="117"/>
      <c r="WTZ188" s="117"/>
      <c r="WUA188" s="117"/>
      <c r="WUB188" s="117"/>
      <c r="WUC188" s="117"/>
      <c r="WUD188" s="117"/>
      <c r="WUE188" s="117"/>
      <c r="WUF188" s="117"/>
      <c r="WUG188" s="117"/>
      <c r="WUH188" s="117"/>
      <c r="WUI188" s="117"/>
      <c r="WUJ188" s="117"/>
      <c r="WUK188" s="117"/>
      <c r="WUL188" s="117"/>
      <c r="WUM188" s="117"/>
      <c r="WUN188" s="117"/>
      <c r="WUO188" s="117"/>
      <c r="WUP188" s="117"/>
      <c r="WUQ188" s="117"/>
      <c r="WUR188" s="117"/>
      <c r="WUS188" s="117"/>
      <c r="WUT188" s="117"/>
      <c r="WUU188" s="117"/>
      <c r="WUV188" s="117"/>
      <c r="WUW188" s="117"/>
      <c r="WUX188" s="117"/>
      <c r="WUY188" s="117"/>
      <c r="WUZ188" s="117"/>
      <c r="WVA188" s="117"/>
      <c r="WVB188" s="117"/>
      <c r="WVC188" s="117"/>
      <c r="WVD188" s="117"/>
      <c r="WVE188" s="117"/>
      <c r="WVF188" s="117"/>
      <c r="WVG188" s="117"/>
      <c r="WVH188" s="117"/>
      <c r="WVI188" s="117"/>
      <c r="WVJ188" s="117"/>
      <c r="WVK188" s="117"/>
      <c r="WVL188" s="117"/>
      <c r="WVM188" s="117"/>
      <c r="WVN188" s="117"/>
      <c r="WVO188" s="117"/>
      <c r="WVP188" s="117"/>
      <c r="WVQ188" s="117"/>
      <c r="WVR188" s="117"/>
      <c r="WVS188" s="117"/>
      <c r="WVT188" s="117"/>
      <c r="WVU188" s="117"/>
      <c r="WVV188" s="117"/>
      <c r="WVW188" s="117"/>
      <c r="WVX188" s="117"/>
      <c r="WVY188" s="117"/>
      <c r="WVZ188" s="117"/>
      <c r="WWA188" s="117"/>
      <c r="WWB188" s="117"/>
      <c r="WWC188" s="117"/>
      <c r="WWD188" s="117"/>
      <c r="WWE188" s="117"/>
      <c r="WWF188" s="117"/>
      <c r="WWG188" s="117"/>
      <c r="WWH188" s="117"/>
      <c r="WWI188" s="117"/>
      <c r="WWJ188" s="117"/>
      <c r="WWK188" s="117"/>
      <c r="WWL188" s="117"/>
      <c r="WWM188" s="117"/>
      <c r="WWN188" s="117"/>
      <c r="WWO188" s="117"/>
      <c r="WWP188" s="117"/>
      <c r="WWQ188" s="117"/>
      <c r="WWR188" s="117"/>
      <c r="WWS188" s="117"/>
      <c r="WWT188" s="117"/>
      <c r="WWU188" s="117"/>
      <c r="WWV188" s="117"/>
      <c r="WWW188" s="117"/>
      <c r="WWX188" s="117"/>
      <c r="WWY188" s="117"/>
      <c r="WWZ188" s="117"/>
      <c r="WXA188" s="117"/>
      <c r="WXB188" s="117"/>
      <c r="WXC188" s="117"/>
      <c r="WXD188" s="117"/>
      <c r="WXE188" s="117"/>
      <c r="WXF188" s="117"/>
      <c r="WXG188" s="117"/>
      <c r="WXH188" s="117"/>
      <c r="WXI188" s="117"/>
      <c r="WXJ188" s="117"/>
      <c r="WXK188" s="117"/>
      <c r="WXL188" s="117"/>
      <c r="WXM188" s="117"/>
      <c r="WXN188" s="117"/>
      <c r="WXO188" s="117"/>
      <c r="WXP188" s="117"/>
      <c r="WXQ188" s="117"/>
      <c r="WXR188" s="117"/>
      <c r="WXS188" s="117"/>
      <c r="WXT188" s="117"/>
      <c r="WXU188" s="117"/>
      <c r="WXV188" s="117"/>
      <c r="WXW188" s="117"/>
      <c r="WXX188" s="117"/>
      <c r="WXY188" s="117"/>
      <c r="WXZ188" s="117"/>
      <c r="WYA188" s="117"/>
      <c r="WYB188" s="117"/>
      <c r="WYC188" s="117"/>
      <c r="WYD188" s="117"/>
      <c r="WYE188" s="117"/>
      <c r="WYF188" s="117"/>
      <c r="WYG188" s="117"/>
      <c r="WYH188" s="117"/>
      <c r="WYI188" s="117"/>
      <c r="WYJ188" s="117"/>
      <c r="WYK188" s="117"/>
      <c r="WYL188" s="117"/>
      <c r="WYM188" s="117"/>
      <c r="WYN188" s="117"/>
      <c r="WYO188" s="117"/>
      <c r="WYP188" s="117"/>
      <c r="WYQ188" s="117"/>
      <c r="WYR188" s="117"/>
      <c r="WYS188" s="117"/>
      <c r="WYT188" s="117"/>
      <c r="WYU188" s="117"/>
      <c r="WYV188" s="117"/>
      <c r="WYW188" s="117"/>
      <c r="WYX188" s="117"/>
      <c r="WYY188" s="117"/>
      <c r="WYZ188" s="117"/>
      <c r="WZA188" s="117"/>
      <c r="WZB188" s="117"/>
      <c r="WZC188" s="117"/>
      <c r="WZD188" s="117"/>
      <c r="WZE188" s="117"/>
      <c r="WZF188" s="117"/>
      <c r="WZG188" s="117"/>
      <c r="WZH188" s="117"/>
      <c r="WZI188" s="117"/>
      <c r="WZJ188" s="117"/>
      <c r="WZK188" s="117"/>
      <c r="WZL188" s="117"/>
      <c r="WZM188" s="117"/>
      <c r="WZN188" s="117"/>
      <c r="WZO188" s="117"/>
      <c r="WZP188" s="117"/>
      <c r="WZQ188" s="117"/>
      <c r="WZR188" s="117"/>
      <c r="WZS188" s="117"/>
      <c r="WZT188" s="117"/>
      <c r="WZU188" s="117"/>
      <c r="WZV188" s="117"/>
      <c r="WZW188" s="117"/>
      <c r="WZX188" s="117"/>
      <c r="WZY188" s="117"/>
      <c r="WZZ188" s="117"/>
      <c r="XAA188" s="117"/>
      <c r="XAB188" s="117"/>
      <c r="XAC188" s="117"/>
      <c r="XAD188" s="117"/>
      <c r="XAE188" s="117"/>
      <c r="XAF188" s="117"/>
      <c r="XAG188" s="117"/>
      <c r="XAH188" s="117"/>
      <c r="XAI188" s="117"/>
      <c r="XAJ188" s="117"/>
      <c r="XAK188" s="117"/>
      <c r="XAL188" s="117"/>
      <c r="XAM188" s="117"/>
      <c r="XAN188" s="117"/>
      <c r="XAO188" s="117"/>
      <c r="XAP188" s="117"/>
      <c r="XAQ188" s="117"/>
      <c r="XAR188" s="117"/>
      <c r="XAS188" s="117"/>
      <c r="XAT188" s="117"/>
      <c r="XAU188" s="117"/>
      <c r="XAV188" s="117"/>
      <c r="XAW188" s="117"/>
      <c r="XAX188" s="117"/>
      <c r="XAY188" s="117"/>
      <c r="XAZ188" s="117"/>
      <c r="XBA188" s="117"/>
      <c r="XBB188" s="117"/>
      <c r="XBC188" s="117"/>
      <c r="XBD188" s="117"/>
      <c r="XBE188" s="117"/>
      <c r="XBF188" s="117"/>
      <c r="XBG188" s="117"/>
      <c r="XBH188" s="117"/>
      <c r="XBI188" s="117"/>
      <c r="XBJ188" s="117"/>
      <c r="XBK188" s="117"/>
      <c r="XBL188" s="117"/>
      <c r="XBM188" s="117"/>
      <c r="XBN188" s="117"/>
      <c r="XBO188" s="117"/>
      <c r="XBP188" s="117"/>
      <c r="XBQ188" s="117"/>
      <c r="XBR188" s="117"/>
      <c r="XBS188" s="117"/>
      <c r="XBT188" s="117"/>
      <c r="XBU188" s="117"/>
      <c r="XBV188" s="117"/>
      <c r="XBW188" s="117"/>
      <c r="XBX188" s="117"/>
      <c r="XBY188" s="117"/>
      <c r="XBZ188" s="117"/>
      <c r="XCA188" s="117"/>
      <c r="XCB188" s="117"/>
      <c r="XCC188" s="117"/>
      <c r="XCD188" s="117"/>
      <c r="XCE188" s="117"/>
      <c r="XCF188" s="117"/>
      <c r="XCG188" s="117"/>
      <c r="XCH188" s="117"/>
      <c r="XCI188" s="117"/>
      <c r="XCJ188" s="117"/>
      <c r="XCK188" s="117"/>
      <c r="XCL188" s="117"/>
      <c r="XCM188" s="117"/>
      <c r="XCN188" s="117"/>
      <c r="XCO188" s="117"/>
      <c r="XCP188" s="117"/>
      <c r="XCQ188" s="117"/>
      <c r="XCR188" s="117"/>
      <c r="XCS188" s="117"/>
      <c r="XCT188" s="117"/>
      <c r="XCU188" s="117"/>
      <c r="XCV188" s="117"/>
      <c r="XCW188" s="117"/>
      <c r="XCX188" s="117"/>
      <c r="XCY188" s="117"/>
      <c r="XCZ188" s="117"/>
      <c r="XDA188" s="117"/>
      <c r="XDB188" s="117"/>
      <c r="XDC188" s="117"/>
      <c r="XDD188" s="117"/>
      <c r="XDE188" s="117"/>
      <c r="XDF188" s="117"/>
      <c r="XDG188" s="117"/>
      <c r="XDH188" s="117"/>
      <c r="XDI188" s="117"/>
      <c r="XDJ188" s="117"/>
      <c r="XDK188" s="117"/>
      <c r="XDL188" s="117"/>
      <c r="XDM188" s="117"/>
      <c r="XDN188" s="117"/>
      <c r="XDO188" s="117"/>
      <c r="XDP188" s="117"/>
      <c r="XDQ188" s="117"/>
      <c r="XDR188" s="117"/>
      <c r="XDS188" s="117"/>
      <c r="XDT188" s="117"/>
      <c r="XDU188" s="117"/>
      <c r="XDV188" s="117"/>
      <c r="XDW188" s="117"/>
      <c r="XDX188" s="117"/>
    </row>
    <row r="189" spans="1:16352" x14ac:dyDescent="0.3">
      <c r="A189" s="115" t="s">
        <v>62</v>
      </c>
      <c r="B189" s="115"/>
      <c r="C189" s="115"/>
      <c r="D189" s="72" t="s">
        <v>212</v>
      </c>
      <c r="E189" s="73">
        <f t="shared" ref="E189:AK189" si="0">COUNTIFS(E2:E186,"National")</f>
        <v>0</v>
      </c>
      <c r="F189" s="73">
        <f t="shared" si="0"/>
        <v>0</v>
      </c>
      <c r="G189" s="73">
        <f t="shared" si="0"/>
        <v>0</v>
      </c>
      <c r="H189" s="73">
        <f t="shared" si="0"/>
        <v>2</v>
      </c>
      <c r="I189" s="73">
        <f t="shared" si="0"/>
        <v>0</v>
      </c>
      <c r="J189" s="73">
        <f t="shared" si="0"/>
        <v>2</v>
      </c>
      <c r="K189" s="73">
        <f t="shared" si="0"/>
        <v>0</v>
      </c>
      <c r="L189" s="73">
        <f t="shared" si="0"/>
        <v>3</v>
      </c>
      <c r="M189" s="73">
        <f t="shared" si="0"/>
        <v>0</v>
      </c>
      <c r="N189" s="73">
        <f t="shared" si="0"/>
        <v>2</v>
      </c>
      <c r="O189" s="73">
        <f t="shared" si="0"/>
        <v>2</v>
      </c>
      <c r="P189" s="73">
        <f t="shared" si="0"/>
        <v>0</v>
      </c>
      <c r="Q189" s="73">
        <f t="shared" si="0"/>
        <v>2</v>
      </c>
      <c r="R189" s="73">
        <f t="shared" si="0"/>
        <v>0</v>
      </c>
      <c r="S189" s="73">
        <f t="shared" si="0"/>
        <v>2</v>
      </c>
      <c r="T189" s="73">
        <f t="shared" si="0"/>
        <v>2</v>
      </c>
      <c r="U189" s="73">
        <f t="shared" si="0"/>
        <v>0</v>
      </c>
      <c r="V189" s="73">
        <f t="shared" si="0"/>
        <v>2</v>
      </c>
      <c r="W189" s="73">
        <f t="shared" si="0"/>
        <v>2</v>
      </c>
      <c r="X189" s="73">
        <f t="shared" si="0"/>
        <v>2</v>
      </c>
      <c r="Y189" s="73">
        <f t="shared" si="0"/>
        <v>2</v>
      </c>
      <c r="Z189" s="73">
        <f t="shared" si="0"/>
        <v>0</v>
      </c>
      <c r="AA189" s="73">
        <f t="shared" si="0"/>
        <v>2</v>
      </c>
      <c r="AB189" s="73">
        <f t="shared" si="0"/>
        <v>0</v>
      </c>
      <c r="AC189" s="73">
        <f t="shared" si="0"/>
        <v>0</v>
      </c>
      <c r="AD189" s="73">
        <f t="shared" si="0"/>
        <v>2</v>
      </c>
      <c r="AE189" s="73">
        <f t="shared" si="0"/>
        <v>3</v>
      </c>
      <c r="AF189" s="73">
        <f t="shared" si="0"/>
        <v>2</v>
      </c>
      <c r="AG189" s="73">
        <f t="shared" si="0"/>
        <v>3</v>
      </c>
      <c r="AH189" s="73">
        <f t="shared" si="0"/>
        <v>0</v>
      </c>
      <c r="AI189" s="73">
        <f t="shared" si="0"/>
        <v>3</v>
      </c>
      <c r="AJ189" s="73">
        <f t="shared" si="0"/>
        <v>2</v>
      </c>
      <c r="AK189" s="73">
        <f t="shared" si="0"/>
        <v>0</v>
      </c>
    </row>
    <row r="190" spans="1:16352" s="25" customFormat="1" ht="14.5" customHeight="1" x14ac:dyDescent="0.3">
      <c r="A190" s="115"/>
      <c r="B190" s="115"/>
      <c r="C190" s="115"/>
      <c r="D190" s="72" t="s">
        <v>213</v>
      </c>
      <c r="E190" s="73">
        <f t="shared" ref="E190:AK190" si="1">COUNTIFS(E3:E189,"Regional")</f>
        <v>0</v>
      </c>
      <c r="F190" s="73">
        <f t="shared" si="1"/>
        <v>0</v>
      </c>
      <c r="G190" s="73">
        <f t="shared" si="1"/>
        <v>0</v>
      </c>
      <c r="H190" s="73">
        <f t="shared" si="1"/>
        <v>18</v>
      </c>
      <c r="I190" s="73">
        <f t="shared" si="1"/>
        <v>0</v>
      </c>
      <c r="J190" s="73">
        <f t="shared" si="1"/>
        <v>12</v>
      </c>
      <c r="K190" s="73">
        <f t="shared" si="1"/>
        <v>0</v>
      </c>
      <c r="L190" s="73">
        <f t="shared" si="1"/>
        <v>19</v>
      </c>
      <c r="M190" s="73">
        <f t="shared" si="1"/>
        <v>0</v>
      </c>
      <c r="N190" s="73">
        <f t="shared" si="1"/>
        <v>38</v>
      </c>
      <c r="O190" s="73">
        <f t="shared" si="1"/>
        <v>58</v>
      </c>
      <c r="P190" s="73">
        <f t="shared" si="1"/>
        <v>0</v>
      </c>
      <c r="Q190" s="73">
        <f t="shared" si="1"/>
        <v>30</v>
      </c>
      <c r="R190" s="73">
        <f t="shared" si="1"/>
        <v>0</v>
      </c>
      <c r="S190" s="73">
        <f t="shared" si="1"/>
        <v>16</v>
      </c>
      <c r="T190" s="73">
        <f t="shared" si="1"/>
        <v>19</v>
      </c>
      <c r="U190" s="73">
        <f t="shared" si="1"/>
        <v>0</v>
      </c>
      <c r="V190" s="73">
        <f t="shared" si="1"/>
        <v>24</v>
      </c>
      <c r="W190" s="73">
        <f t="shared" si="1"/>
        <v>19</v>
      </c>
      <c r="X190" s="73">
        <f t="shared" si="1"/>
        <v>11</v>
      </c>
      <c r="Y190" s="73">
        <f t="shared" si="1"/>
        <v>20</v>
      </c>
      <c r="Z190" s="73">
        <f t="shared" si="1"/>
        <v>0</v>
      </c>
      <c r="AA190" s="73">
        <f t="shared" si="1"/>
        <v>30</v>
      </c>
      <c r="AB190" s="73">
        <f t="shared" si="1"/>
        <v>0</v>
      </c>
      <c r="AC190" s="73">
        <f t="shared" si="1"/>
        <v>0</v>
      </c>
      <c r="AD190" s="73">
        <f t="shared" si="1"/>
        <v>35</v>
      </c>
      <c r="AE190" s="73">
        <f t="shared" si="1"/>
        <v>13</v>
      </c>
      <c r="AF190" s="73">
        <f t="shared" si="1"/>
        <v>30</v>
      </c>
      <c r="AG190" s="73">
        <f t="shared" si="1"/>
        <v>15</v>
      </c>
      <c r="AH190" s="73">
        <f t="shared" si="1"/>
        <v>0</v>
      </c>
      <c r="AI190" s="73">
        <f t="shared" si="1"/>
        <v>12</v>
      </c>
      <c r="AJ190" s="73">
        <f t="shared" si="1"/>
        <v>18</v>
      </c>
      <c r="AK190" s="73">
        <f t="shared" si="1"/>
        <v>0</v>
      </c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  <c r="ANK190" s="3"/>
      <c r="ANL190" s="3"/>
      <c r="ANM190" s="3"/>
      <c r="ANN190" s="3"/>
      <c r="ANO190" s="3"/>
      <c r="ANP190" s="3"/>
      <c r="ANQ190" s="3"/>
      <c r="ANR190" s="3"/>
      <c r="ANS190" s="3"/>
      <c r="ANT190" s="3"/>
      <c r="ANU190" s="3"/>
      <c r="ANV190" s="3"/>
      <c r="ANW190" s="3"/>
      <c r="ANX190" s="3"/>
      <c r="ANY190" s="3"/>
      <c r="ANZ190" s="3"/>
      <c r="AOA190" s="3"/>
      <c r="AOB190" s="3"/>
      <c r="AOC190" s="3"/>
      <c r="AOD190" s="3"/>
      <c r="AOE190" s="3"/>
      <c r="AOF190" s="3"/>
      <c r="AOG190" s="3"/>
      <c r="AOH190" s="3"/>
      <c r="AOI190" s="3"/>
      <c r="AOJ190" s="3"/>
      <c r="AOK190" s="3"/>
      <c r="AOL190" s="3"/>
      <c r="AOM190" s="3"/>
      <c r="AON190" s="3"/>
      <c r="AOO190" s="3"/>
      <c r="AOP190" s="3"/>
      <c r="AOQ190" s="3"/>
      <c r="AOR190" s="3"/>
      <c r="AOS190" s="3"/>
      <c r="AOT190" s="3"/>
      <c r="AOU190" s="3"/>
      <c r="AOV190" s="3"/>
      <c r="AOW190" s="3"/>
      <c r="AOX190" s="3"/>
      <c r="AOY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  <c r="BCX190" s="3"/>
      <c r="BCY190" s="3"/>
      <c r="BCZ190" s="3"/>
      <c r="BDA190" s="3"/>
      <c r="BDB190" s="3"/>
      <c r="BDC190" s="3"/>
      <c r="BDD190" s="3"/>
      <c r="BDE190" s="3"/>
      <c r="BDF190" s="3"/>
      <c r="BDG190" s="3"/>
      <c r="BDH190" s="3"/>
      <c r="BDI190" s="3"/>
      <c r="BDJ190" s="3"/>
      <c r="BDK190" s="3"/>
      <c r="BDL190" s="3"/>
      <c r="BDM190" s="3"/>
      <c r="BDN190" s="3"/>
      <c r="BDO190" s="3"/>
      <c r="BDP190" s="3"/>
      <c r="BDQ190" s="3"/>
      <c r="BDR190" s="3"/>
      <c r="BDS190" s="3"/>
      <c r="BDT190" s="3"/>
      <c r="BDU190" s="3"/>
      <c r="BDV190" s="3"/>
      <c r="BDW190" s="3"/>
      <c r="BDX190" s="3"/>
      <c r="BDY190" s="3"/>
      <c r="BDZ190" s="3"/>
      <c r="BEA190" s="3"/>
      <c r="BEB190" s="3"/>
      <c r="BEC190" s="3"/>
      <c r="BED190" s="3"/>
      <c r="BEE190" s="3"/>
      <c r="BEF190" s="3"/>
      <c r="BEG190" s="3"/>
      <c r="BEH190" s="3"/>
      <c r="BEI190" s="3"/>
      <c r="BEJ190" s="3"/>
      <c r="BEK190" s="3"/>
      <c r="BEL190" s="3"/>
      <c r="BEM190" s="3"/>
      <c r="BEN190" s="3"/>
      <c r="BEO190" s="3"/>
      <c r="BEP190" s="3"/>
      <c r="BEQ190" s="3"/>
      <c r="BER190" s="3"/>
      <c r="BES190" s="3"/>
      <c r="BET190" s="3"/>
      <c r="BEU190" s="3"/>
      <c r="BEV190" s="3"/>
      <c r="BEW190" s="3"/>
      <c r="BEX190" s="3"/>
      <c r="BEY190" s="3"/>
      <c r="BEZ190" s="3"/>
      <c r="BFA190" s="3"/>
      <c r="BFB190" s="3"/>
      <c r="BFC190" s="3"/>
      <c r="BFD190" s="3"/>
      <c r="BFE190" s="3"/>
      <c r="BFF190" s="3"/>
      <c r="BFG190" s="3"/>
      <c r="BFH190" s="3"/>
      <c r="BFI190" s="3"/>
      <c r="BFJ190" s="3"/>
      <c r="BFK190" s="3"/>
      <c r="BFL190" s="3"/>
      <c r="BFM190" s="3"/>
      <c r="BFN190" s="3"/>
      <c r="BFO190" s="3"/>
      <c r="BFP190" s="3"/>
      <c r="BFQ190" s="3"/>
      <c r="BFR190" s="3"/>
      <c r="BFS190" s="3"/>
      <c r="BFT190" s="3"/>
      <c r="BFU190" s="3"/>
      <c r="BFV190" s="3"/>
      <c r="BFW190" s="3"/>
      <c r="BFX190" s="3"/>
      <c r="BFY190" s="3"/>
      <c r="BFZ190" s="3"/>
      <c r="BGA190" s="3"/>
      <c r="BGB190" s="3"/>
      <c r="BGC190" s="3"/>
      <c r="BGD190" s="3"/>
      <c r="BGE190" s="3"/>
      <c r="BGF190" s="3"/>
      <c r="BGG190" s="3"/>
      <c r="BGH190" s="3"/>
      <c r="BGI190" s="3"/>
      <c r="BGJ190" s="3"/>
      <c r="BGK190" s="3"/>
      <c r="BGL190" s="3"/>
      <c r="BGM190" s="3"/>
      <c r="BGN190" s="3"/>
      <c r="BGO190" s="3"/>
      <c r="BGP190" s="3"/>
      <c r="BGQ190" s="3"/>
      <c r="BGR190" s="3"/>
      <c r="BGS190" s="3"/>
      <c r="BGT190" s="3"/>
      <c r="BGU190" s="3"/>
      <c r="BGV190" s="3"/>
      <c r="BGW190" s="3"/>
      <c r="BGX190" s="3"/>
      <c r="BGY190" s="3"/>
      <c r="BGZ190" s="3"/>
      <c r="BHA190" s="3"/>
      <c r="BHB190" s="3"/>
      <c r="BHC190" s="3"/>
      <c r="BHD190" s="3"/>
      <c r="BHE190" s="3"/>
      <c r="BHF190" s="3"/>
      <c r="BHG190" s="3"/>
      <c r="BHH190" s="3"/>
      <c r="BHI190" s="3"/>
      <c r="BHJ190" s="3"/>
      <c r="BHK190" s="3"/>
      <c r="BHL190" s="3"/>
      <c r="BHM190" s="3"/>
      <c r="BHN190" s="3"/>
      <c r="BHO190" s="3"/>
      <c r="BHP190" s="3"/>
      <c r="BHQ190" s="3"/>
      <c r="BHR190" s="3"/>
      <c r="BHS190" s="3"/>
      <c r="BHT190" s="3"/>
      <c r="BHU190" s="3"/>
      <c r="BHV190" s="3"/>
      <c r="BHW190" s="3"/>
      <c r="BHX190" s="3"/>
      <c r="BHY190" s="3"/>
      <c r="BHZ190" s="3"/>
      <c r="BIA190" s="3"/>
      <c r="BIB190" s="3"/>
      <c r="BIC190" s="3"/>
      <c r="BID190" s="3"/>
      <c r="BIE190" s="3"/>
      <c r="BIF190" s="3"/>
      <c r="BIG190" s="3"/>
      <c r="BIH190" s="3"/>
      <c r="BII190" s="3"/>
      <c r="BIJ190" s="3"/>
      <c r="BIK190" s="3"/>
      <c r="BIL190" s="3"/>
      <c r="BIM190" s="3"/>
      <c r="BIN190" s="3"/>
      <c r="BIO190" s="3"/>
      <c r="BIP190" s="3"/>
      <c r="BIQ190" s="3"/>
      <c r="BIR190" s="3"/>
      <c r="BIS190" s="3"/>
      <c r="BIT190" s="3"/>
      <c r="BIU190" s="3"/>
      <c r="BIV190" s="3"/>
      <c r="BIW190" s="3"/>
      <c r="BIX190" s="3"/>
      <c r="BIY190" s="3"/>
      <c r="BIZ190" s="3"/>
      <c r="BJA190" s="3"/>
      <c r="BJB190" s="3"/>
      <c r="BJC190" s="3"/>
      <c r="BJD190" s="3"/>
      <c r="BJE190" s="3"/>
      <c r="BJF190" s="3"/>
      <c r="BJG190" s="3"/>
      <c r="BJH190" s="3"/>
      <c r="BJI190" s="3"/>
      <c r="BJJ190" s="3"/>
      <c r="BJK190" s="3"/>
      <c r="BJL190" s="3"/>
      <c r="BJM190" s="3"/>
      <c r="BJN190" s="3"/>
      <c r="BJO190" s="3"/>
      <c r="BJP190" s="3"/>
      <c r="BJQ190" s="3"/>
      <c r="BJR190" s="3"/>
      <c r="BJS190" s="3"/>
      <c r="BJT190" s="3"/>
      <c r="BJU190" s="3"/>
      <c r="BJV190" s="3"/>
      <c r="BJW190" s="3"/>
      <c r="BJX190" s="3"/>
      <c r="BJY190" s="3"/>
      <c r="BJZ190" s="3"/>
      <c r="BKA190" s="3"/>
      <c r="BKB190" s="3"/>
      <c r="BKC190" s="3"/>
      <c r="BKD190" s="3"/>
      <c r="BKE190" s="3"/>
      <c r="BKF190" s="3"/>
      <c r="BKG190" s="3"/>
      <c r="BKH190" s="3"/>
      <c r="BKI190" s="3"/>
      <c r="BKJ190" s="3"/>
      <c r="BKK190" s="3"/>
      <c r="BKL190" s="3"/>
      <c r="BKM190" s="3"/>
      <c r="BKN190" s="3"/>
      <c r="BKO190" s="3"/>
      <c r="BKP190" s="3"/>
      <c r="BKQ190" s="3"/>
      <c r="BKR190" s="3"/>
      <c r="BKS190" s="3"/>
      <c r="BKT190" s="3"/>
      <c r="BKU190" s="3"/>
      <c r="BKV190" s="3"/>
      <c r="BKW190" s="3"/>
      <c r="BKX190" s="3"/>
      <c r="BKY190" s="3"/>
      <c r="BKZ190" s="3"/>
      <c r="BLA190" s="3"/>
      <c r="BLB190" s="3"/>
      <c r="BLC190" s="3"/>
      <c r="BLD190" s="3"/>
      <c r="BLE190" s="3"/>
      <c r="BLF190" s="3"/>
      <c r="BLG190" s="3"/>
      <c r="BLH190" s="3"/>
      <c r="BLI190" s="3"/>
      <c r="BLJ190" s="3"/>
      <c r="BLK190" s="3"/>
      <c r="BLL190" s="3"/>
      <c r="BLM190" s="3"/>
      <c r="BLN190" s="3"/>
      <c r="BLO190" s="3"/>
      <c r="BLP190" s="3"/>
      <c r="BLQ190" s="3"/>
      <c r="BLR190" s="3"/>
      <c r="BLS190" s="3"/>
      <c r="BLT190" s="3"/>
      <c r="BLU190" s="3"/>
      <c r="BLV190" s="3"/>
      <c r="BLW190" s="3"/>
      <c r="BLX190" s="3"/>
      <c r="BLY190" s="3"/>
      <c r="BLZ190" s="3"/>
      <c r="BMA190" s="3"/>
      <c r="BMB190" s="3"/>
      <c r="BMC190" s="3"/>
      <c r="BMD190" s="3"/>
      <c r="BME190" s="3"/>
      <c r="BMF190" s="3"/>
      <c r="BMG190" s="3"/>
      <c r="BMH190" s="3"/>
      <c r="BMI190" s="3"/>
      <c r="BMJ190" s="3"/>
      <c r="BMK190" s="3"/>
      <c r="BML190" s="3"/>
      <c r="BMM190" s="3"/>
      <c r="BMN190" s="3"/>
      <c r="BMO190" s="3"/>
      <c r="BMP190" s="3"/>
      <c r="BMQ190" s="3"/>
      <c r="BMR190" s="3"/>
      <c r="BMS190" s="3"/>
      <c r="BMT190" s="3"/>
      <c r="BMU190" s="3"/>
      <c r="BMV190" s="3"/>
      <c r="BMW190" s="3"/>
      <c r="BMX190" s="3"/>
      <c r="BMY190" s="3"/>
      <c r="BMZ190" s="3"/>
      <c r="BNA190" s="3"/>
      <c r="BNB190" s="3"/>
      <c r="BNC190" s="3"/>
      <c r="BND190" s="3"/>
      <c r="BNE190" s="3"/>
      <c r="BNF190" s="3"/>
      <c r="BNG190" s="3"/>
      <c r="BNH190" s="3"/>
      <c r="BNI190" s="3"/>
      <c r="BNJ190" s="3"/>
      <c r="BNK190" s="3"/>
      <c r="BNL190" s="3"/>
      <c r="BNM190" s="3"/>
      <c r="BNN190" s="3"/>
      <c r="BNO190" s="3"/>
      <c r="BNP190" s="3"/>
      <c r="BNQ190" s="3"/>
      <c r="BNR190" s="3"/>
      <c r="BNS190" s="3"/>
      <c r="BNT190" s="3"/>
      <c r="BNU190" s="3"/>
      <c r="BNV190" s="3"/>
      <c r="BNW190" s="3"/>
      <c r="BNX190" s="3"/>
      <c r="BNY190" s="3"/>
      <c r="BNZ190" s="3"/>
      <c r="BOA190" s="3"/>
      <c r="BOB190" s="3"/>
      <c r="BOC190" s="3"/>
      <c r="BOD190" s="3"/>
      <c r="BOE190" s="3"/>
      <c r="BOF190" s="3"/>
      <c r="BOG190" s="3"/>
      <c r="BOH190" s="3"/>
      <c r="BOI190" s="3"/>
      <c r="BOJ190" s="3"/>
      <c r="BOK190" s="3"/>
      <c r="BOL190" s="3"/>
      <c r="BOM190" s="3"/>
      <c r="BON190" s="3"/>
      <c r="BOO190" s="3"/>
      <c r="BOP190" s="3"/>
      <c r="BOQ190" s="3"/>
      <c r="BOR190" s="3"/>
      <c r="BOS190" s="3"/>
      <c r="BOT190" s="3"/>
      <c r="BOU190" s="3"/>
      <c r="BOV190" s="3"/>
      <c r="BOW190" s="3"/>
      <c r="BOX190" s="3"/>
      <c r="BOY190" s="3"/>
      <c r="BOZ190" s="3"/>
      <c r="BPA190" s="3"/>
      <c r="BPB190" s="3"/>
      <c r="BPC190" s="3"/>
      <c r="BPD190" s="3"/>
      <c r="BPE190" s="3"/>
      <c r="BPF190" s="3"/>
      <c r="BPG190" s="3"/>
      <c r="BPH190" s="3"/>
      <c r="BPI190" s="3"/>
      <c r="BPJ190" s="3"/>
      <c r="BPK190" s="3"/>
      <c r="BPL190" s="3"/>
      <c r="BPM190" s="3"/>
      <c r="BPN190" s="3"/>
      <c r="BPO190" s="3"/>
      <c r="BPP190" s="3"/>
      <c r="BPQ190" s="3"/>
      <c r="BPR190" s="3"/>
      <c r="BPS190" s="3"/>
      <c r="BPT190" s="3"/>
      <c r="BPU190" s="3"/>
      <c r="BPV190" s="3"/>
      <c r="BPW190" s="3"/>
      <c r="BPX190" s="3"/>
      <c r="BPY190" s="3"/>
      <c r="BPZ190" s="3"/>
      <c r="BQA190" s="3"/>
      <c r="BQB190" s="3"/>
      <c r="BQC190" s="3"/>
      <c r="BQD190" s="3"/>
      <c r="BQE190" s="3"/>
      <c r="BQF190" s="3"/>
      <c r="BQG190" s="3"/>
      <c r="BQH190" s="3"/>
      <c r="BQI190" s="3"/>
      <c r="BQJ190" s="3"/>
      <c r="BQK190" s="3"/>
      <c r="BQL190" s="3"/>
      <c r="BQM190" s="3"/>
      <c r="BQN190" s="3"/>
      <c r="BQO190" s="3"/>
      <c r="BQP190" s="3"/>
      <c r="BQQ190" s="3"/>
      <c r="BQR190" s="3"/>
      <c r="BQS190" s="3"/>
      <c r="BQT190" s="3"/>
      <c r="BQU190" s="3"/>
      <c r="BQV190" s="3"/>
      <c r="BQW190" s="3"/>
      <c r="BQX190" s="3"/>
      <c r="BQY190" s="3"/>
      <c r="BQZ190" s="3"/>
      <c r="BRA190" s="3"/>
      <c r="BRB190" s="3"/>
      <c r="BRC190" s="3"/>
      <c r="BRD190" s="3"/>
      <c r="BRE190" s="3"/>
      <c r="BRF190" s="3"/>
      <c r="BRG190" s="3"/>
      <c r="BRH190" s="3"/>
      <c r="BRI190" s="3"/>
      <c r="BRJ190" s="3"/>
      <c r="BRK190" s="3"/>
      <c r="BRL190" s="3"/>
      <c r="BRM190" s="3"/>
      <c r="BRN190" s="3"/>
      <c r="BRO190" s="3"/>
      <c r="BRP190" s="3"/>
      <c r="BRQ190" s="3"/>
      <c r="BRR190" s="3"/>
      <c r="BRS190" s="3"/>
      <c r="BRT190" s="3"/>
      <c r="BRU190" s="3"/>
      <c r="BRV190" s="3"/>
      <c r="BRW190" s="3"/>
      <c r="BRX190" s="3"/>
      <c r="BRY190" s="3"/>
      <c r="BRZ190" s="3"/>
      <c r="BSA190" s="3"/>
      <c r="BSB190" s="3"/>
      <c r="BSC190" s="3"/>
      <c r="BSD190" s="3"/>
      <c r="BSE190" s="3"/>
      <c r="BSF190" s="3"/>
      <c r="BSG190" s="3"/>
      <c r="BSH190" s="3"/>
      <c r="BSI190" s="3"/>
      <c r="BSJ190" s="3"/>
      <c r="BSK190" s="3"/>
      <c r="BSL190" s="3"/>
      <c r="BSM190" s="3"/>
      <c r="BSN190" s="3"/>
      <c r="BSO190" s="3"/>
      <c r="BSP190" s="3"/>
      <c r="BSQ190" s="3"/>
      <c r="BSR190" s="3"/>
      <c r="BSS190" s="3"/>
      <c r="BST190" s="3"/>
      <c r="BSU190" s="3"/>
      <c r="BSV190" s="3"/>
      <c r="BSW190" s="3"/>
      <c r="BSX190" s="3"/>
      <c r="BSY190" s="3"/>
      <c r="BSZ190" s="3"/>
      <c r="BTA190" s="3"/>
      <c r="BTB190" s="3"/>
      <c r="BTC190" s="3"/>
      <c r="BTD190" s="3"/>
      <c r="BTE190" s="3"/>
      <c r="BTF190" s="3"/>
      <c r="BTG190" s="3"/>
      <c r="BTH190" s="3"/>
      <c r="BTI190" s="3"/>
      <c r="BTJ190" s="3"/>
      <c r="BTK190" s="3"/>
      <c r="BTL190" s="3"/>
      <c r="BTM190" s="3"/>
      <c r="BTN190" s="3"/>
      <c r="BTO190" s="3"/>
      <c r="BTP190" s="3"/>
      <c r="BTQ190" s="3"/>
      <c r="BTR190" s="3"/>
      <c r="BTS190" s="3"/>
      <c r="BTT190" s="3"/>
      <c r="BTU190" s="3"/>
      <c r="BTV190" s="3"/>
      <c r="BTW190" s="3"/>
      <c r="BTX190" s="3"/>
      <c r="BTY190" s="3"/>
      <c r="BTZ190" s="3"/>
      <c r="BUA190" s="3"/>
      <c r="BUB190" s="3"/>
      <c r="BUC190" s="3"/>
      <c r="BUD190" s="3"/>
      <c r="BUE190" s="3"/>
      <c r="BUF190" s="3"/>
      <c r="BUG190" s="3"/>
      <c r="BUH190" s="3"/>
      <c r="BUI190" s="3"/>
      <c r="BUJ190" s="3"/>
      <c r="BUK190" s="3"/>
      <c r="BUL190" s="3"/>
      <c r="BUM190" s="3"/>
      <c r="BUN190" s="3"/>
      <c r="BUO190" s="3"/>
      <c r="BUP190" s="3"/>
      <c r="BUQ190" s="3"/>
      <c r="BUR190" s="3"/>
      <c r="BUS190" s="3"/>
      <c r="BUT190" s="3"/>
      <c r="BUU190" s="3"/>
      <c r="BUV190" s="3"/>
      <c r="BUW190" s="3"/>
      <c r="BUX190" s="3"/>
      <c r="BUY190" s="3"/>
      <c r="BUZ190" s="3"/>
      <c r="BVA190" s="3"/>
      <c r="BVB190" s="3"/>
      <c r="BVC190" s="3"/>
      <c r="BVD190" s="3"/>
      <c r="BVE190" s="3"/>
      <c r="BVF190" s="3"/>
      <c r="BVG190" s="3"/>
      <c r="BVH190" s="3"/>
      <c r="BVI190" s="3"/>
      <c r="BVJ190" s="3"/>
      <c r="BVK190" s="3"/>
      <c r="BVL190" s="3"/>
      <c r="BVM190" s="3"/>
      <c r="BVN190" s="3"/>
      <c r="BVO190" s="3"/>
      <c r="BVP190" s="3"/>
      <c r="BVQ190" s="3"/>
      <c r="BVR190" s="3"/>
      <c r="BVS190" s="3"/>
      <c r="BVT190" s="3"/>
      <c r="BVU190" s="3"/>
      <c r="BVV190" s="3"/>
      <c r="BVW190" s="3"/>
      <c r="BVX190" s="3"/>
      <c r="BVY190" s="3"/>
      <c r="BVZ190" s="3"/>
      <c r="BWA190" s="3"/>
      <c r="BWB190" s="3"/>
      <c r="BWC190" s="3"/>
      <c r="BWD190" s="3"/>
      <c r="BWE190" s="3"/>
      <c r="BWF190" s="3"/>
      <c r="BWG190" s="3"/>
      <c r="BWH190" s="3"/>
      <c r="BWI190" s="3"/>
      <c r="BWJ190" s="3"/>
      <c r="BWK190" s="3"/>
      <c r="BWL190" s="3"/>
      <c r="BWM190" s="3"/>
      <c r="BWN190" s="3"/>
      <c r="BWO190" s="3"/>
      <c r="BWP190" s="3"/>
      <c r="BWQ190" s="3"/>
      <c r="BWR190" s="3"/>
      <c r="BWS190" s="3"/>
      <c r="BWT190" s="3"/>
      <c r="BWU190" s="3"/>
      <c r="BWV190" s="3"/>
      <c r="BWW190" s="3"/>
      <c r="BWX190" s="3"/>
      <c r="BWY190" s="3"/>
      <c r="BWZ190" s="3"/>
      <c r="BXA190" s="3"/>
      <c r="BXB190" s="3"/>
      <c r="BXC190" s="3"/>
      <c r="BXD190" s="3"/>
      <c r="BXE190" s="3"/>
      <c r="BXF190" s="3"/>
      <c r="BXG190" s="3"/>
      <c r="BXH190" s="3"/>
      <c r="BXI190" s="3"/>
      <c r="BXJ190" s="3"/>
      <c r="BXK190" s="3"/>
      <c r="BXL190" s="3"/>
      <c r="BXM190" s="3"/>
      <c r="BXN190" s="3"/>
      <c r="BXO190" s="3"/>
      <c r="BXP190" s="3"/>
      <c r="BXQ190" s="3"/>
      <c r="BXR190" s="3"/>
      <c r="BXS190" s="3"/>
      <c r="BXT190" s="3"/>
      <c r="BXU190" s="3"/>
      <c r="BXV190" s="3"/>
      <c r="BXW190" s="3"/>
      <c r="BXX190" s="3"/>
      <c r="BXY190" s="3"/>
      <c r="BXZ190" s="3"/>
      <c r="BYA190" s="3"/>
      <c r="BYB190" s="3"/>
      <c r="BYC190" s="3"/>
      <c r="BYD190" s="3"/>
      <c r="BYE190" s="3"/>
      <c r="BYF190" s="3"/>
      <c r="BYG190" s="3"/>
      <c r="BYH190" s="3"/>
      <c r="BYI190" s="3"/>
      <c r="BYJ190" s="3"/>
      <c r="BYK190" s="3"/>
      <c r="BYL190" s="3"/>
      <c r="BYM190" s="3"/>
      <c r="BYN190" s="3"/>
      <c r="BYO190" s="3"/>
      <c r="BYP190" s="3"/>
      <c r="BYQ190" s="3"/>
      <c r="BYR190" s="3"/>
      <c r="BYS190" s="3"/>
      <c r="BYT190" s="3"/>
      <c r="BYU190" s="3"/>
      <c r="BYV190" s="3"/>
      <c r="BYW190" s="3"/>
      <c r="BYX190" s="3"/>
      <c r="BYY190" s="3"/>
      <c r="BYZ190" s="3"/>
      <c r="BZA190" s="3"/>
      <c r="BZB190" s="3"/>
      <c r="BZC190" s="3"/>
      <c r="BZD190" s="3"/>
      <c r="BZE190" s="3"/>
      <c r="BZF190" s="3"/>
      <c r="BZG190" s="3"/>
      <c r="BZH190" s="3"/>
      <c r="BZI190" s="3"/>
      <c r="BZJ190" s="3"/>
      <c r="BZK190" s="3"/>
      <c r="BZL190" s="3"/>
      <c r="BZM190" s="3"/>
      <c r="BZN190" s="3"/>
      <c r="BZO190" s="3"/>
      <c r="BZP190" s="3"/>
      <c r="BZQ190" s="3"/>
      <c r="BZR190" s="3"/>
      <c r="BZS190" s="3"/>
      <c r="BZT190" s="3"/>
      <c r="BZU190" s="3"/>
      <c r="BZV190" s="3"/>
      <c r="BZW190" s="3"/>
      <c r="BZX190" s="3"/>
      <c r="BZY190" s="3"/>
      <c r="BZZ190" s="3"/>
      <c r="CAA190" s="3"/>
      <c r="CAB190" s="3"/>
      <c r="CAC190" s="3"/>
      <c r="CAD190" s="3"/>
      <c r="CAE190" s="3"/>
      <c r="CAF190" s="3"/>
      <c r="CAG190" s="3"/>
      <c r="CAH190" s="3"/>
      <c r="CAI190" s="3"/>
      <c r="CAJ190" s="3"/>
      <c r="CAK190" s="3"/>
      <c r="CAL190" s="3"/>
      <c r="CAM190" s="3"/>
      <c r="CAN190" s="3"/>
      <c r="CAO190" s="3"/>
      <c r="CAP190" s="3"/>
      <c r="CAQ190" s="3"/>
      <c r="CAR190" s="3"/>
      <c r="CAS190" s="3"/>
      <c r="CAT190" s="3"/>
      <c r="CAU190" s="3"/>
      <c r="CAV190" s="3"/>
      <c r="CAW190" s="3"/>
      <c r="CAX190" s="3"/>
      <c r="CAY190" s="3"/>
      <c r="CAZ190" s="3"/>
      <c r="CBA190" s="3"/>
      <c r="CBB190" s="3"/>
      <c r="CBC190" s="3"/>
      <c r="CBD190" s="3"/>
      <c r="CBE190" s="3"/>
      <c r="CBF190" s="3"/>
      <c r="CBG190" s="3"/>
      <c r="CBH190" s="3"/>
      <c r="CBI190" s="3"/>
      <c r="CBJ190" s="3"/>
      <c r="CBK190" s="3"/>
      <c r="CBL190" s="3"/>
      <c r="CBM190" s="3"/>
      <c r="CBN190" s="3"/>
      <c r="CBO190" s="3"/>
      <c r="CBP190" s="3"/>
      <c r="CBQ190" s="3"/>
      <c r="CBR190" s="3"/>
      <c r="CBS190" s="3"/>
      <c r="CBT190" s="3"/>
      <c r="CBU190" s="3"/>
      <c r="CBV190" s="3"/>
      <c r="CBW190" s="3"/>
      <c r="CBX190" s="3"/>
      <c r="CBY190" s="3"/>
      <c r="CBZ190" s="3"/>
      <c r="CCA190" s="3"/>
      <c r="CCB190" s="3"/>
      <c r="CCC190" s="3"/>
      <c r="CCD190" s="3"/>
      <c r="CCE190" s="3"/>
      <c r="CCF190" s="3"/>
      <c r="CCG190" s="3"/>
      <c r="CCH190" s="3"/>
      <c r="CCI190" s="3"/>
      <c r="CCJ190" s="3"/>
      <c r="CCK190" s="3"/>
      <c r="CCL190" s="3"/>
      <c r="CCM190" s="3"/>
      <c r="CCN190" s="3"/>
      <c r="CCO190" s="3"/>
      <c r="CCP190" s="3"/>
      <c r="CCQ190" s="3"/>
      <c r="CCR190" s="3"/>
      <c r="CCS190" s="3"/>
      <c r="CCT190" s="3"/>
      <c r="CCU190" s="3"/>
      <c r="CCV190" s="3"/>
      <c r="CCW190" s="3"/>
      <c r="CCX190" s="3"/>
      <c r="CCY190" s="3"/>
      <c r="CCZ190" s="3"/>
      <c r="CDA190" s="3"/>
      <c r="CDB190" s="3"/>
      <c r="CDC190" s="3"/>
      <c r="CDD190" s="3"/>
      <c r="CDE190" s="3"/>
      <c r="CDF190" s="3"/>
      <c r="CDG190" s="3"/>
      <c r="CDH190" s="3"/>
      <c r="CDI190" s="3"/>
      <c r="CDJ190" s="3"/>
      <c r="CDK190" s="3"/>
      <c r="CDL190" s="3"/>
      <c r="CDM190" s="3"/>
      <c r="CDN190" s="3"/>
      <c r="CDO190" s="3"/>
      <c r="CDP190" s="3"/>
      <c r="CDQ190" s="3"/>
      <c r="CDR190" s="3"/>
      <c r="CDS190" s="3"/>
      <c r="CDT190" s="3"/>
      <c r="CDU190" s="3"/>
      <c r="CDV190" s="3"/>
      <c r="CDW190" s="3"/>
      <c r="CDX190" s="3"/>
      <c r="CDY190" s="3"/>
      <c r="CDZ190" s="3"/>
      <c r="CEA190" s="3"/>
      <c r="CEB190" s="3"/>
      <c r="CEC190" s="3"/>
      <c r="CED190" s="3"/>
      <c r="CEE190" s="3"/>
      <c r="CEF190" s="3"/>
      <c r="CEG190" s="3"/>
      <c r="CEH190" s="3"/>
      <c r="CEI190" s="3"/>
      <c r="CEJ190" s="3"/>
      <c r="CEK190" s="3"/>
      <c r="CEL190" s="3"/>
      <c r="CEM190" s="3"/>
      <c r="CEN190" s="3"/>
      <c r="CEO190" s="3"/>
      <c r="CEP190" s="3"/>
      <c r="CEQ190" s="3"/>
      <c r="CER190" s="3"/>
      <c r="CES190" s="3"/>
      <c r="CET190" s="3"/>
      <c r="CEU190" s="3"/>
      <c r="CEV190" s="3"/>
      <c r="CEW190" s="3"/>
      <c r="CEX190" s="3"/>
      <c r="CEY190" s="3"/>
      <c r="CEZ190" s="3"/>
      <c r="CFA190" s="3"/>
      <c r="CFB190" s="3"/>
      <c r="CFC190" s="3"/>
      <c r="CFD190" s="3"/>
      <c r="CFE190" s="3"/>
      <c r="CFF190" s="3"/>
      <c r="CFG190" s="3"/>
      <c r="CFH190" s="3"/>
      <c r="CFI190" s="3"/>
      <c r="CFJ190" s="3"/>
      <c r="CFK190" s="3"/>
      <c r="CFL190" s="3"/>
      <c r="CFM190" s="3"/>
      <c r="CFN190" s="3"/>
      <c r="CFO190" s="3"/>
      <c r="CFP190" s="3"/>
      <c r="CFQ190" s="3"/>
      <c r="CFR190" s="3"/>
      <c r="CFS190" s="3"/>
      <c r="CFT190" s="3"/>
      <c r="CFU190" s="3"/>
      <c r="CFV190" s="3"/>
      <c r="CFW190" s="3"/>
      <c r="CFX190" s="3"/>
      <c r="CFY190" s="3"/>
      <c r="CFZ190" s="3"/>
      <c r="CGA190" s="3"/>
      <c r="CGB190" s="3"/>
      <c r="CGC190" s="3"/>
      <c r="CGD190" s="3"/>
      <c r="CGE190" s="3"/>
      <c r="CGF190" s="3"/>
      <c r="CGG190" s="3"/>
      <c r="CGH190" s="3"/>
      <c r="CGI190" s="3"/>
      <c r="CGJ190" s="3"/>
      <c r="CGK190" s="3"/>
      <c r="CGL190" s="3"/>
      <c r="CGM190" s="3"/>
      <c r="CGN190" s="3"/>
      <c r="CGO190" s="3"/>
      <c r="CGP190" s="3"/>
      <c r="CGQ190" s="3"/>
      <c r="CGR190" s="3"/>
      <c r="CGS190" s="3"/>
      <c r="CGT190" s="3"/>
      <c r="CGU190" s="3"/>
      <c r="CGV190" s="3"/>
      <c r="CGW190" s="3"/>
      <c r="CGX190" s="3"/>
      <c r="CGY190" s="3"/>
      <c r="CGZ190" s="3"/>
      <c r="CHA190" s="3"/>
      <c r="CHB190" s="3"/>
      <c r="CHC190" s="3"/>
      <c r="CHD190" s="3"/>
      <c r="CHE190" s="3"/>
      <c r="CHF190" s="3"/>
      <c r="CHG190" s="3"/>
      <c r="CHH190" s="3"/>
      <c r="CHI190" s="3"/>
      <c r="CHJ190" s="3"/>
      <c r="CHK190" s="3"/>
      <c r="CHL190" s="3"/>
      <c r="CHM190" s="3"/>
      <c r="CHN190" s="3"/>
      <c r="CHO190" s="3"/>
      <c r="CHP190" s="3"/>
      <c r="CHQ190" s="3"/>
      <c r="CHR190" s="3"/>
      <c r="CHS190" s="3"/>
      <c r="CHT190" s="3"/>
      <c r="CHU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N190" s="3"/>
      <c r="CIO190" s="3"/>
      <c r="CIP190" s="3"/>
      <c r="CIQ190" s="3"/>
      <c r="CIR190" s="3"/>
      <c r="CIS190" s="3"/>
      <c r="CIT190" s="3"/>
      <c r="CIU190" s="3"/>
      <c r="CIV190" s="3"/>
      <c r="CIW190" s="3"/>
      <c r="CIX190" s="3"/>
      <c r="CIY190" s="3"/>
      <c r="CIZ190" s="3"/>
      <c r="CJA190" s="3"/>
      <c r="CJB190" s="3"/>
      <c r="CJC190" s="3"/>
      <c r="CJD190" s="3"/>
      <c r="CJE190" s="3"/>
      <c r="CJF190" s="3"/>
      <c r="CJG190" s="3"/>
      <c r="CJH190" s="3"/>
      <c r="CJI190" s="3"/>
      <c r="CJJ190" s="3"/>
      <c r="CJK190" s="3"/>
      <c r="CJL190" s="3"/>
      <c r="CJM190" s="3"/>
      <c r="CJN190" s="3"/>
      <c r="CJO190" s="3"/>
      <c r="CJP190" s="3"/>
      <c r="CJQ190" s="3"/>
      <c r="CJR190" s="3"/>
      <c r="CJS190" s="3"/>
      <c r="CJT190" s="3"/>
      <c r="CJU190" s="3"/>
      <c r="CJV190" s="3"/>
      <c r="CJW190" s="3"/>
      <c r="CJX190" s="3"/>
      <c r="CJY190" s="3"/>
      <c r="CJZ190" s="3"/>
      <c r="CKA190" s="3"/>
      <c r="CKB190" s="3"/>
      <c r="CKC190" s="3"/>
      <c r="CKD190" s="3"/>
      <c r="CKE190" s="3"/>
      <c r="CKF190" s="3"/>
      <c r="CKG190" s="3"/>
      <c r="CKH190" s="3"/>
      <c r="CKI190" s="3"/>
      <c r="CKJ190" s="3"/>
      <c r="CKK190" s="3"/>
      <c r="CKL190" s="3"/>
      <c r="CKM190" s="3"/>
      <c r="CKN190" s="3"/>
      <c r="CKO190" s="3"/>
      <c r="CKP190" s="3"/>
      <c r="CKQ190" s="3"/>
      <c r="CKR190" s="3"/>
      <c r="CKS190" s="3"/>
      <c r="CKT190" s="3"/>
      <c r="CKU190" s="3"/>
      <c r="CKV190" s="3"/>
      <c r="CKW190" s="3"/>
      <c r="CKX190" s="3"/>
      <c r="CKY190" s="3"/>
      <c r="CKZ190" s="3"/>
      <c r="CLA190" s="3"/>
      <c r="CLB190" s="3"/>
      <c r="CLC190" s="3"/>
      <c r="CLD190" s="3"/>
      <c r="CLE190" s="3"/>
      <c r="CLF190" s="3"/>
      <c r="CLG190" s="3"/>
      <c r="CLH190" s="3"/>
      <c r="CLI190" s="3"/>
      <c r="CLJ190" s="3"/>
      <c r="CLK190" s="3"/>
      <c r="CLL190" s="3"/>
      <c r="CLM190" s="3"/>
      <c r="CLN190" s="3"/>
      <c r="CLO190" s="3"/>
      <c r="CLP190" s="3"/>
      <c r="CLQ190" s="3"/>
      <c r="CLR190" s="3"/>
      <c r="CLS190" s="3"/>
      <c r="CLT190" s="3"/>
      <c r="CLU190" s="3"/>
      <c r="CLV190" s="3"/>
      <c r="CLW190" s="3"/>
      <c r="CLX190" s="3"/>
      <c r="CLY190" s="3"/>
      <c r="CLZ190" s="3"/>
      <c r="CMA190" s="3"/>
      <c r="CMB190" s="3"/>
      <c r="CMC190" s="3"/>
      <c r="CMD190" s="3"/>
      <c r="CME190" s="3"/>
      <c r="CMF190" s="3"/>
      <c r="CMG190" s="3"/>
      <c r="CMH190" s="3"/>
      <c r="CMI190" s="3"/>
      <c r="CMJ190" s="3"/>
      <c r="CMK190" s="3"/>
      <c r="CML190" s="3"/>
      <c r="CMM190" s="3"/>
      <c r="CMN190" s="3"/>
      <c r="CMO190" s="3"/>
      <c r="CMP190" s="3"/>
      <c r="CMQ190" s="3"/>
      <c r="CMR190" s="3"/>
      <c r="CMS190" s="3"/>
      <c r="CMT190" s="3"/>
      <c r="CMU190" s="3"/>
      <c r="CMV190" s="3"/>
      <c r="CMW190" s="3"/>
      <c r="CMX190" s="3"/>
      <c r="CMY190" s="3"/>
      <c r="CMZ190" s="3"/>
      <c r="CNA190" s="3"/>
      <c r="CNB190" s="3"/>
      <c r="CNC190" s="3"/>
      <c r="CND190" s="3"/>
      <c r="CNE190" s="3"/>
      <c r="CNF190" s="3"/>
      <c r="CNG190" s="3"/>
      <c r="CNH190" s="3"/>
      <c r="CNI190" s="3"/>
      <c r="CNJ190" s="3"/>
      <c r="CNK190" s="3"/>
      <c r="CNL190" s="3"/>
      <c r="CNM190" s="3"/>
      <c r="CNN190" s="3"/>
      <c r="CNO190" s="3"/>
      <c r="CNP190" s="3"/>
      <c r="CNQ190" s="3"/>
      <c r="CNR190" s="3"/>
      <c r="CNS190" s="3"/>
      <c r="CNT190" s="3"/>
      <c r="CNU190" s="3"/>
      <c r="CNV190" s="3"/>
      <c r="CNW190" s="3"/>
      <c r="CNX190" s="3"/>
      <c r="CNY190" s="3"/>
      <c r="CNZ190" s="3"/>
      <c r="COA190" s="3"/>
      <c r="COB190" s="3"/>
      <c r="COC190" s="3"/>
      <c r="COD190" s="3"/>
      <c r="COE190" s="3"/>
      <c r="COF190" s="3"/>
      <c r="COG190" s="3"/>
      <c r="COH190" s="3"/>
      <c r="COI190" s="3"/>
      <c r="COJ190" s="3"/>
      <c r="COK190" s="3"/>
      <c r="COL190" s="3"/>
      <c r="COM190" s="3"/>
      <c r="CON190" s="3"/>
      <c r="COO190" s="3"/>
      <c r="COP190" s="3"/>
      <c r="COQ190" s="3"/>
      <c r="COR190" s="3"/>
      <c r="COS190" s="3"/>
      <c r="COT190" s="3"/>
      <c r="COU190" s="3"/>
      <c r="COV190" s="3"/>
      <c r="COW190" s="3"/>
      <c r="COX190" s="3"/>
      <c r="COY190" s="3"/>
      <c r="COZ190" s="3"/>
      <c r="CPA190" s="3"/>
      <c r="CPB190" s="3"/>
      <c r="CPC190" s="3"/>
      <c r="CPD190" s="3"/>
      <c r="CPE190" s="3"/>
      <c r="CPF190" s="3"/>
      <c r="CPG190" s="3"/>
      <c r="CPH190" s="3"/>
      <c r="CPI190" s="3"/>
      <c r="CPJ190" s="3"/>
      <c r="CPK190" s="3"/>
      <c r="CPL190" s="3"/>
      <c r="CPM190" s="3"/>
      <c r="CPN190" s="3"/>
      <c r="CPO190" s="3"/>
      <c r="CPP190" s="3"/>
      <c r="CPQ190" s="3"/>
      <c r="CPR190" s="3"/>
      <c r="CPS190" s="3"/>
      <c r="CPT190" s="3"/>
      <c r="CPU190" s="3"/>
      <c r="CPV190" s="3"/>
      <c r="CPW190" s="3"/>
      <c r="CPX190" s="3"/>
      <c r="CPY190" s="3"/>
      <c r="CPZ190" s="3"/>
      <c r="CQA190" s="3"/>
      <c r="CQB190" s="3"/>
      <c r="CQC190" s="3"/>
      <c r="CQD190" s="3"/>
      <c r="CQE190" s="3"/>
      <c r="CQF190" s="3"/>
      <c r="CQG190" s="3"/>
      <c r="CQH190" s="3"/>
      <c r="CQI190" s="3"/>
      <c r="CQJ190" s="3"/>
      <c r="CQK190" s="3"/>
      <c r="CQL190" s="3"/>
      <c r="CQM190" s="3"/>
      <c r="CQN190" s="3"/>
      <c r="CQO190" s="3"/>
      <c r="CQP190" s="3"/>
      <c r="CQQ190" s="3"/>
      <c r="CQR190" s="3"/>
      <c r="CQS190" s="3"/>
      <c r="CQT190" s="3"/>
      <c r="CQU190" s="3"/>
      <c r="CQV190" s="3"/>
      <c r="CQW190" s="3"/>
      <c r="CQX190" s="3"/>
      <c r="CQY190" s="3"/>
      <c r="CQZ190" s="3"/>
      <c r="CRA190" s="3"/>
      <c r="CRB190" s="3"/>
      <c r="CRC190" s="3"/>
      <c r="CRD190" s="3"/>
      <c r="CRE190" s="3"/>
      <c r="CRF190" s="3"/>
      <c r="CRG190" s="3"/>
      <c r="CRH190" s="3"/>
      <c r="CRI190" s="3"/>
      <c r="CRJ190" s="3"/>
      <c r="CRK190" s="3"/>
      <c r="CRL190" s="3"/>
      <c r="CRM190" s="3"/>
      <c r="CRN190" s="3"/>
      <c r="CRO190" s="3"/>
      <c r="CRP190" s="3"/>
      <c r="CRQ190" s="3"/>
      <c r="CRR190" s="3"/>
      <c r="CRS190" s="3"/>
      <c r="CRT190" s="3"/>
      <c r="CRU190" s="3"/>
      <c r="CRV190" s="3"/>
      <c r="CRW190" s="3"/>
      <c r="CRX190" s="3"/>
      <c r="CRY190" s="3"/>
      <c r="CRZ190" s="3"/>
      <c r="CSA190" s="3"/>
      <c r="CSB190" s="3"/>
      <c r="CSC190" s="3"/>
      <c r="CSD190" s="3"/>
      <c r="CSE190" s="3"/>
      <c r="CSF190" s="3"/>
      <c r="CSG190" s="3"/>
      <c r="CSH190" s="3"/>
      <c r="CSI190" s="3"/>
      <c r="CSJ190" s="3"/>
      <c r="CSK190" s="3"/>
      <c r="CSL190" s="3"/>
      <c r="CSM190" s="3"/>
      <c r="CSN190" s="3"/>
      <c r="CSO190" s="3"/>
      <c r="CSP190" s="3"/>
      <c r="CSQ190" s="3"/>
      <c r="CSR190" s="3"/>
      <c r="CSS190" s="3"/>
      <c r="CST190" s="3"/>
      <c r="CSU190" s="3"/>
      <c r="CSV190" s="3"/>
      <c r="CSW190" s="3"/>
      <c r="CSX190" s="3"/>
      <c r="CSY190" s="3"/>
      <c r="CSZ190" s="3"/>
      <c r="CTA190" s="3"/>
      <c r="CTB190" s="3"/>
      <c r="CTC190" s="3"/>
      <c r="CTD190" s="3"/>
      <c r="CTE190" s="3"/>
      <c r="CTF190" s="3"/>
      <c r="CTG190" s="3"/>
      <c r="CTH190" s="3"/>
      <c r="CTI190" s="3"/>
      <c r="CTJ190" s="3"/>
      <c r="CTK190" s="3"/>
      <c r="CTL190" s="3"/>
      <c r="CTM190" s="3"/>
      <c r="CTN190" s="3"/>
      <c r="CTO190" s="3"/>
      <c r="CTP190" s="3"/>
      <c r="CTQ190" s="3"/>
      <c r="CTR190" s="3"/>
      <c r="CTS190" s="3"/>
      <c r="CTT190" s="3"/>
      <c r="CTU190" s="3"/>
      <c r="CTV190" s="3"/>
      <c r="CTW190" s="3"/>
      <c r="CTX190" s="3"/>
      <c r="CTY190" s="3"/>
      <c r="CTZ190" s="3"/>
      <c r="CUA190" s="3"/>
      <c r="CUB190" s="3"/>
      <c r="CUC190" s="3"/>
      <c r="CUD190" s="3"/>
      <c r="CUE190" s="3"/>
      <c r="CUF190" s="3"/>
      <c r="CUG190" s="3"/>
      <c r="CUH190" s="3"/>
      <c r="CUI190" s="3"/>
      <c r="CUJ190" s="3"/>
      <c r="CUK190" s="3"/>
      <c r="CUL190" s="3"/>
      <c r="CUM190" s="3"/>
      <c r="CUN190" s="3"/>
      <c r="CUO190" s="3"/>
      <c r="CUP190" s="3"/>
      <c r="CUQ190" s="3"/>
      <c r="CUR190" s="3"/>
      <c r="CUS190" s="3"/>
      <c r="CUT190" s="3"/>
      <c r="CUU190" s="3"/>
      <c r="CUV190" s="3"/>
      <c r="CUW190" s="3"/>
      <c r="CUX190" s="3"/>
      <c r="CUY190" s="3"/>
      <c r="CUZ190" s="3"/>
      <c r="CVA190" s="3"/>
      <c r="CVB190" s="3"/>
      <c r="CVC190" s="3"/>
      <c r="CVD190" s="3"/>
      <c r="CVE190" s="3"/>
      <c r="CVF190" s="3"/>
      <c r="CVG190" s="3"/>
      <c r="CVH190" s="3"/>
      <c r="CVI190" s="3"/>
      <c r="CVJ190" s="3"/>
      <c r="CVK190" s="3"/>
      <c r="CVL190" s="3"/>
      <c r="CVM190" s="3"/>
      <c r="CVN190" s="3"/>
      <c r="CVO190" s="3"/>
      <c r="CVP190" s="3"/>
      <c r="CVQ190" s="3"/>
      <c r="CVR190" s="3"/>
      <c r="CVS190" s="3"/>
      <c r="CVT190" s="3"/>
      <c r="CVU190" s="3"/>
      <c r="CVV190" s="3"/>
      <c r="CVW190" s="3"/>
      <c r="CVX190" s="3"/>
      <c r="CVY190" s="3"/>
      <c r="CVZ190" s="3"/>
      <c r="CWA190" s="3"/>
      <c r="CWB190" s="3"/>
      <c r="CWC190" s="3"/>
      <c r="CWD190" s="3"/>
      <c r="CWE190" s="3"/>
      <c r="CWF190" s="3"/>
      <c r="CWG190" s="3"/>
      <c r="CWH190" s="3"/>
      <c r="CWI190" s="3"/>
      <c r="CWJ190" s="3"/>
      <c r="CWK190" s="3"/>
      <c r="CWL190" s="3"/>
      <c r="CWM190" s="3"/>
      <c r="CWN190" s="3"/>
      <c r="CWO190" s="3"/>
      <c r="CWP190" s="3"/>
      <c r="CWQ190" s="3"/>
      <c r="CWR190" s="3"/>
      <c r="CWS190" s="3"/>
      <c r="CWT190" s="3"/>
      <c r="CWU190" s="3"/>
      <c r="CWV190" s="3"/>
      <c r="CWW190" s="3"/>
      <c r="CWX190" s="3"/>
      <c r="CWY190" s="3"/>
      <c r="CWZ190" s="3"/>
      <c r="CXA190" s="3"/>
      <c r="CXB190" s="3"/>
      <c r="CXC190" s="3"/>
      <c r="CXD190" s="3"/>
      <c r="CXE190" s="3"/>
      <c r="CXF190" s="3"/>
      <c r="CXG190" s="3"/>
      <c r="CXH190" s="3"/>
      <c r="CXI190" s="3"/>
      <c r="CXJ190" s="3"/>
      <c r="CXK190" s="3"/>
      <c r="CXL190" s="3"/>
      <c r="CXM190" s="3"/>
      <c r="CXN190" s="3"/>
      <c r="CXO190" s="3"/>
      <c r="CXP190" s="3"/>
      <c r="CXQ190" s="3"/>
      <c r="CXR190" s="3"/>
      <c r="CXS190" s="3"/>
      <c r="CXT190" s="3"/>
      <c r="CXU190" s="3"/>
      <c r="CXV190" s="3"/>
      <c r="CXW190" s="3"/>
      <c r="CXX190" s="3"/>
      <c r="CXY190" s="3"/>
      <c r="CXZ190" s="3"/>
      <c r="CYA190" s="3"/>
      <c r="CYB190" s="3"/>
      <c r="CYC190" s="3"/>
      <c r="CYD190" s="3"/>
      <c r="CYE190" s="3"/>
      <c r="CYF190" s="3"/>
      <c r="CYG190" s="3"/>
      <c r="CYH190" s="3"/>
      <c r="CYI190" s="3"/>
      <c r="CYJ190" s="3"/>
      <c r="CYK190" s="3"/>
      <c r="CYL190" s="3"/>
      <c r="CYM190" s="3"/>
      <c r="CYN190" s="3"/>
      <c r="CYO190" s="3"/>
      <c r="CYP190" s="3"/>
      <c r="CYQ190" s="3"/>
      <c r="CYR190" s="3"/>
      <c r="CYS190" s="3"/>
      <c r="CYT190" s="3"/>
      <c r="CYU190" s="3"/>
      <c r="CYV190" s="3"/>
      <c r="CYW190" s="3"/>
      <c r="CYX190" s="3"/>
      <c r="CYY190" s="3"/>
      <c r="CYZ190" s="3"/>
      <c r="CZA190" s="3"/>
      <c r="CZB190" s="3"/>
      <c r="CZC190" s="3"/>
      <c r="CZD190" s="3"/>
      <c r="CZE190" s="3"/>
      <c r="CZF190" s="3"/>
      <c r="CZG190" s="3"/>
      <c r="CZH190" s="3"/>
      <c r="CZI190" s="3"/>
      <c r="CZJ190" s="3"/>
      <c r="CZK190" s="3"/>
      <c r="CZL190" s="3"/>
      <c r="CZM190" s="3"/>
      <c r="CZN190" s="3"/>
      <c r="CZO190" s="3"/>
      <c r="CZP190" s="3"/>
      <c r="CZQ190" s="3"/>
      <c r="CZR190" s="3"/>
      <c r="CZS190" s="3"/>
      <c r="CZT190" s="3"/>
      <c r="CZU190" s="3"/>
      <c r="CZV190" s="3"/>
      <c r="CZW190" s="3"/>
      <c r="CZX190" s="3"/>
      <c r="CZY190" s="3"/>
      <c r="CZZ190" s="3"/>
      <c r="DAA190" s="3"/>
      <c r="DAB190" s="3"/>
      <c r="DAC190" s="3"/>
      <c r="DAD190" s="3"/>
      <c r="DAE190" s="3"/>
      <c r="DAF190" s="3"/>
      <c r="DAG190" s="3"/>
      <c r="DAH190" s="3"/>
      <c r="DAI190" s="3"/>
      <c r="DAJ190" s="3"/>
      <c r="DAK190" s="3"/>
      <c r="DAL190" s="3"/>
      <c r="DAM190" s="3"/>
      <c r="DAN190" s="3"/>
      <c r="DAO190" s="3"/>
      <c r="DAP190" s="3"/>
      <c r="DAQ190" s="3"/>
      <c r="DAR190" s="3"/>
      <c r="DAS190" s="3"/>
      <c r="DAT190" s="3"/>
      <c r="DAU190" s="3"/>
      <c r="DAV190" s="3"/>
      <c r="DAW190" s="3"/>
      <c r="DAX190" s="3"/>
      <c r="DAY190" s="3"/>
      <c r="DAZ190" s="3"/>
      <c r="DBA190" s="3"/>
      <c r="DBB190" s="3"/>
      <c r="DBC190" s="3"/>
      <c r="DBD190" s="3"/>
      <c r="DBE190" s="3"/>
      <c r="DBF190" s="3"/>
      <c r="DBG190" s="3"/>
      <c r="DBH190" s="3"/>
      <c r="DBI190" s="3"/>
      <c r="DBJ190" s="3"/>
      <c r="DBK190" s="3"/>
      <c r="DBL190" s="3"/>
      <c r="DBM190" s="3"/>
      <c r="DBN190" s="3"/>
      <c r="DBO190" s="3"/>
      <c r="DBP190" s="3"/>
      <c r="DBQ190" s="3"/>
      <c r="DBR190" s="3"/>
      <c r="DBS190" s="3"/>
      <c r="DBT190" s="3"/>
      <c r="DBU190" s="3"/>
      <c r="DBV190" s="3"/>
      <c r="DBW190" s="3"/>
      <c r="DBX190" s="3"/>
      <c r="DBY190" s="3"/>
      <c r="DBZ190" s="3"/>
      <c r="DCA190" s="3"/>
      <c r="DCB190" s="3"/>
      <c r="DCC190" s="3"/>
      <c r="DCD190" s="3"/>
      <c r="DCE190" s="3"/>
      <c r="DCF190" s="3"/>
      <c r="DCG190" s="3"/>
      <c r="DCH190" s="3"/>
      <c r="DCI190" s="3"/>
      <c r="DCJ190" s="3"/>
      <c r="DCK190" s="3"/>
      <c r="DCL190" s="3"/>
      <c r="DCM190" s="3"/>
      <c r="DCN190" s="3"/>
      <c r="DCO190" s="3"/>
      <c r="DCP190" s="3"/>
      <c r="DCQ190" s="3"/>
      <c r="DCR190" s="3"/>
      <c r="DCS190" s="3"/>
      <c r="DCT190" s="3"/>
      <c r="DCU190" s="3"/>
      <c r="DCV190" s="3"/>
      <c r="DCW190" s="3"/>
      <c r="DCX190" s="3"/>
      <c r="DCY190" s="3"/>
      <c r="DCZ190" s="3"/>
      <c r="DDA190" s="3"/>
      <c r="DDB190" s="3"/>
      <c r="DDC190" s="3"/>
      <c r="DDD190" s="3"/>
      <c r="DDE190" s="3"/>
      <c r="DDF190" s="3"/>
      <c r="DDG190" s="3"/>
      <c r="DDH190" s="3"/>
      <c r="DDI190" s="3"/>
      <c r="DDJ190" s="3"/>
      <c r="DDK190" s="3"/>
      <c r="DDL190" s="3"/>
      <c r="DDM190" s="3"/>
      <c r="DDN190" s="3"/>
      <c r="DDO190" s="3"/>
      <c r="DDP190" s="3"/>
      <c r="DDQ190" s="3"/>
      <c r="DDR190" s="3"/>
      <c r="DDS190" s="3"/>
      <c r="DDT190" s="3"/>
      <c r="DDU190" s="3"/>
      <c r="DDV190" s="3"/>
      <c r="DDW190" s="3"/>
      <c r="DDX190" s="3"/>
      <c r="DDY190" s="3"/>
      <c r="DDZ190" s="3"/>
      <c r="DEA190" s="3"/>
      <c r="DEB190" s="3"/>
      <c r="DEC190" s="3"/>
      <c r="DED190" s="3"/>
      <c r="DEE190" s="3"/>
      <c r="DEF190" s="3"/>
      <c r="DEG190" s="3"/>
      <c r="DEH190" s="3"/>
      <c r="DEI190" s="3"/>
      <c r="DEJ190" s="3"/>
      <c r="DEK190" s="3"/>
      <c r="DEL190" s="3"/>
      <c r="DEM190" s="3"/>
      <c r="DEN190" s="3"/>
      <c r="DEO190" s="3"/>
      <c r="DEP190" s="3"/>
      <c r="DEQ190" s="3"/>
      <c r="DER190" s="3"/>
      <c r="DES190" s="3"/>
      <c r="DET190" s="3"/>
      <c r="DEU190" s="3"/>
      <c r="DEV190" s="3"/>
      <c r="DEW190" s="3"/>
      <c r="DEX190" s="3"/>
      <c r="DEY190" s="3"/>
      <c r="DEZ190" s="3"/>
      <c r="DFA190" s="3"/>
      <c r="DFB190" s="3"/>
      <c r="DFC190" s="3"/>
      <c r="DFD190" s="3"/>
      <c r="DFE190" s="3"/>
      <c r="DFF190" s="3"/>
      <c r="DFG190" s="3"/>
      <c r="DFH190" s="3"/>
      <c r="DFI190" s="3"/>
      <c r="DFJ190" s="3"/>
      <c r="DFK190" s="3"/>
      <c r="DFL190" s="3"/>
      <c r="DFM190" s="3"/>
      <c r="DFN190" s="3"/>
      <c r="DFO190" s="3"/>
      <c r="DFP190" s="3"/>
      <c r="DFQ190" s="3"/>
      <c r="DFR190" s="3"/>
      <c r="DFS190" s="3"/>
      <c r="DFT190" s="3"/>
      <c r="DFU190" s="3"/>
      <c r="DFV190" s="3"/>
      <c r="DFW190" s="3"/>
      <c r="DFX190" s="3"/>
      <c r="DFY190" s="3"/>
      <c r="DFZ190" s="3"/>
      <c r="DGA190" s="3"/>
      <c r="DGB190" s="3"/>
      <c r="DGC190" s="3"/>
      <c r="DGD190" s="3"/>
      <c r="DGE190" s="3"/>
      <c r="DGF190" s="3"/>
      <c r="DGG190" s="3"/>
      <c r="DGH190" s="3"/>
      <c r="DGI190" s="3"/>
      <c r="DGJ190" s="3"/>
      <c r="DGK190" s="3"/>
      <c r="DGL190" s="3"/>
      <c r="DGM190" s="3"/>
      <c r="DGN190" s="3"/>
      <c r="DGO190" s="3"/>
      <c r="DGP190" s="3"/>
      <c r="DGQ190" s="3"/>
      <c r="DGR190" s="3"/>
      <c r="DGS190" s="3"/>
      <c r="DGT190" s="3"/>
      <c r="DGU190" s="3"/>
      <c r="DGV190" s="3"/>
      <c r="DGW190" s="3"/>
      <c r="DGX190" s="3"/>
      <c r="DGY190" s="3"/>
      <c r="DGZ190" s="3"/>
      <c r="DHA190" s="3"/>
      <c r="DHB190" s="3"/>
      <c r="DHC190" s="3"/>
      <c r="DHD190" s="3"/>
      <c r="DHE190" s="3"/>
      <c r="DHF190" s="3"/>
      <c r="DHG190" s="3"/>
      <c r="DHH190" s="3"/>
      <c r="DHI190" s="3"/>
      <c r="DHJ190" s="3"/>
      <c r="DHK190" s="3"/>
      <c r="DHL190" s="3"/>
      <c r="DHM190" s="3"/>
      <c r="DHN190" s="3"/>
      <c r="DHO190" s="3"/>
      <c r="DHP190" s="3"/>
      <c r="DHQ190" s="3"/>
      <c r="DHR190" s="3"/>
      <c r="DHS190" s="3"/>
      <c r="DHT190" s="3"/>
      <c r="DHU190" s="3"/>
      <c r="DHV190" s="3"/>
      <c r="DHW190" s="3"/>
      <c r="DHX190" s="3"/>
      <c r="DHY190" s="3"/>
      <c r="DHZ190" s="3"/>
      <c r="DIA190" s="3"/>
      <c r="DIB190" s="3"/>
      <c r="DIC190" s="3"/>
      <c r="DID190" s="3"/>
      <c r="DIE190" s="3"/>
      <c r="DIF190" s="3"/>
      <c r="DIG190" s="3"/>
      <c r="DIH190" s="3"/>
      <c r="DII190" s="3"/>
      <c r="DIJ190" s="3"/>
      <c r="DIK190" s="3"/>
      <c r="DIL190" s="3"/>
      <c r="DIM190" s="3"/>
      <c r="DIN190" s="3"/>
      <c r="DIO190" s="3"/>
      <c r="DIP190" s="3"/>
      <c r="DIQ190" s="3"/>
      <c r="DIR190" s="3"/>
      <c r="DIS190" s="3"/>
      <c r="DIT190" s="3"/>
      <c r="DIU190" s="3"/>
      <c r="DIV190" s="3"/>
      <c r="DIW190" s="3"/>
      <c r="DIX190" s="3"/>
      <c r="DIY190" s="3"/>
      <c r="DIZ190" s="3"/>
      <c r="DJA190" s="3"/>
      <c r="DJB190" s="3"/>
      <c r="DJC190" s="3"/>
      <c r="DJD190" s="3"/>
      <c r="DJE190" s="3"/>
      <c r="DJF190" s="3"/>
      <c r="DJG190" s="3"/>
      <c r="DJH190" s="3"/>
      <c r="DJI190" s="3"/>
      <c r="DJJ190" s="3"/>
      <c r="DJK190" s="3"/>
      <c r="DJL190" s="3"/>
      <c r="DJM190" s="3"/>
      <c r="DJN190" s="3"/>
      <c r="DJO190" s="3"/>
      <c r="DJP190" s="3"/>
      <c r="DJQ190" s="3"/>
      <c r="DJR190" s="3"/>
      <c r="DJS190" s="3"/>
      <c r="DJT190" s="3"/>
      <c r="DJU190" s="3"/>
      <c r="DJV190" s="3"/>
      <c r="DJW190" s="3"/>
      <c r="DJX190" s="3"/>
      <c r="DJY190" s="3"/>
      <c r="DJZ190" s="3"/>
      <c r="DKA190" s="3"/>
      <c r="DKB190" s="3"/>
      <c r="DKC190" s="3"/>
      <c r="DKD190" s="3"/>
      <c r="DKE190" s="3"/>
      <c r="DKF190" s="3"/>
      <c r="DKG190" s="3"/>
      <c r="DKH190" s="3"/>
      <c r="DKI190" s="3"/>
      <c r="DKJ190" s="3"/>
      <c r="DKK190" s="3"/>
      <c r="DKL190" s="3"/>
      <c r="DKM190" s="3"/>
      <c r="DKN190" s="3"/>
      <c r="DKO190" s="3"/>
      <c r="DKP190" s="3"/>
      <c r="DKQ190" s="3"/>
      <c r="DKR190" s="3"/>
      <c r="DKS190" s="3"/>
      <c r="DKT190" s="3"/>
      <c r="DKU190" s="3"/>
      <c r="DKV190" s="3"/>
      <c r="DKW190" s="3"/>
      <c r="DKX190" s="3"/>
      <c r="DKY190" s="3"/>
      <c r="DKZ190" s="3"/>
      <c r="DLA190" s="3"/>
      <c r="DLB190" s="3"/>
      <c r="DLC190" s="3"/>
      <c r="DLD190" s="3"/>
      <c r="DLE190" s="3"/>
      <c r="DLF190" s="3"/>
      <c r="DLG190" s="3"/>
      <c r="DLH190" s="3"/>
      <c r="DLI190" s="3"/>
      <c r="DLJ190" s="3"/>
      <c r="DLK190" s="3"/>
      <c r="DLL190" s="3"/>
      <c r="DLM190" s="3"/>
      <c r="DLN190" s="3"/>
      <c r="DLO190" s="3"/>
      <c r="DLP190" s="3"/>
      <c r="DLQ190" s="3"/>
      <c r="DLR190" s="3"/>
      <c r="DLS190" s="3"/>
      <c r="DLT190" s="3"/>
      <c r="DLU190" s="3"/>
      <c r="DLV190" s="3"/>
      <c r="DLW190" s="3"/>
      <c r="DLX190" s="3"/>
      <c r="DLY190" s="3"/>
      <c r="DLZ190" s="3"/>
      <c r="DMA190" s="3"/>
      <c r="DMB190" s="3"/>
      <c r="DMC190" s="3"/>
      <c r="DMD190" s="3"/>
      <c r="DME190" s="3"/>
      <c r="DMF190" s="3"/>
      <c r="DMG190" s="3"/>
      <c r="DMH190" s="3"/>
      <c r="DMI190" s="3"/>
      <c r="DMJ190" s="3"/>
      <c r="DMK190" s="3"/>
      <c r="DML190" s="3"/>
      <c r="DMM190" s="3"/>
      <c r="DMN190" s="3"/>
      <c r="DMO190" s="3"/>
      <c r="DMP190" s="3"/>
      <c r="DMQ190" s="3"/>
      <c r="DMR190" s="3"/>
      <c r="DMS190" s="3"/>
      <c r="DMT190" s="3"/>
      <c r="DMU190" s="3"/>
      <c r="DMV190" s="3"/>
      <c r="DMW190" s="3"/>
      <c r="DMX190" s="3"/>
      <c r="DMY190" s="3"/>
      <c r="DMZ190" s="3"/>
      <c r="DNA190" s="3"/>
      <c r="DNB190" s="3"/>
      <c r="DNC190" s="3"/>
      <c r="DND190" s="3"/>
      <c r="DNE190" s="3"/>
      <c r="DNF190" s="3"/>
      <c r="DNG190" s="3"/>
      <c r="DNH190" s="3"/>
      <c r="DNI190" s="3"/>
      <c r="DNJ190" s="3"/>
      <c r="DNK190" s="3"/>
      <c r="DNL190" s="3"/>
      <c r="DNM190" s="3"/>
      <c r="DNN190" s="3"/>
      <c r="DNO190" s="3"/>
      <c r="DNP190" s="3"/>
      <c r="DNQ190" s="3"/>
      <c r="DNR190" s="3"/>
      <c r="DNS190" s="3"/>
      <c r="DNT190" s="3"/>
      <c r="DNU190" s="3"/>
      <c r="DNV190" s="3"/>
      <c r="DNW190" s="3"/>
      <c r="DNX190" s="3"/>
      <c r="DNY190" s="3"/>
      <c r="DNZ190" s="3"/>
      <c r="DOA190" s="3"/>
      <c r="DOB190" s="3"/>
      <c r="DOC190" s="3"/>
      <c r="DOD190" s="3"/>
      <c r="DOE190" s="3"/>
      <c r="DOF190" s="3"/>
      <c r="DOG190" s="3"/>
      <c r="DOH190" s="3"/>
      <c r="DOI190" s="3"/>
      <c r="DOJ190" s="3"/>
      <c r="DOK190" s="3"/>
      <c r="DOL190" s="3"/>
      <c r="DOM190" s="3"/>
      <c r="DON190" s="3"/>
      <c r="DOO190" s="3"/>
      <c r="DOP190" s="3"/>
      <c r="DOQ190" s="3"/>
      <c r="DOR190" s="3"/>
      <c r="DOS190" s="3"/>
      <c r="DOT190" s="3"/>
      <c r="DOU190" s="3"/>
      <c r="DOV190" s="3"/>
      <c r="DOW190" s="3"/>
      <c r="DOX190" s="3"/>
      <c r="DOY190" s="3"/>
      <c r="DOZ190" s="3"/>
      <c r="DPA190" s="3"/>
      <c r="DPB190" s="3"/>
      <c r="DPC190" s="3"/>
      <c r="DPD190" s="3"/>
      <c r="DPE190" s="3"/>
      <c r="DPF190" s="3"/>
      <c r="DPG190" s="3"/>
      <c r="DPH190" s="3"/>
      <c r="DPI190" s="3"/>
      <c r="DPJ190" s="3"/>
      <c r="DPK190" s="3"/>
      <c r="DPL190" s="3"/>
      <c r="DPM190" s="3"/>
      <c r="DPN190" s="3"/>
      <c r="DPO190" s="3"/>
      <c r="DPP190" s="3"/>
      <c r="DPQ190" s="3"/>
      <c r="DPR190" s="3"/>
      <c r="DPS190" s="3"/>
      <c r="DPT190" s="3"/>
      <c r="DPU190" s="3"/>
      <c r="DPV190" s="3"/>
      <c r="DPW190" s="3"/>
      <c r="DPX190" s="3"/>
      <c r="DPY190" s="3"/>
      <c r="DPZ190" s="3"/>
      <c r="DQA190" s="3"/>
      <c r="DQB190" s="3"/>
      <c r="DQC190" s="3"/>
      <c r="DQD190" s="3"/>
      <c r="DQE190" s="3"/>
      <c r="DQF190" s="3"/>
      <c r="DQG190" s="3"/>
      <c r="DQH190" s="3"/>
      <c r="DQI190" s="3"/>
      <c r="DQJ190" s="3"/>
      <c r="DQK190" s="3"/>
      <c r="DQL190" s="3"/>
      <c r="DQM190" s="3"/>
      <c r="DQN190" s="3"/>
      <c r="DQO190" s="3"/>
      <c r="DQP190" s="3"/>
      <c r="DQQ190" s="3"/>
      <c r="DQR190" s="3"/>
      <c r="DQS190" s="3"/>
      <c r="DQT190" s="3"/>
      <c r="DQU190" s="3"/>
      <c r="DQV190" s="3"/>
      <c r="DQW190" s="3"/>
      <c r="DQX190" s="3"/>
      <c r="DQY190" s="3"/>
      <c r="DQZ190" s="3"/>
      <c r="DRA190" s="3"/>
      <c r="DRB190" s="3"/>
      <c r="DRC190" s="3"/>
      <c r="DRD190" s="3"/>
      <c r="DRE190" s="3"/>
      <c r="DRF190" s="3"/>
      <c r="DRG190" s="3"/>
      <c r="DRH190" s="3"/>
      <c r="DRI190" s="3"/>
      <c r="DRJ190" s="3"/>
      <c r="DRK190" s="3"/>
      <c r="DRL190" s="3"/>
      <c r="DRM190" s="3"/>
      <c r="DRN190" s="3"/>
      <c r="DRO190" s="3"/>
      <c r="DRP190" s="3"/>
      <c r="DRQ190" s="3"/>
      <c r="DRR190" s="3"/>
      <c r="DRS190" s="3"/>
      <c r="DRT190" s="3"/>
      <c r="DRU190" s="3"/>
      <c r="DRV190" s="3"/>
      <c r="DRW190" s="3"/>
      <c r="DRX190" s="3"/>
      <c r="DRY190" s="3"/>
      <c r="DRZ190" s="3"/>
      <c r="DSA190" s="3"/>
      <c r="DSB190" s="3"/>
      <c r="DSC190" s="3"/>
      <c r="DSD190" s="3"/>
      <c r="DSE190" s="3"/>
      <c r="DSF190" s="3"/>
      <c r="DSG190" s="3"/>
      <c r="DSH190" s="3"/>
      <c r="DSI190" s="3"/>
      <c r="DSJ190" s="3"/>
      <c r="DSK190" s="3"/>
      <c r="DSL190" s="3"/>
      <c r="DSM190" s="3"/>
      <c r="DSN190" s="3"/>
      <c r="DSO190" s="3"/>
      <c r="DSP190" s="3"/>
      <c r="DSQ190" s="3"/>
      <c r="DSR190" s="3"/>
      <c r="DSS190" s="3"/>
      <c r="DST190" s="3"/>
      <c r="DSU190" s="3"/>
      <c r="DSV190" s="3"/>
      <c r="DSW190" s="3"/>
      <c r="DSX190" s="3"/>
      <c r="DSY190" s="3"/>
      <c r="DSZ190" s="3"/>
      <c r="DTA190" s="3"/>
      <c r="DTB190" s="3"/>
      <c r="DTC190" s="3"/>
      <c r="DTD190" s="3"/>
      <c r="DTE190" s="3"/>
      <c r="DTF190" s="3"/>
      <c r="DTG190" s="3"/>
      <c r="DTH190" s="3"/>
      <c r="DTI190" s="3"/>
      <c r="DTJ190" s="3"/>
      <c r="DTK190" s="3"/>
      <c r="DTL190" s="3"/>
      <c r="DTM190" s="3"/>
      <c r="DTN190" s="3"/>
      <c r="DTO190" s="3"/>
      <c r="DTP190" s="3"/>
      <c r="DTQ190" s="3"/>
      <c r="DTR190" s="3"/>
      <c r="DTS190" s="3"/>
      <c r="DTT190" s="3"/>
      <c r="DTU190" s="3"/>
      <c r="DTV190" s="3"/>
      <c r="DTW190" s="3"/>
      <c r="DTX190" s="3"/>
      <c r="DTY190" s="3"/>
      <c r="DTZ190" s="3"/>
      <c r="DUA190" s="3"/>
      <c r="DUB190" s="3"/>
      <c r="DUC190" s="3"/>
      <c r="DUD190" s="3"/>
      <c r="DUE190" s="3"/>
      <c r="DUF190" s="3"/>
      <c r="DUG190" s="3"/>
      <c r="DUH190" s="3"/>
      <c r="DUI190" s="3"/>
      <c r="DUJ190" s="3"/>
      <c r="DUK190" s="3"/>
      <c r="DUL190" s="3"/>
      <c r="DUM190" s="3"/>
      <c r="DUN190" s="3"/>
      <c r="DUO190" s="3"/>
      <c r="DUP190" s="3"/>
      <c r="DUQ190" s="3"/>
      <c r="DUR190" s="3"/>
      <c r="DUS190" s="3"/>
      <c r="DUT190" s="3"/>
      <c r="DUU190" s="3"/>
      <c r="DUV190" s="3"/>
      <c r="DUW190" s="3"/>
      <c r="DUX190" s="3"/>
      <c r="DUY190" s="3"/>
      <c r="DUZ190" s="3"/>
      <c r="DVA190" s="3"/>
      <c r="DVB190" s="3"/>
      <c r="DVC190" s="3"/>
      <c r="DVD190" s="3"/>
      <c r="DVE190" s="3"/>
      <c r="DVF190" s="3"/>
      <c r="DVG190" s="3"/>
      <c r="DVH190" s="3"/>
      <c r="DVI190" s="3"/>
      <c r="DVJ190" s="3"/>
      <c r="DVK190" s="3"/>
      <c r="DVL190" s="3"/>
      <c r="DVM190" s="3"/>
      <c r="DVN190" s="3"/>
      <c r="DVO190" s="3"/>
      <c r="DVP190" s="3"/>
      <c r="DVQ190" s="3"/>
      <c r="DVR190" s="3"/>
      <c r="DVS190" s="3"/>
      <c r="DVT190" s="3"/>
      <c r="DVU190" s="3"/>
      <c r="DVV190" s="3"/>
      <c r="DVW190" s="3"/>
      <c r="DVX190" s="3"/>
      <c r="DVY190" s="3"/>
      <c r="DVZ190" s="3"/>
      <c r="DWA190" s="3"/>
      <c r="DWB190" s="3"/>
      <c r="DWC190" s="3"/>
      <c r="DWD190" s="3"/>
      <c r="DWE190" s="3"/>
      <c r="DWF190" s="3"/>
      <c r="DWG190" s="3"/>
      <c r="DWH190" s="3"/>
      <c r="DWI190" s="3"/>
      <c r="DWJ190" s="3"/>
      <c r="DWK190" s="3"/>
      <c r="DWL190" s="3"/>
      <c r="DWM190" s="3"/>
      <c r="DWN190" s="3"/>
      <c r="DWO190" s="3"/>
      <c r="DWP190" s="3"/>
      <c r="DWQ190" s="3"/>
      <c r="DWR190" s="3"/>
      <c r="DWS190" s="3"/>
      <c r="DWT190" s="3"/>
      <c r="DWU190" s="3"/>
      <c r="DWV190" s="3"/>
      <c r="DWW190" s="3"/>
      <c r="DWX190" s="3"/>
      <c r="DWY190" s="3"/>
      <c r="DWZ190" s="3"/>
      <c r="DXA190" s="3"/>
      <c r="DXB190" s="3"/>
      <c r="DXC190" s="3"/>
      <c r="DXD190" s="3"/>
      <c r="DXE190" s="3"/>
      <c r="DXF190" s="3"/>
      <c r="DXG190" s="3"/>
      <c r="DXH190" s="3"/>
      <c r="DXI190" s="3"/>
      <c r="DXJ190" s="3"/>
      <c r="DXK190" s="3"/>
      <c r="DXL190" s="3"/>
      <c r="DXM190" s="3"/>
      <c r="DXN190" s="3"/>
      <c r="DXO190" s="3"/>
      <c r="DXP190" s="3"/>
      <c r="DXQ190" s="3"/>
      <c r="DXR190" s="3"/>
      <c r="DXS190" s="3"/>
      <c r="DXT190" s="3"/>
      <c r="DXU190" s="3"/>
      <c r="DXV190" s="3"/>
      <c r="DXW190" s="3"/>
      <c r="DXX190" s="3"/>
      <c r="DXY190" s="3"/>
      <c r="DXZ190" s="3"/>
      <c r="DYA190" s="3"/>
      <c r="DYB190" s="3"/>
      <c r="DYC190" s="3"/>
      <c r="DYD190" s="3"/>
      <c r="DYE190" s="3"/>
      <c r="DYF190" s="3"/>
      <c r="DYG190" s="3"/>
      <c r="DYH190" s="3"/>
      <c r="DYI190" s="3"/>
      <c r="DYJ190" s="3"/>
      <c r="DYK190" s="3"/>
      <c r="DYL190" s="3"/>
      <c r="DYM190" s="3"/>
      <c r="DYN190" s="3"/>
      <c r="DYO190" s="3"/>
      <c r="DYP190" s="3"/>
      <c r="DYQ190" s="3"/>
      <c r="DYR190" s="3"/>
      <c r="DYS190" s="3"/>
      <c r="DYT190" s="3"/>
      <c r="DYU190" s="3"/>
      <c r="DYV190" s="3"/>
      <c r="DYW190" s="3"/>
      <c r="DYX190" s="3"/>
      <c r="DYY190" s="3"/>
      <c r="DYZ190" s="3"/>
      <c r="DZA190" s="3"/>
      <c r="DZB190" s="3"/>
      <c r="DZC190" s="3"/>
      <c r="DZD190" s="3"/>
      <c r="DZE190" s="3"/>
      <c r="DZF190" s="3"/>
      <c r="DZG190" s="3"/>
      <c r="DZH190" s="3"/>
      <c r="DZI190" s="3"/>
      <c r="DZJ190" s="3"/>
      <c r="DZK190" s="3"/>
      <c r="DZL190" s="3"/>
      <c r="DZM190" s="3"/>
      <c r="DZN190" s="3"/>
      <c r="DZO190" s="3"/>
      <c r="DZP190" s="3"/>
      <c r="DZQ190" s="3"/>
      <c r="DZR190" s="3"/>
      <c r="DZS190" s="3"/>
      <c r="DZT190" s="3"/>
      <c r="DZU190" s="3"/>
      <c r="DZV190" s="3"/>
      <c r="DZW190" s="3"/>
      <c r="DZX190" s="3"/>
      <c r="DZY190" s="3"/>
      <c r="DZZ190" s="3"/>
      <c r="EAA190" s="3"/>
      <c r="EAB190" s="3"/>
      <c r="EAC190" s="3"/>
      <c r="EAD190" s="3"/>
      <c r="EAE190" s="3"/>
      <c r="EAF190" s="3"/>
      <c r="EAG190" s="3"/>
      <c r="EAH190" s="3"/>
      <c r="EAI190" s="3"/>
      <c r="EAJ190" s="3"/>
      <c r="EAK190" s="3"/>
      <c r="EAL190" s="3"/>
      <c r="EAM190" s="3"/>
      <c r="EAN190" s="3"/>
      <c r="EAO190" s="3"/>
      <c r="EAP190" s="3"/>
      <c r="EAQ190" s="3"/>
      <c r="EAR190" s="3"/>
      <c r="EAS190" s="3"/>
      <c r="EAT190" s="3"/>
      <c r="EAU190" s="3"/>
      <c r="EAV190" s="3"/>
      <c r="EAW190" s="3"/>
      <c r="EAX190" s="3"/>
      <c r="EAY190" s="3"/>
      <c r="EAZ190" s="3"/>
      <c r="EBA190" s="3"/>
      <c r="EBB190" s="3"/>
      <c r="EBC190" s="3"/>
      <c r="EBD190" s="3"/>
      <c r="EBE190" s="3"/>
      <c r="EBF190" s="3"/>
      <c r="EBG190" s="3"/>
      <c r="EBH190" s="3"/>
      <c r="EBI190" s="3"/>
      <c r="EBJ190" s="3"/>
      <c r="EBK190" s="3"/>
      <c r="EBL190" s="3"/>
      <c r="EBM190" s="3"/>
      <c r="EBN190" s="3"/>
      <c r="EBO190" s="3"/>
      <c r="EBP190" s="3"/>
      <c r="EBQ190" s="3"/>
      <c r="EBR190" s="3"/>
      <c r="EBS190" s="3"/>
      <c r="EBT190" s="3"/>
      <c r="EBU190" s="3"/>
      <c r="EBV190" s="3"/>
      <c r="EBW190" s="3"/>
      <c r="EBX190" s="3"/>
      <c r="EBY190" s="3"/>
      <c r="EBZ190" s="3"/>
      <c r="ECA190" s="3"/>
      <c r="ECB190" s="3"/>
      <c r="ECC190" s="3"/>
      <c r="ECD190" s="3"/>
      <c r="ECE190" s="3"/>
      <c r="ECF190" s="3"/>
      <c r="ECG190" s="3"/>
      <c r="ECH190" s="3"/>
      <c r="ECI190" s="3"/>
      <c r="ECJ190" s="3"/>
      <c r="ECK190" s="3"/>
      <c r="ECL190" s="3"/>
      <c r="ECM190" s="3"/>
      <c r="ECN190" s="3"/>
      <c r="ECO190" s="3"/>
      <c r="ECP190" s="3"/>
      <c r="ECQ190" s="3"/>
      <c r="ECR190" s="3"/>
      <c r="ECS190" s="3"/>
      <c r="ECT190" s="3"/>
      <c r="ECU190" s="3"/>
      <c r="ECV190" s="3"/>
      <c r="ECW190" s="3"/>
      <c r="ECX190" s="3"/>
      <c r="ECY190" s="3"/>
      <c r="ECZ190" s="3"/>
      <c r="EDA190" s="3"/>
      <c r="EDB190" s="3"/>
      <c r="EDC190" s="3"/>
      <c r="EDD190" s="3"/>
      <c r="EDE190" s="3"/>
      <c r="EDF190" s="3"/>
      <c r="EDG190" s="3"/>
      <c r="EDH190" s="3"/>
      <c r="EDI190" s="3"/>
      <c r="EDJ190" s="3"/>
      <c r="EDK190" s="3"/>
      <c r="EDL190" s="3"/>
      <c r="EDM190" s="3"/>
      <c r="EDN190" s="3"/>
      <c r="EDO190" s="3"/>
      <c r="EDP190" s="3"/>
      <c r="EDQ190" s="3"/>
      <c r="EDR190" s="3"/>
      <c r="EDS190" s="3"/>
      <c r="EDT190" s="3"/>
      <c r="EDU190" s="3"/>
      <c r="EDV190" s="3"/>
      <c r="EDW190" s="3"/>
      <c r="EDX190" s="3"/>
      <c r="EDY190" s="3"/>
      <c r="EDZ190" s="3"/>
      <c r="EEA190" s="3"/>
      <c r="EEB190" s="3"/>
      <c r="EEC190" s="3"/>
      <c r="EED190" s="3"/>
      <c r="EEE190" s="3"/>
      <c r="EEF190" s="3"/>
      <c r="EEG190" s="3"/>
      <c r="EEH190" s="3"/>
      <c r="EEI190" s="3"/>
      <c r="EEJ190" s="3"/>
      <c r="EEK190" s="3"/>
      <c r="EEL190" s="3"/>
      <c r="EEM190" s="3"/>
      <c r="EEN190" s="3"/>
      <c r="EEO190" s="3"/>
      <c r="EEP190" s="3"/>
      <c r="EEQ190" s="3"/>
      <c r="EER190" s="3"/>
      <c r="EES190" s="3"/>
      <c r="EET190" s="3"/>
      <c r="EEU190" s="3"/>
      <c r="EEV190" s="3"/>
      <c r="EEW190" s="3"/>
      <c r="EEX190" s="3"/>
      <c r="EEY190" s="3"/>
      <c r="EEZ190" s="3"/>
      <c r="EFA190" s="3"/>
      <c r="EFB190" s="3"/>
      <c r="EFC190" s="3"/>
      <c r="EFD190" s="3"/>
      <c r="EFE190" s="3"/>
      <c r="EFF190" s="3"/>
      <c r="EFG190" s="3"/>
      <c r="EFH190" s="3"/>
      <c r="EFI190" s="3"/>
      <c r="EFJ190" s="3"/>
      <c r="EFK190" s="3"/>
      <c r="EFL190" s="3"/>
      <c r="EFM190" s="3"/>
      <c r="EFN190" s="3"/>
      <c r="EFO190" s="3"/>
      <c r="EFP190" s="3"/>
      <c r="EFQ190" s="3"/>
      <c r="EFR190" s="3"/>
      <c r="EFS190" s="3"/>
      <c r="EFT190" s="3"/>
      <c r="EFU190" s="3"/>
      <c r="EFV190" s="3"/>
      <c r="EFW190" s="3"/>
      <c r="EFX190" s="3"/>
      <c r="EFY190" s="3"/>
      <c r="EFZ190" s="3"/>
      <c r="EGA190" s="3"/>
      <c r="EGB190" s="3"/>
      <c r="EGC190" s="3"/>
      <c r="EGD190" s="3"/>
      <c r="EGE190" s="3"/>
      <c r="EGF190" s="3"/>
      <c r="EGG190" s="3"/>
      <c r="EGH190" s="3"/>
      <c r="EGI190" s="3"/>
      <c r="EGJ190" s="3"/>
      <c r="EGK190" s="3"/>
      <c r="EGL190" s="3"/>
      <c r="EGM190" s="3"/>
      <c r="EGN190" s="3"/>
      <c r="EGO190" s="3"/>
      <c r="EGP190" s="3"/>
      <c r="EGQ190" s="3"/>
      <c r="EGR190" s="3"/>
      <c r="EGS190" s="3"/>
      <c r="EGT190" s="3"/>
      <c r="EGU190" s="3"/>
      <c r="EGV190" s="3"/>
      <c r="EGW190" s="3"/>
      <c r="EGX190" s="3"/>
      <c r="EGY190" s="3"/>
      <c r="EGZ190" s="3"/>
      <c r="EHA190" s="3"/>
      <c r="EHB190" s="3"/>
      <c r="EHC190" s="3"/>
      <c r="EHD190" s="3"/>
      <c r="EHE190" s="3"/>
      <c r="EHF190" s="3"/>
      <c r="EHG190" s="3"/>
      <c r="EHH190" s="3"/>
      <c r="EHI190" s="3"/>
      <c r="EHJ190" s="3"/>
      <c r="EHK190" s="3"/>
      <c r="EHL190" s="3"/>
      <c r="EHM190" s="3"/>
      <c r="EHN190" s="3"/>
      <c r="EHO190" s="3"/>
      <c r="EHP190" s="3"/>
      <c r="EHQ190" s="3"/>
      <c r="EHR190" s="3"/>
      <c r="EHS190" s="3"/>
      <c r="EHT190" s="3"/>
      <c r="EHU190" s="3"/>
      <c r="EHV190" s="3"/>
      <c r="EHW190" s="3"/>
      <c r="EHX190" s="3"/>
      <c r="EHY190" s="3"/>
      <c r="EHZ190" s="3"/>
      <c r="EIA190" s="3"/>
      <c r="EIB190" s="3"/>
      <c r="EIC190" s="3"/>
      <c r="EID190" s="3"/>
      <c r="EIE190" s="3"/>
      <c r="EIF190" s="3"/>
      <c r="EIG190" s="3"/>
      <c r="EIH190" s="3"/>
      <c r="EII190" s="3"/>
      <c r="EIJ190" s="3"/>
      <c r="EIK190" s="3"/>
      <c r="EIL190" s="3"/>
      <c r="EIM190" s="3"/>
      <c r="EIN190" s="3"/>
      <c r="EIO190" s="3"/>
      <c r="EIP190" s="3"/>
      <c r="EIQ190" s="3"/>
      <c r="EIR190" s="3"/>
      <c r="EIS190" s="3"/>
      <c r="EIT190" s="3"/>
      <c r="EIU190" s="3"/>
      <c r="EIV190" s="3"/>
      <c r="EIW190" s="3"/>
      <c r="EIX190" s="3"/>
      <c r="EIY190" s="3"/>
      <c r="EIZ190" s="3"/>
      <c r="EJA190" s="3"/>
      <c r="EJB190" s="3"/>
      <c r="EJC190" s="3"/>
      <c r="EJD190" s="3"/>
      <c r="EJE190" s="3"/>
      <c r="EJF190" s="3"/>
      <c r="EJG190" s="3"/>
      <c r="EJH190" s="3"/>
      <c r="EJI190" s="3"/>
      <c r="EJJ190" s="3"/>
      <c r="EJK190" s="3"/>
      <c r="EJL190" s="3"/>
      <c r="EJM190" s="3"/>
      <c r="EJN190" s="3"/>
      <c r="EJO190" s="3"/>
      <c r="EJP190" s="3"/>
      <c r="EJQ190" s="3"/>
      <c r="EJR190" s="3"/>
      <c r="EJS190" s="3"/>
      <c r="EJT190" s="3"/>
      <c r="EJU190" s="3"/>
      <c r="EJV190" s="3"/>
      <c r="EJW190" s="3"/>
      <c r="EJX190" s="3"/>
      <c r="EJY190" s="3"/>
      <c r="EJZ190" s="3"/>
      <c r="EKA190" s="3"/>
      <c r="EKB190" s="3"/>
      <c r="EKC190" s="3"/>
      <c r="EKD190" s="3"/>
      <c r="EKE190" s="3"/>
      <c r="EKF190" s="3"/>
      <c r="EKG190" s="3"/>
      <c r="EKH190" s="3"/>
      <c r="EKI190" s="3"/>
      <c r="EKJ190" s="3"/>
      <c r="EKK190" s="3"/>
      <c r="EKL190" s="3"/>
      <c r="EKM190" s="3"/>
      <c r="EKN190" s="3"/>
      <c r="EKO190" s="3"/>
      <c r="EKP190" s="3"/>
      <c r="EKQ190" s="3"/>
      <c r="EKR190" s="3"/>
      <c r="EKS190" s="3"/>
      <c r="EKT190" s="3"/>
      <c r="EKU190" s="3"/>
      <c r="EKV190" s="3"/>
      <c r="EKW190" s="3"/>
      <c r="EKX190" s="3"/>
      <c r="EKY190" s="3"/>
      <c r="EKZ190" s="3"/>
      <c r="ELA190" s="3"/>
      <c r="ELB190" s="3"/>
      <c r="ELC190" s="3"/>
      <c r="ELD190" s="3"/>
      <c r="ELE190" s="3"/>
      <c r="ELF190" s="3"/>
      <c r="ELG190" s="3"/>
      <c r="ELH190" s="3"/>
      <c r="ELI190" s="3"/>
      <c r="ELJ190" s="3"/>
      <c r="ELK190" s="3"/>
      <c r="ELL190" s="3"/>
      <c r="ELM190" s="3"/>
      <c r="ELN190" s="3"/>
      <c r="ELO190" s="3"/>
      <c r="ELP190" s="3"/>
      <c r="ELQ190" s="3"/>
      <c r="ELR190" s="3"/>
      <c r="ELS190" s="3"/>
      <c r="ELT190" s="3"/>
      <c r="ELU190" s="3"/>
      <c r="ELV190" s="3"/>
      <c r="ELW190" s="3"/>
      <c r="ELX190" s="3"/>
      <c r="ELY190" s="3"/>
      <c r="ELZ190" s="3"/>
      <c r="EMA190" s="3"/>
      <c r="EMB190" s="3"/>
      <c r="EMC190" s="3"/>
      <c r="EMD190" s="3"/>
      <c r="EME190" s="3"/>
      <c r="EMF190" s="3"/>
      <c r="EMG190" s="3"/>
      <c r="EMH190" s="3"/>
      <c r="EMI190" s="3"/>
      <c r="EMJ190" s="3"/>
      <c r="EMK190" s="3"/>
      <c r="EML190" s="3"/>
      <c r="EMM190" s="3"/>
      <c r="EMN190" s="3"/>
      <c r="EMO190" s="3"/>
      <c r="EMP190" s="3"/>
      <c r="EMQ190" s="3"/>
      <c r="EMR190" s="3"/>
      <c r="EMS190" s="3"/>
      <c r="EMT190" s="3"/>
      <c r="EMU190" s="3"/>
      <c r="EMV190" s="3"/>
      <c r="EMW190" s="3"/>
      <c r="EMX190" s="3"/>
      <c r="EMY190" s="3"/>
      <c r="EMZ190" s="3"/>
      <c r="ENA190" s="3"/>
      <c r="ENB190" s="3"/>
      <c r="ENC190" s="3"/>
      <c r="END190" s="3"/>
      <c r="ENE190" s="3"/>
      <c r="ENF190" s="3"/>
      <c r="ENG190" s="3"/>
      <c r="ENH190" s="3"/>
      <c r="ENI190" s="3"/>
      <c r="ENJ190" s="3"/>
      <c r="ENK190" s="3"/>
      <c r="ENL190" s="3"/>
      <c r="ENM190" s="3"/>
      <c r="ENN190" s="3"/>
      <c r="ENO190" s="3"/>
      <c r="ENP190" s="3"/>
      <c r="ENQ190" s="3"/>
      <c r="ENR190" s="3"/>
      <c r="ENS190" s="3"/>
      <c r="ENT190" s="3"/>
      <c r="ENU190" s="3"/>
      <c r="ENV190" s="3"/>
      <c r="ENW190" s="3"/>
      <c r="ENX190" s="3"/>
      <c r="ENY190" s="3"/>
      <c r="ENZ190" s="3"/>
      <c r="EOA190" s="3"/>
      <c r="EOB190" s="3"/>
      <c r="EOC190" s="3"/>
      <c r="EOD190" s="3"/>
      <c r="EOE190" s="3"/>
      <c r="EOF190" s="3"/>
      <c r="EOG190" s="3"/>
      <c r="EOH190" s="3"/>
      <c r="EOI190" s="3"/>
      <c r="EOJ190" s="3"/>
      <c r="EOK190" s="3"/>
      <c r="EOL190" s="3"/>
      <c r="EOM190" s="3"/>
      <c r="EON190" s="3"/>
      <c r="EOO190" s="3"/>
      <c r="EOP190" s="3"/>
      <c r="EOQ190" s="3"/>
      <c r="EOR190" s="3"/>
      <c r="EOS190" s="3"/>
      <c r="EOT190" s="3"/>
      <c r="EOU190" s="3"/>
      <c r="EOV190" s="3"/>
      <c r="EOW190" s="3"/>
      <c r="EOX190" s="3"/>
      <c r="EOY190" s="3"/>
      <c r="EOZ190" s="3"/>
      <c r="EPA190" s="3"/>
      <c r="EPB190" s="3"/>
      <c r="EPC190" s="3"/>
      <c r="EPD190" s="3"/>
      <c r="EPE190" s="3"/>
      <c r="EPF190" s="3"/>
      <c r="EPG190" s="3"/>
      <c r="EPH190" s="3"/>
      <c r="EPI190" s="3"/>
      <c r="EPJ190" s="3"/>
      <c r="EPK190" s="3"/>
      <c r="EPL190" s="3"/>
      <c r="EPM190" s="3"/>
      <c r="EPN190" s="3"/>
      <c r="EPO190" s="3"/>
      <c r="EPP190" s="3"/>
      <c r="EPQ190" s="3"/>
      <c r="EPR190" s="3"/>
      <c r="EPS190" s="3"/>
      <c r="EPT190" s="3"/>
      <c r="EPU190" s="3"/>
      <c r="EPV190" s="3"/>
      <c r="EPW190" s="3"/>
      <c r="EPX190" s="3"/>
      <c r="EPY190" s="3"/>
      <c r="EPZ190" s="3"/>
      <c r="EQA190" s="3"/>
      <c r="EQB190" s="3"/>
      <c r="EQC190" s="3"/>
      <c r="EQD190" s="3"/>
      <c r="EQE190" s="3"/>
      <c r="EQF190" s="3"/>
      <c r="EQG190" s="3"/>
      <c r="EQH190" s="3"/>
      <c r="EQI190" s="3"/>
      <c r="EQJ190" s="3"/>
      <c r="EQK190" s="3"/>
      <c r="EQL190" s="3"/>
      <c r="EQM190" s="3"/>
      <c r="EQN190" s="3"/>
      <c r="EQO190" s="3"/>
      <c r="EQP190" s="3"/>
      <c r="EQQ190" s="3"/>
      <c r="EQR190" s="3"/>
      <c r="EQS190" s="3"/>
      <c r="EQT190" s="3"/>
      <c r="EQU190" s="3"/>
      <c r="EQV190" s="3"/>
      <c r="EQW190" s="3"/>
      <c r="EQX190" s="3"/>
      <c r="EQY190" s="3"/>
      <c r="EQZ190" s="3"/>
      <c r="ERA190" s="3"/>
      <c r="ERB190" s="3"/>
      <c r="ERC190" s="3"/>
      <c r="ERD190" s="3"/>
      <c r="ERE190" s="3"/>
      <c r="ERF190" s="3"/>
      <c r="ERG190" s="3"/>
      <c r="ERH190" s="3"/>
      <c r="ERI190" s="3"/>
      <c r="ERJ190" s="3"/>
      <c r="ERK190" s="3"/>
      <c r="ERL190" s="3"/>
      <c r="ERM190" s="3"/>
      <c r="ERN190" s="3"/>
      <c r="ERO190" s="3"/>
      <c r="ERP190" s="3"/>
      <c r="ERQ190" s="3"/>
      <c r="ERR190" s="3"/>
      <c r="ERS190" s="3"/>
      <c r="ERT190" s="3"/>
      <c r="ERU190" s="3"/>
      <c r="ERV190" s="3"/>
      <c r="ERW190" s="3"/>
      <c r="ERX190" s="3"/>
      <c r="ERY190" s="3"/>
      <c r="ERZ190" s="3"/>
      <c r="ESA190" s="3"/>
      <c r="ESB190" s="3"/>
      <c r="ESC190" s="3"/>
      <c r="ESD190" s="3"/>
      <c r="ESE190" s="3"/>
      <c r="ESF190" s="3"/>
      <c r="ESG190" s="3"/>
      <c r="ESH190" s="3"/>
      <c r="ESI190" s="3"/>
      <c r="ESJ190" s="3"/>
      <c r="ESK190" s="3"/>
      <c r="ESL190" s="3"/>
      <c r="ESM190" s="3"/>
      <c r="ESN190" s="3"/>
      <c r="ESO190" s="3"/>
      <c r="ESP190" s="3"/>
      <c r="ESQ190" s="3"/>
      <c r="ESR190" s="3"/>
      <c r="ESS190" s="3"/>
      <c r="EST190" s="3"/>
      <c r="ESU190" s="3"/>
      <c r="ESV190" s="3"/>
      <c r="ESW190" s="3"/>
      <c r="ESX190" s="3"/>
      <c r="ESY190" s="3"/>
      <c r="ESZ190" s="3"/>
      <c r="ETA190" s="3"/>
      <c r="ETB190" s="3"/>
      <c r="ETC190" s="3"/>
      <c r="ETD190" s="3"/>
      <c r="ETE190" s="3"/>
      <c r="ETF190" s="3"/>
      <c r="ETG190" s="3"/>
      <c r="ETH190" s="3"/>
      <c r="ETI190" s="3"/>
      <c r="ETJ190" s="3"/>
      <c r="ETK190" s="3"/>
      <c r="ETL190" s="3"/>
      <c r="ETM190" s="3"/>
      <c r="ETN190" s="3"/>
      <c r="ETO190" s="3"/>
      <c r="ETP190" s="3"/>
      <c r="ETQ190" s="3"/>
      <c r="ETR190" s="3"/>
      <c r="ETS190" s="3"/>
      <c r="ETT190" s="3"/>
      <c r="ETU190" s="3"/>
      <c r="ETV190" s="3"/>
      <c r="ETW190" s="3"/>
      <c r="ETX190" s="3"/>
      <c r="ETY190" s="3"/>
      <c r="ETZ190" s="3"/>
      <c r="EUA190" s="3"/>
      <c r="EUB190" s="3"/>
      <c r="EUC190" s="3"/>
      <c r="EUD190" s="3"/>
      <c r="EUE190" s="3"/>
      <c r="EUF190" s="3"/>
      <c r="EUG190" s="3"/>
      <c r="EUH190" s="3"/>
      <c r="EUI190" s="3"/>
      <c r="EUJ190" s="3"/>
      <c r="EUK190" s="3"/>
      <c r="EUL190" s="3"/>
      <c r="EUM190" s="3"/>
      <c r="EUN190" s="3"/>
      <c r="EUO190" s="3"/>
      <c r="EUP190" s="3"/>
      <c r="EUQ190" s="3"/>
      <c r="EUR190" s="3"/>
      <c r="EUS190" s="3"/>
      <c r="EUT190" s="3"/>
      <c r="EUU190" s="3"/>
      <c r="EUV190" s="3"/>
      <c r="EUW190" s="3"/>
      <c r="EUX190" s="3"/>
      <c r="EUY190" s="3"/>
      <c r="EUZ190" s="3"/>
      <c r="EVA190" s="3"/>
      <c r="EVB190" s="3"/>
      <c r="EVC190" s="3"/>
      <c r="EVD190" s="3"/>
      <c r="EVE190" s="3"/>
      <c r="EVF190" s="3"/>
      <c r="EVG190" s="3"/>
      <c r="EVH190" s="3"/>
      <c r="EVI190" s="3"/>
      <c r="EVJ190" s="3"/>
      <c r="EVK190" s="3"/>
      <c r="EVL190" s="3"/>
      <c r="EVM190" s="3"/>
      <c r="EVN190" s="3"/>
      <c r="EVO190" s="3"/>
      <c r="EVP190" s="3"/>
      <c r="EVQ190" s="3"/>
      <c r="EVR190" s="3"/>
      <c r="EVS190" s="3"/>
      <c r="EVT190" s="3"/>
      <c r="EVU190" s="3"/>
      <c r="EVV190" s="3"/>
      <c r="EVW190" s="3"/>
      <c r="EVX190" s="3"/>
      <c r="EVY190" s="3"/>
      <c r="EVZ190" s="3"/>
      <c r="EWA190" s="3"/>
      <c r="EWB190" s="3"/>
      <c r="EWC190" s="3"/>
      <c r="EWD190" s="3"/>
      <c r="EWE190" s="3"/>
      <c r="EWF190" s="3"/>
      <c r="EWG190" s="3"/>
      <c r="EWH190" s="3"/>
      <c r="EWI190" s="3"/>
      <c r="EWJ190" s="3"/>
      <c r="EWK190" s="3"/>
      <c r="EWL190" s="3"/>
      <c r="EWM190" s="3"/>
      <c r="EWN190" s="3"/>
      <c r="EWO190" s="3"/>
      <c r="EWP190" s="3"/>
      <c r="EWQ190" s="3"/>
      <c r="EWR190" s="3"/>
      <c r="EWS190" s="3"/>
      <c r="EWT190" s="3"/>
      <c r="EWU190" s="3"/>
      <c r="EWV190" s="3"/>
      <c r="EWW190" s="3"/>
      <c r="EWX190" s="3"/>
      <c r="EWY190" s="3"/>
      <c r="EWZ190" s="3"/>
      <c r="EXA190" s="3"/>
      <c r="EXB190" s="3"/>
      <c r="EXC190" s="3"/>
      <c r="EXD190" s="3"/>
      <c r="EXE190" s="3"/>
      <c r="EXF190" s="3"/>
      <c r="EXG190" s="3"/>
      <c r="EXH190" s="3"/>
      <c r="EXI190" s="3"/>
      <c r="EXJ190" s="3"/>
      <c r="EXK190" s="3"/>
      <c r="EXL190" s="3"/>
      <c r="EXM190" s="3"/>
      <c r="EXN190" s="3"/>
      <c r="EXO190" s="3"/>
      <c r="EXP190" s="3"/>
      <c r="EXQ190" s="3"/>
      <c r="EXR190" s="3"/>
      <c r="EXS190" s="3"/>
      <c r="EXT190" s="3"/>
      <c r="EXU190" s="3"/>
      <c r="EXV190" s="3"/>
      <c r="EXW190" s="3"/>
      <c r="EXX190" s="3"/>
      <c r="EXY190" s="3"/>
      <c r="EXZ190" s="3"/>
      <c r="EYA190" s="3"/>
      <c r="EYB190" s="3"/>
      <c r="EYC190" s="3"/>
      <c r="EYD190" s="3"/>
      <c r="EYE190" s="3"/>
      <c r="EYF190" s="3"/>
      <c r="EYG190" s="3"/>
      <c r="EYH190" s="3"/>
      <c r="EYI190" s="3"/>
      <c r="EYJ190" s="3"/>
      <c r="EYK190" s="3"/>
      <c r="EYL190" s="3"/>
      <c r="EYM190" s="3"/>
      <c r="EYN190" s="3"/>
      <c r="EYO190" s="3"/>
      <c r="EYP190" s="3"/>
      <c r="EYQ190" s="3"/>
      <c r="EYR190" s="3"/>
      <c r="EYS190" s="3"/>
      <c r="EYT190" s="3"/>
      <c r="EYU190" s="3"/>
      <c r="EYV190" s="3"/>
      <c r="EYW190" s="3"/>
      <c r="EYX190" s="3"/>
      <c r="EYY190" s="3"/>
      <c r="EYZ190" s="3"/>
      <c r="EZA190" s="3"/>
      <c r="EZB190" s="3"/>
      <c r="EZC190" s="3"/>
      <c r="EZD190" s="3"/>
      <c r="EZE190" s="3"/>
      <c r="EZF190" s="3"/>
      <c r="EZG190" s="3"/>
      <c r="EZH190" s="3"/>
      <c r="EZI190" s="3"/>
      <c r="EZJ190" s="3"/>
      <c r="EZK190" s="3"/>
      <c r="EZL190" s="3"/>
      <c r="EZM190" s="3"/>
      <c r="EZN190" s="3"/>
      <c r="EZO190" s="3"/>
      <c r="EZP190" s="3"/>
      <c r="EZQ190" s="3"/>
      <c r="EZR190" s="3"/>
      <c r="EZS190" s="3"/>
      <c r="EZT190" s="3"/>
      <c r="EZU190" s="3"/>
      <c r="EZV190" s="3"/>
      <c r="EZW190" s="3"/>
      <c r="EZX190" s="3"/>
      <c r="EZY190" s="3"/>
      <c r="EZZ190" s="3"/>
      <c r="FAA190" s="3"/>
      <c r="FAB190" s="3"/>
      <c r="FAC190" s="3"/>
      <c r="FAD190" s="3"/>
      <c r="FAE190" s="3"/>
      <c r="FAF190" s="3"/>
      <c r="FAG190" s="3"/>
      <c r="FAH190" s="3"/>
      <c r="FAI190" s="3"/>
      <c r="FAJ190" s="3"/>
      <c r="FAK190" s="3"/>
      <c r="FAL190" s="3"/>
      <c r="FAM190" s="3"/>
      <c r="FAN190" s="3"/>
      <c r="FAO190" s="3"/>
      <c r="FAP190" s="3"/>
      <c r="FAQ190" s="3"/>
      <c r="FAR190" s="3"/>
      <c r="FAS190" s="3"/>
      <c r="FAT190" s="3"/>
      <c r="FAU190" s="3"/>
      <c r="FAV190" s="3"/>
      <c r="FAW190" s="3"/>
      <c r="FAX190" s="3"/>
      <c r="FAY190" s="3"/>
      <c r="FAZ190" s="3"/>
      <c r="FBA190" s="3"/>
      <c r="FBB190" s="3"/>
      <c r="FBC190" s="3"/>
      <c r="FBD190" s="3"/>
      <c r="FBE190" s="3"/>
      <c r="FBF190" s="3"/>
      <c r="FBG190" s="3"/>
      <c r="FBH190" s="3"/>
      <c r="FBI190" s="3"/>
      <c r="FBJ190" s="3"/>
      <c r="FBK190" s="3"/>
      <c r="FBL190" s="3"/>
      <c r="FBM190" s="3"/>
      <c r="FBN190" s="3"/>
      <c r="FBO190" s="3"/>
      <c r="FBP190" s="3"/>
      <c r="FBQ190" s="3"/>
      <c r="FBR190" s="3"/>
      <c r="FBS190" s="3"/>
      <c r="FBT190" s="3"/>
      <c r="FBU190" s="3"/>
      <c r="FBV190" s="3"/>
      <c r="FBW190" s="3"/>
      <c r="FBX190" s="3"/>
      <c r="FBY190" s="3"/>
      <c r="FBZ190" s="3"/>
      <c r="FCA190" s="3"/>
      <c r="FCB190" s="3"/>
      <c r="FCC190" s="3"/>
      <c r="FCD190" s="3"/>
      <c r="FCE190" s="3"/>
      <c r="FCF190" s="3"/>
      <c r="FCG190" s="3"/>
      <c r="FCH190" s="3"/>
      <c r="FCI190" s="3"/>
      <c r="FCJ190" s="3"/>
      <c r="FCK190" s="3"/>
      <c r="FCL190" s="3"/>
      <c r="FCM190" s="3"/>
      <c r="FCN190" s="3"/>
      <c r="FCO190" s="3"/>
      <c r="FCP190" s="3"/>
      <c r="FCQ190" s="3"/>
      <c r="FCR190" s="3"/>
      <c r="FCS190" s="3"/>
      <c r="FCT190" s="3"/>
      <c r="FCU190" s="3"/>
      <c r="FCV190" s="3"/>
      <c r="FCW190" s="3"/>
      <c r="FCX190" s="3"/>
      <c r="FCY190" s="3"/>
      <c r="FCZ190" s="3"/>
      <c r="FDA190" s="3"/>
      <c r="FDB190" s="3"/>
      <c r="FDC190" s="3"/>
      <c r="FDD190" s="3"/>
      <c r="FDE190" s="3"/>
      <c r="FDF190" s="3"/>
      <c r="FDG190" s="3"/>
      <c r="FDH190" s="3"/>
      <c r="FDI190" s="3"/>
      <c r="FDJ190" s="3"/>
      <c r="FDK190" s="3"/>
      <c r="FDL190" s="3"/>
      <c r="FDM190" s="3"/>
      <c r="FDN190" s="3"/>
      <c r="FDO190" s="3"/>
      <c r="FDP190" s="3"/>
      <c r="FDQ190" s="3"/>
      <c r="FDR190" s="3"/>
      <c r="FDS190" s="3"/>
      <c r="FDT190" s="3"/>
      <c r="FDU190" s="3"/>
      <c r="FDV190" s="3"/>
      <c r="FDW190" s="3"/>
      <c r="FDX190" s="3"/>
      <c r="FDY190" s="3"/>
      <c r="FDZ190" s="3"/>
      <c r="FEA190" s="3"/>
      <c r="FEB190" s="3"/>
      <c r="FEC190" s="3"/>
      <c r="FED190" s="3"/>
      <c r="FEE190" s="3"/>
      <c r="FEF190" s="3"/>
      <c r="FEG190" s="3"/>
      <c r="FEH190" s="3"/>
      <c r="FEI190" s="3"/>
      <c r="FEJ190" s="3"/>
      <c r="FEK190" s="3"/>
      <c r="FEL190" s="3"/>
      <c r="FEM190" s="3"/>
      <c r="FEN190" s="3"/>
      <c r="FEO190" s="3"/>
      <c r="FEP190" s="3"/>
      <c r="FEQ190" s="3"/>
      <c r="FER190" s="3"/>
      <c r="FES190" s="3"/>
      <c r="FET190" s="3"/>
      <c r="FEU190" s="3"/>
      <c r="FEV190" s="3"/>
      <c r="FEW190" s="3"/>
      <c r="FEX190" s="3"/>
      <c r="FEY190" s="3"/>
      <c r="FEZ190" s="3"/>
      <c r="FFA190" s="3"/>
      <c r="FFB190" s="3"/>
      <c r="FFC190" s="3"/>
      <c r="FFD190" s="3"/>
      <c r="FFE190" s="3"/>
      <c r="FFF190" s="3"/>
      <c r="FFG190" s="3"/>
      <c r="FFH190" s="3"/>
      <c r="FFI190" s="3"/>
      <c r="FFJ190" s="3"/>
      <c r="FFK190" s="3"/>
      <c r="FFL190" s="3"/>
      <c r="FFM190" s="3"/>
      <c r="FFN190" s="3"/>
      <c r="FFO190" s="3"/>
      <c r="FFP190" s="3"/>
      <c r="FFQ190" s="3"/>
      <c r="FFR190" s="3"/>
      <c r="FFS190" s="3"/>
      <c r="FFT190" s="3"/>
      <c r="FFU190" s="3"/>
      <c r="FFV190" s="3"/>
      <c r="FFW190" s="3"/>
      <c r="FFX190" s="3"/>
      <c r="FFY190" s="3"/>
      <c r="FFZ190" s="3"/>
      <c r="FGA190" s="3"/>
      <c r="FGB190" s="3"/>
      <c r="FGC190" s="3"/>
      <c r="FGD190" s="3"/>
      <c r="FGE190" s="3"/>
      <c r="FGF190" s="3"/>
      <c r="FGG190" s="3"/>
      <c r="FGH190" s="3"/>
      <c r="FGI190" s="3"/>
      <c r="FGJ190" s="3"/>
      <c r="FGK190" s="3"/>
      <c r="FGL190" s="3"/>
      <c r="FGM190" s="3"/>
      <c r="FGN190" s="3"/>
      <c r="FGO190" s="3"/>
      <c r="FGP190" s="3"/>
      <c r="FGQ190" s="3"/>
      <c r="FGR190" s="3"/>
      <c r="FGS190" s="3"/>
      <c r="FGT190" s="3"/>
      <c r="FGU190" s="3"/>
      <c r="FGV190" s="3"/>
      <c r="FGW190" s="3"/>
      <c r="FGX190" s="3"/>
      <c r="FGY190" s="3"/>
      <c r="FGZ190" s="3"/>
      <c r="FHA190" s="3"/>
      <c r="FHB190" s="3"/>
      <c r="FHC190" s="3"/>
      <c r="FHD190" s="3"/>
      <c r="FHE190" s="3"/>
      <c r="FHF190" s="3"/>
      <c r="FHG190" s="3"/>
      <c r="FHH190" s="3"/>
      <c r="FHI190" s="3"/>
      <c r="FHJ190" s="3"/>
      <c r="FHK190" s="3"/>
      <c r="FHL190" s="3"/>
      <c r="FHM190" s="3"/>
      <c r="FHN190" s="3"/>
      <c r="FHO190" s="3"/>
      <c r="FHP190" s="3"/>
      <c r="FHQ190" s="3"/>
      <c r="FHR190" s="3"/>
      <c r="FHS190" s="3"/>
      <c r="FHT190" s="3"/>
      <c r="FHU190" s="3"/>
      <c r="FHV190" s="3"/>
      <c r="FHW190" s="3"/>
      <c r="FHX190" s="3"/>
      <c r="FHY190" s="3"/>
      <c r="FHZ190" s="3"/>
      <c r="FIA190" s="3"/>
      <c r="FIB190" s="3"/>
      <c r="FIC190" s="3"/>
      <c r="FID190" s="3"/>
      <c r="FIE190" s="3"/>
      <c r="FIF190" s="3"/>
      <c r="FIG190" s="3"/>
      <c r="FIH190" s="3"/>
      <c r="FII190" s="3"/>
      <c r="FIJ190" s="3"/>
      <c r="FIK190" s="3"/>
      <c r="FIL190" s="3"/>
      <c r="FIM190" s="3"/>
      <c r="FIN190" s="3"/>
      <c r="FIO190" s="3"/>
      <c r="FIP190" s="3"/>
      <c r="FIQ190" s="3"/>
      <c r="FIR190" s="3"/>
      <c r="FIS190" s="3"/>
      <c r="FIT190" s="3"/>
      <c r="FIU190" s="3"/>
      <c r="FIV190" s="3"/>
      <c r="FIW190" s="3"/>
      <c r="FIX190" s="3"/>
      <c r="FIY190" s="3"/>
      <c r="FIZ190" s="3"/>
      <c r="FJA190" s="3"/>
      <c r="FJB190" s="3"/>
      <c r="FJC190" s="3"/>
      <c r="FJD190" s="3"/>
      <c r="FJE190" s="3"/>
      <c r="FJF190" s="3"/>
      <c r="FJG190" s="3"/>
      <c r="FJH190" s="3"/>
      <c r="FJI190" s="3"/>
      <c r="FJJ190" s="3"/>
      <c r="FJK190" s="3"/>
      <c r="FJL190" s="3"/>
      <c r="FJM190" s="3"/>
      <c r="FJN190" s="3"/>
      <c r="FJO190" s="3"/>
      <c r="FJP190" s="3"/>
      <c r="FJQ190" s="3"/>
      <c r="FJR190" s="3"/>
      <c r="FJS190" s="3"/>
      <c r="FJT190" s="3"/>
      <c r="FJU190" s="3"/>
      <c r="FJV190" s="3"/>
      <c r="FJW190" s="3"/>
      <c r="FJX190" s="3"/>
      <c r="FJY190" s="3"/>
      <c r="FJZ190" s="3"/>
      <c r="FKA190" s="3"/>
      <c r="FKB190" s="3"/>
      <c r="FKC190" s="3"/>
      <c r="FKD190" s="3"/>
      <c r="FKE190" s="3"/>
      <c r="FKF190" s="3"/>
      <c r="FKG190" s="3"/>
      <c r="FKH190" s="3"/>
      <c r="FKI190" s="3"/>
      <c r="FKJ190" s="3"/>
      <c r="FKK190" s="3"/>
      <c r="FKL190" s="3"/>
      <c r="FKM190" s="3"/>
      <c r="FKN190" s="3"/>
      <c r="FKO190" s="3"/>
      <c r="FKP190" s="3"/>
      <c r="FKQ190" s="3"/>
      <c r="FKR190" s="3"/>
      <c r="FKS190" s="3"/>
      <c r="FKT190" s="3"/>
      <c r="FKU190" s="3"/>
      <c r="FKV190" s="3"/>
      <c r="FKW190" s="3"/>
      <c r="FKX190" s="3"/>
      <c r="FKY190" s="3"/>
      <c r="FKZ190" s="3"/>
      <c r="FLA190" s="3"/>
      <c r="FLB190" s="3"/>
      <c r="FLC190" s="3"/>
      <c r="FLD190" s="3"/>
      <c r="FLE190" s="3"/>
      <c r="FLF190" s="3"/>
      <c r="FLG190" s="3"/>
      <c r="FLH190" s="3"/>
      <c r="FLI190" s="3"/>
      <c r="FLJ190" s="3"/>
      <c r="FLK190" s="3"/>
      <c r="FLL190" s="3"/>
      <c r="FLM190" s="3"/>
      <c r="FLN190" s="3"/>
      <c r="FLO190" s="3"/>
      <c r="FLP190" s="3"/>
      <c r="FLQ190" s="3"/>
      <c r="FLR190" s="3"/>
      <c r="FLS190" s="3"/>
      <c r="FLT190" s="3"/>
      <c r="FLU190" s="3"/>
      <c r="FLV190" s="3"/>
      <c r="FLW190" s="3"/>
      <c r="FLX190" s="3"/>
      <c r="FLY190" s="3"/>
      <c r="FLZ190" s="3"/>
      <c r="FMA190" s="3"/>
      <c r="FMB190" s="3"/>
      <c r="FMC190" s="3"/>
      <c r="FMD190" s="3"/>
      <c r="FME190" s="3"/>
      <c r="FMF190" s="3"/>
      <c r="FMG190" s="3"/>
      <c r="FMH190" s="3"/>
      <c r="FMI190" s="3"/>
      <c r="FMJ190" s="3"/>
      <c r="FMK190" s="3"/>
      <c r="FML190" s="3"/>
      <c r="FMM190" s="3"/>
      <c r="FMN190" s="3"/>
      <c r="FMO190" s="3"/>
      <c r="FMP190" s="3"/>
      <c r="FMQ190" s="3"/>
      <c r="FMR190" s="3"/>
      <c r="FMS190" s="3"/>
      <c r="FMT190" s="3"/>
      <c r="FMU190" s="3"/>
      <c r="FMV190" s="3"/>
      <c r="FMW190" s="3"/>
      <c r="FMX190" s="3"/>
      <c r="FMY190" s="3"/>
      <c r="FMZ190" s="3"/>
      <c r="FNA190" s="3"/>
      <c r="FNB190" s="3"/>
      <c r="FNC190" s="3"/>
      <c r="FND190" s="3"/>
      <c r="FNE190" s="3"/>
      <c r="FNF190" s="3"/>
      <c r="FNG190" s="3"/>
      <c r="FNH190" s="3"/>
      <c r="FNI190" s="3"/>
      <c r="FNJ190" s="3"/>
      <c r="FNK190" s="3"/>
      <c r="FNL190" s="3"/>
      <c r="FNM190" s="3"/>
      <c r="FNN190" s="3"/>
      <c r="FNO190" s="3"/>
      <c r="FNP190" s="3"/>
      <c r="FNQ190" s="3"/>
      <c r="FNR190" s="3"/>
      <c r="FNS190" s="3"/>
      <c r="FNT190" s="3"/>
      <c r="FNU190" s="3"/>
      <c r="FNV190" s="3"/>
      <c r="FNW190" s="3"/>
      <c r="FNX190" s="3"/>
      <c r="FNY190" s="3"/>
      <c r="FNZ190" s="3"/>
      <c r="FOA190" s="3"/>
      <c r="FOB190" s="3"/>
      <c r="FOC190" s="3"/>
      <c r="FOD190" s="3"/>
      <c r="FOE190" s="3"/>
      <c r="FOF190" s="3"/>
      <c r="FOG190" s="3"/>
      <c r="FOH190" s="3"/>
      <c r="FOI190" s="3"/>
      <c r="FOJ190" s="3"/>
      <c r="FOK190" s="3"/>
      <c r="FOL190" s="3"/>
      <c r="FOM190" s="3"/>
      <c r="FON190" s="3"/>
      <c r="FOO190" s="3"/>
      <c r="FOP190" s="3"/>
      <c r="FOQ190" s="3"/>
      <c r="FOR190" s="3"/>
      <c r="FOS190" s="3"/>
      <c r="FOT190" s="3"/>
      <c r="FOU190" s="3"/>
      <c r="FOV190" s="3"/>
      <c r="FOW190" s="3"/>
      <c r="FOX190" s="3"/>
      <c r="FOY190" s="3"/>
      <c r="FOZ190" s="3"/>
      <c r="FPA190" s="3"/>
      <c r="FPB190" s="3"/>
      <c r="FPC190" s="3"/>
      <c r="FPD190" s="3"/>
      <c r="FPE190" s="3"/>
      <c r="FPF190" s="3"/>
      <c r="FPG190" s="3"/>
      <c r="FPH190" s="3"/>
      <c r="FPI190" s="3"/>
      <c r="FPJ190" s="3"/>
      <c r="FPK190" s="3"/>
      <c r="FPL190" s="3"/>
      <c r="FPM190" s="3"/>
      <c r="FPN190" s="3"/>
      <c r="FPO190" s="3"/>
      <c r="FPP190" s="3"/>
      <c r="FPQ190" s="3"/>
      <c r="FPR190" s="3"/>
      <c r="FPS190" s="3"/>
      <c r="FPT190" s="3"/>
      <c r="FPU190" s="3"/>
      <c r="FPV190" s="3"/>
      <c r="FPW190" s="3"/>
      <c r="FPX190" s="3"/>
      <c r="FPY190" s="3"/>
      <c r="FPZ190" s="3"/>
      <c r="FQA190" s="3"/>
      <c r="FQB190" s="3"/>
      <c r="FQC190" s="3"/>
      <c r="FQD190" s="3"/>
      <c r="FQE190" s="3"/>
      <c r="FQF190" s="3"/>
      <c r="FQG190" s="3"/>
      <c r="FQH190" s="3"/>
      <c r="FQI190" s="3"/>
      <c r="FQJ190" s="3"/>
      <c r="FQK190" s="3"/>
      <c r="FQL190" s="3"/>
      <c r="FQM190" s="3"/>
      <c r="FQN190" s="3"/>
      <c r="FQO190" s="3"/>
      <c r="FQP190" s="3"/>
      <c r="FQQ190" s="3"/>
      <c r="FQR190" s="3"/>
      <c r="FQS190" s="3"/>
      <c r="FQT190" s="3"/>
      <c r="FQU190" s="3"/>
      <c r="FQV190" s="3"/>
      <c r="FQW190" s="3"/>
      <c r="FQX190" s="3"/>
      <c r="FQY190" s="3"/>
      <c r="FQZ190" s="3"/>
      <c r="FRA190" s="3"/>
      <c r="FRB190" s="3"/>
      <c r="FRC190" s="3"/>
      <c r="FRD190" s="3"/>
      <c r="FRE190" s="3"/>
      <c r="FRF190" s="3"/>
      <c r="FRG190" s="3"/>
      <c r="FRH190" s="3"/>
      <c r="FRI190" s="3"/>
      <c r="FRJ190" s="3"/>
      <c r="FRK190" s="3"/>
      <c r="FRL190" s="3"/>
      <c r="FRM190" s="3"/>
      <c r="FRN190" s="3"/>
      <c r="FRO190" s="3"/>
      <c r="FRP190" s="3"/>
      <c r="FRQ190" s="3"/>
      <c r="FRR190" s="3"/>
      <c r="FRS190" s="3"/>
      <c r="FRT190" s="3"/>
      <c r="FRU190" s="3"/>
      <c r="FRV190" s="3"/>
      <c r="FRW190" s="3"/>
      <c r="FRX190" s="3"/>
      <c r="FRY190" s="3"/>
      <c r="FRZ190" s="3"/>
      <c r="FSA190" s="3"/>
      <c r="FSB190" s="3"/>
      <c r="FSC190" s="3"/>
      <c r="FSD190" s="3"/>
      <c r="FSE190" s="3"/>
      <c r="FSF190" s="3"/>
      <c r="FSG190" s="3"/>
      <c r="FSH190" s="3"/>
      <c r="FSI190" s="3"/>
      <c r="FSJ190" s="3"/>
      <c r="FSK190" s="3"/>
      <c r="FSL190" s="3"/>
      <c r="FSM190" s="3"/>
      <c r="FSN190" s="3"/>
      <c r="FSO190" s="3"/>
      <c r="FSP190" s="3"/>
      <c r="FSQ190" s="3"/>
      <c r="FSR190" s="3"/>
      <c r="FSS190" s="3"/>
      <c r="FST190" s="3"/>
      <c r="FSU190" s="3"/>
      <c r="FSV190" s="3"/>
      <c r="FSW190" s="3"/>
      <c r="FSX190" s="3"/>
      <c r="FSY190" s="3"/>
      <c r="FSZ190" s="3"/>
      <c r="FTA190" s="3"/>
      <c r="FTB190" s="3"/>
      <c r="FTC190" s="3"/>
      <c r="FTD190" s="3"/>
      <c r="FTE190" s="3"/>
      <c r="FTF190" s="3"/>
      <c r="FTG190" s="3"/>
      <c r="FTH190" s="3"/>
      <c r="FTI190" s="3"/>
      <c r="FTJ190" s="3"/>
      <c r="FTK190" s="3"/>
      <c r="FTL190" s="3"/>
      <c r="FTM190" s="3"/>
      <c r="FTN190" s="3"/>
      <c r="FTO190" s="3"/>
      <c r="FTP190" s="3"/>
      <c r="FTQ190" s="3"/>
      <c r="FTR190" s="3"/>
      <c r="FTS190" s="3"/>
      <c r="FTT190" s="3"/>
      <c r="FTU190" s="3"/>
      <c r="FTV190" s="3"/>
      <c r="FTW190" s="3"/>
      <c r="FTX190" s="3"/>
      <c r="FTY190" s="3"/>
      <c r="FTZ190" s="3"/>
      <c r="FUA190" s="3"/>
      <c r="FUB190" s="3"/>
      <c r="FUC190" s="3"/>
      <c r="FUD190" s="3"/>
      <c r="FUE190" s="3"/>
      <c r="FUF190" s="3"/>
      <c r="FUG190" s="3"/>
      <c r="FUH190" s="3"/>
      <c r="FUI190" s="3"/>
      <c r="FUJ190" s="3"/>
      <c r="FUK190" s="3"/>
      <c r="FUL190" s="3"/>
      <c r="FUM190" s="3"/>
      <c r="FUN190" s="3"/>
      <c r="FUO190" s="3"/>
      <c r="FUP190" s="3"/>
      <c r="FUQ190" s="3"/>
      <c r="FUR190" s="3"/>
      <c r="FUS190" s="3"/>
      <c r="FUT190" s="3"/>
      <c r="FUU190" s="3"/>
      <c r="FUV190" s="3"/>
      <c r="FUW190" s="3"/>
      <c r="FUX190" s="3"/>
      <c r="FUY190" s="3"/>
      <c r="FUZ190" s="3"/>
      <c r="FVA190" s="3"/>
      <c r="FVB190" s="3"/>
      <c r="FVC190" s="3"/>
      <c r="FVD190" s="3"/>
      <c r="FVE190" s="3"/>
      <c r="FVF190" s="3"/>
      <c r="FVG190" s="3"/>
      <c r="FVH190" s="3"/>
      <c r="FVI190" s="3"/>
      <c r="FVJ190" s="3"/>
      <c r="FVK190" s="3"/>
      <c r="FVL190" s="3"/>
      <c r="FVM190" s="3"/>
      <c r="FVN190" s="3"/>
      <c r="FVO190" s="3"/>
      <c r="FVP190" s="3"/>
      <c r="FVQ190" s="3"/>
      <c r="FVR190" s="3"/>
      <c r="FVS190" s="3"/>
      <c r="FVT190" s="3"/>
      <c r="FVU190" s="3"/>
      <c r="FVV190" s="3"/>
      <c r="FVW190" s="3"/>
      <c r="FVX190" s="3"/>
      <c r="FVY190" s="3"/>
      <c r="FVZ190" s="3"/>
      <c r="FWA190" s="3"/>
      <c r="FWB190" s="3"/>
      <c r="FWC190" s="3"/>
      <c r="FWD190" s="3"/>
      <c r="FWE190" s="3"/>
      <c r="FWF190" s="3"/>
      <c r="FWG190" s="3"/>
      <c r="FWH190" s="3"/>
      <c r="FWI190" s="3"/>
      <c r="FWJ190" s="3"/>
      <c r="FWK190" s="3"/>
      <c r="FWL190" s="3"/>
      <c r="FWM190" s="3"/>
      <c r="FWN190" s="3"/>
      <c r="FWO190" s="3"/>
      <c r="FWP190" s="3"/>
      <c r="FWQ190" s="3"/>
      <c r="FWR190" s="3"/>
      <c r="FWS190" s="3"/>
      <c r="FWT190" s="3"/>
      <c r="FWU190" s="3"/>
      <c r="FWV190" s="3"/>
      <c r="FWW190" s="3"/>
      <c r="FWX190" s="3"/>
      <c r="FWY190" s="3"/>
      <c r="FWZ190" s="3"/>
      <c r="FXA190" s="3"/>
      <c r="FXB190" s="3"/>
      <c r="FXC190" s="3"/>
      <c r="FXD190" s="3"/>
      <c r="FXE190" s="3"/>
      <c r="FXF190" s="3"/>
      <c r="FXG190" s="3"/>
      <c r="FXH190" s="3"/>
      <c r="FXI190" s="3"/>
      <c r="FXJ190" s="3"/>
      <c r="FXK190" s="3"/>
      <c r="FXL190" s="3"/>
      <c r="FXM190" s="3"/>
      <c r="FXN190" s="3"/>
      <c r="FXO190" s="3"/>
      <c r="FXP190" s="3"/>
      <c r="FXQ190" s="3"/>
      <c r="FXR190" s="3"/>
      <c r="FXS190" s="3"/>
      <c r="FXT190" s="3"/>
      <c r="FXU190" s="3"/>
      <c r="FXV190" s="3"/>
      <c r="FXW190" s="3"/>
      <c r="FXX190" s="3"/>
      <c r="FXY190" s="3"/>
      <c r="FXZ190" s="3"/>
      <c r="FYA190" s="3"/>
      <c r="FYB190" s="3"/>
      <c r="FYC190" s="3"/>
      <c r="FYD190" s="3"/>
      <c r="FYE190" s="3"/>
      <c r="FYF190" s="3"/>
      <c r="FYG190" s="3"/>
      <c r="FYH190" s="3"/>
      <c r="FYI190" s="3"/>
      <c r="FYJ190" s="3"/>
      <c r="FYK190" s="3"/>
      <c r="FYL190" s="3"/>
      <c r="FYM190" s="3"/>
      <c r="FYN190" s="3"/>
      <c r="FYO190" s="3"/>
      <c r="FYP190" s="3"/>
      <c r="FYQ190" s="3"/>
      <c r="FYR190" s="3"/>
      <c r="FYS190" s="3"/>
      <c r="FYT190" s="3"/>
      <c r="FYU190" s="3"/>
      <c r="FYV190" s="3"/>
      <c r="FYW190" s="3"/>
      <c r="FYX190" s="3"/>
      <c r="FYY190" s="3"/>
      <c r="FYZ190" s="3"/>
      <c r="FZA190" s="3"/>
      <c r="FZB190" s="3"/>
      <c r="FZC190" s="3"/>
      <c r="FZD190" s="3"/>
      <c r="FZE190" s="3"/>
      <c r="FZF190" s="3"/>
      <c r="FZG190" s="3"/>
      <c r="FZH190" s="3"/>
      <c r="FZI190" s="3"/>
      <c r="FZJ190" s="3"/>
      <c r="FZK190" s="3"/>
      <c r="FZL190" s="3"/>
      <c r="FZM190" s="3"/>
      <c r="FZN190" s="3"/>
      <c r="FZO190" s="3"/>
      <c r="FZP190" s="3"/>
      <c r="FZQ190" s="3"/>
      <c r="FZR190" s="3"/>
      <c r="FZS190" s="3"/>
      <c r="FZT190" s="3"/>
      <c r="FZU190" s="3"/>
      <c r="FZV190" s="3"/>
      <c r="FZW190" s="3"/>
      <c r="FZX190" s="3"/>
      <c r="FZY190" s="3"/>
      <c r="FZZ190" s="3"/>
      <c r="GAA190" s="3"/>
      <c r="GAB190" s="3"/>
      <c r="GAC190" s="3"/>
      <c r="GAD190" s="3"/>
      <c r="GAE190" s="3"/>
      <c r="GAF190" s="3"/>
      <c r="GAG190" s="3"/>
      <c r="GAH190" s="3"/>
      <c r="GAI190" s="3"/>
      <c r="GAJ190" s="3"/>
      <c r="GAK190" s="3"/>
      <c r="GAL190" s="3"/>
      <c r="GAM190" s="3"/>
      <c r="GAN190" s="3"/>
      <c r="GAO190" s="3"/>
      <c r="GAP190" s="3"/>
      <c r="GAQ190" s="3"/>
      <c r="GAR190" s="3"/>
      <c r="GAS190" s="3"/>
      <c r="GAT190" s="3"/>
      <c r="GAU190" s="3"/>
      <c r="GAV190" s="3"/>
      <c r="GAW190" s="3"/>
      <c r="GAX190" s="3"/>
      <c r="GAY190" s="3"/>
      <c r="GAZ190" s="3"/>
      <c r="GBA190" s="3"/>
      <c r="GBB190" s="3"/>
      <c r="GBC190" s="3"/>
      <c r="GBD190" s="3"/>
      <c r="GBE190" s="3"/>
      <c r="GBF190" s="3"/>
      <c r="GBG190" s="3"/>
      <c r="GBH190" s="3"/>
      <c r="GBI190" s="3"/>
      <c r="GBJ190" s="3"/>
      <c r="GBK190" s="3"/>
      <c r="GBL190" s="3"/>
      <c r="GBM190" s="3"/>
      <c r="GBN190" s="3"/>
      <c r="GBO190" s="3"/>
      <c r="GBP190" s="3"/>
      <c r="GBQ190" s="3"/>
      <c r="GBR190" s="3"/>
      <c r="GBS190" s="3"/>
      <c r="GBT190" s="3"/>
      <c r="GBU190" s="3"/>
      <c r="GBV190" s="3"/>
      <c r="GBW190" s="3"/>
      <c r="GBX190" s="3"/>
      <c r="GBY190" s="3"/>
      <c r="GBZ190" s="3"/>
      <c r="GCA190" s="3"/>
      <c r="GCB190" s="3"/>
      <c r="GCC190" s="3"/>
      <c r="GCD190" s="3"/>
      <c r="GCE190" s="3"/>
      <c r="GCF190" s="3"/>
      <c r="GCG190" s="3"/>
      <c r="GCH190" s="3"/>
      <c r="GCI190" s="3"/>
      <c r="GCJ190" s="3"/>
      <c r="GCK190" s="3"/>
      <c r="GCL190" s="3"/>
      <c r="GCM190" s="3"/>
      <c r="GCN190" s="3"/>
      <c r="GCO190" s="3"/>
      <c r="GCP190" s="3"/>
      <c r="GCQ190" s="3"/>
      <c r="GCR190" s="3"/>
      <c r="GCS190" s="3"/>
      <c r="GCT190" s="3"/>
      <c r="GCU190" s="3"/>
      <c r="GCV190" s="3"/>
      <c r="GCW190" s="3"/>
      <c r="GCX190" s="3"/>
      <c r="GCY190" s="3"/>
      <c r="GCZ190" s="3"/>
      <c r="GDA190" s="3"/>
      <c r="GDB190" s="3"/>
      <c r="GDC190" s="3"/>
      <c r="GDD190" s="3"/>
      <c r="GDE190" s="3"/>
      <c r="GDF190" s="3"/>
      <c r="GDG190" s="3"/>
      <c r="GDH190" s="3"/>
      <c r="GDI190" s="3"/>
      <c r="GDJ190" s="3"/>
      <c r="GDK190" s="3"/>
      <c r="GDL190" s="3"/>
      <c r="GDM190" s="3"/>
      <c r="GDN190" s="3"/>
      <c r="GDO190" s="3"/>
      <c r="GDP190" s="3"/>
      <c r="GDQ190" s="3"/>
      <c r="GDR190" s="3"/>
      <c r="GDS190" s="3"/>
      <c r="GDT190" s="3"/>
      <c r="GDU190" s="3"/>
      <c r="GDV190" s="3"/>
      <c r="GDW190" s="3"/>
      <c r="GDX190" s="3"/>
      <c r="GDY190" s="3"/>
      <c r="GDZ190" s="3"/>
      <c r="GEA190" s="3"/>
      <c r="GEB190" s="3"/>
      <c r="GEC190" s="3"/>
      <c r="GED190" s="3"/>
      <c r="GEE190" s="3"/>
      <c r="GEF190" s="3"/>
      <c r="GEG190" s="3"/>
      <c r="GEH190" s="3"/>
      <c r="GEI190" s="3"/>
      <c r="GEJ190" s="3"/>
      <c r="GEK190" s="3"/>
      <c r="GEL190" s="3"/>
      <c r="GEM190" s="3"/>
      <c r="GEN190" s="3"/>
      <c r="GEO190" s="3"/>
      <c r="GEP190" s="3"/>
      <c r="GEQ190" s="3"/>
      <c r="GER190" s="3"/>
      <c r="GES190" s="3"/>
      <c r="GET190" s="3"/>
      <c r="GEU190" s="3"/>
      <c r="GEV190" s="3"/>
      <c r="GEW190" s="3"/>
      <c r="GEX190" s="3"/>
      <c r="GEY190" s="3"/>
      <c r="GEZ190" s="3"/>
      <c r="GFA190" s="3"/>
      <c r="GFB190" s="3"/>
      <c r="GFC190" s="3"/>
      <c r="GFD190" s="3"/>
      <c r="GFE190" s="3"/>
      <c r="GFF190" s="3"/>
      <c r="GFG190" s="3"/>
      <c r="GFH190" s="3"/>
      <c r="GFI190" s="3"/>
      <c r="GFJ190" s="3"/>
      <c r="GFK190" s="3"/>
      <c r="GFL190" s="3"/>
      <c r="GFM190" s="3"/>
      <c r="GFN190" s="3"/>
      <c r="GFO190" s="3"/>
      <c r="GFP190" s="3"/>
      <c r="GFQ190" s="3"/>
      <c r="GFR190" s="3"/>
      <c r="GFS190" s="3"/>
      <c r="GFT190" s="3"/>
      <c r="GFU190" s="3"/>
      <c r="GFV190" s="3"/>
      <c r="GFW190" s="3"/>
      <c r="GFX190" s="3"/>
      <c r="GFY190" s="3"/>
      <c r="GFZ190" s="3"/>
      <c r="GGA190" s="3"/>
      <c r="GGB190" s="3"/>
      <c r="GGC190" s="3"/>
      <c r="GGD190" s="3"/>
      <c r="GGE190" s="3"/>
      <c r="GGF190" s="3"/>
      <c r="GGG190" s="3"/>
      <c r="GGH190" s="3"/>
      <c r="GGI190" s="3"/>
      <c r="GGJ190" s="3"/>
      <c r="GGK190" s="3"/>
      <c r="GGL190" s="3"/>
      <c r="GGM190" s="3"/>
      <c r="GGN190" s="3"/>
      <c r="GGO190" s="3"/>
      <c r="GGP190" s="3"/>
      <c r="GGQ190" s="3"/>
      <c r="GGR190" s="3"/>
      <c r="GGS190" s="3"/>
      <c r="GGT190" s="3"/>
      <c r="GGU190" s="3"/>
      <c r="GGV190" s="3"/>
      <c r="GGW190" s="3"/>
      <c r="GGX190" s="3"/>
      <c r="GGY190" s="3"/>
      <c r="GGZ190" s="3"/>
      <c r="GHA190" s="3"/>
      <c r="GHB190" s="3"/>
      <c r="GHC190" s="3"/>
      <c r="GHD190" s="3"/>
      <c r="GHE190" s="3"/>
      <c r="GHF190" s="3"/>
      <c r="GHG190" s="3"/>
      <c r="GHH190" s="3"/>
      <c r="GHI190" s="3"/>
      <c r="GHJ190" s="3"/>
      <c r="GHK190" s="3"/>
      <c r="GHL190" s="3"/>
      <c r="GHM190" s="3"/>
      <c r="GHN190" s="3"/>
      <c r="GHO190" s="3"/>
      <c r="GHP190" s="3"/>
      <c r="GHQ190" s="3"/>
      <c r="GHR190" s="3"/>
      <c r="GHS190" s="3"/>
      <c r="GHT190" s="3"/>
      <c r="GHU190" s="3"/>
      <c r="GHV190" s="3"/>
      <c r="GHW190" s="3"/>
      <c r="GHX190" s="3"/>
      <c r="GHY190" s="3"/>
      <c r="GHZ190" s="3"/>
      <c r="GIA190" s="3"/>
      <c r="GIB190" s="3"/>
      <c r="GIC190" s="3"/>
      <c r="GID190" s="3"/>
      <c r="GIE190" s="3"/>
      <c r="GIF190" s="3"/>
      <c r="GIG190" s="3"/>
      <c r="GIH190" s="3"/>
      <c r="GII190" s="3"/>
      <c r="GIJ190" s="3"/>
      <c r="GIK190" s="3"/>
      <c r="GIL190" s="3"/>
      <c r="GIM190" s="3"/>
      <c r="GIN190" s="3"/>
      <c r="GIO190" s="3"/>
      <c r="GIP190" s="3"/>
      <c r="GIQ190" s="3"/>
      <c r="GIR190" s="3"/>
      <c r="GIS190" s="3"/>
      <c r="GIT190" s="3"/>
      <c r="GIU190" s="3"/>
      <c r="GIV190" s="3"/>
      <c r="GIW190" s="3"/>
      <c r="GIX190" s="3"/>
      <c r="GIY190" s="3"/>
      <c r="GIZ190" s="3"/>
      <c r="GJA190" s="3"/>
      <c r="GJB190" s="3"/>
      <c r="GJC190" s="3"/>
      <c r="GJD190" s="3"/>
      <c r="GJE190" s="3"/>
      <c r="GJF190" s="3"/>
      <c r="GJG190" s="3"/>
      <c r="GJH190" s="3"/>
      <c r="GJI190" s="3"/>
      <c r="GJJ190" s="3"/>
      <c r="GJK190" s="3"/>
      <c r="GJL190" s="3"/>
      <c r="GJM190" s="3"/>
      <c r="GJN190" s="3"/>
      <c r="GJO190" s="3"/>
      <c r="GJP190" s="3"/>
      <c r="GJQ190" s="3"/>
      <c r="GJR190" s="3"/>
      <c r="GJS190" s="3"/>
      <c r="GJT190" s="3"/>
      <c r="GJU190" s="3"/>
      <c r="GJV190" s="3"/>
      <c r="GJW190" s="3"/>
      <c r="GJX190" s="3"/>
      <c r="GJY190" s="3"/>
      <c r="GJZ190" s="3"/>
      <c r="GKA190" s="3"/>
      <c r="GKB190" s="3"/>
      <c r="GKC190" s="3"/>
      <c r="GKD190" s="3"/>
      <c r="GKE190" s="3"/>
      <c r="GKF190" s="3"/>
      <c r="GKG190" s="3"/>
      <c r="GKH190" s="3"/>
      <c r="GKI190" s="3"/>
      <c r="GKJ190" s="3"/>
      <c r="GKK190" s="3"/>
      <c r="GKL190" s="3"/>
      <c r="GKM190" s="3"/>
      <c r="GKN190" s="3"/>
      <c r="GKO190" s="3"/>
      <c r="GKP190" s="3"/>
      <c r="GKQ190" s="3"/>
      <c r="GKR190" s="3"/>
      <c r="GKS190" s="3"/>
      <c r="GKT190" s="3"/>
      <c r="GKU190" s="3"/>
      <c r="GKV190" s="3"/>
      <c r="GKW190" s="3"/>
      <c r="GKX190" s="3"/>
      <c r="GKY190" s="3"/>
      <c r="GKZ190" s="3"/>
      <c r="GLA190" s="3"/>
      <c r="GLB190" s="3"/>
      <c r="GLC190" s="3"/>
      <c r="GLD190" s="3"/>
      <c r="GLE190" s="3"/>
      <c r="GLF190" s="3"/>
      <c r="GLG190" s="3"/>
      <c r="GLH190" s="3"/>
      <c r="GLI190" s="3"/>
      <c r="GLJ190" s="3"/>
      <c r="GLK190" s="3"/>
      <c r="GLL190" s="3"/>
      <c r="GLM190" s="3"/>
      <c r="GLN190" s="3"/>
      <c r="GLO190" s="3"/>
      <c r="GLP190" s="3"/>
      <c r="GLQ190" s="3"/>
      <c r="GLR190" s="3"/>
      <c r="GLS190" s="3"/>
      <c r="GLT190" s="3"/>
      <c r="GLU190" s="3"/>
      <c r="GLV190" s="3"/>
      <c r="GLW190" s="3"/>
      <c r="GLX190" s="3"/>
      <c r="GLY190" s="3"/>
      <c r="GLZ190" s="3"/>
      <c r="GMA190" s="3"/>
      <c r="GMB190" s="3"/>
      <c r="GMC190" s="3"/>
      <c r="GMD190" s="3"/>
      <c r="GME190" s="3"/>
      <c r="GMF190" s="3"/>
      <c r="GMG190" s="3"/>
      <c r="GMH190" s="3"/>
      <c r="GMI190" s="3"/>
      <c r="GMJ190" s="3"/>
      <c r="GMK190" s="3"/>
      <c r="GML190" s="3"/>
      <c r="GMM190" s="3"/>
      <c r="GMN190" s="3"/>
      <c r="GMO190" s="3"/>
      <c r="GMP190" s="3"/>
      <c r="GMQ190" s="3"/>
      <c r="GMR190" s="3"/>
      <c r="GMS190" s="3"/>
      <c r="GMT190" s="3"/>
      <c r="GMU190" s="3"/>
      <c r="GMV190" s="3"/>
      <c r="GMW190" s="3"/>
      <c r="GMX190" s="3"/>
      <c r="GMY190" s="3"/>
      <c r="GMZ190" s="3"/>
      <c r="GNA190" s="3"/>
      <c r="GNB190" s="3"/>
      <c r="GNC190" s="3"/>
      <c r="GND190" s="3"/>
      <c r="GNE190" s="3"/>
      <c r="GNF190" s="3"/>
      <c r="GNG190" s="3"/>
      <c r="GNH190" s="3"/>
      <c r="GNI190" s="3"/>
      <c r="GNJ190" s="3"/>
      <c r="GNK190" s="3"/>
      <c r="GNL190" s="3"/>
      <c r="GNM190" s="3"/>
      <c r="GNN190" s="3"/>
      <c r="GNO190" s="3"/>
      <c r="GNP190" s="3"/>
      <c r="GNQ190" s="3"/>
      <c r="GNR190" s="3"/>
      <c r="GNS190" s="3"/>
      <c r="GNT190" s="3"/>
      <c r="GNU190" s="3"/>
      <c r="GNV190" s="3"/>
      <c r="GNW190" s="3"/>
      <c r="GNX190" s="3"/>
      <c r="GNY190" s="3"/>
      <c r="GNZ190" s="3"/>
      <c r="GOA190" s="3"/>
      <c r="GOB190" s="3"/>
      <c r="GOC190" s="3"/>
      <c r="GOD190" s="3"/>
      <c r="GOE190" s="3"/>
      <c r="GOF190" s="3"/>
      <c r="GOG190" s="3"/>
      <c r="GOH190" s="3"/>
      <c r="GOI190" s="3"/>
      <c r="GOJ190" s="3"/>
      <c r="GOK190" s="3"/>
      <c r="GOL190" s="3"/>
      <c r="GOM190" s="3"/>
      <c r="GON190" s="3"/>
      <c r="GOO190" s="3"/>
      <c r="GOP190" s="3"/>
      <c r="GOQ190" s="3"/>
      <c r="GOR190" s="3"/>
      <c r="GOS190" s="3"/>
      <c r="GOT190" s="3"/>
      <c r="GOU190" s="3"/>
      <c r="GOV190" s="3"/>
      <c r="GOW190" s="3"/>
      <c r="GOX190" s="3"/>
      <c r="GOY190" s="3"/>
      <c r="GOZ190" s="3"/>
      <c r="GPA190" s="3"/>
      <c r="GPB190" s="3"/>
      <c r="GPC190" s="3"/>
      <c r="GPD190" s="3"/>
      <c r="GPE190" s="3"/>
      <c r="GPF190" s="3"/>
      <c r="GPG190" s="3"/>
      <c r="GPH190" s="3"/>
      <c r="GPI190" s="3"/>
      <c r="GPJ190" s="3"/>
      <c r="GPK190" s="3"/>
      <c r="GPL190" s="3"/>
      <c r="GPM190" s="3"/>
      <c r="GPN190" s="3"/>
      <c r="GPO190" s="3"/>
      <c r="GPP190" s="3"/>
      <c r="GPQ190" s="3"/>
      <c r="GPR190" s="3"/>
      <c r="GPS190" s="3"/>
      <c r="GPT190" s="3"/>
      <c r="GPU190" s="3"/>
      <c r="GPV190" s="3"/>
      <c r="GPW190" s="3"/>
      <c r="GPX190" s="3"/>
      <c r="GPY190" s="3"/>
      <c r="GPZ190" s="3"/>
      <c r="GQA190" s="3"/>
      <c r="GQB190" s="3"/>
      <c r="GQC190" s="3"/>
      <c r="GQD190" s="3"/>
      <c r="GQE190" s="3"/>
      <c r="GQF190" s="3"/>
      <c r="GQG190" s="3"/>
      <c r="GQH190" s="3"/>
      <c r="GQI190" s="3"/>
      <c r="GQJ190" s="3"/>
      <c r="GQK190" s="3"/>
      <c r="GQL190" s="3"/>
      <c r="GQM190" s="3"/>
      <c r="GQN190" s="3"/>
      <c r="GQO190" s="3"/>
      <c r="GQP190" s="3"/>
      <c r="GQQ190" s="3"/>
      <c r="GQR190" s="3"/>
      <c r="GQS190" s="3"/>
      <c r="GQT190" s="3"/>
      <c r="GQU190" s="3"/>
      <c r="GQV190" s="3"/>
      <c r="GQW190" s="3"/>
      <c r="GQX190" s="3"/>
      <c r="GQY190" s="3"/>
      <c r="GQZ190" s="3"/>
      <c r="GRA190" s="3"/>
      <c r="GRB190" s="3"/>
      <c r="GRC190" s="3"/>
      <c r="GRD190" s="3"/>
      <c r="GRE190" s="3"/>
      <c r="GRF190" s="3"/>
      <c r="GRG190" s="3"/>
      <c r="GRH190" s="3"/>
      <c r="GRI190" s="3"/>
      <c r="GRJ190" s="3"/>
      <c r="GRK190" s="3"/>
      <c r="GRL190" s="3"/>
      <c r="GRM190" s="3"/>
      <c r="GRN190" s="3"/>
      <c r="GRO190" s="3"/>
      <c r="GRP190" s="3"/>
      <c r="GRQ190" s="3"/>
      <c r="GRR190" s="3"/>
      <c r="GRS190" s="3"/>
      <c r="GRT190" s="3"/>
      <c r="GRU190" s="3"/>
      <c r="GRV190" s="3"/>
      <c r="GRW190" s="3"/>
      <c r="GRX190" s="3"/>
      <c r="GRY190" s="3"/>
      <c r="GRZ190" s="3"/>
      <c r="GSA190" s="3"/>
      <c r="GSB190" s="3"/>
      <c r="GSC190" s="3"/>
      <c r="GSD190" s="3"/>
      <c r="GSE190" s="3"/>
      <c r="GSF190" s="3"/>
      <c r="GSG190" s="3"/>
      <c r="GSH190" s="3"/>
      <c r="GSI190" s="3"/>
      <c r="GSJ190" s="3"/>
      <c r="GSK190" s="3"/>
      <c r="GSL190" s="3"/>
      <c r="GSM190" s="3"/>
      <c r="GSN190" s="3"/>
      <c r="GSO190" s="3"/>
      <c r="GSP190" s="3"/>
      <c r="GSQ190" s="3"/>
      <c r="GSR190" s="3"/>
      <c r="GSS190" s="3"/>
      <c r="GST190" s="3"/>
      <c r="GSU190" s="3"/>
      <c r="GSV190" s="3"/>
      <c r="GSW190" s="3"/>
      <c r="GSX190" s="3"/>
      <c r="GSY190" s="3"/>
      <c r="GSZ190" s="3"/>
      <c r="GTA190" s="3"/>
      <c r="GTB190" s="3"/>
      <c r="GTC190" s="3"/>
      <c r="GTD190" s="3"/>
      <c r="GTE190" s="3"/>
      <c r="GTF190" s="3"/>
      <c r="GTG190" s="3"/>
      <c r="GTH190" s="3"/>
      <c r="GTI190" s="3"/>
      <c r="GTJ190" s="3"/>
      <c r="GTK190" s="3"/>
      <c r="GTL190" s="3"/>
      <c r="GTM190" s="3"/>
      <c r="GTN190" s="3"/>
      <c r="GTO190" s="3"/>
      <c r="GTP190" s="3"/>
      <c r="GTQ190" s="3"/>
      <c r="GTR190" s="3"/>
      <c r="GTS190" s="3"/>
      <c r="GTT190" s="3"/>
      <c r="GTU190" s="3"/>
      <c r="GTV190" s="3"/>
      <c r="GTW190" s="3"/>
      <c r="GTX190" s="3"/>
      <c r="GTY190" s="3"/>
      <c r="GTZ190" s="3"/>
      <c r="GUA190" s="3"/>
      <c r="GUB190" s="3"/>
      <c r="GUC190" s="3"/>
      <c r="GUD190" s="3"/>
      <c r="GUE190" s="3"/>
      <c r="GUF190" s="3"/>
      <c r="GUG190" s="3"/>
      <c r="GUH190" s="3"/>
      <c r="GUI190" s="3"/>
      <c r="GUJ190" s="3"/>
      <c r="GUK190" s="3"/>
      <c r="GUL190" s="3"/>
      <c r="GUM190" s="3"/>
      <c r="GUN190" s="3"/>
      <c r="GUO190" s="3"/>
      <c r="GUP190" s="3"/>
      <c r="GUQ190" s="3"/>
      <c r="GUR190" s="3"/>
      <c r="GUS190" s="3"/>
      <c r="GUT190" s="3"/>
      <c r="GUU190" s="3"/>
      <c r="GUV190" s="3"/>
      <c r="GUW190" s="3"/>
      <c r="GUX190" s="3"/>
      <c r="GUY190" s="3"/>
      <c r="GUZ190" s="3"/>
      <c r="GVA190" s="3"/>
      <c r="GVB190" s="3"/>
      <c r="GVC190" s="3"/>
      <c r="GVD190" s="3"/>
      <c r="GVE190" s="3"/>
      <c r="GVF190" s="3"/>
      <c r="GVG190" s="3"/>
      <c r="GVH190" s="3"/>
      <c r="GVI190" s="3"/>
      <c r="GVJ190" s="3"/>
      <c r="GVK190" s="3"/>
      <c r="GVL190" s="3"/>
      <c r="GVM190" s="3"/>
      <c r="GVN190" s="3"/>
      <c r="GVO190" s="3"/>
      <c r="GVP190" s="3"/>
      <c r="GVQ190" s="3"/>
      <c r="GVR190" s="3"/>
      <c r="GVS190" s="3"/>
      <c r="GVT190" s="3"/>
      <c r="GVU190" s="3"/>
      <c r="GVV190" s="3"/>
      <c r="GVW190" s="3"/>
      <c r="GVX190" s="3"/>
      <c r="GVY190" s="3"/>
      <c r="GVZ190" s="3"/>
      <c r="GWA190" s="3"/>
      <c r="GWB190" s="3"/>
      <c r="GWC190" s="3"/>
      <c r="GWD190" s="3"/>
      <c r="GWE190" s="3"/>
      <c r="GWF190" s="3"/>
      <c r="GWG190" s="3"/>
      <c r="GWH190" s="3"/>
      <c r="GWI190" s="3"/>
      <c r="GWJ190" s="3"/>
      <c r="GWK190" s="3"/>
      <c r="GWL190" s="3"/>
      <c r="GWM190" s="3"/>
      <c r="GWN190" s="3"/>
      <c r="GWO190" s="3"/>
      <c r="GWP190" s="3"/>
      <c r="GWQ190" s="3"/>
      <c r="GWR190" s="3"/>
      <c r="GWS190" s="3"/>
      <c r="GWT190" s="3"/>
      <c r="GWU190" s="3"/>
      <c r="GWV190" s="3"/>
      <c r="GWW190" s="3"/>
      <c r="GWX190" s="3"/>
      <c r="GWY190" s="3"/>
      <c r="GWZ190" s="3"/>
      <c r="GXA190" s="3"/>
      <c r="GXB190" s="3"/>
      <c r="GXC190" s="3"/>
      <c r="GXD190" s="3"/>
      <c r="GXE190" s="3"/>
      <c r="GXF190" s="3"/>
      <c r="GXG190" s="3"/>
      <c r="GXH190" s="3"/>
      <c r="GXI190" s="3"/>
      <c r="GXJ190" s="3"/>
      <c r="GXK190" s="3"/>
      <c r="GXL190" s="3"/>
      <c r="GXM190" s="3"/>
      <c r="GXN190" s="3"/>
      <c r="GXO190" s="3"/>
      <c r="GXP190" s="3"/>
      <c r="GXQ190" s="3"/>
      <c r="GXR190" s="3"/>
      <c r="GXS190" s="3"/>
      <c r="GXT190" s="3"/>
      <c r="GXU190" s="3"/>
      <c r="GXV190" s="3"/>
      <c r="GXW190" s="3"/>
      <c r="GXX190" s="3"/>
      <c r="GXY190" s="3"/>
      <c r="GXZ190" s="3"/>
      <c r="GYA190" s="3"/>
      <c r="GYB190" s="3"/>
      <c r="GYC190" s="3"/>
      <c r="GYD190" s="3"/>
      <c r="GYE190" s="3"/>
      <c r="GYF190" s="3"/>
      <c r="GYG190" s="3"/>
      <c r="GYH190" s="3"/>
      <c r="GYI190" s="3"/>
      <c r="GYJ190" s="3"/>
      <c r="GYK190" s="3"/>
      <c r="GYL190" s="3"/>
      <c r="GYM190" s="3"/>
      <c r="GYN190" s="3"/>
      <c r="GYO190" s="3"/>
      <c r="GYP190" s="3"/>
      <c r="GYQ190" s="3"/>
      <c r="GYR190" s="3"/>
      <c r="GYS190" s="3"/>
      <c r="GYT190" s="3"/>
      <c r="GYU190" s="3"/>
      <c r="GYV190" s="3"/>
      <c r="GYW190" s="3"/>
      <c r="GYX190" s="3"/>
      <c r="GYY190" s="3"/>
      <c r="GYZ190" s="3"/>
      <c r="GZA190" s="3"/>
      <c r="GZB190" s="3"/>
      <c r="GZC190" s="3"/>
      <c r="GZD190" s="3"/>
      <c r="GZE190" s="3"/>
      <c r="GZF190" s="3"/>
      <c r="GZG190" s="3"/>
      <c r="GZH190" s="3"/>
      <c r="GZI190" s="3"/>
      <c r="GZJ190" s="3"/>
      <c r="GZK190" s="3"/>
      <c r="GZL190" s="3"/>
      <c r="GZM190" s="3"/>
      <c r="GZN190" s="3"/>
      <c r="GZO190" s="3"/>
      <c r="GZP190" s="3"/>
      <c r="GZQ190" s="3"/>
      <c r="GZR190" s="3"/>
      <c r="GZS190" s="3"/>
      <c r="GZT190" s="3"/>
      <c r="GZU190" s="3"/>
      <c r="GZV190" s="3"/>
      <c r="GZW190" s="3"/>
      <c r="GZX190" s="3"/>
      <c r="GZY190" s="3"/>
      <c r="GZZ190" s="3"/>
      <c r="HAA190" s="3"/>
      <c r="HAB190" s="3"/>
      <c r="HAC190" s="3"/>
      <c r="HAD190" s="3"/>
      <c r="HAE190" s="3"/>
      <c r="HAF190" s="3"/>
      <c r="HAG190" s="3"/>
      <c r="HAH190" s="3"/>
      <c r="HAI190" s="3"/>
      <c r="HAJ190" s="3"/>
      <c r="HAK190" s="3"/>
      <c r="HAL190" s="3"/>
      <c r="HAM190" s="3"/>
      <c r="HAN190" s="3"/>
      <c r="HAO190" s="3"/>
      <c r="HAP190" s="3"/>
      <c r="HAQ190" s="3"/>
      <c r="HAR190" s="3"/>
      <c r="HAS190" s="3"/>
      <c r="HAT190" s="3"/>
      <c r="HAU190" s="3"/>
      <c r="HAV190" s="3"/>
      <c r="HAW190" s="3"/>
      <c r="HAX190" s="3"/>
      <c r="HAY190" s="3"/>
      <c r="HAZ190" s="3"/>
      <c r="HBA190" s="3"/>
      <c r="HBB190" s="3"/>
      <c r="HBC190" s="3"/>
      <c r="HBD190" s="3"/>
      <c r="HBE190" s="3"/>
      <c r="HBF190" s="3"/>
      <c r="HBG190" s="3"/>
      <c r="HBH190" s="3"/>
      <c r="HBI190" s="3"/>
      <c r="HBJ190" s="3"/>
      <c r="HBK190" s="3"/>
      <c r="HBL190" s="3"/>
      <c r="HBM190" s="3"/>
      <c r="HBN190" s="3"/>
      <c r="HBO190" s="3"/>
      <c r="HBP190" s="3"/>
      <c r="HBQ190" s="3"/>
      <c r="HBR190" s="3"/>
      <c r="HBS190" s="3"/>
      <c r="HBT190" s="3"/>
      <c r="HBU190" s="3"/>
      <c r="HBV190" s="3"/>
      <c r="HBW190" s="3"/>
      <c r="HBX190" s="3"/>
      <c r="HBY190" s="3"/>
      <c r="HBZ190" s="3"/>
      <c r="HCA190" s="3"/>
      <c r="HCB190" s="3"/>
      <c r="HCC190" s="3"/>
      <c r="HCD190" s="3"/>
      <c r="HCE190" s="3"/>
      <c r="HCF190" s="3"/>
      <c r="HCG190" s="3"/>
      <c r="HCH190" s="3"/>
      <c r="HCI190" s="3"/>
      <c r="HCJ190" s="3"/>
      <c r="HCK190" s="3"/>
      <c r="HCL190" s="3"/>
      <c r="HCM190" s="3"/>
      <c r="HCN190" s="3"/>
      <c r="HCO190" s="3"/>
      <c r="HCP190" s="3"/>
      <c r="HCQ190" s="3"/>
      <c r="HCR190" s="3"/>
      <c r="HCS190" s="3"/>
      <c r="HCT190" s="3"/>
      <c r="HCU190" s="3"/>
      <c r="HCV190" s="3"/>
      <c r="HCW190" s="3"/>
      <c r="HCX190" s="3"/>
      <c r="HCY190" s="3"/>
      <c r="HCZ190" s="3"/>
      <c r="HDA190" s="3"/>
      <c r="HDB190" s="3"/>
      <c r="HDC190" s="3"/>
      <c r="HDD190" s="3"/>
      <c r="HDE190" s="3"/>
      <c r="HDF190" s="3"/>
      <c r="HDG190" s="3"/>
      <c r="HDH190" s="3"/>
      <c r="HDI190" s="3"/>
      <c r="HDJ190" s="3"/>
      <c r="HDK190" s="3"/>
      <c r="HDL190" s="3"/>
      <c r="HDM190" s="3"/>
      <c r="HDN190" s="3"/>
      <c r="HDO190" s="3"/>
      <c r="HDP190" s="3"/>
      <c r="HDQ190" s="3"/>
      <c r="HDR190" s="3"/>
      <c r="HDS190" s="3"/>
      <c r="HDT190" s="3"/>
      <c r="HDU190" s="3"/>
      <c r="HDV190" s="3"/>
      <c r="HDW190" s="3"/>
      <c r="HDX190" s="3"/>
      <c r="HDY190" s="3"/>
      <c r="HDZ190" s="3"/>
      <c r="HEA190" s="3"/>
      <c r="HEB190" s="3"/>
      <c r="HEC190" s="3"/>
      <c r="HED190" s="3"/>
      <c r="HEE190" s="3"/>
      <c r="HEF190" s="3"/>
      <c r="HEG190" s="3"/>
      <c r="HEH190" s="3"/>
      <c r="HEI190" s="3"/>
      <c r="HEJ190" s="3"/>
      <c r="HEK190" s="3"/>
      <c r="HEL190" s="3"/>
      <c r="HEM190" s="3"/>
      <c r="HEN190" s="3"/>
      <c r="HEO190" s="3"/>
      <c r="HEP190" s="3"/>
      <c r="HEQ190" s="3"/>
      <c r="HER190" s="3"/>
      <c r="HES190" s="3"/>
      <c r="HET190" s="3"/>
      <c r="HEU190" s="3"/>
      <c r="HEV190" s="3"/>
      <c r="HEW190" s="3"/>
      <c r="HEX190" s="3"/>
      <c r="HEY190" s="3"/>
      <c r="HEZ190" s="3"/>
      <c r="HFA190" s="3"/>
      <c r="HFB190" s="3"/>
      <c r="HFC190" s="3"/>
      <c r="HFD190" s="3"/>
      <c r="HFE190" s="3"/>
      <c r="HFF190" s="3"/>
      <c r="HFG190" s="3"/>
      <c r="HFH190" s="3"/>
      <c r="HFI190" s="3"/>
      <c r="HFJ190" s="3"/>
      <c r="HFK190" s="3"/>
      <c r="HFL190" s="3"/>
      <c r="HFM190" s="3"/>
      <c r="HFN190" s="3"/>
      <c r="HFO190" s="3"/>
      <c r="HFP190" s="3"/>
      <c r="HFQ190" s="3"/>
      <c r="HFR190" s="3"/>
      <c r="HFS190" s="3"/>
      <c r="HFT190" s="3"/>
      <c r="HFU190" s="3"/>
      <c r="HFV190" s="3"/>
      <c r="HFW190" s="3"/>
      <c r="HFX190" s="3"/>
      <c r="HFY190" s="3"/>
      <c r="HFZ190" s="3"/>
      <c r="HGA190" s="3"/>
      <c r="HGB190" s="3"/>
      <c r="HGC190" s="3"/>
      <c r="HGD190" s="3"/>
      <c r="HGE190" s="3"/>
      <c r="HGF190" s="3"/>
      <c r="HGG190" s="3"/>
      <c r="HGH190" s="3"/>
      <c r="HGI190" s="3"/>
      <c r="HGJ190" s="3"/>
      <c r="HGK190" s="3"/>
      <c r="HGL190" s="3"/>
      <c r="HGM190" s="3"/>
      <c r="HGN190" s="3"/>
      <c r="HGO190" s="3"/>
      <c r="HGP190" s="3"/>
      <c r="HGQ190" s="3"/>
      <c r="HGR190" s="3"/>
      <c r="HGS190" s="3"/>
      <c r="HGT190" s="3"/>
      <c r="HGU190" s="3"/>
      <c r="HGV190" s="3"/>
      <c r="HGW190" s="3"/>
      <c r="HGX190" s="3"/>
      <c r="HGY190" s="3"/>
      <c r="HGZ190" s="3"/>
      <c r="HHA190" s="3"/>
      <c r="HHB190" s="3"/>
      <c r="HHC190" s="3"/>
      <c r="HHD190" s="3"/>
      <c r="HHE190" s="3"/>
      <c r="HHF190" s="3"/>
      <c r="HHG190" s="3"/>
      <c r="HHH190" s="3"/>
      <c r="HHI190" s="3"/>
      <c r="HHJ190" s="3"/>
      <c r="HHK190" s="3"/>
      <c r="HHL190" s="3"/>
      <c r="HHM190" s="3"/>
      <c r="HHN190" s="3"/>
      <c r="HHO190" s="3"/>
      <c r="HHP190" s="3"/>
      <c r="HHQ190" s="3"/>
      <c r="HHR190" s="3"/>
      <c r="HHS190" s="3"/>
      <c r="HHT190" s="3"/>
      <c r="HHU190" s="3"/>
      <c r="HHV190" s="3"/>
      <c r="HHW190" s="3"/>
      <c r="HHX190" s="3"/>
      <c r="HHY190" s="3"/>
      <c r="HHZ190" s="3"/>
      <c r="HIA190" s="3"/>
      <c r="HIB190" s="3"/>
      <c r="HIC190" s="3"/>
      <c r="HID190" s="3"/>
      <c r="HIE190" s="3"/>
      <c r="HIF190" s="3"/>
      <c r="HIG190" s="3"/>
      <c r="HIH190" s="3"/>
      <c r="HII190" s="3"/>
      <c r="HIJ190" s="3"/>
      <c r="HIK190" s="3"/>
      <c r="HIL190" s="3"/>
      <c r="HIM190" s="3"/>
      <c r="HIN190" s="3"/>
      <c r="HIO190" s="3"/>
      <c r="HIP190" s="3"/>
      <c r="HIQ190" s="3"/>
      <c r="HIR190" s="3"/>
      <c r="HIS190" s="3"/>
      <c r="HIT190" s="3"/>
      <c r="HIU190" s="3"/>
      <c r="HIV190" s="3"/>
      <c r="HIW190" s="3"/>
      <c r="HIX190" s="3"/>
      <c r="HIY190" s="3"/>
      <c r="HIZ190" s="3"/>
      <c r="HJA190" s="3"/>
      <c r="HJB190" s="3"/>
      <c r="HJC190" s="3"/>
      <c r="HJD190" s="3"/>
      <c r="HJE190" s="3"/>
      <c r="HJF190" s="3"/>
      <c r="HJG190" s="3"/>
      <c r="HJH190" s="3"/>
      <c r="HJI190" s="3"/>
      <c r="HJJ190" s="3"/>
      <c r="HJK190" s="3"/>
      <c r="HJL190" s="3"/>
      <c r="HJM190" s="3"/>
      <c r="HJN190" s="3"/>
      <c r="HJO190" s="3"/>
      <c r="HJP190" s="3"/>
      <c r="HJQ190" s="3"/>
      <c r="HJR190" s="3"/>
      <c r="HJS190" s="3"/>
      <c r="HJT190" s="3"/>
      <c r="HJU190" s="3"/>
      <c r="HJV190" s="3"/>
      <c r="HJW190" s="3"/>
      <c r="HJX190" s="3"/>
      <c r="HJY190" s="3"/>
      <c r="HJZ190" s="3"/>
      <c r="HKA190" s="3"/>
      <c r="HKB190" s="3"/>
      <c r="HKC190" s="3"/>
      <c r="HKD190" s="3"/>
      <c r="HKE190" s="3"/>
      <c r="HKF190" s="3"/>
      <c r="HKG190" s="3"/>
      <c r="HKH190" s="3"/>
      <c r="HKI190" s="3"/>
      <c r="HKJ190" s="3"/>
      <c r="HKK190" s="3"/>
      <c r="HKL190" s="3"/>
      <c r="HKM190" s="3"/>
      <c r="HKN190" s="3"/>
      <c r="HKO190" s="3"/>
      <c r="HKP190" s="3"/>
      <c r="HKQ190" s="3"/>
      <c r="HKR190" s="3"/>
      <c r="HKS190" s="3"/>
      <c r="HKT190" s="3"/>
      <c r="HKU190" s="3"/>
      <c r="HKV190" s="3"/>
      <c r="HKW190" s="3"/>
      <c r="HKX190" s="3"/>
      <c r="HKY190" s="3"/>
      <c r="HKZ190" s="3"/>
      <c r="HLA190" s="3"/>
      <c r="HLB190" s="3"/>
      <c r="HLC190" s="3"/>
      <c r="HLD190" s="3"/>
      <c r="HLE190" s="3"/>
      <c r="HLF190" s="3"/>
      <c r="HLG190" s="3"/>
      <c r="HLH190" s="3"/>
      <c r="HLI190" s="3"/>
      <c r="HLJ190" s="3"/>
      <c r="HLK190" s="3"/>
      <c r="HLL190" s="3"/>
      <c r="HLM190" s="3"/>
      <c r="HLN190" s="3"/>
      <c r="HLO190" s="3"/>
      <c r="HLP190" s="3"/>
      <c r="HLQ190" s="3"/>
      <c r="HLR190" s="3"/>
      <c r="HLS190" s="3"/>
      <c r="HLT190" s="3"/>
      <c r="HLU190" s="3"/>
      <c r="HLV190" s="3"/>
      <c r="HLW190" s="3"/>
      <c r="HLX190" s="3"/>
      <c r="HLY190" s="3"/>
      <c r="HLZ190" s="3"/>
      <c r="HMA190" s="3"/>
      <c r="HMB190" s="3"/>
      <c r="HMC190" s="3"/>
      <c r="HMD190" s="3"/>
      <c r="HME190" s="3"/>
      <c r="HMF190" s="3"/>
      <c r="HMG190" s="3"/>
      <c r="HMH190" s="3"/>
      <c r="HMI190" s="3"/>
      <c r="HMJ190" s="3"/>
      <c r="HMK190" s="3"/>
      <c r="HML190" s="3"/>
      <c r="HMM190" s="3"/>
      <c r="HMN190" s="3"/>
      <c r="HMO190" s="3"/>
      <c r="HMP190" s="3"/>
      <c r="HMQ190" s="3"/>
      <c r="HMR190" s="3"/>
      <c r="HMS190" s="3"/>
      <c r="HMT190" s="3"/>
      <c r="HMU190" s="3"/>
      <c r="HMV190" s="3"/>
      <c r="HMW190" s="3"/>
      <c r="HMX190" s="3"/>
      <c r="HMY190" s="3"/>
      <c r="HMZ190" s="3"/>
      <c r="HNA190" s="3"/>
      <c r="HNB190" s="3"/>
      <c r="HNC190" s="3"/>
      <c r="HND190" s="3"/>
      <c r="HNE190" s="3"/>
      <c r="HNF190" s="3"/>
      <c r="HNG190" s="3"/>
      <c r="HNH190" s="3"/>
      <c r="HNI190" s="3"/>
      <c r="HNJ190" s="3"/>
      <c r="HNK190" s="3"/>
      <c r="HNL190" s="3"/>
      <c r="HNM190" s="3"/>
      <c r="HNN190" s="3"/>
      <c r="HNO190" s="3"/>
      <c r="HNP190" s="3"/>
      <c r="HNQ190" s="3"/>
      <c r="HNR190" s="3"/>
      <c r="HNS190" s="3"/>
      <c r="HNT190" s="3"/>
      <c r="HNU190" s="3"/>
      <c r="HNV190" s="3"/>
      <c r="HNW190" s="3"/>
      <c r="HNX190" s="3"/>
      <c r="HNY190" s="3"/>
      <c r="HNZ190" s="3"/>
      <c r="HOA190" s="3"/>
      <c r="HOB190" s="3"/>
      <c r="HOC190" s="3"/>
      <c r="HOD190" s="3"/>
      <c r="HOE190" s="3"/>
      <c r="HOF190" s="3"/>
      <c r="HOG190" s="3"/>
      <c r="HOH190" s="3"/>
      <c r="HOI190" s="3"/>
      <c r="HOJ190" s="3"/>
      <c r="HOK190" s="3"/>
      <c r="HOL190" s="3"/>
      <c r="HOM190" s="3"/>
      <c r="HON190" s="3"/>
      <c r="HOO190" s="3"/>
      <c r="HOP190" s="3"/>
      <c r="HOQ190" s="3"/>
      <c r="HOR190" s="3"/>
      <c r="HOS190" s="3"/>
      <c r="HOT190" s="3"/>
      <c r="HOU190" s="3"/>
      <c r="HOV190" s="3"/>
      <c r="HOW190" s="3"/>
      <c r="HOX190" s="3"/>
      <c r="HOY190" s="3"/>
      <c r="HOZ190" s="3"/>
      <c r="HPA190" s="3"/>
      <c r="HPB190" s="3"/>
      <c r="HPC190" s="3"/>
      <c r="HPD190" s="3"/>
      <c r="HPE190" s="3"/>
      <c r="HPF190" s="3"/>
      <c r="HPG190" s="3"/>
      <c r="HPH190" s="3"/>
      <c r="HPI190" s="3"/>
      <c r="HPJ190" s="3"/>
      <c r="HPK190" s="3"/>
      <c r="HPL190" s="3"/>
      <c r="HPM190" s="3"/>
      <c r="HPN190" s="3"/>
      <c r="HPO190" s="3"/>
      <c r="HPP190" s="3"/>
      <c r="HPQ190" s="3"/>
      <c r="HPR190" s="3"/>
      <c r="HPS190" s="3"/>
      <c r="HPT190" s="3"/>
      <c r="HPU190" s="3"/>
      <c r="HPV190" s="3"/>
      <c r="HPW190" s="3"/>
      <c r="HPX190" s="3"/>
      <c r="HPY190" s="3"/>
      <c r="HPZ190" s="3"/>
      <c r="HQA190" s="3"/>
      <c r="HQB190" s="3"/>
      <c r="HQC190" s="3"/>
      <c r="HQD190" s="3"/>
      <c r="HQE190" s="3"/>
      <c r="HQF190" s="3"/>
      <c r="HQG190" s="3"/>
      <c r="HQH190" s="3"/>
      <c r="HQI190" s="3"/>
      <c r="HQJ190" s="3"/>
      <c r="HQK190" s="3"/>
      <c r="HQL190" s="3"/>
      <c r="HQM190" s="3"/>
      <c r="HQN190" s="3"/>
      <c r="HQO190" s="3"/>
      <c r="HQP190" s="3"/>
      <c r="HQQ190" s="3"/>
      <c r="HQR190" s="3"/>
      <c r="HQS190" s="3"/>
      <c r="HQT190" s="3"/>
      <c r="HQU190" s="3"/>
      <c r="HQV190" s="3"/>
      <c r="HQW190" s="3"/>
      <c r="HQX190" s="3"/>
      <c r="HQY190" s="3"/>
      <c r="HQZ190" s="3"/>
      <c r="HRA190" s="3"/>
      <c r="HRB190" s="3"/>
      <c r="HRC190" s="3"/>
      <c r="HRD190" s="3"/>
      <c r="HRE190" s="3"/>
      <c r="HRF190" s="3"/>
      <c r="HRG190" s="3"/>
      <c r="HRH190" s="3"/>
      <c r="HRI190" s="3"/>
      <c r="HRJ190" s="3"/>
      <c r="HRK190" s="3"/>
      <c r="HRL190" s="3"/>
      <c r="HRM190" s="3"/>
      <c r="HRN190" s="3"/>
      <c r="HRO190" s="3"/>
      <c r="HRP190" s="3"/>
      <c r="HRQ190" s="3"/>
      <c r="HRR190" s="3"/>
      <c r="HRS190" s="3"/>
      <c r="HRT190" s="3"/>
      <c r="HRU190" s="3"/>
      <c r="HRV190" s="3"/>
      <c r="HRW190" s="3"/>
      <c r="HRX190" s="3"/>
      <c r="HRY190" s="3"/>
      <c r="HRZ190" s="3"/>
      <c r="HSA190" s="3"/>
      <c r="HSB190" s="3"/>
      <c r="HSC190" s="3"/>
      <c r="HSD190" s="3"/>
      <c r="HSE190" s="3"/>
      <c r="HSF190" s="3"/>
      <c r="HSG190" s="3"/>
      <c r="HSH190" s="3"/>
      <c r="HSI190" s="3"/>
      <c r="HSJ190" s="3"/>
      <c r="HSK190" s="3"/>
      <c r="HSL190" s="3"/>
      <c r="HSM190" s="3"/>
      <c r="HSN190" s="3"/>
      <c r="HSO190" s="3"/>
      <c r="HSP190" s="3"/>
      <c r="HSQ190" s="3"/>
      <c r="HSR190" s="3"/>
      <c r="HSS190" s="3"/>
      <c r="HST190" s="3"/>
      <c r="HSU190" s="3"/>
      <c r="HSV190" s="3"/>
      <c r="HSW190" s="3"/>
      <c r="HSX190" s="3"/>
      <c r="HSY190" s="3"/>
      <c r="HSZ190" s="3"/>
      <c r="HTA190" s="3"/>
      <c r="HTB190" s="3"/>
      <c r="HTC190" s="3"/>
      <c r="HTD190" s="3"/>
      <c r="HTE190" s="3"/>
      <c r="HTF190" s="3"/>
      <c r="HTG190" s="3"/>
      <c r="HTH190" s="3"/>
      <c r="HTI190" s="3"/>
      <c r="HTJ190" s="3"/>
      <c r="HTK190" s="3"/>
      <c r="HTL190" s="3"/>
      <c r="HTM190" s="3"/>
      <c r="HTN190" s="3"/>
      <c r="HTO190" s="3"/>
      <c r="HTP190" s="3"/>
      <c r="HTQ190" s="3"/>
      <c r="HTR190" s="3"/>
      <c r="HTS190" s="3"/>
      <c r="HTT190" s="3"/>
      <c r="HTU190" s="3"/>
      <c r="HTV190" s="3"/>
      <c r="HTW190" s="3"/>
      <c r="HTX190" s="3"/>
      <c r="HTY190" s="3"/>
      <c r="HTZ190" s="3"/>
      <c r="HUA190" s="3"/>
      <c r="HUB190" s="3"/>
      <c r="HUC190" s="3"/>
      <c r="HUD190" s="3"/>
      <c r="HUE190" s="3"/>
      <c r="HUF190" s="3"/>
      <c r="HUG190" s="3"/>
      <c r="HUH190" s="3"/>
      <c r="HUI190" s="3"/>
      <c r="HUJ190" s="3"/>
      <c r="HUK190" s="3"/>
      <c r="HUL190" s="3"/>
      <c r="HUM190" s="3"/>
      <c r="HUN190" s="3"/>
      <c r="HUO190" s="3"/>
      <c r="HUP190" s="3"/>
      <c r="HUQ190" s="3"/>
      <c r="HUR190" s="3"/>
      <c r="HUS190" s="3"/>
      <c r="HUT190" s="3"/>
      <c r="HUU190" s="3"/>
      <c r="HUV190" s="3"/>
      <c r="HUW190" s="3"/>
      <c r="HUX190" s="3"/>
      <c r="HUY190" s="3"/>
      <c r="HUZ190" s="3"/>
      <c r="HVA190" s="3"/>
      <c r="HVB190" s="3"/>
      <c r="HVC190" s="3"/>
      <c r="HVD190" s="3"/>
      <c r="HVE190" s="3"/>
      <c r="HVF190" s="3"/>
      <c r="HVG190" s="3"/>
      <c r="HVH190" s="3"/>
      <c r="HVI190" s="3"/>
      <c r="HVJ190" s="3"/>
      <c r="HVK190" s="3"/>
      <c r="HVL190" s="3"/>
      <c r="HVM190" s="3"/>
      <c r="HVN190" s="3"/>
      <c r="HVO190" s="3"/>
      <c r="HVP190" s="3"/>
      <c r="HVQ190" s="3"/>
      <c r="HVR190" s="3"/>
      <c r="HVS190" s="3"/>
      <c r="HVT190" s="3"/>
      <c r="HVU190" s="3"/>
      <c r="HVV190" s="3"/>
      <c r="HVW190" s="3"/>
      <c r="HVX190" s="3"/>
      <c r="HVY190" s="3"/>
      <c r="HVZ190" s="3"/>
      <c r="HWA190" s="3"/>
      <c r="HWB190" s="3"/>
      <c r="HWC190" s="3"/>
      <c r="HWD190" s="3"/>
      <c r="HWE190" s="3"/>
      <c r="HWF190" s="3"/>
      <c r="HWG190" s="3"/>
      <c r="HWH190" s="3"/>
      <c r="HWI190" s="3"/>
      <c r="HWJ190" s="3"/>
      <c r="HWK190" s="3"/>
      <c r="HWL190" s="3"/>
      <c r="HWM190" s="3"/>
      <c r="HWN190" s="3"/>
      <c r="HWO190" s="3"/>
      <c r="HWP190" s="3"/>
      <c r="HWQ190" s="3"/>
      <c r="HWR190" s="3"/>
      <c r="HWS190" s="3"/>
      <c r="HWT190" s="3"/>
      <c r="HWU190" s="3"/>
      <c r="HWV190" s="3"/>
      <c r="HWW190" s="3"/>
      <c r="HWX190" s="3"/>
      <c r="HWY190" s="3"/>
      <c r="HWZ190" s="3"/>
      <c r="HXA190" s="3"/>
      <c r="HXB190" s="3"/>
      <c r="HXC190" s="3"/>
      <c r="HXD190" s="3"/>
      <c r="HXE190" s="3"/>
      <c r="HXF190" s="3"/>
      <c r="HXG190" s="3"/>
      <c r="HXH190" s="3"/>
      <c r="HXI190" s="3"/>
      <c r="HXJ190" s="3"/>
      <c r="HXK190" s="3"/>
      <c r="HXL190" s="3"/>
      <c r="HXM190" s="3"/>
      <c r="HXN190" s="3"/>
      <c r="HXO190" s="3"/>
      <c r="HXP190" s="3"/>
      <c r="HXQ190" s="3"/>
      <c r="HXR190" s="3"/>
      <c r="HXS190" s="3"/>
      <c r="HXT190" s="3"/>
      <c r="HXU190" s="3"/>
      <c r="HXV190" s="3"/>
      <c r="HXW190" s="3"/>
      <c r="HXX190" s="3"/>
      <c r="HXY190" s="3"/>
      <c r="HXZ190" s="3"/>
      <c r="HYA190" s="3"/>
      <c r="HYB190" s="3"/>
      <c r="HYC190" s="3"/>
      <c r="HYD190" s="3"/>
      <c r="HYE190" s="3"/>
      <c r="HYF190" s="3"/>
      <c r="HYG190" s="3"/>
      <c r="HYH190" s="3"/>
      <c r="HYI190" s="3"/>
      <c r="HYJ190" s="3"/>
      <c r="HYK190" s="3"/>
      <c r="HYL190" s="3"/>
      <c r="HYM190" s="3"/>
      <c r="HYN190" s="3"/>
      <c r="HYO190" s="3"/>
      <c r="HYP190" s="3"/>
      <c r="HYQ190" s="3"/>
      <c r="HYR190" s="3"/>
      <c r="HYS190" s="3"/>
      <c r="HYT190" s="3"/>
      <c r="HYU190" s="3"/>
      <c r="HYV190" s="3"/>
      <c r="HYW190" s="3"/>
      <c r="HYX190" s="3"/>
      <c r="HYY190" s="3"/>
      <c r="HYZ190" s="3"/>
      <c r="HZA190" s="3"/>
      <c r="HZB190" s="3"/>
      <c r="HZC190" s="3"/>
      <c r="HZD190" s="3"/>
      <c r="HZE190" s="3"/>
      <c r="HZF190" s="3"/>
      <c r="HZG190" s="3"/>
      <c r="HZH190" s="3"/>
      <c r="HZI190" s="3"/>
      <c r="HZJ190" s="3"/>
      <c r="HZK190" s="3"/>
      <c r="HZL190" s="3"/>
      <c r="HZM190" s="3"/>
      <c r="HZN190" s="3"/>
      <c r="HZO190" s="3"/>
      <c r="HZP190" s="3"/>
      <c r="HZQ190" s="3"/>
      <c r="HZR190" s="3"/>
      <c r="HZS190" s="3"/>
      <c r="HZT190" s="3"/>
      <c r="HZU190" s="3"/>
      <c r="HZV190" s="3"/>
      <c r="HZW190" s="3"/>
      <c r="HZX190" s="3"/>
      <c r="HZY190" s="3"/>
      <c r="HZZ190" s="3"/>
      <c r="IAA190" s="3"/>
      <c r="IAB190" s="3"/>
      <c r="IAC190" s="3"/>
      <c r="IAD190" s="3"/>
      <c r="IAE190" s="3"/>
      <c r="IAF190" s="3"/>
      <c r="IAG190" s="3"/>
      <c r="IAH190" s="3"/>
      <c r="IAI190" s="3"/>
      <c r="IAJ190" s="3"/>
      <c r="IAK190" s="3"/>
      <c r="IAL190" s="3"/>
      <c r="IAM190" s="3"/>
      <c r="IAN190" s="3"/>
      <c r="IAO190" s="3"/>
      <c r="IAP190" s="3"/>
      <c r="IAQ190" s="3"/>
      <c r="IAR190" s="3"/>
      <c r="IAS190" s="3"/>
      <c r="IAT190" s="3"/>
      <c r="IAU190" s="3"/>
      <c r="IAV190" s="3"/>
      <c r="IAW190" s="3"/>
      <c r="IAX190" s="3"/>
      <c r="IAY190" s="3"/>
      <c r="IAZ190" s="3"/>
      <c r="IBA190" s="3"/>
      <c r="IBB190" s="3"/>
      <c r="IBC190" s="3"/>
      <c r="IBD190" s="3"/>
      <c r="IBE190" s="3"/>
      <c r="IBF190" s="3"/>
      <c r="IBG190" s="3"/>
      <c r="IBH190" s="3"/>
      <c r="IBI190" s="3"/>
      <c r="IBJ190" s="3"/>
      <c r="IBK190" s="3"/>
      <c r="IBL190" s="3"/>
      <c r="IBM190" s="3"/>
      <c r="IBN190" s="3"/>
      <c r="IBO190" s="3"/>
      <c r="IBP190" s="3"/>
      <c r="IBQ190" s="3"/>
      <c r="IBR190" s="3"/>
      <c r="IBS190" s="3"/>
      <c r="IBT190" s="3"/>
      <c r="IBU190" s="3"/>
      <c r="IBV190" s="3"/>
      <c r="IBW190" s="3"/>
      <c r="IBX190" s="3"/>
      <c r="IBY190" s="3"/>
      <c r="IBZ190" s="3"/>
      <c r="ICA190" s="3"/>
      <c r="ICB190" s="3"/>
      <c r="ICC190" s="3"/>
      <c r="ICD190" s="3"/>
      <c r="ICE190" s="3"/>
      <c r="ICF190" s="3"/>
      <c r="ICG190" s="3"/>
      <c r="ICH190" s="3"/>
      <c r="ICI190" s="3"/>
      <c r="ICJ190" s="3"/>
      <c r="ICK190" s="3"/>
      <c r="ICL190" s="3"/>
      <c r="ICM190" s="3"/>
      <c r="ICN190" s="3"/>
      <c r="ICO190" s="3"/>
      <c r="ICP190" s="3"/>
      <c r="ICQ190" s="3"/>
      <c r="ICR190" s="3"/>
      <c r="ICS190" s="3"/>
      <c r="ICT190" s="3"/>
      <c r="ICU190" s="3"/>
      <c r="ICV190" s="3"/>
      <c r="ICW190" s="3"/>
      <c r="ICX190" s="3"/>
      <c r="ICY190" s="3"/>
      <c r="ICZ190" s="3"/>
      <c r="IDA190" s="3"/>
      <c r="IDB190" s="3"/>
      <c r="IDC190" s="3"/>
      <c r="IDD190" s="3"/>
      <c r="IDE190" s="3"/>
      <c r="IDF190" s="3"/>
      <c r="IDG190" s="3"/>
      <c r="IDH190" s="3"/>
      <c r="IDI190" s="3"/>
      <c r="IDJ190" s="3"/>
      <c r="IDK190" s="3"/>
      <c r="IDL190" s="3"/>
      <c r="IDM190" s="3"/>
      <c r="IDN190" s="3"/>
      <c r="IDO190" s="3"/>
      <c r="IDP190" s="3"/>
      <c r="IDQ190" s="3"/>
      <c r="IDR190" s="3"/>
      <c r="IDS190" s="3"/>
      <c r="IDT190" s="3"/>
      <c r="IDU190" s="3"/>
      <c r="IDV190" s="3"/>
      <c r="IDW190" s="3"/>
      <c r="IDX190" s="3"/>
      <c r="IDY190" s="3"/>
      <c r="IDZ190" s="3"/>
      <c r="IEA190" s="3"/>
      <c r="IEB190" s="3"/>
      <c r="IEC190" s="3"/>
      <c r="IED190" s="3"/>
      <c r="IEE190" s="3"/>
      <c r="IEF190" s="3"/>
      <c r="IEG190" s="3"/>
      <c r="IEH190" s="3"/>
      <c r="IEI190" s="3"/>
      <c r="IEJ190" s="3"/>
      <c r="IEK190" s="3"/>
      <c r="IEL190" s="3"/>
      <c r="IEM190" s="3"/>
      <c r="IEN190" s="3"/>
      <c r="IEO190" s="3"/>
      <c r="IEP190" s="3"/>
      <c r="IEQ190" s="3"/>
      <c r="IER190" s="3"/>
      <c r="IES190" s="3"/>
      <c r="IET190" s="3"/>
      <c r="IEU190" s="3"/>
      <c r="IEV190" s="3"/>
      <c r="IEW190" s="3"/>
      <c r="IEX190" s="3"/>
      <c r="IEY190" s="3"/>
      <c r="IEZ190" s="3"/>
      <c r="IFA190" s="3"/>
      <c r="IFB190" s="3"/>
      <c r="IFC190" s="3"/>
      <c r="IFD190" s="3"/>
      <c r="IFE190" s="3"/>
      <c r="IFF190" s="3"/>
      <c r="IFG190" s="3"/>
      <c r="IFH190" s="3"/>
      <c r="IFI190" s="3"/>
      <c r="IFJ190" s="3"/>
      <c r="IFK190" s="3"/>
      <c r="IFL190" s="3"/>
      <c r="IFM190" s="3"/>
      <c r="IFN190" s="3"/>
      <c r="IFO190" s="3"/>
      <c r="IFP190" s="3"/>
      <c r="IFQ190" s="3"/>
      <c r="IFR190" s="3"/>
      <c r="IFS190" s="3"/>
      <c r="IFT190" s="3"/>
      <c r="IFU190" s="3"/>
      <c r="IFV190" s="3"/>
      <c r="IFW190" s="3"/>
      <c r="IFX190" s="3"/>
      <c r="IFY190" s="3"/>
      <c r="IFZ190" s="3"/>
      <c r="IGA190" s="3"/>
      <c r="IGB190" s="3"/>
      <c r="IGC190" s="3"/>
      <c r="IGD190" s="3"/>
      <c r="IGE190" s="3"/>
      <c r="IGF190" s="3"/>
      <c r="IGG190" s="3"/>
      <c r="IGH190" s="3"/>
      <c r="IGI190" s="3"/>
      <c r="IGJ190" s="3"/>
      <c r="IGK190" s="3"/>
      <c r="IGL190" s="3"/>
      <c r="IGM190" s="3"/>
      <c r="IGN190" s="3"/>
      <c r="IGO190" s="3"/>
      <c r="IGP190" s="3"/>
      <c r="IGQ190" s="3"/>
      <c r="IGR190" s="3"/>
      <c r="IGS190" s="3"/>
      <c r="IGT190" s="3"/>
      <c r="IGU190" s="3"/>
      <c r="IGV190" s="3"/>
      <c r="IGW190" s="3"/>
      <c r="IGX190" s="3"/>
      <c r="IGY190" s="3"/>
      <c r="IGZ190" s="3"/>
      <c r="IHA190" s="3"/>
      <c r="IHB190" s="3"/>
      <c r="IHC190" s="3"/>
      <c r="IHD190" s="3"/>
      <c r="IHE190" s="3"/>
      <c r="IHF190" s="3"/>
      <c r="IHG190" s="3"/>
      <c r="IHH190" s="3"/>
      <c r="IHI190" s="3"/>
      <c r="IHJ190" s="3"/>
      <c r="IHK190" s="3"/>
      <c r="IHL190" s="3"/>
      <c r="IHM190" s="3"/>
      <c r="IHN190" s="3"/>
      <c r="IHO190" s="3"/>
      <c r="IHP190" s="3"/>
      <c r="IHQ190" s="3"/>
      <c r="IHR190" s="3"/>
      <c r="IHS190" s="3"/>
      <c r="IHT190" s="3"/>
      <c r="IHU190" s="3"/>
      <c r="IHV190" s="3"/>
      <c r="IHW190" s="3"/>
      <c r="IHX190" s="3"/>
      <c r="IHY190" s="3"/>
      <c r="IHZ190" s="3"/>
      <c r="IIA190" s="3"/>
      <c r="IIB190" s="3"/>
      <c r="IIC190" s="3"/>
      <c r="IID190" s="3"/>
      <c r="IIE190" s="3"/>
      <c r="IIF190" s="3"/>
      <c r="IIG190" s="3"/>
      <c r="IIH190" s="3"/>
      <c r="III190" s="3"/>
      <c r="IIJ190" s="3"/>
      <c r="IIK190" s="3"/>
      <c r="IIL190" s="3"/>
      <c r="IIM190" s="3"/>
      <c r="IIN190" s="3"/>
      <c r="IIO190" s="3"/>
      <c r="IIP190" s="3"/>
      <c r="IIQ190" s="3"/>
      <c r="IIR190" s="3"/>
      <c r="IIS190" s="3"/>
      <c r="IIT190" s="3"/>
      <c r="IIU190" s="3"/>
      <c r="IIV190" s="3"/>
      <c r="IIW190" s="3"/>
      <c r="IIX190" s="3"/>
      <c r="IIY190" s="3"/>
      <c r="IIZ190" s="3"/>
      <c r="IJA190" s="3"/>
      <c r="IJB190" s="3"/>
      <c r="IJC190" s="3"/>
      <c r="IJD190" s="3"/>
      <c r="IJE190" s="3"/>
      <c r="IJF190" s="3"/>
      <c r="IJG190" s="3"/>
      <c r="IJH190" s="3"/>
      <c r="IJI190" s="3"/>
      <c r="IJJ190" s="3"/>
      <c r="IJK190" s="3"/>
      <c r="IJL190" s="3"/>
      <c r="IJM190" s="3"/>
      <c r="IJN190" s="3"/>
      <c r="IJO190" s="3"/>
      <c r="IJP190" s="3"/>
      <c r="IJQ190" s="3"/>
      <c r="IJR190" s="3"/>
      <c r="IJS190" s="3"/>
      <c r="IJT190" s="3"/>
      <c r="IJU190" s="3"/>
      <c r="IJV190" s="3"/>
      <c r="IJW190" s="3"/>
      <c r="IJX190" s="3"/>
      <c r="IJY190" s="3"/>
      <c r="IJZ190" s="3"/>
      <c r="IKA190" s="3"/>
      <c r="IKB190" s="3"/>
      <c r="IKC190" s="3"/>
      <c r="IKD190" s="3"/>
      <c r="IKE190" s="3"/>
      <c r="IKF190" s="3"/>
      <c r="IKG190" s="3"/>
      <c r="IKH190" s="3"/>
      <c r="IKI190" s="3"/>
      <c r="IKJ190" s="3"/>
      <c r="IKK190" s="3"/>
      <c r="IKL190" s="3"/>
      <c r="IKM190" s="3"/>
      <c r="IKN190" s="3"/>
      <c r="IKO190" s="3"/>
      <c r="IKP190" s="3"/>
      <c r="IKQ190" s="3"/>
      <c r="IKR190" s="3"/>
      <c r="IKS190" s="3"/>
      <c r="IKT190" s="3"/>
      <c r="IKU190" s="3"/>
      <c r="IKV190" s="3"/>
      <c r="IKW190" s="3"/>
      <c r="IKX190" s="3"/>
      <c r="IKY190" s="3"/>
      <c r="IKZ190" s="3"/>
      <c r="ILA190" s="3"/>
      <c r="ILB190" s="3"/>
      <c r="ILC190" s="3"/>
      <c r="ILD190" s="3"/>
      <c r="ILE190" s="3"/>
      <c r="ILF190" s="3"/>
      <c r="ILG190" s="3"/>
      <c r="ILH190" s="3"/>
      <c r="ILI190" s="3"/>
      <c r="ILJ190" s="3"/>
      <c r="ILK190" s="3"/>
      <c r="ILL190" s="3"/>
      <c r="ILM190" s="3"/>
      <c r="ILN190" s="3"/>
      <c r="ILO190" s="3"/>
      <c r="ILP190" s="3"/>
      <c r="ILQ190" s="3"/>
      <c r="ILR190" s="3"/>
      <c r="ILS190" s="3"/>
      <c r="ILT190" s="3"/>
      <c r="ILU190" s="3"/>
      <c r="ILV190" s="3"/>
      <c r="ILW190" s="3"/>
      <c r="ILX190" s="3"/>
      <c r="ILY190" s="3"/>
      <c r="ILZ190" s="3"/>
      <c r="IMA190" s="3"/>
      <c r="IMB190" s="3"/>
      <c r="IMC190" s="3"/>
      <c r="IMD190" s="3"/>
      <c r="IME190" s="3"/>
      <c r="IMF190" s="3"/>
      <c r="IMG190" s="3"/>
      <c r="IMH190" s="3"/>
      <c r="IMI190" s="3"/>
      <c r="IMJ190" s="3"/>
      <c r="IMK190" s="3"/>
      <c r="IML190" s="3"/>
      <c r="IMM190" s="3"/>
      <c r="IMN190" s="3"/>
      <c r="IMO190" s="3"/>
      <c r="IMP190" s="3"/>
      <c r="IMQ190" s="3"/>
      <c r="IMR190" s="3"/>
      <c r="IMS190" s="3"/>
      <c r="IMT190" s="3"/>
      <c r="IMU190" s="3"/>
      <c r="IMV190" s="3"/>
      <c r="IMW190" s="3"/>
      <c r="IMX190" s="3"/>
      <c r="IMY190" s="3"/>
      <c r="IMZ190" s="3"/>
      <c r="INA190" s="3"/>
      <c r="INB190" s="3"/>
      <c r="INC190" s="3"/>
      <c r="IND190" s="3"/>
      <c r="INE190" s="3"/>
      <c r="INF190" s="3"/>
      <c r="ING190" s="3"/>
      <c r="INH190" s="3"/>
      <c r="INI190" s="3"/>
      <c r="INJ190" s="3"/>
      <c r="INK190" s="3"/>
      <c r="INL190" s="3"/>
      <c r="INM190" s="3"/>
      <c r="INN190" s="3"/>
      <c r="INO190" s="3"/>
      <c r="INP190" s="3"/>
      <c r="INQ190" s="3"/>
      <c r="INR190" s="3"/>
      <c r="INS190" s="3"/>
      <c r="INT190" s="3"/>
      <c r="INU190" s="3"/>
      <c r="INV190" s="3"/>
      <c r="INW190" s="3"/>
      <c r="INX190" s="3"/>
      <c r="INY190" s="3"/>
      <c r="INZ190" s="3"/>
      <c r="IOA190" s="3"/>
      <c r="IOB190" s="3"/>
      <c r="IOC190" s="3"/>
      <c r="IOD190" s="3"/>
      <c r="IOE190" s="3"/>
      <c r="IOF190" s="3"/>
      <c r="IOG190" s="3"/>
      <c r="IOH190" s="3"/>
      <c r="IOI190" s="3"/>
      <c r="IOJ190" s="3"/>
      <c r="IOK190" s="3"/>
      <c r="IOL190" s="3"/>
      <c r="IOM190" s="3"/>
      <c r="ION190" s="3"/>
      <c r="IOO190" s="3"/>
      <c r="IOP190" s="3"/>
      <c r="IOQ190" s="3"/>
      <c r="IOR190" s="3"/>
      <c r="IOS190" s="3"/>
      <c r="IOT190" s="3"/>
      <c r="IOU190" s="3"/>
      <c r="IOV190" s="3"/>
      <c r="IOW190" s="3"/>
      <c r="IOX190" s="3"/>
      <c r="IOY190" s="3"/>
      <c r="IOZ190" s="3"/>
      <c r="IPA190" s="3"/>
      <c r="IPB190" s="3"/>
      <c r="IPC190" s="3"/>
      <c r="IPD190" s="3"/>
      <c r="IPE190" s="3"/>
      <c r="IPF190" s="3"/>
      <c r="IPG190" s="3"/>
      <c r="IPH190" s="3"/>
      <c r="IPI190" s="3"/>
      <c r="IPJ190" s="3"/>
      <c r="IPK190" s="3"/>
      <c r="IPL190" s="3"/>
      <c r="IPM190" s="3"/>
      <c r="IPN190" s="3"/>
      <c r="IPO190" s="3"/>
      <c r="IPP190" s="3"/>
      <c r="IPQ190" s="3"/>
      <c r="IPR190" s="3"/>
      <c r="IPS190" s="3"/>
      <c r="IPT190" s="3"/>
      <c r="IPU190" s="3"/>
      <c r="IPV190" s="3"/>
      <c r="IPW190" s="3"/>
      <c r="IPX190" s="3"/>
      <c r="IPY190" s="3"/>
      <c r="IPZ190" s="3"/>
      <c r="IQA190" s="3"/>
      <c r="IQB190" s="3"/>
      <c r="IQC190" s="3"/>
      <c r="IQD190" s="3"/>
      <c r="IQE190" s="3"/>
      <c r="IQF190" s="3"/>
      <c r="IQG190" s="3"/>
      <c r="IQH190" s="3"/>
      <c r="IQI190" s="3"/>
      <c r="IQJ190" s="3"/>
      <c r="IQK190" s="3"/>
      <c r="IQL190" s="3"/>
      <c r="IQM190" s="3"/>
      <c r="IQN190" s="3"/>
      <c r="IQO190" s="3"/>
      <c r="IQP190" s="3"/>
      <c r="IQQ190" s="3"/>
      <c r="IQR190" s="3"/>
      <c r="IQS190" s="3"/>
      <c r="IQT190" s="3"/>
      <c r="IQU190" s="3"/>
      <c r="IQV190" s="3"/>
      <c r="IQW190" s="3"/>
      <c r="IQX190" s="3"/>
      <c r="IQY190" s="3"/>
      <c r="IQZ190" s="3"/>
      <c r="IRA190" s="3"/>
      <c r="IRB190" s="3"/>
      <c r="IRC190" s="3"/>
      <c r="IRD190" s="3"/>
      <c r="IRE190" s="3"/>
      <c r="IRF190" s="3"/>
      <c r="IRG190" s="3"/>
      <c r="IRH190" s="3"/>
      <c r="IRI190" s="3"/>
      <c r="IRJ190" s="3"/>
      <c r="IRK190" s="3"/>
      <c r="IRL190" s="3"/>
      <c r="IRM190" s="3"/>
      <c r="IRN190" s="3"/>
      <c r="IRO190" s="3"/>
      <c r="IRP190" s="3"/>
      <c r="IRQ190" s="3"/>
      <c r="IRR190" s="3"/>
      <c r="IRS190" s="3"/>
      <c r="IRT190" s="3"/>
      <c r="IRU190" s="3"/>
      <c r="IRV190" s="3"/>
      <c r="IRW190" s="3"/>
      <c r="IRX190" s="3"/>
      <c r="IRY190" s="3"/>
      <c r="IRZ190" s="3"/>
      <c r="ISA190" s="3"/>
      <c r="ISB190" s="3"/>
      <c r="ISC190" s="3"/>
      <c r="ISD190" s="3"/>
      <c r="ISE190" s="3"/>
      <c r="ISF190" s="3"/>
      <c r="ISG190" s="3"/>
      <c r="ISH190" s="3"/>
      <c r="ISI190" s="3"/>
      <c r="ISJ190" s="3"/>
      <c r="ISK190" s="3"/>
      <c r="ISL190" s="3"/>
      <c r="ISM190" s="3"/>
      <c r="ISN190" s="3"/>
      <c r="ISO190" s="3"/>
      <c r="ISP190" s="3"/>
      <c r="ISQ190" s="3"/>
      <c r="ISR190" s="3"/>
      <c r="ISS190" s="3"/>
      <c r="IST190" s="3"/>
      <c r="ISU190" s="3"/>
      <c r="ISV190" s="3"/>
      <c r="ISW190" s="3"/>
      <c r="ISX190" s="3"/>
      <c r="ISY190" s="3"/>
      <c r="ISZ190" s="3"/>
      <c r="ITA190" s="3"/>
      <c r="ITB190" s="3"/>
      <c r="ITC190" s="3"/>
      <c r="ITD190" s="3"/>
      <c r="ITE190" s="3"/>
      <c r="ITF190" s="3"/>
      <c r="ITG190" s="3"/>
      <c r="ITH190" s="3"/>
      <c r="ITI190" s="3"/>
      <c r="ITJ190" s="3"/>
      <c r="ITK190" s="3"/>
      <c r="ITL190" s="3"/>
      <c r="ITM190" s="3"/>
      <c r="ITN190" s="3"/>
      <c r="ITO190" s="3"/>
      <c r="ITP190" s="3"/>
      <c r="ITQ190" s="3"/>
      <c r="ITR190" s="3"/>
      <c r="ITS190" s="3"/>
      <c r="ITT190" s="3"/>
      <c r="ITU190" s="3"/>
      <c r="ITV190" s="3"/>
      <c r="ITW190" s="3"/>
      <c r="ITX190" s="3"/>
      <c r="ITY190" s="3"/>
      <c r="ITZ190" s="3"/>
      <c r="IUA190" s="3"/>
      <c r="IUB190" s="3"/>
      <c r="IUC190" s="3"/>
      <c r="IUD190" s="3"/>
      <c r="IUE190" s="3"/>
      <c r="IUF190" s="3"/>
      <c r="IUG190" s="3"/>
      <c r="IUH190" s="3"/>
      <c r="IUI190" s="3"/>
      <c r="IUJ190" s="3"/>
      <c r="IUK190" s="3"/>
      <c r="IUL190" s="3"/>
      <c r="IUM190" s="3"/>
      <c r="IUN190" s="3"/>
      <c r="IUO190" s="3"/>
      <c r="IUP190" s="3"/>
      <c r="IUQ190" s="3"/>
      <c r="IUR190" s="3"/>
      <c r="IUS190" s="3"/>
      <c r="IUT190" s="3"/>
      <c r="IUU190" s="3"/>
      <c r="IUV190" s="3"/>
      <c r="IUW190" s="3"/>
      <c r="IUX190" s="3"/>
      <c r="IUY190" s="3"/>
      <c r="IUZ190" s="3"/>
      <c r="IVA190" s="3"/>
      <c r="IVB190" s="3"/>
      <c r="IVC190" s="3"/>
      <c r="IVD190" s="3"/>
      <c r="IVE190" s="3"/>
      <c r="IVF190" s="3"/>
      <c r="IVG190" s="3"/>
      <c r="IVH190" s="3"/>
      <c r="IVI190" s="3"/>
      <c r="IVJ190" s="3"/>
      <c r="IVK190" s="3"/>
      <c r="IVL190" s="3"/>
      <c r="IVM190" s="3"/>
      <c r="IVN190" s="3"/>
      <c r="IVO190" s="3"/>
      <c r="IVP190" s="3"/>
      <c r="IVQ190" s="3"/>
      <c r="IVR190" s="3"/>
      <c r="IVS190" s="3"/>
      <c r="IVT190" s="3"/>
      <c r="IVU190" s="3"/>
      <c r="IVV190" s="3"/>
      <c r="IVW190" s="3"/>
      <c r="IVX190" s="3"/>
      <c r="IVY190" s="3"/>
      <c r="IVZ190" s="3"/>
      <c r="IWA190" s="3"/>
      <c r="IWB190" s="3"/>
      <c r="IWC190" s="3"/>
      <c r="IWD190" s="3"/>
      <c r="IWE190" s="3"/>
      <c r="IWF190" s="3"/>
      <c r="IWG190" s="3"/>
      <c r="IWH190" s="3"/>
      <c r="IWI190" s="3"/>
      <c r="IWJ190" s="3"/>
      <c r="IWK190" s="3"/>
      <c r="IWL190" s="3"/>
      <c r="IWM190" s="3"/>
      <c r="IWN190" s="3"/>
      <c r="IWO190" s="3"/>
      <c r="IWP190" s="3"/>
      <c r="IWQ190" s="3"/>
      <c r="IWR190" s="3"/>
      <c r="IWS190" s="3"/>
      <c r="IWT190" s="3"/>
      <c r="IWU190" s="3"/>
      <c r="IWV190" s="3"/>
      <c r="IWW190" s="3"/>
      <c r="IWX190" s="3"/>
      <c r="IWY190" s="3"/>
      <c r="IWZ190" s="3"/>
      <c r="IXA190" s="3"/>
      <c r="IXB190" s="3"/>
      <c r="IXC190" s="3"/>
      <c r="IXD190" s="3"/>
      <c r="IXE190" s="3"/>
      <c r="IXF190" s="3"/>
      <c r="IXG190" s="3"/>
      <c r="IXH190" s="3"/>
      <c r="IXI190" s="3"/>
      <c r="IXJ190" s="3"/>
      <c r="IXK190" s="3"/>
      <c r="IXL190" s="3"/>
      <c r="IXM190" s="3"/>
      <c r="IXN190" s="3"/>
      <c r="IXO190" s="3"/>
      <c r="IXP190" s="3"/>
      <c r="IXQ190" s="3"/>
      <c r="IXR190" s="3"/>
      <c r="IXS190" s="3"/>
      <c r="IXT190" s="3"/>
      <c r="IXU190" s="3"/>
      <c r="IXV190" s="3"/>
      <c r="IXW190" s="3"/>
      <c r="IXX190" s="3"/>
      <c r="IXY190" s="3"/>
      <c r="IXZ190" s="3"/>
      <c r="IYA190" s="3"/>
      <c r="IYB190" s="3"/>
      <c r="IYC190" s="3"/>
      <c r="IYD190" s="3"/>
      <c r="IYE190" s="3"/>
      <c r="IYF190" s="3"/>
      <c r="IYG190" s="3"/>
      <c r="IYH190" s="3"/>
      <c r="IYI190" s="3"/>
      <c r="IYJ190" s="3"/>
      <c r="IYK190" s="3"/>
      <c r="IYL190" s="3"/>
      <c r="IYM190" s="3"/>
      <c r="IYN190" s="3"/>
      <c r="IYO190" s="3"/>
      <c r="IYP190" s="3"/>
      <c r="IYQ190" s="3"/>
      <c r="IYR190" s="3"/>
      <c r="IYS190" s="3"/>
      <c r="IYT190" s="3"/>
      <c r="IYU190" s="3"/>
      <c r="IYV190" s="3"/>
      <c r="IYW190" s="3"/>
      <c r="IYX190" s="3"/>
      <c r="IYY190" s="3"/>
      <c r="IYZ190" s="3"/>
      <c r="IZA190" s="3"/>
      <c r="IZB190" s="3"/>
      <c r="IZC190" s="3"/>
      <c r="IZD190" s="3"/>
      <c r="IZE190" s="3"/>
      <c r="IZF190" s="3"/>
      <c r="IZG190" s="3"/>
      <c r="IZH190" s="3"/>
      <c r="IZI190" s="3"/>
      <c r="IZJ190" s="3"/>
      <c r="IZK190" s="3"/>
      <c r="IZL190" s="3"/>
      <c r="IZM190" s="3"/>
      <c r="IZN190" s="3"/>
      <c r="IZO190" s="3"/>
      <c r="IZP190" s="3"/>
      <c r="IZQ190" s="3"/>
      <c r="IZR190" s="3"/>
      <c r="IZS190" s="3"/>
      <c r="IZT190" s="3"/>
      <c r="IZU190" s="3"/>
      <c r="IZV190" s="3"/>
      <c r="IZW190" s="3"/>
      <c r="IZX190" s="3"/>
      <c r="IZY190" s="3"/>
      <c r="IZZ190" s="3"/>
      <c r="JAA190" s="3"/>
      <c r="JAB190" s="3"/>
      <c r="JAC190" s="3"/>
      <c r="JAD190" s="3"/>
      <c r="JAE190" s="3"/>
      <c r="JAF190" s="3"/>
      <c r="JAG190" s="3"/>
      <c r="JAH190" s="3"/>
      <c r="JAI190" s="3"/>
      <c r="JAJ190" s="3"/>
      <c r="JAK190" s="3"/>
      <c r="JAL190" s="3"/>
      <c r="JAM190" s="3"/>
      <c r="JAN190" s="3"/>
      <c r="JAO190" s="3"/>
      <c r="JAP190" s="3"/>
      <c r="JAQ190" s="3"/>
      <c r="JAR190" s="3"/>
      <c r="JAS190" s="3"/>
      <c r="JAT190" s="3"/>
      <c r="JAU190" s="3"/>
      <c r="JAV190" s="3"/>
      <c r="JAW190" s="3"/>
      <c r="JAX190" s="3"/>
      <c r="JAY190" s="3"/>
      <c r="JAZ190" s="3"/>
      <c r="JBA190" s="3"/>
      <c r="JBB190" s="3"/>
      <c r="JBC190" s="3"/>
      <c r="JBD190" s="3"/>
      <c r="JBE190" s="3"/>
      <c r="JBF190" s="3"/>
      <c r="JBG190" s="3"/>
      <c r="JBH190" s="3"/>
      <c r="JBI190" s="3"/>
      <c r="JBJ190" s="3"/>
      <c r="JBK190" s="3"/>
      <c r="JBL190" s="3"/>
      <c r="JBM190" s="3"/>
      <c r="JBN190" s="3"/>
      <c r="JBO190" s="3"/>
      <c r="JBP190" s="3"/>
      <c r="JBQ190" s="3"/>
      <c r="JBR190" s="3"/>
      <c r="JBS190" s="3"/>
      <c r="JBT190" s="3"/>
      <c r="JBU190" s="3"/>
      <c r="JBV190" s="3"/>
      <c r="JBW190" s="3"/>
      <c r="JBX190" s="3"/>
      <c r="JBY190" s="3"/>
      <c r="JBZ190" s="3"/>
      <c r="JCA190" s="3"/>
      <c r="JCB190" s="3"/>
      <c r="JCC190" s="3"/>
      <c r="JCD190" s="3"/>
      <c r="JCE190" s="3"/>
      <c r="JCF190" s="3"/>
      <c r="JCG190" s="3"/>
      <c r="JCH190" s="3"/>
      <c r="JCI190" s="3"/>
      <c r="JCJ190" s="3"/>
      <c r="JCK190" s="3"/>
      <c r="JCL190" s="3"/>
      <c r="JCM190" s="3"/>
      <c r="JCN190" s="3"/>
      <c r="JCO190" s="3"/>
      <c r="JCP190" s="3"/>
      <c r="JCQ190" s="3"/>
      <c r="JCR190" s="3"/>
      <c r="JCS190" s="3"/>
      <c r="JCT190" s="3"/>
      <c r="JCU190" s="3"/>
      <c r="JCV190" s="3"/>
      <c r="JCW190" s="3"/>
      <c r="JCX190" s="3"/>
      <c r="JCY190" s="3"/>
      <c r="JCZ190" s="3"/>
      <c r="JDA190" s="3"/>
      <c r="JDB190" s="3"/>
      <c r="JDC190" s="3"/>
      <c r="JDD190" s="3"/>
      <c r="JDE190" s="3"/>
      <c r="JDF190" s="3"/>
      <c r="JDG190" s="3"/>
      <c r="JDH190" s="3"/>
      <c r="JDI190" s="3"/>
      <c r="JDJ190" s="3"/>
      <c r="JDK190" s="3"/>
      <c r="JDL190" s="3"/>
      <c r="JDM190" s="3"/>
      <c r="JDN190" s="3"/>
      <c r="JDO190" s="3"/>
      <c r="JDP190" s="3"/>
      <c r="JDQ190" s="3"/>
      <c r="JDR190" s="3"/>
      <c r="JDS190" s="3"/>
      <c r="JDT190" s="3"/>
      <c r="JDU190" s="3"/>
      <c r="JDV190" s="3"/>
      <c r="JDW190" s="3"/>
      <c r="JDX190" s="3"/>
      <c r="JDY190" s="3"/>
      <c r="JDZ190" s="3"/>
      <c r="JEA190" s="3"/>
      <c r="JEB190" s="3"/>
      <c r="JEC190" s="3"/>
      <c r="JED190" s="3"/>
      <c r="JEE190" s="3"/>
      <c r="JEF190" s="3"/>
      <c r="JEG190" s="3"/>
      <c r="JEH190" s="3"/>
      <c r="JEI190" s="3"/>
      <c r="JEJ190" s="3"/>
      <c r="JEK190" s="3"/>
      <c r="JEL190" s="3"/>
      <c r="JEM190" s="3"/>
      <c r="JEN190" s="3"/>
      <c r="JEO190" s="3"/>
      <c r="JEP190" s="3"/>
      <c r="JEQ190" s="3"/>
      <c r="JER190" s="3"/>
      <c r="JES190" s="3"/>
      <c r="JET190" s="3"/>
      <c r="JEU190" s="3"/>
      <c r="JEV190" s="3"/>
      <c r="JEW190" s="3"/>
      <c r="JEX190" s="3"/>
      <c r="JEY190" s="3"/>
      <c r="JEZ190" s="3"/>
      <c r="JFA190" s="3"/>
      <c r="JFB190" s="3"/>
      <c r="JFC190" s="3"/>
      <c r="JFD190" s="3"/>
      <c r="JFE190" s="3"/>
      <c r="JFF190" s="3"/>
      <c r="JFG190" s="3"/>
      <c r="JFH190" s="3"/>
      <c r="JFI190" s="3"/>
      <c r="JFJ190" s="3"/>
      <c r="JFK190" s="3"/>
      <c r="JFL190" s="3"/>
      <c r="JFM190" s="3"/>
      <c r="JFN190" s="3"/>
      <c r="JFO190" s="3"/>
      <c r="JFP190" s="3"/>
      <c r="JFQ190" s="3"/>
      <c r="JFR190" s="3"/>
      <c r="JFS190" s="3"/>
      <c r="JFT190" s="3"/>
      <c r="JFU190" s="3"/>
      <c r="JFV190" s="3"/>
      <c r="JFW190" s="3"/>
      <c r="JFX190" s="3"/>
      <c r="JFY190" s="3"/>
      <c r="JFZ190" s="3"/>
      <c r="JGA190" s="3"/>
      <c r="JGB190" s="3"/>
      <c r="JGC190" s="3"/>
      <c r="JGD190" s="3"/>
      <c r="JGE190" s="3"/>
      <c r="JGF190" s="3"/>
      <c r="JGG190" s="3"/>
      <c r="JGH190" s="3"/>
      <c r="JGI190" s="3"/>
      <c r="JGJ190" s="3"/>
      <c r="JGK190" s="3"/>
      <c r="JGL190" s="3"/>
      <c r="JGM190" s="3"/>
      <c r="JGN190" s="3"/>
      <c r="JGO190" s="3"/>
      <c r="JGP190" s="3"/>
      <c r="JGQ190" s="3"/>
      <c r="JGR190" s="3"/>
      <c r="JGS190" s="3"/>
      <c r="JGT190" s="3"/>
      <c r="JGU190" s="3"/>
      <c r="JGV190" s="3"/>
      <c r="JGW190" s="3"/>
      <c r="JGX190" s="3"/>
      <c r="JGY190" s="3"/>
      <c r="JGZ190" s="3"/>
      <c r="JHA190" s="3"/>
      <c r="JHB190" s="3"/>
      <c r="JHC190" s="3"/>
      <c r="JHD190" s="3"/>
      <c r="JHE190" s="3"/>
      <c r="JHF190" s="3"/>
      <c r="JHG190" s="3"/>
      <c r="JHH190" s="3"/>
      <c r="JHI190" s="3"/>
      <c r="JHJ190" s="3"/>
      <c r="JHK190" s="3"/>
      <c r="JHL190" s="3"/>
      <c r="JHM190" s="3"/>
      <c r="JHN190" s="3"/>
      <c r="JHO190" s="3"/>
      <c r="JHP190" s="3"/>
      <c r="JHQ190" s="3"/>
      <c r="JHR190" s="3"/>
      <c r="JHS190" s="3"/>
      <c r="JHT190" s="3"/>
      <c r="JHU190" s="3"/>
      <c r="JHV190" s="3"/>
      <c r="JHW190" s="3"/>
      <c r="JHX190" s="3"/>
      <c r="JHY190" s="3"/>
      <c r="JHZ190" s="3"/>
      <c r="JIA190" s="3"/>
      <c r="JIB190" s="3"/>
      <c r="JIC190" s="3"/>
      <c r="JID190" s="3"/>
      <c r="JIE190" s="3"/>
      <c r="JIF190" s="3"/>
      <c r="JIG190" s="3"/>
      <c r="JIH190" s="3"/>
      <c r="JII190" s="3"/>
      <c r="JIJ190" s="3"/>
      <c r="JIK190" s="3"/>
      <c r="JIL190" s="3"/>
      <c r="JIM190" s="3"/>
      <c r="JIN190" s="3"/>
      <c r="JIO190" s="3"/>
      <c r="JIP190" s="3"/>
      <c r="JIQ190" s="3"/>
      <c r="JIR190" s="3"/>
      <c r="JIS190" s="3"/>
      <c r="JIT190" s="3"/>
      <c r="JIU190" s="3"/>
      <c r="JIV190" s="3"/>
      <c r="JIW190" s="3"/>
      <c r="JIX190" s="3"/>
      <c r="JIY190" s="3"/>
      <c r="JIZ190" s="3"/>
      <c r="JJA190" s="3"/>
      <c r="JJB190" s="3"/>
      <c r="JJC190" s="3"/>
      <c r="JJD190" s="3"/>
      <c r="JJE190" s="3"/>
      <c r="JJF190" s="3"/>
      <c r="JJG190" s="3"/>
      <c r="JJH190" s="3"/>
      <c r="JJI190" s="3"/>
      <c r="JJJ190" s="3"/>
      <c r="JJK190" s="3"/>
      <c r="JJL190" s="3"/>
      <c r="JJM190" s="3"/>
      <c r="JJN190" s="3"/>
      <c r="JJO190" s="3"/>
      <c r="JJP190" s="3"/>
      <c r="JJQ190" s="3"/>
      <c r="JJR190" s="3"/>
      <c r="JJS190" s="3"/>
      <c r="JJT190" s="3"/>
      <c r="JJU190" s="3"/>
      <c r="JJV190" s="3"/>
      <c r="JJW190" s="3"/>
      <c r="JJX190" s="3"/>
      <c r="JJY190" s="3"/>
      <c r="JJZ190" s="3"/>
      <c r="JKA190" s="3"/>
      <c r="JKB190" s="3"/>
      <c r="JKC190" s="3"/>
      <c r="JKD190" s="3"/>
      <c r="JKE190" s="3"/>
      <c r="JKF190" s="3"/>
      <c r="JKG190" s="3"/>
      <c r="JKH190" s="3"/>
      <c r="JKI190" s="3"/>
      <c r="JKJ190" s="3"/>
      <c r="JKK190" s="3"/>
      <c r="JKL190" s="3"/>
      <c r="JKM190" s="3"/>
      <c r="JKN190" s="3"/>
      <c r="JKO190" s="3"/>
      <c r="JKP190" s="3"/>
      <c r="JKQ190" s="3"/>
      <c r="JKR190" s="3"/>
      <c r="JKS190" s="3"/>
      <c r="JKT190" s="3"/>
      <c r="JKU190" s="3"/>
      <c r="JKV190" s="3"/>
      <c r="JKW190" s="3"/>
      <c r="JKX190" s="3"/>
      <c r="JKY190" s="3"/>
      <c r="JKZ190" s="3"/>
      <c r="JLA190" s="3"/>
      <c r="JLB190" s="3"/>
      <c r="JLC190" s="3"/>
      <c r="JLD190" s="3"/>
      <c r="JLE190" s="3"/>
      <c r="JLF190" s="3"/>
      <c r="JLG190" s="3"/>
      <c r="JLH190" s="3"/>
      <c r="JLI190" s="3"/>
      <c r="JLJ190" s="3"/>
      <c r="JLK190" s="3"/>
      <c r="JLL190" s="3"/>
      <c r="JLM190" s="3"/>
      <c r="JLN190" s="3"/>
      <c r="JLO190" s="3"/>
      <c r="JLP190" s="3"/>
      <c r="JLQ190" s="3"/>
      <c r="JLR190" s="3"/>
      <c r="JLS190" s="3"/>
      <c r="JLT190" s="3"/>
      <c r="JLU190" s="3"/>
      <c r="JLV190" s="3"/>
      <c r="JLW190" s="3"/>
      <c r="JLX190" s="3"/>
      <c r="JLY190" s="3"/>
      <c r="JLZ190" s="3"/>
      <c r="JMA190" s="3"/>
      <c r="JMB190" s="3"/>
      <c r="JMC190" s="3"/>
      <c r="JMD190" s="3"/>
      <c r="JME190" s="3"/>
      <c r="JMF190" s="3"/>
      <c r="JMG190" s="3"/>
      <c r="JMH190" s="3"/>
      <c r="JMI190" s="3"/>
      <c r="JMJ190" s="3"/>
      <c r="JMK190" s="3"/>
      <c r="JML190" s="3"/>
      <c r="JMM190" s="3"/>
      <c r="JMN190" s="3"/>
      <c r="JMO190" s="3"/>
      <c r="JMP190" s="3"/>
      <c r="JMQ190" s="3"/>
      <c r="JMR190" s="3"/>
      <c r="JMS190" s="3"/>
      <c r="JMT190" s="3"/>
      <c r="JMU190" s="3"/>
      <c r="JMV190" s="3"/>
      <c r="JMW190" s="3"/>
      <c r="JMX190" s="3"/>
      <c r="JMY190" s="3"/>
      <c r="JMZ190" s="3"/>
      <c r="JNA190" s="3"/>
      <c r="JNB190" s="3"/>
      <c r="JNC190" s="3"/>
      <c r="JND190" s="3"/>
      <c r="JNE190" s="3"/>
      <c r="JNF190" s="3"/>
      <c r="JNG190" s="3"/>
      <c r="JNH190" s="3"/>
      <c r="JNI190" s="3"/>
      <c r="JNJ190" s="3"/>
      <c r="JNK190" s="3"/>
      <c r="JNL190" s="3"/>
      <c r="JNM190" s="3"/>
      <c r="JNN190" s="3"/>
      <c r="JNO190" s="3"/>
      <c r="JNP190" s="3"/>
      <c r="JNQ190" s="3"/>
      <c r="JNR190" s="3"/>
      <c r="JNS190" s="3"/>
      <c r="JNT190" s="3"/>
      <c r="JNU190" s="3"/>
      <c r="JNV190" s="3"/>
      <c r="JNW190" s="3"/>
      <c r="JNX190" s="3"/>
      <c r="JNY190" s="3"/>
      <c r="JNZ190" s="3"/>
      <c r="JOA190" s="3"/>
      <c r="JOB190" s="3"/>
      <c r="JOC190" s="3"/>
      <c r="JOD190" s="3"/>
      <c r="JOE190" s="3"/>
      <c r="JOF190" s="3"/>
      <c r="JOG190" s="3"/>
      <c r="JOH190" s="3"/>
      <c r="JOI190" s="3"/>
      <c r="JOJ190" s="3"/>
      <c r="JOK190" s="3"/>
      <c r="JOL190" s="3"/>
      <c r="JOM190" s="3"/>
      <c r="JON190" s="3"/>
      <c r="JOO190" s="3"/>
      <c r="JOP190" s="3"/>
      <c r="JOQ190" s="3"/>
      <c r="JOR190" s="3"/>
      <c r="JOS190" s="3"/>
      <c r="JOT190" s="3"/>
      <c r="JOU190" s="3"/>
      <c r="JOV190" s="3"/>
      <c r="JOW190" s="3"/>
      <c r="JOX190" s="3"/>
      <c r="JOY190" s="3"/>
      <c r="JOZ190" s="3"/>
      <c r="JPA190" s="3"/>
      <c r="JPB190" s="3"/>
      <c r="JPC190" s="3"/>
      <c r="JPD190" s="3"/>
      <c r="JPE190" s="3"/>
      <c r="JPF190" s="3"/>
      <c r="JPG190" s="3"/>
      <c r="JPH190" s="3"/>
      <c r="JPI190" s="3"/>
      <c r="JPJ190" s="3"/>
      <c r="JPK190" s="3"/>
      <c r="JPL190" s="3"/>
      <c r="JPM190" s="3"/>
      <c r="JPN190" s="3"/>
      <c r="JPO190" s="3"/>
      <c r="JPP190" s="3"/>
      <c r="JPQ190" s="3"/>
      <c r="JPR190" s="3"/>
      <c r="JPS190" s="3"/>
      <c r="JPT190" s="3"/>
      <c r="JPU190" s="3"/>
      <c r="JPV190" s="3"/>
      <c r="JPW190" s="3"/>
      <c r="JPX190" s="3"/>
      <c r="JPY190" s="3"/>
      <c r="JPZ190" s="3"/>
      <c r="JQA190" s="3"/>
      <c r="JQB190" s="3"/>
      <c r="JQC190" s="3"/>
      <c r="JQD190" s="3"/>
      <c r="JQE190" s="3"/>
      <c r="JQF190" s="3"/>
      <c r="JQG190" s="3"/>
      <c r="JQH190" s="3"/>
      <c r="JQI190" s="3"/>
      <c r="JQJ190" s="3"/>
      <c r="JQK190" s="3"/>
      <c r="JQL190" s="3"/>
      <c r="JQM190" s="3"/>
      <c r="JQN190" s="3"/>
      <c r="JQO190" s="3"/>
      <c r="JQP190" s="3"/>
      <c r="JQQ190" s="3"/>
      <c r="JQR190" s="3"/>
      <c r="JQS190" s="3"/>
      <c r="JQT190" s="3"/>
      <c r="JQU190" s="3"/>
      <c r="JQV190" s="3"/>
      <c r="JQW190" s="3"/>
      <c r="JQX190" s="3"/>
      <c r="JQY190" s="3"/>
      <c r="JQZ190" s="3"/>
      <c r="JRA190" s="3"/>
      <c r="JRB190" s="3"/>
      <c r="JRC190" s="3"/>
      <c r="JRD190" s="3"/>
      <c r="JRE190" s="3"/>
      <c r="JRF190" s="3"/>
      <c r="JRG190" s="3"/>
      <c r="JRH190" s="3"/>
      <c r="JRI190" s="3"/>
      <c r="JRJ190" s="3"/>
      <c r="JRK190" s="3"/>
      <c r="JRL190" s="3"/>
      <c r="JRM190" s="3"/>
      <c r="JRN190" s="3"/>
      <c r="JRO190" s="3"/>
      <c r="JRP190" s="3"/>
      <c r="JRQ190" s="3"/>
      <c r="JRR190" s="3"/>
      <c r="JRS190" s="3"/>
      <c r="JRT190" s="3"/>
      <c r="JRU190" s="3"/>
      <c r="JRV190" s="3"/>
      <c r="JRW190" s="3"/>
      <c r="JRX190" s="3"/>
      <c r="JRY190" s="3"/>
      <c r="JRZ190" s="3"/>
      <c r="JSA190" s="3"/>
      <c r="JSB190" s="3"/>
      <c r="JSC190" s="3"/>
      <c r="JSD190" s="3"/>
      <c r="JSE190" s="3"/>
      <c r="JSF190" s="3"/>
      <c r="JSG190" s="3"/>
      <c r="JSH190" s="3"/>
      <c r="JSI190" s="3"/>
      <c r="JSJ190" s="3"/>
      <c r="JSK190" s="3"/>
      <c r="JSL190" s="3"/>
      <c r="JSM190" s="3"/>
      <c r="JSN190" s="3"/>
      <c r="JSO190" s="3"/>
      <c r="JSP190" s="3"/>
      <c r="JSQ190" s="3"/>
      <c r="JSR190" s="3"/>
      <c r="JSS190" s="3"/>
      <c r="JST190" s="3"/>
      <c r="JSU190" s="3"/>
      <c r="JSV190" s="3"/>
      <c r="JSW190" s="3"/>
      <c r="JSX190" s="3"/>
      <c r="JSY190" s="3"/>
      <c r="JSZ190" s="3"/>
      <c r="JTA190" s="3"/>
      <c r="JTB190" s="3"/>
      <c r="JTC190" s="3"/>
      <c r="JTD190" s="3"/>
      <c r="JTE190" s="3"/>
      <c r="JTF190" s="3"/>
      <c r="JTG190" s="3"/>
      <c r="JTH190" s="3"/>
      <c r="JTI190" s="3"/>
      <c r="JTJ190" s="3"/>
      <c r="JTK190" s="3"/>
      <c r="JTL190" s="3"/>
      <c r="JTM190" s="3"/>
      <c r="JTN190" s="3"/>
      <c r="JTO190" s="3"/>
      <c r="JTP190" s="3"/>
      <c r="JTQ190" s="3"/>
      <c r="JTR190" s="3"/>
      <c r="JTS190" s="3"/>
      <c r="JTT190" s="3"/>
      <c r="JTU190" s="3"/>
      <c r="JTV190" s="3"/>
      <c r="JTW190" s="3"/>
      <c r="JTX190" s="3"/>
      <c r="JTY190" s="3"/>
      <c r="JTZ190" s="3"/>
      <c r="JUA190" s="3"/>
      <c r="JUB190" s="3"/>
      <c r="JUC190" s="3"/>
      <c r="JUD190" s="3"/>
      <c r="JUE190" s="3"/>
      <c r="JUF190" s="3"/>
      <c r="JUG190" s="3"/>
      <c r="JUH190" s="3"/>
      <c r="JUI190" s="3"/>
      <c r="JUJ190" s="3"/>
      <c r="JUK190" s="3"/>
      <c r="JUL190" s="3"/>
      <c r="JUM190" s="3"/>
      <c r="JUN190" s="3"/>
      <c r="JUO190" s="3"/>
      <c r="JUP190" s="3"/>
      <c r="JUQ190" s="3"/>
      <c r="JUR190" s="3"/>
      <c r="JUS190" s="3"/>
      <c r="JUT190" s="3"/>
      <c r="JUU190" s="3"/>
      <c r="JUV190" s="3"/>
      <c r="JUW190" s="3"/>
      <c r="JUX190" s="3"/>
      <c r="JUY190" s="3"/>
      <c r="JUZ190" s="3"/>
      <c r="JVA190" s="3"/>
      <c r="JVB190" s="3"/>
      <c r="JVC190" s="3"/>
      <c r="JVD190" s="3"/>
      <c r="JVE190" s="3"/>
      <c r="JVF190" s="3"/>
      <c r="JVG190" s="3"/>
      <c r="JVH190" s="3"/>
      <c r="JVI190" s="3"/>
      <c r="JVJ190" s="3"/>
      <c r="JVK190" s="3"/>
      <c r="JVL190" s="3"/>
      <c r="JVM190" s="3"/>
      <c r="JVN190" s="3"/>
      <c r="JVO190" s="3"/>
      <c r="JVP190" s="3"/>
      <c r="JVQ190" s="3"/>
      <c r="JVR190" s="3"/>
      <c r="JVS190" s="3"/>
      <c r="JVT190" s="3"/>
      <c r="JVU190" s="3"/>
      <c r="JVV190" s="3"/>
      <c r="JVW190" s="3"/>
      <c r="JVX190" s="3"/>
      <c r="JVY190" s="3"/>
      <c r="JVZ190" s="3"/>
      <c r="JWA190" s="3"/>
      <c r="JWB190" s="3"/>
      <c r="JWC190" s="3"/>
      <c r="JWD190" s="3"/>
      <c r="JWE190" s="3"/>
      <c r="JWF190" s="3"/>
      <c r="JWG190" s="3"/>
      <c r="JWH190" s="3"/>
      <c r="JWI190" s="3"/>
      <c r="JWJ190" s="3"/>
      <c r="JWK190" s="3"/>
      <c r="JWL190" s="3"/>
      <c r="JWM190" s="3"/>
      <c r="JWN190" s="3"/>
      <c r="JWO190" s="3"/>
      <c r="JWP190" s="3"/>
      <c r="JWQ190" s="3"/>
      <c r="JWR190" s="3"/>
      <c r="JWS190" s="3"/>
      <c r="JWT190" s="3"/>
      <c r="JWU190" s="3"/>
      <c r="JWV190" s="3"/>
      <c r="JWW190" s="3"/>
      <c r="JWX190" s="3"/>
      <c r="JWY190" s="3"/>
      <c r="JWZ190" s="3"/>
      <c r="JXA190" s="3"/>
      <c r="JXB190" s="3"/>
      <c r="JXC190" s="3"/>
      <c r="JXD190" s="3"/>
      <c r="JXE190" s="3"/>
      <c r="JXF190" s="3"/>
      <c r="JXG190" s="3"/>
      <c r="JXH190" s="3"/>
      <c r="JXI190" s="3"/>
      <c r="JXJ190" s="3"/>
      <c r="JXK190" s="3"/>
      <c r="JXL190" s="3"/>
      <c r="JXM190" s="3"/>
      <c r="JXN190" s="3"/>
      <c r="JXO190" s="3"/>
      <c r="JXP190" s="3"/>
      <c r="JXQ190" s="3"/>
      <c r="JXR190" s="3"/>
      <c r="JXS190" s="3"/>
      <c r="JXT190" s="3"/>
      <c r="JXU190" s="3"/>
      <c r="JXV190" s="3"/>
      <c r="JXW190" s="3"/>
      <c r="JXX190" s="3"/>
      <c r="JXY190" s="3"/>
      <c r="JXZ190" s="3"/>
      <c r="JYA190" s="3"/>
      <c r="JYB190" s="3"/>
      <c r="JYC190" s="3"/>
      <c r="JYD190" s="3"/>
      <c r="JYE190" s="3"/>
      <c r="JYF190" s="3"/>
      <c r="JYG190" s="3"/>
      <c r="JYH190" s="3"/>
      <c r="JYI190" s="3"/>
      <c r="JYJ190" s="3"/>
      <c r="JYK190" s="3"/>
      <c r="JYL190" s="3"/>
      <c r="JYM190" s="3"/>
      <c r="JYN190" s="3"/>
      <c r="JYO190" s="3"/>
      <c r="JYP190" s="3"/>
      <c r="JYQ190" s="3"/>
      <c r="JYR190" s="3"/>
      <c r="JYS190" s="3"/>
      <c r="JYT190" s="3"/>
      <c r="JYU190" s="3"/>
      <c r="JYV190" s="3"/>
      <c r="JYW190" s="3"/>
      <c r="JYX190" s="3"/>
      <c r="JYY190" s="3"/>
      <c r="JYZ190" s="3"/>
      <c r="JZA190" s="3"/>
      <c r="JZB190" s="3"/>
      <c r="JZC190" s="3"/>
      <c r="JZD190" s="3"/>
      <c r="JZE190" s="3"/>
      <c r="JZF190" s="3"/>
      <c r="JZG190" s="3"/>
      <c r="JZH190" s="3"/>
      <c r="JZI190" s="3"/>
      <c r="JZJ190" s="3"/>
      <c r="JZK190" s="3"/>
      <c r="JZL190" s="3"/>
      <c r="JZM190" s="3"/>
      <c r="JZN190" s="3"/>
      <c r="JZO190" s="3"/>
      <c r="JZP190" s="3"/>
      <c r="JZQ190" s="3"/>
      <c r="JZR190" s="3"/>
      <c r="JZS190" s="3"/>
      <c r="JZT190" s="3"/>
      <c r="JZU190" s="3"/>
      <c r="JZV190" s="3"/>
      <c r="JZW190" s="3"/>
      <c r="JZX190" s="3"/>
      <c r="JZY190" s="3"/>
      <c r="JZZ190" s="3"/>
      <c r="KAA190" s="3"/>
      <c r="KAB190" s="3"/>
      <c r="KAC190" s="3"/>
      <c r="KAD190" s="3"/>
      <c r="KAE190" s="3"/>
      <c r="KAF190" s="3"/>
      <c r="KAG190" s="3"/>
      <c r="KAH190" s="3"/>
      <c r="KAI190" s="3"/>
      <c r="KAJ190" s="3"/>
      <c r="KAK190" s="3"/>
      <c r="KAL190" s="3"/>
      <c r="KAM190" s="3"/>
      <c r="KAN190" s="3"/>
      <c r="KAO190" s="3"/>
      <c r="KAP190" s="3"/>
      <c r="KAQ190" s="3"/>
      <c r="KAR190" s="3"/>
      <c r="KAS190" s="3"/>
      <c r="KAT190" s="3"/>
      <c r="KAU190" s="3"/>
      <c r="KAV190" s="3"/>
      <c r="KAW190" s="3"/>
      <c r="KAX190" s="3"/>
      <c r="KAY190" s="3"/>
      <c r="KAZ190" s="3"/>
      <c r="KBA190" s="3"/>
      <c r="KBB190" s="3"/>
      <c r="KBC190" s="3"/>
      <c r="KBD190" s="3"/>
      <c r="KBE190" s="3"/>
      <c r="KBF190" s="3"/>
      <c r="KBG190" s="3"/>
      <c r="KBH190" s="3"/>
      <c r="KBI190" s="3"/>
      <c r="KBJ190" s="3"/>
      <c r="KBK190" s="3"/>
      <c r="KBL190" s="3"/>
      <c r="KBM190" s="3"/>
      <c r="KBN190" s="3"/>
      <c r="KBO190" s="3"/>
      <c r="KBP190" s="3"/>
      <c r="KBQ190" s="3"/>
      <c r="KBR190" s="3"/>
      <c r="KBS190" s="3"/>
      <c r="KBT190" s="3"/>
      <c r="KBU190" s="3"/>
      <c r="KBV190" s="3"/>
      <c r="KBW190" s="3"/>
      <c r="KBX190" s="3"/>
      <c r="KBY190" s="3"/>
      <c r="KBZ190" s="3"/>
      <c r="KCA190" s="3"/>
      <c r="KCB190" s="3"/>
      <c r="KCC190" s="3"/>
      <c r="KCD190" s="3"/>
      <c r="KCE190" s="3"/>
      <c r="KCF190" s="3"/>
      <c r="KCG190" s="3"/>
      <c r="KCH190" s="3"/>
      <c r="KCI190" s="3"/>
      <c r="KCJ190" s="3"/>
      <c r="KCK190" s="3"/>
      <c r="KCL190" s="3"/>
      <c r="KCM190" s="3"/>
      <c r="KCN190" s="3"/>
      <c r="KCO190" s="3"/>
      <c r="KCP190" s="3"/>
      <c r="KCQ190" s="3"/>
      <c r="KCR190" s="3"/>
      <c r="KCS190" s="3"/>
      <c r="KCT190" s="3"/>
      <c r="KCU190" s="3"/>
      <c r="KCV190" s="3"/>
      <c r="KCW190" s="3"/>
      <c r="KCX190" s="3"/>
      <c r="KCY190" s="3"/>
      <c r="KCZ190" s="3"/>
      <c r="KDA190" s="3"/>
      <c r="KDB190" s="3"/>
      <c r="KDC190" s="3"/>
      <c r="KDD190" s="3"/>
      <c r="KDE190" s="3"/>
      <c r="KDF190" s="3"/>
      <c r="KDG190" s="3"/>
      <c r="KDH190" s="3"/>
      <c r="KDI190" s="3"/>
      <c r="KDJ190" s="3"/>
      <c r="KDK190" s="3"/>
      <c r="KDL190" s="3"/>
      <c r="KDM190" s="3"/>
      <c r="KDN190" s="3"/>
      <c r="KDO190" s="3"/>
      <c r="KDP190" s="3"/>
      <c r="KDQ190" s="3"/>
      <c r="KDR190" s="3"/>
      <c r="KDS190" s="3"/>
      <c r="KDT190" s="3"/>
      <c r="KDU190" s="3"/>
      <c r="KDV190" s="3"/>
      <c r="KDW190" s="3"/>
      <c r="KDX190" s="3"/>
      <c r="KDY190" s="3"/>
      <c r="KDZ190" s="3"/>
      <c r="KEA190" s="3"/>
      <c r="KEB190" s="3"/>
      <c r="KEC190" s="3"/>
      <c r="KED190" s="3"/>
      <c r="KEE190" s="3"/>
      <c r="KEF190" s="3"/>
      <c r="KEG190" s="3"/>
      <c r="KEH190" s="3"/>
      <c r="KEI190" s="3"/>
      <c r="KEJ190" s="3"/>
      <c r="KEK190" s="3"/>
      <c r="KEL190" s="3"/>
      <c r="KEM190" s="3"/>
      <c r="KEN190" s="3"/>
      <c r="KEO190" s="3"/>
      <c r="KEP190" s="3"/>
      <c r="KEQ190" s="3"/>
      <c r="KER190" s="3"/>
      <c r="KES190" s="3"/>
      <c r="KET190" s="3"/>
      <c r="KEU190" s="3"/>
      <c r="KEV190" s="3"/>
      <c r="KEW190" s="3"/>
      <c r="KEX190" s="3"/>
      <c r="KEY190" s="3"/>
      <c r="KEZ190" s="3"/>
      <c r="KFA190" s="3"/>
      <c r="KFB190" s="3"/>
      <c r="KFC190" s="3"/>
      <c r="KFD190" s="3"/>
      <c r="KFE190" s="3"/>
      <c r="KFF190" s="3"/>
      <c r="KFG190" s="3"/>
      <c r="KFH190" s="3"/>
      <c r="KFI190" s="3"/>
      <c r="KFJ190" s="3"/>
      <c r="KFK190" s="3"/>
      <c r="KFL190" s="3"/>
      <c r="KFM190" s="3"/>
      <c r="KFN190" s="3"/>
      <c r="KFO190" s="3"/>
      <c r="KFP190" s="3"/>
      <c r="KFQ190" s="3"/>
      <c r="KFR190" s="3"/>
      <c r="KFS190" s="3"/>
      <c r="KFT190" s="3"/>
      <c r="KFU190" s="3"/>
      <c r="KFV190" s="3"/>
      <c r="KFW190" s="3"/>
      <c r="KFX190" s="3"/>
      <c r="KFY190" s="3"/>
      <c r="KFZ190" s="3"/>
      <c r="KGA190" s="3"/>
      <c r="KGB190" s="3"/>
      <c r="KGC190" s="3"/>
      <c r="KGD190" s="3"/>
      <c r="KGE190" s="3"/>
      <c r="KGF190" s="3"/>
      <c r="KGG190" s="3"/>
      <c r="KGH190" s="3"/>
      <c r="KGI190" s="3"/>
      <c r="KGJ190" s="3"/>
      <c r="KGK190" s="3"/>
      <c r="KGL190" s="3"/>
      <c r="KGM190" s="3"/>
      <c r="KGN190" s="3"/>
      <c r="KGO190" s="3"/>
      <c r="KGP190" s="3"/>
      <c r="KGQ190" s="3"/>
      <c r="KGR190" s="3"/>
      <c r="KGS190" s="3"/>
      <c r="KGT190" s="3"/>
      <c r="KGU190" s="3"/>
      <c r="KGV190" s="3"/>
      <c r="KGW190" s="3"/>
      <c r="KGX190" s="3"/>
      <c r="KGY190" s="3"/>
      <c r="KGZ190" s="3"/>
      <c r="KHA190" s="3"/>
      <c r="KHB190" s="3"/>
      <c r="KHC190" s="3"/>
      <c r="KHD190" s="3"/>
      <c r="KHE190" s="3"/>
      <c r="KHF190" s="3"/>
      <c r="KHG190" s="3"/>
      <c r="KHH190" s="3"/>
      <c r="KHI190" s="3"/>
      <c r="KHJ190" s="3"/>
      <c r="KHK190" s="3"/>
      <c r="KHL190" s="3"/>
      <c r="KHM190" s="3"/>
      <c r="KHN190" s="3"/>
      <c r="KHO190" s="3"/>
      <c r="KHP190" s="3"/>
      <c r="KHQ190" s="3"/>
      <c r="KHR190" s="3"/>
      <c r="KHS190" s="3"/>
      <c r="KHT190" s="3"/>
      <c r="KHU190" s="3"/>
      <c r="KHV190" s="3"/>
      <c r="KHW190" s="3"/>
      <c r="KHX190" s="3"/>
      <c r="KHY190" s="3"/>
      <c r="KHZ190" s="3"/>
      <c r="KIA190" s="3"/>
      <c r="KIB190" s="3"/>
      <c r="KIC190" s="3"/>
      <c r="KID190" s="3"/>
      <c r="KIE190" s="3"/>
      <c r="KIF190" s="3"/>
      <c r="KIG190" s="3"/>
      <c r="KIH190" s="3"/>
      <c r="KII190" s="3"/>
      <c r="KIJ190" s="3"/>
      <c r="KIK190" s="3"/>
      <c r="KIL190" s="3"/>
      <c r="KIM190" s="3"/>
      <c r="KIN190" s="3"/>
      <c r="KIO190" s="3"/>
      <c r="KIP190" s="3"/>
      <c r="KIQ190" s="3"/>
      <c r="KIR190" s="3"/>
      <c r="KIS190" s="3"/>
      <c r="KIT190" s="3"/>
      <c r="KIU190" s="3"/>
      <c r="KIV190" s="3"/>
      <c r="KIW190" s="3"/>
      <c r="KIX190" s="3"/>
      <c r="KIY190" s="3"/>
      <c r="KIZ190" s="3"/>
      <c r="KJA190" s="3"/>
      <c r="KJB190" s="3"/>
      <c r="KJC190" s="3"/>
      <c r="KJD190" s="3"/>
      <c r="KJE190" s="3"/>
      <c r="KJF190" s="3"/>
      <c r="KJG190" s="3"/>
      <c r="KJH190" s="3"/>
      <c r="KJI190" s="3"/>
      <c r="KJJ190" s="3"/>
      <c r="KJK190" s="3"/>
      <c r="KJL190" s="3"/>
      <c r="KJM190" s="3"/>
      <c r="KJN190" s="3"/>
      <c r="KJO190" s="3"/>
      <c r="KJP190" s="3"/>
      <c r="KJQ190" s="3"/>
      <c r="KJR190" s="3"/>
      <c r="KJS190" s="3"/>
      <c r="KJT190" s="3"/>
      <c r="KJU190" s="3"/>
      <c r="KJV190" s="3"/>
      <c r="KJW190" s="3"/>
      <c r="KJX190" s="3"/>
      <c r="KJY190" s="3"/>
      <c r="KJZ190" s="3"/>
      <c r="KKA190" s="3"/>
      <c r="KKB190" s="3"/>
      <c r="KKC190" s="3"/>
      <c r="KKD190" s="3"/>
      <c r="KKE190" s="3"/>
      <c r="KKF190" s="3"/>
      <c r="KKG190" s="3"/>
      <c r="KKH190" s="3"/>
      <c r="KKI190" s="3"/>
      <c r="KKJ190" s="3"/>
      <c r="KKK190" s="3"/>
      <c r="KKL190" s="3"/>
      <c r="KKM190" s="3"/>
      <c r="KKN190" s="3"/>
      <c r="KKO190" s="3"/>
      <c r="KKP190" s="3"/>
      <c r="KKQ190" s="3"/>
      <c r="KKR190" s="3"/>
      <c r="KKS190" s="3"/>
      <c r="KKT190" s="3"/>
      <c r="KKU190" s="3"/>
      <c r="KKV190" s="3"/>
      <c r="KKW190" s="3"/>
      <c r="KKX190" s="3"/>
      <c r="KKY190" s="3"/>
      <c r="KKZ190" s="3"/>
      <c r="KLA190" s="3"/>
      <c r="KLB190" s="3"/>
      <c r="KLC190" s="3"/>
      <c r="KLD190" s="3"/>
      <c r="KLE190" s="3"/>
      <c r="KLF190" s="3"/>
      <c r="KLG190" s="3"/>
      <c r="KLH190" s="3"/>
      <c r="KLI190" s="3"/>
      <c r="KLJ190" s="3"/>
      <c r="KLK190" s="3"/>
      <c r="KLL190" s="3"/>
      <c r="KLM190" s="3"/>
      <c r="KLN190" s="3"/>
      <c r="KLO190" s="3"/>
      <c r="KLP190" s="3"/>
      <c r="KLQ190" s="3"/>
      <c r="KLR190" s="3"/>
      <c r="KLS190" s="3"/>
      <c r="KLT190" s="3"/>
      <c r="KLU190" s="3"/>
      <c r="KLV190" s="3"/>
      <c r="KLW190" s="3"/>
      <c r="KLX190" s="3"/>
      <c r="KLY190" s="3"/>
      <c r="KLZ190" s="3"/>
      <c r="KMA190" s="3"/>
      <c r="KMB190" s="3"/>
      <c r="KMC190" s="3"/>
      <c r="KMD190" s="3"/>
      <c r="KME190" s="3"/>
      <c r="KMF190" s="3"/>
      <c r="KMG190" s="3"/>
      <c r="KMH190" s="3"/>
      <c r="KMI190" s="3"/>
      <c r="KMJ190" s="3"/>
      <c r="KMK190" s="3"/>
      <c r="KML190" s="3"/>
      <c r="KMM190" s="3"/>
      <c r="KMN190" s="3"/>
      <c r="KMO190" s="3"/>
      <c r="KMP190" s="3"/>
      <c r="KMQ190" s="3"/>
      <c r="KMR190" s="3"/>
      <c r="KMS190" s="3"/>
      <c r="KMT190" s="3"/>
      <c r="KMU190" s="3"/>
      <c r="KMV190" s="3"/>
      <c r="KMW190" s="3"/>
      <c r="KMX190" s="3"/>
      <c r="KMY190" s="3"/>
      <c r="KMZ190" s="3"/>
      <c r="KNA190" s="3"/>
      <c r="KNB190" s="3"/>
      <c r="KNC190" s="3"/>
      <c r="KND190" s="3"/>
      <c r="KNE190" s="3"/>
      <c r="KNF190" s="3"/>
      <c r="KNG190" s="3"/>
      <c r="KNH190" s="3"/>
      <c r="KNI190" s="3"/>
      <c r="KNJ190" s="3"/>
      <c r="KNK190" s="3"/>
      <c r="KNL190" s="3"/>
      <c r="KNM190" s="3"/>
      <c r="KNN190" s="3"/>
      <c r="KNO190" s="3"/>
      <c r="KNP190" s="3"/>
      <c r="KNQ190" s="3"/>
      <c r="KNR190" s="3"/>
      <c r="KNS190" s="3"/>
      <c r="KNT190" s="3"/>
      <c r="KNU190" s="3"/>
      <c r="KNV190" s="3"/>
      <c r="KNW190" s="3"/>
      <c r="KNX190" s="3"/>
      <c r="KNY190" s="3"/>
      <c r="KNZ190" s="3"/>
      <c r="KOA190" s="3"/>
      <c r="KOB190" s="3"/>
      <c r="KOC190" s="3"/>
      <c r="KOD190" s="3"/>
      <c r="KOE190" s="3"/>
      <c r="KOF190" s="3"/>
      <c r="KOG190" s="3"/>
      <c r="KOH190" s="3"/>
      <c r="KOI190" s="3"/>
      <c r="KOJ190" s="3"/>
      <c r="KOK190" s="3"/>
      <c r="KOL190" s="3"/>
      <c r="KOM190" s="3"/>
      <c r="KON190" s="3"/>
      <c r="KOO190" s="3"/>
      <c r="KOP190" s="3"/>
      <c r="KOQ190" s="3"/>
      <c r="KOR190" s="3"/>
      <c r="KOS190" s="3"/>
      <c r="KOT190" s="3"/>
      <c r="KOU190" s="3"/>
      <c r="KOV190" s="3"/>
      <c r="KOW190" s="3"/>
      <c r="KOX190" s="3"/>
      <c r="KOY190" s="3"/>
      <c r="KOZ190" s="3"/>
      <c r="KPA190" s="3"/>
      <c r="KPB190" s="3"/>
      <c r="KPC190" s="3"/>
      <c r="KPD190" s="3"/>
      <c r="KPE190" s="3"/>
      <c r="KPF190" s="3"/>
      <c r="KPG190" s="3"/>
      <c r="KPH190" s="3"/>
      <c r="KPI190" s="3"/>
      <c r="KPJ190" s="3"/>
      <c r="KPK190" s="3"/>
      <c r="KPL190" s="3"/>
      <c r="KPM190" s="3"/>
      <c r="KPN190" s="3"/>
      <c r="KPO190" s="3"/>
      <c r="KPP190" s="3"/>
      <c r="KPQ190" s="3"/>
      <c r="KPR190" s="3"/>
      <c r="KPS190" s="3"/>
      <c r="KPT190" s="3"/>
      <c r="KPU190" s="3"/>
      <c r="KPV190" s="3"/>
      <c r="KPW190" s="3"/>
      <c r="KPX190" s="3"/>
      <c r="KPY190" s="3"/>
      <c r="KPZ190" s="3"/>
      <c r="KQA190" s="3"/>
      <c r="KQB190" s="3"/>
      <c r="KQC190" s="3"/>
      <c r="KQD190" s="3"/>
      <c r="KQE190" s="3"/>
      <c r="KQF190" s="3"/>
      <c r="KQG190" s="3"/>
      <c r="KQH190" s="3"/>
      <c r="KQI190" s="3"/>
      <c r="KQJ190" s="3"/>
      <c r="KQK190" s="3"/>
      <c r="KQL190" s="3"/>
      <c r="KQM190" s="3"/>
      <c r="KQN190" s="3"/>
      <c r="KQO190" s="3"/>
      <c r="KQP190" s="3"/>
      <c r="KQQ190" s="3"/>
      <c r="KQR190" s="3"/>
      <c r="KQS190" s="3"/>
      <c r="KQT190" s="3"/>
      <c r="KQU190" s="3"/>
      <c r="KQV190" s="3"/>
      <c r="KQW190" s="3"/>
      <c r="KQX190" s="3"/>
      <c r="KQY190" s="3"/>
      <c r="KQZ190" s="3"/>
      <c r="KRA190" s="3"/>
      <c r="KRB190" s="3"/>
      <c r="KRC190" s="3"/>
      <c r="KRD190" s="3"/>
      <c r="KRE190" s="3"/>
      <c r="KRF190" s="3"/>
      <c r="KRG190" s="3"/>
      <c r="KRH190" s="3"/>
      <c r="KRI190" s="3"/>
      <c r="KRJ190" s="3"/>
      <c r="KRK190" s="3"/>
      <c r="KRL190" s="3"/>
      <c r="KRM190" s="3"/>
      <c r="KRN190" s="3"/>
      <c r="KRO190" s="3"/>
      <c r="KRP190" s="3"/>
      <c r="KRQ190" s="3"/>
      <c r="KRR190" s="3"/>
      <c r="KRS190" s="3"/>
      <c r="KRT190" s="3"/>
      <c r="KRU190" s="3"/>
      <c r="KRV190" s="3"/>
      <c r="KRW190" s="3"/>
      <c r="KRX190" s="3"/>
      <c r="KRY190" s="3"/>
      <c r="KRZ190" s="3"/>
      <c r="KSA190" s="3"/>
      <c r="KSB190" s="3"/>
      <c r="KSC190" s="3"/>
      <c r="KSD190" s="3"/>
      <c r="KSE190" s="3"/>
      <c r="KSF190" s="3"/>
      <c r="KSG190" s="3"/>
      <c r="KSH190" s="3"/>
      <c r="KSI190" s="3"/>
      <c r="KSJ190" s="3"/>
      <c r="KSK190" s="3"/>
      <c r="KSL190" s="3"/>
      <c r="KSM190" s="3"/>
      <c r="KSN190" s="3"/>
      <c r="KSO190" s="3"/>
      <c r="KSP190" s="3"/>
      <c r="KSQ190" s="3"/>
      <c r="KSR190" s="3"/>
      <c r="KSS190" s="3"/>
      <c r="KST190" s="3"/>
      <c r="KSU190" s="3"/>
      <c r="KSV190" s="3"/>
      <c r="KSW190" s="3"/>
      <c r="KSX190" s="3"/>
      <c r="KSY190" s="3"/>
      <c r="KSZ190" s="3"/>
      <c r="KTA190" s="3"/>
      <c r="KTB190" s="3"/>
      <c r="KTC190" s="3"/>
      <c r="KTD190" s="3"/>
      <c r="KTE190" s="3"/>
      <c r="KTF190" s="3"/>
      <c r="KTG190" s="3"/>
      <c r="KTH190" s="3"/>
      <c r="KTI190" s="3"/>
      <c r="KTJ190" s="3"/>
      <c r="KTK190" s="3"/>
      <c r="KTL190" s="3"/>
      <c r="KTM190" s="3"/>
      <c r="KTN190" s="3"/>
      <c r="KTO190" s="3"/>
      <c r="KTP190" s="3"/>
      <c r="KTQ190" s="3"/>
      <c r="KTR190" s="3"/>
      <c r="KTS190" s="3"/>
      <c r="KTT190" s="3"/>
      <c r="KTU190" s="3"/>
      <c r="KTV190" s="3"/>
      <c r="KTW190" s="3"/>
      <c r="KTX190" s="3"/>
      <c r="KTY190" s="3"/>
      <c r="KTZ190" s="3"/>
      <c r="KUA190" s="3"/>
      <c r="KUB190" s="3"/>
      <c r="KUC190" s="3"/>
      <c r="KUD190" s="3"/>
      <c r="KUE190" s="3"/>
      <c r="KUF190" s="3"/>
      <c r="KUG190" s="3"/>
      <c r="KUH190" s="3"/>
      <c r="KUI190" s="3"/>
      <c r="KUJ190" s="3"/>
      <c r="KUK190" s="3"/>
      <c r="KUL190" s="3"/>
      <c r="KUM190" s="3"/>
      <c r="KUN190" s="3"/>
      <c r="KUO190" s="3"/>
      <c r="KUP190" s="3"/>
      <c r="KUQ190" s="3"/>
      <c r="KUR190" s="3"/>
      <c r="KUS190" s="3"/>
      <c r="KUT190" s="3"/>
      <c r="KUU190" s="3"/>
      <c r="KUV190" s="3"/>
      <c r="KUW190" s="3"/>
      <c r="KUX190" s="3"/>
      <c r="KUY190" s="3"/>
      <c r="KUZ190" s="3"/>
      <c r="KVA190" s="3"/>
      <c r="KVB190" s="3"/>
      <c r="KVC190" s="3"/>
      <c r="KVD190" s="3"/>
      <c r="KVE190" s="3"/>
      <c r="KVF190" s="3"/>
      <c r="KVG190" s="3"/>
      <c r="KVH190" s="3"/>
      <c r="KVI190" s="3"/>
      <c r="KVJ190" s="3"/>
      <c r="KVK190" s="3"/>
      <c r="KVL190" s="3"/>
      <c r="KVM190" s="3"/>
      <c r="KVN190" s="3"/>
      <c r="KVO190" s="3"/>
      <c r="KVP190" s="3"/>
      <c r="KVQ190" s="3"/>
      <c r="KVR190" s="3"/>
      <c r="KVS190" s="3"/>
      <c r="KVT190" s="3"/>
      <c r="KVU190" s="3"/>
      <c r="KVV190" s="3"/>
      <c r="KVW190" s="3"/>
      <c r="KVX190" s="3"/>
      <c r="KVY190" s="3"/>
      <c r="KVZ190" s="3"/>
      <c r="KWA190" s="3"/>
      <c r="KWB190" s="3"/>
      <c r="KWC190" s="3"/>
      <c r="KWD190" s="3"/>
      <c r="KWE190" s="3"/>
      <c r="KWF190" s="3"/>
      <c r="KWG190" s="3"/>
      <c r="KWH190" s="3"/>
      <c r="KWI190" s="3"/>
      <c r="KWJ190" s="3"/>
      <c r="KWK190" s="3"/>
      <c r="KWL190" s="3"/>
      <c r="KWM190" s="3"/>
      <c r="KWN190" s="3"/>
      <c r="KWO190" s="3"/>
      <c r="KWP190" s="3"/>
      <c r="KWQ190" s="3"/>
      <c r="KWR190" s="3"/>
      <c r="KWS190" s="3"/>
      <c r="KWT190" s="3"/>
      <c r="KWU190" s="3"/>
      <c r="KWV190" s="3"/>
      <c r="KWW190" s="3"/>
      <c r="KWX190" s="3"/>
      <c r="KWY190" s="3"/>
      <c r="KWZ190" s="3"/>
      <c r="KXA190" s="3"/>
      <c r="KXB190" s="3"/>
      <c r="KXC190" s="3"/>
      <c r="KXD190" s="3"/>
      <c r="KXE190" s="3"/>
      <c r="KXF190" s="3"/>
      <c r="KXG190" s="3"/>
      <c r="KXH190" s="3"/>
      <c r="KXI190" s="3"/>
      <c r="KXJ190" s="3"/>
      <c r="KXK190" s="3"/>
      <c r="KXL190" s="3"/>
      <c r="KXM190" s="3"/>
      <c r="KXN190" s="3"/>
      <c r="KXO190" s="3"/>
      <c r="KXP190" s="3"/>
      <c r="KXQ190" s="3"/>
      <c r="KXR190" s="3"/>
      <c r="KXS190" s="3"/>
      <c r="KXT190" s="3"/>
      <c r="KXU190" s="3"/>
      <c r="KXV190" s="3"/>
      <c r="KXW190" s="3"/>
      <c r="KXX190" s="3"/>
      <c r="KXY190" s="3"/>
      <c r="KXZ190" s="3"/>
      <c r="KYA190" s="3"/>
      <c r="KYB190" s="3"/>
      <c r="KYC190" s="3"/>
      <c r="KYD190" s="3"/>
      <c r="KYE190" s="3"/>
      <c r="KYF190" s="3"/>
      <c r="KYG190" s="3"/>
      <c r="KYH190" s="3"/>
      <c r="KYI190" s="3"/>
      <c r="KYJ190" s="3"/>
      <c r="KYK190" s="3"/>
      <c r="KYL190" s="3"/>
      <c r="KYM190" s="3"/>
      <c r="KYN190" s="3"/>
      <c r="KYO190" s="3"/>
      <c r="KYP190" s="3"/>
      <c r="KYQ190" s="3"/>
      <c r="KYR190" s="3"/>
      <c r="KYS190" s="3"/>
      <c r="KYT190" s="3"/>
      <c r="KYU190" s="3"/>
      <c r="KYV190" s="3"/>
      <c r="KYW190" s="3"/>
      <c r="KYX190" s="3"/>
      <c r="KYY190" s="3"/>
      <c r="KYZ190" s="3"/>
      <c r="KZA190" s="3"/>
      <c r="KZB190" s="3"/>
      <c r="KZC190" s="3"/>
      <c r="KZD190" s="3"/>
      <c r="KZE190" s="3"/>
      <c r="KZF190" s="3"/>
      <c r="KZG190" s="3"/>
      <c r="KZH190" s="3"/>
      <c r="KZI190" s="3"/>
      <c r="KZJ190" s="3"/>
      <c r="KZK190" s="3"/>
      <c r="KZL190" s="3"/>
      <c r="KZM190" s="3"/>
      <c r="KZN190" s="3"/>
      <c r="KZO190" s="3"/>
      <c r="KZP190" s="3"/>
      <c r="KZQ190" s="3"/>
      <c r="KZR190" s="3"/>
      <c r="KZS190" s="3"/>
      <c r="KZT190" s="3"/>
      <c r="KZU190" s="3"/>
      <c r="KZV190" s="3"/>
      <c r="KZW190" s="3"/>
      <c r="KZX190" s="3"/>
      <c r="KZY190" s="3"/>
      <c r="KZZ190" s="3"/>
      <c r="LAA190" s="3"/>
      <c r="LAB190" s="3"/>
      <c r="LAC190" s="3"/>
      <c r="LAD190" s="3"/>
      <c r="LAE190" s="3"/>
      <c r="LAF190" s="3"/>
      <c r="LAG190" s="3"/>
      <c r="LAH190" s="3"/>
      <c r="LAI190" s="3"/>
      <c r="LAJ190" s="3"/>
      <c r="LAK190" s="3"/>
      <c r="LAL190" s="3"/>
      <c r="LAM190" s="3"/>
      <c r="LAN190" s="3"/>
      <c r="LAO190" s="3"/>
      <c r="LAP190" s="3"/>
      <c r="LAQ190" s="3"/>
      <c r="LAR190" s="3"/>
      <c r="LAS190" s="3"/>
      <c r="LAT190" s="3"/>
      <c r="LAU190" s="3"/>
      <c r="LAV190" s="3"/>
      <c r="LAW190" s="3"/>
      <c r="LAX190" s="3"/>
      <c r="LAY190" s="3"/>
      <c r="LAZ190" s="3"/>
      <c r="LBA190" s="3"/>
      <c r="LBB190" s="3"/>
      <c r="LBC190" s="3"/>
      <c r="LBD190" s="3"/>
      <c r="LBE190" s="3"/>
      <c r="LBF190" s="3"/>
      <c r="LBG190" s="3"/>
      <c r="LBH190" s="3"/>
      <c r="LBI190" s="3"/>
      <c r="LBJ190" s="3"/>
      <c r="LBK190" s="3"/>
      <c r="LBL190" s="3"/>
      <c r="LBM190" s="3"/>
      <c r="LBN190" s="3"/>
      <c r="LBO190" s="3"/>
      <c r="LBP190" s="3"/>
      <c r="LBQ190" s="3"/>
      <c r="LBR190" s="3"/>
      <c r="LBS190" s="3"/>
      <c r="LBT190" s="3"/>
      <c r="LBU190" s="3"/>
      <c r="LBV190" s="3"/>
      <c r="LBW190" s="3"/>
      <c r="LBX190" s="3"/>
      <c r="LBY190" s="3"/>
      <c r="LBZ190" s="3"/>
      <c r="LCA190" s="3"/>
      <c r="LCB190" s="3"/>
      <c r="LCC190" s="3"/>
      <c r="LCD190" s="3"/>
      <c r="LCE190" s="3"/>
      <c r="LCF190" s="3"/>
      <c r="LCG190" s="3"/>
      <c r="LCH190" s="3"/>
      <c r="LCI190" s="3"/>
      <c r="LCJ190" s="3"/>
      <c r="LCK190" s="3"/>
      <c r="LCL190" s="3"/>
      <c r="LCM190" s="3"/>
      <c r="LCN190" s="3"/>
      <c r="LCO190" s="3"/>
      <c r="LCP190" s="3"/>
      <c r="LCQ190" s="3"/>
      <c r="LCR190" s="3"/>
      <c r="LCS190" s="3"/>
      <c r="LCT190" s="3"/>
      <c r="LCU190" s="3"/>
      <c r="LCV190" s="3"/>
      <c r="LCW190" s="3"/>
      <c r="LCX190" s="3"/>
      <c r="LCY190" s="3"/>
      <c r="LCZ190" s="3"/>
      <c r="LDA190" s="3"/>
      <c r="LDB190" s="3"/>
      <c r="LDC190" s="3"/>
      <c r="LDD190" s="3"/>
      <c r="LDE190" s="3"/>
      <c r="LDF190" s="3"/>
      <c r="LDG190" s="3"/>
      <c r="LDH190" s="3"/>
      <c r="LDI190" s="3"/>
      <c r="LDJ190" s="3"/>
      <c r="LDK190" s="3"/>
      <c r="LDL190" s="3"/>
      <c r="LDM190" s="3"/>
      <c r="LDN190" s="3"/>
      <c r="LDO190" s="3"/>
      <c r="LDP190" s="3"/>
      <c r="LDQ190" s="3"/>
      <c r="LDR190" s="3"/>
      <c r="LDS190" s="3"/>
      <c r="LDT190" s="3"/>
      <c r="LDU190" s="3"/>
      <c r="LDV190" s="3"/>
      <c r="LDW190" s="3"/>
      <c r="LDX190" s="3"/>
      <c r="LDY190" s="3"/>
      <c r="LDZ190" s="3"/>
      <c r="LEA190" s="3"/>
      <c r="LEB190" s="3"/>
      <c r="LEC190" s="3"/>
      <c r="LED190" s="3"/>
      <c r="LEE190" s="3"/>
      <c r="LEF190" s="3"/>
      <c r="LEG190" s="3"/>
      <c r="LEH190" s="3"/>
      <c r="LEI190" s="3"/>
      <c r="LEJ190" s="3"/>
      <c r="LEK190" s="3"/>
      <c r="LEL190" s="3"/>
      <c r="LEM190" s="3"/>
      <c r="LEN190" s="3"/>
      <c r="LEO190" s="3"/>
      <c r="LEP190" s="3"/>
      <c r="LEQ190" s="3"/>
      <c r="LER190" s="3"/>
      <c r="LES190" s="3"/>
      <c r="LET190" s="3"/>
      <c r="LEU190" s="3"/>
      <c r="LEV190" s="3"/>
      <c r="LEW190" s="3"/>
      <c r="LEX190" s="3"/>
      <c r="LEY190" s="3"/>
      <c r="LEZ190" s="3"/>
      <c r="LFA190" s="3"/>
      <c r="LFB190" s="3"/>
      <c r="LFC190" s="3"/>
      <c r="LFD190" s="3"/>
      <c r="LFE190" s="3"/>
      <c r="LFF190" s="3"/>
      <c r="LFG190" s="3"/>
      <c r="LFH190" s="3"/>
      <c r="LFI190" s="3"/>
      <c r="LFJ190" s="3"/>
      <c r="LFK190" s="3"/>
      <c r="LFL190" s="3"/>
      <c r="LFM190" s="3"/>
      <c r="LFN190" s="3"/>
      <c r="LFO190" s="3"/>
      <c r="LFP190" s="3"/>
      <c r="LFQ190" s="3"/>
      <c r="LFR190" s="3"/>
      <c r="LFS190" s="3"/>
      <c r="LFT190" s="3"/>
      <c r="LFU190" s="3"/>
      <c r="LFV190" s="3"/>
      <c r="LFW190" s="3"/>
      <c r="LFX190" s="3"/>
      <c r="LFY190" s="3"/>
      <c r="LFZ190" s="3"/>
      <c r="LGA190" s="3"/>
      <c r="LGB190" s="3"/>
      <c r="LGC190" s="3"/>
      <c r="LGD190" s="3"/>
      <c r="LGE190" s="3"/>
      <c r="LGF190" s="3"/>
      <c r="LGG190" s="3"/>
      <c r="LGH190" s="3"/>
      <c r="LGI190" s="3"/>
      <c r="LGJ190" s="3"/>
      <c r="LGK190" s="3"/>
      <c r="LGL190" s="3"/>
      <c r="LGM190" s="3"/>
      <c r="LGN190" s="3"/>
      <c r="LGO190" s="3"/>
      <c r="LGP190" s="3"/>
      <c r="LGQ190" s="3"/>
      <c r="LGR190" s="3"/>
      <c r="LGS190" s="3"/>
      <c r="LGT190" s="3"/>
      <c r="LGU190" s="3"/>
      <c r="LGV190" s="3"/>
      <c r="LGW190" s="3"/>
      <c r="LGX190" s="3"/>
      <c r="LGY190" s="3"/>
      <c r="LGZ190" s="3"/>
      <c r="LHA190" s="3"/>
      <c r="LHB190" s="3"/>
      <c r="LHC190" s="3"/>
      <c r="LHD190" s="3"/>
      <c r="LHE190" s="3"/>
      <c r="LHF190" s="3"/>
      <c r="LHG190" s="3"/>
      <c r="LHH190" s="3"/>
      <c r="LHI190" s="3"/>
      <c r="LHJ190" s="3"/>
      <c r="LHK190" s="3"/>
      <c r="LHL190" s="3"/>
      <c r="LHM190" s="3"/>
      <c r="LHN190" s="3"/>
      <c r="LHO190" s="3"/>
      <c r="LHP190" s="3"/>
      <c r="LHQ190" s="3"/>
      <c r="LHR190" s="3"/>
      <c r="LHS190" s="3"/>
      <c r="LHT190" s="3"/>
      <c r="LHU190" s="3"/>
      <c r="LHV190" s="3"/>
      <c r="LHW190" s="3"/>
      <c r="LHX190" s="3"/>
      <c r="LHY190" s="3"/>
      <c r="LHZ190" s="3"/>
      <c r="LIA190" s="3"/>
      <c r="LIB190" s="3"/>
      <c r="LIC190" s="3"/>
      <c r="LID190" s="3"/>
      <c r="LIE190" s="3"/>
      <c r="LIF190" s="3"/>
      <c r="LIG190" s="3"/>
      <c r="LIH190" s="3"/>
      <c r="LII190" s="3"/>
      <c r="LIJ190" s="3"/>
      <c r="LIK190" s="3"/>
      <c r="LIL190" s="3"/>
      <c r="LIM190" s="3"/>
      <c r="LIN190" s="3"/>
      <c r="LIO190" s="3"/>
      <c r="LIP190" s="3"/>
      <c r="LIQ190" s="3"/>
      <c r="LIR190" s="3"/>
      <c r="LIS190" s="3"/>
      <c r="LIT190" s="3"/>
      <c r="LIU190" s="3"/>
      <c r="LIV190" s="3"/>
      <c r="LIW190" s="3"/>
      <c r="LIX190" s="3"/>
      <c r="LIY190" s="3"/>
      <c r="LIZ190" s="3"/>
      <c r="LJA190" s="3"/>
      <c r="LJB190" s="3"/>
      <c r="LJC190" s="3"/>
      <c r="LJD190" s="3"/>
      <c r="LJE190" s="3"/>
      <c r="LJF190" s="3"/>
      <c r="LJG190" s="3"/>
      <c r="LJH190" s="3"/>
      <c r="LJI190" s="3"/>
      <c r="LJJ190" s="3"/>
      <c r="LJK190" s="3"/>
      <c r="LJL190" s="3"/>
      <c r="LJM190" s="3"/>
      <c r="LJN190" s="3"/>
      <c r="LJO190" s="3"/>
      <c r="LJP190" s="3"/>
      <c r="LJQ190" s="3"/>
      <c r="LJR190" s="3"/>
      <c r="LJS190" s="3"/>
      <c r="LJT190" s="3"/>
      <c r="LJU190" s="3"/>
      <c r="LJV190" s="3"/>
      <c r="LJW190" s="3"/>
      <c r="LJX190" s="3"/>
      <c r="LJY190" s="3"/>
      <c r="LJZ190" s="3"/>
      <c r="LKA190" s="3"/>
      <c r="LKB190" s="3"/>
      <c r="LKC190" s="3"/>
      <c r="LKD190" s="3"/>
      <c r="LKE190" s="3"/>
      <c r="LKF190" s="3"/>
      <c r="LKG190" s="3"/>
      <c r="LKH190" s="3"/>
      <c r="LKI190" s="3"/>
      <c r="LKJ190" s="3"/>
      <c r="LKK190" s="3"/>
      <c r="LKL190" s="3"/>
      <c r="LKM190" s="3"/>
      <c r="LKN190" s="3"/>
      <c r="LKO190" s="3"/>
      <c r="LKP190" s="3"/>
      <c r="LKQ190" s="3"/>
      <c r="LKR190" s="3"/>
      <c r="LKS190" s="3"/>
      <c r="LKT190" s="3"/>
      <c r="LKU190" s="3"/>
      <c r="LKV190" s="3"/>
      <c r="LKW190" s="3"/>
      <c r="LKX190" s="3"/>
      <c r="LKY190" s="3"/>
      <c r="LKZ190" s="3"/>
      <c r="LLA190" s="3"/>
      <c r="LLB190" s="3"/>
      <c r="LLC190" s="3"/>
      <c r="LLD190" s="3"/>
      <c r="LLE190" s="3"/>
      <c r="LLF190" s="3"/>
      <c r="LLG190" s="3"/>
      <c r="LLH190" s="3"/>
      <c r="LLI190" s="3"/>
      <c r="LLJ190" s="3"/>
      <c r="LLK190" s="3"/>
      <c r="LLL190" s="3"/>
      <c r="LLM190" s="3"/>
      <c r="LLN190" s="3"/>
      <c r="LLO190" s="3"/>
      <c r="LLP190" s="3"/>
      <c r="LLQ190" s="3"/>
      <c r="LLR190" s="3"/>
      <c r="LLS190" s="3"/>
      <c r="LLT190" s="3"/>
      <c r="LLU190" s="3"/>
      <c r="LLV190" s="3"/>
      <c r="LLW190" s="3"/>
      <c r="LLX190" s="3"/>
      <c r="LLY190" s="3"/>
      <c r="LLZ190" s="3"/>
      <c r="LMA190" s="3"/>
      <c r="LMB190" s="3"/>
      <c r="LMC190" s="3"/>
      <c r="LMD190" s="3"/>
      <c r="LME190" s="3"/>
      <c r="LMF190" s="3"/>
      <c r="LMG190" s="3"/>
      <c r="LMH190" s="3"/>
      <c r="LMI190" s="3"/>
      <c r="LMJ190" s="3"/>
      <c r="LMK190" s="3"/>
      <c r="LML190" s="3"/>
      <c r="LMM190" s="3"/>
      <c r="LMN190" s="3"/>
      <c r="LMO190" s="3"/>
      <c r="LMP190" s="3"/>
      <c r="LMQ190" s="3"/>
      <c r="LMR190" s="3"/>
      <c r="LMS190" s="3"/>
      <c r="LMT190" s="3"/>
      <c r="LMU190" s="3"/>
      <c r="LMV190" s="3"/>
      <c r="LMW190" s="3"/>
      <c r="LMX190" s="3"/>
      <c r="LMY190" s="3"/>
      <c r="LMZ190" s="3"/>
      <c r="LNA190" s="3"/>
      <c r="LNB190" s="3"/>
      <c r="LNC190" s="3"/>
      <c r="LND190" s="3"/>
      <c r="LNE190" s="3"/>
      <c r="LNF190" s="3"/>
      <c r="LNG190" s="3"/>
      <c r="LNH190" s="3"/>
      <c r="LNI190" s="3"/>
      <c r="LNJ190" s="3"/>
      <c r="LNK190" s="3"/>
      <c r="LNL190" s="3"/>
      <c r="LNM190" s="3"/>
      <c r="LNN190" s="3"/>
      <c r="LNO190" s="3"/>
      <c r="LNP190" s="3"/>
      <c r="LNQ190" s="3"/>
      <c r="LNR190" s="3"/>
      <c r="LNS190" s="3"/>
      <c r="LNT190" s="3"/>
      <c r="LNU190" s="3"/>
      <c r="LNV190" s="3"/>
      <c r="LNW190" s="3"/>
      <c r="LNX190" s="3"/>
      <c r="LNY190" s="3"/>
      <c r="LNZ190" s="3"/>
      <c r="LOA190" s="3"/>
      <c r="LOB190" s="3"/>
      <c r="LOC190" s="3"/>
      <c r="LOD190" s="3"/>
      <c r="LOE190" s="3"/>
      <c r="LOF190" s="3"/>
      <c r="LOG190" s="3"/>
      <c r="LOH190" s="3"/>
      <c r="LOI190" s="3"/>
      <c r="LOJ190" s="3"/>
      <c r="LOK190" s="3"/>
      <c r="LOL190" s="3"/>
      <c r="LOM190" s="3"/>
      <c r="LON190" s="3"/>
      <c r="LOO190" s="3"/>
      <c r="LOP190" s="3"/>
      <c r="LOQ190" s="3"/>
      <c r="LOR190" s="3"/>
      <c r="LOS190" s="3"/>
      <c r="LOT190" s="3"/>
      <c r="LOU190" s="3"/>
      <c r="LOV190" s="3"/>
      <c r="LOW190" s="3"/>
      <c r="LOX190" s="3"/>
      <c r="LOY190" s="3"/>
      <c r="LOZ190" s="3"/>
      <c r="LPA190" s="3"/>
      <c r="LPB190" s="3"/>
      <c r="LPC190" s="3"/>
      <c r="LPD190" s="3"/>
      <c r="LPE190" s="3"/>
      <c r="LPF190" s="3"/>
      <c r="LPG190" s="3"/>
      <c r="LPH190" s="3"/>
      <c r="LPI190" s="3"/>
      <c r="LPJ190" s="3"/>
      <c r="LPK190" s="3"/>
      <c r="LPL190" s="3"/>
      <c r="LPM190" s="3"/>
      <c r="LPN190" s="3"/>
      <c r="LPO190" s="3"/>
      <c r="LPP190" s="3"/>
      <c r="LPQ190" s="3"/>
      <c r="LPR190" s="3"/>
      <c r="LPS190" s="3"/>
      <c r="LPT190" s="3"/>
      <c r="LPU190" s="3"/>
      <c r="LPV190" s="3"/>
      <c r="LPW190" s="3"/>
      <c r="LPX190" s="3"/>
      <c r="LPY190" s="3"/>
      <c r="LPZ190" s="3"/>
      <c r="LQA190" s="3"/>
      <c r="LQB190" s="3"/>
      <c r="LQC190" s="3"/>
      <c r="LQD190" s="3"/>
      <c r="LQE190" s="3"/>
      <c r="LQF190" s="3"/>
      <c r="LQG190" s="3"/>
      <c r="LQH190" s="3"/>
      <c r="LQI190" s="3"/>
      <c r="LQJ190" s="3"/>
      <c r="LQK190" s="3"/>
      <c r="LQL190" s="3"/>
      <c r="LQM190" s="3"/>
      <c r="LQN190" s="3"/>
      <c r="LQO190" s="3"/>
      <c r="LQP190" s="3"/>
      <c r="LQQ190" s="3"/>
      <c r="LQR190" s="3"/>
      <c r="LQS190" s="3"/>
      <c r="LQT190" s="3"/>
      <c r="LQU190" s="3"/>
      <c r="LQV190" s="3"/>
      <c r="LQW190" s="3"/>
      <c r="LQX190" s="3"/>
      <c r="LQY190" s="3"/>
      <c r="LQZ190" s="3"/>
      <c r="LRA190" s="3"/>
      <c r="LRB190" s="3"/>
      <c r="LRC190" s="3"/>
      <c r="LRD190" s="3"/>
      <c r="LRE190" s="3"/>
      <c r="LRF190" s="3"/>
      <c r="LRG190" s="3"/>
      <c r="LRH190" s="3"/>
      <c r="LRI190" s="3"/>
      <c r="LRJ190" s="3"/>
      <c r="LRK190" s="3"/>
      <c r="LRL190" s="3"/>
      <c r="LRM190" s="3"/>
      <c r="LRN190" s="3"/>
      <c r="LRO190" s="3"/>
      <c r="LRP190" s="3"/>
      <c r="LRQ190" s="3"/>
      <c r="LRR190" s="3"/>
      <c r="LRS190" s="3"/>
      <c r="LRT190" s="3"/>
      <c r="LRU190" s="3"/>
      <c r="LRV190" s="3"/>
      <c r="LRW190" s="3"/>
      <c r="LRX190" s="3"/>
      <c r="LRY190" s="3"/>
      <c r="LRZ190" s="3"/>
      <c r="LSA190" s="3"/>
      <c r="LSB190" s="3"/>
      <c r="LSC190" s="3"/>
      <c r="LSD190" s="3"/>
      <c r="LSE190" s="3"/>
      <c r="LSF190" s="3"/>
      <c r="LSG190" s="3"/>
      <c r="LSH190" s="3"/>
      <c r="LSI190" s="3"/>
      <c r="LSJ190" s="3"/>
      <c r="LSK190" s="3"/>
      <c r="LSL190" s="3"/>
      <c r="LSM190" s="3"/>
      <c r="LSN190" s="3"/>
      <c r="LSO190" s="3"/>
      <c r="LSP190" s="3"/>
      <c r="LSQ190" s="3"/>
      <c r="LSR190" s="3"/>
      <c r="LSS190" s="3"/>
      <c r="LST190" s="3"/>
      <c r="LSU190" s="3"/>
      <c r="LSV190" s="3"/>
      <c r="LSW190" s="3"/>
      <c r="LSX190" s="3"/>
      <c r="LSY190" s="3"/>
      <c r="LSZ190" s="3"/>
      <c r="LTA190" s="3"/>
      <c r="LTB190" s="3"/>
      <c r="LTC190" s="3"/>
      <c r="LTD190" s="3"/>
      <c r="LTE190" s="3"/>
      <c r="LTF190" s="3"/>
      <c r="LTG190" s="3"/>
      <c r="LTH190" s="3"/>
      <c r="LTI190" s="3"/>
      <c r="LTJ190" s="3"/>
      <c r="LTK190" s="3"/>
      <c r="LTL190" s="3"/>
      <c r="LTM190" s="3"/>
      <c r="LTN190" s="3"/>
      <c r="LTO190" s="3"/>
      <c r="LTP190" s="3"/>
      <c r="LTQ190" s="3"/>
      <c r="LTR190" s="3"/>
      <c r="LTS190" s="3"/>
      <c r="LTT190" s="3"/>
      <c r="LTU190" s="3"/>
      <c r="LTV190" s="3"/>
      <c r="LTW190" s="3"/>
      <c r="LTX190" s="3"/>
      <c r="LTY190" s="3"/>
      <c r="LTZ190" s="3"/>
      <c r="LUA190" s="3"/>
      <c r="LUB190" s="3"/>
      <c r="LUC190" s="3"/>
      <c r="LUD190" s="3"/>
      <c r="LUE190" s="3"/>
      <c r="LUF190" s="3"/>
      <c r="LUG190" s="3"/>
      <c r="LUH190" s="3"/>
      <c r="LUI190" s="3"/>
      <c r="LUJ190" s="3"/>
      <c r="LUK190" s="3"/>
      <c r="LUL190" s="3"/>
      <c r="LUM190" s="3"/>
      <c r="LUN190" s="3"/>
      <c r="LUO190" s="3"/>
      <c r="LUP190" s="3"/>
      <c r="LUQ190" s="3"/>
      <c r="LUR190" s="3"/>
      <c r="LUS190" s="3"/>
      <c r="LUT190" s="3"/>
      <c r="LUU190" s="3"/>
      <c r="LUV190" s="3"/>
      <c r="LUW190" s="3"/>
      <c r="LUX190" s="3"/>
      <c r="LUY190" s="3"/>
      <c r="LUZ190" s="3"/>
      <c r="LVA190" s="3"/>
      <c r="LVB190" s="3"/>
      <c r="LVC190" s="3"/>
      <c r="LVD190" s="3"/>
      <c r="LVE190" s="3"/>
      <c r="LVF190" s="3"/>
      <c r="LVG190" s="3"/>
      <c r="LVH190" s="3"/>
      <c r="LVI190" s="3"/>
      <c r="LVJ190" s="3"/>
      <c r="LVK190" s="3"/>
      <c r="LVL190" s="3"/>
      <c r="LVM190" s="3"/>
      <c r="LVN190" s="3"/>
      <c r="LVO190" s="3"/>
      <c r="LVP190" s="3"/>
      <c r="LVQ190" s="3"/>
      <c r="LVR190" s="3"/>
      <c r="LVS190" s="3"/>
      <c r="LVT190" s="3"/>
      <c r="LVU190" s="3"/>
      <c r="LVV190" s="3"/>
      <c r="LVW190" s="3"/>
      <c r="LVX190" s="3"/>
      <c r="LVY190" s="3"/>
      <c r="LVZ190" s="3"/>
      <c r="LWA190" s="3"/>
      <c r="LWB190" s="3"/>
      <c r="LWC190" s="3"/>
      <c r="LWD190" s="3"/>
      <c r="LWE190" s="3"/>
      <c r="LWF190" s="3"/>
      <c r="LWG190" s="3"/>
      <c r="LWH190" s="3"/>
      <c r="LWI190" s="3"/>
      <c r="LWJ190" s="3"/>
      <c r="LWK190" s="3"/>
      <c r="LWL190" s="3"/>
      <c r="LWM190" s="3"/>
      <c r="LWN190" s="3"/>
      <c r="LWO190" s="3"/>
      <c r="LWP190" s="3"/>
      <c r="LWQ190" s="3"/>
      <c r="LWR190" s="3"/>
      <c r="LWS190" s="3"/>
      <c r="LWT190" s="3"/>
      <c r="LWU190" s="3"/>
      <c r="LWV190" s="3"/>
      <c r="LWW190" s="3"/>
      <c r="LWX190" s="3"/>
      <c r="LWY190" s="3"/>
      <c r="LWZ190" s="3"/>
      <c r="LXA190" s="3"/>
      <c r="LXB190" s="3"/>
      <c r="LXC190" s="3"/>
      <c r="LXD190" s="3"/>
      <c r="LXE190" s="3"/>
      <c r="LXF190" s="3"/>
      <c r="LXG190" s="3"/>
      <c r="LXH190" s="3"/>
      <c r="LXI190" s="3"/>
      <c r="LXJ190" s="3"/>
      <c r="LXK190" s="3"/>
      <c r="LXL190" s="3"/>
      <c r="LXM190" s="3"/>
      <c r="LXN190" s="3"/>
      <c r="LXO190" s="3"/>
      <c r="LXP190" s="3"/>
      <c r="LXQ190" s="3"/>
      <c r="LXR190" s="3"/>
      <c r="LXS190" s="3"/>
      <c r="LXT190" s="3"/>
      <c r="LXU190" s="3"/>
      <c r="LXV190" s="3"/>
      <c r="LXW190" s="3"/>
      <c r="LXX190" s="3"/>
      <c r="LXY190" s="3"/>
      <c r="LXZ190" s="3"/>
      <c r="LYA190" s="3"/>
      <c r="LYB190" s="3"/>
      <c r="LYC190" s="3"/>
      <c r="LYD190" s="3"/>
      <c r="LYE190" s="3"/>
      <c r="LYF190" s="3"/>
      <c r="LYG190" s="3"/>
      <c r="LYH190" s="3"/>
      <c r="LYI190" s="3"/>
      <c r="LYJ190" s="3"/>
      <c r="LYK190" s="3"/>
      <c r="LYL190" s="3"/>
      <c r="LYM190" s="3"/>
      <c r="LYN190" s="3"/>
      <c r="LYO190" s="3"/>
      <c r="LYP190" s="3"/>
      <c r="LYQ190" s="3"/>
      <c r="LYR190" s="3"/>
      <c r="LYS190" s="3"/>
      <c r="LYT190" s="3"/>
      <c r="LYU190" s="3"/>
      <c r="LYV190" s="3"/>
      <c r="LYW190" s="3"/>
      <c r="LYX190" s="3"/>
      <c r="LYY190" s="3"/>
      <c r="LYZ190" s="3"/>
      <c r="LZA190" s="3"/>
      <c r="LZB190" s="3"/>
      <c r="LZC190" s="3"/>
      <c r="LZD190" s="3"/>
      <c r="LZE190" s="3"/>
      <c r="LZF190" s="3"/>
      <c r="LZG190" s="3"/>
      <c r="LZH190" s="3"/>
      <c r="LZI190" s="3"/>
      <c r="LZJ190" s="3"/>
      <c r="LZK190" s="3"/>
      <c r="LZL190" s="3"/>
      <c r="LZM190" s="3"/>
      <c r="LZN190" s="3"/>
      <c r="LZO190" s="3"/>
      <c r="LZP190" s="3"/>
      <c r="LZQ190" s="3"/>
      <c r="LZR190" s="3"/>
      <c r="LZS190" s="3"/>
      <c r="LZT190" s="3"/>
      <c r="LZU190" s="3"/>
      <c r="LZV190" s="3"/>
      <c r="LZW190" s="3"/>
      <c r="LZX190" s="3"/>
      <c r="LZY190" s="3"/>
      <c r="LZZ190" s="3"/>
      <c r="MAA190" s="3"/>
      <c r="MAB190" s="3"/>
      <c r="MAC190" s="3"/>
      <c r="MAD190" s="3"/>
      <c r="MAE190" s="3"/>
      <c r="MAF190" s="3"/>
      <c r="MAG190" s="3"/>
      <c r="MAH190" s="3"/>
      <c r="MAI190" s="3"/>
      <c r="MAJ190" s="3"/>
      <c r="MAK190" s="3"/>
      <c r="MAL190" s="3"/>
      <c r="MAM190" s="3"/>
      <c r="MAN190" s="3"/>
      <c r="MAO190" s="3"/>
      <c r="MAP190" s="3"/>
      <c r="MAQ190" s="3"/>
      <c r="MAR190" s="3"/>
      <c r="MAS190" s="3"/>
      <c r="MAT190" s="3"/>
      <c r="MAU190" s="3"/>
      <c r="MAV190" s="3"/>
      <c r="MAW190" s="3"/>
      <c r="MAX190" s="3"/>
      <c r="MAY190" s="3"/>
      <c r="MAZ190" s="3"/>
      <c r="MBA190" s="3"/>
      <c r="MBB190" s="3"/>
      <c r="MBC190" s="3"/>
      <c r="MBD190" s="3"/>
      <c r="MBE190" s="3"/>
      <c r="MBF190" s="3"/>
      <c r="MBG190" s="3"/>
      <c r="MBH190" s="3"/>
      <c r="MBI190" s="3"/>
      <c r="MBJ190" s="3"/>
      <c r="MBK190" s="3"/>
      <c r="MBL190" s="3"/>
      <c r="MBM190" s="3"/>
      <c r="MBN190" s="3"/>
      <c r="MBO190" s="3"/>
      <c r="MBP190" s="3"/>
      <c r="MBQ190" s="3"/>
      <c r="MBR190" s="3"/>
      <c r="MBS190" s="3"/>
      <c r="MBT190" s="3"/>
      <c r="MBU190" s="3"/>
      <c r="MBV190" s="3"/>
      <c r="MBW190" s="3"/>
      <c r="MBX190" s="3"/>
      <c r="MBY190" s="3"/>
      <c r="MBZ190" s="3"/>
      <c r="MCA190" s="3"/>
      <c r="MCB190" s="3"/>
      <c r="MCC190" s="3"/>
      <c r="MCD190" s="3"/>
      <c r="MCE190" s="3"/>
      <c r="MCF190" s="3"/>
      <c r="MCG190" s="3"/>
      <c r="MCH190" s="3"/>
      <c r="MCI190" s="3"/>
      <c r="MCJ190" s="3"/>
      <c r="MCK190" s="3"/>
      <c r="MCL190" s="3"/>
      <c r="MCM190" s="3"/>
      <c r="MCN190" s="3"/>
      <c r="MCO190" s="3"/>
      <c r="MCP190" s="3"/>
      <c r="MCQ190" s="3"/>
      <c r="MCR190" s="3"/>
      <c r="MCS190" s="3"/>
      <c r="MCT190" s="3"/>
      <c r="MCU190" s="3"/>
      <c r="MCV190" s="3"/>
      <c r="MCW190" s="3"/>
      <c r="MCX190" s="3"/>
      <c r="MCY190" s="3"/>
      <c r="MCZ190" s="3"/>
      <c r="MDA190" s="3"/>
      <c r="MDB190" s="3"/>
      <c r="MDC190" s="3"/>
      <c r="MDD190" s="3"/>
      <c r="MDE190" s="3"/>
      <c r="MDF190" s="3"/>
      <c r="MDG190" s="3"/>
      <c r="MDH190" s="3"/>
      <c r="MDI190" s="3"/>
      <c r="MDJ190" s="3"/>
      <c r="MDK190" s="3"/>
      <c r="MDL190" s="3"/>
      <c r="MDM190" s="3"/>
      <c r="MDN190" s="3"/>
      <c r="MDO190" s="3"/>
      <c r="MDP190" s="3"/>
      <c r="MDQ190" s="3"/>
      <c r="MDR190" s="3"/>
      <c r="MDS190" s="3"/>
      <c r="MDT190" s="3"/>
      <c r="MDU190" s="3"/>
      <c r="MDV190" s="3"/>
      <c r="MDW190" s="3"/>
      <c r="MDX190" s="3"/>
      <c r="MDY190" s="3"/>
      <c r="MDZ190" s="3"/>
      <c r="MEA190" s="3"/>
      <c r="MEB190" s="3"/>
      <c r="MEC190" s="3"/>
      <c r="MED190" s="3"/>
      <c r="MEE190" s="3"/>
      <c r="MEF190" s="3"/>
      <c r="MEG190" s="3"/>
      <c r="MEH190" s="3"/>
      <c r="MEI190" s="3"/>
      <c r="MEJ190" s="3"/>
      <c r="MEK190" s="3"/>
      <c r="MEL190" s="3"/>
      <c r="MEM190" s="3"/>
      <c r="MEN190" s="3"/>
      <c r="MEO190" s="3"/>
      <c r="MEP190" s="3"/>
      <c r="MEQ190" s="3"/>
      <c r="MER190" s="3"/>
      <c r="MES190" s="3"/>
      <c r="MET190" s="3"/>
      <c r="MEU190" s="3"/>
      <c r="MEV190" s="3"/>
      <c r="MEW190" s="3"/>
      <c r="MEX190" s="3"/>
      <c r="MEY190" s="3"/>
      <c r="MEZ190" s="3"/>
      <c r="MFA190" s="3"/>
      <c r="MFB190" s="3"/>
      <c r="MFC190" s="3"/>
      <c r="MFD190" s="3"/>
      <c r="MFE190" s="3"/>
      <c r="MFF190" s="3"/>
      <c r="MFG190" s="3"/>
      <c r="MFH190" s="3"/>
      <c r="MFI190" s="3"/>
      <c r="MFJ190" s="3"/>
      <c r="MFK190" s="3"/>
      <c r="MFL190" s="3"/>
      <c r="MFM190" s="3"/>
      <c r="MFN190" s="3"/>
      <c r="MFO190" s="3"/>
      <c r="MFP190" s="3"/>
      <c r="MFQ190" s="3"/>
      <c r="MFR190" s="3"/>
      <c r="MFS190" s="3"/>
      <c r="MFT190" s="3"/>
      <c r="MFU190" s="3"/>
      <c r="MFV190" s="3"/>
      <c r="MFW190" s="3"/>
      <c r="MFX190" s="3"/>
      <c r="MFY190" s="3"/>
      <c r="MFZ190" s="3"/>
      <c r="MGA190" s="3"/>
      <c r="MGB190" s="3"/>
      <c r="MGC190" s="3"/>
      <c r="MGD190" s="3"/>
      <c r="MGE190" s="3"/>
      <c r="MGF190" s="3"/>
      <c r="MGG190" s="3"/>
      <c r="MGH190" s="3"/>
      <c r="MGI190" s="3"/>
      <c r="MGJ190" s="3"/>
      <c r="MGK190" s="3"/>
      <c r="MGL190" s="3"/>
      <c r="MGM190" s="3"/>
      <c r="MGN190" s="3"/>
      <c r="MGO190" s="3"/>
      <c r="MGP190" s="3"/>
      <c r="MGQ190" s="3"/>
      <c r="MGR190" s="3"/>
      <c r="MGS190" s="3"/>
      <c r="MGT190" s="3"/>
      <c r="MGU190" s="3"/>
      <c r="MGV190" s="3"/>
      <c r="MGW190" s="3"/>
      <c r="MGX190" s="3"/>
      <c r="MGY190" s="3"/>
      <c r="MGZ190" s="3"/>
      <c r="MHA190" s="3"/>
      <c r="MHB190" s="3"/>
      <c r="MHC190" s="3"/>
      <c r="MHD190" s="3"/>
      <c r="MHE190" s="3"/>
      <c r="MHF190" s="3"/>
      <c r="MHG190" s="3"/>
      <c r="MHH190" s="3"/>
      <c r="MHI190" s="3"/>
      <c r="MHJ190" s="3"/>
      <c r="MHK190" s="3"/>
      <c r="MHL190" s="3"/>
      <c r="MHM190" s="3"/>
      <c r="MHN190" s="3"/>
      <c r="MHO190" s="3"/>
      <c r="MHP190" s="3"/>
      <c r="MHQ190" s="3"/>
      <c r="MHR190" s="3"/>
      <c r="MHS190" s="3"/>
      <c r="MHT190" s="3"/>
      <c r="MHU190" s="3"/>
      <c r="MHV190" s="3"/>
      <c r="MHW190" s="3"/>
      <c r="MHX190" s="3"/>
      <c r="MHY190" s="3"/>
      <c r="MHZ190" s="3"/>
      <c r="MIA190" s="3"/>
      <c r="MIB190" s="3"/>
      <c r="MIC190" s="3"/>
      <c r="MID190" s="3"/>
      <c r="MIE190" s="3"/>
      <c r="MIF190" s="3"/>
      <c r="MIG190" s="3"/>
      <c r="MIH190" s="3"/>
      <c r="MII190" s="3"/>
      <c r="MIJ190" s="3"/>
      <c r="MIK190" s="3"/>
      <c r="MIL190" s="3"/>
      <c r="MIM190" s="3"/>
      <c r="MIN190" s="3"/>
      <c r="MIO190" s="3"/>
      <c r="MIP190" s="3"/>
      <c r="MIQ190" s="3"/>
      <c r="MIR190" s="3"/>
      <c r="MIS190" s="3"/>
      <c r="MIT190" s="3"/>
      <c r="MIU190" s="3"/>
      <c r="MIV190" s="3"/>
      <c r="MIW190" s="3"/>
      <c r="MIX190" s="3"/>
      <c r="MIY190" s="3"/>
      <c r="MIZ190" s="3"/>
      <c r="MJA190" s="3"/>
      <c r="MJB190" s="3"/>
      <c r="MJC190" s="3"/>
      <c r="MJD190" s="3"/>
      <c r="MJE190" s="3"/>
      <c r="MJF190" s="3"/>
      <c r="MJG190" s="3"/>
      <c r="MJH190" s="3"/>
      <c r="MJI190" s="3"/>
      <c r="MJJ190" s="3"/>
      <c r="MJK190" s="3"/>
      <c r="MJL190" s="3"/>
      <c r="MJM190" s="3"/>
      <c r="MJN190" s="3"/>
      <c r="MJO190" s="3"/>
      <c r="MJP190" s="3"/>
      <c r="MJQ190" s="3"/>
      <c r="MJR190" s="3"/>
      <c r="MJS190" s="3"/>
      <c r="MJT190" s="3"/>
      <c r="MJU190" s="3"/>
      <c r="MJV190" s="3"/>
      <c r="MJW190" s="3"/>
      <c r="MJX190" s="3"/>
      <c r="MJY190" s="3"/>
      <c r="MJZ190" s="3"/>
      <c r="MKA190" s="3"/>
      <c r="MKB190" s="3"/>
      <c r="MKC190" s="3"/>
      <c r="MKD190" s="3"/>
      <c r="MKE190" s="3"/>
      <c r="MKF190" s="3"/>
      <c r="MKG190" s="3"/>
      <c r="MKH190" s="3"/>
      <c r="MKI190" s="3"/>
      <c r="MKJ190" s="3"/>
      <c r="MKK190" s="3"/>
      <c r="MKL190" s="3"/>
      <c r="MKM190" s="3"/>
      <c r="MKN190" s="3"/>
      <c r="MKO190" s="3"/>
      <c r="MKP190" s="3"/>
      <c r="MKQ190" s="3"/>
      <c r="MKR190" s="3"/>
      <c r="MKS190" s="3"/>
      <c r="MKT190" s="3"/>
      <c r="MKU190" s="3"/>
      <c r="MKV190" s="3"/>
      <c r="MKW190" s="3"/>
      <c r="MKX190" s="3"/>
      <c r="MKY190" s="3"/>
      <c r="MKZ190" s="3"/>
      <c r="MLA190" s="3"/>
      <c r="MLB190" s="3"/>
      <c r="MLC190" s="3"/>
      <c r="MLD190" s="3"/>
      <c r="MLE190" s="3"/>
      <c r="MLF190" s="3"/>
      <c r="MLG190" s="3"/>
      <c r="MLH190" s="3"/>
      <c r="MLI190" s="3"/>
      <c r="MLJ190" s="3"/>
      <c r="MLK190" s="3"/>
      <c r="MLL190" s="3"/>
      <c r="MLM190" s="3"/>
      <c r="MLN190" s="3"/>
      <c r="MLO190" s="3"/>
      <c r="MLP190" s="3"/>
      <c r="MLQ190" s="3"/>
      <c r="MLR190" s="3"/>
      <c r="MLS190" s="3"/>
      <c r="MLT190" s="3"/>
      <c r="MLU190" s="3"/>
      <c r="MLV190" s="3"/>
      <c r="MLW190" s="3"/>
      <c r="MLX190" s="3"/>
      <c r="MLY190" s="3"/>
      <c r="MLZ190" s="3"/>
      <c r="MMA190" s="3"/>
      <c r="MMB190" s="3"/>
      <c r="MMC190" s="3"/>
      <c r="MMD190" s="3"/>
      <c r="MME190" s="3"/>
      <c r="MMF190" s="3"/>
      <c r="MMG190" s="3"/>
      <c r="MMH190" s="3"/>
      <c r="MMI190" s="3"/>
      <c r="MMJ190" s="3"/>
      <c r="MMK190" s="3"/>
      <c r="MML190" s="3"/>
      <c r="MMM190" s="3"/>
      <c r="MMN190" s="3"/>
      <c r="MMO190" s="3"/>
      <c r="MMP190" s="3"/>
      <c r="MMQ190" s="3"/>
      <c r="MMR190" s="3"/>
      <c r="MMS190" s="3"/>
      <c r="MMT190" s="3"/>
      <c r="MMU190" s="3"/>
      <c r="MMV190" s="3"/>
      <c r="MMW190" s="3"/>
      <c r="MMX190" s="3"/>
      <c r="MMY190" s="3"/>
      <c r="MMZ190" s="3"/>
      <c r="MNA190" s="3"/>
      <c r="MNB190" s="3"/>
      <c r="MNC190" s="3"/>
      <c r="MND190" s="3"/>
      <c r="MNE190" s="3"/>
      <c r="MNF190" s="3"/>
      <c r="MNG190" s="3"/>
      <c r="MNH190" s="3"/>
      <c r="MNI190" s="3"/>
      <c r="MNJ190" s="3"/>
      <c r="MNK190" s="3"/>
      <c r="MNL190" s="3"/>
      <c r="MNM190" s="3"/>
      <c r="MNN190" s="3"/>
      <c r="MNO190" s="3"/>
      <c r="MNP190" s="3"/>
      <c r="MNQ190" s="3"/>
      <c r="MNR190" s="3"/>
      <c r="MNS190" s="3"/>
      <c r="MNT190" s="3"/>
      <c r="MNU190" s="3"/>
      <c r="MNV190" s="3"/>
      <c r="MNW190" s="3"/>
      <c r="MNX190" s="3"/>
      <c r="MNY190" s="3"/>
      <c r="MNZ190" s="3"/>
      <c r="MOA190" s="3"/>
      <c r="MOB190" s="3"/>
      <c r="MOC190" s="3"/>
      <c r="MOD190" s="3"/>
      <c r="MOE190" s="3"/>
      <c r="MOF190" s="3"/>
      <c r="MOG190" s="3"/>
      <c r="MOH190" s="3"/>
      <c r="MOI190" s="3"/>
      <c r="MOJ190" s="3"/>
      <c r="MOK190" s="3"/>
      <c r="MOL190" s="3"/>
      <c r="MOM190" s="3"/>
      <c r="MON190" s="3"/>
      <c r="MOO190" s="3"/>
      <c r="MOP190" s="3"/>
      <c r="MOQ190" s="3"/>
      <c r="MOR190" s="3"/>
      <c r="MOS190" s="3"/>
      <c r="MOT190" s="3"/>
      <c r="MOU190" s="3"/>
      <c r="MOV190" s="3"/>
      <c r="MOW190" s="3"/>
      <c r="MOX190" s="3"/>
      <c r="MOY190" s="3"/>
      <c r="MOZ190" s="3"/>
      <c r="MPA190" s="3"/>
      <c r="MPB190" s="3"/>
      <c r="MPC190" s="3"/>
      <c r="MPD190" s="3"/>
      <c r="MPE190" s="3"/>
      <c r="MPF190" s="3"/>
      <c r="MPG190" s="3"/>
      <c r="MPH190" s="3"/>
      <c r="MPI190" s="3"/>
      <c r="MPJ190" s="3"/>
      <c r="MPK190" s="3"/>
      <c r="MPL190" s="3"/>
      <c r="MPM190" s="3"/>
      <c r="MPN190" s="3"/>
      <c r="MPO190" s="3"/>
      <c r="MPP190" s="3"/>
      <c r="MPQ190" s="3"/>
      <c r="MPR190" s="3"/>
      <c r="MPS190" s="3"/>
      <c r="MPT190" s="3"/>
      <c r="MPU190" s="3"/>
      <c r="MPV190" s="3"/>
      <c r="MPW190" s="3"/>
      <c r="MPX190" s="3"/>
      <c r="MPY190" s="3"/>
      <c r="MPZ190" s="3"/>
      <c r="MQA190" s="3"/>
      <c r="MQB190" s="3"/>
      <c r="MQC190" s="3"/>
      <c r="MQD190" s="3"/>
      <c r="MQE190" s="3"/>
      <c r="MQF190" s="3"/>
      <c r="MQG190" s="3"/>
      <c r="MQH190" s="3"/>
      <c r="MQI190" s="3"/>
      <c r="MQJ190" s="3"/>
      <c r="MQK190" s="3"/>
      <c r="MQL190" s="3"/>
      <c r="MQM190" s="3"/>
      <c r="MQN190" s="3"/>
      <c r="MQO190" s="3"/>
      <c r="MQP190" s="3"/>
      <c r="MQQ190" s="3"/>
      <c r="MQR190" s="3"/>
      <c r="MQS190" s="3"/>
      <c r="MQT190" s="3"/>
      <c r="MQU190" s="3"/>
      <c r="MQV190" s="3"/>
      <c r="MQW190" s="3"/>
      <c r="MQX190" s="3"/>
      <c r="MQY190" s="3"/>
      <c r="MQZ190" s="3"/>
      <c r="MRA190" s="3"/>
      <c r="MRB190" s="3"/>
      <c r="MRC190" s="3"/>
      <c r="MRD190" s="3"/>
      <c r="MRE190" s="3"/>
      <c r="MRF190" s="3"/>
      <c r="MRG190" s="3"/>
      <c r="MRH190" s="3"/>
      <c r="MRI190" s="3"/>
      <c r="MRJ190" s="3"/>
      <c r="MRK190" s="3"/>
      <c r="MRL190" s="3"/>
      <c r="MRM190" s="3"/>
      <c r="MRN190" s="3"/>
      <c r="MRO190" s="3"/>
      <c r="MRP190" s="3"/>
      <c r="MRQ190" s="3"/>
      <c r="MRR190" s="3"/>
      <c r="MRS190" s="3"/>
      <c r="MRT190" s="3"/>
      <c r="MRU190" s="3"/>
      <c r="MRV190" s="3"/>
      <c r="MRW190" s="3"/>
      <c r="MRX190" s="3"/>
      <c r="MRY190" s="3"/>
      <c r="MRZ190" s="3"/>
      <c r="MSA190" s="3"/>
      <c r="MSB190" s="3"/>
      <c r="MSC190" s="3"/>
      <c r="MSD190" s="3"/>
      <c r="MSE190" s="3"/>
      <c r="MSF190" s="3"/>
      <c r="MSG190" s="3"/>
      <c r="MSH190" s="3"/>
      <c r="MSI190" s="3"/>
      <c r="MSJ190" s="3"/>
      <c r="MSK190" s="3"/>
      <c r="MSL190" s="3"/>
      <c r="MSM190" s="3"/>
      <c r="MSN190" s="3"/>
      <c r="MSO190" s="3"/>
      <c r="MSP190" s="3"/>
      <c r="MSQ190" s="3"/>
      <c r="MSR190" s="3"/>
      <c r="MSS190" s="3"/>
      <c r="MST190" s="3"/>
      <c r="MSU190" s="3"/>
      <c r="MSV190" s="3"/>
      <c r="MSW190" s="3"/>
      <c r="MSX190" s="3"/>
      <c r="MSY190" s="3"/>
      <c r="MSZ190" s="3"/>
      <c r="MTA190" s="3"/>
      <c r="MTB190" s="3"/>
      <c r="MTC190" s="3"/>
      <c r="MTD190" s="3"/>
      <c r="MTE190" s="3"/>
      <c r="MTF190" s="3"/>
      <c r="MTG190" s="3"/>
      <c r="MTH190" s="3"/>
      <c r="MTI190" s="3"/>
      <c r="MTJ190" s="3"/>
      <c r="MTK190" s="3"/>
      <c r="MTL190" s="3"/>
      <c r="MTM190" s="3"/>
      <c r="MTN190" s="3"/>
      <c r="MTO190" s="3"/>
      <c r="MTP190" s="3"/>
      <c r="MTQ190" s="3"/>
      <c r="MTR190" s="3"/>
      <c r="MTS190" s="3"/>
      <c r="MTT190" s="3"/>
      <c r="MTU190" s="3"/>
      <c r="MTV190" s="3"/>
      <c r="MTW190" s="3"/>
      <c r="MTX190" s="3"/>
      <c r="MTY190" s="3"/>
      <c r="MTZ190" s="3"/>
      <c r="MUA190" s="3"/>
      <c r="MUB190" s="3"/>
      <c r="MUC190" s="3"/>
      <c r="MUD190" s="3"/>
      <c r="MUE190" s="3"/>
      <c r="MUF190" s="3"/>
      <c r="MUG190" s="3"/>
      <c r="MUH190" s="3"/>
      <c r="MUI190" s="3"/>
      <c r="MUJ190" s="3"/>
      <c r="MUK190" s="3"/>
      <c r="MUL190" s="3"/>
      <c r="MUM190" s="3"/>
      <c r="MUN190" s="3"/>
      <c r="MUO190" s="3"/>
      <c r="MUP190" s="3"/>
      <c r="MUQ190" s="3"/>
      <c r="MUR190" s="3"/>
      <c r="MUS190" s="3"/>
      <c r="MUT190" s="3"/>
      <c r="MUU190" s="3"/>
      <c r="MUV190" s="3"/>
      <c r="MUW190" s="3"/>
      <c r="MUX190" s="3"/>
      <c r="MUY190" s="3"/>
      <c r="MUZ190" s="3"/>
      <c r="MVA190" s="3"/>
      <c r="MVB190" s="3"/>
      <c r="MVC190" s="3"/>
      <c r="MVD190" s="3"/>
      <c r="MVE190" s="3"/>
      <c r="MVF190" s="3"/>
      <c r="MVG190" s="3"/>
      <c r="MVH190" s="3"/>
      <c r="MVI190" s="3"/>
      <c r="MVJ190" s="3"/>
      <c r="MVK190" s="3"/>
      <c r="MVL190" s="3"/>
      <c r="MVM190" s="3"/>
      <c r="MVN190" s="3"/>
      <c r="MVO190" s="3"/>
      <c r="MVP190" s="3"/>
      <c r="MVQ190" s="3"/>
      <c r="MVR190" s="3"/>
      <c r="MVS190" s="3"/>
      <c r="MVT190" s="3"/>
      <c r="MVU190" s="3"/>
      <c r="MVV190" s="3"/>
      <c r="MVW190" s="3"/>
      <c r="MVX190" s="3"/>
      <c r="MVY190" s="3"/>
      <c r="MVZ190" s="3"/>
      <c r="MWA190" s="3"/>
      <c r="MWB190" s="3"/>
      <c r="MWC190" s="3"/>
      <c r="MWD190" s="3"/>
      <c r="MWE190" s="3"/>
      <c r="MWF190" s="3"/>
      <c r="MWG190" s="3"/>
      <c r="MWH190" s="3"/>
      <c r="MWI190" s="3"/>
      <c r="MWJ190" s="3"/>
      <c r="MWK190" s="3"/>
      <c r="MWL190" s="3"/>
      <c r="MWM190" s="3"/>
      <c r="MWN190" s="3"/>
      <c r="MWO190" s="3"/>
      <c r="MWP190" s="3"/>
      <c r="MWQ190" s="3"/>
      <c r="MWR190" s="3"/>
      <c r="MWS190" s="3"/>
      <c r="MWT190" s="3"/>
      <c r="MWU190" s="3"/>
      <c r="MWV190" s="3"/>
      <c r="MWW190" s="3"/>
      <c r="MWX190" s="3"/>
      <c r="MWY190" s="3"/>
      <c r="MWZ190" s="3"/>
      <c r="MXA190" s="3"/>
      <c r="MXB190" s="3"/>
      <c r="MXC190" s="3"/>
      <c r="MXD190" s="3"/>
      <c r="MXE190" s="3"/>
      <c r="MXF190" s="3"/>
      <c r="MXG190" s="3"/>
      <c r="MXH190" s="3"/>
      <c r="MXI190" s="3"/>
      <c r="MXJ190" s="3"/>
      <c r="MXK190" s="3"/>
      <c r="MXL190" s="3"/>
      <c r="MXM190" s="3"/>
      <c r="MXN190" s="3"/>
      <c r="MXO190" s="3"/>
      <c r="MXP190" s="3"/>
      <c r="MXQ190" s="3"/>
      <c r="MXR190" s="3"/>
      <c r="MXS190" s="3"/>
      <c r="MXT190" s="3"/>
      <c r="MXU190" s="3"/>
      <c r="MXV190" s="3"/>
      <c r="MXW190" s="3"/>
      <c r="MXX190" s="3"/>
      <c r="MXY190" s="3"/>
      <c r="MXZ190" s="3"/>
      <c r="MYA190" s="3"/>
      <c r="MYB190" s="3"/>
      <c r="MYC190" s="3"/>
      <c r="MYD190" s="3"/>
      <c r="MYE190" s="3"/>
      <c r="MYF190" s="3"/>
      <c r="MYG190" s="3"/>
      <c r="MYH190" s="3"/>
      <c r="MYI190" s="3"/>
      <c r="MYJ190" s="3"/>
      <c r="MYK190" s="3"/>
      <c r="MYL190" s="3"/>
      <c r="MYM190" s="3"/>
      <c r="MYN190" s="3"/>
      <c r="MYO190" s="3"/>
      <c r="MYP190" s="3"/>
      <c r="MYQ190" s="3"/>
      <c r="MYR190" s="3"/>
      <c r="MYS190" s="3"/>
      <c r="MYT190" s="3"/>
      <c r="MYU190" s="3"/>
      <c r="MYV190" s="3"/>
      <c r="MYW190" s="3"/>
      <c r="MYX190" s="3"/>
      <c r="MYY190" s="3"/>
      <c r="MYZ190" s="3"/>
      <c r="MZA190" s="3"/>
      <c r="MZB190" s="3"/>
      <c r="MZC190" s="3"/>
      <c r="MZD190" s="3"/>
      <c r="MZE190" s="3"/>
      <c r="MZF190" s="3"/>
      <c r="MZG190" s="3"/>
      <c r="MZH190" s="3"/>
      <c r="MZI190" s="3"/>
      <c r="MZJ190" s="3"/>
      <c r="MZK190" s="3"/>
      <c r="MZL190" s="3"/>
      <c r="MZM190" s="3"/>
      <c r="MZN190" s="3"/>
      <c r="MZO190" s="3"/>
      <c r="MZP190" s="3"/>
      <c r="MZQ190" s="3"/>
      <c r="MZR190" s="3"/>
      <c r="MZS190" s="3"/>
      <c r="MZT190" s="3"/>
      <c r="MZU190" s="3"/>
      <c r="MZV190" s="3"/>
      <c r="MZW190" s="3"/>
      <c r="MZX190" s="3"/>
      <c r="MZY190" s="3"/>
      <c r="MZZ190" s="3"/>
      <c r="NAA190" s="3"/>
      <c r="NAB190" s="3"/>
      <c r="NAC190" s="3"/>
      <c r="NAD190" s="3"/>
      <c r="NAE190" s="3"/>
      <c r="NAF190" s="3"/>
      <c r="NAG190" s="3"/>
      <c r="NAH190" s="3"/>
      <c r="NAI190" s="3"/>
      <c r="NAJ190" s="3"/>
      <c r="NAK190" s="3"/>
      <c r="NAL190" s="3"/>
      <c r="NAM190" s="3"/>
      <c r="NAN190" s="3"/>
      <c r="NAO190" s="3"/>
      <c r="NAP190" s="3"/>
      <c r="NAQ190" s="3"/>
      <c r="NAR190" s="3"/>
      <c r="NAS190" s="3"/>
      <c r="NAT190" s="3"/>
      <c r="NAU190" s="3"/>
      <c r="NAV190" s="3"/>
      <c r="NAW190" s="3"/>
      <c r="NAX190" s="3"/>
      <c r="NAY190" s="3"/>
      <c r="NAZ190" s="3"/>
      <c r="NBA190" s="3"/>
      <c r="NBB190" s="3"/>
      <c r="NBC190" s="3"/>
      <c r="NBD190" s="3"/>
      <c r="NBE190" s="3"/>
      <c r="NBF190" s="3"/>
      <c r="NBG190" s="3"/>
      <c r="NBH190" s="3"/>
      <c r="NBI190" s="3"/>
      <c r="NBJ190" s="3"/>
      <c r="NBK190" s="3"/>
      <c r="NBL190" s="3"/>
      <c r="NBM190" s="3"/>
      <c r="NBN190" s="3"/>
      <c r="NBO190" s="3"/>
      <c r="NBP190" s="3"/>
      <c r="NBQ190" s="3"/>
      <c r="NBR190" s="3"/>
      <c r="NBS190" s="3"/>
      <c r="NBT190" s="3"/>
      <c r="NBU190" s="3"/>
      <c r="NBV190" s="3"/>
      <c r="NBW190" s="3"/>
      <c r="NBX190" s="3"/>
      <c r="NBY190" s="3"/>
      <c r="NBZ190" s="3"/>
      <c r="NCA190" s="3"/>
      <c r="NCB190" s="3"/>
      <c r="NCC190" s="3"/>
      <c r="NCD190" s="3"/>
      <c r="NCE190" s="3"/>
      <c r="NCF190" s="3"/>
      <c r="NCG190" s="3"/>
      <c r="NCH190" s="3"/>
      <c r="NCI190" s="3"/>
      <c r="NCJ190" s="3"/>
      <c r="NCK190" s="3"/>
      <c r="NCL190" s="3"/>
      <c r="NCM190" s="3"/>
      <c r="NCN190" s="3"/>
      <c r="NCO190" s="3"/>
      <c r="NCP190" s="3"/>
      <c r="NCQ190" s="3"/>
      <c r="NCR190" s="3"/>
      <c r="NCS190" s="3"/>
      <c r="NCT190" s="3"/>
      <c r="NCU190" s="3"/>
      <c r="NCV190" s="3"/>
      <c r="NCW190" s="3"/>
      <c r="NCX190" s="3"/>
      <c r="NCY190" s="3"/>
      <c r="NCZ190" s="3"/>
      <c r="NDA190" s="3"/>
      <c r="NDB190" s="3"/>
      <c r="NDC190" s="3"/>
      <c r="NDD190" s="3"/>
      <c r="NDE190" s="3"/>
      <c r="NDF190" s="3"/>
      <c r="NDG190" s="3"/>
      <c r="NDH190" s="3"/>
      <c r="NDI190" s="3"/>
      <c r="NDJ190" s="3"/>
      <c r="NDK190" s="3"/>
      <c r="NDL190" s="3"/>
      <c r="NDM190" s="3"/>
      <c r="NDN190" s="3"/>
      <c r="NDO190" s="3"/>
      <c r="NDP190" s="3"/>
      <c r="NDQ190" s="3"/>
      <c r="NDR190" s="3"/>
      <c r="NDS190" s="3"/>
      <c r="NDT190" s="3"/>
      <c r="NDU190" s="3"/>
      <c r="NDV190" s="3"/>
      <c r="NDW190" s="3"/>
      <c r="NDX190" s="3"/>
      <c r="NDY190" s="3"/>
      <c r="NDZ190" s="3"/>
      <c r="NEA190" s="3"/>
      <c r="NEB190" s="3"/>
      <c r="NEC190" s="3"/>
      <c r="NED190" s="3"/>
      <c r="NEE190" s="3"/>
      <c r="NEF190" s="3"/>
      <c r="NEG190" s="3"/>
      <c r="NEH190" s="3"/>
      <c r="NEI190" s="3"/>
      <c r="NEJ190" s="3"/>
      <c r="NEK190" s="3"/>
      <c r="NEL190" s="3"/>
      <c r="NEM190" s="3"/>
      <c r="NEN190" s="3"/>
      <c r="NEO190" s="3"/>
      <c r="NEP190" s="3"/>
      <c r="NEQ190" s="3"/>
      <c r="NER190" s="3"/>
      <c r="NES190" s="3"/>
      <c r="NET190" s="3"/>
      <c r="NEU190" s="3"/>
      <c r="NEV190" s="3"/>
      <c r="NEW190" s="3"/>
      <c r="NEX190" s="3"/>
      <c r="NEY190" s="3"/>
      <c r="NEZ190" s="3"/>
      <c r="NFA190" s="3"/>
      <c r="NFB190" s="3"/>
      <c r="NFC190" s="3"/>
      <c r="NFD190" s="3"/>
      <c r="NFE190" s="3"/>
      <c r="NFF190" s="3"/>
      <c r="NFG190" s="3"/>
      <c r="NFH190" s="3"/>
      <c r="NFI190" s="3"/>
      <c r="NFJ190" s="3"/>
      <c r="NFK190" s="3"/>
      <c r="NFL190" s="3"/>
      <c r="NFM190" s="3"/>
      <c r="NFN190" s="3"/>
      <c r="NFO190" s="3"/>
      <c r="NFP190" s="3"/>
      <c r="NFQ190" s="3"/>
      <c r="NFR190" s="3"/>
      <c r="NFS190" s="3"/>
      <c r="NFT190" s="3"/>
      <c r="NFU190" s="3"/>
      <c r="NFV190" s="3"/>
      <c r="NFW190" s="3"/>
      <c r="NFX190" s="3"/>
      <c r="NFY190" s="3"/>
      <c r="NFZ190" s="3"/>
      <c r="NGA190" s="3"/>
      <c r="NGB190" s="3"/>
      <c r="NGC190" s="3"/>
      <c r="NGD190" s="3"/>
      <c r="NGE190" s="3"/>
      <c r="NGF190" s="3"/>
      <c r="NGG190" s="3"/>
      <c r="NGH190" s="3"/>
      <c r="NGI190" s="3"/>
      <c r="NGJ190" s="3"/>
      <c r="NGK190" s="3"/>
      <c r="NGL190" s="3"/>
      <c r="NGM190" s="3"/>
      <c r="NGN190" s="3"/>
      <c r="NGO190" s="3"/>
      <c r="NGP190" s="3"/>
      <c r="NGQ190" s="3"/>
      <c r="NGR190" s="3"/>
      <c r="NGS190" s="3"/>
      <c r="NGT190" s="3"/>
      <c r="NGU190" s="3"/>
      <c r="NGV190" s="3"/>
      <c r="NGW190" s="3"/>
      <c r="NGX190" s="3"/>
      <c r="NGY190" s="3"/>
      <c r="NGZ190" s="3"/>
      <c r="NHA190" s="3"/>
      <c r="NHB190" s="3"/>
      <c r="NHC190" s="3"/>
      <c r="NHD190" s="3"/>
      <c r="NHE190" s="3"/>
      <c r="NHF190" s="3"/>
      <c r="NHG190" s="3"/>
      <c r="NHH190" s="3"/>
      <c r="NHI190" s="3"/>
      <c r="NHJ190" s="3"/>
      <c r="NHK190" s="3"/>
      <c r="NHL190" s="3"/>
      <c r="NHM190" s="3"/>
      <c r="NHN190" s="3"/>
      <c r="NHO190" s="3"/>
      <c r="NHP190" s="3"/>
      <c r="NHQ190" s="3"/>
      <c r="NHR190" s="3"/>
      <c r="NHS190" s="3"/>
      <c r="NHT190" s="3"/>
      <c r="NHU190" s="3"/>
      <c r="NHV190" s="3"/>
      <c r="NHW190" s="3"/>
      <c r="NHX190" s="3"/>
      <c r="NHY190" s="3"/>
      <c r="NHZ190" s="3"/>
      <c r="NIA190" s="3"/>
      <c r="NIB190" s="3"/>
      <c r="NIC190" s="3"/>
      <c r="NID190" s="3"/>
      <c r="NIE190" s="3"/>
      <c r="NIF190" s="3"/>
      <c r="NIG190" s="3"/>
      <c r="NIH190" s="3"/>
      <c r="NII190" s="3"/>
      <c r="NIJ190" s="3"/>
      <c r="NIK190" s="3"/>
      <c r="NIL190" s="3"/>
      <c r="NIM190" s="3"/>
      <c r="NIN190" s="3"/>
      <c r="NIO190" s="3"/>
      <c r="NIP190" s="3"/>
      <c r="NIQ190" s="3"/>
      <c r="NIR190" s="3"/>
      <c r="NIS190" s="3"/>
      <c r="NIT190" s="3"/>
      <c r="NIU190" s="3"/>
      <c r="NIV190" s="3"/>
      <c r="NIW190" s="3"/>
      <c r="NIX190" s="3"/>
      <c r="NIY190" s="3"/>
      <c r="NIZ190" s="3"/>
      <c r="NJA190" s="3"/>
      <c r="NJB190" s="3"/>
      <c r="NJC190" s="3"/>
      <c r="NJD190" s="3"/>
      <c r="NJE190" s="3"/>
      <c r="NJF190" s="3"/>
      <c r="NJG190" s="3"/>
      <c r="NJH190" s="3"/>
      <c r="NJI190" s="3"/>
      <c r="NJJ190" s="3"/>
      <c r="NJK190" s="3"/>
      <c r="NJL190" s="3"/>
      <c r="NJM190" s="3"/>
      <c r="NJN190" s="3"/>
      <c r="NJO190" s="3"/>
      <c r="NJP190" s="3"/>
      <c r="NJQ190" s="3"/>
      <c r="NJR190" s="3"/>
      <c r="NJS190" s="3"/>
      <c r="NJT190" s="3"/>
      <c r="NJU190" s="3"/>
      <c r="NJV190" s="3"/>
      <c r="NJW190" s="3"/>
      <c r="NJX190" s="3"/>
      <c r="NJY190" s="3"/>
      <c r="NJZ190" s="3"/>
      <c r="NKA190" s="3"/>
      <c r="NKB190" s="3"/>
      <c r="NKC190" s="3"/>
      <c r="NKD190" s="3"/>
      <c r="NKE190" s="3"/>
      <c r="NKF190" s="3"/>
      <c r="NKG190" s="3"/>
      <c r="NKH190" s="3"/>
      <c r="NKI190" s="3"/>
      <c r="NKJ190" s="3"/>
      <c r="NKK190" s="3"/>
      <c r="NKL190" s="3"/>
      <c r="NKM190" s="3"/>
      <c r="NKN190" s="3"/>
      <c r="NKO190" s="3"/>
      <c r="NKP190" s="3"/>
      <c r="NKQ190" s="3"/>
      <c r="NKR190" s="3"/>
      <c r="NKS190" s="3"/>
      <c r="NKT190" s="3"/>
      <c r="NKU190" s="3"/>
      <c r="NKV190" s="3"/>
      <c r="NKW190" s="3"/>
      <c r="NKX190" s="3"/>
      <c r="NKY190" s="3"/>
      <c r="NKZ190" s="3"/>
      <c r="NLA190" s="3"/>
      <c r="NLB190" s="3"/>
      <c r="NLC190" s="3"/>
      <c r="NLD190" s="3"/>
      <c r="NLE190" s="3"/>
      <c r="NLF190" s="3"/>
      <c r="NLG190" s="3"/>
      <c r="NLH190" s="3"/>
      <c r="NLI190" s="3"/>
      <c r="NLJ190" s="3"/>
      <c r="NLK190" s="3"/>
      <c r="NLL190" s="3"/>
      <c r="NLM190" s="3"/>
      <c r="NLN190" s="3"/>
      <c r="NLO190" s="3"/>
      <c r="NLP190" s="3"/>
      <c r="NLQ190" s="3"/>
      <c r="NLR190" s="3"/>
      <c r="NLS190" s="3"/>
      <c r="NLT190" s="3"/>
      <c r="NLU190" s="3"/>
      <c r="NLV190" s="3"/>
      <c r="NLW190" s="3"/>
      <c r="NLX190" s="3"/>
      <c r="NLY190" s="3"/>
      <c r="NLZ190" s="3"/>
      <c r="NMA190" s="3"/>
      <c r="NMB190" s="3"/>
      <c r="NMC190" s="3"/>
      <c r="NMD190" s="3"/>
      <c r="NME190" s="3"/>
      <c r="NMF190" s="3"/>
      <c r="NMG190" s="3"/>
      <c r="NMH190" s="3"/>
      <c r="NMI190" s="3"/>
      <c r="NMJ190" s="3"/>
      <c r="NMK190" s="3"/>
      <c r="NML190" s="3"/>
      <c r="NMM190" s="3"/>
      <c r="NMN190" s="3"/>
      <c r="NMO190" s="3"/>
      <c r="NMP190" s="3"/>
      <c r="NMQ190" s="3"/>
      <c r="NMR190" s="3"/>
      <c r="NMS190" s="3"/>
      <c r="NMT190" s="3"/>
      <c r="NMU190" s="3"/>
      <c r="NMV190" s="3"/>
      <c r="NMW190" s="3"/>
      <c r="NMX190" s="3"/>
      <c r="NMY190" s="3"/>
      <c r="NMZ190" s="3"/>
      <c r="NNA190" s="3"/>
      <c r="NNB190" s="3"/>
      <c r="NNC190" s="3"/>
      <c r="NND190" s="3"/>
      <c r="NNE190" s="3"/>
      <c r="NNF190" s="3"/>
      <c r="NNG190" s="3"/>
      <c r="NNH190" s="3"/>
      <c r="NNI190" s="3"/>
      <c r="NNJ190" s="3"/>
      <c r="NNK190" s="3"/>
      <c r="NNL190" s="3"/>
      <c r="NNM190" s="3"/>
      <c r="NNN190" s="3"/>
      <c r="NNO190" s="3"/>
      <c r="NNP190" s="3"/>
      <c r="NNQ190" s="3"/>
      <c r="NNR190" s="3"/>
      <c r="NNS190" s="3"/>
      <c r="NNT190" s="3"/>
      <c r="NNU190" s="3"/>
      <c r="NNV190" s="3"/>
      <c r="NNW190" s="3"/>
      <c r="NNX190" s="3"/>
      <c r="NNY190" s="3"/>
      <c r="NNZ190" s="3"/>
      <c r="NOA190" s="3"/>
      <c r="NOB190" s="3"/>
      <c r="NOC190" s="3"/>
      <c r="NOD190" s="3"/>
      <c r="NOE190" s="3"/>
      <c r="NOF190" s="3"/>
      <c r="NOG190" s="3"/>
      <c r="NOH190" s="3"/>
      <c r="NOI190" s="3"/>
      <c r="NOJ190" s="3"/>
      <c r="NOK190" s="3"/>
      <c r="NOL190" s="3"/>
      <c r="NOM190" s="3"/>
      <c r="NON190" s="3"/>
      <c r="NOO190" s="3"/>
      <c r="NOP190" s="3"/>
      <c r="NOQ190" s="3"/>
      <c r="NOR190" s="3"/>
      <c r="NOS190" s="3"/>
      <c r="NOT190" s="3"/>
      <c r="NOU190" s="3"/>
      <c r="NOV190" s="3"/>
      <c r="NOW190" s="3"/>
      <c r="NOX190" s="3"/>
      <c r="NOY190" s="3"/>
      <c r="NOZ190" s="3"/>
      <c r="NPA190" s="3"/>
      <c r="NPB190" s="3"/>
      <c r="NPC190" s="3"/>
      <c r="NPD190" s="3"/>
      <c r="NPE190" s="3"/>
      <c r="NPF190" s="3"/>
      <c r="NPG190" s="3"/>
      <c r="NPH190" s="3"/>
      <c r="NPI190" s="3"/>
      <c r="NPJ190" s="3"/>
      <c r="NPK190" s="3"/>
      <c r="NPL190" s="3"/>
      <c r="NPM190" s="3"/>
      <c r="NPN190" s="3"/>
      <c r="NPO190" s="3"/>
      <c r="NPP190" s="3"/>
      <c r="NPQ190" s="3"/>
      <c r="NPR190" s="3"/>
      <c r="NPS190" s="3"/>
      <c r="NPT190" s="3"/>
      <c r="NPU190" s="3"/>
      <c r="NPV190" s="3"/>
      <c r="NPW190" s="3"/>
      <c r="NPX190" s="3"/>
      <c r="NPY190" s="3"/>
      <c r="NPZ190" s="3"/>
      <c r="NQA190" s="3"/>
      <c r="NQB190" s="3"/>
      <c r="NQC190" s="3"/>
      <c r="NQD190" s="3"/>
      <c r="NQE190" s="3"/>
      <c r="NQF190" s="3"/>
      <c r="NQG190" s="3"/>
      <c r="NQH190" s="3"/>
      <c r="NQI190" s="3"/>
      <c r="NQJ190" s="3"/>
      <c r="NQK190" s="3"/>
      <c r="NQL190" s="3"/>
      <c r="NQM190" s="3"/>
      <c r="NQN190" s="3"/>
      <c r="NQO190" s="3"/>
      <c r="NQP190" s="3"/>
      <c r="NQQ190" s="3"/>
      <c r="NQR190" s="3"/>
      <c r="NQS190" s="3"/>
      <c r="NQT190" s="3"/>
      <c r="NQU190" s="3"/>
      <c r="NQV190" s="3"/>
      <c r="NQW190" s="3"/>
      <c r="NQX190" s="3"/>
      <c r="NQY190" s="3"/>
      <c r="NQZ190" s="3"/>
      <c r="NRA190" s="3"/>
      <c r="NRB190" s="3"/>
      <c r="NRC190" s="3"/>
      <c r="NRD190" s="3"/>
      <c r="NRE190" s="3"/>
      <c r="NRF190" s="3"/>
      <c r="NRG190" s="3"/>
      <c r="NRH190" s="3"/>
      <c r="NRI190" s="3"/>
      <c r="NRJ190" s="3"/>
      <c r="NRK190" s="3"/>
      <c r="NRL190" s="3"/>
      <c r="NRM190" s="3"/>
      <c r="NRN190" s="3"/>
      <c r="NRO190" s="3"/>
      <c r="NRP190" s="3"/>
      <c r="NRQ190" s="3"/>
      <c r="NRR190" s="3"/>
      <c r="NRS190" s="3"/>
      <c r="NRT190" s="3"/>
      <c r="NRU190" s="3"/>
      <c r="NRV190" s="3"/>
      <c r="NRW190" s="3"/>
      <c r="NRX190" s="3"/>
      <c r="NRY190" s="3"/>
      <c r="NRZ190" s="3"/>
      <c r="NSA190" s="3"/>
      <c r="NSB190" s="3"/>
      <c r="NSC190" s="3"/>
      <c r="NSD190" s="3"/>
      <c r="NSE190" s="3"/>
      <c r="NSF190" s="3"/>
      <c r="NSG190" s="3"/>
      <c r="NSH190" s="3"/>
      <c r="NSI190" s="3"/>
      <c r="NSJ190" s="3"/>
      <c r="NSK190" s="3"/>
      <c r="NSL190" s="3"/>
      <c r="NSM190" s="3"/>
      <c r="NSN190" s="3"/>
      <c r="NSO190" s="3"/>
      <c r="NSP190" s="3"/>
      <c r="NSQ190" s="3"/>
      <c r="NSR190" s="3"/>
      <c r="NSS190" s="3"/>
      <c r="NST190" s="3"/>
      <c r="NSU190" s="3"/>
      <c r="NSV190" s="3"/>
      <c r="NSW190" s="3"/>
      <c r="NSX190" s="3"/>
      <c r="NSY190" s="3"/>
      <c r="NSZ190" s="3"/>
      <c r="NTA190" s="3"/>
      <c r="NTB190" s="3"/>
      <c r="NTC190" s="3"/>
      <c r="NTD190" s="3"/>
      <c r="NTE190" s="3"/>
      <c r="NTF190" s="3"/>
      <c r="NTG190" s="3"/>
      <c r="NTH190" s="3"/>
      <c r="NTI190" s="3"/>
      <c r="NTJ190" s="3"/>
      <c r="NTK190" s="3"/>
      <c r="NTL190" s="3"/>
      <c r="NTM190" s="3"/>
      <c r="NTN190" s="3"/>
      <c r="NTO190" s="3"/>
      <c r="NTP190" s="3"/>
      <c r="NTQ190" s="3"/>
      <c r="NTR190" s="3"/>
      <c r="NTS190" s="3"/>
      <c r="NTT190" s="3"/>
      <c r="NTU190" s="3"/>
      <c r="NTV190" s="3"/>
      <c r="NTW190" s="3"/>
      <c r="NTX190" s="3"/>
      <c r="NTY190" s="3"/>
      <c r="NTZ190" s="3"/>
      <c r="NUA190" s="3"/>
      <c r="NUB190" s="3"/>
      <c r="NUC190" s="3"/>
      <c r="NUD190" s="3"/>
      <c r="NUE190" s="3"/>
      <c r="NUF190" s="3"/>
      <c r="NUG190" s="3"/>
      <c r="NUH190" s="3"/>
      <c r="NUI190" s="3"/>
      <c r="NUJ190" s="3"/>
      <c r="NUK190" s="3"/>
      <c r="NUL190" s="3"/>
      <c r="NUM190" s="3"/>
      <c r="NUN190" s="3"/>
      <c r="NUO190" s="3"/>
      <c r="NUP190" s="3"/>
      <c r="NUQ190" s="3"/>
      <c r="NUR190" s="3"/>
      <c r="NUS190" s="3"/>
      <c r="NUT190" s="3"/>
      <c r="NUU190" s="3"/>
      <c r="NUV190" s="3"/>
      <c r="NUW190" s="3"/>
      <c r="NUX190" s="3"/>
      <c r="NUY190" s="3"/>
      <c r="NUZ190" s="3"/>
      <c r="NVA190" s="3"/>
      <c r="NVB190" s="3"/>
      <c r="NVC190" s="3"/>
      <c r="NVD190" s="3"/>
      <c r="NVE190" s="3"/>
      <c r="NVF190" s="3"/>
      <c r="NVG190" s="3"/>
      <c r="NVH190" s="3"/>
      <c r="NVI190" s="3"/>
      <c r="NVJ190" s="3"/>
      <c r="NVK190" s="3"/>
      <c r="NVL190" s="3"/>
      <c r="NVM190" s="3"/>
      <c r="NVN190" s="3"/>
      <c r="NVO190" s="3"/>
      <c r="NVP190" s="3"/>
      <c r="NVQ190" s="3"/>
      <c r="NVR190" s="3"/>
      <c r="NVS190" s="3"/>
      <c r="NVT190" s="3"/>
      <c r="NVU190" s="3"/>
      <c r="NVV190" s="3"/>
      <c r="NVW190" s="3"/>
      <c r="NVX190" s="3"/>
      <c r="NVY190" s="3"/>
      <c r="NVZ190" s="3"/>
      <c r="NWA190" s="3"/>
      <c r="NWB190" s="3"/>
      <c r="NWC190" s="3"/>
      <c r="NWD190" s="3"/>
      <c r="NWE190" s="3"/>
      <c r="NWF190" s="3"/>
      <c r="NWG190" s="3"/>
      <c r="NWH190" s="3"/>
      <c r="NWI190" s="3"/>
      <c r="NWJ190" s="3"/>
      <c r="NWK190" s="3"/>
      <c r="NWL190" s="3"/>
      <c r="NWM190" s="3"/>
      <c r="NWN190" s="3"/>
      <c r="NWO190" s="3"/>
      <c r="NWP190" s="3"/>
      <c r="NWQ190" s="3"/>
      <c r="NWR190" s="3"/>
      <c r="NWS190" s="3"/>
      <c r="NWT190" s="3"/>
      <c r="NWU190" s="3"/>
      <c r="NWV190" s="3"/>
      <c r="NWW190" s="3"/>
      <c r="NWX190" s="3"/>
      <c r="NWY190" s="3"/>
      <c r="NWZ190" s="3"/>
      <c r="NXA190" s="3"/>
      <c r="NXB190" s="3"/>
      <c r="NXC190" s="3"/>
      <c r="NXD190" s="3"/>
      <c r="NXE190" s="3"/>
      <c r="NXF190" s="3"/>
      <c r="NXG190" s="3"/>
      <c r="NXH190" s="3"/>
      <c r="NXI190" s="3"/>
      <c r="NXJ190" s="3"/>
      <c r="NXK190" s="3"/>
      <c r="NXL190" s="3"/>
      <c r="NXM190" s="3"/>
      <c r="NXN190" s="3"/>
      <c r="NXO190" s="3"/>
      <c r="NXP190" s="3"/>
      <c r="NXQ190" s="3"/>
      <c r="NXR190" s="3"/>
      <c r="NXS190" s="3"/>
      <c r="NXT190" s="3"/>
      <c r="NXU190" s="3"/>
      <c r="NXV190" s="3"/>
      <c r="NXW190" s="3"/>
      <c r="NXX190" s="3"/>
      <c r="NXY190" s="3"/>
      <c r="NXZ190" s="3"/>
      <c r="NYA190" s="3"/>
      <c r="NYB190" s="3"/>
      <c r="NYC190" s="3"/>
      <c r="NYD190" s="3"/>
      <c r="NYE190" s="3"/>
      <c r="NYF190" s="3"/>
      <c r="NYG190" s="3"/>
      <c r="NYH190" s="3"/>
      <c r="NYI190" s="3"/>
      <c r="NYJ190" s="3"/>
      <c r="NYK190" s="3"/>
      <c r="NYL190" s="3"/>
      <c r="NYM190" s="3"/>
      <c r="NYN190" s="3"/>
      <c r="NYO190" s="3"/>
      <c r="NYP190" s="3"/>
      <c r="NYQ190" s="3"/>
      <c r="NYR190" s="3"/>
      <c r="NYS190" s="3"/>
      <c r="NYT190" s="3"/>
      <c r="NYU190" s="3"/>
      <c r="NYV190" s="3"/>
      <c r="NYW190" s="3"/>
      <c r="NYX190" s="3"/>
      <c r="NYY190" s="3"/>
      <c r="NYZ190" s="3"/>
      <c r="NZA190" s="3"/>
      <c r="NZB190" s="3"/>
      <c r="NZC190" s="3"/>
      <c r="NZD190" s="3"/>
      <c r="NZE190" s="3"/>
      <c r="NZF190" s="3"/>
      <c r="NZG190" s="3"/>
      <c r="NZH190" s="3"/>
      <c r="NZI190" s="3"/>
      <c r="NZJ190" s="3"/>
      <c r="NZK190" s="3"/>
      <c r="NZL190" s="3"/>
      <c r="NZM190" s="3"/>
      <c r="NZN190" s="3"/>
      <c r="NZO190" s="3"/>
      <c r="NZP190" s="3"/>
      <c r="NZQ190" s="3"/>
      <c r="NZR190" s="3"/>
      <c r="NZS190" s="3"/>
      <c r="NZT190" s="3"/>
      <c r="NZU190" s="3"/>
      <c r="NZV190" s="3"/>
      <c r="NZW190" s="3"/>
      <c r="NZX190" s="3"/>
      <c r="NZY190" s="3"/>
      <c r="NZZ190" s="3"/>
      <c r="OAA190" s="3"/>
      <c r="OAB190" s="3"/>
      <c r="OAC190" s="3"/>
      <c r="OAD190" s="3"/>
      <c r="OAE190" s="3"/>
      <c r="OAF190" s="3"/>
      <c r="OAG190" s="3"/>
      <c r="OAH190" s="3"/>
      <c r="OAI190" s="3"/>
      <c r="OAJ190" s="3"/>
      <c r="OAK190" s="3"/>
      <c r="OAL190" s="3"/>
      <c r="OAM190" s="3"/>
      <c r="OAN190" s="3"/>
      <c r="OAO190" s="3"/>
      <c r="OAP190" s="3"/>
      <c r="OAQ190" s="3"/>
      <c r="OAR190" s="3"/>
      <c r="OAS190" s="3"/>
      <c r="OAT190" s="3"/>
      <c r="OAU190" s="3"/>
      <c r="OAV190" s="3"/>
      <c r="OAW190" s="3"/>
      <c r="OAX190" s="3"/>
      <c r="OAY190" s="3"/>
      <c r="OAZ190" s="3"/>
      <c r="OBA190" s="3"/>
      <c r="OBB190" s="3"/>
      <c r="OBC190" s="3"/>
      <c r="OBD190" s="3"/>
      <c r="OBE190" s="3"/>
      <c r="OBF190" s="3"/>
      <c r="OBG190" s="3"/>
      <c r="OBH190" s="3"/>
      <c r="OBI190" s="3"/>
      <c r="OBJ190" s="3"/>
      <c r="OBK190" s="3"/>
      <c r="OBL190" s="3"/>
      <c r="OBM190" s="3"/>
      <c r="OBN190" s="3"/>
      <c r="OBO190" s="3"/>
      <c r="OBP190" s="3"/>
      <c r="OBQ190" s="3"/>
      <c r="OBR190" s="3"/>
      <c r="OBS190" s="3"/>
      <c r="OBT190" s="3"/>
      <c r="OBU190" s="3"/>
      <c r="OBV190" s="3"/>
      <c r="OBW190" s="3"/>
      <c r="OBX190" s="3"/>
      <c r="OBY190" s="3"/>
      <c r="OBZ190" s="3"/>
      <c r="OCA190" s="3"/>
      <c r="OCB190" s="3"/>
      <c r="OCC190" s="3"/>
      <c r="OCD190" s="3"/>
      <c r="OCE190" s="3"/>
      <c r="OCF190" s="3"/>
      <c r="OCG190" s="3"/>
      <c r="OCH190" s="3"/>
      <c r="OCI190" s="3"/>
      <c r="OCJ190" s="3"/>
      <c r="OCK190" s="3"/>
      <c r="OCL190" s="3"/>
      <c r="OCM190" s="3"/>
      <c r="OCN190" s="3"/>
      <c r="OCO190" s="3"/>
      <c r="OCP190" s="3"/>
      <c r="OCQ190" s="3"/>
      <c r="OCR190" s="3"/>
      <c r="OCS190" s="3"/>
      <c r="OCT190" s="3"/>
      <c r="OCU190" s="3"/>
      <c r="OCV190" s="3"/>
      <c r="OCW190" s="3"/>
      <c r="OCX190" s="3"/>
      <c r="OCY190" s="3"/>
      <c r="OCZ190" s="3"/>
      <c r="ODA190" s="3"/>
      <c r="ODB190" s="3"/>
      <c r="ODC190" s="3"/>
      <c r="ODD190" s="3"/>
      <c r="ODE190" s="3"/>
      <c r="ODF190" s="3"/>
      <c r="ODG190" s="3"/>
      <c r="ODH190" s="3"/>
      <c r="ODI190" s="3"/>
      <c r="ODJ190" s="3"/>
      <c r="ODK190" s="3"/>
      <c r="ODL190" s="3"/>
      <c r="ODM190" s="3"/>
      <c r="ODN190" s="3"/>
      <c r="ODO190" s="3"/>
      <c r="ODP190" s="3"/>
      <c r="ODQ190" s="3"/>
      <c r="ODR190" s="3"/>
      <c r="ODS190" s="3"/>
      <c r="ODT190" s="3"/>
      <c r="ODU190" s="3"/>
      <c r="ODV190" s="3"/>
      <c r="ODW190" s="3"/>
      <c r="ODX190" s="3"/>
      <c r="ODY190" s="3"/>
      <c r="ODZ190" s="3"/>
      <c r="OEA190" s="3"/>
      <c r="OEB190" s="3"/>
      <c r="OEC190" s="3"/>
      <c r="OED190" s="3"/>
      <c r="OEE190" s="3"/>
      <c r="OEF190" s="3"/>
      <c r="OEG190" s="3"/>
      <c r="OEH190" s="3"/>
      <c r="OEI190" s="3"/>
      <c r="OEJ190" s="3"/>
      <c r="OEK190" s="3"/>
      <c r="OEL190" s="3"/>
      <c r="OEM190" s="3"/>
      <c r="OEN190" s="3"/>
      <c r="OEO190" s="3"/>
      <c r="OEP190" s="3"/>
      <c r="OEQ190" s="3"/>
      <c r="OER190" s="3"/>
      <c r="OES190" s="3"/>
      <c r="OET190" s="3"/>
      <c r="OEU190" s="3"/>
      <c r="OEV190" s="3"/>
      <c r="OEW190" s="3"/>
      <c r="OEX190" s="3"/>
      <c r="OEY190" s="3"/>
      <c r="OEZ190" s="3"/>
      <c r="OFA190" s="3"/>
      <c r="OFB190" s="3"/>
      <c r="OFC190" s="3"/>
      <c r="OFD190" s="3"/>
      <c r="OFE190" s="3"/>
      <c r="OFF190" s="3"/>
      <c r="OFG190" s="3"/>
      <c r="OFH190" s="3"/>
      <c r="OFI190" s="3"/>
      <c r="OFJ190" s="3"/>
      <c r="OFK190" s="3"/>
      <c r="OFL190" s="3"/>
      <c r="OFM190" s="3"/>
      <c r="OFN190" s="3"/>
      <c r="OFO190" s="3"/>
      <c r="OFP190" s="3"/>
      <c r="OFQ190" s="3"/>
      <c r="OFR190" s="3"/>
      <c r="OFS190" s="3"/>
      <c r="OFT190" s="3"/>
      <c r="OFU190" s="3"/>
      <c r="OFV190" s="3"/>
      <c r="OFW190" s="3"/>
      <c r="OFX190" s="3"/>
      <c r="OFY190" s="3"/>
      <c r="OFZ190" s="3"/>
      <c r="OGA190" s="3"/>
      <c r="OGB190" s="3"/>
      <c r="OGC190" s="3"/>
      <c r="OGD190" s="3"/>
      <c r="OGE190" s="3"/>
      <c r="OGF190" s="3"/>
      <c r="OGG190" s="3"/>
      <c r="OGH190" s="3"/>
      <c r="OGI190" s="3"/>
      <c r="OGJ190" s="3"/>
      <c r="OGK190" s="3"/>
      <c r="OGL190" s="3"/>
      <c r="OGM190" s="3"/>
      <c r="OGN190" s="3"/>
      <c r="OGO190" s="3"/>
      <c r="OGP190" s="3"/>
      <c r="OGQ190" s="3"/>
      <c r="OGR190" s="3"/>
      <c r="OGS190" s="3"/>
      <c r="OGT190" s="3"/>
      <c r="OGU190" s="3"/>
      <c r="OGV190" s="3"/>
      <c r="OGW190" s="3"/>
      <c r="OGX190" s="3"/>
      <c r="OGY190" s="3"/>
      <c r="OGZ190" s="3"/>
      <c r="OHA190" s="3"/>
      <c r="OHB190" s="3"/>
      <c r="OHC190" s="3"/>
      <c r="OHD190" s="3"/>
      <c r="OHE190" s="3"/>
      <c r="OHF190" s="3"/>
      <c r="OHG190" s="3"/>
      <c r="OHH190" s="3"/>
      <c r="OHI190" s="3"/>
      <c r="OHJ190" s="3"/>
      <c r="OHK190" s="3"/>
      <c r="OHL190" s="3"/>
      <c r="OHM190" s="3"/>
      <c r="OHN190" s="3"/>
      <c r="OHO190" s="3"/>
      <c r="OHP190" s="3"/>
      <c r="OHQ190" s="3"/>
      <c r="OHR190" s="3"/>
      <c r="OHS190" s="3"/>
      <c r="OHT190" s="3"/>
      <c r="OHU190" s="3"/>
      <c r="OHV190" s="3"/>
      <c r="OHW190" s="3"/>
      <c r="OHX190" s="3"/>
      <c r="OHY190" s="3"/>
      <c r="OHZ190" s="3"/>
      <c r="OIA190" s="3"/>
      <c r="OIB190" s="3"/>
      <c r="OIC190" s="3"/>
      <c r="OID190" s="3"/>
      <c r="OIE190" s="3"/>
      <c r="OIF190" s="3"/>
      <c r="OIG190" s="3"/>
      <c r="OIH190" s="3"/>
      <c r="OII190" s="3"/>
      <c r="OIJ190" s="3"/>
      <c r="OIK190" s="3"/>
      <c r="OIL190" s="3"/>
      <c r="OIM190" s="3"/>
      <c r="OIN190" s="3"/>
      <c r="OIO190" s="3"/>
      <c r="OIP190" s="3"/>
      <c r="OIQ190" s="3"/>
      <c r="OIR190" s="3"/>
      <c r="OIS190" s="3"/>
      <c r="OIT190" s="3"/>
      <c r="OIU190" s="3"/>
      <c r="OIV190" s="3"/>
      <c r="OIW190" s="3"/>
      <c r="OIX190" s="3"/>
      <c r="OIY190" s="3"/>
      <c r="OIZ190" s="3"/>
      <c r="OJA190" s="3"/>
      <c r="OJB190" s="3"/>
      <c r="OJC190" s="3"/>
      <c r="OJD190" s="3"/>
      <c r="OJE190" s="3"/>
      <c r="OJF190" s="3"/>
      <c r="OJG190" s="3"/>
      <c r="OJH190" s="3"/>
      <c r="OJI190" s="3"/>
      <c r="OJJ190" s="3"/>
      <c r="OJK190" s="3"/>
      <c r="OJL190" s="3"/>
      <c r="OJM190" s="3"/>
      <c r="OJN190" s="3"/>
      <c r="OJO190" s="3"/>
      <c r="OJP190" s="3"/>
      <c r="OJQ190" s="3"/>
      <c r="OJR190" s="3"/>
      <c r="OJS190" s="3"/>
      <c r="OJT190" s="3"/>
      <c r="OJU190" s="3"/>
      <c r="OJV190" s="3"/>
      <c r="OJW190" s="3"/>
      <c r="OJX190" s="3"/>
      <c r="OJY190" s="3"/>
      <c r="OJZ190" s="3"/>
      <c r="OKA190" s="3"/>
      <c r="OKB190" s="3"/>
      <c r="OKC190" s="3"/>
      <c r="OKD190" s="3"/>
      <c r="OKE190" s="3"/>
      <c r="OKF190" s="3"/>
      <c r="OKG190" s="3"/>
      <c r="OKH190" s="3"/>
      <c r="OKI190" s="3"/>
      <c r="OKJ190" s="3"/>
      <c r="OKK190" s="3"/>
      <c r="OKL190" s="3"/>
      <c r="OKM190" s="3"/>
      <c r="OKN190" s="3"/>
      <c r="OKO190" s="3"/>
      <c r="OKP190" s="3"/>
      <c r="OKQ190" s="3"/>
      <c r="OKR190" s="3"/>
      <c r="OKS190" s="3"/>
      <c r="OKT190" s="3"/>
      <c r="OKU190" s="3"/>
      <c r="OKV190" s="3"/>
      <c r="OKW190" s="3"/>
      <c r="OKX190" s="3"/>
      <c r="OKY190" s="3"/>
      <c r="OKZ190" s="3"/>
      <c r="OLA190" s="3"/>
      <c r="OLB190" s="3"/>
      <c r="OLC190" s="3"/>
      <c r="OLD190" s="3"/>
      <c r="OLE190" s="3"/>
      <c r="OLF190" s="3"/>
      <c r="OLG190" s="3"/>
      <c r="OLH190" s="3"/>
      <c r="OLI190" s="3"/>
      <c r="OLJ190" s="3"/>
      <c r="OLK190" s="3"/>
      <c r="OLL190" s="3"/>
      <c r="OLM190" s="3"/>
      <c r="OLN190" s="3"/>
      <c r="OLO190" s="3"/>
      <c r="OLP190" s="3"/>
      <c r="OLQ190" s="3"/>
      <c r="OLR190" s="3"/>
      <c r="OLS190" s="3"/>
      <c r="OLT190" s="3"/>
      <c r="OLU190" s="3"/>
      <c r="OLV190" s="3"/>
      <c r="OLW190" s="3"/>
      <c r="OLX190" s="3"/>
      <c r="OLY190" s="3"/>
      <c r="OLZ190" s="3"/>
      <c r="OMA190" s="3"/>
      <c r="OMB190" s="3"/>
      <c r="OMC190" s="3"/>
      <c r="OMD190" s="3"/>
      <c r="OME190" s="3"/>
      <c r="OMF190" s="3"/>
      <c r="OMG190" s="3"/>
      <c r="OMH190" s="3"/>
      <c r="OMI190" s="3"/>
      <c r="OMJ190" s="3"/>
      <c r="OMK190" s="3"/>
      <c r="OML190" s="3"/>
      <c r="OMM190" s="3"/>
      <c r="OMN190" s="3"/>
      <c r="OMO190" s="3"/>
      <c r="OMP190" s="3"/>
      <c r="OMQ190" s="3"/>
      <c r="OMR190" s="3"/>
      <c r="OMS190" s="3"/>
      <c r="OMT190" s="3"/>
      <c r="OMU190" s="3"/>
      <c r="OMV190" s="3"/>
      <c r="OMW190" s="3"/>
      <c r="OMX190" s="3"/>
      <c r="OMY190" s="3"/>
      <c r="OMZ190" s="3"/>
      <c r="ONA190" s="3"/>
      <c r="ONB190" s="3"/>
      <c r="ONC190" s="3"/>
      <c r="OND190" s="3"/>
      <c r="ONE190" s="3"/>
      <c r="ONF190" s="3"/>
      <c r="ONG190" s="3"/>
      <c r="ONH190" s="3"/>
      <c r="ONI190" s="3"/>
      <c r="ONJ190" s="3"/>
      <c r="ONK190" s="3"/>
      <c r="ONL190" s="3"/>
      <c r="ONM190" s="3"/>
      <c r="ONN190" s="3"/>
      <c r="ONO190" s="3"/>
      <c r="ONP190" s="3"/>
      <c r="ONQ190" s="3"/>
      <c r="ONR190" s="3"/>
      <c r="ONS190" s="3"/>
      <c r="ONT190" s="3"/>
      <c r="ONU190" s="3"/>
      <c r="ONV190" s="3"/>
      <c r="ONW190" s="3"/>
      <c r="ONX190" s="3"/>
      <c r="ONY190" s="3"/>
      <c r="ONZ190" s="3"/>
      <c r="OOA190" s="3"/>
      <c r="OOB190" s="3"/>
      <c r="OOC190" s="3"/>
      <c r="OOD190" s="3"/>
      <c r="OOE190" s="3"/>
      <c r="OOF190" s="3"/>
      <c r="OOG190" s="3"/>
      <c r="OOH190" s="3"/>
      <c r="OOI190" s="3"/>
      <c r="OOJ190" s="3"/>
      <c r="OOK190" s="3"/>
      <c r="OOL190" s="3"/>
      <c r="OOM190" s="3"/>
      <c r="OON190" s="3"/>
      <c r="OOO190" s="3"/>
      <c r="OOP190" s="3"/>
      <c r="OOQ190" s="3"/>
      <c r="OOR190" s="3"/>
      <c r="OOS190" s="3"/>
      <c r="OOT190" s="3"/>
      <c r="OOU190" s="3"/>
      <c r="OOV190" s="3"/>
      <c r="OOW190" s="3"/>
      <c r="OOX190" s="3"/>
      <c r="OOY190" s="3"/>
      <c r="OOZ190" s="3"/>
      <c r="OPA190" s="3"/>
      <c r="OPB190" s="3"/>
      <c r="OPC190" s="3"/>
      <c r="OPD190" s="3"/>
      <c r="OPE190" s="3"/>
      <c r="OPF190" s="3"/>
      <c r="OPG190" s="3"/>
      <c r="OPH190" s="3"/>
      <c r="OPI190" s="3"/>
      <c r="OPJ190" s="3"/>
      <c r="OPK190" s="3"/>
      <c r="OPL190" s="3"/>
      <c r="OPM190" s="3"/>
      <c r="OPN190" s="3"/>
      <c r="OPO190" s="3"/>
      <c r="OPP190" s="3"/>
      <c r="OPQ190" s="3"/>
      <c r="OPR190" s="3"/>
      <c r="OPS190" s="3"/>
      <c r="OPT190" s="3"/>
      <c r="OPU190" s="3"/>
      <c r="OPV190" s="3"/>
      <c r="OPW190" s="3"/>
      <c r="OPX190" s="3"/>
      <c r="OPY190" s="3"/>
      <c r="OPZ190" s="3"/>
      <c r="OQA190" s="3"/>
      <c r="OQB190" s="3"/>
      <c r="OQC190" s="3"/>
      <c r="OQD190" s="3"/>
      <c r="OQE190" s="3"/>
      <c r="OQF190" s="3"/>
      <c r="OQG190" s="3"/>
      <c r="OQH190" s="3"/>
      <c r="OQI190" s="3"/>
      <c r="OQJ190" s="3"/>
      <c r="OQK190" s="3"/>
      <c r="OQL190" s="3"/>
      <c r="OQM190" s="3"/>
      <c r="OQN190" s="3"/>
      <c r="OQO190" s="3"/>
      <c r="OQP190" s="3"/>
      <c r="OQQ190" s="3"/>
      <c r="OQR190" s="3"/>
      <c r="OQS190" s="3"/>
      <c r="OQT190" s="3"/>
      <c r="OQU190" s="3"/>
      <c r="OQV190" s="3"/>
      <c r="OQW190" s="3"/>
      <c r="OQX190" s="3"/>
      <c r="OQY190" s="3"/>
      <c r="OQZ190" s="3"/>
      <c r="ORA190" s="3"/>
      <c r="ORB190" s="3"/>
      <c r="ORC190" s="3"/>
      <c r="ORD190" s="3"/>
      <c r="ORE190" s="3"/>
      <c r="ORF190" s="3"/>
      <c r="ORG190" s="3"/>
      <c r="ORH190" s="3"/>
      <c r="ORI190" s="3"/>
      <c r="ORJ190" s="3"/>
      <c r="ORK190" s="3"/>
      <c r="ORL190" s="3"/>
      <c r="ORM190" s="3"/>
      <c r="ORN190" s="3"/>
      <c r="ORO190" s="3"/>
      <c r="ORP190" s="3"/>
      <c r="ORQ190" s="3"/>
      <c r="ORR190" s="3"/>
      <c r="ORS190" s="3"/>
      <c r="ORT190" s="3"/>
      <c r="ORU190" s="3"/>
      <c r="ORV190" s="3"/>
      <c r="ORW190" s="3"/>
      <c r="ORX190" s="3"/>
      <c r="ORY190" s="3"/>
      <c r="ORZ190" s="3"/>
      <c r="OSA190" s="3"/>
      <c r="OSB190" s="3"/>
      <c r="OSC190" s="3"/>
      <c r="OSD190" s="3"/>
      <c r="OSE190" s="3"/>
      <c r="OSF190" s="3"/>
      <c r="OSG190" s="3"/>
      <c r="OSH190" s="3"/>
      <c r="OSI190" s="3"/>
      <c r="OSJ190" s="3"/>
      <c r="OSK190" s="3"/>
      <c r="OSL190" s="3"/>
      <c r="OSM190" s="3"/>
      <c r="OSN190" s="3"/>
      <c r="OSO190" s="3"/>
      <c r="OSP190" s="3"/>
      <c r="OSQ190" s="3"/>
      <c r="OSR190" s="3"/>
      <c r="OSS190" s="3"/>
      <c r="OST190" s="3"/>
      <c r="OSU190" s="3"/>
      <c r="OSV190" s="3"/>
      <c r="OSW190" s="3"/>
      <c r="OSX190" s="3"/>
      <c r="OSY190" s="3"/>
      <c r="OSZ190" s="3"/>
      <c r="OTA190" s="3"/>
      <c r="OTB190" s="3"/>
      <c r="OTC190" s="3"/>
      <c r="OTD190" s="3"/>
      <c r="OTE190" s="3"/>
      <c r="OTF190" s="3"/>
      <c r="OTG190" s="3"/>
      <c r="OTH190" s="3"/>
      <c r="OTI190" s="3"/>
      <c r="OTJ190" s="3"/>
      <c r="OTK190" s="3"/>
      <c r="OTL190" s="3"/>
      <c r="OTM190" s="3"/>
      <c r="OTN190" s="3"/>
      <c r="OTO190" s="3"/>
      <c r="OTP190" s="3"/>
      <c r="OTQ190" s="3"/>
      <c r="OTR190" s="3"/>
      <c r="OTS190" s="3"/>
      <c r="OTT190" s="3"/>
      <c r="OTU190" s="3"/>
      <c r="OTV190" s="3"/>
      <c r="OTW190" s="3"/>
      <c r="OTX190" s="3"/>
      <c r="OTY190" s="3"/>
      <c r="OTZ190" s="3"/>
      <c r="OUA190" s="3"/>
      <c r="OUB190" s="3"/>
      <c r="OUC190" s="3"/>
      <c r="OUD190" s="3"/>
      <c r="OUE190" s="3"/>
      <c r="OUF190" s="3"/>
      <c r="OUG190" s="3"/>
      <c r="OUH190" s="3"/>
      <c r="OUI190" s="3"/>
      <c r="OUJ190" s="3"/>
      <c r="OUK190" s="3"/>
      <c r="OUL190" s="3"/>
      <c r="OUM190" s="3"/>
      <c r="OUN190" s="3"/>
      <c r="OUO190" s="3"/>
      <c r="OUP190" s="3"/>
      <c r="OUQ190" s="3"/>
      <c r="OUR190" s="3"/>
      <c r="OUS190" s="3"/>
      <c r="OUT190" s="3"/>
      <c r="OUU190" s="3"/>
      <c r="OUV190" s="3"/>
      <c r="OUW190" s="3"/>
      <c r="OUX190" s="3"/>
      <c r="OUY190" s="3"/>
      <c r="OUZ190" s="3"/>
      <c r="OVA190" s="3"/>
      <c r="OVB190" s="3"/>
      <c r="OVC190" s="3"/>
      <c r="OVD190" s="3"/>
      <c r="OVE190" s="3"/>
      <c r="OVF190" s="3"/>
      <c r="OVG190" s="3"/>
      <c r="OVH190" s="3"/>
      <c r="OVI190" s="3"/>
      <c r="OVJ190" s="3"/>
      <c r="OVK190" s="3"/>
      <c r="OVL190" s="3"/>
      <c r="OVM190" s="3"/>
      <c r="OVN190" s="3"/>
      <c r="OVO190" s="3"/>
      <c r="OVP190" s="3"/>
      <c r="OVQ190" s="3"/>
      <c r="OVR190" s="3"/>
      <c r="OVS190" s="3"/>
      <c r="OVT190" s="3"/>
      <c r="OVU190" s="3"/>
      <c r="OVV190" s="3"/>
      <c r="OVW190" s="3"/>
      <c r="OVX190" s="3"/>
      <c r="OVY190" s="3"/>
      <c r="OVZ190" s="3"/>
      <c r="OWA190" s="3"/>
      <c r="OWB190" s="3"/>
      <c r="OWC190" s="3"/>
      <c r="OWD190" s="3"/>
      <c r="OWE190" s="3"/>
      <c r="OWF190" s="3"/>
      <c r="OWG190" s="3"/>
      <c r="OWH190" s="3"/>
      <c r="OWI190" s="3"/>
      <c r="OWJ190" s="3"/>
      <c r="OWK190" s="3"/>
      <c r="OWL190" s="3"/>
      <c r="OWM190" s="3"/>
      <c r="OWN190" s="3"/>
      <c r="OWO190" s="3"/>
      <c r="OWP190" s="3"/>
      <c r="OWQ190" s="3"/>
      <c r="OWR190" s="3"/>
      <c r="OWS190" s="3"/>
      <c r="OWT190" s="3"/>
      <c r="OWU190" s="3"/>
      <c r="OWV190" s="3"/>
      <c r="OWW190" s="3"/>
      <c r="OWX190" s="3"/>
      <c r="OWY190" s="3"/>
      <c r="OWZ190" s="3"/>
      <c r="OXA190" s="3"/>
      <c r="OXB190" s="3"/>
      <c r="OXC190" s="3"/>
      <c r="OXD190" s="3"/>
      <c r="OXE190" s="3"/>
      <c r="OXF190" s="3"/>
      <c r="OXG190" s="3"/>
      <c r="OXH190" s="3"/>
      <c r="OXI190" s="3"/>
      <c r="OXJ190" s="3"/>
      <c r="OXK190" s="3"/>
      <c r="OXL190" s="3"/>
      <c r="OXM190" s="3"/>
      <c r="OXN190" s="3"/>
      <c r="OXO190" s="3"/>
      <c r="OXP190" s="3"/>
      <c r="OXQ190" s="3"/>
      <c r="OXR190" s="3"/>
      <c r="OXS190" s="3"/>
      <c r="OXT190" s="3"/>
      <c r="OXU190" s="3"/>
      <c r="OXV190" s="3"/>
      <c r="OXW190" s="3"/>
      <c r="OXX190" s="3"/>
      <c r="OXY190" s="3"/>
      <c r="OXZ190" s="3"/>
      <c r="OYA190" s="3"/>
      <c r="OYB190" s="3"/>
      <c r="OYC190" s="3"/>
      <c r="OYD190" s="3"/>
      <c r="OYE190" s="3"/>
      <c r="OYF190" s="3"/>
      <c r="OYG190" s="3"/>
      <c r="OYH190" s="3"/>
      <c r="OYI190" s="3"/>
      <c r="OYJ190" s="3"/>
      <c r="OYK190" s="3"/>
      <c r="OYL190" s="3"/>
      <c r="OYM190" s="3"/>
      <c r="OYN190" s="3"/>
      <c r="OYO190" s="3"/>
      <c r="OYP190" s="3"/>
      <c r="OYQ190" s="3"/>
      <c r="OYR190" s="3"/>
      <c r="OYS190" s="3"/>
      <c r="OYT190" s="3"/>
      <c r="OYU190" s="3"/>
      <c r="OYV190" s="3"/>
      <c r="OYW190" s="3"/>
      <c r="OYX190" s="3"/>
      <c r="OYY190" s="3"/>
      <c r="OYZ190" s="3"/>
      <c r="OZA190" s="3"/>
      <c r="OZB190" s="3"/>
      <c r="OZC190" s="3"/>
      <c r="OZD190" s="3"/>
      <c r="OZE190" s="3"/>
      <c r="OZF190" s="3"/>
      <c r="OZG190" s="3"/>
      <c r="OZH190" s="3"/>
      <c r="OZI190" s="3"/>
      <c r="OZJ190" s="3"/>
      <c r="OZK190" s="3"/>
      <c r="OZL190" s="3"/>
      <c r="OZM190" s="3"/>
      <c r="OZN190" s="3"/>
      <c r="OZO190" s="3"/>
      <c r="OZP190" s="3"/>
      <c r="OZQ190" s="3"/>
      <c r="OZR190" s="3"/>
      <c r="OZS190" s="3"/>
      <c r="OZT190" s="3"/>
      <c r="OZU190" s="3"/>
      <c r="OZV190" s="3"/>
      <c r="OZW190" s="3"/>
      <c r="OZX190" s="3"/>
      <c r="OZY190" s="3"/>
      <c r="OZZ190" s="3"/>
      <c r="PAA190" s="3"/>
      <c r="PAB190" s="3"/>
      <c r="PAC190" s="3"/>
      <c r="PAD190" s="3"/>
      <c r="PAE190" s="3"/>
      <c r="PAF190" s="3"/>
      <c r="PAG190" s="3"/>
      <c r="PAH190" s="3"/>
      <c r="PAI190" s="3"/>
      <c r="PAJ190" s="3"/>
      <c r="PAK190" s="3"/>
      <c r="PAL190" s="3"/>
      <c r="PAM190" s="3"/>
      <c r="PAN190" s="3"/>
      <c r="PAO190" s="3"/>
      <c r="PAP190" s="3"/>
      <c r="PAQ190" s="3"/>
      <c r="PAR190" s="3"/>
      <c r="PAS190" s="3"/>
      <c r="PAT190" s="3"/>
      <c r="PAU190" s="3"/>
      <c r="PAV190" s="3"/>
      <c r="PAW190" s="3"/>
      <c r="PAX190" s="3"/>
      <c r="PAY190" s="3"/>
      <c r="PAZ190" s="3"/>
      <c r="PBA190" s="3"/>
      <c r="PBB190" s="3"/>
      <c r="PBC190" s="3"/>
      <c r="PBD190" s="3"/>
      <c r="PBE190" s="3"/>
      <c r="PBF190" s="3"/>
      <c r="PBG190" s="3"/>
      <c r="PBH190" s="3"/>
      <c r="PBI190" s="3"/>
      <c r="PBJ190" s="3"/>
      <c r="PBK190" s="3"/>
      <c r="PBL190" s="3"/>
      <c r="PBM190" s="3"/>
      <c r="PBN190" s="3"/>
      <c r="PBO190" s="3"/>
      <c r="PBP190" s="3"/>
      <c r="PBQ190" s="3"/>
      <c r="PBR190" s="3"/>
      <c r="PBS190" s="3"/>
      <c r="PBT190" s="3"/>
      <c r="PBU190" s="3"/>
      <c r="PBV190" s="3"/>
      <c r="PBW190" s="3"/>
      <c r="PBX190" s="3"/>
      <c r="PBY190" s="3"/>
      <c r="PBZ190" s="3"/>
      <c r="PCA190" s="3"/>
      <c r="PCB190" s="3"/>
      <c r="PCC190" s="3"/>
      <c r="PCD190" s="3"/>
      <c r="PCE190" s="3"/>
      <c r="PCF190" s="3"/>
      <c r="PCG190" s="3"/>
      <c r="PCH190" s="3"/>
      <c r="PCI190" s="3"/>
      <c r="PCJ190" s="3"/>
      <c r="PCK190" s="3"/>
      <c r="PCL190" s="3"/>
      <c r="PCM190" s="3"/>
      <c r="PCN190" s="3"/>
      <c r="PCO190" s="3"/>
      <c r="PCP190" s="3"/>
      <c r="PCQ190" s="3"/>
      <c r="PCR190" s="3"/>
      <c r="PCS190" s="3"/>
      <c r="PCT190" s="3"/>
      <c r="PCU190" s="3"/>
      <c r="PCV190" s="3"/>
      <c r="PCW190" s="3"/>
      <c r="PCX190" s="3"/>
      <c r="PCY190" s="3"/>
      <c r="PCZ190" s="3"/>
      <c r="PDA190" s="3"/>
      <c r="PDB190" s="3"/>
      <c r="PDC190" s="3"/>
      <c r="PDD190" s="3"/>
      <c r="PDE190" s="3"/>
      <c r="PDF190" s="3"/>
      <c r="PDG190" s="3"/>
      <c r="PDH190" s="3"/>
      <c r="PDI190" s="3"/>
      <c r="PDJ190" s="3"/>
      <c r="PDK190" s="3"/>
      <c r="PDL190" s="3"/>
      <c r="PDM190" s="3"/>
      <c r="PDN190" s="3"/>
      <c r="PDO190" s="3"/>
      <c r="PDP190" s="3"/>
      <c r="PDQ190" s="3"/>
      <c r="PDR190" s="3"/>
      <c r="PDS190" s="3"/>
      <c r="PDT190" s="3"/>
      <c r="PDU190" s="3"/>
      <c r="PDV190" s="3"/>
      <c r="PDW190" s="3"/>
      <c r="PDX190" s="3"/>
      <c r="PDY190" s="3"/>
      <c r="PDZ190" s="3"/>
      <c r="PEA190" s="3"/>
      <c r="PEB190" s="3"/>
      <c r="PEC190" s="3"/>
      <c r="PED190" s="3"/>
      <c r="PEE190" s="3"/>
      <c r="PEF190" s="3"/>
      <c r="PEG190" s="3"/>
      <c r="PEH190" s="3"/>
      <c r="PEI190" s="3"/>
      <c r="PEJ190" s="3"/>
      <c r="PEK190" s="3"/>
      <c r="PEL190" s="3"/>
      <c r="PEM190" s="3"/>
      <c r="PEN190" s="3"/>
      <c r="PEO190" s="3"/>
      <c r="PEP190" s="3"/>
      <c r="PEQ190" s="3"/>
      <c r="PER190" s="3"/>
      <c r="PES190" s="3"/>
      <c r="PET190" s="3"/>
      <c r="PEU190" s="3"/>
      <c r="PEV190" s="3"/>
      <c r="PEW190" s="3"/>
      <c r="PEX190" s="3"/>
      <c r="PEY190" s="3"/>
      <c r="PEZ190" s="3"/>
      <c r="PFA190" s="3"/>
      <c r="PFB190" s="3"/>
      <c r="PFC190" s="3"/>
      <c r="PFD190" s="3"/>
      <c r="PFE190" s="3"/>
      <c r="PFF190" s="3"/>
      <c r="PFG190" s="3"/>
      <c r="PFH190" s="3"/>
      <c r="PFI190" s="3"/>
      <c r="PFJ190" s="3"/>
      <c r="PFK190" s="3"/>
      <c r="PFL190" s="3"/>
      <c r="PFM190" s="3"/>
      <c r="PFN190" s="3"/>
      <c r="PFO190" s="3"/>
      <c r="PFP190" s="3"/>
      <c r="PFQ190" s="3"/>
      <c r="PFR190" s="3"/>
      <c r="PFS190" s="3"/>
      <c r="PFT190" s="3"/>
      <c r="PFU190" s="3"/>
      <c r="PFV190" s="3"/>
      <c r="PFW190" s="3"/>
      <c r="PFX190" s="3"/>
      <c r="PFY190" s="3"/>
      <c r="PFZ190" s="3"/>
      <c r="PGA190" s="3"/>
      <c r="PGB190" s="3"/>
      <c r="PGC190" s="3"/>
      <c r="PGD190" s="3"/>
      <c r="PGE190" s="3"/>
      <c r="PGF190" s="3"/>
      <c r="PGG190" s="3"/>
      <c r="PGH190" s="3"/>
      <c r="PGI190" s="3"/>
      <c r="PGJ190" s="3"/>
      <c r="PGK190" s="3"/>
      <c r="PGL190" s="3"/>
      <c r="PGM190" s="3"/>
      <c r="PGN190" s="3"/>
      <c r="PGO190" s="3"/>
      <c r="PGP190" s="3"/>
      <c r="PGQ190" s="3"/>
      <c r="PGR190" s="3"/>
      <c r="PGS190" s="3"/>
      <c r="PGT190" s="3"/>
      <c r="PGU190" s="3"/>
      <c r="PGV190" s="3"/>
      <c r="PGW190" s="3"/>
      <c r="PGX190" s="3"/>
      <c r="PGY190" s="3"/>
      <c r="PGZ190" s="3"/>
      <c r="PHA190" s="3"/>
      <c r="PHB190" s="3"/>
      <c r="PHC190" s="3"/>
      <c r="PHD190" s="3"/>
      <c r="PHE190" s="3"/>
      <c r="PHF190" s="3"/>
      <c r="PHG190" s="3"/>
      <c r="PHH190" s="3"/>
      <c r="PHI190" s="3"/>
      <c r="PHJ190" s="3"/>
      <c r="PHK190" s="3"/>
      <c r="PHL190" s="3"/>
      <c r="PHM190" s="3"/>
      <c r="PHN190" s="3"/>
      <c r="PHO190" s="3"/>
      <c r="PHP190" s="3"/>
      <c r="PHQ190" s="3"/>
      <c r="PHR190" s="3"/>
      <c r="PHS190" s="3"/>
      <c r="PHT190" s="3"/>
      <c r="PHU190" s="3"/>
      <c r="PHV190" s="3"/>
      <c r="PHW190" s="3"/>
      <c r="PHX190" s="3"/>
      <c r="PHY190" s="3"/>
      <c r="PHZ190" s="3"/>
      <c r="PIA190" s="3"/>
      <c r="PIB190" s="3"/>
      <c r="PIC190" s="3"/>
      <c r="PID190" s="3"/>
      <c r="PIE190" s="3"/>
      <c r="PIF190" s="3"/>
      <c r="PIG190" s="3"/>
      <c r="PIH190" s="3"/>
      <c r="PII190" s="3"/>
      <c r="PIJ190" s="3"/>
      <c r="PIK190" s="3"/>
      <c r="PIL190" s="3"/>
      <c r="PIM190" s="3"/>
      <c r="PIN190" s="3"/>
      <c r="PIO190" s="3"/>
      <c r="PIP190" s="3"/>
      <c r="PIQ190" s="3"/>
      <c r="PIR190" s="3"/>
      <c r="PIS190" s="3"/>
      <c r="PIT190" s="3"/>
      <c r="PIU190" s="3"/>
      <c r="PIV190" s="3"/>
      <c r="PIW190" s="3"/>
      <c r="PIX190" s="3"/>
      <c r="PIY190" s="3"/>
      <c r="PIZ190" s="3"/>
      <c r="PJA190" s="3"/>
      <c r="PJB190" s="3"/>
      <c r="PJC190" s="3"/>
      <c r="PJD190" s="3"/>
      <c r="PJE190" s="3"/>
      <c r="PJF190" s="3"/>
      <c r="PJG190" s="3"/>
      <c r="PJH190" s="3"/>
      <c r="PJI190" s="3"/>
      <c r="PJJ190" s="3"/>
      <c r="PJK190" s="3"/>
      <c r="PJL190" s="3"/>
      <c r="PJM190" s="3"/>
      <c r="PJN190" s="3"/>
      <c r="PJO190" s="3"/>
      <c r="PJP190" s="3"/>
      <c r="PJQ190" s="3"/>
      <c r="PJR190" s="3"/>
      <c r="PJS190" s="3"/>
      <c r="PJT190" s="3"/>
      <c r="PJU190" s="3"/>
      <c r="PJV190" s="3"/>
      <c r="PJW190" s="3"/>
      <c r="PJX190" s="3"/>
      <c r="PJY190" s="3"/>
      <c r="PJZ190" s="3"/>
      <c r="PKA190" s="3"/>
      <c r="PKB190" s="3"/>
      <c r="PKC190" s="3"/>
      <c r="PKD190" s="3"/>
      <c r="PKE190" s="3"/>
      <c r="PKF190" s="3"/>
      <c r="PKG190" s="3"/>
      <c r="PKH190" s="3"/>
      <c r="PKI190" s="3"/>
      <c r="PKJ190" s="3"/>
      <c r="PKK190" s="3"/>
      <c r="PKL190" s="3"/>
      <c r="PKM190" s="3"/>
      <c r="PKN190" s="3"/>
      <c r="PKO190" s="3"/>
      <c r="PKP190" s="3"/>
      <c r="PKQ190" s="3"/>
      <c r="PKR190" s="3"/>
      <c r="PKS190" s="3"/>
      <c r="PKT190" s="3"/>
      <c r="PKU190" s="3"/>
      <c r="PKV190" s="3"/>
      <c r="PKW190" s="3"/>
      <c r="PKX190" s="3"/>
      <c r="PKY190" s="3"/>
      <c r="PKZ190" s="3"/>
      <c r="PLA190" s="3"/>
      <c r="PLB190" s="3"/>
      <c r="PLC190" s="3"/>
      <c r="PLD190" s="3"/>
      <c r="PLE190" s="3"/>
      <c r="PLF190" s="3"/>
      <c r="PLG190" s="3"/>
      <c r="PLH190" s="3"/>
      <c r="PLI190" s="3"/>
      <c r="PLJ190" s="3"/>
      <c r="PLK190" s="3"/>
      <c r="PLL190" s="3"/>
      <c r="PLM190" s="3"/>
      <c r="PLN190" s="3"/>
      <c r="PLO190" s="3"/>
      <c r="PLP190" s="3"/>
      <c r="PLQ190" s="3"/>
      <c r="PLR190" s="3"/>
      <c r="PLS190" s="3"/>
      <c r="PLT190" s="3"/>
      <c r="PLU190" s="3"/>
      <c r="PLV190" s="3"/>
      <c r="PLW190" s="3"/>
      <c r="PLX190" s="3"/>
      <c r="PLY190" s="3"/>
      <c r="PLZ190" s="3"/>
      <c r="PMA190" s="3"/>
      <c r="PMB190" s="3"/>
      <c r="PMC190" s="3"/>
      <c r="PMD190" s="3"/>
      <c r="PME190" s="3"/>
      <c r="PMF190" s="3"/>
      <c r="PMG190" s="3"/>
      <c r="PMH190" s="3"/>
      <c r="PMI190" s="3"/>
      <c r="PMJ190" s="3"/>
      <c r="PMK190" s="3"/>
      <c r="PML190" s="3"/>
      <c r="PMM190" s="3"/>
      <c r="PMN190" s="3"/>
      <c r="PMO190" s="3"/>
      <c r="PMP190" s="3"/>
      <c r="PMQ190" s="3"/>
      <c r="PMR190" s="3"/>
      <c r="PMS190" s="3"/>
      <c r="PMT190" s="3"/>
      <c r="PMU190" s="3"/>
      <c r="PMV190" s="3"/>
      <c r="PMW190" s="3"/>
      <c r="PMX190" s="3"/>
      <c r="PMY190" s="3"/>
      <c r="PMZ190" s="3"/>
      <c r="PNA190" s="3"/>
      <c r="PNB190" s="3"/>
      <c r="PNC190" s="3"/>
      <c r="PND190" s="3"/>
      <c r="PNE190" s="3"/>
      <c r="PNF190" s="3"/>
      <c r="PNG190" s="3"/>
      <c r="PNH190" s="3"/>
      <c r="PNI190" s="3"/>
      <c r="PNJ190" s="3"/>
      <c r="PNK190" s="3"/>
      <c r="PNL190" s="3"/>
      <c r="PNM190" s="3"/>
      <c r="PNN190" s="3"/>
      <c r="PNO190" s="3"/>
      <c r="PNP190" s="3"/>
      <c r="PNQ190" s="3"/>
      <c r="PNR190" s="3"/>
      <c r="PNS190" s="3"/>
      <c r="PNT190" s="3"/>
      <c r="PNU190" s="3"/>
      <c r="PNV190" s="3"/>
      <c r="PNW190" s="3"/>
      <c r="PNX190" s="3"/>
      <c r="PNY190" s="3"/>
      <c r="PNZ190" s="3"/>
      <c r="POA190" s="3"/>
      <c r="POB190" s="3"/>
      <c r="POC190" s="3"/>
      <c r="POD190" s="3"/>
      <c r="POE190" s="3"/>
      <c r="POF190" s="3"/>
      <c r="POG190" s="3"/>
      <c r="POH190" s="3"/>
      <c r="POI190" s="3"/>
      <c r="POJ190" s="3"/>
      <c r="POK190" s="3"/>
      <c r="POL190" s="3"/>
      <c r="POM190" s="3"/>
      <c r="PON190" s="3"/>
      <c r="POO190" s="3"/>
      <c r="POP190" s="3"/>
      <c r="POQ190" s="3"/>
      <c r="POR190" s="3"/>
      <c r="POS190" s="3"/>
      <c r="POT190" s="3"/>
      <c r="POU190" s="3"/>
      <c r="POV190" s="3"/>
      <c r="POW190" s="3"/>
      <c r="POX190" s="3"/>
      <c r="POY190" s="3"/>
      <c r="POZ190" s="3"/>
      <c r="PPA190" s="3"/>
      <c r="PPB190" s="3"/>
      <c r="PPC190" s="3"/>
      <c r="PPD190" s="3"/>
      <c r="PPE190" s="3"/>
      <c r="PPF190" s="3"/>
      <c r="PPG190" s="3"/>
      <c r="PPH190" s="3"/>
      <c r="PPI190" s="3"/>
      <c r="PPJ190" s="3"/>
      <c r="PPK190" s="3"/>
      <c r="PPL190" s="3"/>
      <c r="PPM190" s="3"/>
      <c r="PPN190" s="3"/>
      <c r="PPO190" s="3"/>
      <c r="PPP190" s="3"/>
      <c r="PPQ190" s="3"/>
      <c r="PPR190" s="3"/>
      <c r="PPS190" s="3"/>
      <c r="PPT190" s="3"/>
      <c r="PPU190" s="3"/>
      <c r="PPV190" s="3"/>
      <c r="PPW190" s="3"/>
      <c r="PPX190" s="3"/>
      <c r="PPY190" s="3"/>
      <c r="PPZ190" s="3"/>
      <c r="PQA190" s="3"/>
      <c r="PQB190" s="3"/>
      <c r="PQC190" s="3"/>
      <c r="PQD190" s="3"/>
      <c r="PQE190" s="3"/>
      <c r="PQF190" s="3"/>
      <c r="PQG190" s="3"/>
      <c r="PQH190" s="3"/>
      <c r="PQI190" s="3"/>
      <c r="PQJ190" s="3"/>
      <c r="PQK190" s="3"/>
      <c r="PQL190" s="3"/>
      <c r="PQM190" s="3"/>
      <c r="PQN190" s="3"/>
      <c r="PQO190" s="3"/>
      <c r="PQP190" s="3"/>
      <c r="PQQ190" s="3"/>
      <c r="PQR190" s="3"/>
      <c r="PQS190" s="3"/>
      <c r="PQT190" s="3"/>
      <c r="PQU190" s="3"/>
      <c r="PQV190" s="3"/>
      <c r="PQW190" s="3"/>
      <c r="PQX190" s="3"/>
      <c r="PQY190" s="3"/>
      <c r="PQZ190" s="3"/>
      <c r="PRA190" s="3"/>
      <c r="PRB190" s="3"/>
      <c r="PRC190" s="3"/>
      <c r="PRD190" s="3"/>
      <c r="PRE190" s="3"/>
      <c r="PRF190" s="3"/>
      <c r="PRG190" s="3"/>
      <c r="PRH190" s="3"/>
      <c r="PRI190" s="3"/>
      <c r="PRJ190" s="3"/>
      <c r="PRK190" s="3"/>
      <c r="PRL190" s="3"/>
      <c r="PRM190" s="3"/>
      <c r="PRN190" s="3"/>
      <c r="PRO190" s="3"/>
      <c r="PRP190" s="3"/>
      <c r="PRQ190" s="3"/>
      <c r="PRR190" s="3"/>
      <c r="PRS190" s="3"/>
      <c r="PRT190" s="3"/>
      <c r="PRU190" s="3"/>
      <c r="PRV190" s="3"/>
      <c r="PRW190" s="3"/>
      <c r="PRX190" s="3"/>
      <c r="PRY190" s="3"/>
      <c r="PRZ190" s="3"/>
      <c r="PSA190" s="3"/>
      <c r="PSB190" s="3"/>
      <c r="PSC190" s="3"/>
      <c r="PSD190" s="3"/>
      <c r="PSE190" s="3"/>
      <c r="PSF190" s="3"/>
      <c r="PSG190" s="3"/>
      <c r="PSH190" s="3"/>
      <c r="PSI190" s="3"/>
      <c r="PSJ190" s="3"/>
      <c r="PSK190" s="3"/>
      <c r="PSL190" s="3"/>
      <c r="PSM190" s="3"/>
      <c r="PSN190" s="3"/>
      <c r="PSO190" s="3"/>
      <c r="PSP190" s="3"/>
      <c r="PSQ190" s="3"/>
      <c r="PSR190" s="3"/>
      <c r="PSS190" s="3"/>
      <c r="PST190" s="3"/>
      <c r="PSU190" s="3"/>
      <c r="PSV190" s="3"/>
      <c r="PSW190" s="3"/>
      <c r="PSX190" s="3"/>
      <c r="PSY190" s="3"/>
      <c r="PSZ190" s="3"/>
      <c r="PTA190" s="3"/>
      <c r="PTB190" s="3"/>
      <c r="PTC190" s="3"/>
      <c r="PTD190" s="3"/>
      <c r="PTE190" s="3"/>
      <c r="PTF190" s="3"/>
      <c r="PTG190" s="3"/>
      <c r="PTH190" s="3"/>
      <c r="PTI190" s="3"/>
      <c r="PTJ190" s="3"/>
      <c r="PTK190" s="3"/>
      <c r="PTL190" s="3"/>
      <c r="PTM190" s="3"/>
      <c r="PTN190" s="3"/>
      <c r="PTO190" s="3"/>
      <c r="PTP190" s="3"/>
      <c r="PTQ190" s="3"/>
      <c r="PTR190" s="3"/>
      <c r="PTS190" s="3"/>
      <c r="PTT190" s="3"/>
      <c r="PTU190" s="3"/>
      <c r="PTV190" s="3"/>
      <c r="PTW190" s="3"/>
      <c r="PTX190" s="3"/>
      <c r="PTY190" s="3"/>
      <c r="PTZ190" s="3"/>
      <c r="PUA190" s="3"/>
      <c r="PUB190" s="3"/>
      <c r="PUC190" s="3"/>
      <c r="PUD190" s="3"/>
      <c r="PUE190" s="3"/>
      <c r="PUF190" s="3"/>
      <c r="PUG190" s="3"/>
      <c r="PUH190" s="3"/>
      <c r="PUI190" s="3"/>
      <c r="PUJ190" s="3"/>
      <c r="PUK190" s="3"/>
      <c r="PUL190" s="3"/>
      <c r="PUM190" s="3"/>
      <c r="PUN190" s="3"/>
      <c r="PUO190" s="3"/>
      <c r="PUP190" s="3"/>
      <c r="PUQ190" s="3"/>
      <c r="PUR190" s="3"/>
      <c r="PUS190" s="3"/>
      <c r="PUT190" s="3"/>
      <c r="PUU190" s="3"/>
      <c r="PUV190" s="3"/>
      <c r="PUW190" s="3"/>
      <c r="PUX190" s="3"/>
      <c r="PUY190" s="3"/>
      <c r="PUZ190" s="3"/>
      <c r="PVA190" s="3"/>
      <c r="PVB190" s="3"/>
      <c r="PVC190" s="3"/>
      <c r="PVD190" s="3"/>
      <c r="PVE190" s="3"/>
      <c r="PVF190" s="3"/>
      <c r="PVG190" s="3"/>
      <c r="PVH190" s="3"/>
      <c r="PVI190" s="3"/>
      <c r="PVJ190" s="3"/>
      <c r="PVK190" s="3"/>
      <c r="PVL190" s="3"/>
      <c r="PVM190" s="3"/>
      <c r="PVN190" s="3"/>
      <c r="PVO190" s="3"/>
      <c r="PVP190" s="3"/>
      <c r="PVQ190" s="3"/>
      <c r="PVR190" s="3"/>
      <c r="PVS190" s="3"/>
      <c r="PVT190" s="3"/>
      <c r="PVU190" s="3"/>
      <c r="PVV190" s="3"/>
      <c r="PVW190" s="3"/>
      <c r="PVX190" s="3"/>
      <c r="PVY190" s="3"/>
      <c r="PVZ190" s="3"/>
      <c r="PWA190" s="3"/>
      <c r="PWB190" s="3"/>
      <c r="PWC190" s="3"/>
      <c r="PWD190" s="3"/>
      <c r="PWE190" s="3"/>
      <c r="PWF190" s="3"/>
      <c r="PWG190" s="3"/>
      <c r="PWH190" s="3"/>
      <c r="PWI190" s="3"/>
      <c r="PWJ190" s="3"/>
      <c r="PWK190" s="3"/>
      <c r="PWL190" s="3"/>
      <c r="PWM190" s="3"/>
      <c r="PWN190" s="3"/>
      <c r="PWO190" s="3"/>
      <c r="PWP190" s="3"/>
      <c r="PWQ190" s="3"/>
      <c r="PWR190" s="3"/>
      <c r="PWS190" s="3"/>
      <c r="PWT190" s="3"/>
      <c r="PWU190" s="3"/>
      <c r="PWV190" s="3"/>
      <c r="PWW190" s="3"/>
      <c r="PWX190" s="3"/>
      <c r="PWY190" s="3"/>
      <c r="PWZ190" s="3"/>
      <c r="PXA190" s="3"/>
      <c r="PXB190" s="3"/>
      <c r="PXC190" s="3"/>
      <c r="PXD190" s="3"/>
      <c r="PXE190" s="3"/>
      <c r="PXF190" s="3"/>
      <c r="PXG190" s="3"/>
      <c r="PXH190" s="3"/>
      <c r="PXI190" s="3"/>
      <c r="PXJ190" s="3"/>
      <c r="PXK190" s="3"/>
      <c r="PXL190" s="3"/>
      <c r="PXM190" s="3"/>
      <c r="PXN190" s="3"/>
      <c r="PXO190" s="3"/>
      <c r="PXP190" s="3"/>
      <c r="PXQ190" s="3"/>
      <c r="PXR190" s="3"/>
      <c r="PXS190" s="3"/>
      <c r="PXT190" s="3"/>
      <c r="PXU190" s="3"/>
      <c r="PXV190" s="3"/>
      <c r="PXW190" s="3"/>
      <c r="PXX190" s="3"/>
      <c r="PXY190" s="3"/>
      <c r="PXZ190" s="3"/>
      <c r="PYA190" s="3"/>
      <c r="PYB190" s="3"/>
      <c r="PYC190" s="3"/>
      <c r="PYD190" s="3"/>
      <c r="PYE190" s="3"/>
      <c r="PYF190" s="3"/>
      <c r="PYG190" s="3"/>
      <c r="PYH190" s="3"/>
      <c r="PYI190" s="3"/>
      <c r="PYJ190" s="3"/>
      <c r="PYK190" s="3"/>
      <c r="PYL190" s="3"/>
      <c r="PYM190" s="3"/>
      <c r="PYN190" s="3"/>
      <c r="PYO190" s="3"/>
      <c r="PYP190" s="3"/>
      <c r="PYQ190" s="3"/>
      <c r="PYR190" s="3"/>
      <c r="PYS190" s="3"/>
      <c r="PYT190" s="3"/>
      <c r="PYU190" s="3"/>
      <c r="PYV190" s="3"/>
      <c r="PYW190" s="3"/>
      <c r="PYX190" s="3"/>
      <c r="PYY190" s="3"/>
      <c r="PYZ190" s="3"/>
      <c r="PZA190" s="3"/>
      <c r="PZB190" s="3"/>
      <c r="PZC190" s="3"/>
      <c r="PZD190" s="3"/>
      <c r="PZE190" s="3"/>
      <c r="PZF190" s="3"/>
      <c r="PZG190" s="3"/>
      <c r="PZH190" s="3"/>
      <c r="PZI190" s="3"/>
      <c r="PZJ190" s="3"/>
      <c r="PZK190" s="3"/>
      <c r="PZL190" s="3"/>
      <c r="PZM190" s="3"/>
      <c r="PZN190" s="3"/>
      <c r="PZO190" s="3"/>
      <c r="PZP190" s="3"/>
      <c r="PZQ190" s="3"/>
      <c r="PZR190" s="3"/>
      <c r="PZS190" s="3"/>
      <c r="PZT190" s="3"/>
      <c r="PZU190" s="3"/>
      <c r="PZV190" s="3"/>
      <c r="PZW190" s="3"/>
      <c r="PZX190" s="3"/>
      <c r="PZY190" s="3"/>
      <c r="PZZ190" s="3"/>
      <c r="QAA190" s="3"/>
      <c r="QAB190" s="3"/>
      <c r="QAC190" s="3"/>
      <c r="QAD190" s="3"/>
      <c r="QAE190" s="3"/>
      <c r="QAF190" s="3"/>
      <c r="QAG190" s="3"/>
      <c r="QAH190" s="3"/>
      <c r="QAI190" s="3"/>
      <c r="QAJ190" s="3"/>
      <c r="QAK190" s="3"/>
      <c r="QAL190" s="3"/>
      <c r="QAM190" s="3"/>
      <c r="QAN190" s="3"/>
      <c r="QAO190" s="3"/>
      <c r="QAP190" s="3"/>
      <c r="QAQ190" s="3"/>
      <c r="QAR190" s="3"/>
      <c r="QAS190" s="3"/>
      <c r="QAT190" s="3"/>
      <c r="QAU190" s="3"/>
      <c r="QAV190" s="3"/>
      <c r="QAW190" s="3"/>
      <c r="QAX190" s="3"/>
      <c r="QAY190" s="3"/>
      <c r="QAZ190" s="3"/>
      <c r="QBA190" s="3"/>
      <c r="QBB190" s="3"/>
      <c r="QBC190" s="3"/>
      <c r="QBD190" s="3"/>
      <c r="QBE190" s="3"/>
      <c r="QBF190" s="3"/>
      <c r="QBG190" s="3"/>
      <c r="QBH190" s="3"/>
      <c r="QBI190" s="3"/>
      <c r="QBJ190" s="3"/>
      <c r="QBK190" s="3"/>
      <c r="QBL190" s="3"/>
      <c r="QBM190" s="3"/>
      <c r="QBN190" s="3"/>
      <c r="QBO190" s="3"/>
      <c r="QBP190" s="3"/>
      <c r="QBQ190" s="3"/>
      <c r="QBR190" s="3"/>
      <c r="QBS190" s="3"/>
      <c r="QBT190" s="3"/>
      <c r="QBU190" s="3"/>
      <c r="QBV190" s="3"/>
      <c r="QBW190" s="3"/>
      <c r="QBX190" s="3"/>
      <c r="QBY190" s="3"/>
      <c r="QBZ190" s="3"/>
      <c r="QCA190" s="3"/>
      <c r="QCB190" s="3"/>
      <c r="QCC190" s="3"/>
      <c r="QCD190" s="3"/>
      <c r="QCE190" s="3"/>
      <c r="QCF190" s="3"/>
      <c r="QCG190" s="3"/>
      <c r="QCH190" s="3"/>
      <c r="QCI190" s="3"/>
      <c r="QCJ190" s="3"/>
      <c r="QCK190" s="3"/>
      <c r="QCL190" s="3"/>
      <c r="QCM190" s="3"/>
      <c r="QCN190" s="3"/>
      <c r="QCO190" s="3"/>
      <c r="QCP190" s="3"/>
      <c r="QCQ190" s="3"/>
      <c r="QCR190" s="3"/>
      <c r="QCS190" s="3"/>
      <c r="QCT190" s="3"/>
      <c r="QCU190" s="3"/>
      <c r="QCV190" s="3"/>
      <c r="QCW190" s="3"/>
      <c r="QCX190" s="3"/>
      <c r="QCY190" s="3"/>
      <c r="QCZ190" s="3"/>
      <c r="QDA190" s="3"/>
      <c r="QDB190" s="3"/>
      <c r="QDC190" s="3"/>
      <c r="QDD190" s="3"/>
      <c r="QDE190" s="3"/>
      <c r="QDF190" s="3"/>
      <c r="QDG190" s="3"/>
      <c r="QDH190" s="3"/>
      <c r="QDI190" s="3"/>
      <c r="QDJ190" s="3"/>
      <c r="QDK190" s="3"/>
      <c r="QDL190" s="3"/>
      <c r="QDM190" s="3"/>
      <c r="QDN190" s="3"/>
      <c r="QDO190" s="3"/>
      <c r="QDP190" s="3"/>
      <c r="QDQ190" s="3"/>
      <c r="QDR190" s="3"/>
      <c r="QDS190" s="3"/>
      <c r="QDT190" s="3"/>
      <c r="QDU190" s="3"/>
      <c r="QDV190" s="3"/>
      <c r="QDW190" s="3"/>
      <c r="QDX190" s="3"/>
      <c r="QDY190" s="3"/>
      <c r="QDZ190" s="3"/>
      <c r="QEA190" s="3"/>
      <c r="QEB190" s="3"/>
      <c r="QEC190" s="3"/>
      <c r="QED190" s="3"/>
      <c r="QEE190" s="3"/>
      <c r="QEF190" s="3"/>
      <c r="QEG190" s="3"/>
      <c r="QEH190" s="3"/>
      <c r="QEI190" s="3"/>
      <c r="QEJ190" s="3"/>
      <c r="QEK190" s="3"/>
      <c r="QEL190" s="3"/>
      <c r="QEM190" s="3"/>
      <c r="QEN190" s="3"/>
      <c r="QEO190" s="3"/>
      <c r="QEP190" s="3"/>
      <c r="QEQ190" s="3"/>
      <c r="QER190" s="3"/>
      <c r="QES190" s="3"/>
      <c r="QET190" s="3"/>
      <c r="QEU190" s="3"/>
      <c r="QEV190" s="3"/>
      <c r="QEW190" s="3"/>
      <c r="QEX190" s="3"/>
      <c r="QEY190" s="3"/>
      <c r="QEZ190" s="3"/>
      <c r="QFA190" s="3"/>
      <c r="QFB190" s="3"/>
      <c r="QFC190" s="3"/>
      <c r="QFD190" s="3"/>
      <c r="QFE190" s="3"/>
      <c r="QFF190" s="3"/>
      <c r="QFG190" s="3"/>
      <c r="QFH190" s="3"/>
      <c r="QFI190" s="3"/>
      <c r="QFJ190" s="3"/>
      <c r="QFK190" s="3"/>
      <c r="QFL190" s="3"/>
      <c r="QFM190" s="3"/>
      <c r="QFN190" s="3"/>
      <c r="QFO190" s="3"/>
      <c r="QFP190" s="3"/>
      <c r="QFQ190" s="3"/>
      <c r="QFR190" s="3"/>
      <c r="QFS190" s="3"/>
      <c r="QFT190" s="3"/>
      <c r="QFU190" s="3"/>
      <c r="QFV190" s="3"/>
      <c r="QFW190" s="3"/>
      <c r="QFX190" s="3"/>
      <c r="QFY190" s="3"/>
      <c r="QFZ190" s="3"/>
      <c r="QGA190" s="3"/>
      <c r="QGB190" s="3"/>
      <c r="QGC190" s="3"/>
      <c r="QGD190" s="3"/>
      <c r="QGE190" s="3"/>
      <c r="QGF190" s="3"/>
      <c r="QGG190" s="3"/>
      <c r="QGH190" s="3"/>
      <c r="QGI190" s="3"/>
      <c r="QGJ190" s="3"/>
      <c r="QGK190" s="3"/>
      <c r="QGL190" s="3"/>
      <c r="QGM190" s="3"/>
      <c r="QGN190" s="3"/>
      <c r="QGO190" s="3"/>
      <c r="QGP190" s="3"/>
      <c r="QGQ190" s="3"/>
      <c r="QGR190" s="3"/>
      <c r="QGS190" s="3"/>
      <c r="QGT190" s="3"/>
      <c r="QGU190" s="3"/>
      <c r="QGV190" s="3"/>
      <c r="QGW190" s="3"/>
      <c r="QGX190" s="3"/>
      <c r="QGY190" s="3"/>
      <c r="QGZ190" s="3"/>
      <c r="QHA190" s="3"/>
      <c r="QHB190" s="3"/>
      <c r="QHC190" s="3"/>
      <c r="QHD190" s="3"/>
      <c r="QHE190" s="3"/>
      <c r="QHF190" s="3"/>
      <c r="QHG190" s="3"/>
      <c r="QHH190" s="3"/>
      <c r="QHI190" s="3"/>
      <c r="QHJ190" s="3"/>
      <c r="QHK190" s="3"/>
      <c r="QHL190" s="3"/>
      <c r="QHM190" s="3"/>
      <c r="QHN190" s="3"/>
      <c r="QHO190" s="3"/>
      <c r="QHP190" s="3"/>
      <c r="QHQ190" s="3"/>
      <c r="QHR190" s="3"/>
      <c r="QHS190" s="3"/>
      <c r="QHT190" s="3"/>
      <c r="QHU190" s="3"/>
      <c r="QHV190" s="3"/>
      <c r="QHW190" s="3"/>
      <c r="QHX190" s="3"/>
      <c r="QHY190" s="3"/>
      <c r="QHZ190" s="3"/>
      <c r="QIA190" s="3"/>
      <c r="QIB190" s="3"/>
      <c r="QIC190" s="3"/>
      <c r="QID190" s="3"/>
      <c r="QIE190" s="3"/>
      <c r="QIF190" s="3"/>
      <c r="QIG190" s="3"/>
      <c r="QIH190" s="3"/>
      <c r="QII190" s="3"/>
      <c r="QIJ190" s="3"/>
      <c r="QIK190" s="3"/>
      <c r="QIL190" s="3"/>
      <c r="QIM190" s="3"/>
      <c r="QIN190" s="3"/>
      <c r="QIO190" s="3"/>
      <c r="QIP190" s="3"/>
      <c r="QIQ190" s="3"/>
      <c r="QIR190" s="3"/>
      <c r="QIS190" s="3"/>
      <c r="QIT190" s="3"/>
      <c r="QIU190" s="3"/>
      <c r="QIV190" s="3"/>
      <c r="QIW190" s="3"/>
      <c r="QIX190" s="3"/>
      <c r="QIY190" s="3"/>
      <c r="QIZ190" s="3"/>
      <c r="QJA190" s="3"/>
      <c r="QJB190" s="3"/>
      <c r="QJC190" s="3"/>
      <c r="QJD190" s="3"/>
      <c r="QJE190" s="3"/>
      <c r="QJF190" s="3"/>
      <c r="QJG190" s="3"/>
      <c r="QJH190" s="3"/>
      <c r="QJI190" s="3"/>
      <c r="QJJ190" s="3"/>
      <c r="QJK190" s="3"/>
      <c r="QJL190" s="3"/>
      <c r="QJM190" s="3"/>
      <c r="QJN190" s="3"/>
      <c r="QJO190" s="3"/>
      <c r="QJP190" s="3"/>
      <c r="QJQ190" s="3"/>
      <c r="QJR190" s="3"/>
      <c r="QJS190" s="3"/>
      <c r="QJT190" s="3"/>
      <c r="QJU190" s="3"/>
      <c r="QJV190" s="3"/>
      <c r="QJW190" s="3"/>
      <c r="QJX190" s="3"/>
      <c r="QJY190" s="3"/>
      <c r="QJZ190" s="3"/>
      <c r="QKA190" s="3"/>
      <c r="QKB190" s="3"/>
      <c r="QKC190" s="3"/>
      <c r="QKD190" s="3"/>
      <c r="QKE190" s="3"/>
      <c r="QKF190" s="3"/>
      <c r="QKG190" s="3"/>
      <c r="QKH190" s="3"/>
      <c r="QKI190" s="3"/>
      <c r="QKJ190" s="3"/>
      <c r="QKK190" s="3"/>
      <c r="QKL190" s="3"/>
      <c r="QKM190" s="3"/>
      <c r="QKN190" s="3"/>
      <c r="QKO190" s="3"/>
      <c r="QKP190" s="3"/>
      <c r="QKQ190" s="3"/>
      <c r="QKR190" s="3"/>
      <c r="QKS190" s="3"/>
      <c r="QKT190" s="3"/>
      <c r="QKU190" s="3"/>
      <c r="QKV190" s="3"/>
      <c r="QKW190" s="3"/>
      <c r="QKX190" s="3"/>
      <c r="QKY190" s="3"/>
      <c r="QKZ190" s="3"/>
      <c r="QLA190" s="3"/>
      <c r="QLB190" s="3"/>
      <c r="QLC190" s="3"/>
      <c r="QLD190" s="3"/>
      <c r="QLE190" s="3"/>
      <c r="QLF190" s="3"/>
      <c r="QLG190" s="3"/>
      <c r="QLH190" s="3"/>
      <c r="QLI190" s="3"/>
      <c r="QLJ190" s="3"/>
      <c r="QLK190" s="3"/>
      <c r="QLL190" s="3"/>
      <c r="QLM190" s="3"/>
      <c r="QLN190" s="3"/>
      <c r="QLO190" s="3"/>
      <c r="QLP190" s="3"/>
      <c r="QLQ190" s="3"/>
      <c r="QLR190" s="3"/>
      <c r="QLS190" s="3"/>
      <c r="QLT190" s="3"/>
      <c r="QLU190" s="3"/>
      <c r="QLV190" s="3"/>
      <c r="QLW190" s="3"/>
      <c r="QLX190" s="3"/>
      <c r="QLY190" s="3"/>
      <c r="QLZ190" s="3"/>
      <c r="QMA190" s="3"/>
      <c r="QMB190" s="3"/>
      <c r="QMC190" s="3"/>
      <c r="QMD190" s="3"/>
      <c r="QME190" s="3"/>
      <c r="QMF190" s="3"/>
      <c r="QMG190" s="3"/>
      <c r="QMH190" s="3"/>
      <c r="QMI190" s="3"/>
      <c r="QMJ190" s="3"/>
      <c r="QMK190" s="3"/>
      <c r="QML190" s="3"/>
      <c r="QMM190" s="3"/>
      <c r="QMN190" s="3"/>
      <c r="QMO190" s="3"/>
      <c r="QMP190" s="3"/>
      <c r="QMQ190" s="3"/>
      <c r="QMR190" s="3"/>
      <c r="QMS190" s="3"/>
      <c r="QMT190" s="3"/>
      <c r="QMU190" s="3"/>
      <c r="QMV190" s="3"/>
      <c r="QMW190" s="3"/>
      <c r="QMX190" s="3"/>
      <c r="QMY190" s="3"/>
      <c r="QMZ190" s="3"/>
      <c r="QNA190" s="3"/>
      <c r="QNB190" s="3"/>
      <c r="QNC190" s="3"/>
      <c r="QND190" s="3"/>
      <c r="QNE190" s="3"/>
      <c r="QNF190" s="3"/>
      <c r="QNG190" s="3"/>
      <c r="QNH190" s="3"/>
      <c r="QNI190" s="3"/>
      <c r="QNJ190" s="3"/>
      <c r="QNK190" s="3"/>
      <c r="QNL190" s="3"/>
      <c r="QNM190" s="3"/>
      <c r="QNN190" s="3"/>
      <c r="QNO190" s="3"/>
      <c r="QNP190" s="3"/>
      <c r="QNQ190" s="3"/>
      <c r="QNR190" s="3"/>
      <c r="QNS190" s="3"/>
      <c r="QNT190" s="3"/>
      <c r="QNU190" s="3"/>
      <c r="QNV190" s="3"/>
      <c r="QNW190" s="3"/>
      <c r="QNX190" s="3"/>
      <c r="QNY190" s="3"/>
      <c r="QNZ190" s="3"/>
      <c r="QOA190" s="3"/>
      <c r="QOB190" s="3"/>
      <c r="QOC190" s="3"/>
      <c r="QOD190" s="3"/>
      <c r="QOE190" s="3"/>
      <c r="QOF190" s="3"/>
      <c r="QOG190" s="3"/>
      <c r="QOH190" s="3"/>
      <c r="QOI190" s="3"/>
      <c r="QOJ190" s="3"/>
      <c r="QOK190" s="3"/>
      <c r="QOL190" s="3"/>
      <c r="QOM190" s="3"/>
      <c r="QON190" s="3"/>
      <c r="QOO190" s="3"/>
      <c r="QOP190" s="3"/>
      <c r="QOQ190" s="3"/>
      <c r="QOR190" s="3"/>
      <c r="QOS190" s="3"/>
      <c r="QOT190" s="3"/>
      <c r="QOU190" s="3"/>
      <c r="QOV190" s="3"/>
      <c r="QOW190" s="3"/>
      <c r="QOX190" s="3"/>
      <c r="QOY190" s="3"/>
      <c r="QOZ190" s="3"/>
      <c r="QPA190" s="3"/>
      <c r="QPB190" s="3"/>
      <c r="QPC190" s="3"/>
      <c r="QPD190" s="3"/>
      <c r="QPE190" s="3"/>
      <c r="QPF190" s="3"/>
      <c r="QPG190" s="3"/>
      <c r="QPH190" s="3"/>
      <c r="QPI190" s="3"/>
      <c r="QPJ190" s="3"/>
      <c r="QPK190" s="3"/>
      <c r="QPL190" s="3"/>
      <c r="QPM190" s="3"/>
      <c r="QPN190" s="3"/>
      <c r="QPO190" s="3"/>
      <c r="QPP190" s="3"/>
      <c r="QPQ190" s="3"/>
      <c r="QPR190" s="3"/>
      <c r="QPS190" s="3"/>
      <c r="QPT190" s="3"/>
      <c r="QPU190" s="3"/>
      <c r="QPV190" s="3"/>
      <c r="QPW190" s="3"/>
      <c r="QPX190" s="3"/>
      <c r="QPY190" s="3"/>
      <c r="QPZ190" s="3"/>
      <c r="QQA190" s="3"/>
      <c r="QQB190" s="3"/>
      <c r="QQC190" s="3"/>
      <c r="QQD190" s="3"/>
      <c r="QQE190" s="3"/>
      <c r="QQF190" s="3"/>
      <c r="QQG190" s="3"/>
      <c r="QQH190" s="3"/>
      <c r="QQI190" s="3"/>
      <c r="QQJ190" s="3"/>
      <c r="QQK190" s="3"/>
      <c r="QQL190" s="3"/>
      <c r="QQM190" s="3"/>
      <c r="QQN190" s="3"/>
      <c r="QQO190" s="3"/>
      <c r="QQP190" s="3"/>
      <c r="QQQ190" s="3"/>
      <c r="QQR190" s="3"/>
      <c r="QQS190" s="3"/>
      <c r="QQT190" s="3"/>
      <c r="QQU190" s="3"/>
      <c r="QQV190" s="3"/>
      <c r="QQW190" s="3"/>
      <c r="QQX190" s="3"/>
      <c r="QQY190" s="3"/>
      <c r="QQZ190" s="3"/>
      <c r="QRA190" s="3"/>
      <c r="QRB190" s="3"/>
      <c r="QRC190" s="3"/>
      <c r="QRD190" s="3"/>
      <c r="QRE190" s="3"/>
      <c r="QRF190" s="3"/>
      <c r="QRG190" s="3"/>
      <c r="QRH190" s="3"/>
      <c r="QRI190" s="3"/>
      <c r="QRJ190" s="3"/>
      <c r="QRK190" s="3"/>
      <c r="QRL190" s="3"/>
      <c r="QRM190" s="3"/>
      <c r="QRN190" s="3"/>
      <c r="QRO190" s="3"/>
      <c r="QRP190" s="3"/>
      <c r="QRQ190" s="3"/>
      <c r="QRR190" s="3"/>
      <c r="QRS190" s="3"/>
      <c r="QRT190" s="3"/>
      <c r="QRU190" s="3"/>
      <c r="QRV190" s="3"/>
      <c r="QRW190" s="3"/>
      <c r="QRX190" s="3"/>
      <c r="QRY190" s="3"/>
      <c r="QRZ190" s="3"/>
      <c r="QSA190" s="3"/>
      <c r="QSB190" s="3"/>
      <c r="QSC190" s="3"/>
      <c r="QSD190" s="3"/>
      <c r="QSE190" s="3"/>
      <c r="QSF190" s="3"/>
      <c r="QSG190" s="3"/>
      <c r="QSH190" s="3"/>
      <c r="QSI190" s="3"/>
      <c r="QSJ190" s="3"/>
      <c r="QSK190" s="3"/>
      <c r="QSL190" s="3"/>
      <c r="QSM190" s="3"/>
      <c r="QSN190" s="3"/>
      <c r="QSO190" s="3"/>
      <c r="QSP190" s="3"/>
      <c r="QSQ190" s="3"/>
      <c r="QSR190" s="3"/>
      <c r="QSS190" s="3"/>
      <c r="QST190" s="3"/>
      <c r="QSU190" s="3"/>
      <c r="QSV190" s="3"/>
      <c r="QSW190" s="3"/>
      <c r="QSX190" s="3"/>
      <c r="QSY190" s="3"/>
      <c r="QSZ190" s="3"/>
      <c r="QTA190" s="3"/>
      <c r="QTB190" s="3"/>
      <c r="QTC190" s="3"/>
      <c r="QTD190" s="3"/>
      <c r="QTE190" s="3"/>
      <c r="QTF190" s="3"/>
      <c r="QTG190" s="3"/>
      <c r="QTH190" s="3"/>
      <c r="QTI190" s="3"/>
      <c r="QTJ190" s="3"/>
      <c r="QTK190" s="3"/>
      <c r="QTL190" s="3"/>
      <c r="QTM190" s="3"/>
      <c r="QTN190" s="3"/>
      <c r="QTO190" s="3"/>
      <c r="QTP190" s="3"/>
      <c r="QTQ190" s="3"/>
      <c r="QTR190" s="3"/>
      <c r="QTS190" s="3"/>
      <c r="QTT190" s="3"/>
      <c r="QTU190" s="3"/>
      <c r="QTV190" s="3"/>
      <c r="QTW190" s="3"/>
      <c r="QTX190" s="3"/>
      <c r="QTY190" s="3"/>
      <c r="QTZ190" s="3"/>
      <c r="QUA190" s="3"/>
      <c r="QUB190" s="3"/>
      <c r="QUC190" s="3"/>
      <c r="QUD190" s="3"/>
      <c r="QUE190" s="3"/>
      <c r="QUF190" s="3"/>
      <c r="QUG190" s="3"/>
      <c r="QUH190" s="3"/>
      <c r="QUI190" s="3"/>
      <c r="QUJ190" s="3"/>
      <c r="QUK190" s="3"/>
      <c r="QUL190" s="3"/>
      <c r="QUM190" s="3"/>
      <c r="QUN190" s="3"/>
      <c r="QUO190" s="3"/>
      <c r="QUP190" s="3"/>
      <c r="QUQ190" s="3"/>
      <c r="QUR190" s="3"/>
      <c r="QUS190" s="3"/>
      <c r="QUT190" s="3"/>
      <c r="QUU190" s="3"/>
      <c r="QUV190" s="3"/>
      <c r="QUW190" s="3"/>
      <c r="QUX190" s="3"/>
      <c r="QUY190" s="3"/>
      <c r="QUZ190" s="3"/>
      <c r="QVA190" s="3"/>
      <c r="QVB190" s="3"/>
      <c r="QVC190" s="3"/>
      <c r="QVD190" s="3"/>
      <c r="QVE190" s="3"/>
      <c r="QVF190" s="3"/>
      <c r="QVG190" s="3"/>
      <c r="QVH190" s="3"/>
      <c r="QVI190" s="3"/>
      <c r="QVJ190" s="3"/>
      <c r="QVK190" s="3"/>
      <c r="QVL190" s="3"/>
      <c r="QVM190" s="3"/>
      <c r="QVN190" s="3"/>
      <c r="QVO190" s="3"/>
      <c r="QVP190" s="3"/>
      <c r="QVQ190" s="3"/>
      <c r="QVR190" s="3"/>
      <c r="QVS190" s="3"/>
      <c r="QVT190" s="3"/>
      <c r="QVU190" s="3"/>
      <c r="QVV190" s="3"/>
      <c r="QVW190" s="3"/>
      <c r="QVX190" s="3"/>
      <c r="QVY190" s="3"/>
      <c r="QVZ190" s="3"/>
      <c r="QWA190" s="3"/>
      <c r="QWB190" s="3"/>
      <c r="QWC190" s="3"/>
      <c r="QWD190" s="3"/>
      <c r="QWE190" s="3"/>
      <c r="QWF190" s="3"/>
      <c r="QWG190" s="3"/>
      <c r="QWH190" s="3"/>
      <c r="QWI190" s="3"/>
      <c r="QWJ190" s="3"/>
      <c r="QWK190" s="3"/>
      <c r="QWL190" s="3"/>
      <c r="QWM190" s="3"/>
      <c r="QWN190" s="3"/>
      <c r="QWO190" s="3"/>
      <c r="QWP190" s="3"/>
      <c r="QWQ190" s="3"/>
      <c r="QWR190" s="3"/>
      <c r="QWS190" s="3"/>
      <c r="QWT190" s="3"/>
      <c r="QWU190" s="3"/>
      <c r="QWV190" s="3"/>
      <c r="QWW190" s="3"/>
      <c r="QWX190" s="3"/>
      <c r="QWY190" s="3"/>
      <c r="QWZ190" s="3"/>
      <c r="QXA190" s="3"/>
      <c r="QXB190" s="3"/>
      <c r="QXC190" s="3"/>
      <c r="QXD190" s="3"/>
      <c r="QXE190" s="3"/>
      <c r="QXF190" s="3"/>
      <c r="QXG190" s="3"/>
      <c r="QXH190" s="3"/>
      <c r="QXI190" s="3"/>
      <c r="QXJ190" s="3"/>
      <c r="QXK190" s="3"/>
      <c r="QXL190" s="3"/>
      <c r="QXM190" s="3"/>
      <c r="QXN190" s="3"/>
      <c r="QXO190" s="3"/>
      <c r="QXP190" s="3"/>
      <c r="QXQ190" s="3"/>
      <c r="QXR190" s="3"/>
      <c r="QXS190" s="3"/>
      <c r="QXT190" s="3"/>
      <c r="QXU190" s="3"/>
      <c r="QXV190" s="3"/>
      <c r="QXW190" s="3"/>
      <c r="QXX190" s="3"/>
      <c r="QXY190" s="3"/>
      <c r="QXZ190" s="3"/>
      <c r="QYA190" s="3"/>
      <c r="QYB190" s="3"/>
      <c r="QYC190" s="3"/>
      <c r="QYD190" s="3"/>
      <c r="QYE190" s="3"/>
      <c r="QYF190" s="3"/>
      <c r="QYG190" s="3"/>
      <c r="QYH190" s="3"/>
      <c r="QYI190" s="3"/>
      <c r="QYJ190" s="3"/>
      <c r="QYK190" s="3"/>
      <c r="QYL190" s="3"/>
      <c r="QYM190" s="3"/>
      <c r="QYN190" s="3"/>
      <c r="QYO190" s="3"/>
      <c r="QYP190" s="3"/>
      <c r="QYQ190" s="3"/>
      <c r="QYR190" s="3"/>
      <c r="QYS190" s="3"/>
      <c r="QYT190" s="3"/>
      <c r="QYU190" s="3"/>
      <c r="QYV190" s="3"/>
      <c r="QYW190" s="3"/>
      <c r="QYX190" s="3"/>
      <c r="QYY190" s="3"/>
      <c r="QYZ190" s="3"/>
      <c r="QZA190" s="3"/>
      <c r="QZB190" s="3"/>
      <c r="QZC190" s="3"/>
      <c r="QZD190" s="3"/>
      <c r="QZE190" s="3"/>
      <c r="QZF190" s="3"/>
      <c r="QZG190" s="3"/>
      <c r="QZH190" s="3"/>
      <c r="QZI190" s="3"/>
      <c r="QZJ190" s="3"/>
      <c r="QZK190" s="3"/>
      <c r="QZL190" s="3"/>
      <c r="QZM190" s="3"/>
      <c r="QZN190" s="3"/>
      <c r="QZO190" s="3"/>
      <c r="QZP190" s="3"/>
      <c r="QZQ190" s="3"/>
      <c r="QZR190" s="3"/>
      <c r="QZS190" s="3"/>
      <c r="QZT190" s="3"/>
      <c r="QZU190" s="3"/>
      <c r="QZV190" s="3"/>
      <c r="QZW190" s="3"/>
      <c r="QZX190" s="3"/>
      <c r="QZY190" s="3"/>
      <c r="QZZ190" s="3"/>
      <c r="RAA190" s="3"/>
      <c r="RAB190" s="3"/>
      <c r="RAC190" s="3"/>
      <c r="RAD190" s="3"/>
      <c r="RAE190" s="3"/>
      <c r="RAF190" s="3"/>
      <c r="RAG190" s="3"/>
      <c r="RAH190" s="3"/>
      <c r="RAI190" s="3"/>
      <c r="RAJ190" s="3"/>
      <c r="RAK190" s="3"/>
      <c r="RAL190" s="3"/>
      <c r="RAM190" s="3"/>
      <c r="RAN190" s="3"/>
      <c r="RAO190" s="3"/>
      <c r="RAP190" s="3"/>
      <c r="RAQ190" s="3"/>
      <c r="RAR190" s="3"/>
      <c r="RAS190" s="3"/>
      <c r="RAT190" s="3"/>
      <c r="RAU190" s="3"/>
      <c r="RAV190" s="3"/>
      <c r="RAW190" s="3"/>
      <c r="RAX190" s="3"/>
      <c r="RAY190" s="3"/>
      <c r="RAZ190" s="3"/>
      <c r="RBA190" s="3"/>
      <c r="RBB190" s="3"/>
      <c r="RBC190" s="3"/>
      <c r="RBD190" s="3"/>
      <c r="RBE190" s="3"/>
      <c r="RBF190" s="3"/>
      <c r="RBG190" s="3"/>
      <c r="RBH190" s="3"/>
      <c r="RBI190" s="3"/>
      <c r="RBJ190" s="3"/>
      <c r="RBK190" s="3"/>
      <c r="RBL190" s="3"/>
      <c r="RBM190" s="3"/>
      <c r="RBN190" s="3"/>
      <c r="RBO190" s="3"/>
      <c r="RBP190" s="3"/>
      <c r="RBQ190" s="3"/>
      <c r="RBR190" s="3"/>
      <c r="RBS190" s="3"/>
      <c r="RBT190" s="3"/>
      <c r="RBU190" s="3"/>
      <c r="RBV190" s="3"/>
      <c r="RBW190" s="3"/>
      <c r="RBX190" s="3"/>
      <c r="RBY190" s="3"/>
      <c r="RBZ190" s="3"/>
      <c r="RCA190" s="3"/>
      <c r="RCB190" s="3"/>
      <c r="RCC190" s="3"/>
      <c r="RCD190" s="3"/>
      <c r="RCE190" s="3"/>
      <c r="RCF190" s="3"/>
      <c r="RCG190" s="3"/>
      <c r="RCH190" s="3"/>
      <c r="RCI190" s="3"/>
      <c r="RCJ190" s="3"/>
      <c r="RCK190" s="3"/>
      <c r="RCL190" s="3"/>
      <c r="RCM190" s="3"/>
      <c r="RCN190" s="3"/>
      <c r="RCO190" s="3"/>
      <c r="RCP190" s="3"/>
      <c r="RCQ190" s="3"/>
      <c r="RCR190" s="3"/>
      <c r="RCS190" s="3"/>
      <c r="RCT190" s="3"/>
      <c r="RCU190" s="3"/>
      <c r="RCV190" s="3"/>
      <c r="RCW190" s="3"/>
      <c r="RCX190" s="3"/>
      <c r="RCY190" s="3"/>
      <c r="RCZ190" s="3"/>
      <c r="RDA190" s="3"/>
      <c r="RDB190" s="3"/>
      <c r="RDC190" s="3"/>
      <c r="RDD190" s="3"/>
      <c r="RDE190" s="3"/>
      <c r="RDF190" s="3"/>
      <c r="RDG190" s="3"/>
      <c r="RDH190" s="3"/>
      <c r="RDI190" s="3"/>
      <c r="RDJ190" s="3"/>
      <c r="RDK190" s="3"/>
      <c r="RDL190" s="3"/>
      <c r="RDM190" s="3"/>
      <c r="RDN190" s="3"/>
      <c r="RDO190" s="3"/>
      <c r="RDP190" s="3"/>
      <c r="RDQ190" s="3"/>
      <c r="RDR190" s="3"/>
      <c r="RDS190" s="3"/>
      <c r="RDT190" s="3"/>
      <c r="RDU190" s="3"/>
      <c r="RDV190" s="3"/>
      <c r="RDW190" s="3"/>
      <c r="RDX190" s="3"/>
      <c r="RDY190" s="3"/>
      <c r="RDZ190" s="3"/>
      <c r="REA190" s="3"/>
      <c r="REB190" s="3"/>
      <c r="REC190" s="3"/>
      <c r="RED190" s="3"/>
      <c r="REE190" s="3"/>
      <c r="REF190" s="3"/>
      <c r="REG190" s="3"/>
      <c r="REH190" s="3"/>
      <c r="REI190" s="3"/>
      <c r="REJ190" s="3"/>
      <c r="REK190" s="3"/>
      <c r="REL190" s="3"/>
      <c r="REM190" s="3"/>
      <c r="REN190" s="3"/>
      <c r="REO190" s="3"/>
      <c r="REP190" s="3"/>
      <c r="REQ190" s="3"/>
      <c r="RER190" s="3"/>
      <c r="RES190" s="3"/>
      <c r="RET190" s="3"/>
      <c r="REU190" s="3"/>
      <c r="REV190" s="3"/>
      <c r="REW190" s="3"/>
      <c r="REX190" s="3"/>
      <c r="REY190" s="3"/>
      <c r="REZ190" s="3"/>
      <c r="RFA190" s="3"/>
      <c r="RFB190" s="3"/>
      <c r="RFC190" s="3"/>
      <c r="RFD190" s="3"/>
      <c r="RFE190" s="3"/>
      <c r="RFF190" s="3"/>
      <c r="RFG190" s="3"/>
      <c r="RFH190" s="3"/>
      <c r="RFI190" s="3"/>
      <c r="RFJ190" s="3"/>
      <c r="RFK190" s="3"/>
      <c r="RFL190" s="3"/>
      <c r="RFM190" s="3"/>
      <c r="RFN190" s="3"/>
      <c r="RFO190" s="3"/>
      <c r="RFP190" s="3"/>
      <c r="RFQ190" s="3"/>
      <c r="RFR190" s="3"/>
      <c r="RFS190" s="3"/>
      <c r="RFT190" s="3"/>
      <c r="RFU190" s="3"/>
      <c r="RFV190" s="3"/>
      <c r="RFW190" s="3"/>
      <c r="RFX190" s="3"/>
      <c r="RFY190" s="3"/>
      <c r="RFZ190" s="3"/>
      <c r="RGA190" s="3"/>
      <c r="RGB190" s="3"/>
      <c r="RGC190" s="3"/>
      <c r="RGD190" s="3"/>
      <c r="RGE190" s="3"/>
      <c r="RGF190" s="3"/>
      <c r="RGG190" s="3"/>
      <c r="RGH190" s="3"/>
      <c r="RGI190" s="3"/>
      <c r="RGJ190" s="3"/>
      <c r="RGK190" s="3"/>
      <c r="RGL190" s="3"/>
      <c r="RGM190" s="3"/>
      <c r="RGN190" s="3"/>
      <c r="RGO190" s="3"/>
      <c r="RGP190" s="3"/>
      <c r="RGQ190" s="3"/>
      <c r="RGR190" s="3"/>
      <c r="RGS190" s="3"/>
      <c r="RGT190" s="3"/>
      <c r="RGU190" s="3"/>
      <c r="RGV190" s="3"/>
      <c r="RGW190" s="3"/>
      <c r="RGX190" s="3"/>
      <c r="RGY190" s="3"/>
      <c r="RGZ190" s="3"/>
      <c r="RHA190" s="3"/>
      <c r="RHB190" s="3"/>
      <c r="RHC190" s="3"/>
      <c r="RHD190" s="3"/>
      <c r="RHE190" s="3"/>
      <c r="RHF190" s="3"/>
      <c r="RHG190" s="3"/>
      <c r="RHH190" s="3"/>
      <c r="RHI190" s="3"/>
      <c r="RHJ190" s="3"/>
      <c r="RHK190" s="3"/>
      <c r="RHL190" s="3"/>
      <c r="RHM190" s="3"/>
      <c r="RHN190" s="3"/>
      <c r="RHO190" s="3"/>
      <c r="RHP190" s="3"/>
      <c r="RHQ190" s="3"/>
      <c r="RHR190" s="3"/>
      <c r="RHS190" s="3"/>
      <c r="RHT190" s="3"/>
      <c r="RHU190" s="3"/>
      <c r="RHV190" s="3"/>
      <c r="RHW190" s="3"/>
      <c r="RHX190" s="3"/>
      <c r="RHY190" s="3"/>
      <c r="RHZ190" s="3"/>
      <c r="RIA190" s="3"/>
      <c r="RIB190" s="3"/>
      <c r="RIC190" s="3"/>
      <c r="RID190" s="3"/>
      <c r="RIE190" s="3"/>
      <c r="RIF190" s="3"/>
      <c r="RIG190" s="3"/>
      <c r="RIH190" s="3"/>
      <c r="RII190" s="3"/>
      <c r="RIJ190" s="3"/>
      <c r="RIK190" s="3"/>
      <c r="RIL190" s="3"/>
      <c r="RIM190" s="3"/>
      <c r="RIN190" s="3"/>
      <c r="RIO190" s="3"/>
      <c r="RIP190" s="3"/>
      <c r="RIQ190" s="3"/>
      <c r="RIR190" s="3"/>
      <c r="RIS190" s="3"/>
      <c r="RIT190" s="3"/>
      <c r="RIU190" s="3"/>
      <c r="RIV190" s="3"/>
      <c r="RIW190" s="3"/>
      <c r="RIX190" s="3"/>
      <c r="RIY190" s="3"/>
      <c r="RIZ190" s="3"/>
      <c r="RJA190" s="3"/>
      <c r="RJB190" s="3"/>
      <c r="RJC190" s="3"/>
      <c r="RJD190" s="3"/>
      <c r="RJE190" s="3"/>
      <c r="RJF190" s="3"/>
      <c r="RJG190" s="3"/>
      <c r="RJH190" s="3"/>
      <c r="RJI190" s="3"/>
      <c r="RJJ190" s="3"/>
      <c r="RJK190" s="3"/>
      <c r="RJL190" s="3"/>
      <c r="RJM190" s="3"/>
      <c r="RJN190" s="3"/>
      <c r="RJO190" s="3"/>
      <c r="RJP190" s="3"/>
      <c r="RJQ190" s="3"/>
      <c r="RJR190" s="3"/>
      <c r="RJS190" s="3"/>
      <c r="RJT190" s="3"/>
      <c r="RJU190" s="3"/>
      <c r="RJV190" s="3"/>
      <c r="RJW190" s="3"/>
      <c r="RJX190" s="3"/>
      <c r="RJY190" s="3"/>
      <c r="RJZ190" s="3"/>
      <c r="RKA190" s="3"/>
      <c r="RKB190" s="3"/>
      <c r="RKC190" s="3"/>
      <c r="RKD190" s="3"/>
      <c r="RKE190" s="3"/>
      <c r="RKF190" s="3"/>
      <c r="RKG190" s="3"/>
      <c r="RKH190" s="3"/>
      <c r="RKI190" s="3"/>
      <c r="RKJ190" s="3"/>
      <c r="RKK190" s="3"/>
      <c r="RKL190" s="3"/>
      <c r="RKM190" s="3"/>
      <c r="RKN190" s="3"/>
      <c r="RKO190" s="3"/>
      <c r="RKP190" s="3"/>
      <c r="RKQ190" s="3"/>
      <c r="RKR190" s="3"/>
      <c r="RKS190" s="3"/>
      <c r="RKT190" s="3"/>
      <c r="RKU190" s="3"/>
      <c r="RKV190" s="3"/>
      <c r="RKW190" s="3"/>
      <c r="RKX190" s="3"/>
      <c r="RKY190" s="3"/>
      <c r="RKZ190" s="3"/>
      <c r="RLA190" s="3"/>
      <c r="RLB190" s="3"/>
      <c r="RLC190" s="3"/>
      <c r="RLD190" s="3"/>
      <c r="RLE190" s="3"/>
      <c r="RLF190" s="3"/>
      <c r="RLG190" s="3"/>
      <c r="RLH190" s="3"/>
      <c r="RLI190" s="3"/>
      <c r="RLJ190" s="3"/>
      <c r="RLK190" s="3"/>
      <c r="RLL190" s="3"/>
      <c r="RLM190" s="3"/>
      <c r="RLN190" s="3"/>
      <c r="RLO190" s="3"/>
      <c r="RLP190" s="3"/>
      <c r="RLQ190" s="3"/>
      <c r="RLR190" s="3"/>
      <c r="RLS190" s="3"/>
      <c r="RLT190" s="3"/>
      <c r="RLU190" s="3"/>
      <c r="RLV190" s="3"/>
      <c r="RLW190" s="3"/>
      <c r="RLX190" s="3"/>
      <c r="RLY190" s="3"/>
      <c r="RLZ190" s="3"/>
      <c r="RMA190" s="3"/>
      <c r="RMB190" s="3"/>
      <c r="RMC190" s="3"/>
      <c r="RMD190" s="3"/>
      <c r="RME190" s="3"/>
      <c r="RMF190" s="3"/>
      <c r="RMG190" s="3"/>
      <c r="RMH190" s="3"/>
      <c r="RMI190" s="3"/>
      <c r="RMJ190" s="3"/>
      <c r="RMK190" s="3"/>
      <c r="RML190" s="3"/>
      <c r="RMM190" s="3"/>
      <c r="RMN190" s="3"/>
      <c r="RMO190" s="3"/>
      <c r="RMP190" s="3"/>
      <c r="RMQ190" s="3"/>
      <c r="RMR190" s="3"/>
      <c r="RMS190" s="3"/>
      <c r="RMT190" s="3"/>
      <c r="RMU190" s="3"/>
      <c r="RMV190" s="3"/>
      <c r="RMW190" s="3"/>
      <c r="RMX190" s="3"/>
      <c r="RMY190" s="3"/>
      <c r="RMZ190" s="3"/>
      <c r="RNA190" s="3"/>
      <c r="RNB190" s="3"/>
      <c r="RNC190" s="3"/>
      <c r="RND190" s="3"/>
      <c r="RNE190" s="3"/>
      <c r="RNF190" s="3"/>
      <c r="RNG190" s="3"/>
      <c r="RNH190" s="3"/>
      <c r="RNI190" s="3"/>
      <c r="RNJ190" s="3"/>
      <c r="RNK190" s="3"/>
      <c r="RNL190" s="3"/>
      <c r="RNM190" s="3"/>
      <c r="RNN190" s="3"/>
      <c r="RNO190" s="3"/>
      <c r="RNP190" s="3"/>
      <c r="RNQ190" s="3"/>
      <c r="RNR190" s="3"/>
      <c r="RNS190" s="3"/>
      <c r="RNT190" s="3"/>
      <c r="RNU190" s="3"/>
      <c r="RNV190" s="3"/>
      <c r="RNW190" s="3"/>
      <c r="RNX190" s="3"/>
      <c r="RNY190" s="3"/>
      <c r="RNZ190" s="3"/>
      <c r="ROA190" s="3"/>
      <c r="ROB190" s="3"/>
      <c r="ROC190" s="3"/>
      <c r="ROD190" s="3"/>
      <c r="ROE190" s="3"/>
      <c r="ROF190" s="3"/>
      <c r="ROG190" s="3"/>
      <c r="ROH190" s="3"/>
      <c r="ROI190" s="3"/>
      <c r="ROJ190" s="3"/>
      <c r="ROK190" s="3"/>
      <c r="ROL190" s="3"/>
      <c r="ROM190" s="3"/>
      <c r="RON190" s="3"/>
      <c r="ROO190" s="3"/>
      <c r="ROP190" s="3"/>
      <c r="ROQ190" s="3"/>
      <c r="ROR190" s="3"/>
      <c r="ROS190" s="3"/>
      <c r="ROT190" s="3"/>
      <c r="ROU190" s="3"/>
      <c r="ROV190" s="3"/>
      <c r="ROW190" s="3"/>
      <c r="ROX190" s="3"/>
      <c r="ROY190" s="3"/>
      <c r="ROZ190" s="3"/>
      <c r="RPA190" s="3"/>
      <c r="RPB190" s="3"/>
      <c r="RPC190" s="3"/>
      <c r="RPD190" s="3"/>
      <c r="RPE190" s="3"/>
      <c r="RPF190" s="3"/>
      <c r="RPG190" s="3"/>
      <c r="RPH190" s="3"/>
      <c r="RPI190" s="3"/>
      <c r="RPJ190" s="3"/>
      <c r="RPK190" s="3"/>
      <c r="RPL190" s="3"/>
      <c r="RPM190" s="3"/>
      <c r="RPN190" s="3"/>
      <c r="RPO190" s="3"/>
      <c r="RPP190" s="3"/>
      <c r="RPQ190" s="3"/>
      <c r="RPR190" s="3"/>
      <c r="RPS190" s="3"/>
      <c r="RPT190" s="3"/>
      <c r="RPU190" s="3"/>
      <c r="RPV190" s="3"/>
      <c r="RPW190" s="3"/>
      <c r="RPX190" s="3"/>
      <c r="RPY190" s="3"/>
      <c r="RPZ190" s="3"/>
      <c r="RQA190" s="3"/>
      <c r="RQB190" s="3"/>
      <c r="RQC190" s="3"/>
      <c r="RQD190" s="3"/>
      <c r="RQE190" s="3"/>
      <c r="RQF190" s="3"/>
      <c r="RQG190" s="3"/>
      <c r="RQH190" s="3"/>
      <c r="RQI190" s="3"/>
      <c r="RQJ190" s="3"/>
      <c r="RQK190" s="3"/>
      <c r="RQL190" s="3"/>
      <c r="RQM190" s="3"/>
      <c r="RQN190" s="3"/>
      <c r="RQO190" s="3"/>
      <c r="RQP190" s="3"/>
      <c r="RQQ190" s="3"/>
      <c r="RQR190" s="3"/>
      <c r="RQS190" s="3"/>
      <c r="RQT190" s="3"/>
      <c r="RQU190" s="3"/>
      <c r="RQV190" s="3"/>
      <c r="RQW190" s="3"/>
      <c r="RQX190" s="3"/>
      <c r="RQY190" s="3"/>
      <c r="RQZ190" s="3"/>
      <c r="RRA190" s="3"/>
      <c r="RRB190" s="3"/>
      <c r="RRC190" s="3"/>
      <c r="RRD190" s="3"/>
      <c r="RRE190" s="3"/>
      <c r="RRF190" s="3"/>
      <c r="RRG190" s="3"/>
      <c r="RRH190" s="3"/>
      <c r="RRI190" s="3"/>
      <c r="RRJ190" s="3"/>
      <c r="RRK190" s="3"/>
      <c r="RRL190" s="3"/>
      <c r="RRM190" s="3"/>
      <c r="RRN190" s="3"/>
      <c r="RRO190" s="3"/>
      <c r="RRP190" s="3"/>
      <c r="RRQ190" s="3"/>
      <c r="RRR190" s="3"/>
      <c r="RRS190" s="3"/>
      <c r="RRT190" s="3"/>
      <c r="RRU190" s="3"/>
      <c r="RRV190" s="3"/>
      <c r="RRW190" s="3"/>
      <c r="RRX190" s="3"/>
      <c r="RRY190" s="3"/>
      <c r="RRZ190" s="3"/>
      <c r="RSA190" s="3"/>
      <c r="RSB190" s="3"/>
      <c r="RSC190" s="3"/>
      <c r="RSD190" s="3"/>
      <c r="RSE190" s="3"/>
      <c r="RSF190" s="3"/>
      <c r="RSG190" s="3"/>
      <c r="RSH190" s="3"/>
      <c r="RSI190" s="3"/>
      <c r="RSJ190" s="3"/>
      <c r="RSK190" s="3"/>
      <c r="RSL190" s="3"/>
      <c r="RSM190" s="3"/>
      <c r="RSN190" s="3"/>
      <c r="RSO190" s="3"/>
      <c r="RSP190" s="3"/>
      <c r="RSQ190" s="3"/>
      <c r="RSR190" s="3"/>
      <c r="RSS190" s="3"/>
      <c r="RST190" s="3"/>
      <c r="RSU190" s="3"/>
      <c r="RSV190" s="3"/>
      <c r="RSW190" s="3"/>
      <c r="RSX190" s="3"/>
      <c r="RSY190" s="3"/>
      <c r="RSZ190" s="3"/>
      <c r="RTA190" s="3"/>
      <c r="RTB190" s="3"/>
      <c r="RTC190" s="3"/>
      <c r="RTD190" s="3"/>
      <c r="RTE190" s="3"/>
      <c r="RTF190" s="3"/>
      <c r="RTG190" s="3"/>
      <c r="RTH190" s="3"/>
      <c r="RTI190" s="3"/>
      <c r="RTJ190" s="3"/>
      <c r="RTK190" s="3"/>
      <c r="RTL190" s="3"/>
      <c r="RTM190" s="3"/>
      <c r="RTN190" s="3"/>
      <c r="RTO190" s="3"/>
      <c r="RTP190" s="3"/>
      <c r="RTQ190" s="3"/>
      <c r="RTR190" s="3"/>
      <c r="RTS190" s="3"/>
      <c r="RTT190" s="3"/>
      <c r="RTU190" s="3"/>
      <c r="RTV190" s="3"/>
      <c r="RTW190" s="3"/>
      <c r="RTX190" s="3"/>
      <c r="RTY190" s="3"/>
      <c r="RTZ190" s="3"/>
      <c r="RUA190" s="3"/>
      <c r="RUB190" s="3"/>
      <c r="RUC190" s="3"/>
      <c r="RUD190" s="3"/>
      <c r="RUE190" s="3"/>
      <c r="RUF190" s="3"/>
      <c r="RUG190" s="3"/>
      <c r="RUH190" s="3"/>
      <c r="RUI190" s="3"/>
      <c r="RUJ190" s="3"/>
      <c r="RUK190" s="3"/>
      <c r="RUL190" s="3"/>
      <c r="RUM190" s="3"/>
      <c r="RUN190" s="3"/>
      <c r="RUO190" s="3"/>
      <c r="RUP190" s="3"/>
      <c r="RUQ190" s="3"/>
      <c r="RUR190" s="3"/>
      <c r="RUS190" s="3"/>
      <c r="RUT190" s="3"/>
      <c r="RUU190" s="3"/>
      <c r="RUV190" s="3"/>
      <c r="RUW190" s="3"/>
      <c r="RUX190" s="3"/>
      <c r="RUY190" s="3"/>
      <c r="RUZ190" s="3"/>
      <c r="RVA190" s="3"/>
      <c r="RVB190" s="3"/>
      <c r="RVC190" s="3"/>
      <c r="RVD190" s="3"/>
      <c r="RVE190" s="3"/>
      <c r="RVF190" s="3"/>
      <c r="RVG190" s="3"/>
      <c r="RVH190" s="3"/>
      <c r="RVI190" s="3"/>
      <c r="RVJ190" s="3"/>
      <c r="RVK190" s="3"/>
      <c r="RVL190" s="3"/>
      <c r="RVM190" s="3"/>
      <c r="RVN190" s="3"/>
      <c r="RVO190" s="3"/>
      <c r="RVP190" s="3"/>
      <c r="RVQ190" s="3"/>
      <c r="RVR190" s="3"/>
      <c r="RVS190" s="3"/>
      <c r="RVT190" s="3"/>
      <c r="RVU190" s="3"/>
      <c r="RVV190" s="3"/>
      <c r="RVW190" s="3"/>
      <c r="RVX190" s="3"/>
      <c r="RVY190" s="3"/>
      <c r="RVZ190" s="3"/>
      <c r="RWA190" s="3"/>
      <c r="RWB190" s="3"/>
      <c r="RWC190" s="3"/>
      <c r="RWD190" s="3"/>
      <c r="RWE190" s="3"/>
      <c r="RWF190" s="3"/>
      <c r="RWG190" s="3"/>
      <c r="RWH190" s="3"/>
      <c r="RWI190" s="3"/>
      <c r="RWJ190" s="3"/>
      <c r="RWK190" s="3"/>
      <c r="RWL190" s="3"/>
      <c r="RWM190" s="3"/>
      <c r="RWN190" s="3"/>
      <c r="RWO190" s="3"/>
      <c r="RWP190" s="3"/>
      <c r="RWQ190" s="3"/>
      <c r="RWR190" s="3"/>
      <c r="RWS190" s="3"/>
      <c r="RWT190" s="3"/>
      <c r="RWU190" s="3"/>
      <c r="RWV190" s="3"/>
      <c r="RWW190" s="3"/>
      <c r="RWX190" s="3"/>
      <c r="RWY190" s="3"/>
      <c r="RWZ190" s="3"/>
      <c r="RXA190" s="3"/>
      <c r="RXB190" s="3"/>
      <c r="RXC190" s="3"/>
      <c r="RXD190" s="3"/>
      <c r="RXE190" s="3"/>
      <c r="RXF190" s="3"/>
      <c r="RXG190" s="3"/>
      <c r="RXH190" s="3"/>
      <c r="RXI190" s="3"/>
      <c r="RXJ190" s="3"/>
      <c r="RXK190" s="3"/>
      <c r="RXL190" s="3"/>
      <c r="RXM190" s="3"/>
      <c r="RXN190" s="3"/>
      <c r="RXO190" s="3"/>
      <c r="RXP190" s="3"/>
      <c r="RXQ190" s="3"/>
      <c r="RXR190" s="3"/>
      <c r="RXS190" s="3"/>
      <c r="RXT190" s="3"/>
      <c r="RXU190" s="3"/>
      <c r="RXV190" s="3"/>
      <c r="RXW190" s="3"/>
      <c r="RXX190" s="3"/>
      <c r="RXY190" s="3"/>
      <c r="RXZ190" s="3"/>
      <c r="RYA190" s="3"/>
      <c r="RYB190" s="3"/>
      <c r="RYC190" s="3"/>
      <c r="RYD190" s="3"/>
      <c r="RYE190" s="3"/>
      <c r="RYF190" s="3"/>
      <c r="RYG190" s="3"/>
      <c r="RYH190" s="3"/>
      <c r="RYI190" s="3"/>
      <c r="RYJ190" s="3"/>
      <c r="RYK190" s="3"/>
      <c r="RYL190" s="3"/>
      <c r="RYM190" s="3"/>
      <c r="RYN190" s="3"/>
      <c r="RYO190" s="3"/>
      <c r="RYP190" s="3"/>
      <c r="RYQ190" s="3"/>
      <c r="RYR190" s="3"/>
      <c r="RYS190" s="3"/>
      <c r="RYT190" s="3"/>
      <c r="RYU190" s="3"/>
      <c r="RYV190" s="3"/>
      <c r="RYW190" s="3"/>
      <c r="RYX190" s="3"/>
      <c r="RYY190" s="3"/>
      <c r="RYZ190" s="3"/>
      <c r="RZA190" s="3"/>
      <c r="RZB190" s="3"/>
      <c r="RZC190" s="3"/>
      <c r="RZD190" s="3"/>
      <c r="RZE190" s="3"/>
      <c r="RZF190" s="3"/>
      <c r="RZG190" s="3"/>
      <c r="RZH190" s="3"/>
      <c r="RZI190" s="3"/>
      <c r="RZJ190" s="3"/>
      <c r="RZK190" s="3"/>
      <c r="RZL190" s="3"/>
      <c r="RZM190" s="3"/>
      <c r="RZN190" s="3"/>
      <c r="RZO190" s="3"/>
      <c r="RZP190" s="3"/>
      <c r="RZQ190" s="3"/>
      <c r="RZR190" s="3"/>
      <c r="RZS190" s="3"/>
      <c r="RZT190" s="3"/>
      <c r="RZU190" s="3"/>
      <c r="RZV190" s="3"/>
      <c r="RZW190" s="3"/>
      <c r="RZX190" s="3"/>
      <c r="RZY190" s="3"/>
      <c r="RZZ190" s="3"/>
      <c r="SAA190" s="3"/>
      <c r="SAB190" s="3"/>
      <c r="SAC190" s="3"/>
      <c r="SAD190" s="3"/>
      <c r="SAE190" s="3"/>
      <c r="SAF190" s="3"/>
      <c r="SAG190" s="3"/>
      <c r="SAH190" s="3"/>
      <c r="SAI190" s="3"/>
      <c r="SAJ190" s="3"/>
      <c r="SAK190" s="3"/>
      <c r="SAL190" s="3"/>
      <c r="SAM190" s="3"/>
      <c r="SAN190" s="3"/>
      <c r="SAO190" s="3"/>
      <c r="SAP190" s="3"/>
      <c r="SAQ190" s="3"/>
      <c r="SAR190" s="3"/>
      <c r="SAS190" s="3"/>
      <c r="SAT190" s="3"/>
      <c r="SAU190" s="3"/>
      <c r="SAV190" s="3"/>
      <c r="SAW190" s="3"/>
      <c r="SAX190" s="3"/>
      <c r="SAY190" s="3"/>
      <c r="SAZ190" s="3"/>
      <c r="SBA190" s="3"/>
      <c r="SBB190" s="3"/>
      <c r="SBC190" s="3"/>
      <c r="SBD190" s="3"/>
      <c r="SBE190" s="3"/>
      <c r="SBF190" s="3"/>
      <c r="SBG190" s="3"/>
      <c r="SBH190" s="3"/>
      <c r="SBI190" s="3"/>
      <c r="SBJ190" s="3"/>
      <c r="SBK190" s="3"/>
      <c r="SBL190" s="3"/>
      <c r="SBM190" s="3"/>
      <c r="SBN190" s="3"/>
      <c r="SBO190" s="3"/>
      <c r="SBP190" s="3"/>
      <c r="SBQ190" s="3"/>
      <c r="SBR190" s="3"/>
      <c r="SBS190" s="3"/>
      <c r="SBT190" s="3"/>
      <c r="SBU190" s="3"/>
      <c r="SBV190" s="3"/>
      <c r="SBW190" s="3"/>
      <c r="SBX190" s="3"/>
      <c r="SBY190" s="3"/>
      <c r="SBZ190" s="3"/>
      <c r="SCA190" s="3"/>
      <c r="SCB190" s="3"/>
      <c r="SCC190" s="3"/>
      <c r="SCD190" s="3"/>
      <c r="SCE190" s="3"/>
      <c r="SCF190" s="3"/>
      <c r="SCG190" s="3"/>
      <c r="SCH190" s="3"/>
      <c r="SCI190" s="3"/>
      <c r="SCJ190" s="3"/>
      <c r="SCK190" s="3"/>
      <c r="SCL190" s="3"/>
      <c r="SCM190" s="3"/>
      <c r="SCN190" s="3"/>
      <c r="SCO190" s="3"/>
      <c r="SCP190" s="3"/>
      <c r="SCQ190" s="3"/>
      <c r="SCR190" s="3"/>
      <c r="SCS190" s="3"/>
      <c r="SCT190" s="3"/>
      <c r="SCU190" s="3"/>
      <c r="SCV190" s="3"/>
      <c r="SCW190" s="3"/>
      <c r="SCX190" s="3"/>
      <c r="SCY190" s="3"/>
      <c r="SCZ190" s="3"/>
      <c r="SDA190" s="3"/>
      <c r="SDB190" s="3"/>
      <c r="SDC190" s="3"/>
      <c r="SDD190" s="3"/>
      <c r="SDE190" s="3"/>
      <c r="SDF190" s="3"/>
      <c r="SDG190" s="3"/>
      <c r="SDH190" s="3"/>
      <c r="SDI190" s="3"/>
      <c r="SDJ190" s="3"/>
      <c r="SDK190" s="3"/>
      <c r="SDL190" s="3"/>
      <c r="SDM190" s="3"/>
      <c r="SDN190" s="3"/>
      <c r="SDO190" s="3"/>
      <c r="SDP190" s="3"/>
      <c r="SDQ190" s="3"/>
      <c r="SDR190" s="3"/>
      <c r="SDS190" s="3"/>
      <c r="SDT190" s="3"/>
      <c r="SDU190" s="3"/>
      <c r="SDV190" s="3"/>
      <c r="SDW190" s="3"/>
      <c r="SDX190" s="3"/>
      <c r="SDY190" s="3"/>
      <c r="SDZ190" s="3"/>
      <c r="SEA190" s="3"/>
      <c r="SEB190" s="3"/>
      <c r="SEC190" s="3"/>
      <c r="SED190" s="3"/>
      <c r="SEE190" s="3"/>
      <c r="SEF190" s="3"/>
      <c r="SEG190" s="3"/>
      <c r="SEH190" s="3"/>
      <c r="SEI190" s="3"/>
      <c r="SEJ190" s="3"/>
      <c r="SEK190" s="3"/>
      <c r="SEL190" s="3"/>
      <c r="SEM190" s="3"/>
      <c r="SEN190" s="3"/>
      <c r="SEO190" s="3"/>
      <c r="SEP190" s="3"/>
      <c r="SEQ190" s="3"/>
      <c r="SER190" s="3"/>
      <c r="SES190" s="3"/>
      <c r="SET190" s="3"/>
      <c r="SEU190" s="3"/>
      <c r="SEV190" s="3"/>
      <c r="SEW190" s="3"/>
      <c r="SEX190" s="3"/>
      <c r="SEY190" s="3"/>
      <c r="SEZ190" s="3"/>
      <c r="SFA190" s="3"/>
      <c r="SFB190" s="3"/>
      <c r="SFC190" s="3"/>
      <c r="SFD190" s="3"/>
      <c r="SFE190" s="3"/>
      <c r="SFF190" s="3"/>
      <c r="SFG190" s="3"/>
      <c r="SFH190" s="3"/>
      <c r="SFI190" s="3"/>
      <c r="SFJ190" s="3"/>
      <c r="SFK190" s="3"/>
      <c r="SFL190" s="3"/>
      <c r="SFM190" s="3"/>
      <c r="SFN190" s="3"/>
      <c r="SFO190" s="3"/>
      <c r="SFP190" s="3"/>
      <c r="SFQ190" s="3"/>
      <c r="SFR190" s="3"/>
      <c r="SFS190" s="3"/>
      <c r="SFT190" s="3"/>
      <c r="SFU190" s="3"/>
      <c r="SFV190" s="3"/>
      <c r="SFW190" s="3"/>
      <c r="SFX190" s="3"/>
      <c r="SFY190" s="3"/>
      <c r="SFZ190" s="3"/>
      <c r="SGA190" s="3"/>
      <c r="SGB190" s="3"/>
      <c r="SGC190" s="3"/>
      <c r="SGD190" s="3"/>
      <c r="SGE190" s="3"/>
      <c r="SGF190" s="3"/>
      <c r="SGG190" s="3"/>
      <c r="SGH190" s="3"/>
      <c r="SGI190" s="3"/>
      <c r="SGJ190" s="3"/>
      <c r="SGK190" s="3"/>
      <c r="SGL190" s="3"/>
      <c r="SGM190" s="3"/>
      <c r="SGN190" s="3"/>
      <c r="SGO190" s="3"/>
      <c r="SGP190" s="3"/>
      <c r="SGQ190" s="3"/>
      <c r="SGR190" s="3"/>
      <c r="SGS190" s="3"/>
      <c r="SGT190" s="3"/>
      <c r="SGU190" s="3"/>
      <c r="SGV190" s="3"/>
      <c r="SGW190" s="3"/>
      <c r="SGX190" s="3"/>
      <c r="SGY190" s="3"/>
      <c r="SGZ190" s="3"/>
      <c r="SHA190" s="3"/>
      <c r="SHB190" s="3"/>
      <c r="SHC190" s="3"/>
      <c r="SHD190" s="3"/>
      <c r="SHE190" s="3"/>
      <c r="SHF190" s="3"/>
      <c r="SHG190" s="3"/>
      <c r="SHH190" s="3"/>
      <c r="SHI190" s="3"/>
      <c r="SHJ190" s="3"/>
      <c r="SHK190" s="3"/>
      <c r="SHL190" s="3"/>
      <c r="SHM190" s="3"/>
      <c r="SHN190" s="3"/>
      <c r="SHO190" s="3"/>
      <c r="SHP190" s="3"/>
      <c r="SHQ190" s="3"/>
      <c r="SHR190" s="3"/>
      <c r="SHS190" s="3"/>
      <c r="SHT190" s="3"/>
      <c r="SHU190" s="3"/>
      <c r="SHV190" s="3"/>
      <c r="SHW190" s="3"/>
      <c r="SHX190" s="3"/>
      <c r="SHY190" s="3"/>
      <c r="SHZ190" s="3"/>
      <c r="SIA190" s="3"/>
      <c r="SIB190" s="3"/>
      <c r="SIC190" s="3"/>
      <c r="SID190" s="3"/>
      <c r="SIE190" s="3"/>
      <c r="SIF190" s="3"/>
      <c r="SIG190" s="3"/>
      <c r="SIH190" s="3"/>
      <c r="SII190" s="3"/>
      <c r="SIJ190" s="3"/>
      <c r="SIK190" s="3"/>
      <c r="SIL190" s="3"/>
      <c r="SIM190" s="3"/>
      <c r="SIN190" s="3"/>
      <c r="SIO190" s="3"/>
      <c r="SIP190" s="3"/>
      <c r="SIQ190" s="3"/>
      <c r="SIR190" s="3"/>
      <c r="SIS190" s="3"/>
      <c r="SIT190" s="3"/>
      <c r="SIU190" s="3"/>
      <c r="SIV190" s="3"/>
      <c r="SIW190" s="3"/>
      <c r="SIX190" s="3"/>
      <c r="SIY190" s="3"/>
      <c r="SIZ190" s="3"/>
      <c r="SJA190" s="3"/>
      <c r="SJB190" s="3"/>
      <c r="SJC190" s="3"/>
      <c r="SJD190" s="3"/>
      <c r="SJE190" s="3"/>
      <c r="SJF190" s="3"/>
      <c r="SJG190" s="3"/>
      <c r="SJH190" s="3"/>
      <c r="SJI190" s="3"/>
      <c r="SJJ190" s="3"/>
      <c r="SJK190" s="3"/>
      <c r="SJL190" s="3"/>
      <c r="SJM190" s="3"/>
      <c r="SJN190" s="3"/>
      <c r="SJO190" s="3"/>
      <c r="SJP190" s="3"/>
      <c r="SJQ190" s="3"/>
      <c r="SJR190" s="3"/>
      <c r="SJS190" s="3"/>
      <c r="SJT190" s="3"/>
      <c r="SJU190" s="3"/>
      <c r="SJV190" s="3"/>
      <c r="SJW190" s="3"/>
      <c r="SJX190" s="3"/>
      <c r="SJY190" s="3"/>
      <c r="SJZ190" s="3"/>
      <c r="SKA190" s="3"/>
      <c r="SKB190" s="3"/>
      <c r="SKC190" s="3"/>
      <c r="SKD190" s="3"/>
      <c r="SKE190" s="3"/>
      <c r="SKF190" s="3"/>
      <c r="SKG190" s="3"/>
      <c r="SKH190" s="3"/>
      <c r="SKI190" s="3"/>
      <c r="SKJ190" s="3"/>
      <c r="SKK190" s="3"/>
      <c r="SKL190" s="3"/>
      <c r="SKM190" s="3"/>
      <c r="SKN190" s="3"/>
      <c r="SKO190" s="3"/>
      <c r="SKP190" s="3"/>
      <c r="SKQ190" s="3"/>
      <c r="SKR190" s="3"/>
      <c r="SKS190" s="3"/>
      <c r="SKT190" s="3"/>
      <c r="SKU190" s="3"/>
      <c r="SKV190" s="3"/>
      <c r="SKW190" s="3"/>
      <c r="SKX190" s="3"/>
      <c r="SKY190" s="3"/>
      <c r="SKZ190" s="3"/>
      <c r="SLA190" s="3"/>
      <c r="SLB190" s="3"/>
      <c r="SLC190" s="3"/>
      <c r="SLD190" s="3"/>
      <c r="SLE190" s="3"/>
      <c r="SLF190" s="3"/>
      <c r="SLG190" s="3"/>
      <c r="SLH190" s="3"/>
      <c r="SLI190" s="3"/>
      <c r="SLJ190" s="3"/>
      <c r="SLK190" s="3"/>
      <c r="SLL190" s="3"/>
      <c r="SLM190" s="3"/>
      <c r="SLN190" s="3"/>
      <c r="SLO190" s="3"/>
      <c r="SLP190" s="3"/>
      <c r="SLQ190" s="3"/>
      <c r="SLR190" s="3"/>
      <c r="SLS190" s="3"/>
      <c r="SLT190" s="3"/>
      <c r="SLU190" s="3"/>
      <c r="SLV190" s="3"/>
      <c r="SLW190" s="3"/>
      <c r="SLX190" s="3"/>
      <c r="SLY190" s="3"/>
      <c r="SLZ190" s="3"/>
      <c r="SMA190" s="3"/>
      <c r="SMB190" s="3"/>
      <c r="SMC190" s="3"/>
      <c r="SMD190" s="3"/>
      <c r="SME190" s="3"/>
      <c r="SMF190" s="3"/>
      <c r="SMG190" s="3"/>
      <c r="SMH190" s="3"/>
      <c r="SMI190" s="3"/>
      <c r="SMJ190" s="3"/>
      <c r="SMK190" s="3"/>
      <c r="SML190" s="3"/>
      <c r="SMM190" s="3"/>
      <c r="SMN190" s="3"/>
      <c r="SMO190" s="3"/>
      <c r="SMP190" s="3"/>
      <c r="SMQ190" s="3"/>
      <c r="SMR190" s="3"/>
      <c r="SMS190" s="3"/>
      <c r="SMT190" s="3"/>
      <c r="SMU190" s="3"/>
      <c r="SMV190" s="3"/>
      <c r="SMW190" s="3"/>
      <c r="SMX190" s="3"/>
      <c r="SMY190" s="3"/>
      <c r="SMZ190" s="3"/>
      <c r="SNA190" s="3"/>
      <c r="SNB190" s="3"/>
      <c r="SNC190" s="3"/>
      <c r="SND190" s="3"/>
      <c r="SNE190" s="3"/>
      <c r="SNF190" s="3"/>
      <c r="SNG190" s="3"/>
      <c r="SNH190" s="3"/>
      <c r="SNI190" s="3"/>
      <c r="SNJ190" s="3"/>
      <c r="SNK190" s="3"/>
      <c r="SNL190" s="3"/>
      <c r="SNM190" s="3"/>
      <c r="SNN190" s="3"/>
      <c r="SNO190" s="3"/>
      <c r="SNP190" s="3"/>
      <c r="SNQ190" s="3"/>
      <c r="SNR190" s="3"/>
      <c r="SNS190" s="3"/>
      <c r="SNT190" s="3"/>
      <c r="SNU190" s="3"/>
      <c r="SNV190" s="3"/>
      <c r="SNW190" s="3"/>
      <c r="SNX190" s="3"/>
      <c r="SNY190" s="3"/>
      <c r="SNZ190" s="3"/>
      <c r="SOA190" s="3"/>
      <c r="SOB190" s="3"/>
      <c r="SOC190" s="3"/>
      <c r="SOD190" s="3"/>
      <c r="SOE190" s="3"/>
      <c r="SOF190" s="3"/>
      <c r="SOG190" s="3"/>
      <c r="SOH190" s="3"/>
      <c r="SOI190" s="3"/>
      <c r="SOJ190" s="3"/>
      <c r="SOK190" s="3"/>
      <c r="SOL190" s="3"/>
      <c r="SOM190" s="3"/>
      <c r="SON190" s="3"/>
      <c r="SOO190" s="3"/>
      <c r="SOP190" s="3"/>
      <c r="SOQ190" s="3"/>
      <c r="SOR190" s="3"/>
      <c r="SOS190" s="3"/>
      <c r="SOT190" s="3"/>
      <c r="SOU190" s="3"/>
      <c r="SOV190" s="3"/>
      <c r="SOW190" s="3"/>
      <c r="SOX190" s="3"/>
      <c r="SOY190" s="3"/>
      <c r="SOZ190" s="3"/>
      <c r="SPA190" s="3"/>
      <c r="SPB190" s="3"/>
      <c r="SPC190" s="3"/>
      <c r="SPD190" s="3"/>
      <c r="SPE190" s="3"/>
      <c r="SPF190" s="3"/>
      <c r="SPG190" s="3"/>
      <c r="SPH190" s="3"/>
      <c r="SPI190" s="3"/>
      <c r="SPJ190" s="3"/>
      <c r="SPK190" s="3"/>
      <c r="SPL190" s="3"/>
      <c r="SPM190" s="3"/>
      <c r="SPN190" s="3"/>
      <c r="SPO190" s="3"/>
      <c r="SPP190" s="3"/>
      <c r="SPQ190" s="3"/>
      <c r="SPR190" s="3"/>
      <c r="SPS190" s="3"/>
      <c r="SPT190" s="3"/>
      <c r="SPU190" s="3"/>
      <c r="SPV190" s="3"/>
      <c r="SPW190" s="3"/>
      <c r="SPX190" s="3"/>
      <c r="SPY190" s="3"/>
      <c r="SPZ190" s="3"/>
      <c r="SQA190" s="3"/>
      <c r="SQB190" s="3"/>
      <c r="SQC190" s="3"/>
      <c r="SQD190" s="3"/>
      <c r="SQE190" s="3"/>
      <c r="SQF190" s="3"/>
      <c r="SQG190" s="3"/>
      <c r="SQH190" s="3"/>
      <c r="SQI190" s="3"/>
      <c r="SQJ190" s="3"/>
      <c r="SQK190" s="3"/>
      <c r="SQL190" s="3"/>
      <c r="SQM190" s="3"/>
      <c r="SQN190" s="3"/>
      <c r="SQO190" s="3"/>
      <c r="SQP190" s="3"/>
      <c r="SQQ190" s="3"/>
      <c r="SQR190" s="3"/>
      <c r="SQS190" s="3"/>
      <c r="SQT190" s="3"/>
      <c r="SQU190" s="3"/>
      <c r="SQV190" s="3"/>
      <c r="SQW190" s="3"/>
      <c r="SQX190" s="3"/>
      <c r="SQY190" s="3"/>
      <c r="SQZ190" s="3"/>
      <c r="SRA190" s="3"/>
      <c r="SRB190" s="3"/>
      <c r="SRC190" s="3"/>
      <c r="SRD190" s="3"/>
      <c r="SRE190" s="3"/>
      <c r="SRF190" s="3"/>
      <c r="SRG190" s="3"/>
      <c r="SRH190" s="3"/>
      <c r="SRI190" s="3"/>
      <c r="SRJ190" s="3"/>
      <c r="SRK190" s="3"/>
      <c r="SRL190" s="3"/>
      <c r="SRM190" s="3"/>
      <c r="SRN190" s="3"/>
      <c r="SRO190" s="3"/>
      <c r="SRP190" s="3"/>
      <c r="SRQ190" s="3"/>
      <c r="SRR190" s="3"/>
      <c r="SRS190" s="3"/>
      <c r="SRT190" s="3"/>
      <c r="SRU190" s="3"/>
      <c r="SRV190" s="3"/>
      <c r="SRW190" s="3"/>
      <c r="SRX190" s="3"/>
      <c r="SRY190" s="3"/>
      <c r="SRZ190" s="3"/>
      <c r="SSA190" s="3"/>
      <c r="SSB190" s="3"/>
      <c r="SSC190" s="3"/>
      <c r="SSD190" s="3"/>
      <c r="SSE190" s="3"/>
      <c r="SSF190" s="3"/>
      <c r="SSG190" s="3"/>
      <c r="SSH190" s="3"/>
      <c r="SSI190" s="3"/>
      <c r="SSJ190" s="3"/>
      <c r="SSK190" s="3"/>
      <c r="SSL190" s="3"/>
      <c r="SSM190" s="3"/>
      <c r="SSN190" s="3"/>
      <c r="SSO190" s="3"/>
      <c r="SSP190" s="3"/>
      <c r="SSQ190" s="3"/>
      <c r="SSR190" s="3"/>
      <c r="SSS190" s="3"/>
      <c r="SST190" s="3"/>
      <c r="SSU190" s="3"/>
      <c r="SSV190" s="3"/>
      <c r="SSW190" s="3"/>
      <c r="SSX190" s="3"/>
      <c r="SSY190" s="3"/>
      <c r="SSZ190" s="3"/>
      <c r="STA190" s="3"/>
      <c r="STB190" s="3"/>
      <c r="STC190" s="3"/>
      <c r="STD190" s="3"/>
      <c r="STE190" s="3"/>
      <c r="STF190" s="3"/>
      <c r="STG190" s="3"/>
      <c r="STH190" s="3"/>
      <c r="STI190" s="3"/>
      <c r="STJ190" s="3"/>
      <c r="STK190" s="3"/>
      <c r="STL190" s="3"/>
      <c r="STM190" s="3"/>
      <c r="STN190" s="3"/>
      <c r="STO190" s="3"/>
      <c r="STP190" s="3"/>
      <c r="STQ190" s="3"/>
      <c r="STR190" s="3"/>
      <c r="STS190" s="3"/>
      <c r="STT190" s="3"/>
      <c r="STU190" s="3"/>
      <c r="STV190" s="3"/>
      <c r="STW190" s="3"/>
      <c r="STX190" s="3"/>
      <c r="STY190" s="3"/>
      <c r="STZ190" s="3"/>
      <c r="SUA190" s="3"/>
      <c r="SUB190" s="3"/>
      <c r="SUC190" s="3"/>
      <c r="SUD190" s="3"/>
      <c r="SUE190" s="3"/>
      <c r="SUF190" s="3"/>
      <c r="SUG190" s="3"/>
      <c r="SUH190" s="3"/>
      <c r="SUI190" s="3"/>
      <c r="SUJ190" s="3"/>
      <c r="SUK190" s="3"/>
      <c r="SUL190" s="3"/>
      <c r="SUM190" s="3"/>
      <c r="SUN190" s="3"/>
      <c r="SUO190" s="3"/>
      <c r="SUP190" s="3"/>
      <c r="SUQ190" s="3"/>
      <c r="SUR190" s="3"/>
      <c r="SUS190" s="3"/>
      <c r="SUT190" s="3"/>
      <c r="SUU190" s="3"/>
      <c r="SUV190" s="3"/>
      <c r="SUW190" s="3"/>
      <c r="SUX190" s="3"/>
      <c r="SUY190" s="3"/>
      <c r="SUZ190" s="3"/>
      <c r="SVA190" s="3"/>
      <c r="SVB190" s="3"/>
      <c r="SVC190" s="3"/>
      <c r="SVD190" s="3"/>
      <c r="SVE190" s="3"/>
      <c r="SVF190" s="3"/>
      <c r="SVG190" s="3"/>
      <c r="SVH190" s="3"/>
      <c r="SVI190" s="3"/>
      <c r="SVJ190" s="3"/>
      <c r="SVK190" s="3"/>
      <c r="SVL190" s="3"/>
      <c r="SVM190" s="3"/>
      <c r="SVN190" s="3"/>
      <c r="SVO190" s="3"/>
      <c r="SVP190" s="3"/>
      <c r="SVQ190" s="3"/>
      <c r="SVR190" s="3"/>
      <c r="SVS190" s="3"/>
      <c r="SVT190" s="3"/>
      <c r="SVU190" s="3"/>
      <c r="SVV190" s="3"/>
      <c r="SVW190" s="3"/>
      <c r="SVX190" s="3"/>
      <c r="SVY190" s="3"/>
      <c r="SVZ190" s="3"/>
      <c r="SWA190" s="3"/>
      <c r="SWB190" s="3"/>
      <c r="SWC190" s="3"/>
      <c r="SWD190" s="3"/>
      <c r="SWE190" s="3"/>
      <c r="SWF190" s="3"/>
      <c r="SWG190" s="3"/>
      <c r="SWH190" s="3"/>
      <c r="SWI190" s="3"/>
      <c r="SWJ190" s="3"/>
      <c r="SWK190" s="3"/>
      <c r="SWL190" s="3"/>
      <c r="SWM190" s="3"/>
      <c r="SWN190" s="3"/>
      <c r="SWO190" s="3"/>
      <c r="SWP190" s="3"/>
      <c r="SWQ190" s="3"/>
      <c r="SWR190" s="3"/>
      <c r="SWS190" s="3"/>
      <c r="SWT190" s="3"/>
      <c r="SWU190" s="3"/>
      <c r="SWV190" s="3"/>
      <c r="SWW190" s="3"/>
      <c r="SWX190" s="3"/>
      <c r="SWY190" s="3"/>
      <c r="SWZ190" s="3"/>
      <c r="SXA190" s="3"/>
      <c r="SXB190" s="3"/>
      <c r="SXC190" s="3"/>
      <c r="SXD190" s="3"/>
      <c r="SXE190" s="3"/>
      <c r="SXF190" s="3"/>
      <c r="SXG190" s="3"/>
      <c r="SXH190" s="3"/>
      <c r="SXI190" s="3"/>
      <c r="SXJ190" s="3"/>
      <c r="SXK190" s="3"/>
      <c r="SXL190" s="3"/>
      <c r="SXM190" s="3"/>
      <c r="SXN190" s="3"/>
      <c r="SXO190" s="3"/>
      <c r="SXP190" s="3"/>
      <c r="SXQ190" s="3"/>
      <c r="SXR190" s="3"/>
      <c r="SXS190" s="3"/>
      <c r="SXT190" s="3"/>
      <c r="SXU190" s="3"/>
      <c r="SXV190" s="3"/>
      <c r="SXW190" s="3"/>
      <c r="SXX190" s="3"/>
      <c r="SXY190" s="3"/>
      <c r="SXZ190" s="3"/>
      <c r="SYA190" s="3"/>
      <c r="SYB190" s="3"/>
      <c r="SYC190" s="3"/>
      <c r="SYD190" s="3"/>
      <c r="SYE190" s="3"/>
      <c r="SYF190" s="3"/>
      <c r="SYG190" s="3"/>
      <c r="SYH190" s="3"/>
      <c r="SYI190" s="3"/>
      <c r="SYJ190" s="3"/>
      <c r="SYK190" s="3"/>
      <c r="SYL190" s="3"/>
      <c r="SYM190" s="3"/>
      <c r="SYN190" s="3"/>
      <c r="SYO190" s="3"/>
      <c r="SYP190" s="3"/>
      <c r="SYQ190" s="3"/>
      <c r="SYR190" s="3"/>
      <c r="SYS190" s="3"/>
      <c r="SYT190" s="3"/>
      <c r="SYU190" s="3"/>
      <c r="SYV190" s="3"/>
      <c r="SYW190" s="3"/>
      <c r="SYX190" s="3"/>
      <c r="SYY190" s="3"/>
      <c r="SYZ190" s="3"/>
      <c r="SZA190" s="3"/>
      <c r="SZB190" s="3"/>
      <c r="SZC190" s="3"/>
      <c r="SZD190" s="3"/>
      <c r="SZE190" s="3"/>
      <c r="SZF190" s="3"/>
      <c r="SZG190" s="3"/>
      <c r="SZH190" s="3"/>
      <c r="SZI190" s="3"/>
      <c r="SZJ190" s="3"/>
      <c r="SZK190" s="3"/>
      <c r="SZL190" s="3"/>
      <c r="SZM190" s="3"/>
      <c r="SZN190" s="3"/>
      <c r="SZO190" s="3"/>
      <c r="SZP190" s="3"/>
      <c r="SZQ190" s="3"/>
      <c r="SZR190" s="3"/>
      <c r="SZS190" s="3"/>
      <c r="SZT190" s="3"/>
      <c r="SZU190" s="3"/>
      <c r="SZV190" s="3"/>
      <c r="SZW190" s="3"/>
      <c r="SZX190" s="3"/>
      <c r="SZY190" s="3"/>
      <c r="SZZ190" s="3"/>
      <c r="TAA190" s="3"/>
      <c r="TAB190" s="3"/>
      <c r="TAC190" s="3"/>
      <c r="TAD190" s="3"/>
      <c r="TAE190" s="3"/>
      <c r="TAF190" s="3"/>
      <c r="TAG190" s="3"/>
      <c r="TAH190" s="3"/>
      <c r="TAI190" s="3"/>
      <c r="TAJ190" s="3"/>
      <c r="TAK190" s="3"/>
      <c r="TAL190" s="3"/>
      <c r="TAM190" s="3"/>
      <c r="TAN190" s="3"/>
      <c r="TAO190" s="3"/>
      <c r="TAP190" s="3"/>
      <c r="TAQ190" s="3"/>
      <c r="TAR190" s="3"/>
      <c r="TAS190" s="3"/>
      <c r="TAT190" s="3"/>
      <c r="TAU190" s="3"/>
      <c r="TAV190" s="3"/>
      <c r="TAW190" s="3"/>
      <c r="TAX190" s="3"/>
      <c r="TAY190" s="3"/>
      <c r="TAZ190" s="3"/>
      <c r="TBA190" s="3"/>
      <c r="TBB190" s="3"/>
      <c r="TBC190" s="3"/>
      <c r="TBD190" s="3"/>
      <c r="TBE190" s="3"/>
      <c r="TBF190" s="3"/>
      <c r="TBG190" s="3"/>
      <c r="TBH190" s="3"/>
      <c r="TBI190" s="3"/>
      <c r="TBJ190" s="3"/>
      <c r="TBK190" s="3"/>
      <c r="TBL190" s="3"/>
      <c r="TBM190" s="3"/>
      <c r="TBN190" s="3"/>
      <c r="TBO190" s="3"/>
      <c r="TBP190" s="3"/>
      <c r="TBQ190" s="3"/>
      <c r="TBR190" s="3"/>
      <c r="TBS190" s="3"/>
      <c r="TBT190" s="3"/>
      <c r="TBU190" s="3"/>
      <c r="TBV190" s="3"/>
      <c r="TBW190" s="3"/>
      <c r="TBX190" s="3"/>
      <c r="TBY190" s="3"/>
      <c r="TBZ190" s="3"/>
      <c r="TCA190" s="3"/>
      <c r="TCB190" s="3"/>
      <c r="TCC190" s="3"/>
      <c r="TCD190" s="3"/>
      <c r="TCE190" s="3"/>
      <c r="TCF190" s="3"/>
      <c r="TCG190" s="3"/>
      <c r="TCH190" s="3"/>
      <c r="TCI190" s="3"/>
      <c r="TCJ190" s="3"/>
      <c r="TCK190" s="3"/>
      <c r="TCL190" s="3"/>
      <c r="TCM190" s="3"/>
      <c r="TCN190" s="3"/>
      <c r="TCO190" s="3"/>
      <c r="TCP190" s="3"/>
      <c r="TCQ190" s="3"/>
      <c r="TCR190" s="3"/>
      <c r="TCS190" s="3"/>
      <c r="TCT190" s="3"/>
      <c r="TCU190" s="3"/>
      <c r="TCV190" s="3"/>
      <c r="TCW190" s="3"/>
      <c r="TCX190" s="3"/>
      <c r="TCY190" s="3"/>
      <c r="TCZ190" s="3"/>
      <c r="TDA190" s="3"/>
      <c r="TDB190" s="3"/>
      <c r="TDC190" s="3"/>
      <c r="TDD190" s="3"/>
      <c r="TDE190" s="3"/>
      <c r="TDF190" s="3"/>
      <c r="TDG190" s="3"/>
      <c r="TDH190" s="3"/>
      <c r="TDI190" s="3"/>
      <c r="TDJ190" s="3"/>
      <c r="TDK190" s="3"/>
      <c r="TDL190" s="3"/>
      <c r="TDM190" s="3"/>
      <c r="TDN190" s="3"/>
      <c r="TDO190" s="3"/>
      <c r="TDP190" s="3"/>
      <c r="TDQ190" s="3"/>
      <c r="TDR190" s="3"/>
      <c r="TDS190" s="3"/>
      <c r="TDT190" s="3"/>
      <c r="TDU190" s="3"/>
      <c r="TDV190" s="3"/>
      <c r="TDW190" s="3"/>
      <c r="TDX190" s="3"/>
      <c r="TDY190" s="3"/>
      <c r="TDZ190" s="3"/>
      <c r="TEA190" s="3"/>
      <c r="TEB190" s="3"/>
      <c r="TEC190" s="3"/>
      <c r="TED190" s="3"/>
      <c r="TEE190" s="3"/>
      <c r="TEF190" s="3"/>
      <c r="TEG190" s="3"/>
      <c r="TEH190" s="3"/>
      <c r="TEI190" s="3"/>
      <c r="TEJ190" s="3"/>
      <c r="TEK190" s="3"/>
      <c r="TEL190" s="3"/>
      <c r="TEM190" s="3"/>
      <c r="TEN190" s="3"/>
      <c r="TEO190" s="3"/>
      <c r="TEP190" s="3"/>
      <c r="TEQ190" s="3"/>
      <c r="TER190" s="3"/>
      <c r="TES190" s="3"/>
      <c r="TET190" s="3"/>
      <c r="TEU190" s="3"/>
      <c r="TEV190" s="3"/>
      <c r="TEW190" s="3"/>
      <c r="TEX190" s="3"/>
      <c r="TEY190" s="3"/>
      <c r="TEZ190" s="3"/>
      <c r="TFA190" s="3"/>
      <c r="TFB190" s="3"/>
      <c r="TFC190" s="3"/>
      <c r="TFD190" s="3"/>
      <c r="TFE190" s="3"/>
      <c r="TFF190" s="3"/>
      <c r="TFG190" s="3"/>
      <c r="TFH190" s="3"/>
      <c r="TFI190" s="3"/>
      <c r="TFJ190" s="3"/>
      <c r="TFK190" s="3"/>
      <c r="TFL190" s="3"/>
      <c r="TFM190" s="3"/>
      <c r="TFN190" s="3"/>
      <c r="TFO190" s="3"/>
      <c r="TFP190" s="3"/>
      <c r="TFQ190" s="3"/>
      <c r="TFR190" s="3"/>
      <c r="TFS190" s="3"/>
      <c r="TFT190" s="3"/>
      <c r="TFU190" s="3"/>
      <c r="TFV190" s="3"/>
      <c r="TFW190" s="3"/>
      <c r="TFX190" s="3"/>
      <c r="TFY190" s="3"/>
      <c r="TFZ190" s="3"/>
      <c r="TGA190" s="3"/>
      <c r="TGB190" s="3"/>
      <c r="TGC190" s="3"/>
      <c r="TGD190" s="3"/>
      <c r="TGE190" s="3"/>
      <c r="TGF190" s="3"/>
      <c r="TGG190" s="3"/>
      <c r="TGH190" s="3"/>
      <c r="TGI190" s="3"/>
      <c r="TGJ190" s="3"/>
      <c r="TGK190" s="3"/>
      <c r="TGL190" s="3"/>
      <c r="TGM190" s="3"/>
      <c r="TGN190" s="3"/>
      <c r="TGO190" s="3"/>
      <c r="TGP190" s="3"/>
      <c r="TGQ190" s="3"/>
      <c r="TGR190" s="3"/>
      <c r="TGS190" s="3"/>
      <c r="TGT190" s="3"/>
      <c r="TGU190" s="3"/>
      <c r="TGV190" s="3"/>
      <c r="TGW190" s="3"/>
      <c r="TGX190" s="3"/>
      <c r="TGY190" s="3"/>
      <c r="TGZ190" s="3"/>
      <c r="THA190" s="3"/>
      <c r="THB190" s="3"/>
      <c r="THC190" s="3"/>
      <c r="THD190" s="3"/>
      <c r="THE190" s="3"/>
      <c r="THF190" s="3"/>
      <c r="THG190" s="3"/>
      <c r="THH190" s="3"/>
      <c r="THI190" s="3"/>
      <c r="THJ190" s="3"/>
      <c r="THK190" s="3"/>
      <c r="THL190" s="3"/>
      <c r="THM190" s="3"/>
      <c r="THN190" s="3"/>
      <c r="THO190" s="3"/>
      <c r="THP190" s="3"/>
      <c r="THQ190" s="3"/>
      <c r="THR190" s="3"/>
      <c r="THS190" s="3"/>
      <c r="THT190" s="3"/>
      <c r="THU190" s="3"/>
      <c r="THV190" s="3"/>
      <c r="THW190" s="3"/>
      <c r="THX190" s="3"/>
      <c r="THY190" s="3"/>
      <c r="THZ190" s="3"/>
      <c r="TIA190" s="3"/>
      <c r="TIB190" s="3"/>
      <c r="TIC190" s="3"/>
      <c r="TID190" s="3"/>
      <c r="TIE190" s="3"/>
      <c r="TIF190" s="3"/>
      <c r="TIG190" s="3"/>
      <c r="TIH190" s="3"/>
      <c r="TII190" s="3"/>
      <c r="TIJ190" s="3"/>
      <c r="TIK190" s="3"/>
      <c r="TIL190" s="3"/>
      <c r="TIM190" s="3"/>
      <c r="TIN190" s="3"/>
      <c r="TIO190" s="3"/>
      <c r="TIP190" s="3"/>
      <c r="TIQ190" s="3"/>
      <c r="TIR190" s="3"/>
      <c r="TIS190" s="3"/>
      <c r="TIT190" s="3"/>
      <c r="TIU190" s="3"/>
      <c r="TIV190" s="3"/>
      <c r="TIW190" s="3"/>
      <c r="TIX190" s="3"/>
      <c r="TIY190" s="3"/>
      <c r="TIZ190" s="3"/>
      <c r="TJA190" s="3"/>
      <c r="TJB190" s="3"/>
      <c r="TJC190" s="3"/>
      <c r="TJD190" s="3"/>
      <c r="TJE190" s="3"/>
      <c r="TJF190" s="3"/>
      <c r="TJG190" s="3"/>
      <c r="TJH190" s="3"/>
      <c r="TJI190" s="3"/>
      <c r="TJJ190" s="3"/>
      <c r="TJK190" s="3"/>
      <c r="TJL190" s="3"/>
      <c r="TJM190" s="3"/>
      <c r="TJN190" s="3"/>
      <c r="TJO190" s="3"/>
      <c r="TJP190" s="3"/>
      <c r="TJQ190" s="3"/>
      <c r="TJR190" s="3"/>
      <c r="TJS190" s="3"/>
      <c r="TJT190" s="3"/>
      <c r="TJU190" s="3"/>
      <c r="TJV190" s="3"/>
      <c r="TJW190" s="3"/>
      <c r="TJX190" s="3"/>
      <c r="TJY190" s="3"/>
      <c r="TJZ190" s="3"/>
      <c r="TKA190" s="3"/>
      <c r="TKB190" s="3"/>
      <c r="TKC190" s="3"/>
      <c r="TKD190" s="3"/>
      <c r="TKE190" s="3"/>
      <c r="TKF190" s="3"/>
      <c r="TKG190" s="3"/>
      <c r="TKH190" s="3"/>
      <c r="TKI190" s="3"/>
      <c r="TKJ190" s="3"/>
      <c r="TKK190" s="3"/>
      <c r="TKL190" s="3"/>
      <c r="TKM190" s="3"/>
      <c r="TKN190" s="3"/>
      <c r="TKO190" s="3"/>
      <c r="TKP190" s="3"/>
      <c r="TKQ190" s="3"/>
      <c r="TKR190" s="3"/>
      <c r="TKS190" s="3"/>
      <c r="TKT190" s="3"/>
      <c r="TKU190" s="3"/>
      <c r="TKV190" s="3"/>
      <c r="TKW190" s="3"/>
      <c r="TKX190" s="3"/>
      <c r="TKY190" s="3"/>
      <c r="TKZ190" s="3"/>
      <c r="TLA190" s="3"/>
      <c r="TLB190" s="3"/>
      <c r="TLC190" s="3"/>
      <c r="TLD190" s="3"/>
      <c r="TLE190" s="3"/>
      <c r="TLF190" s="3"/>
      <c r="TLG190" s="3"/>
      <c r="TLH190" s="3"/>
      <c r="TLI190" s="3"/>
      <c r="TLJ190" s="3"/>
      <c r="TLK190" s="3"/>
      <c r="TLL190" s="3"/>
      <c r="TLM190" s="3"/>
      <c r="TLN190" s="3"/>
      <c r="TLO190" s="3"/>
      <c r="TLP190" s="3"/>
      <c r="TLQ190" s="3"/>
      <c r="TLR190" s="3"/>
      <c r="TLS190" s="3"/>
      <c r="TLT190" s="3"/>
      <c r="TLU190" s="3"/>
      <c r="TLV190" s="3"/>
      <c r="TLW190" s="3"/>
      <c r="TLX190" s="3"/>
      <c r="TLY190" s="3"/>
      <c r="TLZ190" s="3"/>
      <c r="TMA190" s="3"/>
      <c r="TMB190" s="3"/>
      <c r="TMC190" s="3"/>
      <c r="TMD190" s="3"/>
      <c r="TME190" s="3"/>
      <c r="TMF190" s="3"/>
      <c r="TMG190" s="3"/>
      <c r="TMH190" s="3"/>
      <c r="TMI190" s="3"/>
      <c r="TMJ190" s="3"/>
      <c r="TMK190" s="3"/>
      <c r="TML190" s="3"/>
      <c r="TMM190" s="3"/>
      <c r="TMN190" s="3"/>
      <c r="TMO190" s="3"/>
      <c r="TMP190" s="3"/>
      <c r="TMQ190" s="3"/>
      <c r="TMR190" s="3"/>
      <c r="TMS190" s="3"/>
      <c r="TMT190" s="3"/>
      <c r="TMU190" s="3"/>
      <c r="TMV190" s="3"/>
      <c r="TMW190" s="3"/>
      <c r="TMX190" s="3"/>
      <c r="TMY190" s="3"/>
      <c r="TMZ190" s="3"/>
      <c r="TNA190" s="3"/>
      <c r="TNB190" s="3"/>
      <c r="TNC190" s="3"/>
      <c r="TND190" s="3"/>
      <c r="TNE190" s="3"/>
      <c r="TNF190" s="3"/>
      <c r="TNG190" s="3"/>
      <c r="TNH190" s="3"/>
      <c r="TNI190" s="3"/>
      <c r="TNJ190" s="3"/>
      <c r="TNK190" s="3"/>
      <c r="TNL190" s="3"/>
      <c r="TNM190" s="3"/>
      <c r="TNN190" s="3"/>
      <c r="TNO190" s="3"/>
      <c r="TNP190" s="3"/>
      <c r="TNQ190" s="3"/>
      <c r="TNR190" s="3"/>
      <c r="TNS190" s="3"/>
      <c r="TNT190" s="3"/>
      <c r="TNU190" s="3"/>
      <c r="TNV190" s="3"/>
      <c r="TNW190" s="3"/>
      <c r="TNX190" s="3"/>
      <c r="TNY190" s="3"/>
      <c r="TNZ190" s="3"/>
      <c r="TOA190" s="3"/>
      <c r="TOB190" s="3"/>
      <c r="TOC190" s="3"/>
      <c r="TOD190" s="3"/>
      <c r="TOE190" s="3"/>
      <c r="TOF190" s="3"/>
      <c r="TOG190" s="3"/>
      <c r="TOH190" s="3"/>
      <c r="TOI190" s="3"/>
      <c r="TOJ190" s="3"/>
      <c r="TOK190" s="3"/>
      <c r="TOL190" s="3"/>
      <c r="TOM190" s="3"/>
      <c r="TON190" s="3"/>
      <c r="TOO190" s="3"/>
      <c r="TOP190" s="3"/>
      <c r="TOQ190" s="3"/>
      <c r="TOR190" s="3"/>
      <c r="TOS190" s="3"/>
      <c r="TOT190" s="3"/>
      <c r="TOU190" s="3"/>
      <c r="TOV190" s="3"/>
      <c r="TOW190" s="3"/>
      <c r="TOX190" s="3"/>
      <c r="TOY190" s="3"/>
      <c r="TOZ190" s="3"/>
      <c r="TPA190" s="3"/>
      <c r="TPB190" s="3"/>
      <c r="TPC190" s="3"/>
      <c r="TPD190" s="3"/>
      <c r="TPE190" s="3"/>
      <c r="TPF190" s="3"/>
      <c r="TPG190" s="3"/>
      <c r="TPH190" s="3"/>
      <c r="TPI190" s="3"/>
      <c r="TPJ190" s="3"/>
      <c r="TPK190" s="3"/>
      <c r="TPL190" s="3"/>
      <c r="TPM190" s="3"/>
      <c r="TPN190" s="3"/>
      <c r="TPO190" s="3"/>
      <c r="TPP190" s="3"/>
      <c r="TPQ190" s="3"/>
      <c r="TPR190" s="3"/>
      <c r="TPS190" s="3"/>
      <c r="TPT190" s="3"/>
      <c r="TPU190" s="3"/>
      <c r="TPV190" s="3"/>
      <c r="TPW190" s="3"/>
      <c r="TPX190" s="3"/>
      <c r="TPY190" s="3"/>
      <c r="TPZ190" s="3"/>
      <c r="TQA190" s="3"/>
      <c r="TQB190" s="3"/>
      <c r="TQC190" s="3"/>
      <c r="TQD190" s="3"/>
      <c r="TQE190" s="3"/>
      <c r="TQF190" s="3"/>
      <c r="TQG190" s="3"/>
      <c r="TQH190" s="3"/>
      <c r="TQI190" s="3"/>
      <c r="TQJ190" s="3"/>
      <c r="TQK190" s="3"/>
      <c r="TQL190" s="3"/>
      <c r="TQM190" s="3"/>
      <c r="TQN190" s="3"/>
      <c r="TQO190" s="3"/>
      <c r="TQP190" s="3"/>
      <c r="TQQ190" s="3"/>
      <c r="TQR190" s="3"/>
      <c r="TQS190" s="3"/>
      <c r="TQT190" s="3"/>
      <c r="TQU190" s="3"/>
      <c r="TQV190" s="3"/>
      <c r="TQW190" s="3"/>
      <c r="TQX190" s="3"/>
      <c r="TQY190" s="3"/>
      <c r="TQZ190" s="3"/>
      <c r="TRA190" s="3"/>
      <c r="TRB190" s="3"/>
      <c r="TRC190" s="3"/>
      <c r="TRD190" s="3"/>
      <c r="TRE190" s="3"/>
      <c r="TRF190" s="3"/>
      <c r="TRG190" s="3"/>
      <c r="TRH190" s="3"/>
      <c r="TRI190" s="3"/>
      <c r="TRJ190" s="3"/>
      <c r="TRK190" s="3"/>
      <c r="TRL190" s="3"/>
      <c r="TRM190" s="3"/>
      <c r="TRN190" s="3"/>
      <c r="TRO190" s="3"/>
      <c r="TRP190" s="3"/>
      <c r="TRQ190" s="3"/>
      <c r="TRR190" s="3"/>
      <c r="TRS190" s="3"/>
      <c r="TRT190" s="3"/>
      <c r="TRU190" s="3"/>
      <c r="TRV190" s="3"/>
      <c r="TRW190" s="3"/>
      <c r="TRX190" s="3"/>
      <c r="TRY190" s="3"/>
      <c r="TRZ190" s="3"/>
      <c r="TSA190" s="3"/>
      <c r="TSB190" s="3"/>
      <c r="TSC190" s="3"/>
      <c r="TSD190" s="3"/>
      <c r="TSE190" s="3"/>
      <c r="TSF190" s="3"/>
      <c r="TSG190" s="3"/>
      <c r="TSH190" s="3"/>
      <c r="TSI190" s="3"/>
      <c r="TSJ190" s="3"/>
      <c r="TSK190" s="3"/>
      <c r="TSL190" s="3"/>
      <c r="TSM190" s="3"/>
      <c r="TSN190" s="3"/>
      <c r="TSO190" s="3"/>
      <c r="TSP190" s="3"/>
      <c r="TSQ190" s="3"/>
      <c r="TSR190" s="3"/>
      <c r="TSS190" s="3"/>
      <c r="TST190" s="3"/>
      <c r="TSU190" s="3"/>
      <c r="TSV190" s="3"/>
      <c r="TSW190" s="3"/>
      <c r="TSX190" s="3"/>
      <c r="TSY190" s="3"/>
      <c r="TSZ190" s="3"/>
      <c r="TTA190" s="3"/>
      <c r="TTB190" s="3"/>
      <c r="TTC190" s="3"/>
      <c r="TTD190" s="3"/>
      <c r="TTE190" s="3"/>
      <c r="TTF190" s="3"/>
      <c r="TTG190" s="3"/>
      <c r="TTH190" s="3"/>
      <c r="TTI190" s="3"/>
      <c r="TTJ190" s="3"/>
      <c r="TTK190" s="3"/>
      <c r="TTL190" s="3"/>
      <c r="TTM190" s="3"/>
      <c r="TTN190" s="3"/>
      <c r="TTO190" s="3"/>
      <c r="TTP190" s="3"/>
      <c r="TTQ190" s="3"/>
      <c r="TTR190" s="3"/>
      <c r="TTS190" s="3"/>
      <c r="TTT190" s="3"/>
      <c r="TTU190" s="3"/>
      <c r="TTV190" s="3"/>
      <c r="TTW190" s="3"/>
      <c r="TTX190" s="3"/>
      <c r="TTY190" s="3"/>
      <c r="TTZ190" s="3"/>
      <c r="TUA190" s="3"/>
      <c r="TUB190" s="3"/>
      <c r="TUC190" s="3"/>
      <c r="TUD190" s="3"/>
      <c r="TUE190" s="3"/>
      <c r="TUF190" s="3"/>
      <c r="TUG190" s="3"/>
      <c r="TUH190" s="3"/>
      <c r="TUI190" s="3"/>
      <c r="TUJ190" s="3"/>
      <c r="TUK190" s="3"/>
      <c r="TUL190" s="3"/>
      <c r="TUM190" s="3"/>
      <c r="TUN190" s="3"/>
      <c r="TUO190" s="3"/>
      <c r="TUP190" s="3"/>
      <c r="TUQ190" s="3"/>
      <c r="TUR190" s="3"/>
      <c r="TUS190" s="3"/>
      <c r="TUT190" s="3"/>
      <c r="TUU190" s="3"/>
      <c r="TUV190" s="3"/>
      <c r="TUW190" s="3"/>
      <c r="TUX190" s="3"/>
      <c r="TUY190" s="3"/>
      <c r="TUZ190" s="3"/>
      <c r="TVA190" s="3"/>
      <c r="TVB190" s="3"/>
      <c r="TVC190" s="3"/>
      <c r="TVD190" s="3"/>
      <c r="TVE190" s="3"/>
      <c r="TVF190" s="3"/>
      <c r="TVG190" s="3"/>
      <c r="TVH190" s="3"/>
      <c r="TVI190" s="3"/>
      <c r="TVJ190" s="3"/>
      <c r="TVK190" s="3"/>
      <c r="TVL190" s="3"/>
      <c r="TVM190" s="3"/>
      <c r="TVN190" s="3"/>
      <c r="TVO190" s="3"/>
      <c r="TVP190" s="3"/>
      <c r="TVQ190" s="3"/>
      <c r="TVR190" s="3"/>
      <c r="TVS190" s="3"/>
      <c r="TVT190" s="3"/>
      <c r="TVU190" s="3"/>
      <c r="TVV190" s="3"/>
      <c r="TVW190" s="3"/>
      <c r="TVX190" s="3"/>
      <c r="TVY190" s="3"/>
      <c r="TVZ190" s="3"/>
      <c r="TWA190" s="3"/>
      <c r="TWB190" s="3"/>
      <c r="TWC190" s="3"/>
      <c r="TWD190" s="3"/>
      <c r="TWE190" s="3"/>
      <c r="TWF190" s="3"/>
      <c r="TWG190" s="3"/>
      <c r="TWH190" s="3"/>
      <c r="TWI190" s="3"/>
      <c r="TWJ190" s="3"/>
      <c r="TWK190" s="3"/>
      <c r="TWL190" s="3"/>
      <c r="TWM190" s="3"/>
      <c r="TWN190" s="3"/>
      <c r="TWO190" s="3"/>
      <c r="TWP190" s="3"/>
      <c r="TWQ190" s="3"/>
      <c r="TWR190" s="3"/>
      <c r="TWS190" s="3"/>
      <c r="TWT190" s="3"/>
      <c r="TWU190" s="3"/>
      <c r="TWV190" s="3"/>
      <c r="TWW190" s="3"/>
      <c r="TWX190" s="3"/>
      <c r="TWY190" s="3"/>
      <c r="TWZ190" s="3"/>
      <c r="TXA190" s="3"/>
      <c r="TXB190" s="3"/>
      <c r="TXC190" s="3"/>
      <c r="TXD190" s="3"/>
      <c r="TXE190" s="3"/>
      <c r="TXF190" s="3"/>
      <c r="TXG190" s="3"/>
      <c r="TXH190" s="3"/>
      <c r="TXI190" s="3"/>
      <c r="TXJ190" s="3"/>
      <c r="TXK190" s="3"/>
      <c r="TXL190" s="3"/>
      <c r="TXM190" s="3"/>
      <c r="TXN190" s="3"/>
      <c r="TXO190" s="3"/>
      <c r="TXP190" s="3"/>
      <c r="TXQ190" s="3"/>
      <c r="TXR190" s="3"/>
      <c r="TXS190" s="3"/>
      <c r="TXT190" s="3"/>
      <c r="TXU190" s="3"/>
      <c r="TXV190" s="3"/>
      <c r="TXW190" s="3"/>
      <c r="TXX190" s="3"/>
      <c r="TXY190" s="3"/>
      <c r="TXZ190" s="3"/>
      <c r="TYA190" s="3"/>
      <c r="TYB190" s="3"/>
      <c r="TYC190" s="3"/>
      <c r="TYD190" s="3"/>
      <c r="TYE190" s="3"/>
      <c r="TYF190" s="3"/>
      <c r="TYG190" s="3"/>
      <c r="TYH190" s="3"/>
      <c r="TYI190" s="3"/>
      <c r="TYJ190" s="3"/>
      <c r="TYK190" s="3"/>
      <c r="TYL190" s="3"/>
      <c r="TYM190" s="3"/>
      <c r="TYN190" s="3"/>
      <c r="TYO190" s="3"/>
      <c r="TYP190" s="3"/>
      <c r="TYQ190" s="3"/>
      <c r="TYR190" s="3"/>
      <c r="TYS190" s="3"/>
      <c r="TYT190" s="3"/>
      <c r="TYU190" s="3"/>
      <c r="TYV190" s="3"/>
      <c r="TYW190" s="3"/>
      <c r="TYX190" s="3"/>
      <c r="TYY190" s="3"/>
      <c r="TYZ190" s="3"/>
      <c r="TZA190" s="3"/>
      <c r="TZB190" s="3"/>
      <c r="TZC190" s="3"/>
      <c r="TZD190" s="3"/>
      <c r="TZE190" s="3"/>
      <c r="TZF190" s="3"/>
      <c r="TZG190" s="3"/>
      <c r="TZH190" s="3"/>
      <c r="TZI190" s="3"/>
      <c r="TZJ190" s="3"/>
      <c r="TZK190" s="3"/>
      <c r="TZL190" s="3"/>
      <c r="TZM190" s="3"/>
      <c r="TZN190" s="3"/>
      <c r="TZO190" s="3"/>
      <c r="TZP190" s="3"/>
      <c r="TZQ190" s="3"/>
      <c r="TZR190" s="3"/>
      <c r="TZS190" s="3"/>
      <c r="TZT190" s="3"/>
      <c r="TZU190" s="3"/>
      <c r="TZV190" s="3"/>
      <c r="TZW190" s="3"/>
      <c r="TZX190" s="3"/>
      <c r="TZY190" s="3"/>
      <c r="TZZ190" s="3"/>
      <c r="UAA190" s="3"/>
      <c r="UAB190" s="3"/>
      <c r="UAC190" s="3"/>
      <c r="UAD190" s="3"/>
      <c r="UAE190" s="3"/>
      <c r="UAF190" s="3"/>
      <c r="UAG190" s="3"/>
      <c r="UAH190" s="3"/>
      <c r="UAI190" s="3"/>
      <c r="UAJ190" s="3"/>
      <c r="UAK190" s="3"/>
      <c r="UAL190" s="3"/>
      <c r="UAM190" s="3"/>
      <c r="UAN190" s="3"/>
      <c r="UAO190" s="3"/>
      <c r="UAP190" s="3"/>
      <c r="UAQ190" s="3"/>
      <c r="UAR190" s="3"/>
      <c r="UAS190" s="3"/>
      <c r="UAT190" s="3"/>
      <c r="UAU190" s="3"/>
      <c r="UAV190" s="3"/>
      <c r="UAW190" s="3"/>
      <c r="UAX190" s="3"/>
      <c r="UAY190" s="3"/>
      <c r="UAZ190" s="3"/>
      <c r="UBA190" s="3"/>
      <c r="UBB190" s="3"/>
      <c r="UBC190" s="3"/>
      <c r="UBD190" s="3"/>
      <c r="UBE190" s="3"/>
      <c r="UBF190" s="3"/>
      <c r="UBG190" s="3"/>
      <c r="UBH190" s="3"/>
      <c r="UBI190" s="3"/>
      <c r="UBJ190" s="3"/>
      <c r="UBK190" s="3"/>
      <c r="UBL190" s="3"/>
      <c r="UBM190" s="3"/>
      <c r="UBN190" s="3"/>
      <c r="UBO190" s="3"/>
      <c r="UBP190" s="3"/>
      <c r="UBQ190" s="3"/>
      <c r="UBR190" s="3"/>
      <c r="UBS190" s="3"/>
      <c r="UBT190" s="3"/>
      <c r="UBU190" s="3"/>
      <c r="UBV190" s="3"/>
      <c r="UBW190" s="3"/>
      <c r="UBX190" s="3"/>
      <c r="UBY190" s="3"/>
      <c r="UBZ190" s="3"/>
      <c r="UCA190" s="3"/>
      <c r="UCB190" s="3"/>
      <c r="UCC190" s="3"/>
      <c r="UCD190" s="3"/>
      <c r="UCE190" s="3"/>
      <c r="UCF190" s="3"/>
      <c r="UCG190" s="3"/>
      <c r="UCH190" s="3"/>
      <c r="UCI190" s="3"/>
      <c r="UCJ190" s="3"/>
      <c r="UCK190" s="3"/>
      <c r="UCL190" s="3"/>
      <c r="UCM190" s="3"/>
      <c r="UCN190" s="3"/>
      <c r="UCO190" s="3"/>
      <c r="UCP190" s="3"/>
      <c r="UCQ190" s="3"/>
      <c r="UCR190" s="3"/>
      <c r="UCS190" s="3"/>
      <c r="UCT190" s="3"/>
      <c r="UCU190" s="3"/>
      <c r="UCV190" s="3"/>
      <c r="UCW190" s="3"/>
      <c r="UCX190" s="3"/>
      <c r="UCY190" s="3"/>
      <c r="UCZ190" s="3"/>
      <c r="UDA190" s="3"/>
      <c r="UDB190" s="3"/>
      <c r="UDC190" s="3"/>
      <c r="UDD190" s="3"/>
      <c r="UDE190" s="3"/>
      <c r="UDF190" s="3"/>
      <c r="UDG190" s="3"/>
      <c r="UDH190" s="3"/>
      <c r="UDI190" s="3"/>
      <c r="UDJ190" s="3"/>
      <c r="UDK190" s="3"/>
      <c r="UDL190" s="3"/>
      <c r="UDM190" s="3"/>
      <c r="UDN190" s="3"/>
      <c r="UDO190" s="3"/>
      <c r="UDP190" s="3"/>
      <c r="UDQ190" s="3"/>
      <c r="UDR190" s="3"/>
      <c r="UDS190" s="3"/>
      <c r="UDT190" s="3"/>
      <c r="UDU190" s="3"/>
      <c r="UDV190" s="3"/>
      <c r="UDW190" s="3"/>
      <c r="UDX190" s="3"/>
      <c r="UDY190" s="3"/>
      <c r="UDZ190" s="3"/>
      <c r="UEA190" s="3"/>
      <c r="UEB190" s="3"/>
      <c r="UEC190" s="3"/>
      <c r="UED190" s="3"/>
      <c r="UEE190" s="3"/>
      <c r="UEF190" s="3"/>
      <c r="UEG190" s="3"/>
      <c r="UEH190" s="3"/>
      <c r="UEI190" s="3"/>
      <c r="UEJ190" s="3"/>
      <c r="UEK190" s="3"/>
      <c r="UEL190" s="3"/>
      <c r="UEM190" s="3"/>
      <c r="UEN190" s="3"/>
      <c r="UEO190" s="3"/>
      <c r="UEP190" s="3"/>
      <c r="UEQ190" s="3"/>
      <c r="UER190" s="3"/>
      <c r="UES190" s="3"/>
      <c r="UET190" s="3"/>
      <c r="UEU190" s="3"/>
      <c r="UEV190" s="3"/>
      <c r="UEW190" s="3"/>
      <c r="UEX190" s="3"/>
      <c r="UEY190" s="3"/>
      <c r="UEZ190" s="3"/>
      <c r="UFA190" s="3"/>
      <c r="UFB190" s="3"/>
      <c r="UFC190" s="3"/>
      <c r="UFD190" s="3"/>
      <c r="UFE190" s="3"/>
      <c r="UFF190" s="3"/>
      <c r="UFG190" s="3"/>
      <c r="UFH190" s="3"/>
      <c r="UFI190" s="3"/>
      <c r="UFJ190" s="3"/>
      <c r="UFK190" s="3"/>
      <c r="UFL190" s="3"/>
      <c r="UFM190" s="3"/>
      <c r="UFN190" s="3"/>
      <c r="UFO190" s="3"/>
      <c r="UFP190" s="3"/>
      <c r="UFQ190" s="3"/>
      <c r="UFR190" s="3"/>
      <c r="UFS190" s="3"/>
      <c r="UFT190" s="3"/>
      <c r="UFU190" s="3"/>
      <c r="UFV190" s="3"/>
      <c r="UFW190" s="3"/>
      <c r="UFX190" s="3"/>
      <c r="UFY190" s="3"/>
      <c r="UFZ190" s="3"/>
      <c r="UGA190" s="3"/>
      <c r="UGB190" s="3"/>
      <c r="UGC190" s="3"/>
      <c r="UGD190" s="3"/>
      <c r="UGE190" s="3"/>
      <c r="UGF190" s="3"/>
      <c r="UGG190" s="3"/>
      <c r="UGH190" s="3"/>
      <c r="UGI190" s="3"/>
      <c r="UGJ190" s="3"/>
      <c r="UGK190" s="3"/>
      <c r="UGL190" s="3"/>
      <c r="UGM190" s="3"/>
      <c r="UGN190" s="3"/>
      <c r="UGO190" s="3"/>
      <c r="UGP190" s="3"/>
      <c r="UGQ190" s="3"/>
      <c r="UGR190" s="3"/>
      <c r="UGS190" s="3"/>
      <c r="UGT190" s="3"/>
      <c r="UGU190" s="3"/>
      <c r="UGV190" s="3"/>
      <c r="UGW190" s="3"/>
      <c r="UGX190" s="3"/>
      <c r="UGY190" s="3"/>
      <c r="UGZ190" s="3"/>
      <c r="UHA190" s="3"/>
      <c r="UHB190" s="3"/>
      <c r="UHC190" s="3"/>
      <c r="UHD190" s="3"/>
      <c r="UHE190" s="3"/>
      <c r="UHF190" s="3"/>
      <c r="UHG190" s="3"/>
      <c r="UHH190" s="3"/>
      <c r="UHI190" s="3"/>
      <c r="UHJ190" s="3"/>
      <c r="UHK190" s="3"/>
      <c r="UHL190" s="3"/>
      <c r="UHM190" s="3"/>
      <c r="UHN190" s="3"/>
      <c r="UHO190" s="3"/>
      <c r="UHP190" s="3"/>
      <c r="UHQ190" s="3"/>
      <c r="UHR190" s="3"/>
      <c r="UHS190" s="3"/>
      <c r="UHT190" s="3"/>
      <c r="UHU190" s="3"/>
      <c r="UHV190" s="3"/>
      <c r="UHW190" s="3"/>
      <c r="UHX190" s="3"/>
      <c r="UHY190" s="3"/>
      <c r="UHZ190" s="3"/>
      <c r="UIA190" s="3"/>
      <c r="UIB190" s="3"/>
      <c r="UIC190" s="3"/>
      <c r="UID190" s="3"/>
      <c r="UIE190" s="3"/>
      <c r="UIF190" s="3"/>
      <c r="UIG190" s="3"/>
      <c r="UIH190" s="3"/>
      <c r="UII190" s="3"/>
      <c r="UIJ190" s="3"/>
      <c r="UIK190" s="3"/>
      <c r="UIL190" s="3"/>
      <c r="UIM190" s="3"/>
      <c r="UIN190" s="3"/>
      <c r="UIO190" s="3"/>
      <c r="UIP190" s="3"/>
      <c r="UIQ190" s="3"/>
      <c r="UIR190" s="3"/>
      <c r="UIS190" s="3"/>
      <c r="UIT190" s="3"/>
      <c r="UIU190" s="3"/>
      <c r="UIV190" s="3"/>
      <c r="UIW190" s="3"/>
      <c r="UIX190" s="3"/>
      <c r="UIY190" s="3"/>
      <c r="UIZ190" s="3"/>
      <c r="UJA190" s="3"/>
      <c r="UJB190" s="3"/>
      <c r="UJC190" s="3"/>
      <c r="UJD190" s="3"/>
      <c r="UJE190" s="3"/>
      <c r="UJF190" s="3"/>
      <c r="UJG190" s="3"/>
      <c r="UJH190" s="3"/>
      <c r="UJI190" s="3"/>
      <c r="UJJ190" s="3"/>
      <c r="UJK190" s="3"/>
      <c r="UJL190" s="3"/>
      <c r="UJM190" s="3"/>
      <c r="UJN190" s="3"/>
      <c r="UJO190" s="3"/>
      <c r="UJP190" s="3"/>
      <c r="UJQ190" s="3"/>
      <c r="UJR190" s="3"/>
      <c r="UJS190" s="3"/>
      <c r="UJT190" s="3"/>
      <c r="UJU190" s="3"/>
      <c r="UJV190" s="3"/>
      <c r="UJW190" s="3"/>
      <c r="UJX190" s="3"/>
      <c r="UJY190" s="3"/>
      <c r="UJZ190" s="3"/>
      <c r="UKA190" s="3"/>
      <c r="UKB190" s="3"/>
      <c r="UKC190" s="3"/>
      <c r="UKD190" s="3"/>
      <c r="UKE190" s="3"/>
      <c r="UKF190" s="3"/>
      <c r="UKG190" s="3"/>
      <c r="UKH190" s="3"/>
      <c r="UKI190" s="3"/>
      <c r="UKJ190" s="3"/>
      <c r="UKK190" s="3"/>
      <c r="UKL190" s="3"/>
      <c r="UKM190" s="3"/>
      <c r="UKN190" s="3"/>
      <c r="UKO190" s="3"/>
      <c r="UKP190" s="3"/>
      <c r="UKQ190" s="3"/>
      <c r="UKR190" s="3"/>
      <c r="UKS190" s="3"/>
      <c r="UKT190" s="3"/>
      <c r="UKU190" s="3"/>
      <c r="UKV190" s="3"/>
      <c r="UKW190" s="3"/>
      <c r="UKX190" s="3"/>
      <c r="UKY190" s="3"/>
      <c r="UKZ190" s="3"/>
      <c r="ULA190" s="3"/>
      <c r="ULB190" s="3"/>
      <c r="ULC190" s="3"/>
      <c r="ULD190" s="3"/>
      <c r="ULE190" s="3"/>
      <c r="ULF190" s="3"/>
      <c r="ULG190" s="3"/>
      <c r="ULH190" s="3"/>
      <c r="ULI190" s="3"/>
      <c r="ULJ190" s="3"/>
      <c r="ULK190" s="3"/>
      <c r="ULL190" s="3"/>
      <c r="ULM190" s="3"/>
      <c r="ULN190" s="3"/>
      <c r="ULO190" s="3"/>
      <c r="ULP190" s="3"/>
      <c r="ULQ190" s="3"/>
      <c r="ULR190" s="3"/>
      <c r="ULS190" s="3"/>
      <c r="ULT190" s="3"/>
      <c r="ULU190" s="3"/>
      <c r="ULV190" s="3"/>
      <c r="ULW190" s="3"/>
      <c r="ULX190" s="3"/>
      <c r="ULY190" s="3"/>
      <c r="ULZ190" s="3"/>
      <c r="UMA190" s="3"/>
      <c r="UMB190" s="3"/>
      <c r="UMC190" s="3"/>
      <c r="UMD190" s="3"/>
      <c r="UME190" s="3"/>
      <c r="UMF190" s="3"/>
      <c r="UMG190" s="3"/>
      <c r="UMH190" s="3"/>
      <c r="UMI190" s="3"/>
      <c r="UMJ190" s="3"/>
      <c r="UMK190" s="3"/>
      <c r="UML190" s="3"/>
      <c r="UMM190" s="3"/>
      <c r="UMN190" s="3"/>
      <c r="UMO190" s="3"/>
      <c r="UMP190" s="3"/>
      <c r="UMQ190" s="3"/>
      <c r="UMR190" s="3"/>
      <c r="UMS190" s="3"/>
      <c r="UMT190" s="3"/>
      <c r="UMU190" s="3"/>
      <c r="UMV190" s="3"/>
      <c r="UMW190" s="3"/>
      <c r="UMX190" s="3"/>
      <c r="UMY190" s="3"/>
      <c r="UMZ190" s="3"/>
      <c r="UNA190" s="3"/>
      <c r="UNB190" s="3"/>
      <c r="UNC190" s="3"/>
      <c r="UND190" s="3"/>
      <c r="UNE190" s="3"/>
      <c r="UNF190" s="3"/>
      <c r="UNG190" s="3"/>
      <c r="UNH190" s="3"/>
      <c r="UNI190" s="3"/>
      <c r="UNJ190" s="3"/>
      <c r="UNK190" s="3"/>
      <c r="UNL190" s="3"/>
      <c r="UNM190" s="3"/>
      <c r="UNN190" s="3"/>
      <c r="UNO190" s="3"/>
      <c r="UNP190" s="3"/>
      <c r="UNQ190" s="3"/>
      <c r="UNR190" s="3"/>
      <c r="UNS190" s="3"/>
      <c r="UNT190" s="3"/>
      <c r="UNU190" s="3"/>
      <c r="UNV190" s="3"/>
      <c r="UNW190" s="3"/>
      <c r="UNX190" s="3"/>
      <c r="UNY190" s="3"/>
      <c r="UNZ190" s="3"/>
      <c r="UOA190" s="3"/>
      <c r="UOB190" s="3"/>
      <c r="UOC190" s="3"/>
      <c r="UOD190" s="3"/>
      <c r="UOE190" s="3"/>
      <c r="UOF190" s="3"/>
      <c r="UOG190" s="3"/>
      <c r="UOH190" s="3"/>
      <c r="UOI190" s="3"/>
      <c r="UOJ190" s="3"/>
      <c r="UOK190" s="3"/>
      <c r="UOL190" s="3"/>
      <c r="UOM190" s="3"/>
      <c r="UON190" s="3"/>
      <c r="UOO190" s="3"/>
      <c r="UOP190" s="3"/>
      <c r="UOQ190" s="3"/>
      <c r="UOR190" s="3"/>
      <c r="UOS190" s="3"/>
      <c r="UOT190" s="3"/>
      <c r="UOU190" s="3"/>
      <c r="UOV190" s="3"/>
      <c r="UOW190" s="3"/>
      <c r="UOX190" s="3"/>
      <c r="UOY190" s="3"/>
      <c r="UOZ190" s="3"/>
      <c r="UPA190" s="3"/>
      <c r="UPB190" s="3"/>
      <c r="UPC190" s="3"/>
      <c r="UPD190" s="3"/>
      <c r="UPE190" s="3"/>
      <c r="UPF190" s="3"/>
      <c r="UPG190" s="3"/>
      <c r="UPH190" s="3"/>
      <c r="UPI190" s="3"/>
      <c r="UPJ190" s="3"/>
      <c r="UPK190" s="3"/>
      <c r="UPL190" s="3"/>
      <c r="UPM190" s="3"/>
      <c r="UPN190" s="3"/>
      <c r="UPO190" s="3"/>
      <c r="UPP190" s="3"/>
      <c r="UPQ190" s="3"/>
      <c r="UPR190" s="3"/>
      <c r="UPS190" s="3"/>
      <c r="UPT190" s="3"/>
      <c r="UPU190" s="3"/>
      <c r="UPV190" s="3"/>
      <c r="UPW190" s="3"/>
      <c r="UPX190" s="3"/>
      <c r="UPY190" s="3"/>
      <c r="UPZ190" s="3"/>
      <c r="UQA190" s="3"/>
      <c r="UQB190" s="3"/>
      <c r="UQC190" s="3"/>
      <c r="UQD190" s="3"/>
      <c r="UQE190" s="3"/>
      <c r="UQF190" s="3"/>
      <c r="UQG190" s="3"/>
      <c r="UQH190" s="3"/>
      <c r="UQI190" s="3"/>
      <c r="UQJ190" s="3"/>
      <c r="UQK190" s="3"/>
      <c r="UQL190" s="3"/>
      <c r="UQM190" s="3"/>
      <c r="UQN190" s="3"/>
      <c r="UQO190" s="3"/>
      <c r="UQP190" s="3"/>
      <c r="UQQ190" s="3"/>
      <c r="UQR190" s="3"/>
      <c r="UQS190" s="3"/>
      <c r="UQT190" s="3"/>
      <c r="UQU190" s="3"/>
      <c r="UQV190" s="3"/>
      <c r="UQW190" s="3"/>
      <c r="UQX190" s="3"/>
      <c r="UQY190" s="3"/>
      <c r="UQZ190" s="3"/>
      <c r="URA190" s="3"/>
      <c r="URB190" s="3"/>
      <c r="URC190" s="3"/>
      <c r="URD190" s="3"/>
      <c r="URE190" s="3"/>
      <c r="URF190" s="3"/>
      <c r="URG190" s="3"/>
      <c r="URH190" s="3"/>
      <c r="URI190" s="3"/>
      <c r="URJ190" s="3"/>
      <c r="URK190" s="3"/>
      <c r="URL190" s="3"/>
      <c r="URM190" s="3"/>
      <c r="URN190" s="3"/>
      <c r="URO190" s="3"/>
      <c r="URP190" s="3"/>
      <c r="URQ190" s="3"/>
      <c r="URR190" s="3"/>
      <c r="URS190" s="3"/>
      <c r="URT190" s="3"/>
      <c r="URU190" s="3"/>
      <c r="URV190" s="3"/>
      <c r="URW190" s="3"/>
      <c r="URX190" s="3"/>
      <c r="URY190" s="3"/>
      <c r="URZ190" s="3"/>
      <c r="USA190" s="3"/>
      <c r="USB190" s="3"/>
      <c r="USC190" s="3"/>
      <c r="USD190" s="3"/>
      <c r="USE190" s="3"/>
      <c r="USF190" s="3"/>
      <c r="USG190" s="3"/>
      <c r="USH190" s="3"/>
      <c r="USI190" s="3"/>
      <c r="USJ190" s="3"/>
      <c r="USK190" s="3"/>
      <c r="USL190" s="3"/>
      <c r="USM190" s="3"/>
      <c r="USN190" s="3"/>
      <c r="USO190" s="3"/>
      <c r="USP190" s="3"/>
      <c r="USQ190" s="3"/>
      <c r="USR190" s="3"/>
      <c r="USS190" s="3"/>
      <c r="UST190" s="3"/>
      <c r="USU190" s="3"/>
      <c r="USV190" s="3"/>
      <c r="USW190" s="3"/>
      <c r="USX190" s="3"/>
      <c r="USY190" s="3"/>
      <c r="USZ190" s="3"/>
      <c r="UTA190" s="3"/>
      <c r="UTB190" s="3"/>
      <c r="UTC190" s="3"/>
      <c r="UTD190" s="3"/>
      <c r="UTE190" s="3"/>
      <c r="UTF190" s="3"/>
      <c r="UTG190" s="3"/>
      <c r="UTH190" s="3"/>
      <c r="UTI190" s="3"/>
      <c r="UTJ190" s="3"/>
      <c r="UTK190" s="3"/>
      <c r="UTL190" s="3"/>
      <c r="UTM190" s="3"/>
      <c r="UTN190" s="3"/>
      <c r="UTO190" s="3"/>
      <c r="UTP190" s="3"/>
      <c r="UTQ190" s="3"/>
      <c r="UTR190" s="3"/>
      <c r="UTS190" s="3"/>
      <c r="UTT190" s="3"/>
      <c r="UTU190" s="3"/>
      <c r="UTV190" s="3"/>
      <c r="UTW190" s="3"/>
      <c r="UTX190" s="3"/>
      <c r="UTY190" s="3"/>
      <c r="UTZ190" s="3"/>
      <c r="UUA190" s="3"/>
      <c r="UUB190" s="3"/>
      <c r="UUC190" s="3"/>
      <c r="UUD190" s="3"/>
      <c r="UUE190" s="3"/>
      <c r="UUF190" s="3"/>
      <c r="UUG190" s="3"/>
      <c r="UUH190" s="3"/>
      <c r="UUI190" s="3"/>
      <c r="UUJ190" s="3"/>
      <c r="UUK190" s="3"/>
      <c r="UUL190" s="3"/>
      <c r="UUM190" s="3"/>
      <c r="UUN190" s="3"/>
      <c r="UUO190" s="3"/>
      <c r="UUP190" s="3"/>
      <c r="UUQ190" s="3"/>
      <c r="UUR190" s="3"/>
      <c r="UUS190" s="3"/>
      <c r="UUT190" s="3"/>
      <c r="UUU190" s="3"/>
      <c r="UUV190" s="3"/>
      <c r="UUW190" s="3"/>
      <c r="UUX190" s="3"/>
      <c r="UUY190" s="3"/>
      <c r="UUZ190" s="3"/>
      <c r="UVA190" s="3"/>
      <c r="UVB190" s="3"/>
      <c r="UVC190" s="3"/>
      <c r="UVD190" s="3"/>
      <c r="UVE190" s="3"/>
      <c r="UVF190" s="3"/>
      <c r="UVG190" s="3"/>
      <c r="UVH190" s="3"/>
      <c r="UVI190" s="3"/>
      <c r="UVJ190" s="3"/>
      <c r="UVK190" s="3"/>
      <c r="UVL190" s="3"/>
      <c r="UVM190" s="3"/>
      <c r="UVN190" s="3"/>
      <c r="UVO190" s="3"/>
      <c r="UVP190" s="3"/>
      <c r="UVQ190" s="3"/>
      <c r="UVR190" s="3"/>
      <c r="UVS190" s="3"/>
      <c r="UVT190" s="3"/>
      <c r="UVU190" s="3"/>
      <c r="UVV190" s="3"/>
      <c r="UVW190" s="3"/>
      <c r="UVX190" s="3"/>
      <c r="UVY190" s="3"/>
      <c r="UVZ190" s="3"/>
      <c r="UWA190" s="3"/>
      <c r="UWB190" s="3"/>
      <c r="UWC190" s="3"/>
      <c r="UWD190" s="3"/>
      <c r="UWE190" s="3"/>
      <c r="UWF190" s="3"/>
      <c r="UWG190" s="3"/>
      <c r="UWH190" s="3"/>
      <c r="UWI190" s="3"/>
      <c r="UWJ190" s="3"/>
      <c r="UWK190" s="3"/>
      <c r="UWL190" s="3"/>
      <c r="UWM190" s="3"/>
      <c r="UWN190" s="3"/>
      <c r="UWO190" s="3"/>
      <c r="UWP190" s="3"/>
      <c r="UWQ190" s="3"/>
      <c r="UWR190" s="3"/>
      <c r="UWS190" s="3"/>
      <c r="UWT190" s="3"/>
      <c r="UWU190" s="3"/>
      <c r="UWV190" s="3"/>
      <c r="UWW190" s="3"/>
      <c r="UWX190" s="3"/>
      <c r="UWY190" s="3"/>
      <c r="UWZ190" s="3"/>
      <c r="UXA190" s="3"/>
      <c r="UXB190" s="3"/>
      <c r="UXC190" s="3"/>
      <c r="UXD190" s="3"/>
      <c r="UXE190" s="3"/>
      <c r="UXF190" s="3"/>
      <c r="UXG190" s="3"/>
      <c r="UXH190" s="3"/>
      <c r="UXI190" s="3"/>
      <c r="UXJ190" s="3"/>
      <c r="UXK190" s="3"/>
      <c r="UXL190" s="3"/>
      <c r="UXM190" s="3"/>
      <c r="UXN190" s="3"/>
      <c r="UXO190" s="3"/>
      <c r="UXP190" s="3"/>
      <c r="UXQ190" s="3"/>
      <c r="UXR190" s="3"/>
      <c r="UXS190" s="3"/>
      <c r="UXT190" s="3"/>
      <c r="UXU190" s="3"/>
      <c r="UXV190" s="3"/>
      <c r="UXW190" s="3"/>
      <c r="UXX190" s="3"/>
      <c r="UXY190" s="3"/>
      <c r="UXZ190" s="3"/>
      <c r="UYA190" s="3"/>
      <c r="UYB190" s="3"/>
      <c r="UYC190" s="3"/>
      <c r="UYD190" s="3"/>
      <c r="UYE190" s="3"/>
      <c r="UYF190" s="3"/>
      <c r="UYG190" s="3"/>
      <c r="UYH190" s="3"/>
      <c r="UYI190" s="3"/>
      <c r="UYJ190" s="3"/>
      <c r="UYK190" s="3"/>
      <c r="UYL190" s="3"/>
      <c r="UYM190" s="3"/>
      <c r="UYN190" s="3"/>
      <c r="UYO190" s="3"/>
      <c r="UYP190" s="3"/>
      <c r="UYQ190" s="3"/>
      <c r="UYR190" s="3"/>
      <c r="UYS190" s="3"/>
      <c r="UYT190" s="3"/>
      <c r="UYU190" s="3"/>
      <c r="UYV190" s="3"/>
      <c r="UYW190" s="3"/>
      <c r="UYX190" s="3"/>
      <c r="UYY190" s="3"/>
      <c r="UYZ190" s="3"/>
      <c r="UZA190" s="3"/>
      <c r="UZB190" s="3"/>
      <c r="UZC190" s="3"/>
      <c r="UZD190" s="3"/>
      <c r="UZE190" s="3"/>
      <c r="UZF190" s="3"/>
      <c r="UZG190" s="3"/>
      <c r="UZH190" s="3"/>
      <c r="UZI190" s="3"/>
      <c r="UZJ190" s="3"/>
      <c r="UZK190" s="3"/>
      <c r="UZL190" s="3"/>
      <c r="UZM190" s="3"/>
      <c r="UZN190" s="3"/>
      <c r="UZO190" s="3"/>
      <c r="UZP190" s="3"/>
      <c r="UZQ190" s="3"/>
      <c r="UZR190" s="3"/>
      <c r="UZS190" s="3"/>
      <c r="UZT190" s="3"/>
      <c r="UZU190" s="3"/>
      <c r="UZV190" s="3"/>
      <c r="UZW190" s="3"/>
      <c r="UZX190" s="3"/>
      <c r="UZY190" s="3"/>
      <c r="UZZ190" s="3"/>
      <c r="VAA190" s="3"/>
      <c r="VAB190" s="3"/>
      <c r="VAC190" s="3"/>
      <c r="VAD190" s="3"/>
      <c r="VAE190" s="3"/>
      <c r="VAF190" s="3"/>
      <c r="VAG190" s="3"/>
      <c r="VAH190" s="3"/>
      <c r="VAI190" s="3"/>
      <c r="VAJ190" s="3"/>
      <c r="VAK190" s="3"/>
      <c r="VAL190" s="3"/>
      <c r="VAM190" s="3"/>
      <c r="VAN190" s="3"/>
      <c r="VAO190" s="3"/>
      <c r="VAP190" s="3"/>
      <c r="VAQ190" s="3"/>
      <c r="VAR190" s="3"/>
      <c r="VAS190" s="3"/>
      <c r="VAT190" s="3"/>
      <c r="VAU190" s="3"/>
      <c r="VAV190" s="3"/>
      <c r="VAW190" s="3"/>
      <c r="VAX190" s="3"/>
      <c r="VAY190" s="3"/>
      <c r="VAZ190" s="3"/>
      <c r="VBA190" s="3"/>
      <c r="VBB190" s="3"/>
      <c r="VBC190" s="3"/>
      <c r="VBD190" s="3"/>
      <c r="VBE190" s="3"/>
      <c r="VBF190" s="3"/>
      <c r="VBG190" s="3"/>
      <c r="VBH190" s="3"/>
      <c r="VBI190" s="3"/>
      <c r="VBJ190" s="3"/>
      <c r="VBK190" s="3"/>
      <c r="VBL190" s="3"/>
      <c r="VBM190" s="3"/>
      <c r="VBN190" s="3"/>
      <c r="VBO190" s="3"/>
      <c r="VBP190" s="3"/>
      <c r="VBQ190" s="3"/>
      <c r="VBR190" s="3"/>
      <c r="VBS190" s="3"/>
      <c r="VBT190" s="3"/>
      <c r="VBU190" s="3"/>
      <c r="VBV190" s="3"/>
      <c r="VBW190" s="3"/>
      <c r="VBX190" s="3"/>
      <c r="VBY190" s="3"/>
      <c r="VBZ190" s="3"/>
      <c r="VCA190" s="3"/>
      <c r="VCB190" s="3"/>
      <c r="VCC190" s="3"/>
      <c r="VCD190" s="3"/>
      <c r="VCE190" s="3"/>
      <c r="VCF190" s="3"/>
      <c r="VCG190" s="3"/>
      <c r="VCH190" s="3"/>
      <c r="VCI190" s="3"/>
      <c r="VCJ190" s="3"/>
      <c r="VCK190" s="3"/>
      <c r="VCL190" s="3"/>
      <c r="VCM190" s="3"/>
      <c r="VCN190" s="3"/>
      <c r="VCO190" s="3"/>
      <c r="VCP190" s="3"/>
      <c r="VCQ190" s="3"/>
      <c r="VCR190" s="3"/>
      <c r="VCS190" s="3"/>
      <c r="VCT190" s="3"/>
      <c r="VCU190" s="3"/>
      <c r="VCV190" s="3"/>
      <c r="VCW190" s="3"/>
      <c r="VCX190" s="3"/>
      <c r="VCY190" s="3"/>
      <c r="VCZ190" s="3"/>
      <c r="VDA190" s="3"/>
      <c r="VDB190" s="3"/>
      <c r="VDC190" s="3"/>
      <c r="VDD190" s="3"/>
      <c r="VDE190" s="3"/>
      <c r="VDF190" s="3"/>
      <c r="VDG190" s="3"/>
      <c r="VDH190" s="3"/>
      <c r="VDI190" s="3"/>
      <c r="VDJ190" s="3"/>
      <c r="VDK190" s="3"/>
      <c r="VDL190" s="3"/>
      <c r="VDM190" s="3"/>
      <c r="VDN190" s="3"/>
      <c r="VDO190" s="3"/>
      <c r="VDP190" s="3"/>
      <c r="VDQ190" s="3"/>
      <c r="VDR190" s="3"/>
      <c r="VDS190" s="3"/>
      <c r="VDT190" s="3"/>
      <c r="VDU190" s="3"/>
      <c r="VDV190" s="3"/>
      <c r="VDW190" s="3"/>
      <c r="VDX190" s="3"/>
      <c r="VDY190" s="3"/>
      <c r="VDZ190" s="3"/>
      <c r="VEA190" s="3"/>
      <c r="VEB190" s="3"/>
      <c r="VEC190" s="3"/>
      <c r="VED190" s="3"/>
      <c r="VEE190" s="3"/>
      <c r="VEF190" s="3"/>
      <c r="VEG190" s="3"/>
      <c r="VEH190" s="3"/>
      <c r="VEI190" s="3"/>
      <c r="VEJ190" s="3"/>
      <c r="VEK190" s="3"/>
      <c r="VEL190" s="3"/>
      <c r="VEM190" s="3"/>
      <c r="VEN190" s="3"/>
      <c r="VEO190" s="3"/>
      <c r="VEP190" s="3"/>
      <c r="VEQ190" s="3"/>
      <c r="VER190" s="3"/>
      <c r="VES190" s="3"/>
      <c r="VET190" s="3"/>
      <c r="VEU190" s="3"/>
      <c r="VEV190" s="3"/>
      <c r="VEW190" s="3"/>
      <c r="VEX190" s="3"/>
      <c r="VEY190" s="3"/>
      <c r="VEZ190" s="3"/>
      <c r="VFA190" s="3"/>
      <c r="VFB190" s="3"/>
      <c r="VFC190" s="3"/>
      <c r="VFD190" s="3"/>
      <c r="VFE190" s="3"/>
      <c r="VFF190" s="3"/>
      <c r="VFG190" s="3"/>
      <c r="VFH190" s="3"/>
      <c r="VFI190" s="3"/>
      <c r="VFJ190" s="3"/>
      <c r="VFK190" s="3"/>
      <c r="VFL190" s="3"/>
      <c r="VFM190" s="3"/>
      <c r="VFN190" s="3"/>
      <c r="VFO190" s="3"/>
      <c r="VFP190" s="3"/>
      <c r="VFQ190" s="3"/>
      <c r="VFR190" s="3"/>
      <c r="VFS190" s="3"/>
      <c r="VFT190" s="3"/>
      <c r="VFU190" s="3"/>
      <c r="VFV190" s="3"/>
      <c r="VFW190" s="3"/>
      <c r="VFX190" s="3"/>
      <c r="VFY190" s="3"/>
      <c r="VFZ190" s="3"/>
      <c r="VGA190" s="3"/>
      <c r="VGB190" s="3"/>
      <c r="VGC190" s="3"/>
      <c r="VGD190" s="3"/>
      <c r="VGE190" s="3"/>
      <c r="VGF190" s="3"/>
      <c r="VGG190" s="3"/>
      <c r="VGH190" s="3"/>
      <c r="VGI190" s="3"/>
      <c r="VGJ190" s="3"/>
      <c r="VGK190" s="3"/>
      <c r="VGL190" s="3"/>
      <c r="VGM190" s="3"/>
      <c r="VGN190" s="3"/>
      <c r="VGO190" s="3"/>
      <c r="VGP190" s="3"/>
      <c r="VGQ190" s="3"/>
      <c r="VGR190" s="3"/>
      <c r="VGS190" s="3"/>
      <c r="VGT190" s="3"/>
      <c r="VGU190" s="3"/>
      <c r="VGV190" s="3"/>
      <c r="VGW190" s="3"/>
      <c r="VGX190" s="3"/>
      <c r="VGY190" s="3"/>
      <c r="VGZ190" s="3"/>
      <c r="VHA190" s="3"/>
      <c r="VHB190" s="3"/>
      <c r="VHC190" s="3"/>
      <c r="VHD190" s="3"/>
      <c r="VHE190" s="3"/>
      <c r="VHF190" s="3"/>
      <c r="VHG190" s="3"/>
      <c r="VHH190" s="3"/>
      <c r="VHI190" s="3"/>
      <c r="VHJ190" s="3"/>
      <c r="VHK190" s="3"/>
      <c r="VHL190" s="3"/>
      <c r="VHM190" s="3"/>
      <c r="VHN190" s="3"/>
      <c r="VHO190" s="3"/>
      <c r="VHP190" s="3"/>
      <c r="VHQ190" s="3"/>
      <c r="VHR190" s="3"/>
      <c r="VHS190" s="3"/>
      <c r="VHT190" s="3"/>
      <c r="VHU190" s="3"/>
      <c r="VHV190" s="3"/>
      <c r="VHW190" s="3"/>
      <c r="VHX190" s="3"/>
      <c r="VHY190" s="3"/>
      <c r="VHZ190" s="3"/>
      <c r="VIA190" s="3"/>
      <c r="VIB190" s="3"/>
      <c r="VIC190" s="3"/>
      <c r="VID190" s="3"/>
      <c r="VIE190" s="3"/>
      <c r="VIF190" s="3"/>
      <c r="VIG190" s="3"/>
      <c r="VIH190" s="3"/>
      <c r="VII190" s="3"/>
      <c r="VIJ190" s="3"/>
      <c r="VIK190" s="3"/>
      <c r="VIL190" s="3"/>
      <c r="VIM190" s="3"/>
      <c r="VIN190" s="3"/>
      <c r="VIO190" s="3"/>
      <c r="VIP190" s="3"/>
      <c r="VIQ190" s="3"/>
      <c r="VIR190" s="3"/>
      <c r="VIS190" s="3"/>
      <c r="VIT190" s="3"/>
      <c r="VIU190" s="3"/>
      <c r="VIV190" s="3"/>
      <c r="VIW190" s="3"/>
      <c r="VIX190" s="3"/>
      <c r="VIY190" s="3"/>
      <c r="VIZ190" s="3"/>
      <c r="VJA190" s="3"/>
      <c r="VJB190" s="3"/>
      <c r="VJC190" s="3"/>
      <c r="VJD190" s="3"/>
      <c r="VJE190" s="3"/>
      <c r="VJF190" s="3"/>
      <c r="VJG190" s="3"/>
      <c r="VJH190" s="3"/>
      <c r="VJI190" s="3"/>
      <c r="VJJ190" s="3"/>
      <c r="VJK190" s="3"/>
      <c r="VJL190" s="3"/>
      <c r="VJM190" s="3"/>
      <c r="VJN190" s="3"/>
      <c r="VJO190" s="3"/>
      <c r="VJP190" s="3"/>
      <c r="VJQ190" s="3"/>
      <c r="VJR190" s="3"/>
      <c r="VJS190" s="3"/>
      <c r="VJT190" s="3"/>
      <c r="VJU190" s="3"/>
      <c r="VJV190" s="3"/>
      <c r="VJW190" s="3"/>
      <c r="VJX190" s="3"/>
      <c r="VJY190" s="3"/>
      <c r="VJZ190" s="3"/>
      <c r="VKA190" s="3"/>
      <c r="VKB190" s="3"/>
      <c r="VKC190" s="3"/>
      <c r="VKD190" s="3"/>
      <c r="VKE190" s="3"/>
      <c r="VKF190" s="3"/>
      <c r="VKG190" s="3"/>
      <c r="VKH190" s="3"/>
      <c r="VKI190" s="3"/>
      <c r="VKJ190" s="3"/>
      <c r="VKK190" s="3"/>
      <c r="VKL190" s="3"/>
      <c r="VKM190" s="3"/>
      <c r="VKN190" s="3"/>
      <c r="VKO190" s="3"/>
      <c r="VKP190" s="3"/>
      <c r="VKQ190" s="3"/>
      <c r="VKR190" s="3"/>
      <c r="VKS190" s="3"/>
      <c r="VKT190" s="3"/>
      <c r="VKU190" s="3"/>
      <c r="VKV190" s="3"/>
      <c r="VKW190" s="3"/>
      <c r="VKX190" s="3"/>
      <c r="VKY190" s="3"/>
      <c r="VKZ190" s="3"/>
      <c r="VLA190" s="3"/>
      <c r="VLB190" s="3"/>
      <c r="VLC190" s="3"/>
      <c r="VLD190" s="3"/>
      <c r="VLE190" s="3"/>
      <c r="VLF190" s="3"/>
      <c r="VLG190" s="3"/>
      <c r="VLH190" s="3"/>
      <c r="VLI190" s="3"/>
      <c r="VLJ190" s="3"/>
      <c r="VLK190" s="3"/>
      <c r="VLL190" s="3"/>
      <c r="VLM190" s="3"/>
      <c r="VLN190" s="3"/>
      <c r="VLO190" s="3"/>
      <c r="VLP190" s="3"/>
      <c r="VLQ190" s="3"/>
      <c r="VLR190" s="3"/>
      <c r="VLS190" s="3"/>
      <c r="VLT190" s="3"/>
      <c r="VLU190" s="3"/>
      <c r="VLV190" s="3"/>
      <c r="VLW190" s="3"/>
      <c r="VLX190" s="3"/>
      <c r="VLY190" s="3"/>
      <c r="VLZ190" s="3"/>
      <c r="VMA190" s="3"/>
      <c r="VMB190" s="3"/>
      <c r="VMC190" s="3"/>
      <c r="VMD190" s="3"/>
      <c r="VME190" s="3"/>
      <c r="VMF190" s="3"/>
      <c r="VMG190" s="3"/>
      <c r="VMH190" s="3"/>
      <c r="VMI190" s="3"/>
      <c r="VMJ190" s="3"/>
      <c r="VMK190" s="3"/>
      <c r="VML190" s="3"/>
      <c r="VMM190" s="3"/>
      <c r="VMN190" s="3"/>
      <c r="VMO190" s="3"/>
      <c r="VMP190" s="3"/>
      <c r="VMQ190" s="3"/>
      <c r="VMR190" s="3"/>
      <c r="VMS190" s="3"/>
      <c r="VMT190" s="3"/>
      <c r="VMU190" s="3"/>
      <c r="VMV190" s="3"/>
      <c r="VMW190" s="3"/>
      <c r="VMX190" s="3"/>
      <c r="VMY190" s="3"/>
      <c r="VMZ190" s="3"/>
      <c r="VNA190" s="3"/>
      <c r="VNB190" s="3"/>
      <c r="VNC190" s="3"/>
      <c r="VND190" s="3"/>
      <c r="VNE190" s="3"/>
      <c r="VNF190" s="3"/>
      <c r="VNG190" s="3"/>
      <c r="VNH190" s="3"/>
      <c r="VNI190" s="3"/>
      <c r="VNJ190" s="3"/>
      <c r="VNK190" s="3"/>
      <c r="VNL190" s="3"/>
      <c r="VNM190" s="3"/>
      <c r="VNN190" s="3"/>
      <c r="VNO190" s="3"/>
      <c r="VNP190" s="3"/>
      <c r="VNQ190" s="3"/>
      <c r="VNR190" s="3"/>
      <c r="VNS190" s="3"/>
      <c r="VNT190" s="3"/>
      <c r="VNU190" s="3"/>
      <c r="VNV190" s="3"/>
      <c r="VNW190" s="3"/>
      <c r="VNX190" s="3"/>
      <c r="VNY190" s="3"/>
      <c r="VNZ190" s="3"/>
      <c r="VOA190" s="3"/>
      <c r="VOB190" s="3"/>
      <c r="VOC190" s="3"/>
      <c r="VOD190" s="3"/>
      <c r="VOE190" s="3"/>
      <c r="VOF190" s="3"/>
      <c r="VOG190" s="3"/>
      <c r="VOH190" s="3"/>
      <c r="VOI190" s="3"/>
      <c r="VOJ190" s="3"/>
      <c r="VOK190" s="3"/>
      <c r="VOL190" s="3"/>
      <c r="VOM190" s="3"/>
      <c r="VON190" s="3"/>
      <c r="VOO190" s="3"/>
      <c r="VOP190" s="3"/>
      <c r="VOQ190" s="3"/>
      <c r="VOR190" s="3"/>
      <c r="VOS190" s="3"/>
      <c r="VOT190" s="3"/>
      <c r="VOU190" s="3"/>
      <c r="VOV190" s="3"/>
      <c r="VOW190" s="3"/>
      <c r="VOX190" s="3"/>
      <c r="VOY190" s="3"/>
      <c r="VOZ190" s="3"/>
      <c r="VPA190" s="3"/>
      <c r="VPB190" s="3"/>
      <c r="VPC190" s="3"/>
      <c r="VPD190" s="3"/>
      <c r="VPE190" s="3"/>
      <c r="VPF190" s="3"/>
      <c r="VPG190" s="3"/>
      <c r="VPH190" s="3"/>
      <c r="VPI190" s="3"/>
      <c r="VPJ190" s="3"/>
      <c r="VPK190" s="3"/>
      <c r="VPL190" s="3"/>
      <c r="VPM190" s="3"/>
      <c r="VPN190" s="3"/>
      <c r="VPO190" s="3"/>
      <c r="VPP190" s="3"/>
      <c r="VPQ190" s="3"/>
      <c r="VPR190" s="3"/>
      <c r="VPS190" s="3"/>
      <c r="VPT190" s="3"/>
      <c r="VPU190" s="3"/>
      <c r="VPV190" s="3"/>
      <c r="VPW190" s="3"/>
      <c r="VPX190" s="3"/>
      <c r="VPY190" s="3"/>
      <c r="VPZ190" s="3"/>
      <c r="VQA190" s="3"/>
      <c r="VQB190" s="3"/>
      <c r="VQC190" s="3"/>
      <c r="VQD190" s="3"/>
      <c r="VQE190" s="3"/>
      <c r="VQF190" s="3"/>
      <c r="VQG190" s="3"/>
      <c r="VQH190" s="3"/>
      <c r="VQI190" s="3"/>
      <c r="VQJ190" s="3"/>
      <c r="VQK190" s="3"/>
      <c r="VQL190" s="3"/>
      <c r="VQM190" s="3"/>
      <c r="VQN190" s="3"/>
      <c r="VQO190" s="3"/>
      <c r="VQP190" s="3"/>
      <c r="VQQ190" s="3"/>
      <c r="VQR190" s="3"/>
      <c r="VQS190" s="3"/>
      <c r="VQT190" s="3"/>
      <c r="VQU190" s="3"/>
      <c r="VQV190" s="3"/>
      <c r="VQW190" s="3"/>
      <c r="VQX190" s="3"/>
      <c r="VQY190" s="3"/>
      <c r="VQZ190" s="3"/>
      <c r="VRA190" s="3"/>
      <c r="VRB190" s="3"/>
      <c r="VRC190" s="3"/>
      <c r="VRD190" s="3"/>
      <c r="VRE190" s="3"/>
      <c r="VRF190" s="3"/>
      <c r="VRG190" s="3"/>
      <c r="VRH190" s="3"/>
      <c r="VRI190" s="3"/>
      <c r="VRJ190" s="3"/>
      <c r="VRK190" s="3"/>
      <c r="VRL190" s="3"/>
      <c r="VRM190" s="3"/>
      <c r="VRN190" s="3"/>
      <c r="VRO190" s="3"/>
      <c r="VRP190" s="3"/>
      <c r="VRQ190" s="3"/>
      <c r="VRR190" s="3"/>
      <c r="VRS190" s="3"/>
      <c r="VRT190" s="3"/>
      <c r="VRU190" s="3"/>
      <c r="VRV190" s="3"/>
      <c r="VRW190" s="3"/>
      <c r="VRX190" s="3"/>
      <c r="VRY190" s="3"/>
      <c r="VRZ190" s="3"/>
      <c r="VSA190" s="3"/>
      <c r="VSB190" s="3"/>
      <c r="VSC190" s="3"/>
      <c r="VSD190" s="3"/>
      <c r="VSE190" s="3"/>
      <c r="VSF190" s="3"/>
      <c r="VSG190" s="3"/>
      <c r="VSH190" s="3"/>
      <c r="VSI190" s="3"/>
      <c r="VSJ190" s="3"/>
      <c r="VSK190" s="3"/>
      <c r="VSL190" s="3"/>
      <c r="VSM190" s="3"/>
      <c r="VSN190" s="3"/>
      <c r="VSO190" s="3"/>
      <c r="VSP190" s="3"/>
      <c r="VSQ190" s="3"/>
      <c r="VSR190" s="3"/>
      <c r="VSS190" s="3"/>
      <c r="VST190" s="3"/>
      <c r="VSU190" s="3"/>
      <c r="VSV190" s="3"/>
      <c r="VSW190" s="3"/>
      <c r="VSX190" s="3"/>
      <c r="VSY190" s="3"/>
      <c r="VSZ190" s="3"/>
      <c r="VTA190" s="3"/>
      <c r="VTB190" s="3"/>
      <c r="VTC190" s="3"/>
      <c r="VTD190" s="3"/>
      <c r="VTE190" s="3"/>
      <c r="VTF190" s="3"/>
      <c r="VTG190" s="3"/>
      <c r="VTH190" s="3"/>
      <c r="VTI190" s="3"/>
      <c r="VTJ190" s="3"/>
      <c r="VTK190" s="3"/>
      <c r="VTL190" s="3"/>
      <c r="VTM190" s="3"/>
      <c r="VTN190" s="3"/>
      <c r="VTO190" s="3"/>
      <c r="VTP190" s="3"/>
      <c r="VTQ190" s="3"/>
      <c r="VTR190" s="3"/>
      <c r="VTS190" s="3"/>
      <c r="VTT190" s="3"/>
      <c r="VTU190" s="3"/>
      <c r="VTV190" s="3"/>
      <c r="VTW190" s="3"/>
      <c r="VTX190" s="3"/>
      <c r="VTY190" s="3"/>
      <c r="VTZ190" s="3"/>
      <c r="VUA190" s="3"/>
      <c r="VUB190" s="3"/>
      <c r="VUC190" s="3"/>
      <c r="VUD190" s="3"/>
      <c r="VUE190" s="3"/>
      <c r="VUF190" s="3"/>
      <c r="VUG190" s="3"/>
      <c r="VUH190" s="3"/>
      <c r="VUI190" s="3"/>
      <c r="VUJ190" s="3"/>
      <c r="VUK190" s="3"/>
      <c r="VUL190" s="3"/>
      <c r="VUM190" s="3"/>
      <c r="VUN190" s="3"/>
      <c r="VUO190" s="3"/>
      <c r="VUP190" s="3"/>
      <c r="VUQ190" s="3"/>
      <c r="VUR190" s="3"/>
      <c r="VUS190" s="3"/>
      <c r="VUT190" s="3"/>
      <c r="VUU190" s="3"/>
      <c r="VUV190" s="3"/>
      <c r="VUW190" s="3"/>
      <c r="VUX190" s="3"/>
      <c r="VUY190" s="3"/>
      <c r="VUZ190" s="3"/>
      <c r="VVA190" s="3"/>
      <c r="VVB190" s="3"/>
      <c r="VVC190" s="3"/>
      <c r="VVD190" s="3"/>
      <c r="VVE190" s="3"/>
      <c r="VVF190" s="3"/>
      <c r="VVG190" s="3"/>
      <c r="VVH190" s="3"/>
      <c r="VVI190" s="3"/>
      <c r="VVJ190" s="3"/>
      <c r="VVK190" s="3"/>
      <c r="VVL190" s="3"/>
      <c r="VVM190" s="3"/>
      <c r="VVN190" s="3"/>
      <c r="VVO190" s="3"/>
      <c r="VVP190" s="3"/>
      <c r="VVQ190" s="3"/>
      <c r="VVR190" s="3"/>
      <c r="VVS190" s="3"/>
      <c r="VVT190" s="3"/>
      <c r="VVU190" s="3"/>
      <c r="VVV190" s="3"/>
      <c r="VVW190" s="3"/>
      <c r="VVX190" s="3"/>
      <c r="VVY190" s="3"/>
      <c r="VVZ190" s="3"/>
      <c r="VWA190" s="3"/>
      <c r="VWB190" s="3"/>
      <c r="VWC190" s="3"/>
      <c r="VWD190" s="3"/>
      <c r="VWE190" s="3"/>
      <c r="VWF190" s="3"/>
      <c r="VWG190" s="3"/>
      <c r="VWH190" s="3"/>
      <c r="VWI190" s="3"/>
      <c r="VWJ190" s="3"/>
      <c r="VWK190" s="3"/>
      <c r="VWL190" s="3"/>
      <c r="VWM190" s="3"/>
      <c r="VWN190" s="3"/>
      <c r="VWO190" s="3"/>
      <c r="VWP190" s="3"/>
      <c r="VWQ190" s="3"/>
      <c r="VWR190" s="3"/>
      <c r="VWS190" s="3"/>
      <c r="VWT190" s="3"/>
      <c r="VWU190" s="3"/>
      <c r="VWV190" s="3"/>
      <c r="VWW190" s="3"/>
      <c r="VWX190" s="3"/>
      <c r="VWY190" s="3"/>
      <c r="VWZ190" s="3"/>
      <c r="VXA190" s="3"/>
      <c r="VXB190" s="3"/>
      <c r="VXC190" s="3"/>
      <c r="VXD190" s="3"/>
      <c r="VXE190" s="3"/>
      <c r="VXF190" s="3"/>
      <c r="VXG190" s="3"/>
      <c r="VXH190" s="3"/>
      <c r="VXI190" s="3"/>
      <c r="VXJ190" s="3"/>
      <c r="VXK190" s="3"/>
      <c r="VXL190" s="3"/>
      <c r="VXM190" s="3"/>
      <c r="VXN190" s="3"/>
      <c r="VXO190" s="3"/>
      <c r="VXP190" s="3"/>
      <c r="VXQ190" s="3"/>
      <c r="VXR190" s="3"/>
      <c r="VXS190" s="3"/>
      <c r="VXT190" s="3"/>
      <c r="VXU190" s="3"/>
      <c r="VXV190" s="3"/>
      <c r="VXW190" s="3"/>
      <c r="VXX190" s="3"/>
      <c r="VXY190" s="3"/>
      <c r="VXZ190" s="3"/>
      <c r="VYA190" s="3"/>
      <c r="VYB190" s="3"/>
      <c r="VYC190" s="3"/>
      <c r="VYD190" s="3"/>
      <c r="VYE190" s="3"/>
      <c r="VYF190" s="3"/>
      <c r="VYG190" s="3"/>
      <c r="VYH190" s="3"/>
      <c r="VYI190" s="3"/>
      <c r="VYJ190" s="3"/>
      <c r="VYK190" s="3"/>
      <c r="VYL190" s="3"/>
      <c r="VYM190" s="3"/>
      <c r="VYN190" s="3"/>
      <c r="VYO190" s="3"/>
      <c r="VYP190" s="3"/>
      <c r="VYQ190" s="3"/>
      <c r="VYR190" s="3"/>
      <c r="VYS190" s="3"/>
      <c r="VYT190" s="3"/>
      <c r="VYU190" s="3"/>
      <c r="VYV190" s="3"/>
      <c r="VYW190" s="3"/>
      <c r="VYX190" s="3"/>
      <c r="VYY190" s="3"/>
      <c r="VYZ190" s="3"/>
      <c r="VZA190" s="3"/>
      <c r="VZB190" s="3"/>
      <c r="VZC190" s="3"/>
      <c r="VZD190" s="3"/>
      <c r="VZE190" s="3"/>
      <c r="VZF190" s="3"/>
      <c r="VZG190" s="3"/>
      <c r="VZH190" s="3"/>
      <c r="VZI190" s="3"/>
      <c r="VZJ190" s="3"/>
      <c r="VZK190" s="3"/>
      <c r="VZL190" s="3"/>
      <c r="VZM190" s="3"/>
      <c r="VZN190" s="3"/>
      <c r="VZO190" s="3"/>
      <c r="VZP190" s="3"/>
      <c r="VZQ190" s="3"/>
      <c r="VZR190" s="3"/>
      <c r="VZS190" s="3"/>
      <c r="VZT190" s="3"/>
      <c r="VZU190" s="3"/>
      <c r="VZV190" s="3"/>
      <c r="VZW190" s="3"/>
      <c r="VZX190" s="3"/>
      <c r="VZY190" s="3"/>
      <c r="VZZ190" s="3"/>
      <c r="WAA190" s="3"/>
      <c r="WAB190" s="3"/>
      <c r="WAC190" s="3"/>
      <c r="WAD190" s="3"/>
      <c r="WAE190" s="3"/>
      <c r="WAF190" s="3"/>
      <c r="WAG190" s="3"/>
      <c r="WAH190" s="3"/>
      <c r="WAI190" s="3"/>
      <c r="WAJ190" s="3"/>
      <c r="WAK190" s="3"/>
      <c r="WAL190" s="3"/>
      <c r="WAM190" s="3"/>
      <c r="WAN190" s="3"/>
      <c r="WAO190" s="3"/>
      <c r="WAP190" s="3"/>
      <c r="WAQ190" s="3"/>
      <c r="WAR190" s="3"/>
      <c r="WAS190" s="3"/>
      <c r="WAT190" s="3"/>
      <c r="WAU190" s="3"/>
      <c r="WAV190" s="3"/>
      <c r="WAW190" s="3"/>
      <c r="WAX190" s="3"/>
      <c r="WAY190" s="3"/>
      <c r="WAZ190" s="3"/>
      <c r="WBA190" s="3"/>
      <c r="WBB190" s="3"/>
      <c r="WBC190" s="3"/>
      <c r="WBD190" s="3"/>
      <c r="WBE190" s="3"/>
      <c r="WBF190" s="3"/>
      <c r="WBG190" s="3"/>
      <c r="WBH190" s="3"/>
      <c r="WBI190" s="3"/>
      <c r="WBJ190" s="3"/>
      <c r="WBK190" s="3"/>
      <c r="WBL190" s="3"/>
      <c r="WBM190" s="3"/>
      <c r="WBN190" s="3"/>
      <c r="WBO190" s="3"/>
      <c r="WBP190" s="3"/>
      <c r="WBQ190" s="3"/>
      <c r="WBR190" s="3"/>
      <c r="WBS190" s="3"/>
      <c r="WBT190" s="3"/>
      <c r="WBU190" s="3"/>
      <c r="WBV190" s="3"/>
      <c r="WBW190" s="3"/>
      <c r="WBX190" s="3"/>
      <c r="WBY190" s="3"/>
      <c r="WBZ190" s="3"/>
      <c r="WCA190" s="3"/>
      <c r="WCB190" s="3"/>
      <c r="WCC190" s="3"/>
      <c r="WCD190" s="3"/>
      <c r="WCE190" s="3"/>
      <c r="WCF190" s="3"/>
      <c r="WCG190" s="3"/>
      <c r="WCH190" s="3"/>
      <c r="WCI190" s="3"/>
      <c r="WCJ190" s="3"/>
      <c r="WCK190" s="3"/>
      <c r="WCL190" s="3"/>
      <c r="WCM190" s="3"/>
      <c r="WCN190" s="3"/>
      <c r="WCO190" s="3"/>
      <c r="WCP190" s="3"/>
      <c r="WCQ190" s="3"/>
      <c r="WCR190" s="3"/>
      <c r="WCS190" s="3"/>
      <c r="WCT190" s="3"/>
      <c r="WCU190" s="3"/>
      <c r="WCV190" s="3"/>
      <c r="WCW190" s="3"/>
      <c r="WCX190" s="3"/>
      <c r="WCY190" s="3"/>
      <c r="WCZ190" s="3"/>
      <c r="WDA190" s="3"/>
      <c r="WDB190" s="3"/>
      <c r="WDC190" s="3"/>
      <c r="WDD190" s="3"/>
      <c r="WDE190" s="3"/>
      <c r="WDF190" s="3"/>
      <c r="WDG190" s="3"/>
      <c r="WDH190" s="3"/>
      <c r="WDI190" s="3"/>
      <c r="WDJ190" s="3"/>
      <c r="WDK190" s="3"/>
      <c r="WDL190" s="3"/>
      <c r="WDM190" s="3"/>
      <c r="WDN190" s="3"/>
      <c r="WDO190" s="3"/>
      <c r="WDP190" s="3"/>
      <c r="WDQ190" s="3"/>
      <c r="WDR190" s="3"/>
      <c r="WDS190" s="3"/>
      <c r="WDT190" s="3"/>
      <c r="WDU190" s="3"/>
      <c r="WDV190" s="3"/>
      <c r="WDW190" s="3"/>
      <c r="WDX190" s="3"/>
      <c r="WDY190" s="3"/>
      <c r="WDZ190" s="3"/>
      <c r="WEA190" s="3"/>
      <c r="WEB190" s="3"/>
      <c r="WEC190" s="3"/>
      <c r="WED190" s="3"/>
      <c r="WEE190" s="3"/>
      <c r="WEF190" s="3"/>
      <c r="WEG190" s="3"/>
      <c r="WEH190" s="3"/>
      <c r="WEI190" s="3"/>
      <c r="WEJ190" s="3"/>
      <c r="WEK190" s="3"/>
      <c r="WEL190" s="3"/>
      <c r="WEM190" s="3"/>
      <c r="WEN190" s="3"/>
      <c r="WEO190" s="3"/>
      <c r="WEP190" s="3"/>
      <c r="WEQ190" s="3"/>
      <c r="WER190" s="3"/>
      <c r="WES190" s="3"/>
      <c r="WET190" s="3"/>
      <c r="WEU190" s="3"/>
      <c r="WEV190" s="3"/>
      <c r="WEW190" s="3"/>
      <c r="WEX190" s="3"/>
      <c r="WEY190" s="3"/>
      <c r="WEZ190" s="3"/>
      <c r="WFA190" s="3"/>
      <c r="WFB190" s="3"/>
      <c r="WFC190" s="3"/>
      <c r="WFD190" s="3"/>
      <c r="WFE190" s="3"/>
      <c r="WFF190" s="3"/>
      <c r="WFG190" s="3"/>
      <c r="WFH190" s="3"/>
      <c r="WFI190" s="3"/>
      <c r="WFJ190" s="3"/>
      <c r="WFK190" s="3"/>
      <c r="WFL190" s="3"/>
      <c r="WFM190" s="3"/>
      <c r="WFN190" s="3"/>
      <c r="WFO190" s="3"/>
      <c r="WFP190" s="3"/>
      <c r="WFQ190" s="3"/>
      <c r="WFR190" s="3"/>
      <c r="WFS190" s="3"/>
      <c r="WFT190" s="3"/>
      <c r="WFU190" s="3"/>
      <c r="WFV190" s="3"/>
      <c r="WFW190" s="3"/>
      <c r="WFX190" s="3"/>
      <c r="WFY190" s="3"/>
      <c r="WFZ190" s="3"/>
      <c r="WGA190" s="3"/>
      <c r="WGB190" s="3"/>
      <c r="WGC190" s="3"/>
      <c r="WGD190" s="3"/>
      <c r="WGE190" s="3"/>
      <c r="WGF190" s="3"/>
      <c r="WGG190" s="3"/>
      <c r="WGH190" s="3"/>
      <c r="WGI190" s="3"/>
      <c r="WGJ190" s="3"/>
      <c r="WGK190" s="3"/>
      <c r="WGL190" s="3"/>
      <c r="WGM190" s="3"/>
      <c r="WGN190" s="3"/>
      <c r="WGO190" s="3"/>
      <c r="WGP190" s="3"/>
      <c r="WGQ190" s="3"/>
      <c r="WGR190" s="3"/>
      <c r="WGS190" s="3"/>
      <c r="WGT190" s="3"/>
      <c r="WGU190" s="3"/>
      <c r="WGV190" s="3"/>
      <c r="WGW190" s="3"/>
      <c r="WGX190" s="3"/>
      <c r="WGY190" s="3"/>
      <c r="WGZ190" s="3"/>
      <c r="WHA190" s="3"/>
      <c r="WHB190" s="3"/>
      <c r="WHC190" s="3"/>
      <c r="WHD190" s="3"/>
      <c r="WHE190" s="3"/>
      <c r="WHF190" s="3"/>
      <c r="WHG190" s="3"/>
      <c r="WHH190" s="3"/>
      <c r="WHI190" s="3"/>
      <c r="WHJ190" s="3"/>
      <c r="WHK190" s="3"/>
      <c r="WHL190" s="3"/>
      <c r="WHM190" s="3"/>
      <c r="WHN190" s="3"/>
      <c r="WHO190" s="3"/>
      <c r="WHP190" s="3"/>
      <c r="WHQ190" s="3"/>
      <c r="WHR190" s="3"/>
      <c r="WHS190" s="3"/>
      <c r="WHT190" s="3"/>
      <c r="WHU190" s="3"/>
      <c r="WHV190" s="3"/>
      <c r="WHW190" s="3"/>
      <c r="WHX190" s="3"/>
      <c r="WHY190" s="3"/>
      <c r="WHZ190" s="3"/>
      <c r="WIA190" s="3"/>
      <c r="WIB190" s="3"/>
      <c r="WIC190" s="3"/>
      <c r="WID190" s="3"/>
      <c r="WIE190" s="3"/>
      <c r="WIF190" s="3"/>
      <c r="WIG190" s="3"/>
      <c r="WIH190" s="3"/>
      <c r="WII190" s="3"/>
      <c r="WIJ190" s="3"/>
      <c r="WIK190" s="3"/>
      <c r="WIL190" s="3"/>
      <c r="WIM190" s="3"/>
      <c r="WIN190" s="3"/>
      <c r="WIO190" s="3"/>
      <c r="WIP190" s="3"/>
      <c r="WIQ190" s="3"/>
      <c r="WIR190" s="3"/>
      <c r="WIS190" s="3"/>
      <c r="WIT190" s="3"/>
      <c r="WIU190" s="3"/>
      <c r="WIV190" s="3"/>
      <c r="WIW190" s="3"/>
      <c r="WIX190" s="3"/>
      <c r="WIY190" s="3"/>
      <c r="WIZ190" s="3"/>
      <c r="WJA190" s="3"/>
      <c r="WJB190" s="3"/>
      <c r="WJC190" s="3"/>
      <c r="WJD190" s="3"/>
      <c r="WJE190" s="3"/>
      <c r="WJF190" s="3"/>
      <c r="WJG190" s="3"/>
      <c r="WJH190" s="3"/>
      <c r="WJI190" s="3"/>
      <c r="WJJ190" s="3"/>
      <c r="WJK190" s="3"/>
      <c r="WJL190" s="3"/>
      <c r="WJM190" s="3"/>
      <c r="WJN190" s="3"/>
      <c r="WJO190" s="3"/>
      <c r="WJP190" s="3"/>
      <c r="WJQ190" s="3"/>
      <c r="WJR190" s="3"/>
      <c r="WJS190" s="3"/>
      <c r="WJT190" s="3"/>
      <c r="WJU190" s="3"/>
      <c r="WJV190" s="3"/>
      <c r="WJW190" s="3"/>
      <c r="WJX190" s="3"/>
      <c r="WJY190" s="3"/>
      <c r="WJZ190" s="3"/>
      <c r="WKA190" s="3"/>
      <c r="WKB190" s="3"/>
      <c r="WKC190" s="3"/>
      <c r="WKD190" s="3"/>
      <c r="WKE190" s="3"/>
      <c r="WKF190" s="3"/>
      <c r="WKG190" s="3"/>
      <c r="WKH190" s="3"/>
      <c r="WKI190" s="3"/>
      <c r="WKJ190" s="3"/>
      <c r="WKK190" s="3"/>
      <c r="WKL190" s="3"/>
      <c r="WKM190" s="3"/>
      <c r="WKN190" s="3"/>
      <c r="WKO190" s="3"/>
      <c r="WKP190" s="3"/>
      <c r="WKQ190" s="3"/>
      <c r="WKR190" s="3"/>
      <c r="WKS190" s="3"/>
      <c r="WKT190" s="3"/>
      <c r="WKU190" s="3"/>
      <c r="WKV190" s="3"/>
      <c r="WKW190" s="3"/>
      <c r="WKX190" s="3"/>
      <c r="WKY190" s="3"/>
      <c r="WKZ190" s="3"/>
      <c r="WLA190" s="3"/>
      <c r="WLB190" s="3"/>
      <c r="WLC190" s="3"/>
      <c r="WLD190" s="3"/>
      <c r="WLE190" s="3"/>
      <c r="WLF190" s="3"/>
      <c r="WLG190" s="3"/>
      <c r="WLH190" s="3"/>
      <c r="WLI190" s="3"/>
      <c r="WLJ190" s="3"/>
      <c r="WLK190" s="3"/>
      <c r="WLL190" s="3"/>
      <c r="WLM190" s="3"/>
      <c r="WLN190" s="3"/>
      <c r="WLO190" s="3"/>
      <c r="WLP190" s="3"/>
      <c r="WLQ190" s="3"/>
      <c r="WLR190" s="3"/>
      <c r="WLS190" s="3"/>
      <c r="WLT190" s="3"/>
      <c r="WLU190" s="3"/>
      <c r="WLV190" s="3"/>
      <c r="WLW190" s="3"/>
      <c r="WLX190" s="3"/>
      <c r="WLY190" s="3"/>
      <c r="WLZ190" s="3"/>
      <c r="WMA190" s="3"/>
      <c r="WMB190" s="3"/>
      <c r="WMC190" s="3"/>
      <c r="WMD190" s="3"/>
      <c r="WME190" s="3"/>
      <c r="WMF190" s="3"/>
      <c r="WMG190" s="3"/>
      <c r="WMH190" s="3"/>
      <c r="WMI190" s="3"/>
      <c r="WMJ190" s="3"/>
      <c r="WMK190" s="3"/>
      <c r="WML190" s="3"/>
      <c r="WMM190" s="3"/>
      <c r="WMN190" s="3"/>
      <c r="WMO190" s="3"/>
      <c r="WMP190" s="3"/>
      <c r="WMQ190" s="3"/>
      <c r="WMR190" s="3"/>
      <c r="WMS190" s="3"/>
      <c r="WMT190" s="3"/>
      <c r="WMU190" s="3"/>
      <c r="WMV190" s="3"/>
      <c r="WMW190" s="3"/>
      <c r="WMX190" s="3"/>
      <c r="WMY190" s="3"/>
      <c r="WMZ190" s="3"/>
      <c r="WNA190" s="3"/>
      <c r="WNB190" s="3"/>
      <c r="WNC190" s="3"/>
      <c r="WND190" s="3"/>
      <c r="WNE190" s="3"/>
      <c r="WNF190" s="3"/>
      <c r="WNG190" s="3"/>
      <c r="WNH190" s="3"/>
      <c r="WNI190" s="3"/>
      <c r="WNJ190" s="3"/>
      <c r="WNK190" s="3"/>
      <c r="WNL190" s="3"/>
      <c r="WNM190" s="3"/>
      <c r="WNN190" s="3"/>
      <c r="WNO190" s="3"/>
      <c r="WNP190" s="3"/>
      <c r="WNQ190" s="3"/>
      <c r="WNR190" s="3"/>
      <c r="WNS190" s="3"/>
      <c r="WNT190" s="3"/>
      <c r="WNU190" s="3"/>
      <c r="WNV190" s="3"/>
      <c r="WNW190" s="3"/>
      <c r="WNX190" s="3"/>
      <c r="WNY190" s="3"/>
      <c r="WNZ190" s="3"/>
      <c r="WOA190" s="3"/>
      <c r="WOB190" s="3"/>
      <c r="WOC190" s="3"/>
      <c r="WOD190" s="3"/>
      <c r="WOE190" s="3"/>
      <c r="WOF190" s="3"/>
      <c r="WOG190" s="3"/>
      <c r="WOH190" s="3"/>
      <c r="WOI190" s="3"/>
      <c r="WOJ190" s="3"/>
      <c r="WOK190" s="3"/>
      <c r="WOL190" s="3"/>
      <c r="WOM190" s="3"/>
      <c r="WON190" s="3"/>
      <c r="WOO190" s="3"/>
      <c r="WOP190" s="3"/>
      <c r="WOQ190" s="3"/>
      <c r="WOR190" s="3"/>
      <c r="WOS190" s="3"/>
      <c r="WOT190" s="3"/>
      <c r="WOU190" s="3"/>
      <c r="WOV190" s="3"/>
      <c r="WOW190" s="3"/>
      <c r="WOX190" s="3"/>
      <c r="WOY190" s="3"/>
      <c r="WOZ190" s="3"/>
      <c r="WPA190" s="3"/>
      <c r="WPB190" s="3"/>
      <c r="WPC190" s="3"/>
      <c r="WPD190" s="3"/>
      <c r="WPE190" s="3"/>
      <c r="WPF190" s="3"/>
      <c r="WPG190" s="3"/>
      <c r="WPH190" s="3"/>
      <c r="WPI190" s="3"/>
      <c r="WPJ190" s="3"/>
      <c r="WPK190" s="3"/>
      <c r="WPL190" s="3"/>
      <c r="WPM190" s="3"/>
      <c r="WPN190" s="3"/>
      <c r="WPO190" s="3"/>
      <c r="WPP190" s="3"/>
      <c r="WPQ190" s="3"/>
      <c r="WPR190" s="3"/>
      <c r="WPS190" s="3"/>
      <c r="WPT190" s="3"/>
      <c r="WPU190" s="3"/>
      <c r="WPV190" s="3"/>
      <c r="WPW190" s="3"/>
      <c r="WPX190" s="3"/>
      <c r="WPY190" s="3"/>
      <c r="WPZ190" s="3"/>
      <c r="WQA190" s="3"/>
      <c r="WQB190" s="3"/>
      <c r="WQC190" s="3"/>
      <c r="WQD190" s="3"/>
      <c r="WQE190" s="3"/>
      <c r="WQF190" s="3"/>
      <c r="WQG190" s="3"/>
      <c r="WQH190" s="3"/>
      <c r="WQI190" s="3"/>
      <c r="WQJ190" s="3"/>
      <c r="WQK190" s="3"/>
      <c r="WQL190" s="3"/>
      <c r="WQM190" s="3"/>
      <c r="WQN190" s="3"/>
      <c r="WQO190" s="3"/>
      <c r="WQP190" s="3"/>
      <c r="WQQ190" s="3"/>
      <c r="WQR190" s="3"/>
      <c r="WQS190" s="3"/>
      <c r="WQT190" s="3"/>
      <c r="WQU190" s="3"/>
      <c r="WQV190" s="3"/>
      <c r="WQW190" s="3"/>
      <c r="WQX190" s="3"/>
      <c r="WQY190" s="3"/>
      <c r="WQZ190" s="3"/>
      <c r="WRA190" s="3"/>
      <c r="WRB190" s="3"/>
      <c r="WRC190" s="3"/>
      <c r="WRD190" s="3"/>
      <c r="WRE190" s="3"/>
      <c r="WRF190" s="3"/>
      <c r="WRG190" s="3"/>
      <c r="WRH190" s="3"/>
      <c r="WRI190" s="3"/>
      <c r="WRJ190" s="3"/>
      <c r="WRK190" s="3"/>
      <c r="WRL190" s="3"/>
      <c r="WRM190" s="3"/>
      <c r="WRN190" s="3"/>
      <c r="WRO190" s="3"/>
      <c r="WRP190" s="3"/>
      <c r="WRQ190" s="3"/>
      <c r="WRR190" s="3"/>
      <c r="WRS190" s="3"/>
      <c r="WRT190" s="3"/>
      <c r="WRU190" s="3"/>
      <c r="WRV190" s="3"/>
      <c r="WRW190" s="3"/>
      <c r="WRX190" s="3"/>
      <c r="WRY190" s="3"/>
      <c r="WRZ190" s="3"/>
      <c r="WSA190" s="3"/>
      <c r="WSB190" s="3"/>
      <c r="WSC190" s="3"/>
      <c r="WSD190" s="3"/>
      <c r="WSE190" s="3"/>
      <c r="WSF190" s="3"/>
      <c r="WSG190" s="3"/>
      <c r="WSH190" s="3"/>
      <c r="WSI190" s="3"/>
      <c r="WSJ190" s="3"/>
      <c r="WSK190" s="3"/>
      <c r="WSL190" s="3"/>
      <c r="WSM190" s="3"/>
      <c r="WSN190" s="3"/>
      <c r="WSO190" s="3"/>
      <c r="WSP190" s="3"/>
      <c r="WSQ190" s="3"/>
      <c r="WSR190" s="3"/>
      <c r="WSS190" s="3"/>
      <c r="WST190" s="3"/>
      <c r="WSU190" s="3"/>
      <c r="WSV190" s="3"/>
      <c r="WSW190" s="3"/>
      <c r="WSX190" s="3"/>
      <c r="WSY190" s="3"/>
      <c r="WSZ190" s="3"/>
      <c r="WTA190" s="3"/>
      <c r="WTB190" s="3"/>
      <c r="WTC190" s="3"/>
      <c r="WTD190" s="3"/>
      <c r="WTE190" s="3"/>
      <c r="WTF190" s="3"/>
      <c r="WTG190" s="3"/>
      <c r="WTH190" s="3"/>
      <c r="WTI190" s="3"/>
      <c r="WTJ190" s="3"/>
      <c r="WTK190" s="3"/>
      <c r="WTL190" s="3"/>
      <c r="WTM190" s="3"/>
      <c r="WTN190" s="3"/>
      <c r="WTO190" s="3"/>
      <c r="WTP190" s="3"/>
      <c r="WTQ190" s="3"/>
      <c r="WTR190" s="3"/>
      <c r="WTS190" s="3"/>
      <c r="WTT190" s="3"/>
      <c r="WTU190" s="3"/>
      <c r="WTV190" s="3"/>
      <c r="WTW190" s="3"/>
      <c r="WTX190" s="3"/>
      <c r="WTY190" s="3"/>
      <c r="WTZ190" s="3"/>
      <c r="WUA190" s="3"/>
      <c r="WUB190" s="3"/>
      <c r="WUC190" s="3"/>
      <c r="WUD190" s="3"/>
      <c r="WUE190" s="3"/>
      <c r="WUF190" s="3"/>
      <c r="WUG190" s="3"/>
      <c r="WUH190" s="3"/>
      <c r="WUI190" s="3"/>
      <c r="WUJ190" s="3"/>
      <c r="WUK190" s="3"/>
      <c r="WUL190" s="3"/>
      <c r="WUM190" s="3"/>
      <c r="WUN190" s="3"/>
      <c r="WUO190" s="3"/>
      <c r="WUP190" s="3"/>
      <c r="WUQ190" s="3"/>
      <c r="WUR190" s="3"/>
      <c r="WUS190" s="3"/>
      <c r="WUT190" s="3"/>
      <c r="WUU190" s="3"/>
      <c r="WUV190" s="3"/>
      <c r="WUW190" s="3"/>
      <c r="WUX190" s="3"/>
      <c r="WUY190" s="3"/>
      <c r="WUZ190" s="3"/>
      <c r="WVA190" s="3"/>
      <c r="WVB190" s="3"/>
      <c r="WVC190" s="3"/>
      <c r="WVD190" s="3"/>
      <c r="WVE190" s="3"/>
      <c r="WVF190" s="3"/>
      <c r="WVG190" s="3"/>
      <c r="WVH190" s="3"/>
      <c r="WVI190" s="3"/>
      <c r="WVJ190" s="3"/>
      <c r="WVK190" s="3"/>
      <c r="WVL190" s="3"/>
      <c r="WVM190" s="3"/>
      <c r="WVN190" s="3"/>
      <c r="WVO190" s="3"/>
      <c r="WVP190" s="3"/>
      <c r="WVQ190" s="3"/>
      <c r="WVR190" s="3"/>
      <c r="WVS190" s="3"/>
      <c r="WVT190" s="3"/>
      <c r="WVU190" s="3"/>
      <c r="WVV190" s="3"/>
      <c r="WVW190" s="3"/>
      <c r="WVX190" s="3"/>
      <c r="WVY190" s="3"/>
      <c r="WVZ190" s="3"/>
      <c r="WWA190" s="3"/>
      <c r="WWB190" s="3"/>
      <c r="WWC190" s="3"/>
      <c r="WWD190" s="3"/>
      <c r="WWE190" s="3"/>
      <c r="WWF190" s="3"/>
      <c r="WWG190" s="3"/>
      <c r="WWH190" s="3"/>
      <c r="WWI190" s="3"/>
      <c r="WWJ190" s="3"/>
      <c r="WWK190" s="3"/>
      <c r="WWL190" s="3"/>
      <c r="WWM190" s="3"/>
      <c r="WWN190" s="3"/>
      <c r="WWO190" s="3"/>
      <c r="WWP190" s="3"/>
      <c r="WWQ190" s="3"/>
      <c r="WWR190" s="3"/>
      <c r="WWS190" s="3"/>
      <c r="WWT190" s="3"/>
      <c r="WWU190" s="3"/>
      <c r="WWV190" s="3"/>
      <c r="WWW190" s="3"/>
      <c r="WWX190" s="3"/>
      <c r="WWY190" s="3"/>
      <c r="WWZ190" s="3"/>
      <c r="WXA190" s="3"/>
      <c r="WXB190" s="3"/>
      <c r="WXC190" s="3"/>
      <c r="WXD190" s="3"/>
      <c r="WXE190" s="3"/>
      <c r="WXF190" s="3"/>
      <c r="WXG190" s="3"/>
      <c r="WXH190" s="3"/>
      <c r="WXI190" s="3"/>
      <c r="WXJ190" s="3"/>
      <c r="WXK190" s="3"/>
      <c r="WXL190" s="3"/>
      <c r="WXM190" s="3"/>
      <c r="WXN190" s="3"/>
      <c r="WXO190" s="3"/>
      <c r="WXP190" s="3"/>
      <c r="WXQ190" s="3"/>
      <c r="WXR190" s="3"/>
      <c r="WXS190" s="3"/>
      <c r="WXT190" s="3"/>
      <c r="WXU190" s="3"/>
      <c r="WXV190" s="3"/>
      <c r="WXW190" s="3"/>
      <c r="WXX190" s="3"/>
      <c r="WXY190" s="3"/>
      <c r="WXZ190" s="3"/>
      <c r="WYA190" s="3"/>
      <c r="WYB190" s="3"/>
      <c r="WYC190" s="3"/>
      <c r="WYD190" s="3"/>
      <c r="WYE190" s="3"/>
      <c r="WYF190" s="3"/>
      <c r="WYG190" s="3"/>
      <c r="WYH190" s="3"/>
      <c r="WYI190" s="3"/>
      <c r="WYJ190" s="3"/>
      <c r="WYK190" s="3"/>
      <c r="WYL190" s="3"/>
      <c r="WYM190" s="3"/>
      <c r="WYN190" s="3"/>
      <c r="WYO190" s="3"/>
      <c r="WYP190" s="3"/>
      <c r="WYQ190" s="3"/>
      <c r="WYR190" s="3"/>
      <c r="WYS190" s="3"/>
      <c r="WYT190" s="3"/>
      <c r="WYU190" s="3"/>
      <c r="WYV190" s="3"/>
      <c r="WYW190" s="3"/>
      <c r="WYX190" s="3"/>
      <c r="WYY190" s="3"/>
      <c r="WYZ190" s="3"/>
      <c r="WZA190" s="3"/>
      <c r="WZB190" s="3"/>
      <c r="WZC190" s="3"/>
      <c r="WZD190" s="3"/>
      <c r="WZE190" s="3"/>
      <c r="WZF190" s="3"/>
      <c r="WZG190" s="3"/>
      <c r="WZH190" s="3"/>
      <c r="WZI190" s="3"/>
      <c r="WZJ190" s="3"/>
      <c r="WZK190" s="3"/>
      <c r="WZL190" s="3"/>
      <c r="WZM190" s="3"/>
      <c r="WZN190" s="3"/>
      <c r="WZO190" s="3"/>
      <c r="WZP190" s="3"/>
      <c r="WZQ190" s="3"/>
      <c r="WZR190" s="3"/>
      <c r="WZS190" s="3"/>
      <c r="WZT190" s="3"/>
      <c r="WZU190" s="3"/>
      <c r="WZV190" s="3"/>
      <c r="WZW190" s="3"/>
      <c r="WZX190" s="3"/>
      <c r="WZY190" s="3"/>
      <c r="WZZ190" s="3"/>
      <c r="XAA190" s="3"/>
      <c r="XAB190" s="3"/>
      <c r="XAC190" s="3"/>
      <c r="XAD190" s="3"/>
      <c r="XAE190" s="3"/>
      <c r="XAF190" s="3"/>
      <c r="XAG190" s="3"/>
      <c r="XAH190" s="3"/>
      <c r="XAI190" s="3"/>
      <c r="XAJ190" s="3"/>
      <c r="XAK190" s="3"/>
      <c r="XAL190" s="3"/>
      <c r="XAM190" s="3"/>
      <c r="XAN190" s="3"/>
      <c r="XAO190" s="3"/>
      <c r="XAP190" s="3"/>
      <c r="XAQ190" s="3"/>
      <c r="XAR190" s="3"/>
      <c r="XAS190" s="3"/>
      <c r="XAT190" s="3"/>
      <c r="XAU190" s="3"/>
      <c r="XAV190" s="3"/>
      <c r="XAW190" s="3"/>
      <c r="XAX190" s="3"/>
      <c r="XAY190" s="3"/>
      <c r="XAZ190" s="3"/>
      <c r="XBA190" s="3"/>
      <c r="XBB190" s="3"/>
      <c r="XBC190" s="3"/>
      <c r="XBD190" s="3"/>
      <c r="XBE190" s="3"/>
      <c r="XBF190" s="3"/>
      <c r="XBG190" s="3"/>
      <c r="XBH190" s="3"/>
      <c r="XBI190" s="3"/>
      <c r="XBJ190" s="3"/>
      <c r="XBK190" s="3"/>
      <c r="XBL190" s="3"/>
      <c r="XBM190" s="3"/>
      <c r="XBN190" s="3"/>
      <c r="XBO190" s="3"/>
      <c r="XBP190" s="3"/>
      <c r="XBQ190" s="3"/>
      <c r="XBR190" s="3"/>
      <c r="XBS190" s="3"/>
      <c r="XBT190" s="3"/>
      <c r="XBU190" s="3"/>
      <c r="XBV190" s="3"/>
      <c r="XBW190" s="3"/>
      <c r="XBX190" s="3"/>
      <c r="XBY190" s="3"/>
      <c r="XBZ190" s="3"/>
      <c r="XCA190" s="3"/>
      <c r="XCB190" s="3"/>
      <c r="XCC190" s="3"/>
      <c r="XCD190" s="3"/>
      <c r="XCE190" s="3"/>
      <c r="XCF190" s="3"/>
      <c r="XCG190" s="3"/>
      <c r="XCH190" s="3"/>
      <c r="XCI190" s="3"/>
      <c r="XCJ190" s="3"/>
      <c r="XCK190" s="3"/>
      <c r="XCL190" s="3"/>
      <c r="XCM190" s="3"/>
      <c r="XCN190" s="3"/>
      <c r="XCO190" s="3"/>
      <c r="XCP190" s="3"/>
      <c r="XCQ190" s="3"/>
      <c r="XCR190" s="3"/>
      <c r="XCS190" s="3"/>
      <c r="XCT190" s="3"/>
      <c r="XCU190" s="3"/>
      <c r="XCV190" s="3"/>
      <c r="XCW190" s="3"/>
      <c r="XCX190" s="3"/>
      <c r="XCY190" s="3"/>
      <c r="XCZ190" s="3"/>
      <c r="XDA190" s="3"/>
      <c r="XDB190" s="3"/>
      <c r="XDC190" s="3"/>
      <c r="XDD190" s="3"/>
      <c r="XDE190" s="3"/>
      <c r="XDF190" s="3"/>
      <c r="XDG190" s="3"/>
      <c r="XDH190" s="3"/>
      <c r="XDI190" s="3"/>
      <c r="XDJ190" s="3"/>
      <c r="XDK190" s="3"/>
      <c r="XDL190" s="3"/>
      <c r="XDM190" s="3"/>
      <c r="XDN190" s="3"/>
      <c r="XDO190" s="3"/>
      <c r="XDP190" s="3"/>
      <c r="XDQ190" s="3"/>
      <c r="XDR190" s="3"/>
      <c r="XDS190" s="3"/>
      <c r="XDT190" s="3"/>
      <c r="XDU190" s="3"/>
      <c r="XDV190" s="3"/>
      <c r="XDW190" s="3"/>
      <c r="XDX190" s="3"/>
    </row>
    <row r="191" spans="1:16352" x14ac:dyDescent="0.3">
      <c r="A191" s="115"/>
      <c r="B191" s="115"/>
      <c r="C191" s="115"/>
      <c r="D191" s="72" t="s">
        <v>214</v>
      </c>
      <c r="E191" s="73">
        <f>COUNTIFS(E4:E190,"Public")</f>
        <v>0</v>
      </c>
      <c r="F191" s="73">
        <f t="shared" ref="F191:K191" si="2">COUNTIFS(F4:F190,"Public")</f>
        <v>0</v>
      </c>
      <c r="G191" s="73">
        <f t="shared" si="2"/>
        <v>0</v>
      </c>
      <c r="H191" s="73">
        <f t="shared" si="2"/>
        <v>0</v>
      </c>
      <c r="I191" s="73">
        <f t="shared" si="2"/>
        <v>0</v>
      </c>
      <c r="J191" s="73">
        <f t="shared" si="2"/>
        <v>0</v>
      </c>
      <c r="K191" s="73">
        <f t="shared" si="2"/>
        <v>0</v>
      </c>
      <c r="L191" s="73">
        <f t="shared" ref="L191:AK191" si="3">COUNTIFS(L4:L190,"Public")</f>
        <v>0</v>
      </c>
      <c r="M191" s="73">
        <f t="shared" si="3"/>
        <v>0</v>
      </c>
      <c r="N191" s="73">
        <f t="shared" si="3"/>
        <v>0</v>
      </c>
      <c r="O191" s="73">
        <f t="shared" si="3"/>
        <v>0</v>
      </c>
      <c r="P191" s="73">
        <f t="shared" si="3"/>
        <v>0</v>
      </c>
      <c r="Q191" s="73">
        <f t="shared" si="3"/>
        <v>0</v>
      </c>
      <c r="R191" s="73">
        <f t="shared" si="3"/>
        <v>0</v>
      </c>
      <c r="S191" s="73">
        <f t="shared" si="3"/>
        <v>0</v>
      </c>
      <c r="T191" s="73">
        <f t="shared" si="3"/>
        <v>0</v>
      </c>
      <c r="U191" s="73">
        <f t="shared" si="3"/>
        <v>0</v>
      </c>
      <c r="V191" s="73">
        <f t="shared" si="3"/>
        <v>0</v>
      </c>
      <c r="W191" s="73">
        <f t="shared" si="3"/>
        <v>0</v>
      </c>
      <c r="X191" s="73">
        <f t="shared" si="3"/>
        <v>0</v>
      </c>
      <c r="Y191" s="73">
        <f t="shared" si="3"/>
        <v>0</v>
      </c>
      <c r="Z191" s="73">
        <f t="shared" si="3"/>
        <v>0</v>
      </c>
      <c r="AA191" s="73">
        <f t="shared" si="3"/>
        <v>0</v>
      </c>
      <c r="AB191" s="73">
        <f t="shared" si="3"/>
        <v>0</v>
      </c>
      <c r="AC191" s="73">
        <f t="shared" si="3"/>
        <v>0</v>
      </c>
      <c r="AD191" s="73">
        <f t="shared" si="3"/>
        <v>0</v>
      </c>
      <c r="AE191" s="73">
        <f t="shared" si="3"/>
        <v>0</v>
      </c>
      <c r="AF191" s="73">
        <f t="shared" si="3"/>
        <v>0</v>
      </c>
      <c r="AG191" s="73">
        <f t="shared" si="3"/>
        <v>0</v>
      </c>
      <c r="AH191" s="73">
        <f t="shared" si="3"/>
        <v>0</v>
      </c>
      <c r="AI191" s="73">
        <f t="shared" si="3"/>
        <v>0</v>
      </c>
      <c r="AJ191" s="73">
        <f t="shared" si="3"/>
        <v>0</v>
      </c>
      <c r="AK191" s="73">
        <f t="shared" si="3"/>
        <v>0</v>
      </c>
    </row>
    <row r="192" spans="1:16352" x14ac:dyDescent="0.3">
      <c r="A192" s="115"/>
      <c r="B192" s="115"/>
      <c r="C192" s="115"/>
      <c r="D192" s="72" t="s">
        <v>215</v>
      </c>
      <c r="E192" s="73">
        <f t="shared" ref="E192:AK192" si="4">COUNTIFS(E5:E191,"Optional")</f>
        <v>0</v>
      </c>
      <c r="F192" s="73">
        <f t="shared" si="4"/>
        <v>0</v>
      </c>
      <c r="G192" s="73">
        <f t="shared" si="4"/>
        <v>0</v>
      </c>
      <c r="H192" s="73">
        <f t="shared" si="4"/>
        <v>8</v>
      </c>
      <c r="I192" s="73">
        <f t="shared" si="4"/>
        <v>0</v>
      </c>
      <c r="J192" s="73">
        <f t="shared" si="4"/>
        <v>13</v>
      </c>
      <c r="K192" s="73">
        <f t="shared" si="4"/>
        <v>0</v>
      </c>
      <c r="L192" s="73">
        <f t="shared" si="4"/>
        <v>0</v>
      </c>
      <c r="M192" s="73">
        <f t="shared" si="4"/>
        <v>0</v>
      </c>
      <c r="N192" s="73">
        <f t="shared" si="4"/>
        <v>0</v>
      </c>
      <c r="O192" s="73">
        <f t="shared" si="4"/>
        <v>0</v>
      </c>
      <c r="P192" s="73">
        <f t="shared" si="4"/>
        <v>0</v>
      </c>
      <c r="Q192" s="73">
        <f t="shared" si="4"/>
        <v>0</v>
      </c>
      <c r="R192" s="73">
        <f t="shared" si="4"/>
        <v>0</v>
      </c>
      <c r="S192" s="73">
        <f t="shared" si="4"/>
        <v>0</v>
      </c>
      <c r="T192" s="73">
        <f t="shared" si="4"/>
        <v>0</v>
      </c>
      <c r="U192" s="73">
        <f t="shared" si="4"/>
        <v>0</v>
      </c>
      <c r="V192" s="73">
        <f t="shared" si="4"/>
        <v>0</v>
      </c>
      <c r="W192" s="73">
        <f t="shared" si="4"/>
        <v>0</v>
      </c>
      <c r="X192" s="73">
        <f t="shared" si="4"/>
        <v>0</v>
      </c>
      <c r="Y192" s="73">
        <f t="shared" si="4"/>
        <v>0</v>
      </c>
      <c r="Z192" s="73">
        <f t="shared" si="4"/>
        <v>0</v>
      </c>
      <c r="AA192" s="73">
        <f t="shared" si="4"/>
        <v>1</v>
      </c>
      <c r="AB192" s="73">
        <f t="shared" si="4"/>
        <v>0</v>
      </c>
      <c r="AC192" s="73">
        <f t="shared" si="4"/>
        <v>0</v>
      </c>
      <c r="AD192" s="73">
        <f t="shared" si="4"/>
        <v>0</v>
      </c>
      <c r="AE192" s="73">
        <f t="shared" si="4"/>
        <v>0</v>
      </c>
      <c r="AF192" s="73">
        <f t="shared" si="4"/>
        <v>0</v>
      </c>
      <c r="AG192" s="73">
        <f t="shared" si="4"/>
        <v>0</v>
      </c>
      <c r="AH192" s="73">
        <f t="shared" si="4"/>
        <v>0</v>
      </c>
      <c r="AI192" s="73">
        <f t="shared" si="4"/>
        <v>1</v>
      </c>
      <c r="AJ192" s="73">
        <f t="shared" si="4"/>
        <v>24</v>
      </c>
      <c r="AK192" s="73">
        <f t="shared" si="4"/>
        <v>0</v>
      </c>
    </row>
    <row r="193" spans="1:37" x14ac:dyDescent="0.3">
      <c r="A193" s="115"/>
      <c r="B193" s="115"/>
      <c r="C193" s="115"/>
      <c r="D193" s="72" t="s">
        <v>218</v>
      </c>
      <c r="E193" s="73">
        <f t="shared" ref="E193:AK193" si="5">COUNTIFS(E6:E192,"National-WE")</f>
        <v>0</v>
      </c>
      <c r="F193" s="73">
        <f t="shared" si="5"/>
        <v>0</v>
      </c>
      <c r="G193" s="73">
        <f t="shared" si="5"/>
        <v>0</v>
      </c>
      <c r="H193" s="73">
        <f t="shared" si="5"/>
        <v>1</v>
      </c>
      <c r="I193" s="73">
        <f t="shared" si="5"/>
        <v>0</v>
      </c>
      <c r="J193" s="73">
        <f t="shared" si="5"/>
        <v>1</v>
      </c>
      <c r="K193" s="73">
        <f t="shared" si="5"/>
        <v>0</v>
      </c>
      <c r="L193" s="73">
        <f t="shared" si="5"/>
        <v>1</v>
      </c>
      <c r="M193" s="73">
        <f t="shared" si="5"/>
        <v>0</v>
      </c>
      <c r="N193" s="73">
        <f t="shared" si="5"/>
        <v>1</v>
      </c>
      <c r="O193" s="73">
        <f t="shared" si="5"/>
        <v>1</v>
      </c>
      <c r="P193" s="73">
        <f t="shared" si="5"/>
        <v>0</v>
      </c>
      <c r="Q193" s="73">
        <f t="shared" si="5"/>
        <v>1</v>
      </c>
      <c r="R193" s="73">
        <f t="shared" si="5"/>
        <v>0</v>
      </c>
      <c r="S193" s="73">
        <f t="shared" si="5"/>
        <v>0</v>
      </c>
      <c r="T193" s="73">
        <f t="shared" si="5"/>
        <v>1</v>
      </c>
      <c r="U193" s="73">
        <f t="shared" si="5"/>
        <v>0</v>
      </c>
      <c r="V193" s="73">
        <f t="shared" si="5"/>
        <v>0</v>
      </c>
      <c r="W193" s="73">
        <f t="shared" si="5"/>
        <v>0</v>
      </c>
      <c r="X193" s="73">
        <f t="shared" si="5"/>
        <v>0</v>
      </c>
      <c r="Y193" s="73">
        <f t="shared" si="5"/>
        <v>0</v>
      </c>
      <c r="Z193" s="73">
        <f t="shared" si="5"/>
        <v>0</v>
      </c>
      <c r="AA193" s="73">
        <f t="shared" si="5"/>
        <v>0</v>
      </c>
      <c r="AB193" s="73">
        <f t="shared" si="5"/>
        <v>0</v>
      </c>
      <c r="AC193" s="73">
        <f t="shared" si="5"/>
        <v>0</v>
      </c>
      <c r="AD193" s="73">
        <f t="shared" si="5"/>
        <v>1</v>
      </c>
      <c r="AE193" s="73">
        <f t="shared" si="5"/>
        <v>1</v>
      </c>
      <c r="AF193" s="73">
        <f t="shared" si="5"/>
        <v>1</v>
      </c>
      <c r="AG193" s="73">
        <f t="shared" si="5"/>
        <v>1</v>
      </c>
      <c r="AH193" s="73">
        <f t="shared" si="5"/>
        <v>0</v>
      </c>
      <c r="AI193" s="73">
        <f t="shared" si="5"/>
        <v>1</v>
      </c>
      <c r="AJ193" s="73">
        <f t="shared" si="5"/>
        <v>1</v>
      </c>
      <c r="AK193" s="73">
        <f t="shared" si="5"/>
        <v>0</v>
      </c>
    </row>
    <row r="194" spans="1:37" x14ac:dyDescent="0.3">
      <c r="A194" s="115"/>
      <c r="B194" s="115"/>
      <c r="C194" s="115"/>
      <c r="D194" s="72" t="s">
        <v>219</v>
      </c>
      <c r="E194" s="73">
        <f t="shared" ref="E194:AK194" si="6">COUNTIFS(E8:E193,"Regional-WE")</f>
        <v>0</v>
      </c>
      <c r="F194" s="73">
        <f t="shared" si="6"/>
        <v>0</v>
      </c>
      <c r="G194" s="73">
        <f t="shared" si="6"/>
        <v>0</v>
      </c>
      <c r="H194" s="73">
        <f t="shared" si="6"/>
        <v>6</v>
      </c>
      <c r="I194" s="73">
        <f t="shared" si="6"/>
        <v>0</v>
      </c>
      <c r="J194" s="73">
        <f t="shared" si="6"/>
        <v>3</v>
      </c>
      <c r="K194" s="73">
        <f t="shared" si="6"/>
        <v>0</v>
      </c>
      <c r="L194" s="73">
        <f t="shared" si="6"/>
        <v>8</v>
      </c>
      <c r="M194" s="73">
        <f t="shared" si="6"/>
        <v>0</v>
      </c>
      <c r="N194" s="73">
        <f t="shared" si="6"/>
        <v>13</v>
      </c>
      <c r="O194" s="73">
        <f t="shared" si="6"/>
        <v>5</v>
      </c>
      <c r="P194" s="73">
        <f t="shared" si="6"/>
        <v>0</v>
      </c>
      <c r="Q194" s="73">
        <f t="shared" si="6"/>
        <v>12</v>
      </c>
      <c r="R194" s="73">
        <f t="shared" si="6"/>
        <v>0</v>
      </c>
      <c r="S194" s="73">
        <f t="shared" si="6"/>
        <v>4</v>
      </c>
      <c r="T194" s="73">
        <f t="shared" si="6"/>
        <v>9</v>
      </c>
      <c r="U194" s="73">
        <f t="shared" si="6"/>
        <v>0</v>
      </c>
      <c r="V194" s="73">
        <f t="shared" si="6"/>
        <v>8</v>
      </c>
      <c r="W194" s="73">
        <f t="shared" si="6"/>
        <v>5</v>
      </c>
      <c r="X194" s="73">
        <f t="shared" si="6"/>
        <v>4</v>
      </c>
      <c r="Y194" s="73">
        <f t="shared" si="6"/>
        <v>3</v>
      </c>
      <c r="Z194" s="73">
        <f t="shared" si="6"/>
        <v>0</v>
      </c>
      <c r="AA194" s="73">
        <f t="shared" si="6"/>
        <v>2</v>
      </c>
      <c r="AB194" s="73">
        <f t="shared" si="6"/>
        <v>0</v>
      </c>
      <c r="AC194" s="73">
        <f t="shared" si="6"/>
        <v>0</v>
      </c>
      <c r="AD194" s="73">
        <f t="shared" si="6"/>
        <v>2</v>
      </c>
      <c r="AE194" s="73">
        <f t="shared" si="6"/>
        <v>6</v>
      </c>
      <c r="AF194" s="73">
        <f t="shared" si="6"/>
        <v>2</v>
      </c>
      <c r="AG194" s="73">
        <f t="shared" si="6"/>
        <v>4</v>
      </c>
      <c r="AH194" s="73">
        <f t="shared" si="6"/>
        <v>0</v>
      </c>
      <c r="AI194" s="73">
        <f t="shared" si="6"/>
        <v>4</v>
      </c>
      <c r="AJ194" s="73">
        <f t="shared" si="6"/>
        <v>5</v>
      </c>
      <c r="AK194" s="73">
        <f t="shared" si="6"/>
        <v>0</v>
      </c>
    </row>
    <row r="195" spans="1:37" x14ac:dyDescent="0.3">
      <c r="A195" s="115"/>
      <c r="B195" s="115"/>
      <c r="C195" s="115"/>
      <c r="D195" s="72" t="s">
        <v>220</v>
      </c>
      <c r="E195" s="73">
        <f t="shared" ref="E195:AK195" si="7">COUNTIFS(E9:E194,"Public-WE")</f>
        <v>0</v>
      </c>
      <c r="F195" s="73">
        <f t="shared" si="7"/>
        <v>0</v>
      </c>
      <c r="G195" s="73">
        <f t="shared" si="7"/>
        <v>0</v>
      </c>
      <c r="H195" s="73">
        <f t="shared" si="7"/>
        <v>0</v>
      </c>
      <c r="I195" s="73">
        <f t="shared" si="7"/>
        <v>0</v>
      </c>
      <c r="J195" s="73">
        <f t="shared" si="7"/>
        <v>0</v>
      </c>
      <c r="K195" s="73">
        <f t="shared" si="7"/>
        <v>0</v>
      </c>
      <c r="L195" s="73">
        <f t="shared" si="7"/>
        <v>0</v>
      </c>
      <c r="M195" s="73">
        <f t="shared" si="7"/>
        <v>0</v>
      </c>
      <c r="N195" s="73">
        <f t="shared" si="7"/>
        <v>0</v>
      </c>
      <c r="O195" s="73">
        <f t="shared" si="7"/>
        <v>0</v>
      </c>
      <c r="P195" s="73">
        <f t="shared" si="7"/>
        <v>0</v>
      </c>
      <c r="Q195" s="73">
        <f t="shared" si="7"/>
        <v>0</v>
      </c>
      <c r="R195" s="73">
        <f t="shared" si="7"/>
        <v>0</v>
      </c>
      <c r="S195" s="73">
        <f t="shared" si="7"/>
        <v>0</v>
      </c>
      <c r="T195" s="73">
        <f t="shared" si="7"/>
        <v>0</v>
      </c>
      <c r="U195" s="73">
        <f t="shared" si="7"/>
        <v>0</v>
      </c>
      <c r="V195" s="73">
        <f t="shared" si="7"/>
        <v>0</v>
      </c>
      <c r="W195" s="73">
        <f t="shared" si="7"/>
        <v>0</v>
      </c>
      <c r="X195" s="73">
        <f t="shared" si="7"/>
        <v>0</v>
      </c>
      <c r="Y195" s="73">
        <f t="shared" si="7"/>
        <v>0</v>
      </c>
      <c r="Z195" s="73">
        <f t="shared" si="7"/>
        <v>0</v>
      </c>
      <c r="AA195" s="73">
        <f t="shared" si="7"/>
        <v>0</v>
      </c>
      <c r="AB195" s="73">
        <f t="shared" si="7"/>
        <v>0</v>
      </c>
      <c r="AC195" s="73">
        <f t="shared" si="7"/>
        <v>0</v>
      </c>
      <c r="AD195" s="73">
        <f t="shared" si="7"/>
        <v>0</v>
      </c>
      <c r="AE195" s="73">
        <f t="shared" si="7"/>
        <v>0</v>
      </c>
      <c r="AF195" s="73">
        <f t="shared" si="7"/>
        <v>0</v>
      </c>
      <c r="AG195" s="73">
        <f t="shared" si="7"/>
        <v>0</v>
      </c>
      <c r="AH195" s="73">
        <f t="shared" si="7"/>
        <v>0</v>
      </c>
      <c r="AI195" s="73">
        <f t="shared" si="7"/>
        <v>0</v>
      </c>
      <c r="AJ195" s="73">
        <f t="shared" si="7"/>
        <v>0</v>
      </c>
      <c r="AK195" s="73">
        <f t="shared" si="7"/>
        <v>0</v>
      </c>
    </row>
    <row r="196" spans="1:37" x14ac:dyDescent="0.3">
      <c r="A196" s="115"/>
      <c r="B196" s="115"/>
      <c r="C196" s="115"/>
      <c r="D196" s="72" t="s">
        <v>221</v>
      </c>
      <c r="E196" s="73">
        <f t="shared" ref="E196:AK196" si="8">COUNTIFS(E10:E195,"Optional-WE")</f>
        <v>0</v>
      </c>
      <c r="F196" s="73">
        <f t="shared" si="8"/>
        <v>0</v>
      </c>
      <c r="G196" s="73">
        <f t="shared" si="8"/>
        <v>0</v>
      </c>
      <c r="H196" s="73">
        <f t="shared" si="8"/>
        <v>2</v>
      </c>
      <c r="I196" s="73">
        <f t="shared" si="8"/>
        <v>0</v>
      </c>
      <c r="J196" s="73">
        <f t="shared" si="8"/>
        <v>2</v>
      </c>
      <c r="K196" s="73">
        <f t="shared" si="8"/>
        <v>0</v>
      </c>
      <c r="L196" s="73">
        <f t="shared" si="8"/>
        <v>0</v>
      </c>
      <c r="M196" s="73">
        <f t="shared" si="8"/>
        <v>0</v>
      </c>
      <c r="N196" s="73">
        <f t="shared" si="8"/>
        <v>0</v>
      </c>
      <c r="O196" s="73">
        <f t="shared" si="8"/>
        <v>0</v>
      </c>
      <c r="P196" s="73">
        <f t="shared" si="8"/>
        <v>0</v>
      </c>
      <c r="Q196" s="73">
        <f t="shared" si="8"/>
        <v>0</v>
      </c>
      <c r="R196" s="73">
        <f t="shared" si="8"/>
        <v>0</v>
      </c>
      <c r="S196" s="73">
        <f t="shared" si="8"/>
        <v>0</v>
      </c>
      <c r="T196" s="73">
        <f t="shared" si="8"/>
        <v>0</v>
      </c>
      <c r="U196" s="73">
        <f t="shared" si="8"/>
        <v>0</v>
      </c>
      <c r="V196" s="73">
        <f t="shared" si="8"/>
        <v>0</v>
      </c>
      <c r="W196" s="73">
        <f t="shared" si="8"/>
        <v>0</v>
      </c>
      <c r="X196" s="73">
        <f t="shared" si="8"/>
        <v>0</v>
      </c>
      <c r="Y196" s="73">
        <f t="shared" si="8"/>
        <v>0</v>
      </c>
      <c r="Z196" s="73">
        <f t="shared" si="8"/>
        <v>0</v>
      </c>
      <c r="AA196" s="73">
        <f t="shared" si="8"/>
        <v>0</v>
      </c>
      <c r="AB196" s="73">
        <f t="shared" si="8"/>
        <v>0</v>
      </c>
      <c r="AC196" s="73">
        <f t="shared" si="8"/>
        <v>0</v>
      </c>
      <c r="AD196" s="73">
        <f t="shared" si="8"/>
        <v>0</v>
      </c>
      <c r="AE196" s="73">
        <f t="shared" si="8"/>
        <v>0</v>
      </c>
      <c r="AF196" s="73">
        <f t="shared" si="8"/>
        <v>0</v>
      </c>
      <c r="AG196" s="73">
        <f t="shared" si="8"/>
        <v>0</v>
      </c>
      <c r="AH196" s="73">
        <f t="shared" si="8"/>
        <v>0</v>
      </c>
      <c r="AI196" s="73">
        <f t="shared" si="8"/>
        <v>0</v>
      </c>
      <c r="AJ196" s="73">
        <f t="shared" si="8"/>
        <v>3</v>
      </c>
      <c r="AK196" s="73">
        <f t="shared" si="8"/>
        <v>0</v>
      </c>
    </row>
    <row r="197" spans="1:37" ht="14.5" x14ac:dyDescent="0.35">
      <c r="D197" s="82"/>
      <c r="H197" s="3" t="e">
        <f ca="1">countbycolor(H2:H186,H181)</f>
        <v>#NAME?</v>
      </c>
    </row>
    <row r="198" spans="1:37" ht="14.5" x14ac:dyDescent="0.35">
      <c r="A198" s="77" t="s">
        <v>321</v>
      </c>
      <c r="B198" s="61" t="s">
        <v>322</v>
      </c>
      <c r="D198"/>
    </row>
  </sheetData>
  <autoFilter ref="A1:XDX186" xr:uid="{5D5144B2-CB60-4222-AB20-391455342BA2}"/>
  <mergeCells count="2">
    <mergeCell ref="A189:C196"/>
    <mergeCell ref="A187:XFD188"/>
  </mergeCells>
  <hyperlinks>
    <hyperlink ref="B198" r:id="rId1" xr:uid="{AD2A7AEA-4CFE-439F-8C7C-07178E77613E}"/>
  </hyperlinks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E94CEA-E801-4ADD-BCDB-CB95EF09681E}">
          <x14:formula1>
            <xm:f>Sheet2!$A$1:$A$8</xm:f>
          </x14:formula1>
          <xm:sqref>U150 E2:G186 L2:M186 O2:R186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4492-6D5D-401E-B6C1-1BB99E53CE88}">
  <sheetPr>
    <tabColor theme="6" tint="-0.499984740745262"/>
  </sheetPr>
  <dimension ref="A1:XDX203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1" sqref="D21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58.26953125" style="25" customWidth="1"/>
    <col min="4" max="4" width="17.90625" style="25" customWidth="1"/>
    <col min="5" max="5" width="9.453125" style="3" hidden="1" customWidth="1"/>
    <col min="6" max="6" width="10.36328125" style="3" hidden="1" customWidth="1"/>
    <col min="7" max="7" width="9.453125" style="3" hidden="1" customWidth="1"/>
    <col min="8" max="8" width="9.453125" style="3" customWidth="1"/>
    <col min="9" max="9" width="9.453125" style="3" hidden="1" customWidth="1"/>
    <col min="10" max="10" width="9.453125" style="3" customWidth="1"/>
    <col min="11" max="11" width="12.26953125" style="3" hidden="1" customWidth="1"/>
    <col min="12" max="12" width="11.26953125" style="3" customWidth="1"/>
    <col min="13" max="13" width="11.26953125" style="3" hidden="1" customWidth="1"/>
    <col min="14" max="14" width="12.26953125" style="3" customWidth="1"/>
    <col min="15" max="15" width="11.36328125" style="3" customWidth="1"/>
    <col min="16" max="16" width="14.90625" style="3" hidden="1" customWidth="1"/>
    <col min="17" max="17" width="9.453125" style="3" customWidth="1"/>
    <col min="18" max="18" width="9.453125" style="3" hidden="1" customWidth="1"/>
    <col min="19" max="19" width="9.453125" style="3" customWidth="1"/>
    <col min="20" max="20" width="11.08984375" style="3" customWidth="1"/>
    <col min="21" max="21" width="16.54296875" style="3" hidden="1" customWidth="1"/>
    <col min="22" max="23" width="9.453125" style="3" customWidth="1"/>
    <col min="24" max="24" width="12.1796875" style="3" customWidth="1"/>
    <col min="25" max="25" width="9.453125" style="3" customWidth="1"/>
    <col min="26" max="26" width="9.453125" style="3" hidden="1" customWidth="1"/>
    <col min="27" max="27" width="9.453125" style="3" customWidth="1"/>
    <col min="28" max="28" width="9.1796875" style="3" hidden="1" customWidth="1"/>
    <col min="29" max="29" width="9.26953125" style="3" hidden="1" customWidth="1"/>
    <col min="30" max="30" width="10.36328125" style="3" customWidth="1"/>
    <col min="31" max="31" width="9.6328125" style="3" customWidth="1"/>
    <col min="32" max="32" width="15.1796875" style="3" customWidth="1"/>
    <col min="33" max="33" width="9.453125" style="3" customWidth="1"/>
    <col min="34" max="34" width="9.453125" style="3" hidden="1" customWidth="1"/>
    <col min="35" max="36" width="9.453125" style="3" customWidth="1"/>
    <col min="37" max="37" width="11.6328125" style="3" hidden="1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8 16352:16352" ht="14.5" x14ac:dyDescent="0.35">
      <c r="A1" s="71" t="s">
        <v>318</v>
      </c>
      <c r="B1" s="71" t="s">
        <v>6</v>
      </c>
      <c r="C1" s="71" t="s">
        <v>7</v>
      </c>
      <c r="D1" s="71" t="s">
        <v>8</v>
      </c>
      <c r="E1" s="39" t="s">
        <v>22</v>
      </c>
      <c r="F1" s="39" t="s">
        <v>70</v>
      </c>
      <c r="G1" s="39" t="s">
        <v>23</v>
      </c>
      <c r="H1" s="39" t="s">
        <v>69</v>
      </c>
      <c r="I1" s="39" t="s">
        <v>85</v>
      </c>
      <c r="J1" s="39" t="s">
        <v>86</v>
      </c>
      <c r="K1" s="39" t="s">
        <v>24</v>
      </c>
      <c r="L1" s="39" t="s">
        <v>67</v>
      </c>
      <c r="M1" s="39" t="s">
        <v>66</v>
      </c>
      <c r="N1" s="39" t="s">
        <v>25</v>
      </c>
      <c r="O1" s="39" t="s">
        <v>71</v>
      </c>
      <c r="P1" s="39" t="s">
        <v>14</v>
      </c>
      <c r="Q1" s="39" t="s">
        <v>72</v>
      </c>
      <c r="R1" s="39" t="s">
        <v>13</v>
      </c>
      <c r="S1" s="39" t="s">
        <v>18</v>
      </c>
      <c r="T1" s="39" t="s">
        <v>19</v>
      </c>
      <c r="U1" s="39" t="s">
        <v>80</v>
      </c>
      <c r="V1" s="39" t="s">
        <v>17</v>
      </c>
      <c r="W1" s="39" t="s">
        <v>79</v>
      </c>
      <c r="X1" s="39" t="s">
        <v>16</v>
      </c>
      <c r="Y1" s="39" t="s">
        <v>90</v>
      </c>
      <c r="Z1" s="39" t="s">
        <v>91</v>
      </c>
      <c r="AA1" s="39" t="s">
        <v>92</v>
      </c>
      <c r="AB1" s="39" t="s">
        <v>15</v>
      </c>
      <c r="AC1" s="39" t="s">
        <v>73</v>
      </c>
      <c r="AD1" s="39" t="s">
        <v>11</v>
      </c>
      <c r="AE1" s="39" t="s">
        <v>10</v>
      </c>
      <c r="AF1" s="39" t="s">
        <v>94</v>
      </c>
      <c r="AG1" s="39" t="s">
        <v>12</v>
      </c>
      <c r="AH1" s="39" t="s">
        <v>9</v>
      </c>
      <c r="AI1" s="39" t="s">
        <v>78</v>
      </c>
      <c r="AJ1" s="39" t="s">
        <v>20</v>
      </c>
      <c r="AK1" s="39" t="s">
        <v>65</v>
      </c>
      <c r="XDX1" s="3" t="s">
        <v>26</v>
      </c>
    </row>
    <row r="2" spans="1:38 16352:16352" x14ac:dyDescent="0.3">
      <c r="A2" s="65">
        <v>1</v>
      </c>
      <c r="B2" s="63">
        <v>46023</v>
      </c>
      <c r="C2" s="66" t="s">
        <v>121</v>
      </c>
      <c r="D2" s="66" t="s">
        <v>96</v>
      </c>
      <c r="E2" s="67"/>
      <c r="F2" s="67"/>
      <c r="G2" s="67"/>
      <c r="H2" s="67" t="str">
        <f>VLOOKUP(B2,'For Senior grades- 13 days'!B1:H186,7,0)</f>
        <v>Optional</v>
      </c>
      <c r="I2" s="67"/>
      <c r="J2" s="67"/>
      <c r="K2" s="67"/>
      <c r="L2" s="67"/>
      <c r="M2" s="67"/>
      <c r="N2" s="74" t="str">
        <f>VLOOKUP(B2,'For Senior grades- 13 days'!B1:N186,13,0)</f>
        <v>Regional</v>
      </c>
      <c r="O2" s="74" t="s">
        <v>213</v>
      </c>
      <c r="P2" s="67"/>
      <c r="Q2" s="75" t="s">
        <v>215</v>
      </c>
      <c r="R2" s="67"/>
      <c r="S2" s="75"/>
      <c r="T2" s="74" t="s">
        <v>213</v>
      </c>
      <c r="U2" s="67"/>
      <c r="V2" s="67"/>
      <c r="W2" s="74" t="str">
        <f>VLOOKUP(B2,'For Senior grades- 13 days'!B1:W186,22,0)</f>
        <v>Regional</v>
      </c>
      <c r="X2" s="74" t="s">
        <v>215</v>
      </c>
      <c r="Y2" s="74" t="s">
        <v>215</v>
      </c>
      <c r="Z2" s="67"/>
      <c r="AA2" s="74" t="s">
        <v>215</v>
      </c>
      <c r="AB2" s="67"/>
      <c r="AC2" s="67"/>
      <c r="AD2" s="75" t="s">
        <v>213</v>
      </c>
      <c r="AE2" s="74" t="s">
        <v>215</v>
      </c>
      <c r="AF2" s="74" t="s">
        <v>213</v>
      </c>
      <c r="AG2" s="74" t="s">
        <v>215</v>
      </c>
      <c r="AH2" s="67"/>
      <c r="AI2" s="74" t="s">
        <v>215</v>
      </c>
      <c r="AJ2" s="80" t="s">
        <v>215</v>
      </c>
      <c r="AK2" s="62"/>
    </row>
    <row r="3" spans="1:38 16352:16352" x14ac:dyDescent="0.3">
      <c r="A3" s="65">
        <v>2</v>
      </c>
      <c r="B3" s="63">
        <v>46024</v>
      </c>
      <c r="C3" s="66" t="s">
        <v>128</v>
      </c>
      <c r="D3" s="66" t="s">
        <v>127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75"/>
      <c r="T3" s="67"/>
      <c r="U3" s="67"/>
      <c r="V3" s="67"/>
      <c r="W3" s="67"/>
      <c r="X3" s="67"/>
      <c r="Y3" s="75" t="s">
        <v>213</v>
      </c>
      <c r="Z3" s="67"/>
      <c r="AA3" s="67"/>
      <c r="AB3" s="67"/>
      <c r="AC3" s="67"/>
      <c r="AD3" s="67"/>
      <c r="AE3" s="67"/>
      <c r="AF3" s="75"/>
      <c r="AG3" s="67"/>
      <c r="AH3" s="67"/>
      <c r="AI3" s="67"/>
      <c r="AJ3" s="62"/>
      <c r="AK3" s="62"/>
    </row>
    <row r="4" spans="1:38 16352:16352" x14ac:dyDescent="0.3">
      <c r="A4" s="65">
        <v>3</v>
      </c>
      <c r="B4" s="63">
        <v>46025</v>
      </c>
      <c r="C4" s="66" t="s">
        <v>237</v>
      </c>
      <c r="D4" s="66" t="s">
        <v>64</v>
      </c>
      <c r="E4" s="67"/>
      <c r="F4" s="67"/>
      <c r="G4" s="67"/>
      <c r="H4" s="67"/>
      <c r="I4" s="67"/>
      <c r="J4" s="67" t="str">
        <f>VLOOKUP(B4,'For Senior grades- 13 days'!B3:J188,9,0)</f>
        <v>Optional-WE</v>
      </c>
      <c r="K4" s="67"/>
      <c r="L4" s="67"/>
      <c r="M4" s="67"/>
      <c r="N4" s="67" t="str">
        <f>VLOOKUP(B4,'For Senior grades- 13 days'!B3:N188,13,0)</f>
        <v>Regional-WE</v>
      </c>
      <c r="O4" s="67" t="s">
        <v>219</v>
      </c>
      <c r="P4" s="67"/>
      <c r="Q4" s="67"/>
      <c r="R4" s="67"/>
      <c r="S4" s="75"/>
      <c r="T4" s="67"/>
      <c r="U4" s="67"/>
      <c r="V4" s="67"/>
      <c r="W4" s="67"/>
      <c r="X4" s="67"/>
      <c r="Y4" s="76"/>
      <c r="Z4" s="67"/>
      <c r="AA4" s="67"/>
      <c r="AB4" s="67"/>
      <c r="AC4" s="67"/>
      <c r="AD4" s="67"/>
      <c r="AE4" s="67"/>
      <c r="AF4" s="75"/>
      <c r="AG4" s="67"/>
      <c r="AH4" s="67"/>
      <c r="AI4" s="67"/>
      <c r="AJ4" s="62"/>
      <c r="AK4" s="62"/>
    </row>
    <row r="5" spans="1:38 16352:16352" x14ac:dyDescent="0.3">
      <c r="A5" s="65">
        <v>4</v>
      </c>
      <c r="B5" s="63">
        <v>46027</v>
      </c>
      <c r="C5" s="66" t="s">
        <v>176</v>
      </c>
      <c r="D5" s="66" t="s">
        <v>101</v>
      </c>
      <c r="E5" s="67"/>
      <c r="F5" s="67"/>
      <c r="G5" s="67"/>
      <c r="H5" s="67"/>
      <c r="I5" s="67"/>
      <c r="J5" s="67" t="str">
        <f>VLOOKUP(B5,'For Senior grades- 13 days'!B4:J189,9,0)</f>
        <v>Optional</v>
      </c>
      <c r="K5" s="67"/>
      <c r="L5" s="67"/>
      <c r="M5" s="67"/>
      <c r="N5" s="67" t="str">
        <f>VLOOKUP(B5,'For Senior grades- 13 days'!B4:N189,13,0)</f>
        <v>Regional</v>
      </c>
      <c r="O5" s="67"/>
      <c r="P5" s="67"/>
      <c r="Q5" s="67"/>
      <c r="R5" s="67"/>
      <c r="S5" s="75"/>
      <c r="T5" s="67"/>
      <c r="U5" s="67"/>
      <c r="V5" s="67"/>
      <c r="W5" s="67"/>
      <c r="X5" s="67"/>
      <c r="Y5" s="76"/>
      <c r="Z5" s="67"/>
      <c r="AA5" s="67"/>
      <c r="AB5" s="67"/>
      <c r="AC5" s="67"/>
      <c r="AD5" s="67"/>
      <c r="AE5" s="67"/>
      <c r="AF5" s="75"/>
      <c r="AG5" s="67"/>
      <c r="AH5" s="67"/>
      <c r="AI5" s="67"/>
      <c r="AJ5" s="62"/>
      <c r="AK5" s="62"/>
    </row>
    <row r="6" spans="1:38 16352:16352" x14ac:dyDescent="0.3">
      <c r="A6" s="65">
        <v>5</v>
      </c>
      <c r="B6" s="63">
        <v>46029</v>
      </c>
      <c r="C6" s="66" t="s">
        <v>238</v>
      </c>
      <c r="D6" s="66" t="s">
        <v>97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 t="s">
        <v>213</v>
      </c>
      <c r="P6" s="67"/>
      <c r="Q6" s="67"/>
      <c r="R6" s="67"/>
      <c r="S6" s="75"/>
      <c r="T6" s="67"/>
      <c r="U6" s="67"/>
      <c r="V6" s="67"/>
      <c r="W6" s="67"/>
      <c r="X6" s="67"/>
      <c r="Y6" s="76"/>
      <c r="Z6" s="67"/>
      <c r="AA6" s="67"/>
      <c r="AB6" s="67"/>
      <c r="AC6" s="67"/>
      <c r="AD6" s="67"/>
      <c r="AE6" s="67"/>
      <c r="AF6" s="75"/>
      <c r="AG6" s="67"/>
      <c r="AH6" s="67"/>
      <c r="AI6" s="67"/>
      <c r="AJ6" s="62"/>
      <c r="AK6" s="62"/>
    </row>
    <row r="7" spans="1:38 16352:16352" x14ac:dyDescent="0.3">
      <c r="A7" s="65"/>
      <c r="B7" s="63">
        <v>46031</v>
      </c>
      <c r="C7" s="66" t="s">
        <v>344</v>
      </c>
      <c r="D7" s="66" t="s">
        <v>127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75"/>
      <c r="T7" s="67"/>
      <c r="U7" s="67"/>
      <c r="V7" s="67"/>
      <c r="W7" s="67" t="str">
        <f>VLOOKUP(B7,'For Senior grades- 13 days'!B6:W191,22,0)</f>
        <v>Regional</v>
      </c>
      <c r="X7" s="67"/>
      <c r="Y7" s="76"/>
      <c r="Z7" s="67"/>
      <c r="AA7" s="67"/>
      <c r="AB7" s="67"/>
      <c r="AC7" s="67"/>
      <c r="AD7" s="67"/>
      <c r="AE7" s="67"/>
      <c r="AF7" s="75"/>
      <c r="AG7" s="67"/>
      <c r="AH7" s="67"/>
      <c r="AI7" s="67"/>
      <c r="AJ7" s="62"/>
      <c r="AK7" s="62"/>
    </row>
    <row r="8" spans="1:38 16352:16352" x14ac:dyDescent="0.3">
      <c r="A8" s="65">
        <v>6</v>
      </c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 t="s">
        <v>219</v>
      </c>
      <c r="P8" s="67"/>
      <c r="Q8" s="67"/>
      <c r="R8" s="67"/>
      <c r="S8" s="75"/>
      <c r="T8" s="67"/>
      <c r="U8" s="67"/>
      <c r="V8" s="67"/>
      <c r="W8" s="67"/>
      <c r="X8" s="67"/>
      <c r="Y8" s="76"/>
      <c r="Z8" s="67"/>
      <c r="AA8" s="67"/>
      <c r="AB8" s="67"/>
      <c r="AC8" s="67"/>
      <c r="AD8" s="67"/>
      <c r="AE8" s="67"/>
      <c r="AF8" s="75"/>
      <c r="AG8" s="67"/>
      <c r="AH8" s="67"/>
      <c r="AI8" s="67"/>
      <c r="AJ8" s="62"/>
      <c r="AK8" s="62"/>
    </row>
    <row r="9" spans="1:38 16352:16352" x14ac:dyDescent="0.3">
      <c r="A9" s="65">
        <v>7</v>
      </c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/>
      <c r="T9" s="67"/>
      <c r="U9" s="67"/>
      <c r="V9" s="67"/>
      <c r="W9" s="67"/>
      <c r="X9" s="67"/>
      <c r="Y9" s="75" t="s">
        <v>221</v>
      </c>
      <c r="Z9" s="67"/>
      <c r="AA9" s="67"/>
      <c r="AB9" s="67"/>
      <c r="AC9" s="67"/>
      <c r="AD9" s="67"/>
      <c r="AE9" s="67"/>
      <c r="AF9" s="75"/>
      <c r="AG9" s="67"/>
      <c r="AH9" s="67"/>
      <c r="AI9" s="67"/>
      <c r="AJ9" s="62"/>
      <c r="AK9" s="62"/>
    </row>
    <row r="10" spans="1:38 16352:16352" x14ac:dyDescent="0.3">
      <c r="A10" s="65">
        <v>8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5"/>
      <c r="T10" s="67" t="str">
        <f>VLOOKUP(B10,'For Senior grades- 13 days'!B9:T193,19,0)</f>
        <v>Regional</v>
      </c>
      <c r="U10" s="67"/>
      <c r="V10" s="67"/>
      <c r="W10" s="67"/>
      <c r="X10" s="67"/>
      <c r="Y10" s="76"/>
      <c r="Z10" s="67"/>
      <c r="AA10" s="67"/>
      <c r="AB10" s="67"/>
      <c r="AC10" s="67"/>
      <c r="AD10" s="67"/>
      <c r="AE10" s="67"/>
      <c r="AF10" s="75"/>
      <c r="AG10" s="67"/>
      <c r="AH10" s="67"/>
      <c r="AI10" s="67"/>
      <c r="AJ10" s="62"/>
      <c r="AK10" s="62"/>
    </row>
    <row r="11" spans="1:38 16352:16352" x14ac:dyDescent="0.3">
      <c r="A11" s="65">
        <v>9</v>
      </c>
      <c r="B11" s="63">
        <v>46035</v>
      </c>
      <c r="C11" s="66" t="s">
        <v>168</v>
      </c>
      <c r="D11" s="66" t="s">
        <v>101</v>
      </c>
      <c r="E11" s="67"/>
      <c r="F11" s="67"/>
      <c r="G11" s="67"/>
      <c r="H11" s="67"/>
      <c r="I11" s="67"/>
      <c r="J11" s="67" t="str">
        <f>VLOOKUP(B11,'For Senior grades- 13 days'!B10:J194,9,0)</f>
        <v>Optional</v>
      </c>
      <c r="K11" s="67"/>
      <c r="L11" s="67"/>
      <c r="M11" s="67"/>
      <c r="N11" s="67"/>
      <c r="O11" s="67"/>
      <c r="P11" s="67"/>
      <c r="Q11" s="67"/>
      <c r="R11" s="67"/>
      <c r="S11" s="75"/>
      <c r="T11" s="67"/>
      <c r="U11" s="67"/>
      <c r="V11" s="67"/>
      <c r="W11" s="67"/>
      <c r="X11" s="67"/>
      <c r="Y11" s="76"/>
      <c r="Z11" s="67"/>
      <c r="AA11" s="67"/>
      <c r="AB11" s="67"/>
      <c r="AC11" s="67"/>
      <c r="AD11" s="67"/>
      <c r="AE11" s="67"/>
      <c r="AF11" s="75"/>
      <c r="AG11" s="67"/>
      <c r="AH11" s="67"/>
      <c r="AI11" s="67"/>
      <c r="AJ11" s="62"/>
      <c r="AK11" s="62"/>
    </row>
    <row r="12" spans="1:38 16352:16352" x14ac:dyDescent="0.3">
      <c r="A12" s="65">
        <v>10</v>
      </c>
      <c r="B12" s="63">
        <v>46036</v>
      </c>
      <c r="C12" s="66" t="s">
        <v>186</v>
      </c>
      <c r="D12" s="66" t="s">
        <v>97</v>
      </c>
      <c r="E12" s="67"/>
      <c r="F12" s="67"/>
      <c r="G12" s="67"/>
      <c r="H12" s="67" t="str">
        <f>VLOOKUP(B12,'For Senior grades- 13 days'!B11:H195,7,0)</f>
        <v>Optional</v>
      </c>
      <c r="I12" s="67"/>
      <c r="J12" s="67"/>
      <c r="K12" s="67"/>
      <c r="L12" s="67"/>
      <c r="M12" s="67"/>
      <c r="N12" s="67" t="str">
        <f>VLOOKUP(B12,'For Senior grades- 13 days'!B11:N196,13,0)</f>
        <v>Regional</v>
      </c>
      <c r="O12" s="74" t="s">
        <v>213</v>
      </c>
      <c r="P12" s="67"/>
      <c r="Q12" s="74" t="s">
        <v>213</v>
      </c>
      <c r="R12" s="67"/>
      <c r="S12" s="74" t="s">
        <v>213</v>
      </c>
      <c r="T12" s="67"/>
      <c r="U12" s="67"/>
      <c r="V12" s="74" t="s">
        <v>213</v>
      </c>
      <c r="W12" s="67"/>
      <c r="X12" s="67"/>
      <c r="Y12" s="76"/>
      <c r="Z12" s="67"/>
      <c r="AA12" s="67"/>
      <c r="AB12" s="67"/>
      <c r="AC12" s="67"/>
      <c r="AD12" s="67"/>
      <c r="AE12" s="67"/>
      <c r="AF12" s="75"/>
      <c r="AG12" s="67"/>
      <c r="AH12" s="67"/>
      <c r="AI12" s="67"/>
      <c r="AJ12" s="81" t="s">
        <v>213</v>
      </c>
      <c r="AK12" s="62"/>
    </row>
    <row r="13" spans="1:38 16352:16352" x14ac:dyDescent="0.3">
      <c r="A13" s="65">
        <v>11</v>
      </c>
      <c r="B13" s="63">
        <v>46037</v>
      </c>
      <c r="C13" s="66" t="s">
        <v>142</v>
      </c>
      <c r="D13" s="66" t="s">
        <v>96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5"/>
      <c r="T13" s="67"/>
      <c r="U13" s="67"/>
      <c r="V13" s="75" t="s">
        <v>213</v>
      </c>
      <c r="W13" s="67"/>
      <c r="X13" s="67"/>
      <c r="Y13" s="76"/>
      <c r="Z13" s="67"/>
      <c r="AA13" s="74" t="s">
        <v>213</v>
      </c>
      <c r="AB13" s="67"/>
      <c r="AC13" s="67"/>
      <c r="AD13" s="75" t="s">
        <v>213</v>
      </c>
      <c r="AE13" s="74" t="s">
        <v>213</v>
      </c>
      <c r="AF13" s="75" t="s">
        <v>213</v>
      </c>
      <c r="AG13" s="74" t="s">
        <v>213</v>
      </c>
      <c r="AH13" s="67"/>
      <c r="AI13" s="67"/>
      <c r="AJ13" s="62" t="s">
        <v>215</v>
      </c>
      <c r="AK13" s="62"/>
    </row>
    <row r="14" spans="1:38 16352:16352" x14ac:dyDescent="0.3">
      <c r="A14" s="65">
        <v>12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5"/>
      <c r="T14" s="67"/>
      <c r="U14" s="67"/>
      <c r="V14" s="67"/>
      <c r="W14" s="67"/>
      <c r="X14" s="67"/>
      <c r="Y14" s="76"/>
      <c r="Z14" s="67"/>
      <c r="AA14" s="67"/>
      <c r="AB14" s="67"/>
      <c r="AC14" s="67"/>
      <c r="AD14" s="67"/>
      <c r="AE14" s="74" t="s">
        <v>213</v>
      </c>
      <c r="AF14" s="74" t="s">
        <v>213</v>
      </c>
      <c r="AG14" s="74" t="s">
        <v>213</v>
      </c>
      <c r="AH14" s="67"/>
      <c r="AI14" s="67"/>
      <c r="AJ14" s="62"/>
      <c r="AK14" s="62"/>
    </row>
    <row r="15" spans="1:38 16352:16352" x14ac:dyDescent="0.3">
      <c r="A15" s="65">
        <v>13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 t="str">
        <f>VLOOKUP(B15,'For Senior grades- 13 days'!B14:J198,9,0)</f>
        <v>Optional-WE</v>
      </c>
      <c r="K15" s="67"/>
      <c r="L15" s="67"/>
      <c r="M15" s="67"/>
      <c r="N15" s="67"/>
      <c r="O15" s="67"/>
      <c r="P15" s="67"/>
      <c r="Q15" s="67"/>
      <c r="R15" s="67"/>
      <c r="S15" s="75"/>
      <c r="T15" s="67"/>
      <c r="U15" s="67"/>
      <c r="V15" s="67"/>
      <c r="W15" s="67"/>
      <c r="X15" s="67"/>
      <c r="Y15" s="76"/>
      <c r="Z15" s="67"/>
      <c r="AA15" s="67"/>
      <c r="AB15" s="67"/>
      <c r="AC15" s="67"/>
      <c r="AD15" s="67"/>
      <c r="AE15" s="67" t="s">
        <v>219</v>
      </c>
      <c r="AF15" s="75"/>
      <c r="AG15" s="67" t="s">
        <v>219</v>
      </c>
      <c r="AH15" s="67"/>
      <c r="AI15" s="67"/>
      <c r="AJ15" s="62"/>
      <c r="AK15" s="62"/>
    </row>
    <row r="16" spans="1:38 16352:16352" s="48" customFormat="1" x14ac:dyDescent="0.3">
      <c r="A16" s="65">
        <v>14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5"/>
      <c r="T16" s="67"/>
      <c r="U16" s="67"/>
      <c r="V16" s="67"/>
      <c r="W16" s="67"/>
      <c r="X16" s="67"/>
      <c r="Y16" s="76"/>
      <c r="Z16" s="67"/>
      <c r="AA16" s="67" t="s">
        <v>215</v>
      </c>
      <c r="AB16" s="67"/>
      <c r="AC16" s="67"/>
      <c r="AD16" s="67"/>
      <c r="AE16" s="67"/>
      <c r="AF16" s="75"/>
      <c r="AG16" s="67"/>
      <c r="AH16" s="67"/>
      <c r="AI16" s="67"/>
      <c r="AJ16" s="62"/>
      <c r="AK16" s="62"/>
      <c r="AL16" s="3"/>
    </row>
    <row r="17" spans="1:38" s="48" customFormat="1" x14ac:dyDescent="0.3">
      <c r="A17" s="65">
        <v>15</v>
      </c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 t="s">
        <v>213</v>
      </c>
      <c r="P17" s="67"/>
      <c r="Q17" s="67"/>
      <c r="R17" s="67"/>
      <c r="S17" s="75"/>
      <c r="T17" s="67"/>
      <c r="U17" s="67"/>
      <c r="V17" s="67"/>
      <c r="W17" s="67"/>
      <c r="X17" s="67"/>
      <c r="Y17" s="76"/>
      <c r="Z17" s="67"/>
      <c r="AA17" s="67"/>
      <c r="AB17" s="67"/>
      <c r="AC17" s="67"/>
      <c r="AD17" s="67"/>
      <c r="AE17" s="67"/>
      <c r="AF17" s="75"/>
      <c r="AG17" s="67"/>
      <c r="AH17" s="67"/>
      <c r="AI17" s="67"/>
      <c r="AJ17" s="62"/>
      <c r="AK17" s="62"/>
      <c r="AL17" s="3"/>
    </row>
    <row r="18" spans="1:38" x14ac:dyDescent="0.3">
      <c r="A18" s="65">
        <v>16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7" t="str">
        <f>VLOOKUP(B18,'For Senior grades- 13 days'!B17:H201,7,0)</f>
        <v>Optional</v>
      </c>
      <c r="I18" s="67"/>
      <c r="J18" s="67"/>
      <c r="K18" s="67"/>
      <c r="L18" s="67"/>
      <c r="M18" s="67"/>
      <c r="N18" s="67" t="str">
        <f>VLOOKUP(B18,'For Senior grades- 13 days'!B17:N202,13,0)</f>
        <v>Regional</v>
      </c>
      <c r="O18" s="67" t="s">
        <v>213</v>
      </c>
      <c r="P18" s="67"/>
      <c r="Q18" s="67" t="s">
        <v>213</v>
      </c>
      <c r="R18" s="67"/>
      <c r="S18" s="75" t="s">
        <v>213</v>
      </c>
      <c r="T18" s="67" t="str">
        <f>VLOOKUP(B18,'For Senior grades- 13 days'!B17:T201,19,0)</f>
        <v>Regional</v>
      </c>
      <c r="U18" s="67"/>
      <c r="V18" s="67" t="s">
        <v>213</v>
      </c>
      <c r="W18" s="67"/>
      <c r="X18" s="67"/>
      <c r="Y18" s="76"/>
      <c r="Z18" s="67"/>
      <c r="AA18" s="67"/>
      <c r="AB18" s="67"/>
      <c r="AC18" s="67"/>
      <c r="AD18" s="67"/>
      <c r="AE18" s="67"/>
      <c r="AF18" s="75"/>
      <c r="AG18" s="67"/>
      <c r="AH18" s="67"/>
      <c r="AI18" s="67"/>
      <c r="AJ18" s="62"/>
      <c r="AK18" s="62"/>
    </row>
    <row r="19" spans="1:38" x14ac:dyDescent="0.3">
      <c r="A19" s="65">
        <v>17</v>
      </c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 t="str">
        <f>VLOOKUP(B19,'For Senior grades- 13 days'!B18:N203,13,0)</f>
        <v>Regional-WE</v>
      </c>
      <c r="O19" s="67"/>
      <c r="P19" s="67"/>
      <c r="Q19" s="67" t="s">
        <v>219</v>
      </c>
      <c r="R19" s="67"/>
      <c r="S19" s="75"/>
      <c r="T19" s="67"/>
      <c r="U19" s="67"/>
      <c r="V19" s="67"/>
      <c r="W19" s="67"/>
      <c r="X19" s="67"/>
      <c r="Y19" s="76"/>
      <c r="Z19" s="67"/>
      <c r="AA19" s="67"/>
      <c r="AB19" s="67"/>
      <c r="AC19" s="67"/>
      <c r="AD19" s="67"/>
      <c r="AE19" s="67"/>
      <c r="AF19" s="75"/>
      <c r="AG19" s="67"/>
      <c r="AH19" s="67"/>
      <c r="AI19" s="67"/>
      <c r="AJ19" s="62"/>
      <c r="AK19" s="62"/>
    </row>
    <row r="20" spans="1:38" x14ac:dyDescent="0.3">
      <c r="A20" s="65">
        <v>18</v>
      </c>
      <c r="B20" s="63">
        <v>46047</v>
      </c>
      <c r="C20" s="66" t="s">
        <v>231</v>
      </c>
      <c r="D20" s="66" t="s">
        <v>63</v>
      </c>
      <c r="E20" s="67"/>
      <c r="F20" s="67"/>
      <c r="G20" s="67"/>
      <c r="H20" s="67" t="str">
        <f>VLOOKUP(B20,'For Senior grades- 13 days'!B19:H203,7,0)</f>
        <v>Regional-WE</v>
      </c>
      <c r="I20" s="67"/>
      <c r="J20" s="67"/>
      <c r="K20" s="67"/>
      <c r="L20" s="67" t="s">
        <v>219</v>
      </c>
      <c r="M20" s="67"/>
      <c r="N20" s="67"/>
      <c r="O20" s="67"/>
      <c r="P20" s="67"/>
      <c r="Q20" s="67"/>
      <c r="R20" s="67"/>
      <c r="S20" s="75"/>
      <c r="T20" s="67"/>
      <c r="U20" s="67"/>
      <c r="V20" s="67"/>
      <c r="W20" s="67"/>
      <c r="X20" s="67"/>
      <c r="Y20" s="76"/>
      <c r="Z20" s="67"/>
      <c r="AA20" s="67"/>
      <c r="AB20" s="67"/>
      <c r="AC20" s="67"/>
      <c r="AD20" s="67"/>
      <c r="AE20" s="67"/>
      <c r="AF20" s="75"/>
      <c r="AG20" s="67"/>
      <c r="AH20" s="67"/>
      <c r="AI20" s="67"/>
      <c r="AJ20" s="62"/>
      <c r="AK20" s="62"/>
    </row>
    <row r="21" spans="1:38" x14ac:dyDescent="0.3">
      <c r="A21" s="65">
        <v>19</v>
      </c>
      <c r="B21" s="63">
        <v>46048</v>
      </c>
      <c r="C21" s="66" t="s">
        <v>30</v>
      </c>
      <c r="D21" s="66" t="s">
        <v>98</v>
      </c>
      <c r="E21" s="67"/>
      <c r="F21" s="67"/>
      <c r="G21" s="67"/>
      <c r="H21" s="74" t="str">
        <f>VLOOKUP(B21,'For Senior grades- 13 days'!B20:H204,7,0)</f>
        <v>National</v>
      </c>
      <c r="I21" s="67"/>
      <c r="J21" s="74" t="str">
        <f>VLOOKUP(B21,'For Senior grades- 13 days'!B20:J204,9,0)</f>
        <v>National</v>
      </c>
      <c r="K21" s="67"/>
      <c r="L21" s="74" t="s">
        <v>212</v>
      </c>
      <c r="M21" s="67"/>
      <c r="N21" s="74" t="str">
        <f>VLOOKUP(B21,'For Senior grades- 13 days'!B20:N205,13,0)</f>
        <v>National</v>
      </c>
      <c r="O21" s="74" t="s">
        <v>212</v>
      </c>
      <c r="P21" s="67"/>
      <c r="Q21" s="74" t="s">
        <v>212</v>
      </c>
      <c r="R21" s="67"/>
      <c r="S21" s="74" t="s">
        <v>212</v>
      </c>
      <c r="T21" s="74" t="s">
        <v>212</v>
      </c>
      <c r="U21" s="67"/>
      <c r="V21" s="74" t="s">
        <v>212</v>
      </c>
      <c r="W21" s="74" t="str">
        <f>VLOOKUP(B21,'For Senior grades- 13 days'!B20:W205,22,0)</f>
        <v>National</v>
      </c>
      <c r="X21" s="74" t="s">
        <v>212</v>
      </c>
      <c r="Y21" s="74" t="s">
        <v>212</v>
      </c>
      <c r="Z21" s="67"/>
      <c r="AA21" s="74" t="s">
        <v>212</v>
      </c>
      <c r="AB21" s="67"/>
      <c r="AC21" s="67"/>
      <c r="AD21" s="74" t="s">
        <v>212</v>
      </c>
      <c r="AE21" s="74" t="s">
        <v>212</v>
      </c>
      <c r="AF21" s="74" t="s">
        <v>212</v>
      </c>
      <c r="AG21" s="74" t="s">
        <v>212</v>
      </c>
      <c r="AH21" s="67"/>
      <c r="AI21" s="74" t="s">
        <v>212</v>
      </c>
      <c r="AJ21" s="80" t="s">
        <v>212</v>
      </c>
      <c r="AK21" s="62"/>
    </row>
    <row r="22" spans="1:38" x14ac:dyDescent="0.3">
      <c r="A22" s="65">
        <v>20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5"/>
      <c r="T22" s="67"/>
      <c r="U22" s="67"/>
      <c r="V22" s="74" t="s">
        <v>213</v>
      </c>
      <c r="W22" s="67"/>
      <c r="X22" s="67"/>
      <c r="Y22" s="76"/>
      <c r="Z22" s="67"/>
      <c r="AA22" s="67"/>
      <c r="AB22" s="67"/>
      <c r="AC22" s="67"/>
      <c r="AD22" s="67" t="s">
        <v>213</v>
      </c>
      <c r="AE22" s="67"/>
      <c r="AF22" s="75"/>
      <c r="AG22" s="67"/>
      <c r="AH22" s="67"/>
      <c r="AI22" s="67"/>
      <c r="AJ22" s="62"/>
      <c r="AK22" s="62"/>
    </row>
    <row r="23" spans="1:38" x14ac:dyDescent="0.3">
      <c r="A23" s="65">
        <v>21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5"/>
      <c r="T23" s="67"/>
      <c r="U23" s="67"/>
      <c r="V23" s="67"/>
      <c r="W23" s="67"/>
      <c r="X23" s="67"/>
      <c r="Y23" s="76"/>
      <c r="Z23" s="67"/>
      <c r="AA23" s="67"/>
      <c r="AB23" s="67"/>
      <c r="AC23" s="67"/>
      <c r="AD23" s="67"/>
      <c r="AE23" s="67"/>
      <c r="AF23" s="75"/>
      <c r="AG23" s="67"/>
      <c r="AH23" s="67"/>
      <c r="AI23" s="67"/>
      <c r="AJ23" s="62"/>
      <c r="AK23" s="62"/>
    </row>
    <row r="24" spans="1:38" x14ac:dyDescent="0.3">
      <c r="A24" s="65">
        <v>22</v>
      </c>
      <c r="B24" s="63">
        <v>46053</v>
      </c>
      <c r="C24" s="66" t="s">
        <v>330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5"/>
      <c r="T24" s="67"/>
      <c r="U24" s="67"/>
      <c r="V24" s="67" t="s">
        <v>219</v>
      </c>
      <c r="W24" s="67"/>
      <c r="X24" s="67"/>
      <c r="Y24" s="76"/>
      <c r="Z24" s="67"/>
      <c r="AA24" s="67"/>
      <c r="AB24" s="67"/>
      <c r="AC24" s="67"/>
      <c r="AD24" s="67"/>
      <c r="AE24" s="67"/>
      <c r="AF24" s="75"/>
      <c r="AG24" s="67"/>
      <c r="AH24" s="67"/>
      <c r="AI24" s="67"/>
      <c r="AJ24" s="62" t="s">
        <v>221</v>
      </c>
      <c r="AK24" s="62"/>
    </row>
    <row r="25" spans="1:38" x14ac:dyDescent="0.3">
      <c r="A25" s="65">
        <v>23</v>
      </c>
      <c r="B25" s="63">
        <v>46054</v>
      </c>
      <c r="C25" s="66" t="s">
        <v>277</v>
      </c>
      <c r="D25" s="66" t="s">
        <v>63</v>
      </c>
      <c r="E25" s="67"/>
      <c r="F25" s="67"/>
      <c r="G25" s="67"/>
      <c r="H25" s="67" t="str">
        <f>VLOOKUP(B25,'For Senior grades- 13 days'!B24:H208,7,0)</f>
        <v>Regional-WE</v>
      </c>
      <c r="I25" s="67"/>
      <c r="J25" s="67"/>
      <c r="K25" s="67"/>
      <c r="L25" s="67"/>
      <c r="M25" s="67"/>
      <c r="N25" s="67" t="str">
        <f>VLOOKUP(B25,'For Senior grades- 13 days'!B24:N209,13,0)</f>
        <v>Regional-WE</v>
      </c>
      <c r="O25" s="67"/>
      <c r="P25" s="67"/>
      <c r="Q25" s="67" t="s">
        <v>219</v>
      </c>
      <c r="R25" s="67"/>
      <c r="S25" s="75"/>
      <c r="T25" s="67"/>
      <c r="U25" s="67"/>
      <c r="V25" s="67" t="s">
        <v>219</v>
      </c>
      <c r="W25" s="67"/>
      <c r="X25" s="67"/>
      <c r="Y25" s="76"/>
      <c r="Z25" s="67"/>
      <c r="AA25" s="67"/>
      <c r="AB25" s="67"/>
      <c r="AC25" s="67"/>
      <c r="AD25" s="67"/>
      <c r="AE25" s="67" t="s">
        <v>219</v>
      </c>
      <c r="AF25" s="75"/>
      <c r="AG25" s="67" t="s">
        <v>219</v>
      </c>
      <c r="AH25" s="67"/>
      <c r="AI25" s="67"/>
      <c r="AJ25" s="62"/>
      <c r="AK25" s="62"/>
    </row>
    <row r="26" spans="1:38" x14ac:dyDescent="0.3">
      <c r="A26" s="65">
        <v>24</v>
      </c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 t="s">
        <v>213</v>
      </c>
      <c r="P26" s="67"/>
      <c r="Q26" s="67"/>
      <c r="R26" s="67"/>
      <c r="S26" s="75"/>
      <c r="T26" s="67"/>
      <c r="U26" s="67"/>
      <c r="V26" s="67"/>
      <c r="W26" s="67"/>
      <c r="X26" s="67"/>
      <c r="Y26" s="76"/>
      <c r="Z26" s="67"/>
      <c r="AA26" s="67"/>
      <c r="AB26" s="67"/>
      <c r="AC26" s="67"/>
      <c r="AD26" s="67"/>
      <c r="AE26" s="67"/>
      <c r="AF26" s="75"/>
      <c r="AG26" s="67"/>
      <c r="AH26" s="67"/>
      <c r="AI26" s="67"/>
      <c r="AJ26" s="62"/>
      <c r="AK26" s="62"/>
    </row>
    <row r="27" spans="1:38" x14ac:dyDescent="0.3">
      <c r="A27" s="65">
        <v>25</v>
      </c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 t="str">
        <f>VLOOKUP(B27,'For Senior grades- 13 days'!B26:N211,13,0)</f>
        <v>Regional</v>
      </c>
      <c r="O27" s="67"/>
      <c r="P27" s="67"/>
      <c r="Q27" s="67" t="s">
        <v>213</v>
      </c>
      <c r="R27" s="67"/>
      <c r="S27" s="75"/>
      <c r="T27" s="67"/>
      <c r="U27" s="67"/>
      <c r="V27" s="67"/>
      <c r="W27" s="67"/>
      <c r="X27" s="67"/>
      <c r="Y27" s="76"/>
      <c r="Z27" s="67"/>
      <c r="AA27" s="67"/>
      <c r="AB27" s="67"/>
      <c r="AC27" s="67"/>
      <c r="AD27" s="67" t="s">
        <v>213</v>
      </c>
      <c r="AE27" s="67"/>
      <c r="AF27" s="75"/>
      <c r="AG27" s="67"/>
      <c r="AH27" s="67"/>
      <c r="AI27" s="67"/>
      <c r="AJ27" s="62" t="s">
        <v>215</v>
      </c>
      <c r="AK27" s="62"/>
    </row>
    <row r="28" spans="1:38" x14ac:dyDescent="0.3">
      <c r="A28" s="65">
        <v>26</v>
      </c>
      <c r="B28" s="63">
        <v>46065</v>
      </c>
      <c r="C28" s="66" t="s">
        <v>242</v>
      </c>
      <c r="D28" s="66" t="s">
        <v>96</v>
      </c>
      <c r="E28" s="67"/>
      <c r="F28" s="67"/>
      <c r="G28" s="67"/>
      <c r="H28" s="67" t="str">
        <f>VLOOKUP(B28,'For Senior grades- 13 days'!B27:H211,7,0)</f>
        <v>Optional</v>
      </c>
      <c r="I28" s="67"/>
      <c r="J28" s="67"/>
      <c r="K28" s="67"/>
      <c r="L28" s="67"/>
      <c r="M28" s="67"/>
      <c r="N28" s="67"/>
      <c r="O28" s="67" t="s">
        <v>213</v>
      </c>
      <c r="P28" s="67"/>
      <c r="Q28" s="67"/>
      <c r="R28" s="67"/>
      <c r="S28" s="75"/>
      <c r="T28" s="67"/>
      <c r="U28" s="67"/>
      <c r="V28" s="67"/>
      <c r="W28" s="67"/>
      <c r="X28" s="67"/>
      <c r="Y28" s="76"/>
      <c r="Z28" s="67"/>
      <c r="AA28" s="67"/>
      <c r="AB28" s="67"/>
      <c r="AC28" s="67"/>
      <c r="AD28" s="67"/>
      <c r="AE28" s="67"/>
      <c r="AF28" s="75"/>
      <c r="AG28" s="67"/>
      <c r="AH28" s="67"/>
      <c r="AI28" s="67"/>
      <c r="AJ28" s="62"/>
      <c r="AK28" s="62"/>
    </row>
    <row r="29" spans="1:38" x14ac:dyDescent="0.3">
      <c r="A29" s="65">
        <v>27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7" t="str">
        <f>VLOOKUP(B29,'For Senior grades- 13 days'!B28:H212,7,0)</f>
        <v>Regional-WE</v>
      </c>
      <c r="I29" s="67"/>
      <c r="J29" s="67" t="str">
        <f>VLOOKUP(B29,'For Senior grades- 13 days'!B28:J212,9,0)</f>
        <v>Optional-WE</v>
      </c>
      <c r="K29" s="67"/>
      <c r="L29" s="67" t="s">
        <v>219</v>
      </c>
      <c r="M29" s="67"/>
      <c r="N29" s="67" t="str">
        <f>VLOOKUP(B29,'For Senior grades- 13 days'!B28:N213,13,0)</f>
        <v>Regional-WE</v>
      </c>
      <c r="O29" s="67"/>
      <c r="P29" s="67"/>
      <c r="Q29" s="67"/>
      <c r="R29" s="67"/>
      <c r="S29" s="67" t="s">
        <v>219</v>
      </c>
      <c r="T29" s="67" t="str">
        <f>VLOOKUP(B29,'For Senior grades- 13 days'!B28:T212,19,0)</f>
        <v>Regional-WE</v>
      </c>
      <c r="U29" s="67"/>
      <c r="V29" s="67"/>
      <c r="W29" s="67" t="str">
        <f>VLOOKUP(B29,'For Senior grades- 13 days'!B28:W213,22,0)</f>
        <v>Regional-WE</v>
      </c>
      <c r="X29" s="67"/>
      <c r="Y29" s="76"/>
      <c r="Z29" s="67"/>
      <c r="AA29" s="67"/>
      <c r="AB29" s="67"/>
      <c r="AC29" s="67"/>
      <c r="AD29" s="67"/>
      <c r="AE29" s="67"/>
      <c r="AF29" s="75"/>
      <c r="AG29" s="67"/>
      <c r="AH29" s="67"/>
      <c r="AI29" s="67" t="s">
        <v>219</v>
      </c>
      <c r="AJ29" s="62" t="s">
        <v>219</v>
      </c>
      <c r="AK29" s="62"/>
    </row>
    <row r="30" spans="1:38" x14ac:dyDescent="0.3">
      <c r="A30" s="65">
        <v>28</v>
      </c>
      <c r="B30" s="63">
        <v>46069</v>
      </c>
      <c r="C30" s="66" t="s">
        <v>341</v>
      </c>
      <c r="D30" s="69" t="s">
        <v>98</v>
      </c>
      <c r="E30" s="67"/>
      <c r="F30" s="67"/>
      <c r="G30" s="67"/>
      <c r="H30" s="67"/>
      <c r="I30" s="67"/>
      <c r="J30" s="75" t="str">
        <f>VLOOKUP(B30,'For Senior grades- 13 days'!B29:J213,9,0)</f>
        <v>Optional</v>
      </c>
      <c r="K30" s="67"/>
      <c r="L30" s="67"/>
      <c r="M30" s="67"/>
      <c r="N30" s="67"/>
      <c r="O30" s="67"/>
      <c r="P30" s="67"/>
      <c r="Q30" s="75" t="s">
        <v>213</v>
      </c>
      <c r="R30" s="67"/>
      <c r="S30" s="75"/>
      <c r="T30" s="67"/>
      <c r="U30" s="67"/>
      <c r="V30" s="67"/>
      <c r="W30" s="67"/>
      <c r="X30" s="67"/>
      <c r="Y30" s="76"/>
      <c r="Z30" s="67"/>
      <c r="AA30" s="67"/>
      <c r="AB30" s="67"/>
      <c r="AC30" s="67"/>
      <c r="AD30" s="67"/>
      <c r="AE30" s="67"/>
      <c r="AF30" s="75"/>
      <c r="AG30" s="67"/>
      <c r="AH30" s="67"/>
      <c r="AI30" s="67"/>
      <c r="AJ30" s="62"/>
      <c r="AK30" s="62"/>
    </row>
    <row r="31" spans="1:38" s="48" customFormat="1" x14ac:dyDescent="0.3">
      <c r="A31" s="65">
        <v>29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5"/>
      <c r="T31" s="67"/>
      <c r="U31" s="67"/>
      <c r="V31" s="67"/>
      <c r="W31" s="67"/>
      <c r="X31" s="67"/>
      <c r="Y31" s="76"/>
      <c r="Z31" s="67"/>
      <c r="AA31" s="67" t="s">
        <v>213</v>
      </c>
      <c r="AB31" s="67"/>
      <c r="AC31" s="67"/>
      <c r="AD31" s="67"/>
      <c r="AE31" s="67"/>
      <c r="AF31" s="75"/>
      <c r="AG31" s="67"/>
      <c r="AH31" s="67"/>
      <c r="AI31" s="67"/>
      <c r="AJ31" s="62"/>
      <c r="AK31" s="62"/>
      <c r="AL31" s="3"/>
    </row>
    <row r="32" spans="1:38" s="48" customFormat="1" x14ac:dyDescent="0.3">
      <c r="A32" s="65">
        <v>30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 t="s">
        <v>213</v>
      </c>
      <c r="P32" s="67"/>
      <c r="Q32" s="67"/>
      <c r="R32" s="67"/>
      <c r="S32" s="75"/>
      <c r="T32" s="67"/>
      <c r="U32" s="67"/>
      <c r="V32" s="67"/>
      <c r="W32" s="67"/>
      <c r="X32" s="67"/>
      <c r="Y32" s="76"/>
      <c r="Z32" s="67"/>
      <c r="AA32" s="67"/>
      <c r="AB32" s="67"/>
      <c r="AC32" s="67"/>
      <c r="AD32" s="67"/>
      <c r="AE32" s="67"/>
      <c r="AF32" s="75"/>
      <c r="AG32" s="67"/>
      <c r="AH32" s="67"/>
      <c r="AI32" s="67"/>
      <c r="AJ32" s="62"/>
      <c r="AK32" s="62"/>
      <c r="AL32" s="3"/>
    </row>
    <row r="33" spans="1:37" x14ac:dyDescent="0.3">
      <c r="A33" s="65">
        <v>31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5"/>
      <c r="T33" s="67"/>
      <c r="U33" s="67"/>
      <c r="V33" s="67"/>
      <c r="W33" s="67"/>
      <c r="X33" s="67"/>
      <c r="Y33" s="74" t="s">
        <v>213</v>
      </c>
      <c r="Z33" s="67"/>
      <c r="AA33" s="67"/>
      <c r="AB33" s="67"/>
      <c r="AC33" s="67"/>
      <c r="AD33" s="67"/>
      <c r="AE33" s="67"/>
      <c r="AF33" s="75"/>
      <c r="AG33" s="67"/>
      <c r="AH33" s="67"/>
      <c r="AI33" s="67"/>
      <c r="AJ33" s="62"/>
      <c r="AK33" s="62"/>
    </row>
    <row r="34" spans="1:37" x14ac:dyDescent="0.3">
      <c r="A34" s="65">
        <v>32</v>
      </c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5"/>
      <c r="T34" s="67"/>
      <c r="U34" s="67"/>
      <c r="V34" s="67"/>
      <c r="W34" s="67"/>
      <c r="X34" s="67"/>
      <c r="Y34" s="76"/>
      <c r="Z34" s="67"/>
      <c r="AA34" s="74" t="s">
        <v>213</v>
      </c>
      <c r="AB34" s="67"/>
      <c r="AC34" s="67"/>
      <c r="AD34" s="67"/>
      <c r="AE34" s="67"/>
      <c r="AF34" s="75"/>
      <c r="AG34" s="67"/>
      <c r="AH34" s="67"/>
      <c r="AI34" s="67"/>
      <c r="AJ34" s="62"/>
      <c r="AK34" s="62"/>
    </row>
    <row r="35" spans="1:37" x14ac:dyDescent="0.3">
      <c r="A35" s="65">
        <v>33</v>
      </c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74" t="s">
        <v>213</v>
      </c>
      <c r="M35" s="67"/>
      <c r="N35" s="67" t="str">
        <f>VLOOKUP(B35,'For Senior grades- 13 days'!B34:N219,13,0)</f>
        <v>Regional</v>
      </c>
      <c r="O35" s="67"/>
      <c r="P35" s="67"/>
      <c r="Q35" s="67" t="s">
        <v>213</v>
      </c>
      <c r="R35" s="67"/>
      <c r="S35" s="75"/>
      <c r="T35" s="67"/>
      <c r="U35" s="67"/>
      <c r="V35" s="67"/>
      <c r="W35" s="67"/>
      <c r="X35" s="67"/>
      <c r="Y35" s="76"/>
      <c r="Z35" s="67"/>
      <c r="AA35" s="67"/>
      <c r="AB35" s="67"/>
      <c r="AC35" s="67"/>
      <c r="AD35" s="75" t="s">
        <v>213</v>
      </c>
      <c r="AE35" s="67"/>
      <c r="AF35" s="75"/>
      <c r="AG35" s="67"/>
      <c r="AH35" s="67"/>
      <c r="AI35" s="67"/>
      <c r="AJ35" s="62"/>
      <c r="AK35" s="62"/>
    </row>
    <row r="36" spans="1:37" x14ac:dyDescent="0.3">
      <c r="A36" s="65">
        <v>34</v>
      </c>
      <c r="B36" s="63">
        <v>46084</v>
      </c>
      <c r="C36" s="66" t="s">
        <v>342</v>
      </c>
      <c r="D36" s="66" t="s">
        <v>101</v>
      </c>
      <c r="E36" s="67"/>
      <c r="F36" s="67"/>
      <c r="G36" s="67"/>
      <c r="H36" s="67"/>
      <c r="I36" s="67"/>
      <c r="J36" s="67" t="str">
        <f>VLOOKUP(B36,'For Senior grades- 13 days'!B35:J219,9,0)</f>
        <v>Optional</v>
      </c>
      <c r="K36" s="67"/>
      <c r="L36" s="74" t="s">
        <v>213</v>
      </c>
      <c r="M36" s="67"/>
      <c r="N36" s="67"/>
      <c r="O36" s="67" t="s">
        <v>213</v>
      </c>
      <c r="P36" s="67"/>
      <c r="Q36" s="74" t="s">
        <v>213</v>
      </c>
      <c r="R36" s="67"/>
      <c r="S36" s="75"/>
      <c r="T36" s="74" t="s">
        <v>213</v>
      </c>
      <c r="U36" s="67"/>
      <c r="V36" s="74" t="s">
        <v>213</v>
      </c>
      <c r="W36" s="74" t="str">
        <f>VLOOKUP(B36,'For Senior grades- 13 days'!B35:W220,22,0)</f>
        <v>Regional</v>
      </c>
      <c r="X36" s="67"/>
      <c r="Y36" s="76"/>
      <c r="Z36" s="67"/>
      <c r="AA36" s="74" t="s">
        <v>213</v>
      </c>
      <c r="AB36" s="67"/>
      <c r="AC36" s="67"/>
      <c r="AD36" s="67"/>
      <c r="AE36" s="67"/>
      <c r="AF36" s="75"/>
      <c r="AG36" s="67"/>
      <c r="AH36" s="67"/>
      <c r="AI36" s="74" t="s">
        <v>213</v>
      </c>
      <c r="AJ36" s="62" t="s">
        <v>215</v>
      </c>
      <c r="AK36" s="62"/>
    </row>
    <row r="37" spans="1:37" x14ac:dyDescent="0.3">
      <c r="A37" s="65">
        <v>35</v>
      </c>
      <c r="B37" s="63">
        <v>46085</v>
      </c>
      <c r="C37" s="66" t="s">
        <v>99</v>
      </c>
      <c r="D37" s="66" t="s">
        <v>97</v>
      </c>
      <c r="E37" s="67"/>
      <c r="F37" s="67"/>
      <c r="G37" s="67"/>
      <c r="H37" s="74" t="str">
        <f>VLOOKUP(B37,'For Senior grades- 13 days'!B36:H220,7,0)</f>
        <v>Regional</v>
      </c>
      <c r="I37" s="67"/>
      <c r="J37" s="74" t="str">
        <f>VLOOKUP(B37,'For Senior grades- 13 days'!B36:J220,9,0)</f>
        <v>Regional</v>
      </c>
      <c r="K37" s="67"/>
      <c r="L37" s="67"/>
      <c r="M37" s="67"/>
      <c r="N37" s="74" t="str">
        <f>VLOOKUP(B37,'For Senior grades- 13 days'!B36:N221,13,0)</f>
        <v>Regional</v>
      </c>
      <c r="O37" s="74" t="s">
        <v>213</v>
      </c>
      <c r="P37" s="67"/>
      <c r="Q37" s="67"/>
      <c r="R37" s="67"/>
      <c r="S37" s="74" t="s">
        <v>213</v>
      </c>
      <c r="T37" s="67"/>
      <c r="U37" s="67"/>
      <c r="V37" s="67"/>
      <c r="W37" s="67" t="str">
        <f>VLOOKUP(B37,'For Senior grades- 13 days'!B36:W221,22,0)</f>
        <v>Regional</v>
      </c>
      <c r="X37" s="74" t="s">
        <v>213</v>
      </c>
      <c r="Y37" s="74" t="s">
        <v>213</v>
      </c>
      <c r="Z37" s="67"/>
      <c r="AA37" s="67"/>
      <c r="AB37" s="67"/>
      <c r="AC37" s="67"/>
      <c r="AD37" s="67"/>
      <c r="AE37" s="67"/>
      <c r="AF37" s="75"/>
      <c r="AG37" s="67"/>
      <c r="AH37" s="67"/>
      <c r="AI37" s="67"/>
      <c r="AJ37" s="80" t="s">
        <v>213</v>
      </c>
      <c r="AK37" s="62"/>
    </row>
    <row r="38" spans="1:37" x14ac:dyDescent="0.3">
      <c r="A38" s="65">
        <v>36</v>
      </c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 t="str">
        <f>VLOOKUP(B38,'For Senior grades- 13 days'!B37:N222,13,0)</f>
        <v>Regional</v>
      </c>
      <c r="O38" s="67" t="s">
        <v>213</v>
      </c>
      <c r="P38" s="67"/>
      <c r="Q38" s="67"/>
      <c r="R38" s="67"/>
      <c r="S38" s="75"/>
      <c r="T38" s="67"/>
      <c r="U38" s="67"/>
      <c r="V38" s="67"/>
      <c r="W38" s="67"/>
      <c r="X38" s="67"/>
      <c r="Y38" s="76"/>
      <c r="Z38" s="67"/>
      <c r="AA38" s="67"/>
      <c r="AB38" s="67"/>
      <c r="AC38" s="67"/>
      <c r="AD38" s="67"/>
      <c r="AE38" s="67"/>
      <c r="AF38" s="75"/>
      <c r="AG38" s="67"/>
      <c r="AH38" s="67"/>
      <c r="AI38" s="67"/>
      <c r="AJ38" s="62"/>
      <c r="AK38" s="62"/>
    </row>
    <row r="39" spans="1:37" x14ac:dyDescent="0.3">
      <c r="A39" s="65">
        <v>37</v>
      </c>
      <c r="B39" s="63">
        <v>46092</v>
      </c>
      <c r="C39" s="66" t="s">
        <v>331</v>
      </c>
      <c r="D39" s="66" t="s">
        <v>97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5"/>
      <c r="T39" s="67"/>
      <c r="U39" s="67"/>
      <c r="V39" s="67"/>
      <c r="W39" s="67"/>
      <c r="X39" s="67"/>
      <c r="Y39" s="76"/>
      <c r="Z39" s="67"/>
      <c r="AA39" s="67"/>
      <c r="AB39" s="67"/>
      <c r="AC39" s="67"/>
      <c r="AD39" s="67"/>
      <c r="AE39" s="67"/>
      <c r="AF39" s="75"/>
      <c r="AG39" s="67"/>
      <c r="AH39" s="67"/>
      <c r="AI39" s="67"/>
      <c r="AJ39" s="62" t="s">
        <v>215</v>
      </c>
      <c r="AK39" s="62"/>
    </row>
    <row r="40" spans="1:37" x14ac:dyDescent="0.3">
      <c r="A40" s="65">
        <v>38</v>
      </c>
      <c r="B40" s="63">
        <v>46094</v>
      </c>
      <c r="C40" s="66" t="s">
        <v>163</v>
      </c>
      <c r="D40" s="66" t="s">
        <v>127</v>
      </c>
      <c r="E40" s="67"/>
      <c r="F40" s="67"/>
      <c r="G40" s="67"/>
      <c r="H40" s="67"/>
      <c r="I40" s="67"/>
      <c r="J40" s="67" t="str">
        <f>VLOOKUP(B40,'For Senior grades- 13 days'!B39:J223,9,0)</f>
        <v>Optional</v>
      </c>
      <c r="K40" s="67"/>
      <c r="L40" s="67"/>
      <c r="M40" s="67"/>
      <c r="N40" s="67" t="str">
        <f>VLOOKUP(B40,'For Senior grades- 13 days'!B39:N224,13,0)</f>
        <v>Regional</v>
      </c>
      <c r="O40" s="67"/>
      <c r="P40" s="67"/>
      <c r="Q40" s="67"/>
      <c r="R40" s="67"/>
      <c r="S40" s="75"/>
      <c r="T40" s="67"/>
      <c r="U40" s="67"/>
      <c r="V40" s="67"/>
      <c r="W40" s="67"/>
      <c r="X40" s="67"/>
      <c r="Y40" s="75" t="s">
        <v>213</v>
      </c>
      <c r="Z40" s="67"/>
      <c r="AA40" s="67"/>
      <c r="AB40" s="67"/>
      <c r="AC40" s="67"/>
      <c r="AD40" s="67"/>
      <c r="AE40" s="67"/>
      <c r="AF40" s="75"/>
      <c r="AG40" s="67"/>
      <c r="AH40" s="67"/>
      <c r="AI40" s="67"/>
      <c r="AJ40" s="62"/>
      <c r="AK40" s="62"/>
    </row>
    <row r="41" spans="1:37" x14ac:dyDescent="0.3">
      <c r="A41" s="65">
        <v>39</v>
      </c>
      <c r="B41" s="63">
        <v>46098</v>
      </c>
      <c r="C41" s="66" t="s">
        <v>174</v>
      </c>
      <c r="D41" s="66" t="s">
        <v>101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5"/>
      <c r="T41" s="67"/>
      <c r="U41" s="67"/>
      <c r="V41" s="67"/>
      <c r="W41" s="67"/>
      <c r="X41" s="67"/>
      <c r="Y41" s="76"/>
      <c r="Z41" s="67"/>
      <c r="AA41" s="67"/>
      <c r="AB41" s="67"/>
      <c r="AC41" s="67"/>
      <c r="AD41" s="67" t="s">
        <v>213</v>
      </c>
      <c r="AE41" s="67"/>
      <c r="AF41" s="75"/>
      <c r="AG41" s="67"/>
      <c r="AH41" s="67"/>
      <c r="AI41" s="67"/>
      <c r="AJ41" s="62"/>
      <c r="AK41" s="62"/>
    </row>
    <row r="42" spans="1:37" x14ac:dyDescent="0.3">
      <c r="A42" s="65">
        <v>40</v>
      </c>
      <c r="B42" s="63">
        <v>46100</v>
      </c>
      <c r="C42" s="66" t="s">
        <v>328</v>
      </c>
      <c r="D42" s="66" t="s">
        <v>96</v>
      </c>
      <c r="E42" s="67"/>
      <c r="F42" s="67"/>
      <c r="G42" s="67"/>
      <c r="H42" s="67"/>
      <c r="I42" s="67"/>
      <c r="J42" s="67" t="str">
        <f>VLOOKUP(B42,'For Senior grades- 13 days'!B41:J225,9,0)</f>
        <v>Optional</v>
      </c>
      <c r="K42" s="67"/>
      <c r="L42" s="67"/>
      <c r="M42" s="67"/>
      <c r="N42" s="67" t="str">
        <f>VLOOKUP(B42,'For Senior grades- 13 days'!B41:N226,13,0)</f>
        <v>Regional</v>
      </c>
      <c r="O42" s="67" t="s">
        <v>213</v>
      </c>
      <c r="P42" s="67"/>
      <c r="Q42" s="67"/>
      <c r="R42" s="67"/>
      <c r="S42" s="75"/>
      <c r="T42" s="67"/>
      <c r="U42" s="67"/>
      <c r="V42" s="67"/>
      <c r="W42" s="67" t="str">
        <f>VLOOKUP(B42,'For Senior grades- 13 days'!B41:W226,22,0)</f>
        <v>Regional</v>
      </c>
      <c r="X42" s="67"/>
      <c r="Y42" s="76"/>
      <c r="Z42" s="67"/>
      <c r="AA42" s="67"/>
      <c r="AB42" s="67"/>
      <c r="AC42" s="67"/>
      <c r="AD42" s="74" t="s">
        <v>213</v>
      </c>
      <c r="AE42" s="74" t="s">
        <v>213</v>
      </c>
      <c r="AF42" s="75"/>
      <c r="AG42" s="75" t="s">
        <v>213</v>
      </c>
      <c r="AH42" s="67"/>
      <c r="AI42" s="75" t="s">
        <v>213</v>
      </c>
      <c r="AJ42" s="62" t="s">
        <v>213</v>
      </c>
      <c r="AK42" s="62"/>
    </row>
    <row r="43" spans="1:37" x14ac:dyDescent="0.3">
      <c r="A43" s="65">
        <v>41</v>
      </c>
      <c r="B43" s="63">
        <v>46101</v>
      </c>
      <c r="C43" s="66" t="s">
        <v>245</v>
      </c>
      <c r="D43" s="66" t="s">
        <v>127</v>
      </c>
      <c r="E43" s="67"/>
      <c r="F43" s="67"/>
      <c r="G43" s="67"/>
      <c r="H43" s="67"/>
      <c r="I43" s="67"/>
      <c r="J43" s="67" t="str">
        <f>VLOOKUP(B43,'For Senior grades- 13 days'!B42:J226,9,0)</f>
        <v>Optional</v>
      </c>
      <c r="K43" s="67"/>
      <c r="L43" s="74" t="s">
        <v>213</v>
      </c>
      <c r="M43" s="67"/>
      <c r="N43" s="67"/>
      <c r="O43" s="74" t="s">
        <v>213</v>
      </c>
      <c r="P43" s="67"/>
      <c r="Q43" s="67"/>
      <c r="R43" s="67"/>
      <c r="S43" s="75"/>
      <c r="T43" s="67"/>
      <c r="U43" s="67"/>
      <c r="V43" s="67"/>
      <c r="W43" s="67"/>
      <c r="X43" s="67"/>
      <c r="Y43" s="76"/>
      <c r="Z43" s="67"/>
      <c r="AA43" s="67" t="s">
        <v>213</v>
      </c>
      <c r="AB43" s="67"/>
      <c r="AC43" s="67"/>
      <c r="AD43" s="74" t="s">
        <v>213</v>
      </c>
      <c r="AE43" s="67"/>
      <c r="AF43" s="75" t="s">
        <v>213</v>
      </c>
      <c r="AG43" s="67"/>
      <c r="AH43" s="67"/>
      <c r="AI43" s="67"/>
      <c r="AJ43" s="62"/>
      <c r="AK43" s="62"/>
    </row>
    <row r="44" spans="1:37" x14ac:dyDescent="0.3">
      <c r="A44" s="65">
        <v>42</v>
      </c>
      <c r="B44" s="63">
        <v>46102</v>
      </c>
      <c r="C44" s="66" t="s">
        <v>141</v>
      </c>
      <c r="D44" s="67" t="s">
        <v>64</v>
      </c>
      <c r="E44" s="67"/>
      <c r="F44" s="67"/>
      <c r="G44" s="67"/>
      <c r="H44" s="67" t="str">
        <f>VLOOKUP(B44,'For Senior grades- 13 days'!B43:H227,7,0)</f>
        <v>Regional-WE</v>
      </c>
      <c r="I44" s="67"/>
      <c r="J44" s="67" t="str">
        <f>VLOOKUP(B44,'For Senior grades- 13 days'!B43:J227,9,0)</f>
        <v>Regional-WE</v>
      </c>
      <c r="K44" s="67"/>
      <c r="L44" s="67" t="s">
        <v>219</v>
      </c>
      <c r="M44" s="67"/>
      <c r="N44" s="67" t="str">
        <f>VLOOKUP(B44,'For Senior grades- 13 days'!B43:N228,13,0)</f>
        <v>Regional-WE</v>
      </c>
      <c r="O44" s="67" t="s">
        <v>219</v>
      </c>
      <c r="P44" s="67"/>
      <c r="Q44" s="67" t="s">
        <v>219</v>
      </c>
      <c r="R44" s="67"/>
      <c r="S44" s="67" t="s">
        <v>219</v>
      </c>
      <c r="T44" s="67" t="str">
        <f>VLOOKUP(B44,'For Senior grades- 13 days'!B43:T226,19,0)</f>
        <v>Regional-WE</v>
      </c>
      <c r="U44" s="67"/>
      <c r="V44" s="67" t="s">
        <v>219</v>
      </c>
      <c r="W44" s="67" t="str">
        <f>VLOOKUP(B44,'For Senior grades- 13 days'!B43:W228,22,0)</f>
        <v>Regional-WE</v>
      </c>
      <c r="X44" s="67" t="s">
        <v>302</v>
      </c>
      <c r="Y44" s="75" t="s">
        <v>219</v>
      </c>
      <c r="Z44" s="67"/>
      <c r="AA44" s="67"/>
      <c r="AB44" s="67"/>
      <c r="AC44" s="67"/>
      <c r="AD44" s="67" t="s">
        <v>219</v>
      </c>
      <c r="AE44" s="67" t="s">
        <v>219</v>
      </c>
      <c r="AF44" s="75"/>
      <c r="AG44" s="67" t="s">
        <v>219</v>
      </c>
      <c r="AH44" s="67"/>
      <c r="AI44" s="67" t="s">
        <v>219</v>
      </c>
      <c r="AJ44" s="62" t="s">
        <v>219</v>
      </c>
      <c r="AK44" s="62"/>
    </row>
    <row r="45" spans="1:37" x14ac:dyDescent="0.3">
      <c r="A45" s="65">
        <v>43</v>
      </c>
      <c r="B45" s="63">
        <v>46103</v>
      </c>
      <c r="C45" s="66" t="s">
        <v>280</v>
      </c>
      <c r="D45" s="66" t="s">
        <v>63</v>
      </c>
      <c r="E45" s="67"/>
      <c r="F45" s="67"/>
      <c r="G45" s="67"/>
      <c r="H45" s="67"/>
      <c r="I45" s="67"/>
      <c r="J45" s="67"/>
      <c r="K45" s="67"/>
      <c r="L45" s="67"/>
      <c r="M45" s="67"/>
      <c r="N45" s="67" t="str">
        <f>VLOOKUP(B45,'For Senior grades- 13 days'!B44:N229,13,0)</f>
        <v>Regional-WE</v>
      </c>
      <c r="O45" s="67"/>
      <c r="P45" s="67"/>
      <c r="Q45" s="67" t="s">
        <v>219</v>
      </c>
      <c r="R45" s="67"/>
      <c r="S45" s="75"/>
      <c r="T45" s="67"/>
      <c r="U45" s="67"/>
      <c r="V45" s="67"/>
      <c r="W45" s="67"/>
      <c r="X45" s="67"/>
      <c r="Y45" s="76"/>
      <c r="Z45" s="67"/>
      <c r="AA45" s="67"/>
      <c r="AB45" s="67"/>
      <c r="AC45" s="67"/>
      <c r="AD45" s="67"/>
      <c r="AE45" s="67"/>
      <c r="AF45" s="75"/>
      <c r="AG45" s="67"/>
      <c r="AH45" s="67"/>
      <c r="AI45" s="67"/>
      <c r="AJ45" s="62"/>
      <c r="AK45" s="62"/>
    </row>
    <row r="46" spans="1:37" x14ac:dyDescent="0.3">
      <c r="A46" s="65">
        <v>44</v>
      </c>
      <c r="B46" s="63">
        <v>46104</v>
      </c>
      <c r="C46" s="66" t="s">
        <v>246</v>
      </c>
      <c r="D46" s="66" t="s">
        <v>98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 t="s">
        <v>213</v>
      </c>
      <c r="P46" s="67"/>
      <c r="Q46" s="67"/>
      <c r="R46" s="67"/>
      <c r="S46" s="75"/>
      <c r="T46" s="67"/>
      <c r="U46" s="67"/>
      <c r="V46" s="67"/>
      <c r="W46" s="67"/>
      <c r="X46" s="67"/>
      <c r="Y46" s="76"/>
      <c r="Z46" s="67"/>
      <c r="AA46" s="67"/>
      <c r="AB46" s="67"/>
      <c r="AC46" s="67"/>
      <c r="AD46" s="67" t="s">
        <v>213</v>
      </c>
      <c r="AE46" s="67"/>
      <c r="AF46" s="75"/>
      <c r="AG46" s="67"/>
      <c r="AH46" s="67"/>
      <c r="AI46" s="67"/>
      <c r="AJ46" s="62"/>
      <c r="AK46" s="62"/>
    </row>
    <row r="47" spans="1:37" x14ac:dyDescent="0.3">
      <c r="A47" s="65">
        <v>45</v>
      </c>
      <c r="B47" s="63">
        <v>46107</v>
      </c>
      <c r="C47" s="66" t="s">
        <v>281</v>
      </c>
      <c r="D47" s="66" t="s">
        <v>96</v>
      </c>
      <c r="E47" s="67"/>
      <c r="F47" s="67"/>
      <c r="G47" s="67"/>
      <c r="H47" s="67" t="str">
        <f>VLOOKUP(B47,'For Senior grades- 13 days'!B46:H230,7,0)</f>
        <v>Regional</v>
      </c>
      <c r="I47" s="67"/>
      <c r="J47" s="67" t="str">
        <f>VLOOKUP(B47,'For Senior grades- 13 days'!B46:J230,9,0)</f>
        <v>Optional</v>
      </c>
      <c r="K47" s="67"/>
      <c r="L47" s="67" t="s">
        <v>213</v>
      </c>
      <c r="M47" s="67"/>
      <c r="N47" s="74" t="str">
        <f>VLOOKUP(B47,'For Senior grades- 13 days'!B46:N231,13,0)</f>
        <v>Regional</v>
      </c>
      <c r="O47" s="67" t="s">
        <v>213</v>
      </c>
      <c r="P47" s="67"/>
      <c r="Q47" s="67" t="s">
        <v>213</v>
      </c>
      <c r="R47" s="67"/>
      <c r="S47" s="75"/>
      <c r="T47" s="67" t="str">
        <f>VLOOKUP(B47,'For Senior grades- 13 days'!B46:T229,19,0)</f>
        <v>Regional</v>
      </c>
      <c r="U47" s="67"/>
      <c r="V47" s="67"/>
      <c r="W47" s="67"/>
      <c r="X47" s="67"/>
      <c r="Y47" s="75" t="s">
        <v>213</v>
      </c>
      <c r="Z47" s="67"/>
      <c r="AA47" s="67"/>
      <c r="AB47" s="67"/>
      <c r="AC47" s="67"/>
      <c r="AD47" s="67"/>
      <c r="AE47" s="67"/>
      <c r="AF47" s="75"/>
      <c r="AG47" s="67"/>
      <c r="AH47" s="67"/>
      <c r="AI47" s="67" t="s">
        <v>213</v>
      </c>
      <c r="AJ47" s="62" t="s">
        <v>213</v>
      </c>
      <c r="AK47" s="62"/>
    </row>
    <row r="48" spans="1:37" x14ac:dyDescent="0.3">
      <c r="A48" s="65">
        <v>46</v>
      </c>
      <c r="B48" s="63">
        <v>46108</v>
      </c>
      <c r="C48" s="66" t="s">
        <v>149</v>
      </c>
      <c r="D48" s="66" t="s">
        <v>127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75" t="s">
        <v>213</v>
      </c>
      <c r="T48" s="67"/>
      <c r="U48" s="67"/>
      <c r="V48" s="67"/>
      <c r="W48" s="67"/>
      <c r="X48" s="67"/>
      <c r="Y48" s="76"/>
      <c r="Z48" s="67"/>
      <c r="AA48" s="67"/>
      <c r="AB48" s="67"/>
      <c r="AC48" s="67"/>
      <c r="AD48" s="67" t="s">
        <v>213</v>
      </c>
      <c r="AE48" s="67"/>
      <c r="AF48" s="75"/>
      <c r="AG48" s="67"/>
      <c r="AH48" s="67"/>
      <c r="AI48" s="67"/>
      <c r="AJ48" s="62"/>
      <c r="AK48" s="62"/>
    </row>
    <row r="49" spans="1:37" x14ac:dyDescent="0.3">
      <c r="A49" s="65">
        <v>47</v>
      </c>
      <c r="B49" s="63">
        <v>46112</v>
      </c>
      <c r="C49" s="66" t="s">
        <v>35</v>
      </c>
      <c r="D49" s="66" t="s">
        <v>101</v>
      </c>
      <c r="E49" s="67"/>
      <c r="F49" s="67"/>
      <c r="G49" s="67"/>
      <c r="H49" s="67" t="str">
        <f>VLOOKUP(B49,'For Senior grades- 13 days'!B48:H232,7,0)</f>
        <v>Optional</v>
      </c>
      <c r="I49" s="67"/>
      <c r="J49" s="67"/>
      <c r="K49" s="67"/>
      <c r="L49" s="67" t="s">
        <v>213</v>
      </c>
      <c r="M49" s="67"/>
      <c r="N49" s="67" t="str">
        <f>VLOOKUP(B49,'For Senior grades- 13 days'!B48:N233,13,0)</f>
        <v>Regional</v>
      </c>
      <c r="O49" s="67" t="s">
        <v>213</v>
      </c>
      <c r="P49" s="67"/>
      <c r="Q49" s="67"/>
      <c r="R49" s="67"/>
      <c r="S49" s="75"/>
      <c r="T49" s="67" t="str">
        <f>VLOOKUP(B49,'For Senior grades- 13 days'!B48:T231,19,0)</f>
        <v>Regional</v>
      </c>
      <c r="U49" s="67"/>
      <c r="V49" s="67"/>
      <c r="W49" s="67"/>
      <c r="X49" s="67"/>
      <c r="Y49" s="75" t="s">
        <v>213</v>
      </c>
      <c r="Z49" s="67"/>
      <c r="AA49" s="67"/>
      <c r="AB49" s="67"/>
      <c r="AC49" s="67"/>
      <c r="AD49" s="67" t="s">
        <v>213</v>
      </c>
      <c r="AE49" s="67" t="s">
        <v>213</v>
      </c>
      <c r="AF49" s="75"/>
      <c r="AG49" s="67" t="s">
        <v>213</v>
      </c>
      <c r="AH49" s="67"/>
      <c r="AI49" s="67"/>
      <c r="AJ49" s="62" t="s">
        <v>213</v>
      </c>
      <c r="AK49" s="62"/>
    </row>
    <row r="50" spans="1:37" x14ac:dyDescent="0.3">
      <c r="A50" s="65">
        <v>48</v>
      </c>
      <c r="B50" s="63">
        <v>46113</v>
      </c>
      <c r="C50" s="66" t="s">
        <v>247</v>
      </c>
      <c r="D50" s="66" t="s">
        <v>97</v>
      </c>
      <c r="E50" s="67"/>
      <c r="F50" s="67"/>
      <c r="G50" s="67"/>
      <c r="H50" s="67"/>
      <c r="I50" s="67"/>
      <c r="J50" s="67"/>
      <c r="K50" s="67"/>
      <c r="L50" s="67"/>
      <c r="M50" s="67"/>
      <c r="N50" s="67" t="str">
        <f>VLOOKUP(B50,'For Senior grades- 13 days'!B49:N234,13,0)</f>
        <v>Regional</v>
      </c>
      <c r="O50" s="67" t="s">
        <v>213</v>
      </c>
      <c r="P50" s="67"/>
      <c r="Q50" s="67"/>
      <c r="R50" s="67"/>
      <c r="S50" s="75" t="s">
        <v>213</v>
      </c>
      <c r="T50" s="67"/>
      <c r="U50" s="67"/>
      <c r="V50" s="67"/>
      <c r="W50" s="67"/>
      <c r="X50" s="67"/>
      <c r="Y50" s="76"/>
      <c r="Z50" s="67"/>
      <c r="AA50" s="67"/>
      <c r="AB50" s="67"/>
      <c r="AC50" s="67"/>
      <c r="AD50" s="67"/>
      <c r="AE50" s="67" t="s">
        <v>213</v>
      </c>
      <c r="AF50" s="75"/>
      <c r="AG50" s="67" t="s">
        <v>213</v>
      </c>
      <c r="AH50" s="67"/>
      <c r="AI50" s="67" t="s">
        <v>215</v>
      </c>
      <c r="AJ50" s="62" t="s">
        <v>215</v>
      </c>
      <c r="AK50" s="62"/>
    </row>
    <row r="51" spans="1:37" x14ac:dyDescent="0.3">
      <c r="A51" s="65">
        <v>49</v>
      </c>
      <c r="B51" s="63">
        <v>46114</v>
      </c>
      <c r="C51" s="66" t="s">
        <v>248</v>
      </c>
      <c r="D51" s="66" t="s">
        <v>96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 t="s">
        <v>213</v>
      </c>
      <c r="P51" s="67"/>
      <c r="Q51" s="67"/>
      <c r="R51" s="67"/>
      <c r="S51" s="75"/>
      <c r="T51" s="67"/>
      <c r="U51" s="67"/>
      <c r="V51" s="67"/>
      <c r="W51" s="67"/>
      <c r="X51" s="67"/>
      <c r="Y51" s="76"/>
      <c r="Z51" s="67"/>
      <c r="AA51" s="67"/>
      <c r="AB51" s="67"/>
      <c r="AC51" s="67"/>
      <c r="AD51" s="67"/>
      <c r="AE51" s="67"/>
      <c r="AF51" s="75"/>
      <c r="AG51" s="67"/>
      <c r="AH51" s="67"/>
      <c r="AI51" s="67"/>
      <c r="AJ51" s="62" t="s">
        <v>215</v>
      </c>
      <c r="AK51" s="62"/>
    </row>
    <row r="52" spans="1:37" x14ac:dyDescent="0.3">
      <c r="A52" s="65">
        <v>50</v>
      </c>
      <c r="B52" s="63">
        <v>46115</v>
      </c>
      <c r="C52" s="66" t="s">
        <v>38</v>
      </c>
      <c r="D52" s="66" t="s">
        <v>127</v>
      </c>
      <c r="E52" s="67"/>
      <c r="F52" s="67"/>
      <c r="G52" s="67"/>
      <c r="H52" s="74" t="str">
        <f>VLOOKUP(B52,'For Senior grades- 13 days'!B51:H235,7,0)</f>
        <v>Regional</v>
      </c>
      <c r="I52" s="67"/>
      <c r="J52" s="67" t="str">
        <f>VLOOKUP(B52,'For Senior grades- 13 days'!B51:J235,9,0)</f>
        <v>Optional</v>
      </c>
      <c r="K52" s="67"/>
      <c r="L52" s="74" t="s">
        <v>213</v>
      </c>
      <c r="M52" s="67"/>
      <c r="N52" s="74" t="str">
        <f>VLOOKUP(B52,'For Senior grades- 13 days'!B51:N236,13,0)</f>
        <v>Regional</v>
      </c>
      <c r="O52" s="74" t="s">
        <v>213</v>
      </c>
      <c r="P52" s="67"/>
      <c r="Q52" s="74" t="s">
        <v>213</v>
      </c>
      <c r="R52" s="67"/>
      <c r="S52" s="74" t="s">
        <v>213</v>
      </c>
      <c r="T52" s="74" t="s">
        <v>213</v>
      </c>
      <c r="U52" s="67"/>
      <c r="V52" s="74" t="s">
        <v>213</v>
      </c>
      <c r="W52" s="74" t="str">
        <f>VLOOKUP(B52,'For Senior grades- 13 days'!B51:W236,22,0)</f>
        <v>Regional</v>
      </c>
      <c r="X52" s="74" t="s">
        <v>213</v>
      </c>
      <c r="Y52" s="74" t="s">
        <v>213</v>
      </c>
      <c r="Z52" s="67"/>
      <c r="AA52" s="74" t="s">
        <v>213</v>
      </c>
      <c r="AB52" s="67"/>
      <c r="AC52" s="67"/>
      <c r="AD52" s="74" t="s">
        <v>213</v>
      </c>
      <c r="AE52" s="74" t="s">
        <v>213</v>
      </c>
      <c r="AF52" s="74" t="s">
        <v>213</v>
      </c>
      <c r="AG52" s="74" t="s">
        <v>213</v>
      </c>
      <c r="AH52" s="67"/>
      <c r="AI52" s="74" t="s">
        <v>213</v>
      </c>
      <c r="AJ52" s="80" t="s">
        <v>213</v>
      </c>
      <c r="AK52" s="62"/>
    </row>
    <row r="53" spans="1:37" x14ac:dyDescent="0.3">
      <c r="A53" s="65">
        <v>51</v>
      </c>
      <c r="B53" s="63">
        <v>46116</v>
      </c>
      <c r="C53" s="66" t="s">
        <v>222</v>
      </c>
      <c r="D53" s="66" t="s">
        <v>64</v>
      </c>
      <c r="E53" s="67"/>
      <c r="F53" s="67"/>
      <c r="G53" s="67"/>
      <c r="H53" s="67"/>
      <c r="I53" s="67"/>
      <c r="J53" s="67"/>
      <c r="K53" s="67"/>
      <c r="L53" s="67"/>
      <c r="M53" s="67"/>
      <c r="N53" s="67" t="str">
        <f>VLOOKUP(B53,'For Senior grades- 13 days'!B52:N237,13,0)</f>
        <v>Regional-WE</v>
      </c>
      <c r="O53" s="67"/>
      <c r="P53" s="67"/>
      <c r="Q53" s="67"/>
      <c r="R53" s="67"/>
      <c r="S53" s="75"/>
      <c r="T53" s="67" t="str">
        <f>VLOOKUP(B53,'For Senior grades- 13 days'!B52:T235,19,0)</f>
        <v>Regional-WE</v>
      </c>
      <c r="U53" s="67"/>
      <c r="V53" s="67"/>
      <c r="W53" s="67"/>
      <c r="X53" s="67"/>
      <c r="Y53" s="76"/>
      <c r="Z53" s="67"/>
      <c r="AA53" s="67"/>
      <c r="AB53" s="67"/>
      <c r="AC53" s="67"/>
      <c r="AD53" s="67" t="s">
        <v>219</v>
      </c>
      <c r="AE53" s="67"/>
      <c r="AF53" s="75"/>
      <c r="AG53" s="67"/>
      <c r="AH53" s="67"/>
      <c r="AI53" s="67"/>
      <c r="AJ53" s="62"/>
      <c r="AK53" s="62"/>
    </row>
    <row r="54" spans="1:37" x14ac:dyDescent="0.3">
      <c r="A54" s="65">
        <v>52</v>
      </c>
      <c r="B54" s="63">
        <v>46117</v>
      </c>
      <c r="C54" s="66" t="s">
        <v>135</v>
      </c>
      <c r="D54" s="66" t="s">
        <v>63</v>
      </c>
      <c r="E54" s="67"/>
      <c r="F54" s="67"/>
      <c r="G54" s="67"/>
      <c r="H54" s="67" t="str">
        <f>VLOOKUP(B54,'For Senior grades- 13 days'!B53:H237,7,0)</f>
        <v>Optional-WE</v>
      </c>
      <c r="I54" s="67"/>
      <c r="J54" s="67"/>
      <c r="K54" s="67"/>
      <c r="L54" s="67"/>
      <c r="M54" s="67"/>
      <c r="N54" s="67" t="str">
        <f>VLOOKUP(B54,'For Senior grades- 13 days'!B53:N238,13,0)</f>
        <v>Regional-WE</v>
      </c>
      <c r="O54" s="67"/>
      <c r="P54" s="67"/>
      <c r="Q54" s="67"/>
      <c r="R54" s="67"/>
      <c r="S54" s="75"/>
      <c r="T54" s="67"/>
      <c r="U54" s="67"/>
      <c r="V54" s="67"/>
      <c r="W54" s="67"/>
      <c r="X54" s="67"/>
      <c r="Y54" s="76"/>
      <c r="Z54" s="67"/>
      <c r="AA54" s="67"/>
      <c r="AB54" s="67"/>
      <c r="AC54" s="67"/>
      <c r="AD54" s="67"/>
      <c r="AE54" s="67" t="s">
        <v>219</v>
      </c>
      <c r="AF54" s="75"/>
      <c r="AG54" s="67"/>
      <c r="AH54" s="67"/>
      <c r="AI54" s="67"/>
      <c r="AJ54" s="62"/>
      <c r="AK54" s="62"/>
    </row>
    <row r="55" spans="1:37" x14ac:dyDescent="0.3">
      <c r="A55" s="65"/>
      <c r="B55" s="63">
        <v>46118</v>
      </c>
      <c r="C55" s="66" t="s">
        <v>346</v>
      </c>
      <c r="D55" s="66" t="s">
        <v>98</v>
      </c>
      <c r="E55" s="67"/>
      <c r="F55" s="67"/>
      <c r="G55" s="67"/>
      <c r="H55" s="67"/>
      <c r="I55" s="67"/>
      <c r="J55" s="67"/>
      <c r="K55" s="67"/>
      <c r="L55" s="67"/>
      <c r="M55" s="67"/>
      <c r="N55" s="67" t="str">
        <f>VLOOKUP(B55,'For Senior grades- 13 days'!B54:N239,13,0)</f>
        <v>Regional</v>
      </c>
      <c r="O55" s="67"/>
      <c r="P55" s="67"/>
      <c r="Q55" s="67"/>
      <c r="R55" s="67"/>
      <c r="S55" s="75"/>
      <c r="T55" s="67"/>
      <c r="U55" s="67"/>
      <c r="V55" s="67"/>
      <c r="W55" s="67"/>
      <c r="X55" s="67"/>
      <c r="Y55" s="76"/>
      <c r="Z55" s="67"/>
      <c r="AA55" s="67"/>
      <c r="AB55" s="67"/>
      <c r="AC55" s="67"/>
      <c r="AD55" s="67"/>
      <c r="AE55" s="67"/>
      <c r="AF55" s="75"/>
      <c r="AG55" s="67"/>
      <c r="AH55" s="67"/>
      <c r="AI55" s="67"/>
      <c r="AJ55" s="62"/>
      <c r="AK55" s="62"/>
    </row>
    <row r="56" spans="1:37" x14ac:dyDescent="0.3">
      <c r="A56" s="65">
        <v>53</v>
      </c>
      <c r="B56" s="63">
        <v>46123</v>
      </c>
      <c r="C56" s="66" t="s">
        <v>232</v>
      </c>
      <c r="D56" s="66" t="s">
        <v>64</v>
      </c>
      <c r="E56" s="67"/>
      <c r="F56" s="67"/>
      <c r="G56" s="67"/>
      <c r="H56" s="67"/>
      <c r="I56" s="67"/>
      <c r="J56" s="67"/>
      <c r="K56" s="67"/>
      <c r="L56" s="67" t="s">
        <v>219</v>
      </c>
      <c r="M56" s="67"/>
      <c r="N56" s="67"/>
      <c r="O56" s="67"/>
      <c r="P56" s="67"/>
      <c r="Q56" s="67"/>
      <c r="R56" s="67"/>
      <c r="S56" s="75"/>
      <c r="T56" s="67"/>
      <c r="U56" s="67"/>
      <c r="V56" s="67"/>
      <c r="W56" s="67"/>
      <c r="X56" s="67"/>
      <c r="Y56" s="76"/>
      <c r="Z56" s="67"/>
      <c r="AA56" s="67"/>
      <c r="AB56" s="67"/>
      <c r="AC56" s="67"/>
      <c r="AD56" s="67"/>
      <c r="AE56" s="67"/>
      <c r="AF56" s="75"/>
      <c r="AG56" s="67"/>
      <c r="AH56" s="67"/>
      <c r="AI56" s="67"/>
      <c r="AJ56" s="62"/>
      <c r="AK56" s="62"/>
    </row>
    <row r="57" spans="1:37" x14ac:dyDescent="0.3">
      <c r="A57" s="65">
        <v>54</v>
      </c>
      <c r="B57" s="63">
        <v>46125</v>
      </c>
      <c r="C57" s="66" t="s">
        <v>249</v>
      </c>
      <c r="D57" s="66" t="s">
        <v>98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 t="s">
        <v>213</v>
      </c>
      <c r="P57" s="67"/>
      <c r="Q57" s="67"/>
      <c r="R57" s="67"/>
      <c r="S57" s="75"/>
      <c r="T57" s="67"/>
      <c r="U57" s="67"/>
      <c r="V57" s="67"/>
      <c r="W57" s="67"/>
      <c r="X57" s="67"/>
      <c r="Y57" s="76"/>
      <c r="Z57" s="67"/>
      <c r="AA57" s="67"/>
      <c r="AB57" s="67"/>
      <c r="AC57" s="67"/>
      <c r="AD57" s="67"/>
      <c r="AE57" s="67"/>
      <c r="AF57" s="75"/>
      <c r="AG57" s="67"/>
      <c r="AH57" s="67"/>
      <c r="AI57" s="67"/>
      <c r="AJ57" s="62" t="s">
        <v>215</v>
      </c>
      <c r="AK57" s="62"/>
    </row>
    <row r="58" spans="1:37" ht="21.5" customHeight="1" x14ac:dyDescent="0.3">
      <c r="A58" s="65">
        <v>55</v>
      </c>
      <c r="B58" s="63">
        <v>46126</v>
      </c>
      <c r="C58" s="79" t="s">
        <v>250</v>
      </c>
      <c r="D58" s="66" t="s">
        <v>101</v>
      </c>
      <c r="E58" s="67"/>
      <c r="F58" s="67"/>
      <c r="G58" s="67"/>
      <c r="H58" s="67" t="str">
        <f>VLOOKUP(B58,'For Senior grades- 13 days'!B57:H240,7,0)</f>
        <v>Regional</v>
      </c>
      <c r="I58" s="67"/>
      <c r="J58" s="75" t="str">
        <f>VLOOKUP(B58,'For Senior grades- 13 days'!B57:J240,9,0)</f>
        <v>Regional</v>
      </c>
      <c r="K58" s="67"/>
      <c r="L58" s="74" t="s">
        <v>212</v>
      </c>
      <c r="M58" s="67"/>
      <c r="N58" s="67" t="str">
        <f>VLOOKUP(B58,'For Senior grades- 13 days'!B57:N242,13,0)</f>
        <v>Regional</v>
      </c>
      <c r="O58" s="67" t="s">
        <v>213</v>
      </c>
      <c r="P58" s="67"/>
      <c r="Q58" s="67" t="s">
        <v>213</v>
      </c>
      <c r="R58" s="67"/>
      <c r="S58" s="75" t="s">
        <v>213</v>
      </c>
      <c r="T58" s="67" t="str">
        <f>VLOOKUP(B58,'For Senior grades- 13 days'!B57:T239,19,0)</f>
        <v>Regional</v>
      </c>
      <c r="U58" s="67"/>
      <c r="V58" s="74" t="s">
        <v>213</v>
      </c>
      <c r="W58" s="67" t="str">
        <f>VLOOKUP(B58,'For Senior grades- 13 days'!B57:W241,22,0)</f>
        <v>Regional</v>
      </c>
      <c r="X58" s="67"/>
      <c r="Y58" s="76"/>
      <c r="Z58" s="67"/>
      <c r="AA58" s="67" t="s">
        <v>213</v>
      </c>
      <c r="AB58" s="67"/>
      <c r="AC58" s="67"/>
      <c r="AD58" s="67" t="s">
        <v>213</v>
      </c>
      <c r="AE58" s="75" t="s">
        <v>213</v>
      </c>
      <c r="AF58" s="75" t="s">
        <v>213</v>
      </c>
      <c r="AG58" s="74" t="s">
        <v>213</v>
      </c>
      <c r="AH58" s="67"/>
      <c r="AI58" s="67" t="s">
        <v>213</v>
      </c>
      <c r="AJ58" s="62" t="s">
        <v>213</v>
      </c>
      <c r="AK58" s="62"/>
    </row>
    <row r="59" spans="1:37" x14ac:dyDescent="0.3">
      <c r="A59" s="65">
        <v>56</v>
      </c>
      <c r="B59" s="63">
        <v>46127</v>
      </c>
      <c r="C59" s="66" t="s">
        <v>327</v>
      </c>
      <c r="D59" s="66" t="s">
        <v>97</v>
      </c>
      <c r="E59" s="67"/>
      <c r="F59" s="67"/>
      <c r="G59" s="67"/>
      <c r="H59" s="74" t="str">
        <f>VLOOKUP(B59,'For Senior grades- 13 days'!B58:H241,7,0)</f>
        <v>Regional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75"/>
      <c r="T59" s="67" t="s">
        <v>213</v>
      </c>
      <c r="U59" s="67"/>
      <c r="V59" s="67" t="s">
        <v>213</v>
      </c>
      <c r="W59" s="67"/>
      <c r="X59" s="67"/>
      <c r="Y59" s="76"/>
      <c r="Z59" s="67"/>
      <c r="AA59" s="67"/>
      <c r="AB59" s="67"/>
      <c r="AC59" s="67"/>
      <c r="AD59" s="67"/>
      <c r="AE59" s="67"/>
      <c r="AF59" s="75" t="s">
        <v>213</v>
      </c>
      <c r="AG59" s="67"/>
      <c r="AH59" s="67"/>
      <c r="AI59" s="67"/>
      <c r="AJ59" s="62"/>
      <c r="AK59" s="62"/>
    </row>
    <row r="60" spans="1:37" x14ac:dyDescent="0.3">
      <c r="A60" s="65">
        <v>57</v>
      </c>
      <c r="B60" s="63">
        <v>46128</v>
      </c>
      <c r="C60" s="66" t="s">
        <v>188</v>
      </c>
      <c r="D60" s="66" t="s">
        <v>96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75"/>
      <c r="T60" s="67"/>
      <c r="U60" s="67"/>
      <c r="V60" s="67" t="s">
        <v>213</v>
      </c>
      <c r="W60" s="67"/>
      <c r="X60" s="67"/>
      <c r="Y60" s="76"/>
      <c r="Z60" s="67"/>
      <c r="AA60" s="67"/>
      <c r="AB60" s="67"/>
      <c r="AC60" s="67"/>
      <c r="AD60" s="67"/>
      <c r="AE60" s="67"/>
      <c r="AF60" s="75"/>
      <c r="AG60" s="67"/>
      <c r="AH60" s="67"/>
      <c r="AI60" s="67"/>
      <c r="AJ60" s="62"/>
      <c r="AK60" s="62"/>
    </row>
    <row r="61" spans="1:37" x14ac:dyDescent="0.3">
      <c r="A61" s="65"/>
      <c r="B61" s="63">
        <v>46129</v>
      </c>
      <c r="C61" s="66" t="s">
        <v>347</v>
      </c>
      <c r="D61" s="66" t="s">
        <v>127</v>
      </c>
      <c r="E61" s="67"/>
      <c r="F61" s="67"/>
      <c r="G61" s="67"/>
      <c r="H61" s="67"/>
      <c r="I61" s="67"/>
      <c r="J61" s="67"/>
      <c r="K61" s="67"/>
      <c r="L61" s="67"/>
      <c r="M61" s="67"/>
      <c r="N61" s="67" t="str">
        <f>VLOOKUP(B61,'For Senior grades- 13 days'!B60:N245,13,0)</f>
        <v>Regional</v>
      </c>
      <c r="O61" s="67"/>
      <c r="P61" s="67"/>
      <c r="Q61" s="67"/>
      <c r="R61" s="67"/>
      <c r="S61" s="75"/>
      <c r="T61" s="67"/>
      <c r="U61" s="67"/>
      <c r="V61" s="67"/>
      <c r="W61" s="67"/>
      <c r="X61" s="67"/>
      <c r="Y61" s="76"/>
      <c r="Z61" s="67"/>
      <c r="AA61" s="67"/>
      <c r="AB61" s="67"/>
      <c r="AC61" s="67"/>
      <c r="AD61" s="67"/>
      <c r="AE61" s="67"/>
      <c r="AF61" s="75"/>
      <c r="AG61" s="67"/>
      <c r="AH61" s="67"/>
      <c r="AI61" s="67"/>
      <c r="AJ61" s="62"/>
      <c r="AK61" s="62"/>
    </row>
    <row r="62" spans="1:37" x14ac:dyDescent="0.3">
      <c r="A62" s="65">
        <v>58</v>
      </c>
      <c r="B62" s="63">
        <v>46130</v>
      </c>
      <c r="C62" s="66" t="s">
        <v>297</v>
      </c>
      <c r="D62" s="66" t="s">
        <v>64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5"/>
      <c r="T62" s="67"/>
      <c r="U62" s="67"/>
      <c r="V62" s="67" t="s">
        <v>219</v>
      </c>
      <c r="W62" s="67"/>
      <c r="X62" s="67"/>
      <c r="Y62" s="76"/>
      <c r="Z62" s="67"/>
      <c r="AA62" s="67"/>
      <c r="AB62" s="67"/>
      <c r="AC62" s="67"/>
      <c r="AD62" s="67"/>
      <c r="AE62" s="67"/>
      <c r="AF62" s="75"/>
      <c r="AG62" s="67"/>
      <c r="AH62" s="67"/>
      <c r="AI62" s="67"/>
      <c r="AJ62" s="62"/>
      <c r="AK62" s="62"/>
    </row>
    <row r="63" spans="1:37" x14ac:dyDescent="0.3">
      <c r="A63" s="65">
        <v>59</v>
      </c>
      <c r="B63" s="63">
        <v>46131</v>
      </c>
      <c r="C63" s="66" t="s">
        <v>233</v>
      </c>
      <c r="D63" s="66" t="s">
        <v>63</v>
      </c>
      <c r="E63" s="67"/>
      <c r="F63" s="67"/>
      <c r="G63" s="67"/>
      <c r="H63" s="67" t="str">
        <f>VLOOKUP(B63,'For Senior grades- 13 days'!B62:H244,7,0)</f>
        <v>Regional-WE</v>
      </c>
      <c r="I63" s="67"/>
      <c r="J63" s="67"/>
      <c r="K63" s="67"/>
      <c r="L63" s="67" t="s">
        <v>219</v>
      </c>
      <c r="M63" s="67"/>
      <c r="N63" s="67" t="str">
        <f>VLOOKUP(B63,'For Senior grades- 13 days'!B62:N247,13,0)</f>
        <v>Regional-WE</v>
      </c>
      <c r="O63" s="67"/>
      <c r="P63" s="67"/>
      <c r="Q63" s="67"/>
      <c r="R63" s="67"/>
      <c r="S63" s="75"/>
      <c r="T63" s="67"/>
      <c r="U63" s="67"/>
      <c r="V63" s="67"/>
      <c r="W63" s="67"/>
      <c r="X63" s="67"/>
      <c r="Y63" s="76"/>
      <c r="Z63" s="67"/>
      <c r="AA63" s="67"/>
      <c r="AB63" s="67"/>
      <c r="AC63" s="67"/>
      <c r="AD63" s="67"/>
      <c r="AE63" s="67"/>
      <c r="AF63" s="75"/>
      <c r="AG63" s="67"/>
      <c r="AH63" s="67"/>
      <c r="AI63" s="67"/>
      <c r="AJ63" s="62" t="s">
        <v>219</v>
      </c>
      <c r="AK63" s="62"/>
    </row>
    <row r="64" spans="1:37" x14ac:dyDescent="0.3">
      <c r="A64" s="65">
        <v>60</v>
      </c>
      <c r="B64" s="63">
        <v>46132</v>
      </c>
      <c r="C64" s="66" t="s">
        <v>251</v>
      </c>
      <c r="D64" s="66" t="s">
        <v>98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 t="s">
        <v>213</v>
      </c>
      <c r="P64" s="67"/>
      <c r="Q64" s="67"/>
      <c r="R64" s="67"/>
      <c r="S64" s="75"/>
      <c r="T64" s="67"/>
      <c r="U64" s="67"/>
      <c r="V64" s="67"/>
      <c r="W64" s="67"/>
      <c r="X64" s="67"/>
      <c r="Y64" s="76"/>
      <c r="Z64" s="67"/>
      <c r="AA64" s="67"/>
      <c r="AB64" s="67"/>
      <c r="AC64" s="67"/>
      <c r="AD64" s="67" t="s">
        <v>213</v>
      </c>
      <c r="AE64" s="67"/>
      <c r="AF64" s="75"/>
      <c r="AG64" s="67"/>
      <c r="AH64" s="67"/>
      <c r="AI64" s="67"/>
      <c r="AJ64" s="62"/>
      <c r="AK64" s="62"/>
    </row>
    <row r="65" spans="1:37" x14ac:dyDescent="0.3">
      <c r="A65" s="65">
        <v>61</v>
      </c>
      <c r="B65" s="63">
        <v>46133</v>
      </c>
      <c r="C65" s="66" t="s">
        <v>223</v>
      </c>
      <c r="D65" s="66" t="s">
        <v>101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75"/>
      <c r="T65" s="67"/>
      <c r="U65" s="67"/>
      <c r="V65" s="67" t="s">
        <v>213</v>
      </c>
      <c r="W65" s="67"/>
      <c r="X65" s="67"/>
      <c r="Y65" s="76"/>
      <c r="Z65" s="67"/>
      <c r="AA65" s="67"/>
      <c r="AB65" s="67"/>
      <c r="AC65" s="67"/>
      <c r="AD65" s="67" t="s">
        <v>213</v>
      </c>
      <c r="AE65" s="67"/>
      <c r="AF65" s="75"/>
      <c r="AG65" s="67"/>
      <c r="AH65" s="67"/>
      <c r="AI65" s="67"/>
      <c r="AJ65" s="62" t="s">
        <v>215</v>
      </c>
      <c r="AK65" s="62"/>
    </row>
    <row r="66" spans="1:37" x14ac:dyDescent="0.3">
      <c r="A66" s="65">
        <v>62</v>
      </c>
      <c r="B66" s="63">
        <v>46134</v>
      </c>
      <c r="C66" s="66" t="s">
        <v>252</v>
      </c>
      <c r="D66" s="66" t="s">
        <v>97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 t="s">
        <v>213</v>
      </c>
      <c r="P66" s="67"/>
      <c r="Q66" s="67"/>
      <c r="R66" s="67"/>
      <c r="S66" s="75"/>
      <c r="T66" s="67"/>
      <c r="U66" s="67"/>
      <c r="V66" s="67"/>
      <c r="W66" s="67"/>
      <c r="X66" s="67"/>
      <c r="Y66" s="76"/>
      <c r="Z66" s="67"/>
      <c r="AA66" s="67"/>
      <c r="AB66" s="67"/>
      <c r="AC66" s="67"/>
      <c r="AD66" s="67" t="s">
        <v>213</v>
      </c>
      <c r="AE66" s="67"/>
      <c r="AF66" s="75"/>
      <c r="AG66" s="67"/>
      <c r="AH66" s="67"/>
      <c r="AI66" s="67"/>
      <c r="AJ66" s="62" t="s">
        <v>215</v>
      </c>
      <c r="AK66" s="62"/>
    </row>
    <row r="67" spans="1:37" x14ac:dyDescent="0.3">
      <c r="A67" s="65">
        <v>63</v>
      </c>
      <c r="B67" s="63">
        <v>46135</v>
      </c>
      <c r="C67" s="66" t="s">
        <v>282</v>
      </c>
      <c r="D67" s="66" t="s">
        <v>96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 t="s">
        <v>213</v>
      </c>
      <c r="R67" s="67"/>
      <c r="S67" s="75"/>
      <c r="T67" s="67"/>
      <c r="U67" s="67"/>
      <c r="V67" s="67"/>
      <c r="W67" s="67" t="str">
        <f>VLOOKUP(B67,'For Senior grades- 13 days'!B66:W249,22,0)</f>
        <v>Regional</v>
      </c>
      <c r="X67" s="67"/>
      <c r="Y67" s="76"/>
      <c r="Z67" s="67"/>
      <c r="AA67" s="67"/>
      <c r="AB67" s="67"/>
      <c r="AC67" s="67"/>
      <c r="AD67" s="67"/>
      <c r="AE67" s="67"/>
      <c r="AF67" s="75"/>
      <c r="AG67" s="67"/>
      <c r="AH67" s="67"/>
      <c r="AI67" s="67"/>
      <c r="AJ67" s="62"/>
      <c r="AK67" s="62"/>
    </row>
    <row r="68" spans="1:37" x14ac:dyDescent="0.3">
      <c r="A68" s="65">
        <v>64</v>
      </c>
      <c r="B68" s="63">
        <v>46137</v>
      </c>
      <c r="C68" s="66" t="s">
        <v>283</v>
      </c>
      <c r="D68" s="66" t="s">
        <v>64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 t="s">
        <v>219</v>
      </c>
      <c r="R68" s="67"/>
      <c r="S68" s="75"/>
      <c r="T68" s="67"/>
      <c r="U68" s="67"/>
      <c r="V68" s="67"/>
      <c r="W68" s="67"/>
      <c r="X68" s="67"/>
      <c r="Y68" s="76"/>
      <c r="Z68" s="67"/>
      <c r="AA68" s="67"/>
      <c r="AB68" s="67"/>
      <c r="AC68" s="67"/>
      <c r="AD68" s="67"/>
      <c r="AE68" s="67"/>
      <c r="AF68" s="75"/>
      <c r="AG68" s="67"/>
      <c r="AH68" s="67"/>
      <c r="AI68" s="67"/>
      <c r="AJ68" s="62"/>
      <c r="AK68" s="62"/>
    </row>
    <row r="69" spans="1:37" x14ac:dyDescent="0.3">
      <c r="A69" s="65">
        <v>65</v>
      </c>
      <c r="B69" s="63">
        <v>46139</v>
      </c>
      <c r="C69" s="66" t="s">
        <v>284</v>
      </c>
      <c r="D69" s="66" t="s">
        <v>98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 t="s">
        <v>213</v>
      </c>
      <c r="R69" s="67"/>
      <c r="S69" s="75"/>
      <c r="T69" s="67"/>
      <c r="U69" s="67"/>
      <c r="V69" s="67"/>
      <c r="W69" s="67"/>
      <c r="X69" s="67"/>
      <c r="Y69" s="76"/>
      <c r="Z69" s="67"/>
      <c r="AA69" s="67"/>
      <c r="AB69" s="67"/>
      <c r="AC69" s="67"/>
      <c r="AD69" s="67"/>
      <c r="AE69" s="67"/>
      <c r="AF69" s="75"/>
      <c r="AG69" s="67"/>
      <c r="AH69" s="67"/>
      <c r="AI69" s="67"/>
      <c r="AJ69" s="62"/>
      <c r="AK69" s="62"/>
    </row>
    <row r="70" spans="1:37" x14ac:dyDescent="0.3">
      <c r="A70" s="65">
        <v>66</v>
      </c>
      <c r="B70" s="63">
        <v>46143</v>
      </c>
      <c r="C70" s="66" t="s">
        <v>207</v>
      </c>
      <c r="D70" s="66" t="s">
        <v>127</v>
      </c>
      <c r="E70" s="67"/>
      <c r="F70" s="67"/>
      <c r="G70" s="67"/>
      <c r="H70" s="74" t="str">
        <f>VLOOKUP(B70,'For Senior grades- 13 days'!B69:H251,7,0)</f>
        <v>Regional</v>
      </c>
      <c r="I70" s="67"/>
      <c r="J70" s="74" t="str">
        <f>VLOOKUP(B70,'For Senior grades- 13 days'!B69:J251,9,0)</f>
        <v>Regional</v>
      </c>
      <c r="K70" s="67"/>
      <c r="L70" s="67"/>
      <c r="M70" s="67"/>
      <c r="N70" s="74" t="str">
        <f>VLOOKUP(B70,'For Senior grades- 13 days'!B69:N254,13,0)</f>
        <v>Regional</v>
      </c>
      <c r="O70" s="74" t="s">
        <v>213</v>
      </c>
      <c r="P70" s="67"/>
      <c r="Q70" s="74" t="s">
        <v>213</v>
      </c>
      <c r="R70" s="67"/>
      <c r="S70" s="75"/>
      <c r="T70" s="74" t="s">
        <v>213</v>
      </c>
      <c r="U70" s="67"/>
      <c r="V70" s="74" t="s">
        <v>213</v>
      </c>
      <c r="W70" s="74" t="str">
        <f>VLOOKUP(B70,'For Senior grades- 13 days'!B69:W252,22,0)</f>
        <v>Regional</v>
      </c>
      <c r="X70" s="67"/>
      <c r="Y70" s="74" t="s">
        <v>213</v>
      </c>
      <c r="Z70" s="67"/>
      <c r="AA70" s="67"/>
      <c r="AB70" s="67"/>
      <c r="AC70" s="67"/>
      <c r="AD70" s="74" t="s">
        <v>213</v>
      </c>
      <c r="AE70" s="74" t="s">
        <v>212</v>
      </c>
      <c r="AF70" s="75" t="s">
        <v>213</v>
      </c>
      <c r="AG70" s="74" t="s">
        <v>212</v>
      </c>
      <c r="AH70" s="67"/>
      <c r="AI70" s="74" t="s">
        <v>212</v>
      </c>
      <c r="AJ70" s="80" t="s">
        <v>215</v>
      </c>
      <c r="AK70" s="62"/>
    </row>
    <row r="71" spans="1:37" x14ac:dyDescent="0.3">
      <c r="A71" s="65">
        <v>67</v>
      </c>
      <c r="B71" s="63">
        <v>46149</v>
      </c>
      <c r="C71" s="66" t="s">
        <v>203</v>
      </c>
      <c r="D71" s="66" t="s">
        <v>96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75"/>
      <c r="T71" s="67"/>
      <c r="U71" s="67"/>
      <c r="V71" s="67"/>
      <c r="W71" s="67"/>
      <c r="X71" s="67"/>
      <c r="Y71" s="76"/>
      <c r="Z71" s="67"/>
      <c r="AA71" s="67"/>
      <c r="AB71" s="67"/>
      <c r="AC71" s="67"/>
      <c r="AD71" s="67"/>
      <c r="AE71" s="67"/>
      <c r="AF71" s="75"/>
      <c r="AG71" s="67"/>
      <c r="AH71" s="67"/>
      <c r="AI71" s="67"/>
      <c r="AJ71" s="62"/>
      <c r="AK71" s="62"/>
    </row>
    <row r="72" spans="1:37" x14ac:dyDescent="0.3">
      <c r="A72" s="65">
        <v>68</v>
      </c>
      <c r="B72" s="63">
        <v>46150</v>
      </c>
      <c r="C72" s="66" t="s">
        <v>183</v>
      </c>
      <c r="D72" s="66" t="s">
        <v>127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75"/>
      <c r="T72" s="67"/>
      <c r="U72" s="67"/>
      <c r="V72" s="67"/>
      <c r="W72" s="67"/>
      <c r="X72" s="67"/>
      <c r="Y72" s="76"/>
      <c r="Z72" s="67"/>
      <c r="AA72" s="67"/>
      <c r="AB72" s="67"/>
      <c r="AC72" s="67"/>
      <c r="AD72" s="67"/>
      <c r="AE72" s="67"/>
      <c r="AF72" s="75"/>
      <c r="AG72" s="67"/>
      <c r="AH72" s="67"/>
      <c r="AI72" s="67"/>
      <c r="AJ72" s="62"/>
      <c r="AK72" s="62"/>
    </row>
    <row r="73" spans="1:37" x14ac:dyDescent="0.3">
      <c r="A73" s="65">
        <v>69</v>
      </c>
      <c r="B73" s="63">
        <v>46151</v>
      </c>
      <c r="C73" s="66" t="s">
        <v>183</v>
      </c>
      <c r="D73" s="66" t="s">
        <v>64</v>
      </c>
      <c r="E73" s="67"/>
      <c r="F73" s="67"/>
      <c r="G73" s="67"/>
      <c r="H73" s="67" t="str">
        <f>VLOOKUP(B73,'For Senior grades- 13 days'!B72:H254,7,0)</f>
        <v>Optional-WE</v>
      </c>
      <c r="I73" s="67"/>
      <c r="J73" s="67"/>
      <c r="K73" s="67"/>
      <c r="L73" s="67"/>
      <c r="M73" s="67"/>
      <c r="N73" s="67" t="str">
        <f>VLOOKUP(B73,'For Senior grades- 13 days'!B72:N257,13,0)</f>
        <v>Regional-WE</v>
      </c>
      <c r="O73" s="67"/>
      <c r="P73" s="67"/>
      <c r="Q73" s="67"/>
      <c r="R73" s="67"/>
      <c r="S73" s="75"/>
      <c r="T73" s="67" t="s">
        <v>219</v>
      </c>
      <c r="U73" s="67"/>
      <c r="V73" s="67"/>
      <c r="W73" s="67"/>
      <c r="X73" s="67"/>
      <c r="Y73" s="76"/>
      <c r="Z73" s="67"/>
      <c r="AA73" s="67"/>
      <c r="AB73" s="67"/>
      <c r="AC73" s="67"/>
      <c r="AD73" s="67"/>
      <c r="AE73" s="67"/>
      <c r="AF73" s="75"/>
      <c r="AG73" s="67"/>
      <c r="AH73" s="67"/>
      <c r="AI73" s="67"/>
      <c r="AJ73" s="62"/>
      <c r="AK73" s="62"/>
    </row>
    <row r="74" spans="1:37" x14ac:dyDescent="0.3">
      <c r="A74" s="65">
        <v>70</v>
      </c>
      <c r="B74" s="63">
        <v>46158</v>
      </c>
      <c r="C74" s="66" t="s">
        <v>196</v>
      </c>
      <c r="D74" s="66" t="s">
        <v>64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75"/>
      <c r="T74" s="67"/>
      <c r="U74" s="67"/>
      <c r="V74" s="67"/>
      <c r="W74" s="67"/>
      <c r="X74" s="67"/>
      <c r="Y74" s="76"/>
      <c r="Z74" s="67"/>
      <c r="AA74" s="67"/>
      <c r="AB74" s="67"/>
      <c r="AC74" s="67"/>
      <c r="AD74" s="67"/>
      <c r="AE74" s="67"/>
      <c r="AF74" s="75"/>
      <c r="AG74" s="67"/>
      <c r="AH74" s="67"/>
      <c r="AI74" s="67"/>
      <c r="AJ74" s="62"/>
      <c r="AK74" s="62"/>
    </row>
    <row r="75" spans="1:37" x14ac:dyDescent="0.3">
      <c r="A75" s="65">
        <v>71</v>
      </c>
      <c r="B75" s="63">
        <v>46164</v>
      </c>
      <c r="C75" s="66" t="s">
        <v>332</v>
      </c>
      <c r="D75" s="66" t="s">
        <v>127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75"/>
      <c r="T75" s="67"/>
      <c r="U75" s="67"/>
      <c r="V75" s="67"/>
      <c r="W75" s="67"/>
      <c r="X75" s="67"/>
      <c r="Y75" s="76"/>
      <c r="Z75" s="67"/>
      <c r="AA75" s="67"/>
      <c r="AB75" s="67"/>
      <c r="AC75" s="67"/>
      <c r="AD75" s="67"/>
      <c r="AE75" s="67"/>
      <c r="AF75" s="75"/>
      <c r="AG75" s="67"/>
      <c r="AH75" s="67"/>
      <c r="AI75" s="67"/>
      <c r="AJ75" s="80" t="s">
        <v>215</v>
      </c>
      <c r="AK75" s="62"/>
    </row>
    <row r="76" spans="1:37" x14ac:dyDescent="0.3">
      <c r="A76" s="65">
        <v>72</v>
      </c>
      <c r="B76" s="63">
        <v>46169</v>
      </c>
      <c r="C76" s="66" t="s">
        <v>193</v>
      </c>
      <c r="D76" s="66" t="s">
        <v>97</v>
      </c>
      <c r="E76" s="67"/>
      <c r="F76" s="67"/>
      <c r="G76" s="67"/>
      <c r="H76" s="74" t="str">
        <f>VLOOKUP(B76,'For Senior grades- 13 days'!B75:H257,7,0)</f>
        <v>Regional</v>
      </c>
      <c r="I76" s="67"/>
      <c r="J76" s="74" t="str">
        <f>VLOOKUP(B76,'For Senior grades- 13 days'!B75:J257,9,0)</f>
        <v>Regional</v>
      </c>
      <c r="K76" s="67"/>
      <c r="L76" s="67"/>
      <c r="M76" s="67"/>
      <c r="N76" s="74" t="str">
        <f>VLOOKUP(B76,'For Senior grades- 13 days'!B75:N260,13,0)</f>
        <v>Regional</v>
      </c>
      <c r="O76" s="67" t="s">
        <v>213</v>
      </c>
      <c r="P76" s="67"/>
      <c r="Q76" s="67"/>
      <c r="R76" s="67"/>
      <c r="S76" s="75"/>
      <c r="T76" s="67" t="str">
        <f>VLOOKUP(B76,'For Senior grades- 13 days'!B73:T254,19,0)</f>
        <v>Regional</v>
      </c>
      <c r="U76" s="67"/>
      <c r="V76" s="75" t="s">
        <v>213</v>
      </c>
      <c r="W76" s="74" t="str">
        <f>VLOOKUP(B76,'For Senior grades- 13 days'!B75:W258,22,0)</f>
        <v>Regional</v>
      </c>
      <c r="X76" s="74" t="s">
        <v>213</v>
      </c>
      <c r="Y76" s="74" t="s">
        <v>213</v>
      </c>
      <c r="Z76" s="67"/>
      <c r="AA76" s="67"/>
      <c r="AB76" s="67"/>
      <c r="AC76" s="67"/>
      <c r="AD76" s="67"/>
      <c r="AE76" s="67"/>
      <c r="AF76" s="74" t="s">
        <v>213</v>
      </c>
      <c r="AG76" s="67"/>
      <c r="AH76" s="67"/>
      <c r="AI76" s="67"/>
      <c r="AJ76" s="62" t="s">
        <v>213</v>
      </c>
      <c r="AK76" s="62"/>
    </row>
    <row r="77" spans="1:37" x14ac:dyDescent="0.3">
      <c r="A77" s="65">
        <v>73</v>
      </c>
      <c r="B77" s="63">
        <v>46170</v>
      </c>
      <c r="C77" s="66" t="s">
        <v>138</v>
      </c>
      <c r="D77" s="66" t="s">
        <v>96</v>
      </c>
      <c r="E77" s="67"/>
      <c r="F77" s="67"/>
      <c r="G77" s="67"/>
      <c r="H77" s="67"/>
      <c r="I77" s="67"/>
      <c r="J77" s="67"/>
      <c r="K77" s="67"/>
      <c r="L77" s="74" t="s">
        <v>213</v>
      </c>
      <c r="M77" s="67"/>
      <c r="N77" s="67" t="str">
        <f>VLOOKUP(B77,'For Senior grades- 13 days'!B76:N261,13,0)</f>
        <v>Regional</v>
      </c>
      <c r="O77" s="67"/>
      <c r="P77" s="67"/>
      <c r="Q77" s="74" t="s">
        <v>213</v>
      </c>
      <c r="R77" s="67"/>
      <c r="S77" s="75"/>
      <c r="T77" s="67"/>
      <c r="U77" s="67"/>
      <c r="V77" s="67"/>
      <c r="W77" s="67"/>
      <c r="X77" s="67"/>
      <c r="Y77" s="76"/>
      <c r="Z77" s="67"/>
      <c r="AA77" s="74" t="s">
        <v>213</v>
      </c>
      <c r="AB77" s="67"/>
      <c r="AC77" s="67"/>
      <c r="AD77" s="74" t="s">
        <v>213</v>
      </c>
      <c r="AE77" s="74" t="s">
        <v>213</v>
      </c>
      <c r="AF77" s="75" t="s">
        <v>213</v>
      </c>
      <c r="AG77" s="74" t="s">
        <v>213</v>
      </c>
      <c r="AH77" s="67"/>
      <c r="AI77" s="74" t="s">
        <v>213</v>
      </c>
      <c r="AJ77" s="62"/>
      <c r="AK77" s="62"/>
    </row>
    <row r="78" spans="1:37" x14ac:dyDescent="0.3">
      <c r="A78" s="65">
        <v>74</v>
      </c>
      <c r="B78" s="63">
        <v>46174</v>
      </c>
      <c r="C78" s="66" t="s">
        <v>298</v>
      </c>
      <c r="D78" s="66" t="s">
        <v>98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75"/>
      <c r="T78" s="67"/>
      <c r="U78" s="67"/>
      <c r="V78" s="67" t="s">
        <v>213</v>
      </c>
      <c r="W78" s="67"/>
      <c r="X78" s="67"/>
      <c r="Y78" s="76"/>
      <c r="Z78" s="67"/>
      <c r="AA78" s="67"/>
      <c r="AB78" s="67"/>
      <c r="AC78" s="67"/>
      <c r="AD78" s="67"/>
      <c r="AE78" s="67"/>
      <c r="AF78" s="75"/>
      <c r="AG78" s="67"/>
      <c r="AH78" s="67"/>
      <c r="AI78" s="67"/>
      <c r="AJ78" s="62"/>
      <c r="AK78" s="62"/>
    </row>
    <row r="79" spans="1:37" x14ac:dyDescent="0.3">
      <c r="A79" s="65">
        <v>75</v>
      </c>
      <c r="B79" s="63">
        <v>46177</v>
      </c>
      <c r="C79" s="66" t="s">
        <v>307</v>
      </c>
      <c r="D79" s="66" t="s">
        <v>96</v>
      </c>
      <c r="E79" s="67"/>
      <c r="F79" s="67"/>
      <c r="G79" s="67"/>
      <c r="H79" s="67"/>
      <c r="I79" s="67"/>
      <c r="J79" s="67" t="str">
        <f>VLOOKUP(B79,'For Senior grades- 13 days'!B78:J260,9,0)</f>
        <v>Optional</v>
      </c>
      <c r="K79" s="67"/>
      <c r="L79" s="67"/>
      <c r="M79" s="67"/>
      <c r="N79" s="67"/>
      <c r="O79" s="67"/>
      <c r="P79" s="67"/>
      <c r="Q79" s="67"/>
      <c r="R79" s="67"/>
      <c r="S79" s="75"/>
      <c r="T79" s="67"/>
      <c r="U79" s="67"/>
      <c r="V79" s="67"/>
      <c r="W79" s="67"/>
      <c r="X79" s="67"/>
      <c r="Y79" s="76"/>
      <c r="Z79" s="67"/>
      <c r="AA79" s="67" t="s">
        <v>213</v>
      </c>
      <c r="AB79" s="67"/>
      <c r="AC79" s="67"/>
      <c r="AD79" s="67"/>
      <c r="AE79" s="67"/>
      <c r="AF79" s="75"/>
      <c r="AG79" s="67"/>
      <c r="AH79" s="67"/>
      <c r="AI79" s="67"/>
      <c r="AJ79" s="62"/>
      <c r="AK79" s="62"/>
    </row>
    <row r="80" spans="1:37" x14ac:dyDescent="0.3">
      <c r="A80" s="65">
        <v>76</v>
      </c>
      <c r="B80" s="63">
        <v>46188</v>
      </c>
      <c r="C80" s="66" t="s">
        <v>164</v>
      </c>
      <c r="D80" s="66" t="s">
        <v>98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75" t="s">
        <v>213</v>
      </c>
      <c r="T80" s="67"/>
      <c r="U80" s="67"/>
      <c r="V80" s="67"/>
      <c r="W80" s="67"/>
      <c r="X80" s="67"/>
      <c r="Y80" s="75" t="s">
        <v>213</v>
      </c>
      <c r="Z80" s="67"/>
      <c r="AA80" s="67" t="s">
        <v>213</v>
      </c>
      <c r="AB80" s="67"/>
      <c r="AC80" s="67"/>
      <c r="AD80" s="67"/>
      <c r="AE80" s="67"/>
      <c r="AF80" s="75"/>
      <c r="AG80" s="67"/>
      <c r="AH80" s="67"/>
      <c r="AI80" s="67"/>
      <c r="AJ80" s="62"/>
      <c r="AK80" s="62"/>
    </row>
    <row r="81" spans="1:37" x14ac:dyDescent="0.3">
      <c r="A81" s="65">
        <v>77</v>
      </c>
      <c r="B81" s="63">
        <v>46190</v>
      </c>
      <c r="C81" s="66" t="s">
        <v>253</v>
      </c>
      <c r="D81" s="66" t="s">
        <v>97</v>
      </c>
      <c r="E81" s="67"/>
      <c r="F81" s="67"/>
      <c r="G81" s="67"/>
      <c r="H81" s="67" t="str">
        <f>VLOOKUP(B81,'For Senior grades- 13 days'!B80:H262,7,0)</f>
        <v>Regional</v>
      </c>
      <c r="I81" s="67"/>
      <c r="J81" s="67"/>
      <c r="K81" s="67"/>
      <c r="L81" s="67" t="s">
        <v>213</v>
      </c>
      <c r="M81" s="67"/>
      <c r="N81" s="67"/>
      <c r="O81" s="67" t="s">
        <v>213</v>
      </c>
      <c r="P81" s="67"/>
      <c r="Q81" s="67"/>
      <c r="R81" s="67"/>
      <c r="S81" s="75"/>
      <c r="T81" s="67"/>
      <c r="U81" s="67"/>
      <c r="V81" s="67"/>
      <c r="W81" s="67"/>
      <c r="X81" s="67"/>
      <c r="Y81" s="76"/>
      <c r="Z81" s="67"/>
      <c r="AA81" s="67"/>
      <c r="AB81" s="67"/>
      <c r="AC81" s="67"/>
      <c r="AD81" s="67"/>
      <c r="AE81" s="67"/>
      <c r="AF81" s="75"/>
      <c r="AG81" s="67"/>
      <c r="AH81" s="67"/>
      <c r="AI81" s="67"/>
      <c r="AJ81" s="62"/>
      <c r="AK81" s="62"/>
    </row>
    <row r="82" spans="1:37" x14ac:dyDescent="0.3">
      <c r="A82" s="65">
        <v>78</v>
      </c>
      <c r="B82" s="63">
        <v>46191</v>
      </c>
      <c r="C82" s="66" t="s">
        <v>285</v>
      </c>
      <c r="D82" s="66" t="s">
        <v>96</v>
      </c>
      <c r="E82" s="67"/>
      <c r="F82" s="67"/>
      <c r="G82" s="67"/>
      <c r="H82" s="67"/>
      <c r="I82" s="67"/>
      <c r="J82" s="67" t="str">
        <f>VLOOKUP(B82,'For Senior grades- 13 days'!B81:J263,9,0)</f>
        <v>Optional</v>
      </c>
      <c r="K82" s="67"/>
      <c r="L82" s="67"/>
      <c r="M82" s="67"/>
      <c r="N82" s="67"/>
      <c r="O82" s="67"/>
      <c r="P82" s="67"/>
      <c r="Q82" s="67" t="s">
        <v>213</v>
      </c>
      <c r="R82" s="67"/>
      <c r="S82" s="75"/>
      <c r="T82" s="67"/>
      <c r="U82" s="67"/>
      <c r="V82" s="67"/>
      <c r="W82" s="67"/>
      <c r="X82" s="67"/>
      <c r="Y82" s="76"/>
      <c r="Z82" s="67"/>
      <c r="AA82" s="67"/>
      <c r="AB82" s="67"/>
      <c r="AC82" s="67"/>
      <c r="AD82" s="67"/>
      <c r="AE82" s="67"/>
      <c r="AF82" s="75"/>
      <c r="AG82" s="67"/>
      <c r="AH82" s="67"/>
      <c r="AI82" s="67"/>
      <c r="AJ82" s="62" t="s">
        <v>215</v>
      </c>
      <c r="AK82" s="62"/>
    </row>
    <row r="83" spans="1:37" x14ac:dyDescent="0.3">
      <c r="A83" s="65">
        <v>79</v>
      </c>
      <c r="B83" s="63">
        <v>46195</v>
      </c>
      <c r="C83" s="66" t="s">
        <v>303</v>
      </c>
      <c r="D83" s="66" t="s">
        <v>98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75"/>
      <c r="T83" s="67"/>
      <c r="U83" s="67"/>
      <c r="V83" s="67"/>
      <c r="W83" s="67"/>
      <c r="X83" s="75" t="s">
        <v>213</v>
      </c>
      <c r="Y83" s="76"/>
      <c r="Z83" s="67"/>
      <c r="AA83" s="67"/>
      <c r="AB83" s="67"/>
      <c r="AC83" s="67"/>
      <c r="AD83" s="67"/>
      <c r="AE83" s="67"/>
      <c r="AF83" s="75"/>
      <c r="AG83" s="67"/>
      <c r="AH83" s="67"/>
      <c r="AI83" s="67"/>
      <c r="AJ83" s="62"/>
      <c r="AK83" s="62"/>
    </row>
    <row r="84" spans="1:37" x14ac:dyDescent="0.3">
      <c r="A84" s="65">
        <v>80</v>
      </c>
      <c r="B84" s="63">
        <v>46196</v>
      </c>
      <c r="C84" s="66" t="s">
        <v>254</v>
      </c>
      <c r="D84" s="66" t="s">
        <v>101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 t="s">
        <v>213</v>
      </c>
      <c r="P84" s="67"/>
      <c r="Q84" s="67"/>
      <c r="R84" s="67"/>
      <c r="S84" s="75"/>
      <c r="T84" s="67"/>
      <c r="U84" s="67"/>
      <c r="V84" s="67"/>
      <c r="W84" s="67"/>
      <c r="X84" s="67"/>
      <c r="Y84" s="76"/>
      <c r="Z84" s="67"/>
      <c r="AA84" s="67"/>
      <c r="AB84" s="67"/>
      <c r="AC84" s="67"/>
      <c r="AD84" s="67"/>
      <c r="AE84" s="67"/>
      <c r="AF84" s="75"/>
      <c r="AG84" s="67"/>
      <c r="AH84" s="67"/>
      <c r="AI84" s="67"/>
      <c r="AJ84" s="62"/>
      <c r="AK84" s="62"/>
    </row>
    <row r="85" spans="1:37" x14ac:dyDescent="0.3">
      <c r="A85" s="65">
        <v>81</v>
      </c>
      <c r="B85" s="63">
        <v>46197</v>
      </c>
      <c r="C85" s="66" t="s">
        <v>255</v>
      </c>
      <c r="D85" s="66" t="s">
        <v>97</v>
      </c>
      <c r="E85" s="67"/>
      <c r="F85" s="67"/>
      <c r="G85" s="67"/>
      <c r="H85" s="67"/>
      <c r="I85" s="67"/>
      <c r="J85" s="67" t="str">
        <f>VLOOKUP(B85,'For Senior grades- 13 days'!B84:J266,9,0)</f>
        <v>Optional</v>
      </c>
      <c r="K85" s="67"/>
      <c r="L85" s="67"/>
      <c r="M85" s="67"/>
      <c r="N85" s="67"/>
      <c r="O85" s="67" t="s">
        <v>213</v>
      </c>
      <c r="P85" s="67"/>
      <c r="Q85" s="67"/>
      <c r="R85" s="67"/>
      <c r="S85" s="75"/>
      <c r="T85" s="67"/>
      <c r="U85" s="67"/>
      <c r="V85" s="67"/>
      <c r="W85" s="67"/>
      <c r="X85" s="67"/>
      <c r="Y85" s="76"/>
      <c r="Z85" s="67"/>
      <c r="AA85" s="67"/>
      <c r="AB85" s="67"/>
      <c r="AC85" s="67"/>
      <c r="AD85" s="67"/>
      <c r="AE85" s="67"/>
      <c r="AF85" s="75"/>
      <c r="AG85" s="67"/>
      <c r="AH85" s="67"/>
      <c r="AI85" s="67"/>
      <c r="AJ85" s="62"/>
      <c r="AK85" s="62"/>
    </row>
    <row r="86" spans="1:37" x14ac:dyDescent="0.3">
      <c r="A86" s="65">
        <v>82</v>
      </c>
      <c r="B86" s="63">
        <v>46198</v>
      </c>
      <c r="C86" s="66" t="s">
        <v>122</v>
      </c>
      <c r="D86" s="66" t="s">
        <v>96</v>
      </c>
      <c r="E86" s="67"/>
      <c r="F86" s="67"/>
      <c r="G86" s="67"/>
      <c r="H86" s="67"/>
      <c r="I86" s="67"/>
      <c r="J86" s="67"/>
      <c r="K86" s="67"/>
      <c r="L86" s="67"/>
      <c r="M86" s="67"/>
      <c r="N86" s="67" t="str">
        <f>VLOOKUP(B86,'For Senior grades- 13 days'!B85:N270,13,0)</f>
        <v>Regional</v>
      </c>
      <c r="O86" s="67"/>
      <c r="P86" s="67"/>
      <c r="Q86" s="67"/>
      <c r="R86" s="67"/>
      <c r="S86" s="75"/>
      <c r="T86" s="67"/>
      <c r="U86" s="67"/>
      <c r="V86" s="67"/>
      <c r="W86" s="67"/>
      <c r="X86" s="67"/>
      <c r="Y86" s="76"/>
      <c r="Z86" s="67"/>
      <c r="AA86" s="67"/>
      <c r="AB86" s="67"/>
      <c r="AC86" s="67"/>
      <c r="AD86" s="67"/>
      <c r="AE86" s="67"/>
      <c r="AF86" s="75"/>
      <c r="AG86" s="67"/>
      <c r="AH86" s="67"/>
      <c r="AI86" s="67"/>
      <c r="AJ86" s="62" t="s">
        <v>215</v>
      </c>
      <c r="AK86" s="62"/>
    </row>
    <row r="87" spans="1:37" x14ac:dyDescent="0.3">
      <c r="A87" s="65">
        <v>83</v>
      </c>
      <c r="B87" s="63">
        <v>46199</v>
      </c>
      <c r="C87" s="66" t="s">
        <v>122</v>
      </c>
      <c r="D87" s="66" t="s">
        <v>127</v>
      </c>
      <c r="E87" s="67"/>
      <c r="F87" s="67"/>
      <c r="G87" s="67"/>
      <c r="H87" s="67" t="str">
        <f>VLOOKUP(B87,'For Senior grades- 13 days'!B86:H268,7,0)</f>
        <v>Regional</v>
      </c>
      <c r="I87" s="67"/>
      <c r="J87" s="74" t="str">
        <f>VLOOKUP(B87,'For Senior grades- 13 days'!B86:J268,9,0)</f>
        <v>Regional</v>
      </c>
      <c r="K87" s="67"/>
      <c r="L87" s="74" t="s">
        <v>213</v>
      </c>
      <c r="M87" s="67"/>
      <c r="N87" s="67" t="str">
        <f>VLOOKUP(B87,'For Senior grades- 13 days'!B86:N271,13,0)</f>
        <v>Regional</v>
      </c>
      <c r="O87" s="74" t="s">
        <v>213</v>
      </c>
      <c r="P87" s="67"/>
      <c r="Q87" s="74" t="s">
        <v>213</v>
      </c>
      <c r="R87" s="67"/>
      <c r="S87" s="75"/>
      <c r="T87" s="74" t="s">
        <v>213</v>
      </c>
      <c r="U87" s="67"/>
      <c r="V87" s="67"/>
      <c r="W87" s="67"/>
      <c r="X87" s="67"/>
      <c r="Y87" s="75" t="s">
        <v>213</v>
      </c>
      <c r="Z87" s="67"/>
      <c r="AA87" s="67"/>
      <c r="AB87" s="67"/>
      <c r="AC87" s="67"/>
      <c r="AD87" s="74" t="s">
        <v>213</v>
      </c>
      <c r="AE87" s="74" t="s">
        <v>213</v>
      </c>
      <c r="AF87" s="74" t="s">
        <v>213</v>
      </c>
      <c r="AG87" s="75" t="s">
        <v>213</v>
      </c>
      <c r="AH87" s="67"/>
      <c r="AI87" s="67"/>
      <c r="AJ87" s="80" t="s">
        <v>213</v>
      </c>
      <c r="AK87" s="62"/>
    </row>
    <row r="88" spans="1:37" x14ac:dyDescent="0.3">
      <c r="A88" s="65">
        <v>84</v>
      </c>
      <c r="B88" s="63">
        <v>46200</v>
      </c>
      <c r="C88" s="66" t="s">
        <v>122</v>
      </c>
      <c r="D88" s="66" t="s">
        <v>64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 t="s">
        <v>219</v>
      </c>
      <c r="R88" s="67"/>
      <c r="S88" s="75"/>
      <c r="T88" s="67"/>
      <c r="U88" s="67"/>
      <c r="V88" s="67"/>
      <c r="W88" s="67"/>
      <c r="X88" s="67"/>
      <c r="Y88" s="76"/>
      <c r="Z88" s="67"/>
      <c r="AA88" s="67"/>
      <c r="AB88" s="67"/>
      <c r="AC88" s="67"/>
      <c r="AD88" s="67"/>
      <c r="AE88" s="67"/>
      <c r="AF88" s="75"/>
      <c r="AG88" s="67"/>
      <c r="AH88" s="67"/>
      <c r="AI88" s="67"/>
      <c r="AJ88" s="62"/>
      <c r="AK88" s="62"/>
    </row>
    <row r="89" spans="1:37" x14ac:dyDescent="0.3">
      <c r="A89" s="65">
        <v>85</v>
      </c>
      <c r="B89" s="63">
        <v>46202</v>
      </c>
      <c r="C89" s="66" t="s">
        <v>173</v>
      </c>
      <c r="D89" s="66" t="s">
        <v>98</v>
      </c>
      <c r="E89" s="67"/>
      <c r="F89" s="67"/>
      <c r="G89" s="67"/>
      <c r="H89" s="75" t="str">
        <f>VLOOKUP(B89,'For Senior grades- 13 days'!B88:H270,7,0)</f>
        <v>Regional</v>
      </c>
      <c r="I89" s="67"/>
      <c r="J89" s="67"/>
      <c r="K89" s="67"/>
      <c r="L89" s="67"/>
      <c r="M89" s="67"/>
      <c r="N89" s="67"/>
      <c r="O89" s="67" t="s">
        <v>213</v>
      </c>
      <c r="P89" s="67"/>
      <c r="Q89" s="67" t="s">
        <v>213</v>
      </c>
      <c r="R89" s="67"/>
      <c r="S89" s="75"/>
      <c r="T89" s="67"/>
      <c r="U89" s="67"/>
      <c r="V89" s="67"/>
      <c r="W89" s="67"/>
      <c r="X89" s="67"/>
      <c r="Y89" s="76"/>
      <c r="Z89" s="67"/>
      <c r="AA89" s="67"/>
      <c r="AB89" s="67"/>
      <c r="AC89" s="67"/>
      <c r="AD89" s="67"/>
      <c r="AE89" s="67"/>
      <c r="AF89" s="75"/>
      <c r="AG89" s="67"/>
      <c r="AH89" s="67"/>
      <c r="AI89" s="67"/>
      <c r="AJ89" s="62"/>
      <c r="AK89" s="62"/>
    </row>
    <row r="90" spans="1:37" x14ac:dyDescent="0.3">
      <c r="A90" s="65">
        <v>86</v>
      </c>
      <c r="B90" s="63">
        <v>46203</v>
      </c>
      <c r="C90" s="66" t="s">
        <v>165</v>
      </c>
      <c r="D90" s="66" t="s">
        <v>101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75"/>
      <c r="T90" s="67" t="str">
        <f>VLOOKUP(B90,'For Senior grades- 13 days'!B88:T268,19,0)</f>
        <v>Regional</v>
      </c>
      <c r="U90" s="67"/>
      <c r="V90" s="67"/>
      <c r="W90" s="67"/>
      <c r="X90" s="67"/>
      <c r="Y90" s="75" t="s">
        <v>213</v>
      </c>
      <c r="Z90" s="67"/>
      <c r="AA90" s="67"/>
      <c r="AB90" s="67"/>
      <c r="AC90" s="67"/>
      <c r="AD90" s="67"/>
      <c r="AE90" s="67"/>
      <c r="AF90" s="75"/>
      <c r="AG90" s="67"/>
      <c r="AH90" s="67"/>
      <c r="AI90" s="67"/>
      <c r="AJ90" s="62"/>
      <c r="AK90" s="62"/>
    </row>
    <row r="91" spans="1:37" x14ac:dyDescent="0.3">
      <c r="A91" s="65">
        <v>87</v>
      </c>
      <c r="B91" s="63">
        <v>46204</v>
      </c>
      <c r="C91" s="66" t="s">
        <v>175</v>
      </c>
      <c r="D91" s="66" t="s">
        <v>97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75"/>
      <c r="T91" s="67"/>
      <c r="U91" s="67"/>
      <c r="V91" s="67"/>
      <c r="W91" s="67"/>
      <c r="X91" s="67"/>
      <c r="Y91" s="76"/>
      <c r="Z91" s="67"/>
      <c r="AA91" s="67"/>
      <c r="AB91" s="67"/>
      <c r="AC91" s="67"/>
      <c r="AD91" s="67"/>
      <c r="AE91" s="67"/>
      <c r="AF91" s="75"/>
      <c r="AG91" s="67"/>
      <c r="AH91" s="67"/>
      <c r="AI91" s="67"/>
      <c r="AJ91" s="62"/>
      <c r="AK91" s="62"/>
    </row>
    <row r="92" spans="1:37" x14ac:dyDescent="0.3">
      <c r="A92" s="65">
        <v>88</v>
      </c>
      <c r="B92" s="63">
        <v>46208</v>
      </c>
      <c r="C92" s="66" t="s">
        <v>175</v>
      </c>
      <c r="D92" s="66" t="s">
        <v>63</v>
      </c>
      <c r="E92" s="67"/>
      <c r="F92" s="67"/>
      <c r="G92" s="67"/>
      <c r="H92" s="67"/>
      <c r="I92" s="67"/>
      <c r="J92" s="67" t="str">
        <f>VLOOKUP(B92,'For Senior grades- 13 days'!B91:J273,9,0)</f>
        <v>Regional-WE</v>
      </c>
      <c r="K92" s="67"/>
      <c r="L92" s="67"/>
      <c r="M92" s="67"/>
      <c r="N92" s="67"/>
      <c r="O92" s="67"/>
      <c r="P92" s="67"/>
      <c r="Q92" s="67"/>
      <c r="R92" s="67"/>
      <c r="S92" s="75"/>
      <c r="T92" s="67"/>
      <c r="U92" s="67"/>
      <c r="V92" s="67"/>
      <c r="W92" s="67"/>
      <c r="X92" s="67"/>
      <c r="Y92" s="76"/>
      <c r="Z92" s="67"/>
      <c r="AA92" s="67"/>
      <c r="AB92" s="67"/>
      <c r="AC92" s="67"/>
      <c r="AD92" s="67"/>
      <c r="AE92" s="67"/>
      <c r="AF92" s="75"/>
      <c r="AG92" s="67"/>
      <c r="AH92" s="67"/>
      <c r="AI92" s="67"/>
      <c r="AJ92" s="62"/>
      <c r="AK92" s="62"/>
    </row>
    <row r="93" spans="1:37" x14ac:dyDescent="0.3">
      <c r="A93" s="65">
        <v>89</v>
      </c>
      <c r="B93" s="63">
        <v>46209</v>
      </c>
      <c r="C93" s="66" t="s">
        <v>166</v>
      </c>
      <c r="D93" s="66" t="s">
        <v>98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75"/>
      <c r="T93" s="67"/>
      <c r="U93" s="67"/>
      <c r="V93" s="67"/>
      <c r="W93" s="67"/>
      <c r="X93" s="67"/>
      <c r="Y93" s="75" t="s">
        <v>213</v>
      </c>
      <c r="Z93" s="67"/>
      <c r="AA93" s="67"/>
      <c r="AB93" s="67"/>
      <c r="AC93" s="67"/>
      <c r="AD93" s="67"/>
      <c r="AE93" s="67"/>
      <c r="AF93" s="75"/>
      <c r="AG93" s="67"/>
      <c r="AH93" s="67"/>
      <c r="AI93" s="67"/>
      <c r="AJ93" s="62"/>
      <c r="AK93" s="62"/>
    </row>
    <row r="94" spans="1:37" x14ac:dyDescent="0.3">
      <c r="A94" s="65">
        <v>90</v>
      </c>
      <c r="B94" s="63">
        <v>46212</v>
      </c>
      <c r="C94" s="66" t="s">
        <v>155</v>
      </c>
      <c r="D94" s="66" t="s">
        <v>96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75"/>
      <c r="T94" s="67"/>
      <c r="U94" s="67"/>
      <c r="V94" s="67"/>
      <c r="W94" s="67"/>
      <c r="X94" s="75" t="s">
        <v>213</v>
      </c>
      <c r="Y94" s="76"/>
      <c r="Z94" s="67"/>
      <c r="AA94" s="67" t="s">
        <v>213</v>
      </c>
      <c r="AB94" s="67"/>
      <c r="AC94" s="67"/>
      <c r="AD94" s="67"/>
      <c r="AE94" s="67"/>
      <c r="AF94" s="75"/>
      <c r="AG94" s="67"/>
      <c r="AH94" s="67"/>
      <c r="AI94" s="67"/>
      <c r="AJ94" s="62"/>
      <c r="AK94" s="62"/>
    </row>
    <row r="95" spans="1:37" x14ac:dyDescent="0.3">
      <c r="A95" s="65">
        <v>91</v>
      </c>
      <c r="B95" s="63">
        <v>46216</v>
      </c>
      <c r="C95" s="66" t="s">
        <v>333</v>
      </c>
      <c r="D95" s="66" t="s">
        <v>98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75"/>
      <c r="T95" s="67"/>
      <c r="U95" s="67"/>
      <c r="V95" s="67"/>
      <c r="W95" s="67"/>
      <c r="X95" s="75"/>
      <c r="Y95" s="76"/>
      <c r="Z95" s="67"/>
      <c r="AA95" s="67"/>
      <c r="AB95" s="67"/>
      <c r="AC95" s="67"/>
      <c r="AD95" s="67"/>
      <c r="AE95" s="67"/>
      <c r="AF95" s="75"/>
      <c r="AG95" s="67"/>
      <c r="AH95" s="67"/>
      <c r="AI95" s="67"/>
      <c r="AJ95" s="62" t="s">
        <v>215</v>
      </c>
      <c r="AK95" s="62"/>
    </row>
    <row r="96" spans="1:37" x14ac:dyDescent="0.3">
      <c r="A96" s="65">
        <v>92</v>
      </c>
      <c r="B96" s="63">
        <v>46218</v>
      </c>
      <c r="C96" s="66" t="s">
        <v>334</v>
      </c>
      <c r="D96" s="66" t="s">
        <v>97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75"/>
      <c r="T96" s="67"/>
      <c r="U96" s="67"/>
      <c r="V96" s="67"/>
      <c r="W96" s="67"/>
      <c r="X96" s="75"/>
      <c r="Y96" s="76"/>
      <c r="Z96" s="67"/>
      <c r="AA96" s="67"/>
      <c r="AB96" s="67"/>
      <c r="AC96" s="67"/>
      <c r="AD96" s="67"/>
      <c r="AE96" s="67"/>
      <c r="AF96" s="75"/>
      <c r="AG96" s="67"/>
      <c r="AH96" s="67"/>
      <c r="AI96" s="67"/>
      <c r="AJ96" s="62" t="s">
        <v>215</v>
      </c>
      <c r="AK96" s="62"/>
    </row>
    <row r="97" spans="1:37" x14ac:dyDescent="0.3">
      <c r="A97" s="65">
        <v>93</v>
      </c>
      <c r="B97" s="63">
        <v>46219</v>
      </c>
      <c r="C97" s="66" t="s">
        <v>257</v>
      </c>
      <c r="D97" s="66" t="s">
        <v>96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 t="s">
        <v>213</v>
      </c>
      <c r="P97" s="67"/>
      <c r="Q97" s="67"/>
      <c r="R97" s="67"/>
      <c r="S97" s="74" t="s">
        <v>213</v>
      </c>
      <c r="T97" s="67"/>
      <c r="U97" s="67"/>
      <c r="V97" s="67"/>
      <c r="W97" s="67" t="str">
        <f>VLOOKUP(B97,'For Senior grades- 13 days'!B96:W279,22,0)</f>
        <v>Regional</v>
      </c>
      <c r="X97" s="67"/>
      <c r="Y97" s="76"/>
      <c r="Z97" s="67"/>
      <c r="AA97" s="67"/>
      <c r="AB97" s="67"/>
      <c r="AC97" s="67"/>
      <c r="AD97" s="67"/>
      <c r="AE97" s="67"/>
      <c r="AF97" s="75"/>
      <c r="AG97" s="67"/>
      <c r="AH97" s="67"/>
      <c r="AI97" s="67"/>
      <c r="AJ97" s="62" t="s">
        <v>215</v>
      </c>
      <c r="AK97" s="62"/>
    </row>
    <row r="98" spans="1:37" x14ac:dyDescent="0.3">
      <c r="A98" s="65">
        <v>94</v>
      </c>
      <c r="B98" s="63">
        <v>46220</v>
      </c>
      <c r="C98" s="66" t="s">
        <v>156</v>
      </c>
      <c r="D98" s="66" t="s">
        <v>127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75"/>
      <c r="T98" s="67"/>
      <c r="U98" s="67"/>
      <c r="V98" s="67"/>
      <c r="W98" s="67"/>
      <c r="X98" s="67"/>
      <c r="Y98" s="76"/>
      <c r="Z98" s="67"/>
      <c r="AA98" s="67"/>
      <c r="AB98" s="67"/>
      <c r="AC98" s="67"/>
      <c r="AD98" s="67"/>
      <c r="AE98" s="67"/>
      <c r="AF98" s="75"/>
      <c r="AG98" s="67"/>
      <c r="AH98" s="67"/>
      <c r="AI98" s="67"/>
      <c r="AJ98" s="62"/>
      <c r="AK98" s="62"/>
    </row>
    <row r="99" spans="1:37" x14ac:dyDescent="0.3">
      <c r="A99" s="65">
        <v>95</v>
      </c>
      <c r="B99" s="63">
        <v>46224</v>
      </c>
      <c r="C99" s="66" t="s">
        <v>335</v>
      </c>
      <c r="D99" s="66" t="s">
        <v>101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75"/>
      <c r="T99" s="67"/>
      <c r="U99" s="67"/>
      <c r="V99" s="67"/>
      <c r="W99" s="67"/>
      <c r="X99" s="67"/>
      <c r="Y99" s="76"/>
      <c r="Z99" s="67"/>
      <c r="AA99" s="67"/>
      <c r="AB99" s="67"/>
      <c r="AC99" s="67"/>
      <c r="AD99" s="67"/>
      <c r="AE99" s="67"/>
      <c r="AF99" s="75"/>
      <c r="AG99" s="67"/>
      <c r="AH99" s="67"/>
      <c r="AI99" s="67"/>
      <c r="AJ99" s="62" t="s">
        <v>215</v>
      </c>
      <c r="AK99" s="62"/>
    </row>
    <row r="100" spans="1:37" x14ac:dyDescent="0.3">
      <c r="A100" s="65">
        <v>96</v>
      </c>
      <c r="B100" s="63">
        <v>46226</v>
      </c>
      <c r="C100" s="66" t="s">
        <v>339</v>
      </c>
      <c r="D100" s="66" t="s">
        <v>96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75"/>
      <c r="T100" s="67"/>
      <c r="U100" s="67"/>
      <c r="V100" s="67"/>
      <c r="W100" s="67"/>
      <c r="X100" s="67"/>
      <c r="Y100" s="76"/>
      <c r="Z100" s="67"/>
      <c r="AA100" s="67"/>
      <c r="AB100" s="67"/>
      <c r="AC100" s="67"/>
      <c r="AD100" s="67"/>
      <c r="AE100" s="67"/>
      <c r="AF100" s="75"/>
      <c r="AG100" s="67"/>
      <c r="AH100" s="67"/>
      <c r="AI100" s="67"/>
      <c r="AJ100" s="62" t="s">
        <v>215</v>
      </c>
      <c r="AK100" s="62"/>
    </row>
    <row r="101" spans="1:37" x14ac:dyDescent="0.3">
      <c r="A101" s="65">
        <v>97</v>
      </c>
      <c r="B101" s="63">
        <v>46238</v>
      </c>
      <c r="C101" s="66" t="s">
        <v>286</v>
      </c>
      <c r="D101" s="66" t="s">
        <v>101</v>
      </c>
      <c r="E101" s="67"/>
      <c r="F101" s="67"/>
      <c r="G101" s="67"/>
      <c r="H101" s="67"/>
      <c r="I101" s="67"/>
      <c r="J101" s="67" t="str">
        <f>VLOOKUP(B101,'For Senior grades- 13 days'!B100:J282,9,0)</f>
        <v>Optional</v>
      </c>
      <c r="K101" s="67"/>
      <c r="L101" s="67"/>
      <c r="M101" s="67"/>
      <c r="N101" s="67" t="str">
        <f>VLOOKUP(B101,'For Senior grades- 13 days'!B100:N285,13,0)</f>
        <v>Regional</v>
      </c>
      <c r="O101" s="67"/>
      <c r="P101" s="67"/>
      <c r="Q101" s="67" t="s">
        <v>213</v>
      </c>
      <c r="R101" s="67"/>
      <c r="S101" s="75"/>
      <c r="T101" s="67"/>
      <c r="U101" s="67"/>
      <c r="V101" s="67"/>
      <c r="W101" s="67"/>
      <c r="X101" s="67"/>
      <c r="Y101" s="76"/>
      <c r="Z101" s="67"/>
      <c r="AA101" s="67"/>
      <c r="AB101" s="67"/>
      <c r="AC101" s="67"/>
      <c r="AD101" s="67"/>
      <c r="AE101" s="67"/>
      <c r="AF101" s="75"/>
      <c r="AG101" s="67"/>
      <c r="AH101" s="67"/>
      <c r="AI101" s="67"/>
      <c r="AJ101" s="62"/>
      <c r="AK101" s="62"/>
    </row>
    <row r="102" spans="1:37" x14ac:dyDescent="0.3">
      <c r="A102" s="65">
        <v>98</v>
      </c>
      <c r="B102" s="63">
        <v>46243</v>
      </c>
      <c r="C102" s="66" t="s">
        <v>234</v>
      </c>
      <c r="D102" s="66" t="s">
        <v>63</v>
      </c>
      <c r="E102" s="67"/>
      <c r="F102" s="67"/>
      <c r="G102" s="67"/>
      <c r="H102" s="67"/>
      <c r="I102" s="67"/>
      <c r="J102" s="67"/>
      <c r="K102" s="67"/>
      <c r="L102" s="67" t="s">
        <v>219</v>
      </c>
      <c r="M102" s="67"/>
      <c r="N102" s="67"/>
      <c r="O102" s="67"/>
      <c r="P102" s="67"/>
      <c r="Q102" s="67"/>
      <c r="R102" s="67"/>
      <c r="S102" s="75"/>
      <c r="T102" s="67"/>
      <c r="U102" s="67"/>
      <c r="V102" s="67"/>
      <c r="W102" s="67"/>
      <c r="X102" s="67"/>
      <c r="Y102" s="76"/>
      <c r="Z102" s="67"/>
      <c r="AA102" s="67"/>
      <c r="AB102" s="67"/>
      <c r="AC102" s="67"/>
      <c r="AD102" s="67"/>
      <c r="AE102" s="67"/>
      <c r="AF102" s="75"/>
      <c r="AG102" s="67"/>
      <c r="AH102" s="67"/>
      <c r="AI102" s="67"/>
      <c r="AJ102" s="62"/>
      <c r="AK102" s="62"/>
    </row>
    <row r="103" spans="1:37" x14ac:dyDescent="0.3">
      <c r="A103" s="65">
        <v>99</v>
      </c>
      <c r="B103" s="63">
        <v>46246</v>
      </c>
      <c r="C103" s="66" t="s">
        <v>256</v>
      </c>
      <c r="D103" s="66" t="s">
        <v>97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 t="s">
        <v>213</v>
      </c>
      <c r="P103" s="67"/>
      <c r="Q103" s="67"/>
      <c r="R103" s="67"/>
      <c r="S103" s="75"/>
      <c r="T103" s="67"/>
      <c r="U103" s="67"/>
      <c r="V103" s="67"/>
      <c r="W103" s="67"/>
      <c r="X103" s="67"/>
      <c r="Y103" s="76"/>
      <c r="Z103" s="67"/>
      <c r="AA103" s="67"/>
      <c r="AB103" s="67"/>
      <c r="AC103" s="67"/>
      <c r="AD103" s="67"/>
      <c r="AE103" s="67"/>
      <c r="AF103" s="75"/>
      <c r="AG103" s="67"/>
      <c r="AH103" s="67"/>
      <c r="AI103" s="67"/>
      <c r="AJ103" s="62" t="s">
        <v>215</v>
      </c>
      <c r="AK103" s="62"/>
    </row>
    <row r="104" spans="1:37" x14ac:dyDescent="0.3">
      <c r="A104" s="65"/>
      <c r="B104" s="63">
        <v>46247</v>
      </c>
      <c r="C104" s="66" t="s">
        <v>343</v>
      </c>
      <c r="D104" s="66" t="s">
        <v>96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75"/>
      <c r="T104" s="67"/>
      <c r="U104" s="67"/>
      <c r="V104" s="67"/>
      <c r="W104" s="74" t="str">
        <f>VLOOKUP(B104,'For Senior grades- 13 days'!B103:W286,22,0)</f>
        <v>Regional</v>
      </c>
      <c r="X104" s="67"/>
      <c r="Y104" s="76"/>
      <c r="Z104" s="67"/>
      <c r="AA104" s="67"/>
      <c r="AB104" s="67"/>
      <c r="AC104" s="67"/>
      <c r="AD104" s="67"/>
      <c r="AE104" s="67"/>
      <c r="AF104" s="75"/>
      <c r="AG104" s="67"/>
      <c r="AH104" s="67"/>
      <c r="AI104" s="67"/>
      <c r="AJ104" s="62"/>
      <c r="AK104" s="62"/>
    </row>
    <row r="105" spans="1:37" x14ac:dyDescent="0.3">
      <c r="A105" s="65">
        <v>100</v>
      </c>
      <c r="B105" s="63">
        <v>46248</v>
      </c>
      <c r="C105" s="66" t="s">
        <v>336</v>
      </c>
      <c r="D105" s="66" t="s">
        <v>127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75"/>
      <c r="T105" s="67"/>
      <c r="U105" s="67"/>
      <c r="V105" s="67"/>
      <c r="W105" s="67"/>
      <c r="X105" s="67"/>
      <c r="Y105" s="76"/>
      <c r="Z105" s="67"/>
      <c r="AA105" s="67"/>
      <c r="AB105" s="67"/>
      <c r="AC105" s="67"/>
      <c r="AD105" s="67"/>
      <c r="AE105" s="67"/>
      <c r="AF105" s="75"/>
      <c r="AG105" s="67"/>
      <c r="AH105" s="67"/>
      <c r="AI105" s="67"/>
      <c r="AJ105" s="62" t="s">
        <v>215</v>
      </c>
      <c r="AK105" s="62"/>
    </row>
    <row r="106" spans="1:37" x14ac:dyDescent="0.3">
      <c r="A106" s="65">
        <v>101</v>
      </c>
      <c r="B106" s="63">
        <v>46249</v>
      </c>
      <c r="C106" s="66" t="s">
        <v>46</v>
      </c>
      <c r="D106" s="67" t="s">
        <v>64</v>
      </c>
      <c r="E106" s="67"/>
      <c r="F106" s="67"/>
      <c r="G106" s="67"/>
      <c r="H106" s="67" t="str">
        <f>VLOOKUP(B106,'For Senior grades- 13 days'!B105:H285,7,0)</f>
        <v>National-WE</v>
      </c>
      <c r="I106" s="67"/>
      <c r="J106" s="67" t="str">
        <f>VLOOKUP(B106,'For Senior grades- 13 days'!B105:J286,9,0)</f>
        <v>National-WE</v>
      </c>
      <c r="K106" s="67"/>
      <c r="L106" s="67" t="s">
        <v>218</v>
      </c>
      <c r="M106" s="67"/>
      <c r="N106" s="67" t="str">
        <f>VLOOKUP(B106,'For Senior grades- 13 days'!B105:N290,13,0)</f>
        <v>National-WE</v>
      </c>
      <c r="O106" s="67" t="s">
        <v>218</v>
      </c>
      <c r="P106" s="67"/>
      <c r="Q106" s="67" t="s">
        <v>218</v>
      </c>
      <c r="R106" s="67"/>
      <c r="S106" s="67" t="s">
        <v>302</v>
      </c>
      <c r="T106" s="67" t="str">
        <f>VLOOKUP(B106,'For Senior grades- 13 days'!B102:T277,19,0)</f>
        <v>National-WE</v>
      </c>
      <c r="U106" s="67"/>
      <c r="V106" s="67" t="s">
        <v>302</v>
      </c>
      <c r="W106" s="67" t="str">
        <f>VLOOKUP(B106,'For Senior grades- 13 days'!B105:W288,22,0)</f>
        <v>National -WE</v>
      </c>
      <c r="X106" s="67" t="s">
        <v>302</v>
      </c>
      <c r="Y106" s="67" t="s">
        <v>302</v>
      </c>
      <c r="Z106" s="67"/>
      <c r="AA106" s="67" t="s">
        <v>302</v>
      </c>
      <c r="AB106" s="67"/>
      <c r="AC106" s="67"/>
      <c r="AD106" s="67" t="s">
        <v>218</v>
      </c>
      <c r="AE106" s="67" t="s">
        <v>218</v>
      </c>
      <c r="AF106" s="67" t="s">
        <v>218</v>
      </c>
      <c r="AG106" s="67" t="s">
        <v>218</v>
      </c>
      <c r="AH106" s="67"/>
      <c r="AI106" s="67" t="s">
        <v>218</v>
      </c>
      <c r="AJ106" s="62" t="s">
        <v>218</v>
      </c>
      <c r="AK106" s="62"/>
    </row>
    <row r="107" spans="1:37" x14ac:dyDescent="0.3">
      <c r="A107" s="65">
        <v>102</v>
      </c>
      <c r="B107" s="63">
        <v>46251</v>
      </c>
      <c r="C107" s="66" t="s">
        <v>258</v>
      </c>
      <c r="D107" s="69" t="s">
        <v>98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 t="s">
        <v>213</v>
      </c>
      <c r="P107" s="67"/>
      <c r="Q107" s="67"/>
      <c r="R107" s="67"/>
      <c r="S107" s="75"/>
      <c r="T107" s="67"/>
      <c r="U107" s="67"/>
      <c r="V107" s="67"/>
      <c r="W107" s="67"/>
      <c r="X107" s="67"/>
      <c r="Y107" s="76"/>
      <c r="Z107" s="67"/>
      <c r="AA107" s="67" t="s">
        <v>213</v>
      </c>
      <c r="AB107" s="67"/>
      <c r="AC107" s="67"/>
      <c r="AD107" s="67"/>
      <c r="AE107" s="67"/>
      <c r="AF107" s="75"/>
      <c r="AG107" s="67"/>
      <c r="AH107" s="67"/>
      <c r="AI107" s="67"/>
      <c r="AJ107" s="62"/>
      <c r="AK107" s="62"/>
    </row>
    <row r="108" spans="1:37" x14ac:dyDescent="0.3">
      <c r="A108" s="65">
        <v>103</v>
      </c>
      <c r="B108" s="63">
        <v>46255</v>
      </c>
      <c r="C108" s="66" t="s">
        <v>224</v>
      </c>
      <c r="D108" s="69" t="s">
        <v>127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75"/>
      <c r="T108" s="67"/>
      <c r="U108" s="67"/>
      <c r="V108" s="67"/>
      <c r="W108" s="67"/>
      <c r="X108" s="67"/>
      <c r="Y108" s="76"/>
      <c r="Z108" s="67"/>
      <c r="AA108" s="67"/>
      <c r="AB108" s="67"/>
      <c r="AC108" s="67"/>
      <c r="AD108" s="75" t="s">
        <v>213</v>
      </c>
      <c r="AE108" s="67"/>
      <c r="AF108" s="75" t="s">
        <v>213</v>
      </c>
      <c r="AG108" s="67"/>
      <c r="AH108" s="67"/>
      <c r="AI108" s="67"/>
      <c r="AJ108" s="62"/>
      <c r="AK108" s="62"/>
    </row>
    <row r="109" spans="1:37" x14ac:dyDescent="0.3">
      <c r="A109" s="65">
        <v>104</v>
      </c>
      <c r="B109" s="63">
        <v>46258</v>
      </c>
      <c r="C109" s="66" t="s">
        <v>287</v>
      </c>
      <c r="D109" s="69" t="s">
        <v>98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 t="s">
        <v>213</v>
      </c>
      <c r="R109" s="67"/>
      <c r="S109" s="75"/>
      <c r="T109" s="67"/>
      <c r="U109" s="67"/>
      <c r="V109" s="67"/>
      <c r="W109" s="67"/>
      <c r="X109" s="67"/>
      <c r="Y109" s="76"/>
      <c r="Z109" s="67"/>
      <c r="AA109" s="67"/>
      <c r="AB109" s="67"/>
      <c r="AC109" s="67"/>
      <c r="AD109" s="67"/>
      <c r="AE109" s="67"/>
      <c r="AF109" s="75"/>
      <c r="AG109" s="67"/>
      <c r="AH109" s="67"/>
      <c r="AI109" s="67"/>
      <c r="AJ109" s="62"/>
      <c r="AK109" s="62"/>
    </row>
    <row r="110" spans="1:37" x14ac:dyDescent="0.3">
      <c r="A110" s="65">
        <v>105</v>
      </c>
      <c r="B110" s="63">
        <v>46259</v>
      </c>
      <c r="C110" s="66" t="s">
        <v>131</v>
      </c>
      <c r="D110" s="66" t="s">
        <v>101</v>
      </c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75"/>
      <c r="T110" s="67"/>
      <c r="U110" s="67"/>
      <c r="V110" s="67"/>
      <c r="W110" s="67"/>
      <c r="X110" s="67"/>
      <c r="Y110" s="76"/>
      <c r="Z110" s="67"/>
      <c r="AA110" s="67"/>
      <c r="AB110" s="67"/>
      <c r="AC110" s="67"/>
      <c r="AD110" s="67"/>
      <c r="AE110" s="67"/>
      <c r="AF110" s="75" t="s">
        <v>213</v>
      </c>
      <c r="AG110" s="67"/>
      <c r="AH110" s="67"/>
      <c r="AI110" s="67" t="s">
        <v>213</v>
      </c>
      <c r="AJ110" s="62"/>
      <c r="AK110" s="62"/>
    </row>
    <row r="111" spans="1:37" x14ac:dyDescent="0.3">
      <c r="A111" s="65">
        <v>106</v>
      </c>
      <c r="B111" s="63">
        <v>46260</v>
      </c>
      <c r="C111" s="66" t="s">
        <v>259</v>
      </c>
      <c r="D111" s="66" t="s">
        <v>97</v>
      </c>
      <c r="E111" s="67"/>
      <c r="F111" s="67"/>
      <c r="G111" s="67"/>
      <c r="H111" s="67"/>
      <c r="I111" s="67"/>
      <c r="J111" s="67" t="str">
        <f>VLOOKUP(B111,'For Senior grades- 13 days'!B110:J291,9,0)</f>
        <v>Regional</v>
      </c>
      <c r="K111" s="67"/>
      <c r="L111" s="67" t="s">
        <v>213</v>
      </c>
      <c r="M111" s="67"/>
      <c r="N111" s="67" t="str">
        <f>VLOOKUP(B111,'For Senior grades- 13 days'!B110:N295,13,0)</f>
        <v>Regional</v>
      </c>
      <c r="O111" s="67" t="s">
        <v>213</v>
      </c>
      <c r="P111" s="67"/>
      <c r="Q111" s="67"/>
      <c r="R111" s="67"/>
      <c r="S111" s="75"/>
      <c r="T111" s="67"/>
      <c r="U111" s="67"/>
      <c r="V111" s="67"/>
      <c r="W111" s="74" t="str">
        <f>VLOOKUP(B111,'For Senior grades- 13 days'!B110:W293,22,0)</f>
        <v>Regional</v>
      </c>
      <c r="X111" s="67"/>
      <c r="Y111" s="75" t="s">
        <v>213</v>
      </c>
      <c r="Z111" s="67"/>
      <c r="AA111" s="67" t="s">
        <v>213</v>
      </c>
      <c r="AB111" s="67"/>
      <c r="AC111" s="67"/>
      <c r="AD111" s="67" t="s">
        <v>213</v>
      </c>
      <c r="AE111" s="74" t="s">
        <v>213</v>
      </c>
      <c r="AF111" s="75" t="s">
        <v>213</v>
      </c>
      <c r="AG111" s="67" t="s">
        <v>213</v>
      </c>
      <c r="AH111" s="67"/>
      <c r="AI111" s="67"/>
      <c r="AJ111" s="62" t="s">
        <v>213</v>
      </c>
      <c r="AK111" s="62"/>
    </row>
    <row r="112" spans="1:37" x14ac:dyDescent="0.3">
      <c r="A112" s="65">
        <v>107</v>
      </c>
      <c r="B112" s="63">
        <v>46261</v>
      </c>
      <c r="C112" s="66" t="s">
        <v>225</v>
      </c>
      <c r="D112" s="66" t="s">
        <v>96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75"/>
      <c r="T112" s="67"/>
      <c r="U112" s="67"/>
      <c r="V112" s="67"/>
      <c r="W112" s="67"/>
      <c r="X112" s="67"/>
      <c r="Y112" s="76"/>
      <c r="Z112" s="67"/>
      <c r="AA112" s="67"/>
      <c r="AB112" s="67"/>
      <c r="AC112" s="67"/>
      <c r="AD112" s="67" t="s">
        <v>213</v>
      </c>
      <c r="AE112" s="67"/>
      <c r="AF112" s="75" t="s">
        <v>213</v>
      </c>
      <c r="AG112" s="67"/>
      <c r="AH112" s="67"/>
      <c r="AI112" s="67"/>
      <c r="AJ112" s="62"/>
      <c r="AK112" s="62"/>
    </row>
    <row r="113" spans="1:37" x14ac:dyDescent="0.3">
      <c r="A113" s="65">
        <v>108</v>
      </c>
      <c r="B113" s="63">
        <v>46262</v>
      </c>
      <c r="C113" s="66" t="s">
        <v>288</v>
      </c>
      <c r="D113" s="66" t="s">
        <v>127</v>
      </c>
      <c r="E113" s="67"/>
      <c r="F113" s="67"/>
      <c r="G113" s="67"/>
      <c r="H113" s="67" t="str">
        <f>VLOOKUP(B113,'For Senior grades- 13 days'!B112:H292,7,0)</f>
        <v>Regional</v>
      </c>
      <c r="I113" s="67"/>
      <c r="J113" s="67" t="str">
        <f>VLOOKUP(B113,'For Senior grades- 13 days'!B112:J293,9,0)</f>
        <v>Regional</v>
      </c>
      <c r="K113" s="67"/>
      <c r="L113" s="67" t="s">
        <v>213</v>
      </c>
      <c r="M113" s="67"/>
      <c r="N113" s="67" t="str">
        <f>VLOOKUP(B113,'For Senior grades- 13 days'!B112:N297,13,0)</f>
        <v>Regional</v>
      </c>
      <c r="O113" s="67" t="s">
        <v>213</v>
      </c>
      <c r="P113" s="67"/>
      <c r="Q113" s="75" t="s">
        <v>213</v>
      </c>
      <c r="R113" s="67"/>
      <c r="S113" s="75"/>
      <c r="T113" s="67"/>
      <c r="U113" s="67"/>
      <c r="V113" s="67"/>
      <c r="W113" s="67"/>
      <c r="X113" s="67"/>
      <c r="Y113" s="76"/>
      <c r="Z113" s="67"/>
      <c r="AA113" s="67"/>
      <c r="AB113" s="67"/>
      <c r="AC113" s="67"/>
      <c r="AD113" s="67" t="s">
        <v>213</v>
      </c>
      <c r="AE113" s="67"/>
      <c r="AF113" s="75" t="s">
        <v>213</v>
      </c>
      <c r="AG113" s="67"/>
      <c r="AH113" s="67"/>
      <c r="AI113" s="67"/>
      <c r="AJ113" s="62" t="s">
        <v>213</v>
      </c>
      <c r="AK113" s="62"/>
    </row>
    <row r="114" spans="1:37" x14ac:dyDescent="0.3">
      <c r="A114" s="65">
        <v>109</v>
      </c>
      <c r="B114" s="63">
        <v>46265</v>
      </c>
      <c r="C114" s="66" t="s">
        <v>337</v>
      </c>
      <c r="D114" s="66" t="s">
        <v>98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75"/>
      <c r="R114" s="67"/>
      <c r="S114" s="75"/>
      <c r="T114" s="67"/>
      <c r="U114" s="67"/>
      <c r="V114" s="67"/>
      <c r="W114" s="67"/>
      <c r="X114" s="67"/>
      <c r="Y114" s="76"/>
      <c r="Z114" s="67"/>
      <c r="AA114" s="67"/>
      <c r="AB114" s="67"/>
      <c r="AC114" s="67"/>
      <c r="AD114" s="67"/>
      <c r="AE114" s="67"/>
      <c r="AF114" s="75"/>
      <c r="AG114" s="67"/>
      <c r="AH114" s="67"/>
      <c r="AI114" s="67"/>
      <c r="AJ114" s="62" t="s">
        <v>215</v>
      </c>
      <c r="AK114" s="62"/>
    </row>
    <row r="115" spans="1:37" x14ac:dyDescent="0.3">
      <c r="A115" s="65">
        <v>110</v>
      </c>
      <c r="B115" s="63">
        <v>46266</v>
      </c>
      <c r="C115" s="66" t="s">
        <v>299</v>
      </c>
      <c r="D115" s="66" t="s">
        <v>101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75"/>
      <c r="T115" s="67"/>
      <c r="U115" s="67"/>
      <c r="V115" s="67" t="s">
        <v>213</v>
      </c>
      <c r="W115" s="67"/>
      <c r="X115" s="67"/>
      <c r="Y115" s="76"/>
      <c r="Z115" s="67"/>
      <c r="AA115" s="67"/>
      <c r="AB115" s="67"/>
      <c r="AC115" s="67"/>
      <c r="AD115" s="67"/>
      <c r="AE115" s="67"/>
      <c r="AF115" s="75"/>
      <c r="AG115" s="67"/>
      <c r="AH115" s="67"/>
      <c r="AI115" s="67"/>
      <c r="AJ115" s="62"/>
      <c r="AK115" s="62"/>
    </row>
    <row r="116" spans="1:37" x14ac:dyDescent="0.3">
      <c r="A116" s="65">
        <v>111</v>
      </c>
      <c r="B116" s="63">
        <v>46267</v>
      </c>
      <c r="C116" s="66" t="s">
        <v>260</v>
      </c>
      <c r="D116" s="66" t="s">
        <v>97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 t="s">
        <v>213</v>
      </c>
      <c r="P116" s="67"/>
      <c r="Q116" s="67"/>
      <c r="R116" s="67"/>
      <c r="S116" s="75"/>
      <c r="T116" s="67"/>
      <c r="U116" s="67"/>
      <c r="V116" s="67"/>
      <c r="W116" s="67"/>
      <c r="X116" s="67"/>
      <c r="Y116" s="76"/>
      <c r="Z116" s="67"/>
      <c r="AA116" s="67" t="s">
        <v>213</v>
      </c>
      <c r="AB116" s="67"/>
      <c r="AC116" s="67"/>
      <c r="AD116" s="67"/>
      <c r="AE116" s="67"/>
      <c r="AF116" s="75"/>
      <c r="AG116" s="67"/>
      <c r="AH116" s="67"/>
      <c r="AI116" s="67"/>
      <c r="AJ116" s="62"/>
      <c r="AK116" s="62"/>
    </row>
    <row r="117" spans="1:37" x14ac:dyDescent="0.3">
      <c r="A117" s="65">
        <v>112</v>
      </c>
      <c r="B117" s="63">
        <v>46269</v>
      </c>
      <c r="C117" s="66" t="s">
        <v>123</v>
      </c>
      <c r="D117" s="66" t="s">
        <v>127</v>
      </c>
      <c r="E117" s="67"/>
      <c r="F117" s="67"/>
      <c r="G117" s="67"/>
      <c r="H117" s="74" t="str">
        <f>VLOOKUP(B117,'For Senior grades- 13 days'!B116:H296,7,0)</f>
        <v>Regional</v>
      </c>
      <c r="I117" s="67"/>
      <c r="J117" s="74" t="str">
        <f>VLOOKUP(B117,'For Senior grades- 13 days'!B116:J297,9,0)</f>
        <v>Regional</v>
      </c>
      <c r="K117" s="67"/>
      <c r="L117" s="75" t="s">
        <v>213</v>
      </c>
      <c r="M117" s="67"/>
      <c r="N117" s="67" t="str">
        <f>VLOOKUP(B117,'For Senior grades- 13 days'!B116:N301,13,0)</f>
        <v>Regional</v>
      </c>
      <c r="O117" s="75" t="s">
        <v>213</v>
      </c>
      <c r="P117" s="67"/>
      <c r="Q117" s="75" t="s">
        <v>213</v>
      </c>
      <c r="R117" s="67"/>
      <c r="S117" s="74" t="s">
        <v>213</v>
      </c>
      <c r="T117" s="67" t="str">
        <f>VLOOKUP(B117,'For Senior grades- 13 days'!B115:T287,19,0)</f>
        <v>Regional</v>
      </c>
      <c r="U117" s="67"/>
      <c r="V117" s="67" t="s">
        <v>213</v>
      </c>
      <c r="W117" s="67" t="str">
        <f>VLOOKUP(B117,'For Senior grades- 13 days'!B116:W299,22,0)</f>
        <v>Regional</v>
      </c>
      <c r="X117" s="74" t="s">
        <v>213</v>
      </c>
      <c r="Y117" s="75" t="s">
        <v>213</v>
      </c>
      <c r="Z117" s="67"/>
      <c r="AA117" s="67" t="s">
        <v>213</v>
      </c>
      <c r="AB117" s="67"/>
      <c r="AC117" s="67"/>
      <c r="AD117" s="67" t="s">
        <v>213</v>
      </c>
      <c r="AE117" s="67" t="s">
        <v>213</v>
      </c>
      <c r="AF117" s="75" t="s">
        <v>213</v>
      </c>
      <c r="AG117" s="67" t="s">
        <v>213</v>
      </c>
      <c r="AH117" s="67"/>
      <c r="AI117" s="67"/>
      <c r="AJ117" s="81" t="s">
        <v>213</v>
      </c>
      <c r="AK117" s="62"/>
    </row>
    <row r="118" spans="1:37" x14ac:dyDescent="0.3">
      <c r="A118" s="65">
        <v>113</v>
      </c>
      <c r="B118" s="63">
        <v>46270</v>
      </c>
      <c r="C118" s="66" t="s">
        <v>338</v>
      </c>
      <c r="D118" s="66" t="s">
        <v>64</v>
      </c>
      <c r="E118" s="67"/>
      <c r="F118" s="67"/>
      <c r="G118" s="67"/>
      <c r="H118" s="67"/>
      <c r="I118" s="67"/>
      <c r="J118" s="67"/>
      <c r="K118" s="67"/>
      <c r="L118" s="75"/>
      <c r="M118" s="67"/>
      <c r="N118" s="67"/>
      <c r="O118" s="75"/>
      <c r="P118" s="67"/>
      <c r="Q118" s="75"/>
      <c r="R118" s="67"/>
      <c r="S118" s="75"/>
      <c r="T118" s="67"/>
      <c r="U118" s="67"/>
      <c r="V118" s="67"/>
      <c r="W118" s="67"/>
      <c r="X118" s="75"/>
      <c r="Y118" s="75"/>
      <c r="Z118" s="67"/>
      <c r="AA118" s="67"/>
      <c r="AB118" s="67"/>
      <c r="AC118" s="67"/>
      <c r="AD118" s="67"/>
      <c r="AE118" s="67"/>
      <c r="AF118" s="75"/>
      <c r="AG118" s="67"/>
      <c r="AH118" s="67"/>
      <c r="AI118" s="67"/>
      <c r="AJ118" s="62" t="s">
        <v>221</v>
      </c>
      <c r="AK118" s="62"/>
    </row>
    <row r="119" spans="1:37" x14ac:dyDescent="0.3">
      <c r="A119" s="65">
        <v>114</v>
      </c>
      <c r="B119" s="63">
        <v>46273</v>
      </c>
      <c r="C119" s="66" t="s">
        <v>226</v>
      </c>
      <c r="D119" s="66" t="s">
        <v>101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75"/>
      <c r="T119" s="67"/>
      <c r="U119" s="67"/>
      <c r="V119" s="67"/>
      <c r="W119" s="67"/>
      <c r="X119" s="67"/>
      <c r="Y119" s="76"/>
      <c r="Z119" s="67"/>
      <c r="AA119" s="67"/>
      <c r="AB119" s="67"/>
      <c r="AC119" s="67"/>
      <c r="AD119" s="67" t="s">
        <v>213</v>
      </c>
      <c r="AE119" s="67"/>
      <c r="AF119" s="75" t="s">
        <v>213</v>
      </c>
      <c r="AG119" s="67"/>
      <c r="AH119" s="67"/>
      <c r="AI119" s="67"/>
      <c r="AJ119" s="62" t="s">
        <v>215</v>
      </c>
      <c r="AK119" s="62"/>
    </row>
    <row r="120" spans="1:37" x14ac:dyDescent="0.3">
      <c r="A120" s="65">
        <v>115</v>
      </c>
      <c r="B120" s="63">
        <v>46275</v>
      </c>
      <c r="C120" s="66" t="s">
        <v>261</v>
      </c>
      <c r="D120" s="66" t="s">
        <v>96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 t="s">
        <v>213</v>
      </c>
      <c r="P120" s="67"/>
      <c r="Q120" s="67"/>
      <c r="R120" s="67"/>
      <c r="S120" s="75"/>
      <c r="T120" s="67"/>
      <c r="U120" s="67"/>
      <c r="V120" s="67"/>
      <c r="W120" s="67"/>
      <c r="X120" s="67"/>
      <c r="Y120" s="76"/>
      <c r="Z120" s="67"/>
      <c r="AA120" s="67"/>
      <c r="AB120" s="67"/>
      <c r="AC120" s="67"/>
      <c r="AD120" s="67"/>
      <c r="AE120" s="67"/>
      <c r="AF120" s="75"/>
      <c r="AG120" s="67"/>
      <c r="AH120" s="67"/>
      <c r="AI120" s="67"/>
      <c r="AJ120" s="62"/>
      <c r="AK120" s="62"/>
    </row>
    <row r="121" spans="1:37" x14ac:dyDescent="0.3">
      <c r="A121" s="65">
        <v>116</v>
      </c>
      <c r="B121" s="63">
        <v>46277</v>
      </c>
      <c r="C121" s="66" t="s">
        <v>300</v>
      </c>
      <c r="D121" s="66" t="s">
        <v>64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75"/>
      <c r="T121" s="67"/>
      <c r="U121" s="67"/>
      <c r="V121" s="67" t="s">
        <v>219</v>
      </c>
      <c r="W121" s="67"/>
      <c r="X121" s="67"/>
      <c r="Y121" s="76"/>
      <c r="Z121" s="67"/>
      <c r="AA121" s="67"/>
      <c r="AB121" s="67"/>
      <c r="AC121" s="67"/>
      <c r="AD121" s="67"/>
      <c r="AE121" s="67"/>
      <c r="AF121" s="75"/>
      <c r="AG121" s="67"/>
      <c r="AH121" s="67"/>
      <c r="AI121" s="67"/>
      <c r="AJ121" s="62"/>
      <c r="AK121" s="62"/>
    </row>
    <row r="122" spans="1:37" x14ac:dyDescent="0.3">
      <c r="A122" s="65">
        <v>117</v>
      </c>
      <c r="B122" s="63">
        <v>46279</v>
      </c>
      <c r="C122" s="66" t="s">
        <v>262</v>
      </c>
      <c r="D122" s="66" t="s">
        <v>98</v>
      </c>
      <c r="E122" s="67"/>
      <c r="F122" s="67"/>
      <c r="G122" s="67"/>
      <c r="H122" s="67" t="str">
        <f>VLOOKUP(B122,'For Senior grades- 13 days'!B121:H301,7,0)</f>
        <v>Optional</v>
      </c>
      <c r="I122" s="67"/>
      <c r="J122" s="67"/>
      <c r="K122" s="67"/>
      <c r="L122" s="67"/>
      <c r="M122" s="67"/>
      <c r="N122" s="67"/>
      <c r="O122" s="67" t="s">
        <v>213</v>
      </c>
      <c r="P122" s="67"/>
      <c r="Q122" s="75" t="s">
        <v>213</v>
      </c>
      <c r="R122" s="67"/>
      <c r="S122" s="75" t="s">
        <v>213</v>
      </c>
      <c r="T122" s="67"/>
      <c r="U122" s="67"/>
      <c r="V122" s="67"/>
      <c r="W122" s="67"/>
      <c r="X122" s="67"/>
      <c r="Y122" s="76"/>
      <c r="Z122" s="67"/>
      <c r="AA122" s="67"/>
      <c r="AB122" s="67"/>
      <c r="AC122" s="67"/>
      <c r="AD122" s="74" t="s">
        <v>213</v>
      </c>
      <c r="AE122" s="74" t="s">
        <v>213</v>
      </c>
      <c r="AF122" s="75" t="s">
        <v>213</v>
      </c>
      <c r="AG122" s="75" t="s">
        <v>213</v>
      </c>
      <c r="AH122" s="67"/>
      <c r="AI122" s="74" t="s">
        <v>213</v>
      </c>
      <c r="AJ122" s="62" t="s">
        <v>215</v>
      </c>
      <c r="AK122" s="62"/>
    </row>
    <row r="123" spans="1:37" x14ac:dyDescent="0.3">
      <c r="A123" s="65">
        <v>118</v>
      </c>
      <c r="B123" s="63">
        <v>46280</v>
      </c>
      <c r="C123" s="66" t="s">
        <v>150</v>
      </c>
      <c r="D123" s="66" t="s">
        <v>101</v>
      </c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75" t="s">
        <v>213</v>
      </c>
      <c r="T123" s="67"/>
      <c r="U123" s="67"/>
      <c r="V123" s="67"/>
      <c r="W123" s="67"/>
      <c r="X123" s="67"/>
      <c r="Y123" s="76"/>
      <c r="Z123" s="67"/>
      <c r="AA123" s="67"/>
      <c r="AB123" s="67"/>
      <c r="AC123" s="67"/>
      <c r="AD123" s="67"/>
      <c r="AE123" s="67"/>
      <c r="AF123" s="75"/>
      <c r="AG123" s="67"/>
      <c r="AH123" s="67"/>
      <c r="AI123" s="74" t="s">
        <v>213</v>
      </c>
      <c r="AJ123" s="62" t="s">
        <v>213</v>
      </c>
      <c r="AK123" s="62"/>
    </row>
    <row r="124" spans="1:37" x14ac:dyDescent="0.3">
      <c r="A124" s="65">
        <v>119</v>
      </c>
      <c r="B124" s="63">
        <v>46282</v>
      </c>
      <c r="C124" s="66" t="s">
        <v>227</v>
      </c>
      <c r="D124" s="66" t="s">
        <v>96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 t="str">
        <f>VLOOKUP(B124,'For Senior grades- 13 days'!B123:N308,13,0)</f>
        <v>Regional</v>
      </c>
      <c r="O124" s="67" t="s">
        <v>213</v>
      </c>
      <c r="P124" s="67"/>
      <c r="Q124" s="67" t="s">
        <v>213</v>
      </c>
      <c r="R124" s="67"/>
      <c r="S124" s="75"/>
      <c r="T124" s="67"/>
      <c r="U124" s="67"/>
      <c r="V124" s="67"/>
      <c r="W124" s="67"/>
      <c r="X124" s="67"/>
      <c r="Y124" s="76"/>
      <c r="Z124" s="67"/>
      <c r="AA124" s="67"/>
      <c r="AB124" s="67"/>
      <c r="AC124" s="67"/>
      <c r="AD124" s="67" t="s">
        <v>213</v>
      </c>
      <c r="AE124" s="67"/>
      <c r="AF124" s="75" t="s">
        <v>213</v>
      </c>
      <c r="AG124" s="67"/>
      <c r="AH124" s="67"/>
      <c r="AI124" s="67"/>
      <c r="AJ124" s="62"/>
      <c r="AK124" s="62"/>
    </row>
    <row r="125" spans="1:37" x14ac:dyDescent="0.3">
      <c r="A125" s="65">
        <v>120</v>
      </c>
      <c r="B125" s="63">
        <v>46283</v>
      </c>
      <c r="C125" s="66" t="s">
        <v>263</v>
      </c>
      <c r="D125" s="66" t="s">
        <v>127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 t="s">
        <v>213</v>
      </c>
      <c r="P125" s="67"/>
      <c r="Q125" s="67"/>
      <c r="R125" s="67"/>
      <c r="S125" s="75"/>
      <c r="T125" s="67"/>
      <c r="U125" s="67"/>
      <c r="V125" s="67"/>
      <c r="W125" s="67"/>
      <c r="X125" s="67"/>
      <c r="Y125" s="76"/>
      <c r="Z125" s="67"/>
      <c r="AA125" s="67" t="s">
        <v>213</v>
      </c>
      <c r="AB125" s="67"/>
      <c r="AC125" s="67"/>
      <c r="AD125" s="67"/>
      <c r="AE125" s="67"/>
      <c r="AF125" s="75"/>
      <c r="AG125" s="67"/>
      <c r="AH125" s="67"/>
      <c r="AI125" s="67"/>
      <c r="AJ125" s="62"/>
      <c r="AK125" s="62"/>
    </row>
    <row r="126" spans="1:37" x14ac:dyDescent="0.3">
      <c r="A126" s="65">
        <v>121</v>
      </c>
      <c r="B126" s="63">
        <v>46286</v>
      </c>
      <c r="C126" s="66" t="s">
        <v>235</v>
      </c>
      <c r="D126" s="66" t="s">
        <v>98</v>
      </c>
      <c r="E126" s="67"/>
      <c r="F126" s="67"/>
      <c r="G126" s="67"/>
      <c r="H126" s="67"/>
      <c r="I126" s="67"/>
      <c r="J126" s="67"/>
      <c r="K126" s="67"/>
      <c r="L126" s="67" t="s">
        <v>213</v>
      </c>
      <c r="M126" s="67"/>
      <c r="N126" s="67"/>
      <c r="O126" s="67"/>
      <c r="P126" s="67"/>
      <c r="Q126" s="67"/>
      <c r="R126" s="67"/>
      <c r="S126" s="75"/>
      <c r="T126" s="67"/>
      <c r="U126" s="67"/>
      <c r="V126" s="67" t="s">
        <v>213</v>
      </c>
      <c r="W126" s="67"/>
      <c r="X126" s="67"/>
      <c r="Y126" s="76"/>
      <c r="Z126" s="67"/>
      <c r="AA126" s="67"/>
      <c r="AB126" s="67"/>
      <c r="AC126" s="67"/>
      <c r="AD126" s="67"/>
      <c r="AE126" s="67"/>
      <c r="AF126" s="75"/>
      <c r="AG126" s="67"/>
      <c r="AH126" s="67"/>
      <c r="AI126" s="67"/>
      <c r="AJ126" s="62" t="s">
        <v>215</v>
      </c>
      <c r="AK126" s="62"/>
    </row>
    <row r="127" spans="1:37" x14ac:dyDescent="0.3">
      <c r="A127" s="65">
        <v>122</v>
      </c>
      <c r="B127" s="63">
        <v>46287</v>
      </c>
      <c r="C127" s="66" t="s">
        <v>264</v>
      </c>
      <c r="D127" s="66" t="s">
        <v>101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 t="s">
        <v>213</v>
      </c>
      <c r="P127" s="67"/>
      <c r="Q127" s="67"/>
      <c r="R127" s="67"/>
      <c r="S127" s="75"/>
      <c r="T127" s="67"/>
      <c r="U127" s="67"/>
      <c r="V127" s="67" t="s">
        <v>213</v>
      </c>
      <c r="W127" s="67"/>
      <c r="X127" s="67"/>
      <c r="Y127" s="76"/>
      <c r="Z127" s="67"/>
      <c r="AA127" s="67"/>
      <c r="AB127" s="67"/>
      <c r="AC127" s="67"/>
      <c r="AD127" s="67"/>
      <c r="AE127" s="67"/>
      <c r="AF127" s="75"/>
      <c r="AG127" s="67"/>
      <c r="AH127" s="67"/>
      <c r="AI127" s="67"/>
      <c r="AJ127" s="62"/>
      <c r="AK127" s="62"/>
    </row>
    <row r="128" spans="1:37" x14ac:dyDescent="0.3">
      <c r="A128" s="65">
        <v>123</v>
      </c>
      <c r="B128" s="63">
        <v>46290</v>
      </c>
      <c r="C128" s="66" t="s">
        <v>228</v>
      </c>
      <c r="D128" s="66" t="s">
        <v>127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 t="str">
        <f>VLOOKUP(B128,'For Senior grades- 13 days'!B127:N312,13,0)</f>
        <v>Regional</v>
      </c>
      <c r="O128" s="67" t="s">
        <v>213</v>
      </c>
      <c r="P128" s="67"/>
      <c r="Q128" s="67"/>
      <c r="R128" s="67"/>
      <c r="S128" s="75"/>
      <c r="T128" s="67"/>
      <c r="U128" s="67"/>
      <c r="V128" s="67"/>
      <c r="W128" s="67"/>
      <c r="X128" s="67"/>
      <c r="Y128" s="76"/>
      <c r="Z128" s="67"/>
      <c r="AA128" s="67" t="s">
        <v>213</v>
      </c>
      <c r="AB128" s="67"/>
      <c r="AC128" s="67"/>
      <c r="AD128" s="75" t="s">
        <v>213</v>
      </c>
      <c r="AE128" s="67"/>
      <c r="AF128" s="75" t="s">
        <v>213</v>
      </c>
      <c r="AG128" s="67"/>
      <c r="AH128" s="67"/>
      <c r="AI128" s="67"/>
      <c r="AJ128" s="62"/>
      <c r="AK128" s="62"/>
    </row>
    <row r="129" spans="1:37" x14ac:dyDescent="0.3">
      <c r="A129" s="65">
        <v>124</v>
      </c>
      <c r="B129" s="63">
        <v>46291</v>
      </c>
      <c r="C129" s="66" t="s">
        <v>308</v>
      </c>
      <c r="D129" s="66" t="s">
        <v>64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75"/>
      <c r="T129" s="67"/>
      <c r="U129" s="67"/>
      <c r="V129" s="67"/>
      <c r="W129" s="67"/>
      <c r="X129" s="67"/>
      <c r="Y129" s="76"/>
      <c r="Z129" s="67"/>
      <c r="AA129" s="67" t="s">
        <v>219</v>
      </c>
      <c r="AB129" s="67"/>
      <c r="AC129" s="67"/>
      <c r="AD129" s="67"/>
      <c r="AE129" s="67"/>
      <c r="AF129" s="75"/>
      <c r="AG129" s="67"/>
      <c r="AH129" s="67"/>
      <c r="AI129" s="67"/>
      <c r="AJ129" s="62"/>
      <c r="AK129" s="62"/>
    </row>
    <row r="130" spans="1:37" x14ac:dyDescent="0.3">
      <c r="A130" s="65">
        <v>125</v>
      </c>
      <c r="B130" s="63">
        <v>46292</v>
      </c>
      <c r="C130" s="66" t="s">
        <v>308</v>
      </c>
      <c r="D130" s="66" t="s">
        <v>63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75"/>
      <c r="T130" s="67"/>
      <c r="U130" s="67"/>
      <c r="V130" s="67"/>
      <c r="W130" s="67"/>
      <c r="X130" s="67"/>
      <c r="Y130" s="76"/>
      <c r="Z130" s="67"/>
      <c r="AA130" s="67" t="s">
        <v>219</v>
      </c>
      <c r="AB130" s="67"/>
      <c r="AC130" s="67"/>
      <c r="AD130" s="67"/>
      <c r="AE130" s="67"/>
      <c r="AF130" s="75"/>
      <c r="AG130" s="67"/>
      <c r="AH130" s="67"/>
      <c r="AI130" s="67"/>
      <c r="AJ130" s="62"/>
      <c r="AK130" s="62"/>
    </row>
    <row r="131" spans="1:37" x14ac:dyDescent="0.3">
      <c r="A131" s="65">
        <v>126</v>
      </c>
      <c r="B131" s="63">
        <v>46293</v>
      </c>
      <c r="C131" s="66" t="s">
        <v>308</v>
      </c>
      <c r="D131" s="66" t="s">
        <v>98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75"/>
      <c r="T131" s="67"/>
      <c r="U131" s="67"/>
      <c r="V131" s="67"/>
      <c r="W131" s="67"/>
      <c r="X131" s="67"/>
      <c r="Y131" s="76"/>
      <c r="Z131" s="67"/>
      <c r="AA131" s="67" t="s">
        <v>213</v>
      </c>
      <c r="AB131" s="67"/>
      <c r="AC131" s="67"/>
      <c r="AD131" s="67"/>
      <c r="AE131" s="67"/>
      <c r="AF131" s="75"/>
      <c r="AG131" s="67"/>
      <c r="AH131" s="67"/>
      <c r="AI131" s="67"/>
      <c r="AJ131" s="62"/>
      <c r="AK131" s="62"/>
    </row>
    <row r="132" spans="1:37" x14ac:dyDescent="0.3">
      <c r="A132" s="65"/>
      <c r="B132" s="63">
        <v>46295</v>
      </c>
      <c r="C132" s="66" t="s">
        <v>345</v>
      </c>
      <c r="D132" s="66" t="s">
        <v>97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75"/>
      <c r="T132" s="67"/>
      <c r="U132" s="67"/>
      <c r="V132" s="67"/>
      <c r="W132" s="67" t="str">
        <f>VLOOKUP(B132,'For Senior grades- 13 days'!B131:W314,22,0)</f>
        <v>Regional</v>
      </c>
      <c r="X132" s="67"/>
      <c r="Y132" s="76"/>
      <c r="Z132" s="67"/>
      <c r="AA132" s="67"/>
      <c r="AB132" s="67"/>
      <c r="AC132" s="67"/>
      <c r="AD132" s="67"/>
      <c r="AE132" s="67"/>
      <c r="AF132" s="75"/>
      <c r="AG132" s="67"/>
      <c r="AH132" s="67"/>
      <c r="AI132" s="67"/>
      <c r="AJ132" s="62"/>
      <c r="AK132" s="62"/>
    </row>
    <row r="133" spans="1:37" x14ac:dyDescent="0.3">
      <c r="A133" s="65">
        <v>127</v>
      </c>
      <c r="B133" s="63">
        <v>46296</v>
      </c>
      <c r="C133" s="66" t="s">
        <v>265</v>
      </c>
      <c r="D133" s="66" t="s">
        <v>96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 t="s">
        <v>213</v>
      </c>
      <c r="P133" s="67"/>
      <c r="Q133" s="67"/>
      <c r="R133" s="67"/>
      <c r="S133" s="75"/>
      <c r="T133" s="67"/>
      <c r="U133" s="67"/>
      <c r="V133" s="67"/>
      <c r="W133" s="67"/>
      <c r="X133" s="67"/>
      <c r="Y133" s="76"/>
      <c r="Z133" s="67"/>
      <c r="AA133" s="67"/>
      <c r="AB133" s="67"/>
      <c r="AC133" s="67"/>
      <c r="AD133" s="67"/>
      <c r="AE133" s="67"/>
      <c r="AF133" s="75"/>
      <c r="AG133" s="67"/>
      <c r="AH133" s="67"/>
      <c r="AI133" s="67"/>
      <c r="AJ133" s="62"/>
      <c r="AK133" s="62"/>
    </row>
    <row r="134" spans="1:37" x14ac:dyDescent="0.3">
      <c r="A134" s="65">
        <v>128</v>
      </c>
      <c r="B134" s="63">
        <v>46297</v>
      </c>
      <c r="C134" s="66" t="s">
        <v>124</v>
      </c>
      <c r="D134" s="66" t="s">
        <v>127</v>
      </c>
      <c r="E134" s="67"/>
      <c r="F134" s="67"/>
      <c r="G134" s="67"/>
      <c r="H134" s="74" t="str">
        <f>VLOOKUP(B134,'For Senior grades- 13 days'!B133:H312,7,0)</f>
        <v>National</v>
      </c>
      <c r="I134" s="67"/>
      <c r="J134" s="74" t="str">
        <f>VLOOKUP(B134,'For Senior grades- 13 days'!B133:J313,9,0)</f>
        <v>National</v>
      </c>
      <c r="K134" s="67"/>
      <c r="L134" s="74" t="s">
        <v>212</v>
      </c>
      <c r="M134" s="67"/>
      <c r="N134" s="74" t="str">
        <f>VLOOKUP(B134,'For Senior grades- 13 days'!B133:N318,13,0)</f>
        <v>National</v>
      </c>
      <c r="O134" s="74" t="s">
        <v>212</v>
      </c>
      <c r="P134" s="67"/>
      <c r="Q134" s="74" t="s">
        <v>212</v>
      </c>
      <c r="R134" s="67"/>
      <c r="S134" s="74" t="s">
        <v>212</v>
      </c>
      <c r="T134" s="74" t="s">
        <v>212</v>
      </c>
      <c r="U134" s="67"/>
      <c r="V134" s="74" t="s">
        <v>212</v>
      </c>
      <c r="W134" s="74" t="str">
        <f>VLOOKUP(B134,'For Senior grades- 13 days'!B133:W316,22,0)</f>
        <v>National</v>
      </c>
      <c r="X134" s="74" t="s">
        <v>212</v>
      </c>
      <c r="Y134" s="74" t="s">
        <v>212</v>
      </c>
      <c r="Z134" s="67"/>
      <c r="AA134" s="74" t="s">
        <v>212</v>
      </c>
      <c r="AB134" s="67"/>
      <c r="AC134" s="67"/>
      <c r="AD134" s="74" t="s">
        <v>212</v>
      </c>
      <c r="AE134" s="74" t="s">
        <v>212</v>
      </c>
      <c r="AF134" s="74" t="s">
        <v>212</v>
      </c>
      <c r="AG134" s="74" t="s">
        <v>212</v>
      </c>
      <c r="AH134" s="67"/>
      <c r="AI134" s="74" t="s">
        <v>212</v>
      </c>
      <c r="AJ134" s="80" t="s">
        <v>212</v>
      </c>
      <c r="AK134" s="62"/>
    </row>
    <row r="135" spans="1:37" x14ac:dyDescent="0.3">
      <c r="A135" s="65">
        <v>129</v>
      </c>
      <c r="B135" s="63">
        <v>46299</v>
      </c>
      <c r="C135" s="66" t="s">
        <v>289</v>
      </c>
      <c r="D135" s="66" t="s">
        <v>63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 t="s">
        <v>219</v>
      </c>
      <c r="R135" s="67"/>
      <c r="S135" s="75"/>
      <c r="T135" s="67"/>
      <c r="U135" s="67"/>
      <c r="V135" s="67"/>
      <c r="W135" s="67"/>
      <c r="X135" s="67"/>
      <c r="Y135" s="76"/>
      <c r="Z135" s="67"/>
      <c r="AA135" s="67"/>
      <c r="AB135" s="67"/>
      <c r="AC135" s="67"/>
      <c r="AD135" s="67"/>
      <c r="AE135" s="67"/>
      <c r="AF135" s="75"/>
      <c r="AG135" s="67"/>
      <c r="AH135" s="67"/>
      <c r="AI135" s="67"/>
      <c r="AJ135" s="62"/>
      <c r="AK135" s="62"/>
    </row>
    <row r="136" spans="1:37" x14ac:dyDescent="0.3">
      <c r="A136" s="65">
        <v>130</v>
      </c>
      <c r="B136" s="63">
        <v>46304</v>
      </c>
      <c r="C136" s="66" t="s">
        <v>266</v>
      </c>
      <c r="D136" s="66" t="s">
        <v>127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 t="s">
        <v>213</v>
      </c>
      <c r="P136" s="67"/>
      <c r="Q136" s="67"/>
      <c r="R136" s="67"/>
      <c r="S136" s="75"/>
      <c r="T136" s="67"/>
      <c r="U136" s="67"/>
      <c r="V136" s="67"/>
      <c r="W136" s="67"/>
      <c r="X136" s="67"/>
      <c r="Y136" s="76"/>
      <c r="Z136" s="67"/>
      <c r="AA136" s="67"/>
      <c r="AB136" s="67"/>
      <c r="AC136" s="67"/>
      <c r="AD136" s="67"/>
      <c r="AE136" s="67"/>
      <c r="AF136" s="75"/>
      <c r="AG136" s="67"/>
      <c r="AH136" s="67"/>
      <c r="AI136" s="67"/>
      <c r="AJ136" s="62"/>
      <c r="AK136" s="62"/>
    </row>
    <row r="137" spans="1:37" x14ac:dyDescent="0.3">
      <c r="A137" s="65">
        <v>131</v>
      </c>
      <c r="B137" s="63">
        <v>46305</v>
      </c>
      <c r="C137" s="66" t="s">
        <v>267</v>
      </c>
      <c r="D137" s="66" t="s">
        <v>64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 t="s">
        <v>219</v>
      </c>
      <c r="P137" s="67"/>
      <c r="Q137" s="67"/>
      <c r="R137" s="67"/>
      <c r="S137" s="75"/>
      <c r="T137" s="67" t="str">
        <f>VLOOKUP(B137,'For Senior grades- 13 days'!B135:T305,19,0)</f>
        <v>Regional-WE</v>
      </c>
      <c r="U137" s="67"/>
      <c r="V137" s="67"/>
      <c r="W137" s="67"/>
      <c r="X137" s="67"/>
      <c r="Y137" s="76"/>
      <c r="Z137" s="67"/>
      <c r="AA137" s="67"/>
      <c r="AB137" s="67"/>
      <c r="AC137" s="67"/>
      <c r="AD137" s="67"/>
      <c r="AE137" s="67"/>
      <c r="AF137" s="75"/>
      <c r="AG137" s="67"/>
      <c r="AH137" s="67"/>
      <c r="AI137" s="67"/>
      <c r="AJ137" s="62"/>
      <c r="AK137" s="62"/>
    </row>
    <row r="138" spans="1:37" x14ac:dyDescent="0.3">
      <c r="A138" s="65">
        <v>132</v>
      </c>
      <c r="B138" s="63">
        <v>46306</v>
      </c>
      <c r="C138" s="66" t="s">
        <v>290</v>
      </c>
      <c r="D138" s="66" t="s">
        <v>63</v>
      </c>
      <c r="E138" s="67"/>
      <c r="F138" s="67"/>
      <c r="G138" s="67"/>
      <c r="H138" s="67"/>
      <c r="I138" s="67"/>
      <c r="J138" s="67"/>
      <c r="K138" s="67"/>
      <c r="L138" s="67" t="s">
        <v>219</v>
      </c>
      <c r="M138" s="67"/>
      <c r="N138" s="67" t="str">
        <f>VLOOKUP(B138,'For Senior grades- 13 days'!B137:N322,13,0)</f>
        <v>Regional-WE</v>
      </c>
      <c r="O138" s="67"/>
      <c r="P138" s="67"/>
      <c r="Q138" s="67" t="s">
        <v>219</v>
      </c>
      <c r="R138" s="67"/>
      <c r="S138" s="75"/>
      <c r="T138" s="67"/>
      <c r="U138" s="67"/>
      <c r="V138" s="67"/>
      <c r="W138" s="67" t="str">
        <f>VLOOKUP(B138,'For Senior grades- 13 days'!B137:W320,22,0)</f>
        <v>Regional-WE</v>
      </c>
      <c r="X138" s="67"/>
      <c r="Y138" s="76"/>
      <c r="Z138" s="67"/>
      <c r="AA138" s="67"/>
      <c r="AB138" s="67"/>
      <c r="AC138" s="67"/>
      <c r="AD138" s="67"/>
      <c r="AE138" s="67"/>
      <c r="AF138" s="75"/>
      <c r="AG138" s="67"/>
      <c r="AH138" s="67"/>
      <c r="AI138" s="67"/>
      <c r="AJ138" s="62"/>
      <c r="AK138" s="62"/>
    </row>
    <row r="139" spans="1:37" x14ac:dyDescent="0.3">
      <c r="A139" s="65">
        <v>133</v>
      </c>
      <c r="B139" s="63">
        <v>46308</v>
      </c>
      <c r="C139" s="66" t="s">
        <v>309</v>
      </c>
      <c r="D139" s="66" t="s">
        <v>101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75"/>
      <c r="T139" s="67"/>
      <c r="U139" s="67"/>
      <c r="V139" s="67"/>
      <c r="W139" s="67"/>
      <c r="X139" s="67"/>
      <c r="Y139" s="76"/>
      <c r="Z139" s="67"/>
      <c r="AA139" s="74" t="s">
        <v>213</v>
      </c>
      <c r="AB139" s="67"/>
      <c r="AC139" s="67"/>
      <c r="AD139" s="67"/>
      <c r="AE139" s="67"/>
      <c r="AF139" s="75"/>
      <c r="AG139" s="67"/>
      <c r="AH139" s="67"/>
      <c r="AI139" s="67"/>
      <c r="AJ139" s="62"/>
      <c r="AK139" s="62"/>
    </row>
    <row r="140" spans="1:37" x14ac:dyDescent="0.3">
      <c r="A140" s="65">
        <v>134</v>
      </c>
      <c r="B140" s="63">
        <v>46309</v>
      </c>
      <c r="C140" s="66" t="s">
        <v>291</v>
      </c>
      <c r="D140" s="66" t="s">
        <v>97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75" t="s">
        <v>213</v>
      </c>
      <c r="R140" s="67"/>
      <c r="S140" s="75"/>
      <c r="T140" s="67"/>
      <c r="U140" s="67"/>
      <c r="V140" s="67"/>
      <c r="W140" s="67"/>
      <c r="X140" s="67"/>
      <c r="Y140" s="76"/>
      <c r="Z140" s="67"/>
      <c r="AA140" s="67"/>
      <c r="AB140" s="67"/>
      <c r="AC140" s="67"/>
      <c r="AD140" s="67"/>
      <c r="AE140" s="67"/>
      <c r="AF140" s="75"/>
      <c r="AG140" s="67"/>
      <c r="AH140" s="67"/>
      <c r="AI140" s="67"/>
      <c r="AJ140" s="62"/>
      <c r="AK140" s="62"/>
    </row>
    <row r="141" spans="1:37" x14ac:dyDescent="0.3">
      <c r="A141" s="65">
        <v>135</v>
      </c>
      <c r="B141" s="63">
        <v>46310</v>
      </c>
      <c r="C141" s="66" t="s">
        <v>316</v>
      </c>
      <c r="D141" s="66" t="s">
        <v>96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75"/>
      <c r="T141" s="67"/>
      <c r="U141" s="67"/>
      <c r="V141" s="67"/>
      <c r="W141" s="67"/>
      <c r="X141" s="67"/>
      <c r="Y141" s="76"/>
      <c r="Z141" s="67"/>
      <c r="AA141" s="67"/>
      <c r="AB141" s="67"/>
      <c r="AC141" s="67"/>
      <c r="AD141" s="67"/>
      <c r="AE141" s="67"/>
      <c r="AF141" s="75" t="s">
        <v>213</v>
      </c>
      <c r="AG141" s="67"/>
      <c r="AH141" s="67"/>
      <c r="AI141" s="67"/>
      <c r="AJ141" s="62"/>
      <c r="AK141" s="62"/>
    </row>
    <row r="142" spans="1:37" x14ac:dyDescent="0.3">
      <c r="A142" s="65">
        <v>136</v>
      </c>
      <c r="B142" s="63">
        <v>46311</v>
      </c>
      <c r="C142" s="66" t="s">
        <v>310</v>
      </c>
      <c r="D142" s="66" t="s">
        <v>127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75"/>
      <c r="T142" s="67"/>
      <c r="U142" s="67"/>
      <c r="V142" s="67"/>
      <c r="W142" s="67"/>
      <c r="X142" s="67"/>
      <c r="Y142" s="76"/>
      <c r="Z142" s="67"/>
      <c r="AA142" s="74" t="s">
        <v>213</v>
      </c>
      <c r="AB142" s="67"/>
      <c r="AC142" s="67"/>
      <c r="AD142" s="67"/>
      <c r="AE142" s="67"/>
      <c r="AF142" s="75"/>
      <c r="AG142" s="67"/>
      <c r="AH142" s="67"/>
      <c r="AI142" s="67"/>
      <c r="AJ142" s="62"/>
      <c r="AK142" s="62"/>
    </row>
    <row r="143" spans="1:37" x14ac:dyDescent="0.3">
      <c r="A143" s="65">
        <v>137</v>
      </c>
      <c r="B143" s="63">
        <v>46312</v>
      </c>
      <c r="C143" s="66" t="s">
        <v>292</v>
      </c>
      <c r="D143" s="66" t="s">
        <v>64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 t="s">
        <v>219</v>
      </c>
      <c r="R143" s="67"/>
      <c r="S143" s="75"/>
      <c r="T143" s="67"/>
      <c r="U143" s="67"/>
      <c r="V143" s="67"/>
      <c r="W143" s="67"/>
      <c r="X143" s="67"/>
      <c r="Y143" s="76"/>
      <c r="Z143" s="67"/>
      <c r="AA143" s="67"/>
      <c r="AB143" s="67"/>
      <c r="AC143" s="67"/>
      <c r="AD143" s="67"/>
      <c r="AE143" s="67"/>
      <c r="AF143" s="75"/>
      <c r="AG143" s="67"/>
      <c r="AH143" s="67"/>
      <c r="AI143" s="67"/>
      <c r="AJ143" s="62"/>
      <c r="AK143" s="62"/>
    </row>
    <row r="144" spans="1:37" x14ac:dyDescent="0.3">
      <c r="A144" s="65">
        <v>138</v>
      </c>
      <c r="B144" s="63">
        <v>46313</v>
      </c>
      <c r="C144" s="66" t="s">
        <v>153</v>
      </c>
      <c r="D144" s="67" t="s">
        <v>63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 t="s">
        <v>219</v>
      </c>
      <c r="R144" s="67"/>
      <c r="S144" s="67" t="s">
        <v>219</v>
      </c>
      <c r="T144" s="67" t="str">
        <f>VLOOKUP(B144,'For Senior grades- 13 days'!B142:T312,19,0)</f>
        <v>Regional-WE</v>
      </c>
      <c r="U144" s="67"/>
      <c r="V144" s="67" t="s">
        <v>219</v>
      </c>
      <c r="W144" s="67"/>
      <c r="X144" s="67"/>
      <c r="Y144" s="76"/>
      <c r="Z144" s="67"/>
      <c r="AA144" s="67"/>
      <c r="AB144" s="67"/>
      <c r="AC144" s="67"/>
      <c r="AD144" s="67"/>
      <c r="AE144" s="67"/>
      <c r="AF144" s="75"/>
      <c r="AG144" s="67"/>
      <c r="AH144" s="67"/>
      <c r="AI144" s="67"/>
      <c r="AJ144" s="62"/>
      <c r="AK144" s="62"/>
    </row>
    <row r="145" spans="1:37" x14ac:dyDescent="0.3">
      <c r="A145" s="65">
        <v>139</v>
      </c>
      <c r="B145" s="63">
        <v>46314</v>
      </c>
      <c r="C145" s="66" t="s">
        <v>236</v>
      </c>
      <c r="D145" s="66" t="s">
        <v>98</v>
      </c>
      <c r="E145" s="67"/>
      <c r="F145" s="67"/>
      <c r="G145" s="67"/>
      <c r="H145" s="67" t="str">
        <f>VLOOKUP(B145,'For Senior grades- 13 days'!B144:H323,7,0)</f>
        <v>Optional</v>
      </c>
      <c r="I145" s="67"/>
      <c r="J145" s="67"/>
      <c r="K145" s="67"/>
      <c r="L145" s="74" t="s">
        <v>213</v>
      </c>
      <c r="M145" s="67"/>
      <c r="N145" s="74" t="str">
        <f>VLOOKUP(B145,'For Senior grades- 13 days'!B144:N329,13,0)</f>
        <v>Regional</v>
      </c>
      <c r="O145" s="74" t="s">
        <v>213</v>
      </c>
      <c r="P145" s="67"/>
      <c r="Q145" s="74" t="s">
        <v>213</v>
      </c>
      <c r="R145" s="67"/>
      <c r="S145" s="74" t="s">
        <v>213</v>
      </c>
      <c r="T145" s="78" t="s">
        <v>213</v>
      </c>
      <c r="U145" s="67"/>
      <c r="V145" s="74" t="s">
        <v>213</v>
      </c>
      <c r="W145" s="74" t="str">
        <f>VLOOKUP(B145,'For Senior grades- 13 days'!B144:W327,22,0)</f>
        <v>Regional</v>
      </c>
      <c r="X145" s="74" t="s">
        <v>213</v>
      </c>
      <c r="Y145" s="76"/>
      <c r="Z145" s="67"/>
      <c r="AA145" s="67"/>
      <c r="AB145" s="67"/>
      <c r="AC145" s="67"/>
      <c r="AD145" s="67"/>
      <c r="AE145" s="74" t="s">
        <v>213</v>
      </c>
      <c r="AF145" s="74" t="s">
        <v>213</v>
      </c>
      <c r="AG145" s="74" t="s">
        <v>213</v>
      </c>
      <c r="AH145" s="67"/>
      <c r="AI145" s="67"/>
      <c r="AJ145" s="62"/>
      <c r="AK145" s="62"/>
    </row>
    <row r="146" spans="1:37" x14ac:dyDescent="0.3">
      <c r="A146" s="65">
        <v>140</v>
      </c>
      <c r="B146" s="63">
        <v>46315</v>
      </c>
      <c r="C146" s="66" t="s">
        <v>169</v>
      </c>
      <c r="D146" s="66" t="s">
        <v>101</v>
      </c>
      <c r="E146" s="67"/>
      <c r="F146" s="67"/>
      <c r="G146" s="67"/>
      <c r="H146" s="74" t="str">
        <f>VLOOKUP(B146,'For Senior grades- 13 days'!B145:H324,7,0)</f>
        <v>Regional</v>
      </c>
      <c r="I146" s="67"/>
      <c r="J146" s="74" t="str">
        <f>VLOOKUP(B146,'For Senior grades- 13 days'!B145:J325,9,0)</f>
        <v>Regional</v>
      </c>
      <c r="K146" s="67"/>
      <c r="L146" s="75" t="s">
        <v>213</v>
      </c>
      <c r="M146" s="67"/>
      <c r="N146" s="74" t="str">
        <f>VLOOKUP(B146,'For Senior grades- 13 days'!B145:N330,13,0)</f>
        <v>Regional</v>
      </c>
      <c r="O146" s="75" t="s">
        <v>213</v>
      </c>
      <c r="P146" s="67"/>
      <c r="Q146" s="67"/>
      <c r="R146" s="67"/>
      <c r="S146" s="74" t="s">
        <v>213</v>
      </c>
      <c r="T146" s="74" t="s">
        <v>213</v>
      </c>
      <c r="U146" s="67"/>
      <c r="V146" s="74" t="s">
        <v>213</v>
      </c>
      <c r="W146" s="67"/>
      <c r="X146" s="67" t="s">
        <v>213</v>
      </c>
      <c r="Y146" s="74" t="s">
        <v>213</v>
      </c>
      <c r="Z146" s="67"/>
      <c r="AA146" s="67"/>
      <c r="AB146" s="67"/>
      <c r="AC146" s="67"/>
      <c r="AD146" s="74" t="s">
        <v>213</v>
      </c>
      <c r="AE146" s="67"/>
      <c r="AF146" s="74" t="s">
        <v>213</v>
      </c>
      <c r="AG146" s="75" t="s">
        <v>213</v>
      </c>
      <c r="AH146" s="67"/>
      <c r="AI146" s="74" t="s">
        <v>213</v>
      </c>
      <c r="AJ146" s="80" t="s">
        <v>213</v>
      </c>
      <c r="AK146" s="62"/>
    </row>
    <row r="147" spans="1:37" x14ac:dyDescent="0.3">
      <c r="A147" s="65">
        <v>141</v>
      </c>
      <c r="B147" s="63">
        <v>46316</v>
      </c>
      <c r="C147" s="66" t="s">
        <v>293</v>
      </c>
      <c r="D147" s="66" t="s">
        <v>97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 t="s">
        <v>213</v>
      </c>
      <c r="R147" s="67"/>
      <c r="S147" s="75"/>
      <c r="T147" s="74" t="s">
        <v>213</v>
      </c>
      <c r="U147" s="67"/>
      <c r="V147" s="67" t="s">
        <v>213</v>
      </c>
      <c r="W147" s="67"/>
      <c r="X147" s="67"/>
      <c r="Y147" s="76"/>
      <c r="Z147" s="67"/>
      <c r="AA147" s="67"/>
      <c r="AB147" s="67"/>
      <c r="AC147" s="67"/>
      <c r="AD147" s="67" t="s">
        <v>213</v>
      </c>
      <c r="AE147" s="67"/>
      <c r="AF147" s="75" t="s">
        <v>213</v>
      </c>
      <c r="AG147" s="67"/>
      <c r="AH147" s="67"/>
      <c r="AI147" s="67"/>
      <c r="AJ147" s="62"/>
      <c r="AK147" s="62"/>
    </row>
    <row r="148" spans="1:37" x14ac:dyDescent="0.3">
      <c r="A148" s="65">
        <v>142</v>
      </c>
      <c r="B148" s="63">
        <v>46320</v>
      </c>
      <c r="C148" s="66" t="s">
        <v>325</v>
      </c>
      <c r="D148" s="66" t="s">
        <v>63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75"/>
      <c r="T148" s="67" t="s">
        <v>219</v>
      </c>
      <c r="U148" s="67"/>
      <c r="V148" s="67"/>
      <c r="W148" s="67"/>
      <c r="X148" s="67"/>
      <c r="Y148" s="76"/>
      <c r="Z148" s="67"/>
      <c r="AA148" s="67"/>
      <c r="AB148" s="67"/>
      <c r="AC148" s="67"/>
      <c r="AD148" s="67"/>
      <c r="AE148" s="67"/>
      <c r="AF148" s="75"/>
      <c r="AG148" s="67"/>
      <c r="AH148" s="67"/>
      <c r="AI148" s="67"/>
      <c r="AJ148" s="62"/>
      <c r="AK148" s="62"/>
    </row>
    <row r="149" spans="1:37" x14ac:dyDescent="0.3">
      <c r="A149" s="65">
        <v>143</v>
      </c>
      <c r="B149" s="63">
        <v>46321</v>
      </c>
      <c r="C149" s="66" t="s">
        <v>317</v>
      </c>
      <c r="D149" s="66" t="s">
        <v>98</v>
      </c>
      <c r="E149" s="67"/>
      <c r="F149" s="67"/>
      <c r="G149" s="67"/>
      <c r="H149" s="75" t="str">
        <f>VLOOKUP(B149,'For Senior grades- 13 days'!B148:H327,7,0)</f>
        <v>Regional</v>
      </c>
      <c r="I149" s="67"/>
      <c r="J149" s="67"/>
      <c r="K149" s="67"/>
      <c r="L149" s="67"/>
      <c r="M149" s="67"/>
      <c r="N149" s="67" t="str">
        <f>VLOOKUP(B149,'For Senior grades- 13 days'!B148:N333,13,0)</f>
        <v>Regional</v>
      </c>
      <c r="O149" s="67" t="s">
        <v>213</v>
      </c>
      <c r="P149" s="67"/>
      <c r="Q149" s="67"/>
      <c r="R149" s="67"/>
      <c r="S149" s="75"/>
      <c r="T149" s="67"/>
      <c r="U149" s="67"/>
      <c r="V149" s="67"/>
      <c r="W149" s="67" t="str">
        <f>VLOOKUP(B149,'For Senior grades- 13 days'!B148:W331,22,0)</f>
        <v>Regional</v>
      </c>
      <c r="X149" s="67"/>
      <c r="Y149" s="76"/>
      <c r="Z149" s="67"/>
      <c r="AA149" s="67"/>
      <c r="AB149" s="67"/>
      <c r="AC149" s="67"/>
      <c r="AD149" s="67"/>
      <c r="AE149" s="67"/>
      <c r="AF149" s="75"/>
      <c r="AG149" s="67"/>
      <c r="AH149" s="67"/>
      <c r="AI149" s="67"/>
      <c r="AJ149" s="62"/>
      <c r="AK149" s="62"/>
    </row>
    <row r="150" spans="1:37" x14ac:dyDescent="0.3">
      <c r="A150" s="65">
        <v>144</v>
      </c>
      <c r="B150" s="63">
        <v>46324</v>
      </c>
      <c r="C150" s="66" t="s">
        <v>268</v>
      </c>
      <c r="D150" s="66" t="s">
        <v>96</v>
      </c>
      <c r="E150" s="67"/>
      <c r="F150" s="67"/>
      <c r="G150" s="67"/>
      <c r="H150" s="67" t="str">
        <f>VLOOKUP(B150,'For Senior grades- 13 days'!B149:H328,7,0)</f>
        <v>Regional</v>
      </c>
      <c r="I150" s="67"/>
      <c r="J150" s="67"/>
      <c r="K150" s="67"/>
      <c r="L150" s="67"/>
      <c r="M150" s="67"/>
      <c r="N150" s="67"/>
      <c r="O150" s="67" t="s">
        <v>213</v>
      </c>
      <c r="P150" s="67"/>
      <c r="Q150" s="67"/>
      <c r="R150" s="67"/>
      <c r="S150" s="75"/>
      <c r="T150" s="67"/>
      <c r="U150" s="67"/>
      <c r="V150" s="67"/>
      <c r="W150" s="67"/>
      <c r="X150" s="67"/>
      <c r="Y150" s="76"/>
      <c r="Z150" s="67"/>
      <c r="AA150" s="67"/>
      <c r="AB150" s="67"/>
      <c r="AC150" s="67"/>
      <c r="AD150" s="67"/>
      <c r="AE150" s="67"/>
      <c r="AF150" s="75"/>
      <c r="AG150" s="67"/>
      <c r="AH150" s="67"/>
      <c r="AI150" s="67"/>
      <c r="AJ150" s="62"/>
      <c r="AK150" s="62"/>
    </row>
    <row r="151" spans="1:37" x14ac:dyDescent="0.3">
      <c r="A151" s="65">
        <v>145</v>
      </c>
      <c r="B151" s="63">
        <v>46326</v>
      </c>
      <c r="C151" s="66" t="s">
        <v>329</v>
      </c>
      <c r="D151" s="66" t="s">
        <v>64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 t="str">
        <f>VLOOKUP(B151,'For Senior grades- 13 days'!B150:N335,13,0)</f>
        <v>Regional-WE</v>
      </c>
      <c r="O151" s="67"/>
      <c r="P151" s="67"/>
      <c r="Q151" s="67"/>
      <c r="R151" s="67"/>
      <c r="S151" s="75"/>
      <c r="T151" s="67"/>
      <c r="U151" s="67"/>
      <c r="V151" s="67"/>
      <c r="W151" s="67"/>
      <c r="X151" s="67"/>
      <c r="Y151" s="76"/>
      <c r="Z151" s="67"/>
      <c r="AA151" s="67"/>
      <c r="AB151" s="67"/>
      <c r="AC151" s="67"/>
      <c r="AD151" s="67"/>
      <c r="AE151" s="67"/>
      <c r="AF151" s="75"/>
      <c r="AG151" s="67"/>
      <c r="AH151" s="67"/>
      <c r="AI151" s="67"/>
      <c r="AJ151" s="62" t="s">
        <v>219</v>
      </c>
      <c r="AK151" s="62"/>
    </row>
    <row r="152" spans="1:37" x14ac:dyDescent="0.3">
      <c r="A152" s="65">
        <v>146</v>
      </c>
      <c r="B152" s="63">
        <v>46327</v>
      </c>
      <c r="C152" s="66" t="s">
        <v>320</v>
      </c>
      <c r="D152" s="66" t="s">
        <v>63</v>
      </c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75"/>
      <c r="T152" s="67"/>
      <c r="U152" s="67"/>
      <c r="V152" s="67"/>
      <c r="W152" s="67" t="str">
        <f>VLOOKUP(B152,'For Senior grades- 13 days'!B151:W334,22,0)</f>
        <v>Regional-WE</v>
      </c>
      <c r="X152" s="67"/>
      <c r="Y152" s="76"/>
      <c r="Z152" s="67"/>
      <c r="AA152" s="67"/>
      <c r="AB152" s="67"/>
      <c r="AC152" s="67"/>
      <c r="AD152" s="67"/>
      <c r="AE152" s="67" t="s">
        <v>219</v>
      </c>
      <c r="AF152" s="67" t="s">
        <v>219</v>
      </c>
      <c r="AG152" s="67"/>
      <c r="AH152" s="67"/>
      <c r="AI152" s="67"/>
      <c r="AJ152" s="62"/>
      <c r="AK152" s="62"/>
    </row>
    <row r="153" spans="1:37" x14ac:dyDescent="0.3">
      <c r="A153" s="65">
        <v>147</v>
      </c>
      <c r="B153" s="63">
        <v>46328</v>
      </c>
      <c r="C153" s="66" t="s">
        <v>311</v>
      </c>
      <c r="D153" s="66" t="s">
        <v>98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75"/>
      <c r="T153" s="67"/>
      <c r="U153" s="67"/>
      <c r="V153" s="67"/>
      <c r="W153" s="67"/>
      <c r="X153" s="67"/>
      <c r="Y153" s="76"/>
      <c r="Z153" s="67"/>
      <c r="AA153" s="67" t="s">
        <v>213</v>
      </c>
      <c r="AB153" s="67"/>
      <c r="AC153" s="67"/>
      <c r="AD153" s="67"/>
      <c r="AE153" s="67"/>
      <c r="AF153" s="75"/>
      <c r="AG153" s="67"/>
      <c r="AH153" s="67"/>
      <c r="AI153" s="67"/>
      <c r="AJ153" s="62"/>
      <c r="AK153" s="62"/>
    </row>
    <row r="154" spans="1:37" x14ac:dyDescent="0.3">
      <c r="A154" s="65">
        <v>148</v>
      </c>
      <c r="B154" s="63">
        <v>46333</v>
      </c>
      <c r="C154" s="66" t="s">
        <v>269</v>
      </c>
      <c r="D154" s="66" t="s">
        <v>64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 t="s">
        <v>219</v>
      </c>
      <c r="P154" s="67"/>
      <c r="Q154" s="67"/>
      <c r="R154" s="67"/>
      <c r="S154" s="75"/>
      <c r="T154" s="67"/>
      <c r="U154" s="67"/>
      <c r="V154" s="67"/>
      <c r="W154" s="67"/>
      <c r="X154" s="67"/>
      <c r="Y154" s="76"/>
      <c r="Z154" s="67"/>
      <c r="AA154" s="67"/>
      <c r="AB154" s="67"/>
      <c r="AC154" s="67"/>
      <c r="AD154" s="67"/>
      <c r="AE154" s="67"/>
      <c r="AF154" s="75"/>
      <c r="AG154" s="67"/>
      <c r="AH154" s="67"/>
      <c r="AI154" s="67"/>
      <c r="AJ154" s="62" t="s">
        <v>221</v>
      </c>
      <c r="AK154" s="62"/>
    </row>
    <row r="155" spans="1:37" ht="20" customHeight="1" x14ac:dyDescent="0.3">
      <c r="A155" s="65">
        <v>149</v>
      </c>
      <c r="B155" s="63">
        <v>46334</v>
      </c>
      <c r="C155" s="66" t="s">
        <v>184</v>
      </c>
      <c r="D155" s="67" t="s">
        <v>63</v>
      </c>
      <c r="E155" s="67"/>
      <c r="F155" s="67"/>
      <c r="G155" s="67"/>
      <c r="H155" s="67" t="str">
        <f>VLOOKUP(B155,'For Senior grades- 13 days'!B154:H333,7,0)</f>
        <v>Regional-WE</v>
      </c>
      <c r="I155" s="67"/>
      <c r="J155" s="67" t="str">
        <f>VLOOKUP(B155,'For Senior grades- 13 days'!B154:J334,9,0)</f>
        <v>Regional-WE</v>
      </c>
      <c r="K155" s="67"/>
      <c r="L155" s="67" t="s">
        <v>219</v>
      </c>
      <c r="M155" s="67"/>
      <c r="N155" s="67" t="str">
        <f>VLOOKUP(B155,'For Senior grades- 13 days'!B154:N339,13,0)</f>
        <v>Regional-WE</v>
      </c>
      <c r="O155" s="67" t="s">
        <v>219</v>
      </c>
      <c r="P155" s="67"/>
      <c r="Q155" s="67" t="s">
        <v>219</v>
      </c>
      <c r="R155" s="67"/>
      <c r="S155" s="67" t="s">
        <v>219</v>
      </c>
      <c r="T155" s="67" t="str">
        <f>VLOOKUP(B155,'For Senior grades- 13 days'!B152:T321,19,0)</f>
        <v>Regional-WE</v>
      </c>
      <c r="U155" s="67"/>
      <c r="V155" s="67" t="s">
        <v>219</v>
      </c>
      <c r="W155" s="67"/>
      <c r="X155" s="67" t="s">
        <v>219</v>
      </c>
      <c r="Y155" s="75" t="s">
        <v>219</v>
      </c>
      <c r="Z155" s="67"/>
      <c r="AA155" s="67"/>
      <c r="AB155" s="67"/>
      <c r="AC155" s="67"/>
      <c r="AD155" s="67"/>
      <c r="AE155" s="67" t="s">
        <v>219</v>
      </c>
      <c r="AF155" s="67" t="s">
        <v>219</v>
      </c>
      <c r="AG155" s="67" t="s">
        <v>219</v>
      </c>
      <c r="AH155" s="67"/>
      <c r="AI155" s="67" t="s">
        <v>219</v>
      </c>
      <c r="AJ155" s="62" t="s">
        <v>219</v>
      </c>
      <c r="AK155" s="62"/>
    </row>
    <row r="156" spans="1:37" ht="20" customHeight="1" x14ac:dyDescent="0.3">
      <c r="A156" s="65">
        <v>150</v>
      </c>
      <c r="B156" s="63">
        <v>46335</v>
      </c>
      <c r="C156" s="66" t="s">
        <v>205</v>
      </c>
      <c r="D156" s="66" t="s">
        <v>98</v>
      </c>
      <c r="E156" s="67"/>
      <c r="F156" s="67"/>
      <c r="G156" s="67"/>
      <c r="H156" s="67" t="str">
        <f>VLOOKUP(B156,'For Senior grades- 13 days'!B155:H334,7,0)</f>
        <v>Optional</v>
      </c>
      <c r="I156" s="67"/>
      <c r="J156" s="67"/>
      <c r="K156" s="67"/>
      <c r="L156" s="67" t="s">
        <v>213</v>
      </c>
      <c r="M156" s="67"/>
      <c r="N156" s="67" t="str">
        <f>VLOOKUP(B156,'For Senior grades- 13 days'!B155:N340,13,0)</f>
        <v>Regional</v>
      </c>
      <c r="O156" s="67" t="s">
        <v>213</v>
      </c>
      <c r="P156" s="67"/>
      <c r="Q156" s="67"/>
      <c r="R156" s="67"/>
      <c r="S156" s="75"/>
      <c r="T156" s="67"/>
      <c r="U156" s="67"/>
      <c r="V156" s="67"/>
      <c r="W156" s="67" t="str">
        <f>VLOOKUP(B156,'For Senior grades- 13 days'!B155:W338,22,0)</f>
        <v>Regional</v>
      </c>
      <c r="X156" s="67"/>
      <c r="Y156" s="76"/>
      <c r="Z156" s="67"/>
      <c r="AA156" s="67"/>
      <c r="AB156" s="67"/>
      <c r="AC156" s="67"/>
      <c r="AD156" s="67"/>
      <c r="AE156" s="67"/>
      <c r="AF156" s="75"/>
      <c r="AG156" s="67"/>
      <c r="AH156" s="67"/>
      <c r="AI156" s="67"/>
      <c r="AJ156" s="62"/>
      <c r="AK156" s="62"/>
    </row>
    <row r="157" spans="1:37" x14ac:dyDescent="0.3">
      <c r="A157" s="65">
        <v>151</v>
      </c>
      <c r="B157" s="63">
        <v>46336</v>
      </c>
      <c r="C157" s="66" t="s">
        <v>171</v>
      </c>
      <c r="D157" s="66" t="s">
        <v>101</v>
      </c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 t="s">
        <v>213</v>
      </c>
      <c r="R157" s="67"/>
      <c r="S157" s="75"/>
      <c r="T157" s="67"/>
      <c r="U157" s="67"/>
      <c r="V157" s="67"/>
      <c r="W157" s="67"/>
      <c r="X157" s="67"/>
      <c r="Y157" s="76"/>
      <c r="Z157" s="67"/>
      <c r="AA157" s="67"/>
      <c r="AB157" s="67"/>
      <c r="AC157" s="67"/>
      <c r="AD157" s="67" t="s">
        <v>213</v>
      </c>
      <c r="AE157" s="67"/>
      <c r="AF157" s="75" t="s">
        <v>213</v>
      </c>
      <c r="AG157" s="67"/>
      <c r="AH157" s="67"/>
      <c r="AI157" s="67"/>
      <c r="AJ157" s="62" t="s">
        <v>213</v>
      </c>
      <c r="AK157" s="62"/>
    </row>
    <row r="158" spans="1:37" x14ac:dyDescent="0.3">
      <c r="A158" s="65">
        <v>152</v>
      </c>
      <c r="B158" s="63">
        <v>46337</v>
      </c>
      <c r="C158" s="66" t="s">
        <v>197</v>
      </c>
      <c r="D158" s="66" t="s">
        <v>97</v>
      </c>
      <c r="E158" s="67"/>
      <c r="F158" s="67"/>
      <c r="G158" s="67"/>
      <c r="H158" s="67" t="str">
        <f>VLOOKUP(B158,'For Senior grades- 13 days'!B157:H336,7,0)</f>
        <v>Regional</v>
      </c>
      <c r="I158" s="67"/>
      <c r="J158" s="67"/>
      <c r="K158" s="67"/>
      <c r="L158" s="67" t="s">
        <v>213</v>
      </c>
      <c r="M158" s="67"/>
      <c r="N158" s="67" t="str">
        <f>VLOOKUP(B158,'For Senior grades- 13 days'!B157:N342,13,0)</f>
        <v>Regional</v>
      </c>
      <c r="O158" s="67" t="s">
        <v>213</v>
      </c>
      <c r="P158" s="67"/>
      <c r="Q158" s="67"/>
      <c r="R158" s="67"/>
      <c r="S158" s="75"/>
      <c r="T158" s="67" t="str">
        <f>VLOOKUP(B158,'For Senior grades- 13 days'!B155:T324,19,0)</f>
        <v>Regional</v>
      </c>
      <c r="U158" s="67"/>
      <c r="V158" s="67" t="s">
        <v>213</v>
      </c>
      <c r="W158" s="67" t="str">
        <f>VLOOKUP(B158,'For Senior grades- 13 days'!B157:W340,22,0)</f>
        <v>Regional</v>
      </c>
      <c r="X158" s="67"/>
      <c r="Y158" s="76"/>
      <c r="Z158" s="67"/>
      <c r="AA158" s="67"/>
      <c r="AB158" s="67"/>
      <c r="AC158" s="67"/>
      <c r="AD158" s="67"/>
      <c r="AE158" s="67"/>
      <c r="AF158" s="75"/>
      <c r="AG158" s="67"/>
      <c r="AH158" s="67"/>
      <c r="AI158" s="67"/>
      <c r="AJ158" s="62" t="s">
        <v>213</v>
      </c>
      <c r="AK158" s="62"/>
    </row>
    <row r="159" spans="1:37" x14ac:dyDescent="0.3">
      <c r="A159" s="65">
        <v>153</v>
      </c>
      <c r="B159" s="63">
        <v>46338</v>
      </c>
      <c r="C159" s="66" t="s">
        <v>190</v>
      </c>
      <c r="D159" s="66" t="s">
        <v>191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75"/>
      <c r="T159" s="67"/>
      <c r="U159" s="67"/>
      <c r="V159" s="67"/>
      <c r="W159" s="67"/>
      <c r="X159" s="67"/>
      <c r="Y159" s="76"/>
      <c r="Z159" s="67"/>
      <c r="AA159" s="67"/>
      <c r="AB159" s="67"/>
      <c r="AC159" s="67"/>
      <c r="AD159" s="67"/>
      <c r="AE159" s="67"/>
      <c r="AF159" s="75"/>
      <c r="AG159" s="67"/>
      <c r="AH159" s="67"/>
      <c r="AI159" s="67"/>
      <c r="AJ159" s="62"/>
      <c r="AK159" s="62"/>
    </row>
    <row r="160" spans="1:37" x14ac:dyDescent="0.3">
      <c r="A160" s="65">
        <v>154</v>
      </c>
      <c r="B160" s="63">
        <v>46339</v>
      </c>
      <c r="C160" s="66" t="s">
        <v>157</v>
      </c>
      <c r="D160" s="66" t="s">
        <v>127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75"/>
      <c r="T160" s="67"/>
      <c r="U160" s="67"/>
      <c r="V160" s="67"/>
      <c r="W160" s="67"/>
      <c r="X160" s="74" t="s">
        <v>213</v>
      </c>
      <c r="Y160" s="76"/>
      <c r="Z160" s="67"/>
      <c r="AA160" s="67"/>
      <c r="AB160" s="67"/>
      <c r="AC160" s="67"/>
      <c r="AD160" s="67"/>
      <c r="AE160" s="67"/>
      <c r="AF160" s="75"/>
      <c r="AG160" s="67"/>
      <c r="AH160" s="67"/>
      <c r="AI160" s="67"/>
      <c r="AJ160" s="62"/>
      <c r="AK160" s="62"/>
    </row>
    <row r="161" spans="1:37" x14ac:dyDescent="0.3">
      <c r="A161" s="65">
        <v>155</v>
      </c>
      <c r="B161" s="63">
        <v>46341</v>
      </c>
      <c r="C161" s="66" t="s">
        <v>154</v>
      </c>
      <c r="D161" s="66" t="s">
        <v>63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 t="str">
        <f>VLOOKUP(B161,'For Senior grades- 13 days'!B160:N345,13,0)</f>
        <v>Regional-WE</v>
      </c>
      <c r="O161" s="67"/>
      <c r="P161" s="67"/>
      <c r="Q161" s="67" t="s">
        <v>219</v>
      </c>
      <c r="R161" s="67"/>
      <c r="S161" s="75"/>
      <c r="T161" s="67" t="str">
        <f>VLOOKUP(B161,'For Senior grades- 13 days'!B158:T327,19,0)</f>
        <v>Regional-WE</v>
      </c>
      <c r="U161" s="67"/>
      <c r="V161" s="67" t="s">
        <v>219</v>
      </c>
      <c r="W161" s="67"/>
      <c r="X161" s="67"/>
      <c r="Y161" s="76"/>
      <c r="Z161" s="67"/>
      <c r="AA161" s="67"/>
      <c r="AB161" s="67"/>
      <c r="AC161" s="67"/>
      <c r="AD161" s="67"/>
      <c r="AE161" s="67"/>
      <c r="AF161" s="75"/>
      <c r="AG161" s="67"/>
      <c r="AH161" s="67"/>
      <c r="AI161" s="67"/>
      <c r="AJ161" s="62"/>
      <c r="AK161" s="62"/>
    </row>
    <row r="162" spans="1:37" x14ac:dyDescent="0.3">
      <c r="A162" s="65">
        <v>156</v>
      </c>
      <c r="B162" s="63">
        <v>46342</v>
      </c>
      <c r="C162" s="66" t="s">
        <v>270</v>
      </c>
      <c r="D162" s="66" t="s">
        <v>98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 t="str">
        <f>VLOOKUP(B162,'For Senior grades- 13 days'!B161:N346,13,0)</f>
        <v>Regional</v>
      </c>
      <c r="O162" s="67" t="s">
        <v>213</v>
      </c>
      <c r="P162" s="67"/>
      <c r="Q162" s="74" t="s">
        <v>213</v>
      </c>
      <c r="R162" s="67"/>
      <c r="S162" s="75"/>
      <c r="T162" s="67"/>
      <c r="U162" s="67"/>
      <c r="V162" s="67"/>
      <c r="W162" s="67"/>
      <c r="X162" s="67"/>
      <c r="Y162" s="76"/>
      <c r="Z162" s="67"/>
      <c r="AA162" s="67"/>
      <c r="AB162" s="67"/>
      <c r="AC162" s="67"/>
      <c r="AD162" s="67"/>
      <c r="AE162" s="67"/>
      <c r="AF162" s="75"/>
      <c r="AG162" s="67"/>
      <c r="AH162" s="67"/>
      <c r="AI162" s="67"/>
      <c r="AJ162" s="62"/>
      <c r="AK162" s="62"/>
    </row>
    <row r="163" spans="1:37" x14ac:dyDescent="0.3">
      <c r="A163" s="65">
        <v>157</v>
      </c>
      <c r="B163" s="63">
        <v>46346</v>
      </c>
      <c r="C163" s="66" t="s">
        <v>271</v>
      </c>
      <c r="D163" s="66" t="s">
        <v>127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 t="s">
        <v>213</v>
      </c>
      <c r="P163" s="67"/>
      <c r="Q163" s="67"/>
      <c r="R163" s="67"/>
      <c r="S163" s="75"/>
      <c r="T163" s="67"/>
      <c r="U163" s="67"/>
      <c r="V163" s="67"/>
      <c r="W163" s="67"/>
      <c r="X163" s="67"/>
      <c r="Y163" s="76"/>
      <c r="Z163" s="67"/>
      <c r="AA163" s="67"/>
      <c r="AB163" s="67"/>
      <c r="AC163" s="67"/>
      <c r="AD163" s="67"/>
      <c r="AE163" s="67"/>
      <c r="AF163" s="75"/>
      <c r="AG163" s="67"/>
      <c r="AH163" s="67"/>
      <c r="AI163" s="67"/>
      <c r="AJ163" s="62"/>
      <c r="AK163" s="62"/>
    </row>
    <row r="164" spans="1:37" x14ac:dyDescent="0.3">
      <c r="A164" s="65">
        <v>158</v>
      </c>
      <c r="B164" s="63">
        <v>46349</v>
      </c>
      <c r="C164" s="66" t="s">
        <v>158</v>
      </c>
      <c r="D164" s="66" t="s">
        <v>98</v>
      </c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75"/>
      <c r="T164" s="67"/>
      <c r="U164" s="67"/>
      <c r="V164" s="67"/>
      <c r="W164" s="67"/>
      <c r="X164" s="67"/>
      <c r="Y164" s="76"/>
      <c r="Z164" s="67"/>
      <c r="AA164" s="67"/>
      <c r="AB164" s="67"/>
      <c r="AC164" s="67"/>
      <c r="AD164" s="67"/>
      <c r="AE164" s="67"/>
      <c r="AF164" s="75"/>
      <c r="AG164" s="67"/>
      <c r="AH164" s="67"/>
      <c r="AI164" s="67"/>
      <c r="AJ164" s="62"/>
      <c r="AK164" s="62"/>
    </row>
    <row r="165" spans="1:37" x14ac:dyDescent="0.3">
      <c r="A165" s="65">
        <v>159</v>
      </c>
      <c r="B165" s="63">
        <v>46350</v>
      </c>
      <c r="C165" s="66" t="s">
        <v>295</v>
      </c>
      <c r="D165" s="66" t="s">
        <v>101</v>
      </c>
      <c r="E165" s="67"/>
      <c r="F165" s="67"/>
      <c r="G165" s="67"/>
      <c r="H165" s="74" t="str">
        <f>VLOOKUP(B165,'For Senior grades- 13 days'!B164:H343,7,0)</f>
        <v>Regional</v>
      </c>
      <c r="I165" s="67"/>
      <c r="J165" s="74" t="str">
        <f>VLOOKUP(B165,'For Senior grades- 13 days'!B164:J344,9,0)</f>
        <v>Regional</v>
      </c>
      <c r="K165" s="67"/>
      <c r="L165" s="67" t="s">
        <v>213</v>
      </c>
      <c r="M165" s="67"/>
      <c r="N165" s="67" t="str">
        <f>VLOOKUP(B165,'For Senior grades- 13 days'!B164:N349,13,0)</f>
        <v>Regional</v>
      </c>
      <c r="O165" s="67" t="s">
        <v>213</v>
      </c>
      <c r="P165" s="67"/>
      <c r="Q165" s="67"/>
      <c r="R165" s="67"/>
      <c r="S165" s="74" t="s">
        <v>213</v>
      </c>
      <c r="T165" s="74" t="s">
        <v>213</v>
      </c>
      <c r="U165" s="67"/>
      <c r="V165" s="67" t="s">
        <v>213</v>
      </c>
      <c r="W165" s="67"/>
      <c r="X165" s="67"/>
      <c r="Y165" s="75" t="s">
        <v>213</v>
      </c>
      <c r="Z165" s="67"/>
      <c r="AA165" s="67" t="s">
        <v>213</v>
      </c>
      <c r="AB165" s="67"/>
      <c r="AC165" s="67"/>
      <c r="AD165" s="67" t="s">
        <v>213</v>
      </c>
      <c r="AE165" s="67"/>
      <c r="AF165" s="74" t="s">
        <v>213</v>
      </c>
      <c r="AG165" s="67"/>
      <c r="AH165" s="67"/>
      <c r="AI165" s="67"/>
      <c r="AJ165" s="80" t="s">
        <v>213</v>
      </c>
      <c r="AK165" s="62"/>
    </row>
    <row r="166" spans="1:37" x14ac:dyDescent="0.3">
      <c r="A166" s="65">
        <v>160</v>
      </c>
      <c r="B166" s="63">
        <v>46352</v>
      </c>
      <c r="C166" s="66" t="s">
        <v>229</v>
      </c>
      <c r="D166" s="66" t="s">
        <v>96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75"/>
      <c r="T166" s="67"/>
      <c r="U166" s="67"/>
      <c r="V166" s="67"/>
      <c r="W166" s="67"/>
      <c r="X166" s="67"/>
      <c r="Y166" s="76"/>
      <c r="Z166" s="67"/>
      <c r="AA166" s="67"/>
      <c r="AB166" s="67"/>
      <c r="AC166" s="67"/>
      <c r="AD166" s="67" t="s">
        <v>213</v>
      </c>
      <c r="AE166" s="67"/>
      <c r="AF166" s="75" t="s">
        <v>213</v>
      </c>
      <c r="AG166" s="67"/>
      <c r="AH166" s="67"/>
      <c r="AI166" s="67"/>
      <c r="AJ166" s="62"/>
      <c r="AK166" s="62"/>
    </row>
    <row r="167" spans="1:37" x14ac:dyDescent="0.3">
      <c r="A167" s="65">
        <v>161</v>
      </c>
      <c r="B167" s="63">
        <v>46353</v>
      </c>
      <c r="C167" s="66" t="s">
        <v>140</v>
      </c>
      <c r="D167" s="66" t="s">
        <v>127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75"/>
      <c r="T167" s="67"/>
      <c r="U167" s="67"/>
      <c r="V167" s="67"/>
      <c r="W167" s="67"/>
      <c r="X167" s="67"/>
      <c r="Y167" s="76"/>
      <c r="Z167" s="67"/>
      <c r="AA167" s="67"/>
      <c r="AB167" s="67"/>
      <c r="AC167" s="67"/>
      <c r="AD167" s="67" t="s">
        <v>213</v>
      </c>
      <c r="AE167" s="67"/>
      <c r="AF167" s="75" t="s">
        <v>213</v>
      </c>
      <c r="AG167" s="67"/>
      <c r="AH167" s="67"/>
      <c r="AI167" s="67"/>
      <c r="AJ167" s="62"/>
      <c r="AK167" s="62"/>
    </row>
    <row r="168" spans="1:37" x14ac:dyDescent="0.3">
      <c r="A168" s="65">
        <v>162</v>
      </c>
      <c r="B168" s="63">
        <v>46358</v>
      </c>
      <c r="C168" s="66" t="s">
        <v>301</v>
      </c>
      <c r="D168" s="66" t="s">
        <v>97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75"/>
      <c r="T168" s="67"/>
      <c r="U168" s="67"/>
      <c r="V168" s="67" t="s">
        <v>213</v>
      </c>
      <c r="W168" s="67"/>
      <c r="X168" s="67"/>
      <c r="Y168" s="76"/>
      <c r="Z168" s="67"/>
      <c r="AA168" s="67"/>
      <c r="AB168" s="67"/>
      <c r="AC168" s="67"/>
      <c r="AD168" s="67"/>
      <c r="AE168" s="67"/>
      <c r="AF168" s="75"/>
      <c r="AG168" s="67"/>
      <c r="AH168" s="67"/>
      <c r="AI168" s="67"/>
      <c r="AJ168" s="62"/>
      <c r="AK168" s="62"/>
    </row>
    <row r="169" spans="1:37" x14ac:dyDescent="0.3">
      <c r="A169" s="65">
        <v>163</v>
      </c>
      <c r="B169" s="63">
        <v>46359</v>
      </c>
      <c r="C169" s="66" t="s">
        <v>147</v>
      </c>
      <c r="D169" s="66" t="s">
        <v>96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75"/>
      <c r="T169" s="67"/>
      <c r="U169" s="67"/>
      <c r="V169" s="67"/>
      <c r="W169" s="67"/>
      <c r="X169" s="67"/>
      <c r="Y169" s="76"/>
      <c r="Z169" s="67"/>
      <c r="AA169" s="67"/>
      <c r="AB169" s="67"/>
      <c r="AC169" s="67"/>
      <c r="AD169" s="67"/>
      <c r="AE169" s="67"/>
      <c r="AF169" s="75"/>
      <c r="AG169" s="67"/>
      <c r="AH169" s="67"/>
      <c r="AI169" s="75" t="s">
        <v>213</v>
      </c>
      <c r="AJ169" s="62"/>
      <c r="AK169" s="62"/>
    </row>
    <row r="170" spans="1:37" x14ac:dyDescent="0.3">
      <c r="A170" s="65">
        <v>164</v>
      </c>
      <c r="B170" s="63">
        <v>46365</v>
      </c>
      <c r="C170" s="66" t="s">
        <v>195</v>
      </c>
      <c r="D170" s="66" t="s">
        <v>97</v>
      </c>
      <c r="E170" s="67"/>
      <c r="F170" s="67"/>
      <c r="G170" s="67"/>
      <c r="H170" s="67"/>
      <c r="I170" s="67"/>
      <c r="J170" s="74" t="str">
        <f>VLOOKUP(B170,'For Senior grades- 13 days'!B169:J349,9,0)</f>
        <v>Regional</v>
      </c>
      <c r="K170" s="67"/>
      <c r="L170" s="67"/>
      <c r="M170" s="67"/>
      <c r="N170" s="67"/>
      <c r="O170" s="67"/>
      <c r="P170" s="67"/>
      <c r="Q170" s="67"/>
      <c r="R170" s="67"/>
      <c r="S170" s="75"/>
      <c r="T170" s="67"/>
      <c r="U170" s="67"/>
      <c r="V170" s="67"/>
      <c r="W170" s="67"/>
      <c r="X170" s="67"/>
      <c r="Y170" s="76"/>
      <c r="Z170" s="67"/>
      <c r="AA170" s="67"/>
      <c r="AB170" s="67"/>
      <c r="AC170" s="67"/>
      <c r="AD170" s="67"/>
      <c r="AE170" s="67"/>
      <c r="AF170" s="75"/>
      <c r="AG170" s="67"/>
      <c r="AH170" s="67"/>
      <c r="AI170" s="75"/>
      <c r="AJ170" s="62"/>
      <c r="AK170" s="62"/>
    </row>
    <row r="171" spans="1:37" x14ac:dyDescent="0.3">
      <c r="A171" s="65">
        <v>165</v>
      </c>
      <c r="B171" s="63">
        <v>46366</v>
      </c>
      <c r="C171" s="66" t="s">
        <v>319</v>
      </c>
      <c r="D171" s="66" t="s">
        <v>96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 t="s">
        <v>213</v>
      </c>
      <c r="P171" s="67"/>
      <c r="Q171" s="67"/>
      <c r="R171" s="67"/>
      <c r="S171" s="75"/>
      <c r="T171" s="67"/>
      <c r="U171" s="67"/>
      <c r="V171" s="67"/>
      <c r="W171" s="67"/>
      <c r="X171" s="67"/>
      <c r="Y171" s="76"/>
      <c r="Z171" s="67"/>
      <c r="AA171" s="75" t="s">
        <v>213</v>
      </c>
      <c r="AB171" s="67"/>
      <c r="AC171" s="67"/>
      <c r="AD171" s="67"/>
      <c r="AE171" s="67"/>
      <c r="AF171" s="75"/>
      <c r="AG171" s="67"/>
      <c r="AH171" s="67"/>
      <c r="AI171" s="67"/>
      <c r="AJ171" s="62"/>
      <c r="AK171" s="62"/>
    </row>
    <row r="172" spans="1:37" x14ac:dyDescent="0.3">
      <c r="A172" s="65">
        <v>166</v>
      </c>
      <c r="B172" s="63">
        <v>46367</v>
      </c>
      <c r="C172" s="66" t="s">
        <v>312</v>
      </c>
      <c r="D172" s="66" t="s">
        <v>127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75"/>
      <c r="T172" s="67"/>
      <c r="U172" s="67"/>
      <c r="V172" s="67"/>
      <c r="W172" s="67"/>
      <c r="X172" s="67"/>
      <c r="Y172" s="76"/>
      <c r="Z172" s="67"/>
      <c r="AA172" s="75" t="s">
        <v>213</v>
      </c>
      <c r="AB172" s="67"/>
      <c r="AC172" s="67"/>
      <c r="AD172" s="67"/>
      <c r="AE172" s="67"/>
      <c r="AF172" s="75"/>
      <c r="AG172" s="67"/>
      <c r="AH172" s="67"/>
      <c r="AI172" s="67"/>
      <c r="AJ172" s="62"/>
      <c r="AK172" s="62"/>
    </row>
    <row r="173" spans="1:37" x14ac:dyDescent="0.3">
      <c r="A173" s="65">
        <v>167</v>
      </c>
      <c r="B173" s="63">
        <v>46368</v>
      </c>
      <c r="C173" s="66" t="s">
        <v>159</v>
      </c>
      <c r="D173" s="66" t="s">
        <v>64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75"/>
      <c r="T173" s="67"/>
      <c r="U173" s="67"/>
      <c r="V173" s="67"/>
      <c r="W173" s="67" t="str">
        <f>VLOOKUP(B173,'For Senior grades- 13 days'!B172:W355,22,0)</f>
        <v>Regional-WE</v>
      </c>
      <c r="X173" s="67" t="s">
        <v>219</v>
      </c>
      <c r="Y173" s="76"/>
      <c r="Z173" s="67"/>
      <c r="AA173" s="67"/>
      <c r="AB173" s="67"/>
      <c r="AC173" s="67"/>
      <c r="AD173" s="67"/>
      <c r="AE173" s="67"/>
      <c r="AF173" s="75"/>
      <c r="AG173" s="67"/>
      <c r="AH173" s="67"/>
      <c r="AI173" s="67"/>
      <c r="AJ173" s="62"/>
      <c r="AK173" s="62"/>
    </row>
    <row r="174" spans="1:37" x14ac:dyDescent="0.3">
      <c r="A174" s="65">
        <v>168</v>
      </c>
      <c r="B174" s="63">
        <v>46369</v>
      </c>
      <c r="C174" s="66" t="s">
        <v>294</v>
      </c>
      <c r="D174" s="66" t="s">
        <v>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 t="s">
        <v>213</v>
      </c>
      <c r="R174" s="67"/>
      <c r="S174" s="75"/>
      <c r="T174" s="67"/>
      <c r="U174" s="67"/>
      <c r="V174" s="67"/>
      <c r="W174" s="67"/>
      <c r="X174" s="67"/>
      <c r="Y174" s="76"/>
      <c r="Z174" s="67"/>
      <c r="AA174" s="67"/>
      <c r="AB174" s="67"/>
      <c r="AC174" s="67"/>
      <c r="AD174" s="67"/>
      <c r="AE174" s="67"/>
      <c r="AF174" s="75"/>
      <c r="AG174" s="67"/>
      <c r="AH174" s="67"/>
      <c r="AI174" s="67"/>
      <c r="AJ174" s="62"/>
      <c r="AK174" s="62"/>
    </row>
    <row r="175" spans="1:37" x14ac:dyDescent="0.3">
      <c r="A175" s="65">
        <v>169</v>
      </c>
      <c r="B175" s="63">
        <v>46370</v>
      </c>
      <c r="C175" s="66" t="s">
        <v>273</v>
      </c>
      <c r="D175" s="66" t="s">
        <v>98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 t="s">
        <v>213</v>
      </c>
      <c r="P175" s="67"/>
      <c r="Q175" s="67"/>
      <c r="R175" s="67"/>
      <c r="S175" s="75"/>
      <c r="T175" s="67"/>
      <c r="U175" s="67"/>
      <c r="V175" s="67"/>
      <c r="W175" s="67"/>
      <c r="X175" s="67"/>
      <c r="Y175" s="76"/>
      <c r="Z175" s="67"/>
      <c r="AA175" s="67"/>
      <c r="AB175" s="67"/>
      <c r="AC175" s="67"/>
      <c r="AD175" s="67"/>
      <c r="AE175" s="67"/>
      <c r="AF175" s="75"/>
      <c r="AG175" s="67"/>
      <c r="AH175" s="67"/>
      <c r="AI175" s="67"/>
      <c r="AJ175" s="62"/>
      <c r="AK175" s="62"/>
    </row>
    <row r="176" spans="1:37" x14ac:dyDescent="0.3">
      <c r="A176" s="65">
        <v>170</v>
      </c>
      <c r="B176" s="63">
        <v>46371</v>
      </c>
      <c r="C176" s="66" t="s">
        <v>313</v>
      </c>
      <c r="D176" s="66" t="s">
        <v>101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75"/>
      <c r="T176" s="67"/>
      <c r="U176" s="67"/>
      <c r="V176" s="67"/>
      <c r="W176" s="67"/>
      <c r="X176" s="67"/>
      <c r="Y176" s="76"/>
      <c r="Z176" s="67"/>
      <c r="AA176" s="67" t="s">
        <v>213</v>
      </c>
      <c r="AB176" s="67"/>
      <c r="AC176" s="67"/>
      <c r="AD176" s="67"/>
      <c r="AE176" s="67"/>
      <c r="AF176" s="75"/>
      <c r="AG176" s="67"/>
      <c r="AH176" s="67"/>
      <c r="AI176" s="67"/>
      <c r="AJ176" s="62"/>
      <c r="AK176" s="62"/>
    </row>
    <row r="177" spans="1:16352" x14ac:dyDescent="0.3">
      <c r="A177" s="65">
        <v>171</v>
      </c>
      <c r="B177" s="63">
        <v>46372</v>
      </c>
      <c r="C177" s="66" t="s">
        <v>314</v>
      </c>
      <c r="D177" s="66" t="s">
        <v>97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 t="str">
        <f>VLOOKUP(B177,'For Senior grades- 13 days'!B176:N361,13,0)</f>
        <v>Regional</v>
      </c>
      <c r="O177" s="67"/>
      <c r="P177" s="67"/>
      <c r="Q177" s="67"/>
      <c r="R177" s="67"/>
      <c r="S177" s="75"/>
      <c r="T177" s="67"/>
      <c r="U177" s="67"/>
      <c r="V177" s="67"/>
      <c r="W177" s="67"/>
      <c r="X177" s="67"/>
      <c r="Y177" s="76"/>
      <c r="Z177" s="67"/>
      <c r="AA177" s="67" t="s">
        <v>213</v>
      </c>
      <c r="AB177" s="67"/>
      <c r="AC177" s="67"/>
      <c r="AD177" s="67"/>
      <c r="AE177" s="67"/>
      <c r="AF177" s="75"/>
      <c r="AG177" s="67"/>
      <c r="AH177" s="67"/>
      <c r="AI177" s="67"/>
      <c r="AJ177" s="62"/>
      <c r="AK177" s="62"/>
    </row>
    <row r="178" spans="1:16352" x14ac:dyDescent="0.3">
      <c r="A178" s="65">
        <v>172</v>
      </c>
      <c r="B178" s="63">
        <v>46374</v>
      </c>
      <c r="C178" s="66" t="s">
        <v>274</v>
      </c>
      <c r="D178" s="66" t="s">
        <v>127</v>
      </c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 t="s">
        <v>213</v>
      </c>
      <c r="P178" s="67"/>
      <c r="Q178" s="67"/>
      <c r="R178" s="67"/>
      <c r="S178" s="75"/>
      <c r="T178" s="67"/>
      <c r="U178" s="67"/>
      <c r="V178" s="67"/>
      <c r="W178" s="67"/>
      <c r="X178" s="67"/>
      <c r="Y178" s="76"/>
      <c r="Z178" s="67"/>
      <c r="AA178" s="67"/>
      <c r="AB178" s="67"/>
      <c r="AC178" s="67"/>
      <c r="AD178" s="67"/>
      <c r="AE178" s="67"/>
      <c r="AF178" s="75"/>
      <c r="AG178" s="67"/>
      <c r="AH178" s="67"/>
      <c r="AI178" s="67"/>
      <c r="AJ178" s="62"/>
      <c r="AK178" s="62"/>
    </row>
    <row r="179" spans="1:16352" x14ac:dyDescent="0.3">
      <c r="A179" s="65">
        <v>173</v>
      </c>
      <c r="B179" s="63">
        <v>46375</v>
      </c>
      <c r="C179" s="66" t="s">
        <v>148</v>
      </c>
      <c r="D179" s="66" t="s">
        <v>64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75"/>
      <c r="T179" s="67"/>
      <c r="U179" s="67"/>
      <c r="V179" s="67"/>
      <c r="W179" s="67"/>
      <c r="X179" s="67"/>
      <c r="Y179" s="76"/>
      <c r="Z179" s="67"/>
      <c r="AA179" s="67"/>
      <c r="AB179" s="67"/>
      <c r="AC179" s="67"/>
      <c r="AD179" s="67"/>
      <c r="AE179" s="67"/>
      <c r="AF179" s="75"/>
      <c r="AG179" s="67"/>
      <c r="AH179" s="67"/>
      <c r="AI179" s="67" t="s">
        <v>219</v>
      </c>
      <c r="AJ179" s="62"/>
      <c r="AK179" s="62"/>
    </row>
    <row r="180" spans="1:16352" x14ac:dyDescent="0.3">
      <c r="A180" s="65">
        <v>174</v>
      </c>
      <c r="B180" s="63">
        <v>46379</v>
      </c>
      <c r="C180" s="66" t="s">
        <v>275</v>
      </c>
      <c r="D180" s="66" t="s">
        <v>97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 t="str">
        <f>VLOOKUP(B180,'For Senior grades- 13 days'!B179:N364,13,0)</f>
        <v>Regional</v>
      </c>
      <c r="O180" s="67" t="s">
        <v>213</v>
      </c>
      <c r="P180" s="67"/>
      <c r="Q180" s="67"/>
      <c r="R180" s="67"/>
      <c r="S180" s="75"/>
      <c r="T180" s="67"/>
      <c r="U180" s="67"/>
      <c r="V180" s="67"/>
      <c r="W180" s="67"/>
      <c r="X180" s="67"/>
      <c r="Y180" s="76"/>
      <c r="Z180" s="67"/>
      <c r="AA180" s="67" t="s">
        <v>213</v>
      </c>
      <c r="AB180" s="67"/>
      <c r="AC180" s="67"/>
      <c r="AD180" s="67"/>
      <c r="AE180" s="67"/>
      <c r="AF180" s="75"/>
      <c r="AG180" s="67"/>
      <c r="AH180" s="67"/>
      <c r="AI180" s="67"/>
      <c r="AJ180" s="62"/>
      <c r="AK180" s="62"/>
    </row>
    <row r="181" spans="1:16352" x14ac:dyDescent="0.3">
      <c r="A181" s="65">
        <v>175</v>
      </c>
      <c r="B181" s="63">
        <v>46380</v>
      </c>
      <c r="C181" s="66" t="s">
        <v>230</v>
      </c>
      <c r="D181" s="66" t="s">
        <v>96</v>
      </c>
      <c r="E181" s="67"/>
      <c r="F181" s="67"/>
      <c r="G181" s="67"/>
      <c r="H181" s="67" t="str">
        <f>VLOOKUP(B181,'For Senior grades- 13 days'!B180:H358,7,0)</f>
        <v>Optional</v>
      </c>
      <c r="I181" s="67"/>
      <c r="J181" s="67"/>
      <c r="K181" s="67"/>
      <c r="L181" s="67"/>
      <c r="M181" s="67"/>
      <c r="N181" s="67" t="str">
        <f>VLOOKUP(B181,'For Senior grades- 13 days'!B180:N365,13,0)</f>
        <v>Regional</v>
      </c>
      <c r="O181" s="67"/>
      <c r="P181" s="67"/>
      <c r="Q181" s="67" t="s">
        <v>213</v>
      </c>
      <c r="R181" s="67"/>
      <c r="S181" s="75"/>
      <c r="T181" s="67"/>
      <c r="U181" s="67"/>
      <c r="V181" s="67"/>
      <c r="W181" s="67"/>
      <c r="X181" s="74" t="s">
        <v>213</v>
      </c>
      <c r="Y181" s="75" t="s">
        <v>213</v>
      </c>
      <c r="Z181" s="67"/>
      <c r="AA181" s="67"/>
      <c r="AB181" s="67"/>
      <c r="AC181" s="67"/>
      <c r="AD181" s="67" t="s">
        <v>213</v>
      </c>
      <c r="AE181" s="67"/>
      <c r="AF181" s="75" t="s">
        <v>213</v>
      </c>
      <c r="AG181" s="67"/>
      <c r="AH181" s="67"/>
      <c r="AI181" s="67"/>
      <c r="AJ181" s="62"/>
      <c r="AK181" s="62"/>
    </row>
    <row r="182" spans="1:16352" x14ac:dyDescent="0.3">
      <c r="A182" s="65">
        <v>176</v>
      </c>
      <c r="B182" s="63">
        <v>46381</v>
      </c>
      <c r="C182" s="66" t="s">
        <v>126</v>
      </c>
      <c r="D182" s="66" t="s">
        <v>127</v>
      </c>
      <c r="E182" s="67"/>
      <c r="F182" s="67"/>
      <c r="G182" s="67"/>
      <c r="H182" s="74" t="str">
        <f>VLOOKUP(B182,'For Senior grades- 13 days'!B181:H359,7,0)</f>
        <v>Regional</v>
      </c>
      <c r="I182" s="67"/>
      <c r="J182" s="74" t="str">
        <f>VLOOKUP(B182,'For Senior grades- 13 days'!B181:J361,9,0)</f>
        <v>Regional</v>
      </c>
      <c r="K182" s="67"/>
      <c r="L182" s="74" t="s">
        <v>213</v>
      </c>
      <c r="M182" s="67"/>
      <c r="N182" s="74" t="str">
        <f>VLOOKUP(B182,'For Senior grades- 13 days'!B181:N366,13,0)</f>
        <v>Regional</v>
      </c>
      <c r="O182" s="74" t="s">
        <v>213</v>
      </c>
      <c r="P182" s="67"/>
      <c r="Q182" s="74" t="s">
        <v>213</v>
      </c>
      <c r="R182" s="67"/>
      <c r="S182" s="74" t="s">
        <v>213</v>
      </c>
      <c r="T182" s="74" t="s">
        <v>213</v>
      </c>
      <c r="U182" s="67"/>
      <c r="V182" s="74" t="s">
        <v>213</v>
      </c>
      <c r="W182" s="74" t="str">
        <f>VLOOKUP(B182,'For Senior grades- 13 days'!B181:W364,22,0)</f>
        <v>Regional</v>
      </c>
      <c r="X182" s="74" t="s">
        <v>213</v>
      </c>
      <c r="Y182" s="74" t="s">
        <v>213</v>
      </c>
      <c r="Z182" s="67"/>
      <c r="AA182" s="74" t="s">
        <v>213</v>
      </c>
      <c r="AB182" s="67"/>
      <c r="AC182" s="67"/>
      <c r="AD182" s="74" t="s">
        <v>213</v>
      </c>
      <c r="AE182" s="67"/>
      <c r="AF182" s="74" t="s">
        <v>213</v>
      </c>
      <c r="AG182" s="74" t="s">
        <v>213</v>
      </c>
      <c r="AH182" s="67"/>
      <c r="AI182" s="74" t="s">
        <v>213</v>
      </c>
      <c r="AJ182" s="80" t="s">
        <v>213</v>
      </c>
      <c r="AK182" s="62"/>
    </row>
    <row r="183" spans="1:16352" x14ac:dyDescent="0.3">
      <c r="A183" s="65">
        <v>177</v>
      </c>
      <c r="B183" s="63">
        <v>46382</v>
      </c>
      <c r="C183" s="66" t="s">
        <v>304</v>
      </c>
      <c r="D183" s="66" t="s">
        <v>64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75"/>
      <c r="T183" s="67"/>
      <c r="U183" s="67"/>
      <c r="V183" s="67"/>
      <c r="W183" s="67"/>
      <c r="X183" s="67" t="s">
        <v>219</v>
      </c>
      <c r="Y183" s="75" t="s">
        <v>219</v>
      </c>
      <c r="Z183" s="67"/>
      <c r="AA183" s="67"/>
      <c r="AB183" s="67"/>
      <c r="AC183" s="67"/>
      <c r="AD183" s="67"/>
      <c r="AE183" s="67"/>
      <c r="AF183" s="75"/>
      <c r="AG183" s="67"/>
      <c r="AH183" s="67"/>
      <c r="AI183" s="67"/>
      <c r="AJ183" s="62"/>
      <c r="AK183" s="62"/>
    </row>
    <row r="184" spans="1:16352" x14ac:dyDescent="0.3">
      <c r="A184" s="65">
        <v>178</v>
      </c>
      <c r="B184" s="63">
        <v>46383</v>
      </c>
      <c r="C184" s="66" t="s">
        <v>304</v>
      </c>
      <c r="D184" s="66" t="s">
        <v>63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75"/>
      <c r="T184" s="67"/>
      <c r="U184" s="67"/>
      <c r="V184" s="67"/>
      <c r="W184" s="67"/>
      <c r="X184" s="67" t="s">
        <v>219</v>
      </c>
      <c r="Y184" s="76"/>
      <c r="Z184" s="67"/>
      <c r="AA184" s="67"/>
      <c r="AB184" s="67"/>
      <c r="AC184" s="67"/>
      <c r="AD184" s="67"/>
      <c r="AE184" s="67"/>
      <c r="AF184" s="75"/>
      <c r="AG184" s="67"/>
      <c r="AH184" s="67"/>
      <c r="AI184" s="67"/>
      <c r="AJ184" s="62"/>
      <c r="AK184" s="62"/>
    </row>
    <row r="185" spans="1:16352" x14ac:dyDescent="0.3">
      <c r="A185" s="65">
        <v>179</v>
      </c>
      <c r="B185" s="63">
        <v>46384</v>
      </c>
      <c r="C185" s="66" t="s">
        <v>315</v>
      </c>
      <c r="D185" s="66" t="s">
        <v>98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75"/>
      <c r="T185" s="67"/>
      <c r="U185" s="67"/>
      <c r="V185" s="67"/>
      <c r="W185" s="67"/>
      <c r="X185" s="67"/>
      <c r="Y185" s="76"/>
      <c r="Z185" s="67"/>
      <c r="AA185" s="67" t="s">
        <v>213</v>
      </c>
      <c r="AB185" s="67"/>
      <c r="AC185" s="67"/>
      <c r="AD185" s="67"/>
      <c r="AE185" s="67"/>
      <c r="AF185" s="75"/>
      <c r="AG185" s="67"/>
      <c r="AH185" s="67"/>
      <c r="AI185" s="67"/>
      <c r="AJ185" s="62"/>
      <c r="AK185" s="62"/>
    </row>
    <row r="186" spans="1:16352" x14ac:dyDescent="0.3">
      <c r="A186" s="65">
        <v>180</v>
      </c>
      <c r="B186" s="64">
        <v>46386</v>
      </c>
      <c r="C186" s="65" t="s">
        <v>161</v>
      </c>
      <c r="D186" s="65" t="s">
        <v>97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75"/>
      <c r="T186" s="67"/>
      <c r="U186" s="67"/>
      <c r="V186" s="67"/>
      <c r="W186" s="67"/>
      <c r="X186" s="67"/>
      <c r="Y186" s="76"/>
      <c r="Z186" s="67"/>
      <c r="AA186" s="67" t="s">
        <v>213</v>
      </c>
      <c r="AB186" s="67"/>
      <c r="AC186" s="67"/>
      <c r="AD186" s="67"/>
      <c r="AE186" s="67"/>
      <c r="AF186" s="75"/>
      <c r="AG186" s="67"/>
      <c r="AH186" s="67"/>
      <c r="AI186" s="67"/>
      <c r="AJ186" s="62"/>
      <c r="AK186" s="62"/>
    </row>
    <row r="187" spans="1:16352" x14ac:dyDescent="0.3">
      <c r="A187" s="65">
        <v>181</v>
      </c>
      <c r="B187" s="64">
        <v>46387</v>
      </c>
      <c r="C187" s="65" t="s">
        <v>167</v>
      </c>
      <c r="D187" s="65" t="s">
        <v>96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75"/>
      <c r="T187" s="67"/>
      <c r="U187" s="67"/>
      <c r="V187" s="67"/>
      <c r="W187" s="67"/>
      <c r="X187" s="67"/>
      <c r="Y187" s="74" t="s">
        <v>213</v>
      </c>
      <c r="Z187" s="67"/>
      <c r="AA187" s="67"/>
      <c r="AB187" s="67"/>
      <c r="AC187" s="67"/>
      <c r="AD187" s="67"/>
      <c r="AE187" s="67"/>
      <c r="AF187" s="75"/>
      <c r="AG187" s="67"/>
      <c r="AH187" s="67"/>
      <c r="AI187" s="67"/>
      <c r="AJ187" s="62"/>
      <c r="AK187" s="62"/>
    </row>
    <row r="188" spans="1:16352" s="85" customFormat="1" ht="12.5" customHeight="1" x14ac:dyDescent="0.35">
      <c r="A188" s="83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  <c r="FU188" s="84"/>
      <c r="FV188" s="84"/>
      <c r="FW188" s="84"/>
      <c r="FX188" s="84"/>
      <c r="FY188" s="84"/>
      <c r="FZ188" s="84"/>
      <c r="GA188" s="84"/>
      <c r="GB188" s="84"/>
      <c r="GC188" s="84"/>
      <c r="GD188" s="84"/>
      <c r="GE188" s="84"/>
      <c r="GF188" s="84"/>
      <c r="GG188" s="84"/>
      <c r="GH188" s="84"/>
      <c r="GI188" s="84"/>
      <c r="GJ188" s="84"/>
      <c r="GK188" s="84"/>
      <c r="GL188" s="84"/>
      <c r="GM188" s="84"/>
      <c r="GN188" s="84"/>
      <c r="GO188" s="84"/>
      <c r="GP188" s="84"/>
      <c r="GQ188" s="84"/>
      <c r="GR188" s="84"/>
      <c r="GS188" s="84"/>
      <c r="GT188" s="84"/>
      <c r="GU188" s="84"/>
      <c r="GV188" s="84"/>
      <c r="GW188" s="84"/>
      <c r="GX188" s="84"/>
      <c r="GY188" s="84"/>
      <c r="GZ188" s="84"/>
      <c r="HA188" s="84"/>
      <c r="HB188" s="84"/>
      <c r="HC188" s="84"/>
      <c r="HD188" s="84"/>
      <c r="HE188" s="84"/>
      <c r="HF188" s="84"/>
      <c r="HG188" s="84"/>
      <c r="HH188" s="84"/>
      <c r="HI188" s="84"/>
      <c r="HJ188" s="84"/>
      <c r="HK188" s="84"/>
      <c r="HL188" s="84"/>
      <c r="HM188" s="84"/>
      <c r="HN188" s="84"/>
      <c r="HO188" s="84"/>
      <c r="HP188" s="84"/>
      <c r="HQ188" s="84"/>
      <c r="HR188" s="84"/>
      <c r="HS188" s="84"/>
      <c r="HT188" s="84"/>
      <c r="HU188" s="84"/>
      <c r="HV188" s="84"/>
      <c r="HW188" s="84"/>
      <c r="HX188" s="84"/>
      <c r="HY188" s="84"/>
      <c r="HZ188" s="84"/>
      <c r="IA188" s="84"/>
      <c r="IB188" s="84"/>
      <c r="IC188" s="84"/>
      <c r="ID188" s="84"/>
      <c r="IE188" s="84"/>
      <c r="IF188" s="84"/>
      <c r="IG188" s="84"/>
      <c r="IH188" s="84"/>
      <c r="II188" s="84"/>
      <c r="IJ188" s="84"/>
      <c r="IK188" s="84"/>
      <c r="IL188" s="84"/>
      <c r="IM188" s="84"/>
      <c r="IN188" s="84"/>
      <c r="IO188" s="84"/>
      <c r="IP188" s="84"/>
      <c r="IQ188" s="84"/>
      <c r="IR188" s="84"/>
      <c r="IS188" s="84"/>
      <c r="IT188" s="84"/>
      <c r="IU188" s="84"/>
      <c r="IV188" s="84"/>
      <c r="IW188" s="84"/>
      <c r="IX188" s="84"/>
      <c r="IY188" s="84"/>
      <c r="IZ188" s="84"/>
      <c r="JA188" s="84"/>
      <c r="JB188" s="84"/>
      <c r="JC188" s="84"/>
      <c r="JD188" s="84"/>
      <c r="JE188" s="84"/>
      <c r="JF188" s="84"/>
      <c r="JG188" s="84"/>
      <c r="JH188" s="84"/>
      <c r="JI188" s="84"/>
      <c r="JJ188" s="84"/>
      <c r="JK188" s="84"/>
      <c r="JL188" s="84"/>
      <c r="JM188" s="84"/>
      <c r="JN188" s="84"/>
      <c r="JO188" s="84"/>
      <c r="JP188" s="84"/>
      <c r="JQ188" s="84"/>
      <c r="JR188" s="84"/>
      <c r="JS188" s="84"/>
      <c r="JT188" s="84"/>
      <c r="JU188" s="84"/>
      <c r="JV188" s="84"/>
      <c r="JW188" s="84"/>
      <c r="JX188" s="84"/>
      <c r="JY188" s="84"/>
      <c r="JZ188" s="84"/>
      <c r="KA188" s="84"/>
      <c r="KB188" s="84"/>
      <c r="KC188" s="84"/>
      <c r="KD188" s="84"/>
      <c r="KE188" s="84"/>
      <c r="KF188" s="84"/>
      <c r="KG188" s="84"/>
      <c r="KH188" s="84"/>
      <c r="KI188" s="84"/>
      <c r="KJ188" s="84"/>
      <c r="KK188" s="84"/>
      <c r="KL188" s="84"/>
      <c r="KM188" s="84"/>
      <c r="KN188" s="84"/>
      <c r="KO188" s="84"/>
      <c r="KP188" s="84"/>
      <c r="KQ188" s="84"/>
      <c r="KR188" s="84"/>
      <c r="KS188" s="84"/>
      <c r="KT188" s="84"/>
      <c r="KU188" s="84"/>
      <c r="KV188" s="84"/>
      <c r="KW188" s="84"/>
      <c r="KX188" s="84"/>
      <c r="KY188" s="84"/>
      <c r="KZ188" s="84"/>
      <c r="LA188" s="84"/>
      <c r="LB188" s="84"/>
      <c r="LC188" s="84"/>
      <c r="LD188" s="84"/>
      <c r="LE188" s="84"/>
      <c r="LF188" s="84"/>
      <c r="LG188" s="84"/>
      <c r="LH188" s="84"/>
      <c r="LI188" s="84"/>
      <c r="LJ188" s="84"/>
      <c r="LK188" s="84"/>
      <c r="LL188" s="84"/>
      <c r="LM188" s="84"/>
      <c r="LN188" s="84"/>
      <c r="LO188" s="84"/>
      <c r="LP188" s="84"/>
      <c r="LQ188" s="84"/>
      <c r="LR188" s="84"/>
      <c r="LS188" s="84"/>
      <c r="LT188" s="84"/>
      <c r="LU188" s="84"/>
      <c r="LV188" s="84"/>
      <c r="LW188" s="84"/>
      <c r="LX188" s="84"/>
      <c r="LY188" s="84"/>
      <c r="LZ188" s="84"/>
      <c r="MA188" s="84"/>
      <c r="MB188" s="84"/>
      <c r="MC188" s="84"/>
      <c r="MD188" s="84"/>
      <c r="ME188" s="84"/>
      <c r="MF188" s="84"/>
      <c r="MG188" s="84"/>
      <c r="MH188" s="84"/>
      <c r="MI188" s="84"/>
      <c r="MJ188" s="84"/>
      <c r="MK188" s="84"/>
      <c r="ML188" s="84"/>
      <c r="MM188" s="84"/>
      <c r="MN188" s="84"/>
      <c r="MO188" s="84"/>
      <c r="MP188" s="84"/>
      <c r="MQ188" s="84"/>
      <c r="MR188" s="84"/>
      <c r="MS188" s="84"/>
      <c r="MT188" s="84"/>
      <c r="MU188" s="84"/>
      <c r="MV188" s="84"/>
      <c r="MW188" s="84"/>
      <c r="MX188" s="84"/>
      <c r="MY188" s="84"/>
      <c r="MZ188" s="84"/>
      <c r="NA188" s="84"/>
      <c r="NB188" s="84"/>
      <c r="NC188" s="84"/>
      <c r="ND188" s="84"/>
      <c r="NE188" s="84"/>
      <c r="NF188" s="84"/>
      <c r="NG188" s="84"/>
      <c r="NH188" s="84"/>
      <c r="NI188" s="84"/>
      <c r="NJ188" s="84"/>
      <c r="NK188" s="84"/>
      <c r="NL188" s="84"/>
      <c r="NM188" s="84"/>
      <c r="NN188" s="84"/>
      <c r="NO188" s="84"/>
      <c r="NP188" s="84"/>
      <c r="NQ188" s="84"/>
      <c r="NR188" s="84"/>
      <c r="NS188" s="84"/>
      <c r="NT188" s="84"/>
      <c r="NU188" s="84"/>
      <c r="NV188" s="84"/>
      <c r="NW188" s="84"/>
      <c r="NX188" s="84"/>
      <c r="NY188" s="84"/>
      <c r="NZ188" s="84"/>
      <c r="OA188" s="84"/>
      <c r="OB188" s="84"/>
      <c r="OC188" s="84"/>
      <c r="OD188" s="84"/>
      <c r="OE188" s="84"/>
      <c r="OF188" s="84"/>
      <c r="OG188" s="84"/>
      <c r="OH188" s="84"/>
      <c r="OI188" s="84"/>
      <c r="OJ188" s="84"/>
      <c r="OK188" s="84"/>
      <c r="OL188" s="84"/>
      <c r="OM188" s="84"/>
      <c r="ON188" s="84"/>
      <c r="OO188" s="84"/>
      <c r="OP188" s="84"/>
      <c r="OQ188" s="84"/>
      <c r="OR188" s="84"/>
      <c r="OS188" s="84"/>
      <c r="OT188" s="84"/>
      <c r="OU188" s="84"/>
      <c r="OV188" s="84"/>
      <c r="OW188" s="84"/>
      <c r="OX188" s="84"/>
      <c r="OY188" s="84"/>
      <c r="OZ188" s="84"/>
      <c r="PA188" s="84"/>
      <c r="PB188" s="84"/>
      <c r="PC188" s="84"/>
      <c r="PD188" s="84"/>
      <c r="PE188" s="84"/>
      <c r="PF188" s="84"/>
      <c r="PG188" s="84"/>
      <c r="PH188" s="84"/>
      <c r="PI188" s="84"/>
      <c r="PJ188" s="84"/>
      <c r="PK188" s="84"/>
      <c r="PL188" s="84"/>
      <c r="PM188" s="84"/>
      <c r="PN188" s="84"/>
      <c r="PO188" s="84"/>
      <c r="PP188" s="84"/>
      <c r="PQ188" s="84"/>
      <c r="PR188" s="84"/>
      <c r="PS188" s="84"/>
      <c r="PT188" s="84"/>
      <c r="PU188" s="84"/>
      <c r="PV188" s="84"/>
      <c r="PW188" s="84"/>
      <c r="PX188" s="84"/>
      <c r="PY188" s="84"/>
      <c r="PZ188" s="84"/>
      <c r="QA188" s="84"/>
      <c r="QB188" s="84"/>
      <c r="QC188" s="84"/>
      <c r="QD188" s="84"/>
      <c r="QE188" s="84"/>
      <c r="QF188" s="84"/>
      <c r="QG188" s="84"/>
      <c r="QH188" s="84"/>
      <c r="QI188" s="84"/>
      <c r="QJ188" s="84"/>
      <c r="QK188" s="84"/>
      <c r="QL188" s="84"/>
      <c r="QM188" s="84"/>
      <c r="QN188" s="84"/>
      <c r="QO188" s="84"/>
      <c r="QP188" s="84"/>
      <c r="QQ188" s="84"/>
      <c r="QR188" s="84"/>
      <c r="QS188" s="84"/>
      <c r="QT188" s="84"/>
      <c r="QU188" s="84"/>
      <c r="QV188" s="84"/>
      <c r="QW188" s="84"/>
      <c r="QX188" s="84"/>
      <c r="QY188" s="84"/>
      <c r="QZ188" s="84"/>
      <c r="RA188" s="84"/>
      <c r="RB188" s="84"/>
      <c r="RC188" s="84"/>
      <c r="RD188" s="84"/>
      <c r="RE188" s="84"/>
      <c r="RF188" s="84"/>
      <c r="RG188" s="84"/>
      <c r="RH188" s="84"/>
      <c r="RI188" s="84"/>
      <c r="RJ188" s="84"/>
      <c r="RK188" s="84"/>
      <c r="RL188" s="84"/>
      <c r="RM188" s="84"/>
      <c r="RN188" s="84"/>
      <c r="RO188" s="84"/>
      <c r="RP188" s="84"/>
      <c r="RQ188" s="84"/>
      <c r="RR188" s="84"/>
      <c r="RS188" s="84"/>
      <c r="RT188" s="84"/>
      <c r="RU188" s="84"/>
      <c r="RV188" s="84"/>
      <c r="RW188" s="84"/>
      <c r="RX188" s="84"/>
      <c r="RY188" s="84"/>
      <c r="RZ188" s="84"/>
      <c r="SA188" s="84"/>
      <c r="SB188" s="84"/>
      <c r="SC188" s="84"/>
      <c r="SD188" s="84"/>
      <c r="SE188" s="84"/>
      <c r="SF188" s="84"/>
      <c r="SG188" s="84"/>
      <c r="SH188" s="84"/>
      <c r="SI188" s="84"/>
      <c r="SJ188" s="84"/>
      <c r="SK188" s="84"/>
      <c r="SL188" s="84"/>
      <c r="SM188" s="84"/>
      <c r="SN188" s="84"/>
      <c r="SO188" s="84"/>
      <c r="SP188" s="84"/>
      <c r="SQ188" s="84"/>
      <c r="SR188" s="84"/>
      <c r="SS188" s="84"/>
      <c r="ST188" s="84"/>
      <c r="SU188" s="84"/>
      <c r="SV188" s="84"/>
      <c r="SW188" s="84"/>
      <c r="SX188" s="84"/>
      <c r="SY188" s="84"/>
      <c r="SZ188" s="84"/>
      <c r="TA188" s="84"/>
      <c r="TB188" s="84"/>
      <c r="TC188" s="84"/>
      <c r="TD188" s="84"/>
      <c r="TE188" s="84"/>
      <c r="TF188" s="84"/>
      <c r="TG188" s="84"/>
      <c r="TH188" s="84"/>
      <c r="TI188" s="84"/>
      <c r="TJ188" s="84"/>
      <c r="TK188" s="84"/>
      <c r="TL188" s="84"/>
      <c r="TM188" s="84"/>
      <c r="TN188" s="84"/>
      <c r="TO188" s="84"/>
      <c r="TP188" s="84"/>
      <c r="TQ188" s="84"/>
      <c r="TR188" s="84"/>
      <c r="TS188" s="84"/>
      <c r="TT188" s="84"/>
      <c r="TU188" s="84"/>
      <c r="TV188" s="84"/>
      <c r="TW188" s="84"/>
      <c r="TX188" s="84"/>
      <c r="TY188" s="84"/>
      <c r="TZ188" s="84"/>
      <c r="UA188" s="84"/>
      <c r="UB188" s="84"/>
      <c r="UC188" s="84"/>
      <c r="UD188" s="84"/>
      <c r="UE188" s="84"/>
      <c r="UF188" s="84"/>
      <c r="UG188" s="84"/>
      <c r="UH188" s="84"/>
      <c r="UI188" s="84"/>
      <c r="UJ188" s="84"/>
      <c r="UK188" s="84"/>
      <c r="UL188" s="84"/>
      <c r="UM188" s="84"/>
      <c r="UN188" s="84"/>
      <c r="UO188" s="84"/>
      <c r="UP188" s="84"/>
      <c r="UQ188" s="84"/>
      <c r="UR188" s="84"/>
      <c r="US188" s="84"/>
      <c r="UT188" s="84"/>
      <c r="UU188" s="84"/>
      <c r="UV188" s="84"/>
      <c r="UW188" s="84"/>
      <c r="UX188" s="84"/>
      <c r="UY188" s="84"/>
      <c r="UZ188" s="84"/>
      <c r="VA188" s="84"/>
      <c r="VB188" s="84"/>
      <c r="VC188" s="84"/>
      <c r="VD188" s="84"/>
      <c r="VE188" s="84"/>
      <c r="VF188" s="84"/>
      <c r="VG188" s="84"/>
      <c r="VH188" s="84"/>
      <c r="VI188" s="84"/>
      <c r="VJ188" s="84"/>
      <c r="VK188" s="84"/>
      <c r="VL188" s="84"/>
      <c r="VM188" s="84"/>
      <c r="VN188" s="84"/>
      <c r="VO188" s="84"/>
      <c r="VP188" s="84"/>
      <c r="VQ188" s="84"/>
      <c r="VR188" s="84"/>
      <c r="VS188" s="84"/>
      <c r="VT188" s="84"/>
      <c r="VU188" s="84"/>
      <c r="VV188" s="84"/>
      <c r="VW188" s="84"/>
      <c r="VX188" s="84"/>
      <c r="VY188" s="84"/>
      <c r="VZ188" s="84"/>
      <c r="WA188" s="84"/>
      <c r="WB188" s="84"/>
      <c r="WC188" s="84"/>
      <c r="WD188" s="84"/>
      <c r="WE188" s="84"/>
      <c r="WF188" s="84"/>
      <c r="WG188" s="84"/>
      <c r="WH188" s="84"/>
      <c r="WI188" s="84"/>
      <c r="WJ188" s="84"/>
      <c r="WK188" s="84"/>
      <c r="WL188" s="84"/>
      <c r="WM188" s="84"/>
      <c r="WN188" s="84"/>
      <c r="WO188" s="84"/>
      <c r="WP188" s="84"/>
      <c r="WQ188" s="84"/>
      <c r="WR188" s="84"/>
      <c r="WS188" s="84"/>
      <c r="WT188" s="84"/>
      <c r="WU188" s="84"/>
      <c r="WV188" s="84"/>
      <c r="WW188" s="84"/>
      <c r="WX188" s="84"/>
      <c r="WY188" s="84"/>
      <c r="WZ188" s="84"/>
      <c r="XA188" s="84"/>
      <c r="XB188" s="84"/>
      <c r="XC188" s="84"/>
      <c r="XD188" s="84"/>
      <c r="XE188" s="84"/>
      <c r="XF188" s="84"/>
      <c r="XG188" s="84"/>
      <c r="XH188" s="84"/>
      <c r="XI188" s="84"/>
      <c r="XJ188" s="84"/>
      <c r="XK188" s="84"/>
      <c r="XL188" s="84"/>
      <c r="XM188" s="84"/>
      <c r="XN188" s="84"/>
      <c r="XO188" s="84"/>
      <c r="XP188" s="84"/>
      <c r="XQ188" s="84"/>
      <c r="XR188" s="84"/>
      <c r="XS188" s="84"/>
      <c r="XT188" s="84"/>
      <c r="XU188" s="84"/>
      <c r="XV188" s="84"/>
      <c r="XW188" s="84"/>
      <c r="XX188" s="84"/>
      <c r="XY188" s="84"/>
      <c r="XZ188" s="84"/>
      <c r="YA188" s="84"/>
      <c r="YB188" s="84"/>
      <c r="YC188" s="84"/>
      <c r="YD188" s="84"/>
      <c r="YE188" s="84"/>
      <c r="YF188" s="84"/>
      <c r="YG188" s="84"/>
      <c r="YH188" s="84"/>
      <c r="YI188" s="84"/>
      <c r="YJ188" s="84"/>
      <c r="YK188" s="84"/>
      <c r="YL188" s="84"/>
      <c r="YM188" s="84"/>
      <c r="YN188" s="84"/>
      <c r="YO188" s="84"/>
      <c r="YP188" s="84"/>
      <c r="YQ188" s="84"/>
      <c r="YR188" s="84"/>
      <c r="YS188" s="84"/>
      <c r="YT188" s="84"/>
      <c r="YU188" s="84"/>
      <c r="YV188" s="84"/>
      <c r="YW188" s="84"/>
      <c r="YX188" s="84"/>
      <c r="YY188" s="84"/>
      <c r="YZ188" s="84"/>
      <c r="ZA188" s="84"/>
      <c r="ZB188" s="84"/>
      <c r="ZC188" s="84"/>
      <c r="ZD188" s="84"/>
      <c r="ZE188" s="84"/>
      <c r="ZF188" s="84"/>
      <c r="ZG188" s="84"/>
      <c r="ZH188" s="84"/>
      <c r="ZI188" s="84"/>
      <c r="ZJ188" s="84"/>
      <c r="ZK188" s="84"/>
      <c r="ZL188" s="84"/>
      <c r="ZM188" s="84"/>
      <c r="ZN188" s="84"/>
      <c r="ZO188" s="84"/>
      <c r="ZP188" s="84"/>
      <c r="ZQ188" s="84"/>
      <c r="ZR188" s="84"/>
      <c r="ZS188" s="84"/>
      <c r="ZT188" s="84"/>
      <c r="ZU188" s="84"/>
      <c r="ZV188" s="84"/>
      <c r="ZW188" s="84"/>
      <c r="ZX188" s="84"/>
      <c r="ZY188" s="84"/>
      <c r="ZZ188" s="84"/>
      <c r="AAA188" s="84"/>
      <c r="AAB188" s="84"/>
      <c r="AAC188" s="84"/>
      <c r="AAD188" s="84"/>
      <c r="AAE188" s="84"/>
      <c r="AAF188" s="84"/>
      <c r="AAG188" s="84"/>
      <c r="AAH188" s="84"/>
      <c r="AAI188" s="84"/>
      <c r="AAJ188" s="84"/>
      <c r="AAK188" s="84"/>
      <c r="AAL188" s="84"/>
      <c r="AAM188" s="84"/>
      <c r="AAN188" s="84"/>
      <c r="AAO188" s="84"/>
      <c r="AAP188" s="84"/>
      <c r="AAQ188" s="84"/>
      <c r="AAR188" s="84"/>
      <c r="AAS188" s="84"/>
      <c r="AAT188" s="84"/>
      <c r="AAU188" s="84"/>
      <c r="AAV188" s="84"/>
      <c r="AAW188" s="84"/>
      <c r="AAX188" s="84"/>
      <c r="AAY188" s="84"/>
      <c r="AAZ188" s="84"/>
      <c r="ABA188" s="84"/>
      <c r="ABB188" s="84"/>
      <c r="ABC188" s="84"/>
      <c r="ABD188" s="84"/>
      <c r="ABE188" s="84"/>
      <c r="ABF188" s="84"/>
      <c r="ABG188" s="84"/>
      <c r="ABH188" s="84"/>
      <c r="ABI188" s="84"/>
      <c r="ABJ188" s="84"/>
      <c r="ABK188" s="84"/>
      <c r="ABL188" s="84"/>
      <c r="ABM188" s="84"/>
      <c r="ABN188" s="84"/>
      <c r="ABO188" s="84"/>
      <c r="ABP188" s="84"/>
      <c r="ABQ188" s="84"/>
      <c r="ABR188" s="84"/>
      <c r="ABS188" s="84"/>
      <c r="ABT188" s="84"/>
      <c r="ABU188" s="84"/>
      <c r="ABV188" s="84"/>
      <c r="ABW188" s="84"/>
      <c r="ABX188" s="84"/>
      <c r="ABY188" s="84"/>
      <c r="ABZ188" s="84"/>
      <c r="ACA188" s="84"/>
      <c r="ACB188" s="84"/>
      <c r="ACC188" s="84"/>
      <c r="ACD188" s="84"/>
      <c r="ACE188" s="84"/>
      <c r="ACF188" s="84"/>
      <c r="ACG188" s="84"/>
      <c r="ACH188" s="84"/>
      <c r="ACI188" s="84"/>
      <c r="ACJ188" s="84"/>
      <c r="ACK188" s="84"/>
      <c r="ACL188" s="84"/>
      <c r="ACM188" s="84"/>
      <c r="ACN188" s="84"/>
      <c r="ACO188" s="84"/>
      <c r="ACP188" s="84"/>
      <c r="ACQ188" s="84"/>
      <c r="ACR188" s="84"/>
      <c r="ACS188" s="84"/>
      <c r="ACT188" s="84"/>
      <c r="ACU188" s="84"/>
      <c r="ACV188" s="84"/>
      <c r="ACW188" s="84"/>
      <c r="ACX188" s="84"/>
      <c r="ACY188" s="84"/>
      <c r="ACZ188" s="84"/>
      <c r="ADA188" s="84"/>
      <c r="ADB188" s="84"/>
      <c r="ADC188" s="84"/>
      <c r="ADD188" s="84"/>
      <c r="ADE188" s="84"/>
      <c r="ADF188" s="84"/>
      <c r="ADG188" s="84"/>
      <c r="ADH188" s="84"/>
      <c r="ADI188" s="84"/>
      <c r="ADJ188" s="84"/>
      <c r="ADK188" s="84"/>
      <c r="ADL188" s="84"/>
      <c r="ADM188" s="84"/>
      <c r="ADN188" s="84"/>
      <c r="ADO188" s="84"/>
      <c r="ADP188" s="84"/>
      <c r="ADQ188" s="84"/>
      <c r="ADR188" s="84"/>
      <c r="ADS188" s="84"/>
      <c r="ADT188" s="84"/>
      <c r="ADU188" s="84"/>
      <c r="ADV188" s="84"/>
      <c r="ADW188" s="84"/>
      <c r="ADX188" s="84"/>
      <c r="ADY188" s="84"/>
      <c r="ADZ188" s="84"/>
      <c r="AEA188" s="84"/>
      <c r="AEB188" s="84"/>
      <c r="AEC188" s="84"/>
      <c r="AED188" s="84"/>
      <c r="AEE188" s="84"/>
      <c r="AEF188" s="84"/>
      <c r="AEG188" s="84"/>
      <c r="AEH188" s="84"/>
      <c r="AEI188" s="84"/>
      <c r="AEJ188" s="84"/>
      <c r="AEK188" s="84"/>
      <c r="AEL188" s="84"/>
      <c r="AEM188" s="84"/>
      <c r="AEN188" s="84"/>
      <c r="AEO188" s="84"/>
      <c r="AEP188" s="84"/>
      <c r="AEQ188" s="84"/>
      <c r="AER188" s="84"/>
      <c r="AES188" s="84"/>
      <c r="AET188" s="84"/>
      <c r="AEU188" s="84"/>
      <c r="AEV188" s="84"/>
      <c r="AEW188" s="84"/>
      <c r="AEX188" s="84"/>
      <c r="AEY188" s="84"/>
      <c r="AEZ188" s="84"/>
      <c r="AFA188" s="84"/>
      <c r="AFB188" s="84"/>
      <c r="AFC188" s="84"/>
      <c r="AFD188" s="84"/>
      <c r="AFE188" s="84"/>
      <c r="AFF188" s="84"/>
      <c r="AFG188" s="84"/>
      <c r="AFH188" s="84"/>
      <c r="AFI188" s="84"/>
      <c r="AFJ188" s="84"/>
      <c r="AFK188" s="84"/>
      <c r="AFL188" s="84"/>
      <c r="AFM188" s="84"/>
      <c r="AFN188" s="84"/>
      <c r="AFO188" s="84"/>
      <c r="AFP188" s="84"/>
      <c r="AFQ188" s="84"/>
      <c r="AFR188" s="84"/>
      <c r="AFS188" s="84"/>
      <c r="AFT188" s="84"/>
      <c r="AFU188" s="84"/>
      <c r="AFV188" s="84"/>
      <c r="AFW188" s="84"/>
      <c r="AFX188" s="84"/>
      <c r="AFY188" s="84"/>
      <c r="AFZ188" s="84"/>
      <c r="AGA188" s="84"/>
      <c r="AGB188" s="84"/>
      <c r="AGC188" s="84"/>
      <c r="AGD188" s="84"/>
      <c r="AGE188" s="84"/>
      <c r="AGF188" s="84"/>
      <c r="AGG188" s="84"/>
      <c r="AGH188" s="84"/>
      <c r="AGI188" s="84"/>
      <c r="AGJ188" s="84"/>
      <c r="AGK188" s="84"/>
      <c r="AGL188" s="84"/>
      <c r="AGM188" s="84"/>
      <c r="AGN188" s="84"/>
      <c r="AGO188" s="84"/>
      <c r="AGP188" s="84"/>
      <c r="AGQ188" s="84"/>
      <c r="AGR188" s="84"/>
      <c r="AGS188" s="84"/>
      <c r="AGT188" s="84"/>
      <c r="AGU188" s="84"/>
      <c r="AGV188" s="84"/>
      <c r="AGW188" s="84"/>
      <c r="AGX188" s="84"/>
      <c r="AGY188" s="84"/>
      <c r="AGZ188" s="84"/>
      <c r="AHA188" s="84"/>
      <c r="AHB188" s="84"/>
      <c r="AHC188" s="84"/>
      <c r="AHD188" s="84"/>
      <c r="AHE188" s="84"/>
      <c r="AHF188" s="84"/>
      <c r="AHG188" s="84"/>
      <c r="AHH188" s="84"/>
      <c r="AHI188" s="84"/>
      <c r="AHJ188" s="84"/>
      <c r="AHK188" s="84"/>
      <c r="AHL188" s="84"/>
      <c r="AHM188" s="84"/>
      <c r="AHN188" s="84"/>
      <c r="AHO188" s="84"/>
      <c r="AHP188" s="84"/>
      <c r="AHQ188" s="84"/>
      <c r="AHR188" s="84"/>
      <c r="AHS188" s="84"/>
      <c r="AHT188" s="84"/>
      <c r="AHU188" s="84"/>
      <c r="AHV188" s="84"/>
      <c r="AHW188" s="84"/>
      <c r="AHX188" s="84"/>
      <c r="AHY188" s="84"/>
      <c r="AHZ188" s="84"/>
      <c r="AIA188" s="84"/>
      <c r="AIB188" s="84"/>
      <c r="AIC188" s="84"/>
      <c r="AID188" s="84"/>
      <c r="AIE188" s="84"/>
      <c r="AIF188" s="84"/>
      <c r="AIG188" s="84"/>
      <c r="AIH188" s="84"/>
      <c r="AII188" s="84"/>
      <c r="AIJ188" s="84"/>
      <c r="AIK188" s="84"/>
      <c r="AIL188" s="84"/>
      <c r="AIM188" s="84"/>
      <c r="AIN188" s="84"/>
      <c r="AIO188" s="84"/>
      <c r="AIP188" s="84"/>
      <c r="AIQ188" s="84"/>
      <c r="AIR188" s="84"/>
      <c r="AIS188" s="84"/>
      <c r="AIT188" s="84"/>
      <c r="AIU188" s="84"/>
      <c r="AIV188" s="84"/>
      <c r="AIW188" s="84"/>
      <c r="AIX188" s="84"/>
      <c r="AIY188" s="84"/>
      <c r="AIZ188" s="84"/>
      <c r="AJA188" s="84"/>
      <c r="AJB188" s="84"/>
      <c r="AJC188" s="84"/>
      <c r="AJD188" s="84"/>
      <c r="AJE188" s="84"/>
      <c r="AJF188" s="84"/>
      <c r="AJG188" s="84"/>
      <c r="AJH188" s="84"/>
      <c r="AJI188" s="84"/>
      <c r="AJJ188" s="84"/>
      <c r="AJK188" s="84"/>
      <c r="AJL188" s="84"/>
      <c r="AJM188" s="84"/>
      <c r="AJN188" s="84"/>
      <c r="AJO188" s="84"/>
      <c r="AJP188" s="84"/>
      <c r="AJQ188" s="84"/>
      <c r="AJR188" s="84"/>
      <c r="AJS188" s="84"/>
      <c r="AJT188" s="84"/>
      <c r="AJU188" s="84"/>
      <c r="AJV188" s="84"/>
      <c r="AJW188" s="84"/>
      <c r="AJX188" s="84"/>
      <c r="AJY188" s="84"/>
      <c r="AJZ188" s="84"/>
      <c r="AKA188" s="84"/>
      <c r="AKB188" s="84"/>
      <c r="AKC188" s="84"/>
      <c r="AKD188" s="84"/>
      <c r="AKE188" s="84"/>
      <c r="AKF188" s="84"/>
      <c r="AKG188" s="84"/>
      <c r="AKH188" s="84"/>
      <c r="AKI188" s="84"/>
      <c r="AKJ188" s="84"/>
      <c r="AKK188" s="84"/>
      <c r="AKL188" s="84"/>
      <c r="AKM188" s="84"/>
      <c r="AKN188" s="84"/>
      <c r="AKO188" s="84"/>
      <c r="AKP188" s="84"/>
      <c r="AKQ188" s="84"/>
      <c r="AKR188" s="84"/>
      <c r="AKS188" s="84"/>
      <c r="AKT188" s="84"/>
      <c r="AKU188" s="84"/>
      <c r="AKV188" s="84"/>
      <c r="AKW188" s="84"/>
      <c r="AKX188" s="84"/>
      <c r="AKY188" s="84"/>
      <c r="AKZ188" s="84"/>
      <c r="ALA188" s="84"/>
      <c r="ALB188" s="84"/>
      <c r="ALC188" s="84"/>
      <c r="ALD188" s="84"/>
      <c r="ALE188" s="84"/>
      <c r="ALF188" s="84"/>
      <c r="ALG188" s="84"/>
      <c r="ALH188" s="84"/>
      <c r="ALI188" s="84"/>
      <c r="ALJ188" s="84"/>
      <c r="ALK188" s="84"/>
      <c r="ALL188" s="84"/>
      <c r="ALM188" s="84"/>
      <c r="ALN188" s="84"/>
      <c r="ALO188" s="84"/>
      <c r="ALP188" s="84"/>
      <c r="ALQ188" s="84"/>
      <c r="ALR188" s="84"/>
      <c r="ALS188" s="84"/>
      <c r="ALT188" s="84"/>
      <c r="ALU188" s="84"/>
      <c r="ALV188" s="84"/>
      <c r="ALW188" s="84"/>
      <c r="ALX188" s="84"/>
      <c r="ALY188" s="84"/>
      <c r="ALZ188" s="84"/>
      <c r="AMA188" s="84"/>
      <c r="AMB188" s="84"/>
      <c r="AMC188" s="84"/>
      <c r="AMD188" s="84"/>
      <c r="AME188" s="84"/>
      <c r="AMF188" s="84"/>
      <c r="AMG188" s="84"/>
      <c r="AMH188" s="84"/>
      <c r="AMI188" s="84"/>
      <c r="AMJ188" s="84"/>
      <c r="AMK188" s="84"/>
      <c r="AML188" s="84"/>
      <c r="AMM188" s="84"/>
      <c r="AMN188" s="84"/>
      <c r="AMO188" s="84"/>
      <c r="AMP188" s="84"/>
      <c r="AMQ188" s="84"/>
      <c r="AMR188" s="84"/>
      <c r="AMS188" s="84"/>
      <c r="AMT188" s="84"/>
      <c r="AMU188" s="84"/>
      <c r="AMV188" s="84"/>
      <c r="AMW188" s="84"/>
      <c r="AMX188" s="84"/>
      <c r="AMY188" s="84"/>
      <c r="AMZ188" s="84"/>
      <c r="ANA188" s="84"/>
      <c r="ANB188" s="84"/>
      <c r="ANC188" s="84"/>
      <c r="AND188" s="84"/>
      <c r="ANE188" s="84"/>
      <c r="ANF188" s="84"/>
      <c r="ANG188" s="84"/>
      <c r="ANH188" s="84"/>
      <c r="ANI188" s="84"/>
      <c r="ANJ188" s="84"/>
      <c r="ANK188" s="84"/>
      <c r="ANL188" s="84"/>
      <c r="ANM188" s="84"/>
      <c r="ANN188" s="84"/>
      <c r="ANO188" s="84"/>
      <c r="ANP188" s="84"/>
      <c r="ANQ188" s="84"/>
      <c r="ANR188" s="84"/>
      <c r="ANS188" s="84"/>
      <c r="ANT188" s="84"/>
      <c r="ANU188" s="84"/>
      <c r="ANV188" s="84"/>
      <c r="ANW188" s="84"/>
      <c r="ANX188" s="84"/>
      <c r="ANY188" s="84"/>
      <c r="ANZ188" s="84"/>
      <c r="AOA188" s="84"/>
      <c r="AOB188" s="84"/>
      <c r="AOC188" s="84"/>
      <c r="AOD188" s="84"/>
      <c r="AOE188" s="84"/>
      <c r="AOF188" s="84"/>
      <c r="AOG188" s="84"/>
      <c r="AOH188" s="84"/>
      <c r="AOI188" s="84"/>
      <c r="AOJ188" s="84"/>
      <c r="AOK188" s="84"/>
      <c r="AOL188" s="84"/>
      <c r="AOM188" s="84"/>
      <c r="AON188" s="84"/>
      <c r="AOO188" s="84"/>
      <c r="AOP188" s="84"/>
      <c r="AOQ188" s="84"/>
      <c r="AOR188" s="84"/>
      <c r="AOS188" s="84"/>
      <c r="AOT188" s="84"/>
      <c r="AOU188" s="84"/>
      <c r="AOV188" s="84"/>
      <c r="AOW188" s="84"/>
      <c r="AOX188" s="84"/>
      <c r="AOY188" s="84"/>
      <c r="AOZ188" s="84"/>
      <c r="APA188" s="84"/>
      <c r="APB188" s="84"/>
      <c r="APC188" s="84"/>
      <c r="APD188" s="84"/>
      <c r="APE188" s="84"/>
      <c r="APF188" s="84"/>
      <c r="APG188" s="84"/>
      <c r="APH188" s="84"/>
      <c r="API188" s="84"/>
      <c r="APJ188" s="84"/>
      <c r="APK188" s="84"/>
      <c r="APL188" s="84"/>
      <c r="APM188" s="84"/>
      <c r="APN188" s="84"/>
      <c r="APO188" s="84"/>
      <c r="APP188" s="84"/>
      <c r="APQ188" s="84"/>
      <c r="APR188" s="84"/>
      <c r="APS188" s="84"/>
      <c r="APT188" s="84"/>
      <c r="APU188" s="84"/>
      <c r="APV188" s="84"/>
      <c r="APW188" s="84"/>
      <c r="APX188" s="84"/>
      <c r="APY188" s="84"/>
      <c r="APZ188" s="84"/>
      <c r="AQA188" s="84"/>
      <c r="AQB188" s="84"/>
      <c r="AQC188" s="84"/>
      <c r="AQD188" s="84"/>
      <c r="AQE188" s="84"/>
      <c r="AQF188" s="84"/>
      <c r="AQG188" s="84"/>
      <c r="AQH188" s="84"/>
      <c r="AQI188" s="84"/>
      <c r="AQJ188" s="84"/>
      <c r="AQK188" s="84"/>
      <c r="AQL188" s="84"/>
      <c r="AQM188" s="84"/>
      <c r="AQN188" s="84"/>
      <c r="AQO188" s="84"/>
      <c r="AQP188" s="84"/>
      <c r="AQQ188" s="84"/>
      <c r="AQR188" s="84"/>
      <c r="AQS188" s="84"/>
      <c r="AQT188" s="84"/>
      <c r="AQU188" s="84"/>
      <c r="AQV188" s="84"/>
      <c r="AQW188" s="84"/>
      <c r="AQX188" s="84"/>
      <c r="AQY188" s="84"/>
      <c r="AQZ188" s="84"/>
      <c r="ARA188" s="84"/>
      <c r="ARB188" s="84"/>
      <c r="ARC188" s="84"/>
      <c r="ARD188" s="84"/>
      <c r="ARE188" s="84"/>
      <c r="ARF188" s="84"/>
      <c r="ARG188" s="84"/>
      <c r="ARH188" s="84"/>
      <c r="ARI188" s="84"/>
      <c r="ARJ188" s="84"/>
      <c r="ARK188" s="84"/>
      <c r="ARL188" s="84"/>
      <c r="ARM188" s="84"/>
      <c r="ARN188" s="84"/>
      <c r="ARO188" s="84"/>
      <c r="ARP188" s="84"/>
      <c r="ARQ188" s="84"/>
      <c r="ARR188" s="84"/>
      <c r="ARS188" s="84"/>
      <c r="ART188" s="84"/>
      <c r="ARU188" s="84"/>
      <c r="ARV188" s="84"/>
      <c r="ARW188" s="84"/>
      <c r="ARX188" s="84"/>
      <c r="ARY188" s="84"/>
      <c r="ARZ188" s="84"/>
      <c r="ASA188" s="84"/>
      <c r="ASB188" s="84"/>
      <c r="ASC188" s="84"/>
      <c r="ASD188" s="84"/>
      <c r="ASE188" s="84"/>
      <c r="ASF188" s="84"/>
      <c r="ASG188" s="84"/>
      <c r="ASH188" s="84"/>
      <c r="ASI188" s="84"/>
      <c r="ASJ188" s="84"/>
      <c r="ASK188" s="84"/>
      <c r="ASL188" s="84"/>
      <c r="ASM188" s="84"/>
      <c r="ASN188" s="84"/>
      <c r="ASO188" s="84"/>
      <c r="ASP188" s="84"/>
      <c r="ASQ188" s="84"/>
      <c r="ASR188" s="84"/>
      <c r="ASS188" s="84"/>
      <c r="AST188" s="84"/>
      <c r="ASU188" s="84"/>
      <c r="ASV188" s="84"/>
      <c r="ASW188" s="84"/>
      <c r="ASX188" s="84"/>
      <c r="ASY188" s="84"/>
      <c r="ASZ188" s="84"/>
      <c r="ATA188" s="84"/>
      <c r="ATB188" s="84"/>
      <c r="ATC188" s="84"/>
      <c r="ATD188" s="84"/>
      <c r="ATE188" s="84"/>
      <c r="ATF188" s="84"/>
      <c r="ATG188" s="84"/>
      <c r="ATH188" s="84"/>
      <c r="ATI188" s="84"/>
      <c r="ATJ188" s="84"/>
      <c r="ATK188" s="84"/>
      <c r="ATL188" s="84"/>
      <c r="ATM188" s="84"/>
      <c r="ATN188" s="84"/>
      <c r="ATO188" s="84"/>
      <c r="ATP188" s="84"/>
      <c r="ATQ188" s="84"/>
      <c r="ATR188" s="84"/>
      <c r="ATS188" s="84"/>
      <c r="ATT188" s="84"/>
      <c r="ATU188" s="84"/>
      <c r="ATV188" s="84"/>
      <c r="ATW188" s="84"/>
      <c r="ATX188" s="84"/>
      <c r="ATY188" s="84"/>
      <c r="ATZ188" s="84"/>
      <c r="AUA188" s="84"/>
      <c r="AUB188" s="84"/>
      <c r="AUC188" s="84"/>
      <c r="AUD188" s="84"/>
      <c r="AUE188" s="84"/>
      <c r="AUF188" s="84"/>
      <c r="AUG188" s="84"/>
      <c r="AUH188" s="84"/>
      <c r="AUI188" s="84"/>
      <c r="AUJ188" s="84"/>
      <c r="AUK188" s="84"/>
      <c r="AUL188" s="84"/>
      <c r="AUM188" s="84"/>
      <c r="AUN188" s="84"/>
      <c r="AUO188" s="84"/>
      <c r="AUP188" s="84"/>
      <c r="AUQ188" s="84"/>
      <c r="AUR188" s="84"/>
      <c r="AUS188" s="84"/>
      <c r="AUT188" s="84"/>
      <c r="AUU188" s="84"/>
      <c r="AUV188" s="84"/>
      <c r="AUW188" s="84"/>
      <c r="AUX188" s="84"/>
      <c r="AUY188" s="84"/>
      <c r="AUZ188" s="84"/>
      <c r="AVA188" s="84"/>
      <c r="AVB188" s="84"/>
      <c r="AVC188" s="84"/>
      <c r="AVD188" s="84"/>
      <c r="AVE188" s="84"/>
      <c r="AVF188" s="84"/>
      <c r="AVG188" s="84"/>
      <c r="AVH188" s="84"/>
      <c r="AVI188" s="84"/>
      <c r="AVJ188" s="84"/>
      <c r="AVK188" s="84"/>
      <c r="AVL188" s="84"/>
      <c r="AVM188" s="84"/>
      <c r="AVN188" s="84"/>
      <c r="AVO188" s="84"/>
      <c r="AVP188" s="84"/>
      <c r="AVQ188" s="84"/>
      <c r="AVR188" s="84"/>
      <c r="AVS188" s="84"/>
      <c r="AVT188" s="84"/>
      <c r="AVU188" s="84"/>
      <c r="AVV188" s="84"/>
      <c r="AVW188" s="84"/>
      <c r="AVX188" s="84"/>
      <c r="AVY188" s="84"/>
      <c r="AVZ188" s="84"/>
      <c r="AWA188" s="84"/>
      <c r="AWB188" s="84"/>
      <c r="AWC188" s="84"/>
      <c r="AWD188" s="84"/>
      <c r="AWE188" s="84"/>
      <c r="AWF188" s="84"/>
      <c r="AWG188" s="84"/>
      <c r="AWH188" s="84"/>
      <c r="AWI188" s="84"/>
      <c r="AWJ188" s="84"/>
      <c r="AWK188" s="84"/>
      <c r="AWL188" s="84"/>
      <c r="AWM188" s="84"/>
      <c r="AWN188" s="84"/>
      <c r="AWO188" s="84"/>
      <c r="AWP188" s="84"/>
      <c r="AWQ188" s="84"/>
      <c r="AWR188" s="84"/>
      <c r="AWS188" s="84"/>
      <c r="AWT188" s="84"/>
      <c r="AWU188" s="84"/>
      <c r="AWV188" s="84"/>
      <c r="AWW188" s="84"/>
      <c r="AWX188" s="84"/>
      <c r="AWY188" s="84"/>
      <c r="AWZ188" s="84"/>
      <c r="AXA188" s="84"/>
      <c r="AXB188" s="84"/>
      <c r="AXC188" s="84"/>
      <c r="AXD188" s="84"/>
      <c r="AXE188" s="84"/>
      <c r="AXF188" s="84"/>
      <c r="AXG188" s="84"/>
      <c r="AXH188" s="84"/>
      <c r="AXI188" s="84"/>
      <c r="AXJ188" s="84"/>
      <c r="AXK188" s="84"/>
      <c r="AXL188" s="84"/>
      <c r="AXM188" s="84"/>
      <c r="AXN188" s="84"/>
      <c r="AXO188" s="84"/>
      <c r="AXP188" s="84"/>
      <c r="AXQ188" s="84"/>
      <c r="AXR188" s="84"/>
      <c r="AXS188" s="84"/>
      <c r="AXT188" s="84"/>
      <c r="AXU188" s="84"/>
      <c r="AXV188" s="84"/>
      <c r="AXW188" s="84"/>
      <c r="AXX188" s="84"/>
      <c r="AXY188" s="84"/>
      <c r="AXZ188" s="84"/>
      <c r="AYA188" s="84"/>
      <c r="AYB188" s="84"/>
      <c r="AYC188" s="84"/>
      <c r="AYD188" s="84"/>
      <c r="AYE188" s="84"/>
      <c r="AYF188" s="84"/>
      <c r="AYG188" s="84"/>
      <c r="AYH188" s="84"/>
      <c r="AYI188" s="84"/>
      <c r="AYJ188" s="84"/>
      <c r="AYK188" s="84"/>
      <c r="AYL188" s="84"/>
      <c r="AYM188" s="84"/>
      <c r="AYN188" s="84"/>
      <c r="AYO188" s="84"/>
      <c r="AYP188" s="84"/>
      <c r="AYQ188" s="84"/>
      <c r="AYR188" s="84"/>
      <c r="AYS188" s="84"/>
      <c r="AYT188" s="84"/>
      <c r="AYU188" s="84"/>
      <c r="AYV188" s="84"/>
      <c r="AYW188" s="84"/>
      <c r="AYX188" s="84"/>
      <c r="AYY188" s="84"/>
      <c r="AYZ188" s="84"/>
      <c r="AZA188" s="84"/>
      <c r="AZB188" s="84"/>
      <c r="AZC188" s="84"/>
      <c r="AZD188" s="84"/>
      <c r="AZE188" s="84"/>
      <c r="AZF188" s="84"/>
      <c r="AZG188" s="84"/>
      <c r="AZH188" s="84"/>
      <c r="AZI188" s="84"/>
      <c r="AZJ188" s="84"/>
      <c r="AZK188" s="84"/>
      <c r="AZL188" s="84"/>
      <c r="AZM188" s="84"/>
      <c r="AZN188" s="84"/>
      <c r="AZO188" s="84"/>
      <c r="AZP188" s="84"/>
      <c r="AZQ188" s="84"/>
      <c r="AZR188" s="84"/>
      <c r="AZS188" s="84"/>
      <c r="AZT188" s="84"/>
      <c r="AZU188" s="84"/>
      <c r="AZV188" s="84"/>
      <c r="AZW188" s="84"/>
      <c r="AZX188" s="84"/>
      <c r="AZY188" s="84"/>
      <c r="AZZ188" s="84"/>
      <c r="BAA188" s="84"/>
      <c r="BAB188" s="84"/>
      <c r="BAC188" s="84"/>
      <c r="BAD188" s="84"/>
      <c r="BAE188" s="84"/>
      <c r="BAF188" s="84"/>
      <c r="BAG188" s="84"/>
      <c r="BAH188" s="84"/>
      <c r="BAI188" s="84"/>
      <c r="BAJ188" s="84"/>
      <c r="BAK188" s="84"/>
      <c r="BAL188" s="84"/>
      <c r="BAM188" s="84"/>
      <c r="BAN188" s="84"/>
      <c r="BAO188" s="84"/>
      <c r="BAP188" s="84"/>
      <c r="BAQ188" s="84"/>
      <c r="BAR188" s="84"/>
      <c r="BAS188" s="84"/>
      <c r="BAT188" s="84"/>
      <c r="BAU188" s="84"/>
      <c r="BAV188" s="84"/>
      <c r="BAW188" s="84"/>
      <c r="BAX188" s="84"/>
      <c r="BAY188" s="84"/>
      <c r="BAZ188" s="84"/>
      <c r="BBA188" s="84"/>
      <c r="BBB188" s="84"/>
      <c r="BBC188" s="84"/>
      <c r="BBD188" s="84"/>
      <c r="BBE188" s="84"/>
      <c r="BBF188" s="84"/>
      <c r="BBG188" s="84"/>
      <c r="BBH188" s="84"/>
      <c r="BBI188" s="84"/>
      <c r="BBJ188" s="84"/>
      <c r="BBK188" s="84"/>
      <c r="BBL188" s="84"/>
      <c r="BBM188" s="84"/>
      <c r="BBN188" s="84"/>
      <c r="BBO188" s="84"/>
      <c r="BBP188" s="84"/>
      <c r="BBQ188" s="84"/>
      <c r="BBR188" s="84"/>
      <c r="BBS188" s="84"/>
      <c r="BBT188" s="84"/>
      <c r="BBU188" s="84"/>
      <c r="BBV188" s="84"/>
      <c r="BBW188" s="84"/>
      <c r="BBX188" s="84"/>
      <c r="BBY188" s="84"/>
      <c r="BBZ188" s="84"/>
      <c r="BCA188" s="84"/>
      <c r="BCB188" s="84"/>
      <c r="BCC188" s="84"/>
      <c r="BCD188" s="84"/>
      <c r="BCE188" s="84"/>
      <c r="BCF188" s="84"/>
      <c r="BCG188" s="84"/>
      <c r="BCH188" s="84"/>
      <c r="BCI188" s="84"/>
      <c r="BCJ188" s="84"/>
      <c r="BCK188" s="84"/>
      <c r="BCL188" s="84"/>
      <c r="BCM188" s="84"/>
      <c r="BCN188" s="84"/>
      <c r="BCO188" s="84"/>
      <c r="BCP188" s="84"/>
      <c r="BCQ188" s="84"/>
      <c r="BCR188" s="84"/>
      <c r="BCS188" s="84"/>
      <c r="BCT188" s="84"/>
      <c r="BCU188" s="84"/>
      <c r="BCV188" s="84"/>
      <c r="BCW188" s="84"/>
      <c r="BCX188" s="84"/>
      <c r="BCY188" s="84"/>
      <c r="BCZ188" s="84"/>
      <c r="BDA188" s="84"/>
      <c r="BDB188" s="84"/>
      <c r="BDC188" s="84"/>
      <c r="BDD188" s="84"/>
      <c r="BDE188" s="84"/>
      <c r="BDF188" s="84"/>
      <c r="BDG188" s="84"/>
      <c r="BDH188" s="84"/>
      <c r="BDI188" s="84"/>
      <c r="BDJ188" s="84"/>
      <c r="BDK188" s="84"/>
      <c r="BDL188" s="84"/>
      <c r="BDM188" s="84"/>
      <c r="BDN188" s="84"/>
      <c r="BDO188" s="84"/>
      <c r="BDP188" s="84"/>
      <c r="BDQ188" s="84"/>
      <c r="BDR188" s="84"/>
      <c r="BDS188" s="84"/>
      <c r="BDT188" s="84"/>
      <c r="BDU188" s="84"/>
      <c r="BDV188" s="84"/>
      <c r="BDW188" s="84"/>
      <c r="BDX188" s="84"/>
      <c r="BDY188" s="84"/>
      <c r="BDZ188" s="84"/>
      <c r="BEA188" s="84"/>
      <c r="BEB188" s="84"/>
      <c r="BEC188" s="84"/>
      <c r="BED188" s="84"/>
      <c r="BEE188" s="84"/>
      <c r="BEF188" s="84"/>
      <c r="BEG188" s="84"/>
      <c r="BEH188" s="84"/>
      <c r="BEI188" s="84"/>
      <c r="BEJ188" s="84"/>
      <c r="BEK188" s="84"/>
      <c r="BEL188" s="84"/>
      <c r="BEM188" s="84"/>
      <c r="BEN188" s="84"/>
      <c r="BEO188" s="84"/>
      <c r="BEP188" s="84"/>
      <c r="BEQ188" s="84"/>
      <c r="BER188" s="84"/>
      <c r="BES188" s="84"/>
      <c r="BET188" s="84"/>
      <c r="BEU188" s="84"/>
      <c r="BEV188" s="84"/>
      <c r="BEW188" s="84"/>
      <c r="BEX188" s="84"/>
      <c r="BEY188" s="84"/>
      <c r="BEZ188" s="84"/>
      <c r="BFA188" s="84"/>
      <c r="BFB188" s="84"/>
      <c r="BFC188" s="84"/>
      <c r="BFD188" s="84"/>
      <c r="BFE188" s="84"/>
      <c r="BFF188" s="84"/>
      <c r="BFG188" s="84"/>
      <c r="BFH188" s="84"/>
      <c r="BFI188" s="84"/>
      <c r="BFJ188" s="84"/>
      <c r="BFK188" s="84"/>
      <c r="BFL188" s="84"/>
      <c r="BFM188" s="84"/>
      <c r="BFN188" s="84"/>
      <c r="BFO188" s="84"/>
      <c r="BFP188" s="84"/>
      <c r="BFQ188" s="84"/>
      <c r="BFR188" s="84"/>
      <c r="BFS188" s="84"/>
      <c r="BFT188" s="84"/>
      <c r="BFU188" s="84"/>
      <c r="BFV188" s="84"/>
      <c r="BFW188" s="84"/>
      <c r="BFX188" s="84"/>
      <c r="BFY188" s="84"/>
      <c r="BFZ188" s="84"/>
      <c r="BGA188" s="84"/>
      <c r="BGB188" s="84"/>
      <c r="BGC188" s="84"/>
      <c r="BGD188" s="84"/>
      <c r="BGE188" s="84"/>
      <c r="BGF188" s="84"/>
      <c r="BGG188" s="84"/>
      <c r="BGH188" s="84"/>
      <c r="BGI188" s="84"/>
      <c r="BGJ188" s="84"/>
      <c r="BGK188" s="84"/>
      <c r="BGL188" s="84"/>
      <c r="BGM188" s="84"/>
      <c r="BGN188" s="84"/>
      <c r="BGO188" s="84"/>
      <c r="BGP188" s="84"/>
      <c r="BGQ188" s="84"/>
      <c r="BGR188" s="84"/>
      <c r="BGS188" s="84"/>
      <c r="BGT188" s="84"/>
      <c r="BGU188" s="84"/>
      <c r="BGV188" s="84"/>
      <c r="BGW188" s="84"/>
      <c r="BGX188" s="84"/>
      <c r="BGY188" s="84"/>
      <c r="BGZ188" s="84"/>
      <c r="BHA188" s="84"/>
      <c r="BHB188" s="84"/>
      <c r="BHC188" s="84"/>
      <c r="BHD188" s="84"/>
      <c r="BHE188" s="84"/>
      <c r="BHF188" s="84"/>
      <c r="BHG188" s="84"/>
      <c r="BHH188" s="84"/>
      <c r="BHI188" s="84"/>
      <c r="BHJ188" s="84"/>
      <c r="BHK188" s="84"/>
      <c r="BHL188" s="84"/>
      <c r="BHM188" s="84"/>
      <c r="BHN188" s="84"/>
      <c r="BHO188" s="84"/>
      <c r="BHP188" s="84"/>
      <c r="BHQ188" s="84"/>
      <c r="BHR188" s="84"/>
      <c r="BHS188" s="84"/>
      <c r="BHT188" s="84"/>
      <c r="BHU188" s="84"/>
      <c r="BHV188" s="84"/>
      <c r="BHW188" s="84"/>
      <c r="BHX188" s="84"/>
      <c r="BHY188" s="84"/>
      <c r="BHZ188" s="84"/>
      <c r="BIA188" s="84"/>
      <c r="BIB188" s="84"/>
      <c r="BIC188" s="84"/>
      <c r="BID188" s="84"/>
      <c r="BIE188" s="84"/>
      <c r="BIF188" s="84"/>
      <c r="BIG188" s="84"/>
      <c r="BIH188" s="84"/>
      <c r="BII188" s="84"/>
      <c r="BIJ188" s="84"/>
      <c r="BIK188" s="84"/>
      <c r="BIL188" s="84"/>
      <c r="BIM188" s="84"/>
      <c r="BIN188" s="84"/>
      <c r="BIO188" s="84"/>
      <c r="BIP188" s="84"/>
      <c r="BIQ188" s="84"/>
      <c r="BIR188" s="84"/>
      <c r="BIS188" s="84"/>
      <c r="BIT188" s="84"/>
      <c r="BIU188" s="84"/>
      <c r="BIV188" s="84"/>
      <c r="BIW188" s="84"/>
      <c r="BIX188" s="84"/>
      <c r="BIY188" s="84"/>
      <c r="BIZ188" s="84"/>
      <c r="BJA188" s="84"/>
      <c r="BJB188" s="84"/>
      <c r="BJC188" s="84"/>
      <c r="BJD188" s="84"/>
      <c r="BJE188" s="84"/>
      <c r="BJF188" s="84"/>
      <c r="BJG188" s="84"/>
      <c r="BJH188" s="84"/>
      <c r="BJI188" s="84"/>
      <c r="BJJ188" s="84"/>
      <c r="BJK188" s="84"/>
      <c r="BJL188" s="84"/>
      <c r="BJM188" s="84"/>
      <c r="BJN188" s="84"/>
      <c r="BJO188" s="84"/>
      <c r="BJP188" s="84"/>
      <c r="BJQ188" s="84"/>
      <c r="BJR188" s="84"/>
      <c r="BJS188" s="84"/>
      <c r="BJT188" s="84"/>
      <c r="BJU188" s="84"/>
      <c r="BJV188" s="84"/>
      <c r="BJW188" s="84"/>
      <c r="BJX188" s="84"/>
      <c r="BJY188" s="84"/>
      <c r="BJZ188" s="84"/>
      <c r="BKA188" s="84"/>
      <c r="BKB188" s="84"/>
      <c r="BKC188" s="84"/>
      <c r="BKD188" s="84"/>
      <c r="BKE188" s="84"/>
      <c r="BKF188" s="84"/>
      <c r="BKG188" s="84"/>
      <c r="BKH188" s="84"/>
      <c r="BKI188" s="84"/>
      <c r="BKJ188" s="84"/>
      <c r="BKK188" s="84"/>
      <c r="BKL188" s="84"/>
      <c r="BKM188" s="84"/>
      <c r="BKN188" s="84"/>
      <c r="BKO188" s="84"/>
      <c r="BKP188" s="84"/>
      <c r="BKQ188" s="84"/>
      <c r="BKR188" s="84"/>
      <c r="BKS188" s="84"/>
      <c r="BKT188" s="84"/>
      <c r="BKU188" s="84"/>
      <c r="BKV188" s="84"/>
      <c r="BKW188" s="84"/>
      <c r="BKX188" s="84"/>
      <c r="BKY188" s="84"/>
      <c r="BKZ188" s="84"/>
      <c r="BLA188" s="84"/>
      <c r="BLB188" s="84"/>
      <c r="BLC188" s="84"/>
      <c r="BLD188" s="84"/>
      <c r="BLE188" s="84"/>
      <c r="BLF188" s="84"/>
      <c r="BLG188" s="84"/>
      <c r="BLH188" s="84"/>
      <c r="BLI188" s="84"/>
      <c r="BLJ188" s="84"/>
      <c r="BLK188" s="84"/>
      <c r="BLL188" s="84"/>
      <c r="BLM188" s="84"/>
      <c r="BLN188" s="84"/>
      <c r="BLO188" s="84"/>
      <c r="BLP188" s="84"/>
      <c r="BLQ188" s="84"/>
      <c r="BLR188" s="84"/>
      <c r="BLS188" s="84"/>
      <c r="BLT188" s="84"/>
      <c r="BLU188" s="84"/>
      <c r="BLV188" s="84"/>
      <c r="BLW188" s="84"/>
      <c r="BLX188" s="84"/>
      <c r="BLY188" s="84"/>
      <c r="BLZ188" s="84"/>
      <c r="BMA188" s="84"/>
      <c r="BMB188" s="84"/>
      <c r="BMC188" s="84"/>
      <c r="BMD188" s="84"/>
      <c r="BME188" s="84"/>
      <c r="BMF188" s="84"/>
      <c r="BMG188" s="84"/>
      <c r="BMH188" s="84"/>
      <c r="BMI188" s="84"/>
      <c r="BMJ188" s="84"/>
      <c r="BMK188" s="84"/>
      <c r="BML188" s="84"/>
      <c r="BMM188" s="84"/>
      <c r="BMN188" s="84"/>
      <c r="BMO188" s="84"/>
      <c r="BMP188" s="84"/>
      <c r="BMQ188" s="84"/>
      <c r="BMR188" s="84"/>
      <c r="BMS188" s="84"/>
      <c r="BMT188" s="84"/>
      <c r="BMU188" s="84"/>
      <c r="BMV188" s="84"/>
      <c r="BMW188" s="84"/>
      <c r="BMX188" s="84"/>
      <c r="BMY188" s="84"/>
      <c r="BMZ188" s="84"/>
      <c r="BNA188" s="84"/>
      <c r="BNB188" s="84"/>
      <c r="BNC188" s="84"/>
      <c r="BND188" s="84"/>
      <c r="BNE188" s="84"/>
      <c r="BNF188" s="84"/>
      <c r="BNG188" s="84"/>
      <c r="BNH188" s="84"/>
      <c r="BNI188" s="84"/>
      <c r="BNJ188" s="84"/>
      <c r="BNK188" s="84"/>
      <c r="BNL188" s="84"/>
      <c r="BNM188" s="84"/>
      <c r="BNN188" s="84"/>
      <c r="BNO188" s="84"/>
      <c r="BNP188" s="84"/>
      <c r="BNQ188" s="84"/>
      <c r="BNR188" s="84"/>
      <c r="BNS188" s="84"/>
      <c r="BNT188" s="84"/>
      <c r="BNU188" s="84"/>
      <c r="BNV188" s="84"/>
      <c r="BNW188" s="84"/>
      <c r="BNX188" s="84"/>
      <c r="BNY188" s="84"/>
      <c r="BNZ188" s="84"/>
      <c r="BOA188" s="84"/>
      <c r="BOB188" s="84"/>
      <c r="BOC188" s="84"/>
      <c r="BOD188" s="84"/>
      <c r="BOE188" s="84"/>
      <c r="BOF188" s="84"/>
      <c r="BOG188" s="84"/>
      <c r="BOH188" s="84"/>
      <c r="BOI188" s="84"/>
      <c r="BOJ188" s="84"/>
      <c r="BOK188" s="84"/>
      <c r="BOL188" s="84"/>
      <c r="BOM188" s="84"/>
      <c r="BON188" s="84"/>
      <c r="BOO188" s="84"/>
      <c r="BOP188" s="84"/>
      <c r="BOQ188" s="84"/>
      <c r="BOR188" s="84"/>
      <c r="BOS188" s="84"/>
      <c r="BOT188" s="84"/>
      <c r="BOU188" s="84"/>
      <c r="BOV188" s="84"/>
      <c r="BOW188" s="84"/>
      <c r="BOX188" s="84"/>
      <c r="BOY188" s="84"/>
      <c r="BOZ188" s="84"/>
      <c r="BPA188" s="84"/>
      <c r="BPB188" s="84"/>
      <c r="BPC188" s="84"/>
      <c r="BPD188" s="84"/>
      <c r="BPE188" s="84"/>
      <c r="BPF188" s="84"/>
      <c r="BPG188" s="84"/>
      <c r="BPH188" s="84"/>
      <c r="BPI188" s="84"/>
      <c r="BPJ188" s="84"/>
      <c r="BPK188" s="84"/>
      <c r="BPL188" s="84"/>
      <c r="BPM188" s="84"/>
      <c r="BPN188" s="84"/>
      <c r="BPO188" s="84"/>
      <c r="BPP188" s="84"/>
      <c r="BPQ188" s="84"/>
      <c r="BPR188" s="84"/>
      <c r="BPS188" s="84"/>
      <c r="BPT188" s="84"/>
      <c r="BPU188" s="84"/>
      <c r="BPV188" s="84"/>
      <c r="BPW188" s="84"/>
      <c r="BPX188" s="84"/>
      <c r="BPY188" s="84"/>
      <c r="BPZ188" s="84"/>
      <c r="BQA188" s="84"/>
      <c r="BQB188" s="84"/>
      <c r="BQC188" s="84"/>
      <c r="BQD188" s="84"/>
      <c r="BQE188" s="84"/>
      <c r="BQF188" s="84"/>
      <c r="BQG188" s="84"/>
      <c r="BQH188" s="84"/>
      <c r="BQI188" s="84"/>
      <c r="BQJ188" s="84"/>
      <c r="BQK188" s="84"/>
      <c r="BQL188" s="84"/>
      <c r="BQM188" s="84"/>
      <c r="BQN188" s="84"/>
      <c r="BQO188" s="84"/>
      <c r="BQP188" s="84"/>
      <c r="BQQ188" s="84"/>
      <c r="BQR188" s="84"/>
      <c r="BQS188" s="84"/>
      <c r="BQT188" s="84"/>
      <c r="BQU188" s="84"/>
      <c r="BQV188" s="84"/>
      <c r="BQW188" s="84"/>
      <c r="BQX188" s="84"/>
      <c r="BQY188" s="84"/>
      <c r="BQZ188" s="84"/>
      <c r="BRA188" s="84"/>
      <c r="BRB188" s="84"/>
      <c r="BRC188" s="84"/>
      <c r="BRD188" s="84"/>
      <c r="BRE188" s="84"/>
      <c r="BRF188" s="84"/>
      <c r="BRG188" s="84"/>
      <c r="BRH188" s="84"/>
      <c r="BRI188" s="84"/>
      <c r="BRJ188" s="84"/>
      <c r="BRK188" s="84"/>
      <c r="BRL188" s="84"/>
      <c r="BRM188" s="84"/>
      <c r="BRN188" s="84"/>
      <c r="BRO188" s="84"/>
      <c r="BRP188" s="84"/>
      <c r="BRQ188" s="84"/>
      <c r="BRR188" s="84"/>
      <c r="BRS188" s="84"/>
      <c r="BRT188" s="84"/>
      <c r="BRU188" s="84"/>
      <c r="BRV188" s="84"/>
      <c r="BRW188" s="84"/>
      <c r="BRX188" s="84"/>
      <c r="BRY188" s="84"/>
      <c r="BRZ188" s="84"/>
      <c r="BSA188" s="84"/>
      <c r="BSB188" s="84"/>
      <c r="BSC188" s="84"/>
      <c r="BSD188" s="84"/>
      <c r="BSE188" s="84"/>
      <c r="BSF188" s="84"/>
      <c r="BSG188" s="84"/>
      <c r="BSH188" s="84"/>
      <c r="BSI188" s="84"/>
      <c r="BSJ188" s="84"/>
      <c r="BSK188" s="84"/>
      <c r="BSL188" s="84"/>
      <c r="BSM188" s="84"/>
      <c r="BSN188" s="84"/>
      <c r="BSO188" s="84"/>
      <c r="BSP188" s="84"/>
      <c r="BSQ188" s="84"/>
      <c r="BSR188" s="84"/>
      <c r="BSS188" s="84"/>
      <c r="BST188" s="84"/>
      <c r="BSU188" s="84"/>
      <c r="BSV188" s="84"/>
      <c r="BSW188" s="84"/>
      <c r="BSX188" s="84"/>
      <c r="BSY188" s="84"/>
      <c r="BSZ188" s="84"/>
      <c r="BTA188" s="84"/>
      <c r="BTB188" s="84"/>
      <c r="BTC188" s="84"/>
      <c r="BTD188" s="84"/>
      <c r="BTE188" s="84"/>
      <c r="BTF188" s="84"/>
      <c r="BTG188" s="84"/>
      <c r="BTH188" s="84"/>
      <c r="BTI188" s="84"/>
      <c r="BTJ188" s="84"/>
      <c r="BTK188" s="84"/>
      <c r="BTL188" s="84"/>
      <c r="BTM188" s="84"/>
      <c r="BTN188" s="84"/>
      <c r="BTO188" s="84"/>
      <c r="BTP188" s="84"/>
      <c r="BTQ188" s="84"/>
      <c r="BTR188" s="84"/>
      <c r="BTS188" s="84"/>
      <c r="BTT188" s="84"/>
      <c r="BTU188" s="84"/>
      <c r="BTV188" s="84"/>
      <c r="BTW188" s="84"/>
      <c r="BTX188" s="84"/>
      <c r="BTY188" s="84"/>
      <c r="BTZ188" s="84"/>
      <c r="BUA188" s="84"/>
      <c r="BUB188" s="84"/>
      <c r="BUC188" s="84"/>
      <c r="BUD188" s="84"/>
      <c r="BUE188" s="84"/>
      <c r="BUF188" s="84"/>
      <c r="BUG188" s="84"/>
      <c r="BUH188" s="84"/>
      <c r="BUI188" s="84"/>
      <c r="BUJ188" s="84"/>
      <c r="BUK188" s="84"/>
      <c r="BUL188" s="84"/>
      <c r="BUM188" s="84"/>
      <c r="BUN188" s="84"/>
      <c r="BUO188" s="84"/>
      <c r="BUP188" s="84"/>
      <c r="BUQ188" s="84"/>
      <c r="BUR188" s="84"/>
      <c r="BUS188" s="84"/>
      <c r="BUT188" s="84"/>
      <c r="BUU188" s="84"/>
      <c r="BUV188" s="84"/>
      <c r="BUW188" s="84"/>
      <c r="BUX188" s="84"/>
      <c r="BUY188" s="84"/>
      <c r="BUZ188" s="84"/>
      <c r="BVA188" s="84"/>
      <c r="BVB188" s="84"/>
      <c r="BVC188" s="84"/>
      <c r="BVD188" s="84"/>
      <c r="BVE188" s="84"/>
      <c r="BVF188" s="84"/>
      <c r="BVG188" s="84"/>
      <c r="BVH188" s="84"/>
      <c r="BVI188" s="84"/>
      <c r="BVJ188" s="84"/>
      <c r="BVK188" s="84"/>
      <c r="BVL188" s="84"/>
      <c r="BVM188" s="84"/>
      <c r="BVN188" s="84"/>
      <c r="BVO188" s="84"/>
      <c r="BVP188" s="84"/>
      <c r="BVQ188" s="84"/>
      <c r="BVR188" s="84"/>
      <c r="BVS188" s="84"/>
      <c r="BVT188" s="84"/>
      <c r="BVU188" s="84"/>
      <c r="BVV188" s="84"/>
      <c r="BVW188" s="84"/>
      <c r="BVX188" s="84"/>
      <c r="BVY188" s="84"/>
      <c r="BVZ188" s="84"/>
      <c r="BWA188" s="84"/>
      <c r="BWB188" s="84"/>
      <c r="BWC188" s="84"/>
      <c r="BWD188" s="84"/>
      <c r="BWE188" s="84"/>
      <c r="BWF188" s="84"/>
      <c r="BWG188" s="84"/>
      <c r="BWH188" s="84"/>
      <c r="BWI188" s="84"/>
      <c r="BWJ188" s="84"/>
      <c r="BWK188" s="84"/>
      <c r="BWL188" s="84"/>
      <c r="BWM188" s="84"/>
      <c r="BWN188" s="84"/>
      <c r="BWO188" s="84"/>
      <c r="BWP188" s="84"/>
      <c r="BWQ188" s="84"/>
      <c r="BWR188" s="84"/>
      <c r="BWS188" s="84"/>
      <c r="BWT188" s="84"/>
      <c r="BWU188" s="84"/>
      <c r="BWV188" s="84"/>
      <c r="BWW188" s="84"/>
      <c r="BWX188" s="84"/>
      <c r="BWY188" s="84"/>
      <c r="BWZ188" s="84"/>
      <c r="BXA188" s="84"/>
      <c r="BXB188" s="84"/>
      <c r="BXC188" s="84"/>
      <c r="BXD188" s="84"/>
      <c r="BXE188" s="84"/>
      <c r="BXF188" s="84"/>
      <c r="BXG188" s="84"/>
      <c r="BXH188" s="84"/>
      <c r="BXI188" s="84"/>
      <c r="BXJ188" s="84"/>
      <c r="BXK188" s="84"/>
      <c r="BXL188" s="84"/>
      <c r="BXM188" s="84"/>
      <c r="BXN188" s="84"/>
      <c r="BXO188" s="84"/>
      <c r="BXP188" s="84"/>
      <c r="BXQ188" s="84"/>
      <c r="BXR188" s="84"/>
      <c r="BXS188" s="84"/>
      <c r="BXT188" s="84"/>
      <c r="BXU188" s="84"/>
      <c r="BXV188" s="84"/>
      <c r="BXW188" s="84"/>
      <c r="BXX188" s="84"/>
      <c r="BXY188" s="84"/>
      <c r="BXZ188" s="84"/>
      <c r="BYA188" s="84"/>
      <c r="BYB188" s="84"/>
      <c r="BYC188" s="84"/>
      <c r="BYD188" s="84"/>
      <c r="BYE188" s="84"/>
      <c r="BYF188" s="84"/>
      <c r="BYG188" s="84"/>
      <c r="BYH188" s="84"/>
      <c r="BYI188" s="84"/>
      <c r="BYJ188" s="84"/>
      <c r="BYK188" s="84"/>
      <c r="BYL188" s="84"/>
      <c r="BYM188" s="84"/>
      <c r="BYN188" s="84"/>
      <c r="BYO188" s="84"/>
      <c r="BYP188" s="84"/>
      <c r="BYQ188" s="84"/>
      <c r="BYR188" s="84"/>
      <c r="BYS188" s="84"/>
      <c r="BYT188" s="84"/>
      <c r="BYU188" s="84"/>
      <c r="BYV188" s="84"/>
      <c r="BYW188" s="84"/>
      <c r="BYX188" s="84"/>
      <c r="BYY188" s="84"/>
      <c r="BYZ188" s="84"/>
      <c r="BZA188" s="84"/>
      <c r="BZB188" s="84"/>
      <c r="BZC188" s="84"/>
      <c r="BZD188" s="84"/>
      <c r="BZE188" s="84"/>
      <c r="BZF188" s="84"/>
      <c r="BZG188" s="84"/>
      <c r="BZH188" s="84"/>
      <c r="BZI188" s="84"/>
      <c r="BZJ188" s="84"/>
      <c r="BZK188" s="84"/>
      <c r="BZL188" s="84"/>
      <c r="BZM188" s="84"/>
      <c r="BZN188" s="84"/>
      <c r="BZO188" s="84"/>
      <c r="BZP188" s="84"/>
      <c r="BZQ188" s="84"/>
      <c r="BZR188" s="84"/>
      <c r="BZS188" s="84"/>
      <c r="BZT188" s="84"/>
      <c r="BZU188" s="84"/>
      <c r="BZV188" s="84"/>
      <c r="BZW188" s="84"/>
      <c r="BZX188" s="84"/>
      <c r="BZY188" s="84"/>
      <c r="BZZ188" s="84"/>
      <c r="CAA188" s="84"/>
      <c r="CAB188" s="84"/>
      <c r="CAC188" s="84"/>
      <c r="CAD188" s="84"/>
      <c r="CAE188" s="84"/>
      <c r="CAF188" s="84"/>
      <c r="CAG188" s="84"/>
      <c r="CAH188" s="84"/>
      <c r="CAI188" s="84"/>
      <c r="CAJ188" s="84"/>
      <c r="CAK188" s="84"/>
      <c r="CAL188" s="84"/>
      <c r="CAM188" s="84"/>
      <c r="CAN188" s="84"/>
      <c r="CAO188" s="84"/>
      <c r="CAP188" s="84"/>
      <c r="CAQ188" s="84"/>
      <c r="CAR188" s="84"/>
      <c r="CAS188" s="84"/>
      <c r="CAT188" s="84"/>
      <c r="CAU188" s="84"/>
      <c r="CAV188" s="84"/>
      <c r="CAW188" s="84"/>
      <c r="CAX188" s="84"/>
      <c r="CAY188" s="84"/>
      <c r="CAZ188" s="84"/>
      <c r="CBA188" s="84"/>
      <c r="CBB188" s="84"/>
      <c r="CBC188" s="84"/>
      <c r="CBD188" s="84"/>
      <c r="CBE188" s="84"/>
      <c r="CBF188" s="84"/>
      <c r="CBG188" s="84"/>
      <c r="CBH188" s="84"/>
      <c r="CBI188" s="84"/>
      <c r="CBJ188" s="84"/>
      <c r="CBK188" s="84"/>
      <c r="CBL188" s="84"/>
      <c r="CBM188" s="84"/>
      <c r="CBN188" s="84"/>
      <c r="CBO188" s="84"/>
      <c r="CBP188" s="84"/>
      <c r="CBQ188" s="84"/>
      <c r="CBR188" s="84"/>
      <c r="CBS188" s="84"/>
      <c r="CBT188" s="84"/>
      <c r="CBU188" s="84"/>
      <c r="CBV188" s="84"/>
      <c r="CBW188" s="84"/>
      <c r="CBX188" s="84"/>
      <c r="CBY188" s="84"/>
      <c r="CBZ188" s="84"/>
      <c r="CCA188" s="84"/>
      <c r="CCB188" s="84"/>
      <c r="CCC188" s="84"/>
      <c r="CCD188" s="84"/>
      <c r="CCE188" s="84"/>
      <c r="CCF188" s="84"/>
      <c r="CCG188" s="84"/>
      <c r="CCH188" s="84"/>
      <c r="CCI188" s="84"/>
      <c r="CCJ188" s="84"/>
      <c r="CCK188" s="84"/>
      <c r="CCL188" s="84"/>
      <c r="CCM188" s="84"/>
      <c r="CCN188" s="84"/>
      <c r="CCO188" s="84"/>
      <c r="CCP188" s="84"/>
      <c r="CCQ188" s="84"/>
      <c r="CCR188" s="84"/>
      <c r="CCS188" s="84"/>
      <c r="CCT188" s="84"/>
      <c r="CCU188" s="84"/>
      <c r="CCV188" s="84"/>
      <c r="CCW188" s="84"/>
      <c r="CCX188" s="84"/>
      <c r="CCY188" s="84"/>
      <c r="CCZ188" s="84"/>
      <c r="CDA188" s="84"/>
      <c r="CDB188" s="84"/>
      <c r="CDC188" s="84"/>
      <c r="CDD188" s="84"/>
      <c r="CDE188" s="84"/>
      <c r="CDF188" s="84"/>
      <c r="CDG188" s="84"/>
      <c r="CDH188" s="84"/>
      <c r="CDI188" s="84"/>
      <c r="CDJ188" s="84"/>
      <c r="CDK188" s="84"/>
      <c r="CDL188" s="84"/>
      <c r="CDM188" s="84"/>
      <c r="CDN188" s="84"/>
      <c r="CDO188" s="84"/>
      <c r="CDP188" s="84"/>
      <c r="CDQ188" s="84"/>
      <c r="CDR188" s="84"/>
      <c r="CDS188" s="84"/>
      <c r="CDT188" s="84"/>
      <c r="CDU188" s="84"/>
      <c r="CDV188" s="84"/>
      <c r="CDW188" s="84"/>
      <c r="CDX188" s="84"/>
      <c r="CDY188" s="84"/>
      <c r="CDZ188" s="84"/>
      <c r="CEA188" s="84"/>
      <c r="CEB188" s="84"/>
      <c r="CEC188" s="84"/>
      <c r="CED188" s="84"/>
      <c r="CEE188" s="84"/>
      <c r="CEF188" s="84"/>
      <c r="CEG188" s="84"/>
      <c r="CEH188" s="84"/>
      <c r="CEI188" s="84"/>
      <c r="CEJ188" s="84"/>
      <c r="CEK188" s="84"/>
      <c r="CEL188" s="84"/>
      <c r="CEM188" s="84"/>
      <c r="CEN188" s="84"/>
      <c r="CEO188" s="84"/>
      <c r="CEP188" s="84"/>
      <c r="CEQ188" s="84"/>
      <c r="CER188" s="84"/>
      <c r="CES188" s="84"/>
      <c r="CET188" s="84"/>
      <c r="CEU188" s="84"/>
      <c r="CEV188" s="84"/>
      <c r="CEW188" s="84"/>
      <c r="CEX188" s="84"/>
      <c r="CEY188" s="84"/>
      <c r="CEZ188" s="84"/>
      <c r="CFA188" s="84"/>
      <c r="CFB188" s="84"/>
      <c r="CFC188" s="84"/>
      <c r="CFD188" s="84"/>
      <c r="CFE188" s="84"/>
      <c r="CFF188" s="84"/>
      <c r="CFG188" s="84"/>
      <c r="CFH188" s="84"/>
      <c r="CFI188" s="84"/>
      <c r="CFJ188" s="84"/>
      <c r="CFK188" s="84"/>
      <c r="CFL188" s="84"/>
      <c r="CFM188" s="84"/>
      <c r="CFN188" s="84"/>
      <c r="CFO188" s="84"/>
      <c r="CFP188" s="84"/>
      <c r="CFQ188" s="84"/>
      <c r="CFR188" s="84"/>
      <c r="CFS188" s="84"/>
      <c r="CFT188" s="84"/>
      <c r="CFU188" s="84"/>
      <c r="CFV188" s="84"/>
      <c r="CFW188" s="84"/>
      <c r="CFX188" s="84"/>
      <c r="CFY188" s="84"/>
      <c r="CFZ188" s="84"/>
      <c r="CGA188" s="84"/>
      <c r="CGB188" s="84"/>
      <c r="CGC188" s="84"/>
      <c r="CGD188" s="84"/>
      <c r="CGE188" s="84"/>
      <c r="CGF188" s="84"/>
      <c r="CGG188" s="84"/>
      <c r="CGH188" s="84"/>
      <c r="CGI188" s="84"/>
      <c r="CGJ188" s="84"/>
      <c r="CGK188" s="84"/>
      <c r="CGL188" s="84"/>
      <c r="CGM188" s="84"/>
      <c r="CGN188" s="84"/>
      <c r="CGO188" s="84"/>
      <c r="CGP188" s="84"/>
      <c r="CGQ188" s="84"/>
      <c r="CGR188" s="84"/>
      <c r="CGS188" s="84"/>
      <c r="CGT188" s="84"/>
      <c r="CGU188" s="84"/>
      <c r="CGV188" s="84"/>
      <c r="CGW188" s="84"/>
      <c r="CGX188" s="84"/>
      <c r="CGY188" s="84"/>
      <c r="CGZ188" s="84"/>
      <c r="CHA188" s="84"/>
      <c r="CHB188" s="84"/>
      <c r="CHC188" s="84"/>
      <c r="CHD188" s="84"/>
      <c r="CHE188" s="84"/>
      <c r="CHF188" s="84"/>
      <c r="CHG188" s="84"/>
      <c r="CHH188" s="84"/>
      <c r="CHI188" s="84"/>
      <c r="CHJ188" s="84"/>
      <c r="CHK188" s="84"/>
      <c r="CHL188" s="84"/>
      <c r="CHM188" s="84"/>
      <c r="CHN188" s="84"/>
      <c r="CHO188" s="84"/>
      <c r="CHP188" s="84"/>
      <c r="CHQ188" s="84"/>
      <c r="CHR188" s="84"/>
      <c r="CHS188" s="84"/>
      <c r="CHT188" s="84"/>
      <c r="CHU188" s="84"/>
      <c r="CHV188" s="84"/>
      <c r="CHW188" s="84"/>
      <c r="CHX188" s="84"/>
      <c r="CHY188" s="84"/>
      <c r="CHZ188" s="84"/>
      <c r="CIA188" s="84"/>
      <c r="CIB188" s="84"/>
      <c r="CIC188" s="84"/>
      <c r="CID188" s="84"/>
      <c r="CIE188" s="84"/>
      <c r="CIF188" s="84"/>
      <c r="CIG188" s="84"/>
      <c r="CIH188" s="84"/>
      <c r="CII188" s="84"/>
      <c r="CIJ188" s="84"/>
      <c r="CIK188" s="84"/>
      <c r="CIL188" s="84"/>
      <c r="CIM188" s="84"/>
      <c r="CIN188" s="84"/>
      <c r="CIO188" s="84"/>
      <c r="CIP188" s="84"/>
      <c r="CIQ188" s="84"/>
      <c r="CIR188" s="84"/>
      <c r="CIS188" s="84"/>
      <c r="CIT188" s="84"/>
      <c r="CIU188" s="84"/>
      <c r="CIV188" s="84"/>
      <c r="CIW188" s="84"/>
      <c r="CIX188" s="84"/>
      <c r="CIY188" s="84"/>
      <c r="CIZ188" s="84"/>
      <c r="CJA188" s="84"/>
      <c r="CJB188" s="84"/>
      <c r="CJC188" s="84"/>
      <c r="CJD188" s="84"/>
      <c r="CJE188" s="84"/>
      <c r="CJF188" s="84"/>
      <c r="CJG188" s="84"/>
      <c r="CJH188" s="84"/>
      <c r="CJI188" s="84"/>
      <c r="CJJ188" s="84"/>
      <c r="CJK188" s="84"/>
      <c r="CJL188" s="84"/>
      <c r="CJM188" s="84"/>
      <c r="CJN188" s="84"/>
      <c r="CJO188" s="84"/>
      <c r="CJP188" s="84"/>
      <c r="CJQ188" s="84"/>
      <c r="CJR188" s="84"/>
      <c r="CJS188" s="84"/>
      <c r="CJT188" s="84"/>
      <c r="CJU188" s="84"/>
      <c r="CJV188" s="84"/>
      <c r="CJW188" s="84"/>
      <c r="CJX188" s="84"/>
      <c r="CJY188" s="84"/>
      <c r="CJZ188" s="84"/>
      <c r="CKA188" s="84"/>
      <c r="CKB188" s="84"/>
      <c r="CKC188" s="84"/>
      <c r="CKD188" s="84"/>
      <c r="CKE188" s="84"/>
      <c r="CKF188" s="84"/>
      <c r="CKG188" s="84"/>
      <c r="CKH188" s="84"/>
      <c r="CKI188" s="84"/>
      <c r="CKJ188" s="84"/>
      <c r="CKK188" s="84"/>
      <c r="CKL188" s="84"/>
      <c r="CKM188" s="84"/>
      <c r="CKN188" s="84"/>
      <c r="CKO188" s="84"/>
      <c r="CKP188" s="84"/>
      <c r="CKQ188" s="84"/>
      <c r="CKR188" s="84"/>
      <c r="CKS188" s="84"/>
      <c r="CKT188" s="84"/>
      <c r="CKU188" s="84"/>
      <c r="CKV188" s="84"/>
      <c r="CKW188" s="84"/>
      <c r="CKX188" s="84"/>
      <c r="CKY188" s="84"/>
      <c r="CKZ188" s="84"/>
      <c r="CLA188" s="84"/>
      <c r="CLB188" s="84"/>
      <c r="CLC188" s="84"/>
      <c r="CLD188" s="84"/>
      <c r="CLE188" s="84"/>
      <c r="CLF188" s="84"/>
      <c r="CLG188" s="84"/>
      <c r="CLH188" s="84"/>
      <c r="CLI188" s="84"/>
      <c r="CLJ188" s="84"/>
      <c r="CLK188" s="84"/>
      <c r="CLL188" s="84"/>
      <c r="CLM188" s="84"/>
      <c r="CLN188" s="84"/>
      <c r="CLO188" s="84"/>
      <c r="CLP188" s="84"/>
      <c r="CLQ188" s="84"/>
      <c r="CLR188" s="84"/>
      <c r="CLS188" s="84"/>
      <c r="CLT188" s="84"/>
      <c r="CLU188" s="84"/>
      <c r="CLV188" s="84"/>
      <c r="CLW188" s="84"/>
      <c r="CLX188" s="84"/>
      <c r="CLY188" s="84"/>
      <c r="CLZ188" s="84"/>
      <c r="CMA188" s="84"/>
      <c r="CMB188" s="84"/>
      <c r="CMC188" s="84"/>
      <c r="CMD188" s="84"/>
      <c r="CME188" s="84"/>
      <c r="CMF188" s="84"/>
      <c r="CMG188" s="84"/>
      <c r="CMH188" s="84"/>
      <c r="CMI188" s="84"/>
      <c r="CMJ188" s="84"/>
      <c r="CMK188" s="84"/>
      <c r="CML188" s="84"/>
      <c r="CMM188" s="84"/>
      <c r="CMN188" s="84"/>
      <c r="CMO188" s="84"/>
      <c r="CMP188" s="84"/>
      <c r="CMQ188" s="84"/>
      <c r="CMR188" s="84"/>
      <c r="CMS188" s="84"/>
      <c r="CMT188" s="84"/>
      <c r="CMU188" s="84"/>
      <c r="CMV188" s="84"/>
      <c r="CMW188" s="84"/>
      <c r="CMX188" s="84"/>
      <c r="CMY188" s="84"/>
      <c r="CMZ188" s="84"/>
      <c r="CNA188" s="84"/>
      <c r="CNB188" s="84"/>
      <c r="CNC188" s="84"/>
      <c r="CND188" s="84"/>
      <c r="CNE188" s="84"/>
      <c r="CNF188" s="84"/>
      <c r="CNG188" s="84"/>
      <c r="CNH188" s="84"/>
      <c r="CNI188" s="84"/>
      <c r="CNJ188" s="84"/>
      <c r="CNK188" s="84"/>
      <c r="CNL188" s="84"/>
      <c r="CNM188" s="84"/>
      <c r="CNN188" s="84"/>
      <c r="CNO188" s="84"/>
      <c r="CNP188" s="84"/>
      <c r="CNQ188" s="84"/>
      <c r="CNR188" s="84"/>
      <c r="CNS188" s="84"/>
      <c r="CNT188" s="84"/>
      <c r="CNU188" s="84"/>
      <c r="CNV188" s="84"/>
      <c r="CNW188" s="84"/>
      <c r="CNX188" s="84"/>
      <c r="CNY188" s="84"/>
      <c r="CNZ188" s="84"/>
      <c r="COA188" s="84"/>
      <c r="COB188" s="84"/>
      <c r="COC188" s="84"/>
      <c r="COD188" s="84"/>
      <c r="COE188" s="84"/>
      <c r="COF188" s="84"/>
      <c r="COG188" s="84"/>
      <c r="COH188" s="84"/>
      <c r="COI188" s="84"/>
      <c r="COJ188" s="84"/>
      <c r="COK188" s="84"/>
      <c r="COL188" s="84"/>
      <c r="COM188" s="84"/>
      <c r="CON188" s="84"/>
      <c r="COO188" s="84"/>
      <c r="COP188" s="84"/>
      <c r="COQ188" s="84"/>
      <c r="COR188" s="84"/>
      <c r="COS188" s="84"/>
      <c r="COT188" s="84"/>
      <c r="COU188" s="84"/>
      <c r="COV188" s="84"/>
      <c r="COW188" s="84"/>
      <c r="COX188" s="84"/>
      <c r="COY188" s="84"/>
      <c r="COZ188" s="84"/>
      <c r="CPA188" s="84"/>
      <c r="CPB188" s="84"/>
      <c r="CPC188" s="84"/>
      <c r="CPD188" s="84"/>
      <c r="CPE188" s="84"/>
      <c r="CPF188" s="84"/>
      <c r="CPG188" s="84"/>
      <c r="CPH188" s="84"/>
      <c r="CPI188" s="84"/>
      <c r="CPJ188" s="84"/>
      <c r="CPK188" s="84"/>
      <c r="CPL188" s="84"/>
      <c r="CPM188" s="84"/>
      <c r="CPN188" s="84"/>
      <c r="CPO188" s="84"/>
      <c r="CPP188" s="84"/>
      <c r="CPQ188" s="84"/>
      <c r="CPR188" s="84"/>
      <c r="CPS188" s="84"/>
      <c r="CPT188" s="84"/>
      <c r="CPU188" s="84"/>
      <c r="CPV188" s="84"/>
      <c r="CPW188" s="84"/>
      <c r="CPX188" s="84"/>
      <c r="CPY188" s="84"/>
      <c r="CPZ188" s="84"/>
      <c r="CQA188" s="84"/>
      <c r="CQB188" s="84"/>
      <c r="CQC188" s="84"/>
      <c r="CQD188" s="84"/>
      <c r="CQE188" s="84"/>
      <c r="CQF188" s="84"/>
      <c r="CQG188" s="84"/>
      <c r="CQH188" s="84"/>
      <c r="CQI188" s="84"/>
      <c r="CQJ188" s="84"/>
      <c r="CQK188" s="84"/>
      <c r="CQL188" s="84"/>
      <c r="CQM188" s="84"/>
      <c r="CQN188" s="84"/>
      <c r="CQO188" s="84"/>
      <c r="CQP188" s="84"/>
      <c r="CQQ188" s="84"/>
      <c r="CQR188" s="84"/>
      <c r="CQS188" s="84"/>
      <c r="CQT188" s="84"/>
      <c r="CQU188" s="84"/>
      <c r="CQV188" s="84"/>
      <c r="CQW188" s="84"/>
      <c r="CQX188" s="84"/>
      <c r="CQY188" s="84"/>
      <c r="CQZ188" s="84"/>
      <c r="CRA188" s="84"/>
      <c r="CRB188" s="84"/>
      <c r="CRC188" s="84"/>
      <c r="CRD188" s="84"/>
      <c r="CRE188" s="84"/>
      <c r="CRF188" s="84"/>
      <c r="CRG188" s="84"/>
      <c r="CRH188" s="84"/>
      <c r="CRI188" s="84"/>
      <c r="CRJ188" s="84"/>
      <c r="CRK188" s="84"/>
      <c r="CRL188" s="84"/>
      <c r="CRM188" s="84"/>
      <c r="CRN188" s="84"/>
      <c r="CRO188" s="84"/>
      <c r="CRP188" s="84"/>
      <c r="CRQ188" s="84"/>
      <c r="CRR188" s="84"/>
      <c r="CRS188" s="84"/>
      <c r="CRT188" s="84"/>
      <c r="CRU188" s="84"/>
      <c r="CRV188" s="84"/>
      <c r="CRW188" s="84"/>
      <c r="CRX188" s="84"/>
      <c r="CRY188" s="84"/>
      <c r="CRZ188" s="84"/>
      <c r="CSA188" s="84"/>
      <c r="CSB188" s="84"/>
      <c r="CSC188" s="84"/>
      <c r="CSD188" s="84"/>
      <c r="CSE188" s="84"/>
      <c r="CSF188" s="84"/>
      <c r="CSG188" s="84"/>
      <c r="CSH188" s="84"/>
      <c r="CSI188" s="84"/>
      <c r="CSJ188" s="84"/>
      <c r="CSK188" s="84"/>
      <c r="CSL188" s="84"/>
      <c r="CSM188" s="84"/>
      <c r="CSN188" s="84"/>
      <c r="CSO188" s="84"/>
      <c r="CSP188" s="84"/>
      <c r="CSQ188" s="84"/>
      <c r="CSR188" s="84"/>
      <c r="CSS188" s="84"/>
      <c r="CST188" s="84"/>
      <c r="CSU188" s="84"/>
      <c r="CSV188" s="84"/>
      <c r="CSW188" s="84"/>
      <c r="CSX188" s="84"/>
      <c r="CSY188" s="84"/>
      <c r="CSZ188" s="84"/>
      <c r="CTA188" s="84"/>
      <c r="CTB188" s="84"/>
      <c r="CTC188" s="84"/>
      <c r="CTD188" s="84"/>
      <c r="CTE188" s="84"/>
      <c r="CTF188" s="84"/>
      <c r="CTG188" s="84"/>
      <c r="CTH188" s="84"/>
      <c r="CTI188" s="84"/>
      <c r="CTJ188" s="84"/>
      <c r="CTK188" s="84"/>
      <c r="CTL188" s="84"/>
      <c r="CTM188" s="84"/>
      <c r="CTN188" s="84"/>
      <c r="CTO188" s="84"/>
      <c r="CTP188" s="84"/>
      <c r="CTQ188" s="84"/>
      <c r="CTR188" s="84"/>
      <c r="CTS188" s="84"/>
      <c r="CTT188" s="84"/>
      <c r="CTU188" s="84"/>
      <c r="CTV188" s="84"/>
      <c r="CTW188" s="84"/>
      <c r="CTX188" s="84"/>
      <c r="CTY188" s="84"/>
      <c r="CTZ188" s="84"/>
      <c r="CUA188" s="84"/>
      <c r="CUB188" s="84"/>
      <c r="CUC188" s="84"/>
      <c r="CUD188" s="84"/>
      <c r="CUE188" s="84"/>
      <c r="CUF188" s="84"/>
      <c r="CUG188" s="84"/>
      <c r="CUH188" s="84"/>
      <c r="CUI188" s="84"/>
      <c r="CUJ188" s="84"/>
      <c r="CUK188" s="84"/>
      <c r="CUL188" s="84"/>
      <c r="CUM188" s="84"/>
      <c r="CUN188" s="84"/>
      <c r="CUO188" s="84"/>
      <c r="CUP188" s="84"/>
      <c r="CUQ188" s="84"/>
      <c r="CUR188" s="84"/>
      <c r="CUS188" s="84"/>
      <c r="CUT188" s="84"/>
      <c r="CUU188" s="84"/>
      <c r="CUV188" s="84"/>
      <c r="CUW188" s="84"/>
      <c r="CUX188" s="84"/>
      <c r="CUY188" s="84"/>
      <c r="CUZ188" s="84"/>
      <c r="CVA188" s="84"/>
      <c r="CVB188" s="84"/>
      <c r="CVC188" s="84"/>
      <c r="CVD188" s="84"/>
      <c r="CVE188" s="84"/>
      <c r="CVF188" s="84"/>
      <c r="CVG188" s="84"/>
      <c r="CVH188" s="84"/>
      <c r="CVI188" s="84"/>
      <c r="CVJ188" s="84"/>
      <c r="CVK188" s="84"/>
      <c r="CVL188" s="84"/>
      <c r="CVM188" s="84"/>
      <c r="CVN188" s="84"/>
      <c r="CVO188" s="84"/>
      <c r="CVP188" s="84"/>
      <c r="CVQ188" s="84"/>
      <c r="CVR188" s="84"/>
      <c r="CVS188" s="84"/>
      <c r="CVT188" s="84"/>
      <c r="CVU188" s="84"/>
      <c r="CVV188" s="84"/>
      <c r="CVW188" s="84"/>
      <c r="CVX188" s="84"/>
      <c r="CVY188" s="84"/>
      <c r="CVZ188" s="84"/>
      <c r="CWA188" s="84"/>
      <c r="CWB188" s="84"/>
      <c r="CWC188" s="84"/>
      <c r="CWD188" s="84"/>
      <c r="CWE188" s="84"/>
      <c r="CWF188" s="84"/>
      <c r="CWG188" s="84"/>
      <c r="CWH188" s="84"/>
      <c r="CWI188" s="84"/>
      <c r="CWJ188" s="84"/>
      <c r="CWK188" s="84"/>
      <c r="CWL188" s="84"/>
      <c r="CWM188" s="84"/>
      <c r="CWN188" s="84"/>
      <c r="CWO188" s="84"/>
      <c r="CWP188" s="84"/>
      <c r="CWQ188" s="84"/>
      <c r="CWR188" s="84"/>
      <c r="CWS188" s="84"/>
      <c r="CWT188" s="84"/>
      <c r="CWU188" s="84"/>
      <c r="CWV188" s="84"/>
      <c r="CWW188" s="84"/>
      <c r="CWX188" s="84"/>
      <c r="CWY188" s="84"/>
      <c r="CWZ188" s="84"/>
      <c r="CXA188" s="84"/>
      <c r="CXB188" s="84"/>
      <c r="CXC188" s="84"/>
      <c r="CXD188" s="84"/>
      <c r="CXE188" s="84"/>
      <c r="CXF188" s="84"/>
      <c r="CXG188" s="84"/>
      <c r="CXH188" s="84"/>
      <c r="CXI188" s="84"/>
      <c r="CXJ188" s="84"/>
      <c r="CXK188" s="84"/>
      <c r="CXL188" s="84"/>
      <c r="CXM188" s="84"/>
      <c r="CXN188" s="84"/>
      <c r="CXO188" s="84"/>
      <c r="CXP188" s="84"/>
      <c r="CXQ188" s="84"/>
      <c r="CXR188" s="84"/>
      <c r="CXS188" s="84"/>
      <c r="CXT188" s="84"/>
      <c r="CXU188" s="84"/>
      <c r="CXV188" s="84"/>
      <c r="CXW188" s="84"/>
      <c r="CXX188" s="84"/>
      <c r="CXY188" s="84"/>
      <c r="CXZ188" s="84"/>
      <c r="CYA188" s="84"/>
      <c r="CYB188" s="84"/>
      <c r="CYC188" s="84"/>
      <c r="CYD188" s="84"/>
      <c r="CYE188" s="84"/>
      <c r="CYF188" s="84"/>
      <c r="CYG188" s="84"/>
      <c r="CYH188" s="84"/>
      <c r="CYI188" s="84"/>
      <c r="CYJ188" s="84"/>
      <c r="CYK188" s="84"/>
      <c r="CYL188" s="84"/>
      <c r="CYM188" s="84"/>
      <c r="CYN188" s="84"/>
      <c r="CYO188" s="84"/>
      <c r="CYP188" s="84"/>
      <c r="CYQ188" s="84"/>
      <c r="CYR188" s="84"/>
      <c r="CYS188" s="84"/>
      <c r="CYT188" s="84"/>
      <c r="CYU188" s="84"/>
      <c r="CYV188" s="84"/>
      <c r="CYW188" s="84"/>
      <c r="CYX188" s="84"/>
      <c r="CYY188" s="84"/>
      <c r="CYZ188" s="84"/>
      <c r="CZA188" s="84"/>
      <c r="CZB188" s="84"/>
      <c r="CZC188" s="84"/>
      <c r="CZD188" s="84"/>
      <c r="CZE188" s="84"/>
      <c r="CZF188" s="84"/>
      <c r="CZG188" s="84"/>
      <c r="CZH188" s="84"/>
      <c r="CZI188" s="84"/>
      <c r="CZJ188" s="84"/>
      <c r="CZK188" s="84"/>
      <c r="CZL188" s="84"/>
      <c r="CZM188" s="84"/>
      <c r="CZN188" s="84"/>
      <c r="CZO188" s="84"/>
      <c r="CZP188" s="84"/>
      <c r="CZQ188" s="84"/>
      <c r="CZR188" s="84"/>
      <c r="CZS188" s="84"/>
      <c r="CZT188" s="84"/>
      <c r="CZU188" s="84"/>
      <c r="CZV188" s="84"/>
      <c r="CZW188" s="84"/>
      <c r="CZX188" s="84"/>
      <c r="CZY188" s="84"/>
      <c r="CZZ188" s="84"/>
      <c r="DAA188" s="84"/>
      <c r="DAB188" s="84"/>
      <c r="DAC188" s="84"/>
      <c r="DAD188" s="84"/>
      <c r="DAE188" s="84"/>
      <c r="DAF188" s="84"/>
      <c r="DAG188" s="84"/>
      <c r="DAH188" s="84"/>
      <c r="DAI188" s="84"/>
      <c r="DAJ188" s="84"/>
      <c r="DAK188" s="84"/>
      <c r="DAL188" s="84"/>
      <c r="DAM188" s="84"/>
      <c r="DAN188" s="84"/>
      <c r="DAO188" s="84"/>
      <c r="DAP188" s="84"/>
      <c r="DAQ188" s="84"/>
      <c r="DAR188" s="84"/>
      <c r="DAS188" s="84"/>
      <c r="DAT188" s="84"/>
      <c r="DAU188" s="84"/>
      <c r="DAV188" s="84"/>
      <c r="DAW188" s="84"/>
      <c r="DAX188" s="84"/>
      <c r="DAY188" s="84"/>
      <c r="DAZ188" s="84"/>
      <c r="DBA188" s="84"/>
      <c r="DBB188" s="84"/>
      <c r="DBC188" s="84"/>
      <c r="DBD188" s="84"/>
      <c r="DBE188" s="84"/>
      <c r="DBF188" s="84"/>
      <c r="DBG188" s="84"/>
      <c r="DBH188" s="84"/>
      <c r="DBI188" s="84"/>
      <c r="DBJ188" s="84"/>
      <c r="DBK188" s="84"/>
      <c r="DBL188" s="84"/>
      <c r="DBM188" s="84"/>
      <c r="DBN188" s="84"/>
      <c r="DBO188" s="84"/>
      <c r="DBP188" s="84"/>
      <c r="DBQ188" s="84"/>
      <c r="DBR188" s="84"/>
      <c r="DBS188" s="84"/>
      <c r="DBT188" s="84"/>
      <c r="DBU188" s="84"/>
      <c r="DBV188" s="84"/>
      <c r="DBW188" s="84"/>
      <c r="DBX188" s="84"/>
      <c r="DBY188" s="84"/>
      <c r="DBZ188" s="84"/>
      <c r="DCA188" s="84"/>
      <c r="DCB188" s="84"/>
      <c r="DCC188" s="84"/>
      <c r="DCD188" s="84"/>
      <c r="DCE188" s="84"/>
      <c r="DCF188" s="84"/>
      <c r="DCG188" s="84"/>
      <c r="DCH188" s="84"/>
      <c r="DCI188" s="84"/>
      <c r="DCJ188" s="84"/>
      <c r="DCK188" s="84"/>
      <c r="DCL188" s="84"/>
      <c r="DCM188" s="84"/>
      <c r="DCN188" s="84"/>
      <c r="DCO188" s="84"/>
      <c r="DCP188" s="84"/>
      <c r="DCQ188" s="84"/>
      <c r="DCR188" s="84"/>
      <c r="DCS188" s="84"/>
      <c r="DCT188" s="84"/>
      <c r="DCU188" s="84"/>
      <c r="DCV188" s="84"/>
      <c r="DCW188" s="84"/>
      <c r="DCX188" s="84"/>
      <c r="DCY188" s="84"/>
      <c r="DCZ188" s="84"/>
      <c r="DDA188" s="84"/>
      <c r="DDB188" s="84"/>
      <c r="DDC188" s="84"/>
      <c r="DDD188" s="84"/>
      <c r="DDE188" s="84"/>
      <c r="DDF188" s="84"/>
      <c r="DDG188" s="84"/>
      <c r="DDH188" s="84"/>
      <c r="DDI188" s="84"/>
      <c r="DDJ188" s="84"/>
      <c r="DDK188" s="84"/>
      <c r="DDL188" s="84"/>
      <c r="DDM188" s="84"/>
      <c r="DDN188" s="84"/>
      <c r="DDO188" s="84"/>
      <c r="DDP188" s="84"/>
      <c r="DDQ188" s="84"/>
      <c r="DDR188" s="84"/>
      <c r="DDS188" s="84"/>
      <c r="DDT188" s="84"/>
      <c r="DDU188" s="84"/>
      <c r="DDV188" s="84"/>
      <c r="DDW188" s="84"/>
      <c r="DDX188" s="84"/>
      <c r="DDY188" s="84"/>
      <c r="DDZ188" s="84"/>
      <c r="DEA188" s="84"/>
      <c r="DEB188" s="84"/>
      <c r="DEC188" s="84"/>
      <c r="DED188" s="84"/>
      <c r="DEE188" s="84"/>
      <c r="DEF188" s="84"/>
      <c r="DEG188" s="84"/>
      <c r="DEH188" s="84"/>
      <c r="DEI188" s="84"/>
      <c r="DEJ188" s="84"/>
      <c r="DEK188" s="84"/>
      <c r="DEL188" s="84"/>
      <c r="DEM188" s="84"/>
      <c r="DEN188" s="84"/>
      <c r="DEO188" s="84"/>
      <c r="DEP188" s="84"/>
      <c r="DEQ188" s="84"/>
      <c r="DER188" s="84"/>
      <c r="DES188" s="84"/>
      <c r="DET188" s="84"/>
      <c r="DEU188" s="84"/>
      <c r="DEV188" s="84"/>
      <c r="DEW188" s="84"/>
      <c r="DEX188" s="84"/>
      <c r="DEY188" s="84"/>
      <c r="DEZ188" s="84"/>
      <c r="DFA188" s="84"/>
      <c r="DFB188" s="84"/>
      <c r="DFC188" s="84"/>
      <c r="DFD188" s="84"/>
      <c r="DFE188" s="84"/>
      <c r="DFF188" s="84"/>
      <c r="DFG188" s="84"/>
      <c r="DFH188" s="84"/>
      <c r="DFI188" s="84"/>
      <c r="DFJ188" s="84"/>
      <c r="DFK188" s="84"/>
      <c r="DFL188" s="84"/>
      <c r="DFM188" s="84"/>
      <c r="DFN188" s="84"/>
      <c r="DFO188" s="84"/>
      <c r="DFP188" s="84"/>
      <c r="DFQ188" s="84"/>
      <c r="DFR188" s="84"/>
      <c r="DFS188" s="84"/>
      <c r="DFT188" s="84"/>
      <c r="DFU188" s="84"/>
      <c r="DFV188" s="84"/>
      <c r="DFW188" s="84"/>
      <c r="DFX188" s="84"/>
      <c r="DFY188" s="84"/>
      <c r="DFZ188" s="84"/>
      <c r="DGA188" s="84"/>
      <c r="DGB188" s="84"/>
      <c r="DGC188" s="84"/>
      <c r="DGD188" s="84"/>
      <c r="DGE188" s="84"/>
      <c r="DGF188" s="84"/>
      <c r="DGG188" s="84"/>
      <c r="DGH188" s="84"/>
      <c r="DGI188" s="84"/>
      <c r="DGJ188" s="84"/>
      <c r="DGK188" s="84"/>
      <c r="DGL188" s="84"/>
      <c r="DGM188" s="84"/>
      <c r="DGN188" s="84"/>
      <c r="DGO188" s="84"/>
      <c r="DGP188" s="84"/>
      <c r="DGQ188" s="84"/>
      <c r="DGR188" s="84"/>
      <c r="DGS188" s="84"/>
      <c r="DGT188" s="84"/>
      <c r="DGU188" s="84"/>
      <c r="DGV188" s="84"/>
      <c r="DGW188" s="84"/>
      <c r="DGX188" s="84"/>
      <c r="DGY188" s="84"/>
      <c r="DGZ188" s="84"/>
      <c r="DHA188" s="84"/>
      <c r="DHB188" s="84"/>
      <c r="DHC188" s="84"/>
      <c r="DHD188" s="84"/>
      <c r="DHE188" s="84"/>
      <c r="DHF188" s="84"/>
      <c r="DHG188" s="84"/>
      <c r="DHH188" s="84"/>
      <c r="DHI188" s="84"/>
      <c r="DHJ188" s="84"/>
      <c r="DHK188" s="84"/>
      <c r="DHL188" s="84"/>
      <c r="DHM188" s="84"/>
      <c r="DHN188" s="84"/>
      <c r="DHO188" s="84"/>
      <c r="DHP188" s="84"/>
      <c r="DHQ188" s="84"/>
      <c r="DHR188" s="84"/>
      <c r="DHS188" s="84"/>
      <c r="DHT188" s="84"/>
      <c r="DHU188" s="84"/>
      <c r="DHV188" s="84"/>
      <c r="DHW188" s="84"/>
      <c r="DHX188" s="84"/>
      <c r="DHY188" s="84"/>
      <c r="DHZ188" s="84"/>
      <c r="DIA188" s="84"/>
      <c r="DIB188" s="84"/>
      <c r="DIC188" s="84"/>
      <c r="DID188" s="84"/>
      <c r="DIE188" s="84"/>
      <c r="DIF188" s="84"/>
      <c r="DIG188" s="84"/>
      <c r="DIH188" s="84"/>
      <c r="DII188" s="84"/>
      <c r="DIJ188" s="84"/>
      <c r="DIK188" s="84"/>
      <c r="DIL188" s="84"/>
      <c r="DIM188" s="84"/>
      <c r="DIN188" s="84"/>
      <c r="DIO188" s="84"/>
      <c r="DIP188" s="84"/>
      <c r="DIQ188" s="84"/>
      <c r="DIR188" s="84"/>
      <c r="DIS188" s="84"/>
      <c r="DIT188" s="84"/>
      <c r="DIU188" s="84"/>
      <c r="DIV188" s="84"/>
      <c r="DIW188" s="84"/>
      <c r="DIX188" s="84"/>
      <c r="DIY188" s="84"/>
      <c r="DIZ188" s="84"/>
      <c r="DJA188" s="84"/>
      <c r="DJB188" s="84"/>
      <c r="DJC188" s="84"/>
      <c r="DJD188" s="84"/>
      <c r="DJE188" s="84"/>
      <c r="DJF188" s="84"/>
      <c r="DJG188" s="84"/>
      <c r="DJH188" s="84"/>
      <c r="DJI188" s="84"/>
      <c r="DJJ188" s="84"/>
      <c r="DJK188" s="84"/>
      <c r="DJL188" s="84"/>
      <c r="DJM188" s="84"/>
      <c r="DJN188" s="84"/>
      <c r="DJO188" s="84"/>
      <c r="DJP188" s="84"/>
      <c r="DJQ188" s="84"/>
      <c r="DJR188" s="84"/>
      <c r="DJS188" s="84"/>
      <c r="DJT188" s="84"/>
      <c r="DJU188" s="84"/>
      <c r="DJV188" s="84"/>
      <c r="DJW188" s="84"/>
      <c r="DJX188" s="84"/>
      <c r="DJY188" s="84"/>
      <c r="DJZ188" s="84"/>
      <c r="DKA188" s="84"/>
      <c r="DKB188" s="84"/>
      <c r="DKC188" s="84"/>
      <c r="DKD188" s="84"/>
      <c r="DKE188" s="84"/>
      <c r="DKF188" s="84"/>
      <c r="DKG188" s="84"/>
      <c r="DKH188" s="84"/>
      <c r="DKI188" s="84"/>
      <c r="DKJ188" s="84"/>
      <c r="DKK188" s="84"/>
      <c r="DKL188" s="84"/>
      <c r="DKM188" s="84"/>
      <c r="DKN188" s="84"/>
      <c r="DKO188" s="84"/>
      <c r="DKP188" s="84"/>
      <c r="DKQ188" s="84"/>
      <c r="DKR188" s="84"/>
      <c r="DKS188" s="84"/>
      <c r="DKT188" s="84"/>
      <c r="DKU188" s="84"/>
      <c r="DKV188" s="84"/>
      <c r="DKW188" s="84"/>
      <c r="DKX188" s="84"/>
      <c r="DKY188" s="84"/>
      <c r="DKZ188" s="84"/>
      <c r="DLA188" s="84"/>
      <c r="DLB188" s="84"/>
      <c r="DLC188" s="84"/>
      <c r="DLD188" s="84"/>
      <c r="DLE188" s="84"/>
      <c r="DLF188" s="84"/>
      <c r="DLG188" s="84"/>
      <c r="DLH188" s="84"/>
      <c r="DLI188" s="84"/>
      <c r="DLJ188" s="84"/>
      <c r="DLK188" s="84"/>
      <c r="DLL188" s="84"/>
      <c r="DLM188" s="84"/>
      <c r="DLN188" s="84"/>
      <c r="DLO188" s="84"/>
      <c r="DLP188" s="84"/>
      <c r="DLQ188" s="84"/>
      <c r="DLR188" s="84"/>
      <c r="DLS188" s="84"/>
      <c r="DLT188" s="84"/>
      <c r="DLU188" s="84"/>
      <c r="DLV188" s="84"/>
      <c r="DLW188" s="84"/>
      <c r="DLX188" s="84"/>
      <c r="DLY188" s="84"/>
      <c r="DLZ188" s="84"/>
      <c r="DMA188" s="84"/>
      <c r="DMB188" s="84"/>
      <c r="DMC188" s="84"/>
      <c r="DMD188" s="84"/>
      <c r="DME188" s="84"/>
      <c r="DMF188" s="84"/>
      <c r="DMG188" s="84"/>
      <c r="DMH188" s="84"/>
      <c r="DMI188" s="84"/>
      <c r="DMJ188" s="84"/>
      <c r="DMK188" s="84"/>
      <c r="DML188" s="84"/>
      <c r="DMM188" s="84"/>
      <c r="DMN188" s="84"/>
      <c r="DMO188" s="84"/>
      <c r="DMP188" s="84"/>
      <c r="DMQ188" s="84"/>
      <c r="DMR188" s="84"/>
      <c r="DMS188" s="84"/>
      <c r="DMT188" s="84"/>
      <c r="DMU188" s="84"/>
      <c r="DMV188" s="84"/>
      <c r="DMW188" s="84"/>
      <c r="DMX188" s="84"/>
      <c r="DMY188" s="84"/>
      <c r="DMZ188" s="84"/>
      <c r="DNA188" s="84"/>
      <c r="DNB188" s="84"/>
      <c r="DNC188" s="84"/>
      <c r="DND188" s="84"/>
      <c r="DNE188" s="84"/>
      <c r="DNF188" s="84"/>
      <c r="DNG188" s="84"/>
      <c r="DNH188" s="84"/>
      <c r="DNI188" s="84"/>
      <c r="DNJ188" s="84"/>
      <c r="DNK188" s="84"/>
      <c r="DNL188" s="84"/>
      <c r="DNM188" s="84"/>
      <c r="DNN188" s="84"/>
      <c r="DNO188" s="84"/>
      <c r="DNP188" s="84"/>
      <c r="DNQ188" s="84"/>
      <c r="DNR188" s="84"/>
      <c r="DNS188" s="84"/>
      <c r="DNT188" s="84"/>
      <c r="DNU188" s="84"/>
      <c r="DNV188" s="84"/>
      <c r="DNW188" s="84"/>
      <c r="DNX188" s="84"/>
      <c r="DNY188" s="84"/>
      <c r="DNZ188" s="84"/>
      <c r="DOA188" s="84"/>
      <c r="DOB188" s="84"/>
      <c r="DOC188" s="84"/>
      <c r="DOD188" s="84"/>
      <c r="DOE188" s="84"/>
      <c r="DOF188" s="84"/>
      <c r="DOG188" s="84"/>
      <c r="DOH188" s="84"/>
      <c r="DOI188" s="84"/>
      <c r="DOJ188" s="84"/>
      <c r="DOK188" s="84"/>
      <c r="DOL188" s="84"/>
      <c r="DOM188" s="84"/>
      <c r="DON188" s="84"/>
      <c r="DOO188" s="84"/>
      <c r="DOP188" s="84"/>
      <c r="DOQ188" s="84"/>
      <c r="DOR188" s="84"/>
      <c r="DOS188" s="84"/>
      <c r="DOT188" s="84"/>
      <c r="DOU188" s="84"/>
      <c r="DOV188" s="84"/>
      <c r="DOW188" s="84"/>
      <c r="DOX188" s="84"/>
      <c r="DOY188" s="84"/>
      <c r="DOZ188" s="84"/>
      <c r="DPA188" s="84"/>
      <c r="DPB188" s="84"/>
      <c r="DPC188" s="84"/>
      <c r="DPD188" s="84"/>
      <c r="DPE188" s="84"/>
      <c r="DPF188" s="84"/>
      <c r="DPG188" s="84"/>
      <c r="DPH188" s="84"/>
      <c r="DPI188" s="84"/>
      <c r="DPJ188" s="84"/>
      <c r="DPK188" s="84"/>
      <c r="DPL188" s="84"/>
      <c r="DPM188" s="84"/>
      <c r="DPN188" s="84"/>
      <c r="DPO188" s="84"/>
      <c r="DPP188" s="84"/>
      <c r="DPQ188" s="84"/>
      <c r="DPR188" s="84"/>
      <c r="DPS188" s="84"/>
      <c r="DPT188" s="84"/>
      <c r="DPU188" s="84"/>
      <c r="DPV188" s="84"/>
      <c r="DPW188" s="84"/>
      <c r="DPX188" s="84"/>
      <c r="DPY188" s="84"/>
      <c r="DPZ188" s="84"/>
      <c r="DQA188" s="84"/>
      <c r="DQB188" s="84"/>
      <c r="DQC188" s="84"/>
      <c r="DQD188" s="84"/>
      <c r="DQE188" s="84"/>
      <c r="DQF188" s="84"/>
      <c r="DQG188" s="84"/>
      <c r="DQH188" s="84"/>
      <c r="DQI188" s="84"/>
      <c r="DQJ188" s="84"/>
      <c r="DQK188" s="84"/>
      <c r="DQL188" s="84"/>
      <c r="DQM188" s="84"/>
      <c r="DQN188" s="84"/>
      <c r="DQO188" s="84"/>
      <c r="DQP188" s="84"/>
      <c r="DQQ188" s="84"/>
      <c r="DQR188" s="84"/>
      <c r="DQS188" s="84"/>
      <c r="DQT188" s="84"/>
      <c r="DQU188" s="84"/>
      <c r="DQV188" s="84"/>
      <c r="DQW188" s="84"/>
      <c r="DQX188" s="84"/>
      <c r="DQY188" s="84"/>
      <c r="DQZ188" s="84"/>
      <c r="DRA188" s="84"/>
      <c r="DRB188" s="84"/>
      <c r="DRC188" s="84"/>
      <c r="DRD188" s="84"/>
      <c r="DRE188" s="84"/>
      <c r="DRF188" s="84"/>
      <c r="DRG188" s="84"/>
      <c r="DRH188" s="84"/>
      <c r="DRI188" s="84"/>
      <c r="DRJ188" s="84"/>
      <c r="DRK188" s="84"/>
      <c r="DRL188" s="84"/>
      <c r="DRM188" s="84"/>
      <c r="DRN188" s="84"/>
      <c r="DRO188" s="84"/>
      <c r="DRP188" s="84"/>
      <c r="DRQ188" s="84"/>
      <c r="DRR188" s="84"/>
      <c r="DRS188" s="84"/>
      <c r="DRT188" s="84"/>
      <c r="DRU188" s="84"/>
      <c r="DRV188" s="84"/>
      <c r="DRW188" s="84"/>
      <c r="DRX188" s="84"/>
      <c r="DRY188" s="84"/>
      <c r="DRZ188" s="84"/>
      <c r="DSA188" s="84"/>
      <c r="DSB188" s="84"/>
      <c r="DSC188" s="84"/>
      <c r="DSD188" s="84"/>
      <c r="DSE188" s="84"/>
      <c r="DSF188" s="84"/>
      <c r="DSG188" s="84"/>
      <c r="DSH188" s="84"/>
      <c r="DSI188" s="84"/>
      <c r="DSJ188" s="84"/>
      <c r="DSK188" s="84"/>
      <c r="DSL188" s="84"/>
      <c r="DSM188" s="84"/>
      <c r="DSN188" s="84"/>
      <c r="DSO188" s="84"/>
      <c r="DSP188" s="84"/>
      <c r="DSQ188" s="84"/>
      <c r="DSR188" s="84"/>
      <c r="DSS188" s="84"/>
      <c r="DST188" s="84"/>
      <c r="DSU188" s="84"/>
      <c r="DSV188" s="84"/>
      <c r="DSW188" s="84"/>
      <c r="DSX188" s="84"/>
      <c r="DSY188" s="84"/>
      <c r="DSZ188" s="84"/>
      <c r="DTA188" s="84"/>
      <c r="DTB188" s="84"/>
      <c r="DTC188" s="84"/>
      <c r="DTD188" s="84"/>
      <c r="DTE188" s="84"/>
      <c r="DTF188" s="84"/>
      <c r="DTG188" s="84"/>
      <c r="DTH188" s="84"/>
      <c r="DTI188" s="84"/>
      <c r="DTJ188" s="84"/>
      <c r="DTK188" s="84"/>
      <c r="DTL188" s="84"/>
      <c r="DTM188" s="84"/>
      <c r="DTN188" s="84"/>
      <c r="DTO188" s="84"/>
      <c r="DTP188" s="84"/>
      <c r="DTQ188" s="84"/>
      <c r="DTR188" s="84"/>
      <c r="DTS188" s="84"/>
      <c r="DTT188" s="84"/>
      <c r="DTU188" s="84"/>
      <c r="DTV188" s="84"/>
      <c r="DTW188" s="84"/>
      <c r="DTX188" s="84"/>
      <c r="DTY188" s="84"/>
      <c r="DTZ188" s="84"/>
      <c r="DUA188" s="84"/>
      <c r="DUB188" s="84"/>
      <c r="DUC188" s="84"/>
      <c r="DUD188" s="84"/>
      <c r="DUE188" s="84"/>
      <c r="DUF188" s="84"/>
      <c r="DUG188" s="84"/>
      <c r="DUH188" s="84"/>
      <c r="DUI188" s="84"/>
      <c r="DUJ188" s="84"/>
      <c r="DUK188" s="84"/>
      <c r="DUL188" s="84"/>
      <c r="DUM188" s="84"/>
      <c r="DUN188" s="84"/>
      <c r="DUO188" s="84"/>
      <c r="DUP188" s="84"/>
      <c r="DUQ188" s="84"/>
      <c r="DUR188" s="84"/>
      <c r="DUS188" s="84"/>
      <c r="DUT188" s="84"/>
      <c r="DUU188" s="84"/>
      <c r="DUV188" s="84"/>
      <c r="DUW188" s="84"/>
      <c r="DUX188" s="84"/>
      <c r="DUY188" s="84"/>
      <c r="DUZ188" s="84"/>
      <c r="DVA188" s="84"/>
      <c r="DVB188" s="84"/>
      <c r="DVC188" s="84"/>
      <c r="DVD188" s="84"/>
      <c r="DVE188" s="84"/>
      <c r="DVF188" s="84"/>
      <c r="DVG188" s="84"/>
      <c r="DVH188" s="84"/>
      <c r="DVI188" s="84"/>
      <c r="DVJ188" s="84"/>
      <c r="DVK188" s="84"/>
      <c r="DVL188" s="84"/>
      <c r="DVM188" s="84"/>
      <c r="DVN188" s="84"/>
      <c r="DVO188" s="84"/>
      <c r="DVP188" s="84"/>
      <c r="DVQ188" s="84"/>
      <c r="DVR188" s="84"/>
      <c r="DVS188" s="84"/>
      <c r="DVT188" s="84"/>
      <c r="DVU188" s="84"/>
      <c r="DVV188" s="84"/>
      <c r="DVW188" s="84"/>
      <c r="DVX188" s="84"/>
      <c r="DVY188" s="84"/>
      <c r="DVZ188" s="84"/>
      <c r="DWA188" s="84"/>
      <c r="DWB188" s="84"/>
      <c r="DWC188" s="84"/>
      <c r="DWD188" s="84"/>
      <c r="DWE188" s="84"/>
      <c r="DWF188" s="84"/>
      <c r="DWG188" s="84"/>
      <c r="DWH188" s="84"/>
      <c r="DWI188" s="84"/>
      <c r="DWJ188" s="84"/>
      <c r="DWK188" s="84"/>
      <c r="DWL188" s="84"/>
      <c r="DWM188" s="84"/>
      <c r="DWN188" s="84"/>
      <c r="DWO188" s="84"/>
      <c r="DWP188" s="84"/>
      <c r="DWQ188" s="84"/>
      <c r="DWR188" s="84"/>
      <c r="DWS188" s="84"/>
      <c r="DWT188" s="84"/>
      <c r="DWU188" s="84"/>
      <c r="DWV188" s="84"/>
      <c r="DWW188" s="84"/>
      <c r="DWX188" s="84"/>
      <c r="DWY188" s="84"/>
      <c r="DWZ188" s="84"/>
      <c r="DXA188" s="84"/>
      <c r="DXB188" s="84"/>
      <c r="DXC188" s="84"/>
      <c r="DXD188" s="84"/>
      <c r="DXE188" s="84"/>
      <c r="DXF188" s="84"/>
      <c r="DXG188" s="84"/>
      <c r="DXH188" s="84"/>
      <c r="DXI188" s="84"/>
      <c r="DXJ188" s="84"/>
      <c r="DXK188" s="84"/>
      <c r="DXL188" s="84"/>
      <c r="DXM188" s="84"/>
      <c r="DXN188" s="84"/>
      <c r="DXO188" s="84"/>
      <c r="DXP188" s="84"/>
      <c r="DXQ188" s="84"/>
      <c r="DXR188" s="84"/>
      <c r="DXS188" s="84"/>
      <c r="DXT188" s="84"/>
      <c r="DXU188" s="84"/>
      <c r="DXV188" s="84"/>
      <c r="DXW188" s="84"/>
      <c r="DXX188" s="84"/>
      <c r="DXY188" s="84"/>
      <c r="DXZ188" s="84"/>
      <c r="DYA188" s="84"/>
      <c r="DYB188" s="84"/>
      <c r="DYC188" s="84"/>
      <c r="DYD188" s="84"/>
      <c r="DYE188" s="84"/>
      <c r="DYF188" s="84"/>
      <c r="DYG188" s="84"/>
      <c r="DYH188" s="84"/>
      <c r="DYI188" s="84"/>
      <c r="DYJ188" s="84"/>
      <c r="DYK188" s="84"/>
      <c r="DYL188" s="84"/>
      <c r="DYM188" s="84"/>
      <c r="DYN188" s="84"/>
      <c r="DYO188" s="84"/>
      <c r="DYP188" s="84"/>
      <c r="DYQ188" s="84"/>
      <c r="DYR188" s="84"/>
      <c r="DYS188" s="84"/>
      <c r="DYT188" s="84"/>
      <c r="DYU188" s="84"/>
      <c r="DYV188" s="84"/>
      <c r="DYW188" s="84"/>
      <c r="DYX188" s="84"/>
      <c r="DYY188" s="84"/>
      <c r="DYZ188" s="84"/>
      <c r="DZA188" s="84"/>
      <c r="DZB188" s="84"/>
      <c r="DZC188" s="84"/>
      <c r="DZD188" s="84"/>
      <c r="DZE188" s="84"/>
      <c r="DZF188" s="84"/>
      <c r="DZG188" s="84"/>
      <c r="DZH188" s="84"/>
      <c r="DZI188" s="84"/>
      <c r="DZJ188" s="84"/>
      <c r="DZK188" s="84"/>
      <c r="DZL188" s="84"/>
      <c r="DZM188" s="84"/>
      <c r="DZN188" s="84"/>
      <c r="DZO188" s="84"/>
      <c r="DZP188" s="84"/>
      <c r="DZQ188" s="84"/>
      <c r="DZR188" s="84"/>
      <c r="DZS188" s="84"/>
      <c r="DZT188" s="84"/>
      <c r="DZU188" s="84"/>
      <c r="DZV188" s="84"/>
      <c r="DZW188" s="84"/>
      <c r="DZX188" s="84"/>
      <c r="DZY188" s="84"/>
      <c r="DZZ188" s="84"/>
      <c r="EAA188" s="84"/>
      <c r="EAB188" s="84"/>
      <c r="EAC188" s="84"/>
      <c r="EAD188" s="84"/>
      <c r="EAE188" s="84"/>
      <c r="EAF188" s="84"/>
      <c r="EAG188" s="84"/>
      <c r="EAH188" s="84"/>
      <c r="EAI188" s="84"/>
      <c r="EAJ188" s="84"/>
      <c r="EAK188" s="84"/>
      <c r="EAL188" s="84"/>
      <c r="EAM188" s="84"/>
      <c r="EAN188" s="84"/>
      <c r="EAO188" s="84"/>
      <c r="EAP188" s="84"/>
      <c r="EAQ188" s="84"/>
      <c r="EAR188" s="84"/>
      <c r="EAS188" s="84"/>
      <c r="EAT188" s="84"/>
      <c r="EAU188" s="84"/>
      <c r="EAV188" s="84"/>
      <c r="EAW188" s="84"/>
      <c r="EAX188" s="84"/>
      <c r="EAY188" s="84"/>
      <c r="EAZ188" s="84"/>
      <c r="EBA188" s="84"/>
      <c r="EBB188" s="84"/>
      <c r="EBC188" s="84"/>
      <c r="EBD188" s="84"/>
      <c r="EBE188" s="84"/>
      <c r="EBF188" s="84"/>
      <c r="EBG188" s="84"/>
      <c r="EBH188" s="84"/>
      <c r="EBI188" s="84"/>
      <c r="EBJ188" s="84"/>
      <c r="EBK188" s="84"/>
      <c r="EBL188" s="84"/>
      <c r="EBM188" s="84"/>
      <c r="EBN188" s="84"/>
      <c r="EBO188" s="84"/>
      <c r="EBP188" s="84"/>
      <c r="EBQ188" s="84"/>
      <c r="EBR188" s="84"/>
      <c r="EBS188" s="84"/>
      <c r="EBT188" s="84"/>
      <c r="EBU188" s="84"/>
      <c r="EBV188" s="84"/>
      <c r="EBW188" s="84"/>
      <c r="EBX188" s="84"/>
      <c r="EBY188" s="84"/>
      <c r="EBZ188" s="84"/>
      <c r="ECA188" s="84"/>
      <c r="ECB188" s="84"/>
      <c r="ECC188" s="84"/>
      <c r="ECD188" s="84"/>
      <c r="ECE188" s="84"/>
      <c r="ECF188" s="84"/>
      <c r="ECG188" s="84"/>
      <c r="ECH188" s="84"/>
      <c r="ECI188" s="84"/>
      <c r="ECJ188" s="84"/>
      <c r="ECK188" s="84"/>
      <c r="ECL188" s="84"/>
      <c r="ECM188" s="84"/>
      <c r="ECN188" s="84"/>
      <c r="ECO188" s="84"/>
      <c r="ECP188" s="84"/>
      <c r="ECQ188" s="84"/>
      <c r="ECR188" s="84"/>
      <c r="ECS188" s="84"/>
      <c r="ECT188" s="84"/>
      <c r="ECU188" s="84"/>
      <c r="ECV188" s="84"/>
      <c r="ECW188" s="84"/>
      <c r="ECX188" s="84"/>
      <c r="ECY188" s="84"/>
      <c r="ECZ188" s="84"/>
      <c r="EDA188" s="84"/>
      <c r="EDB188" s="84"/>
      <c r="EDC188" s="84"/>
      <c r="EDD188" s="84"/>
      <c r="EDE188" s="84"/>
      <c r="EDF188" s="84"/>
      <c r="EDG188" s="84"/>
      <c r="EDH188" s="84"/>
      <c r="EDI188" s="84"/>
      <c r="EDJ188" s="84"/>
      <c r="EDK188" s="84"/>
      <c r="EDL188" s="84"/>
      <c r="EDM188" s="84"/>
      <c r="EDN188" s="84"/>
      <c r="EDO188" s="84"/>
      <c r="EDP188" s="84"/>
      <c r="EDQ188" s="84"/>
      <c r="EDR188" s="84"/>
      <c r="EDS188" s="84"/>
      <c r="EDT188" s="84"/>
      <c r="EDU188" s="84"/>
      <c r="EDV188" s="84"/>
      <c r="EDW188" s="84"/>
      <c r="EDX188" s="84"/>
      <c r="EDY188" s="84"/>
      <c r="EDZ188" s="84"/>
      <c r="EEA188" s="84"/>
      <c r="EEB188" s="84"/>
      <c r="EEC188" s="84"/>
      <c r="EED188" s="84"/>
      <c r="EEE188" s="84"/>
      <c r="EEF188" s="84"/>
      <c r="EEG188" s="84"/>
      <c r="EEH188" s="84"/>
      <c r="EEI188" s="84"/>
      <c r="EEJ188" s="84"/>
      <c r="EEK188" s="84"/>
      <c r="EEL188" s="84"/>
      <c r="EEM188" s="84"/>
      <c r="EEN188" s="84"/>
      <c r="EEO188" s="84"/>
      <c r="EEP188" s="84"/>
      <c r="EEQ188" s="84"/>
      <c r="EER188" s="84"/>
      <c r="EES188" s="84"/>
      <c r="EET188" s="84"/>
      <c r="EEU188" s="84"/>
      <c r="EEV188" s="84"/>
      <c r="EEW188" s="84"/>
      <c r="EEX188" s="84"/>
      <c r="EEY188" s="84"/>
      <c r="EEZ188" s="84"/>
      <c r="EFA188" s="84"/>
      <c r="EFB188" s="84"/>
      <c r="EFC188" s="84"/>
      <c r="EFD188" s="84"/>
      <c r="EFE188" s="84"/>
      <c r="EFF188" s="84"/>
      <c r="EFG188" s="84"/>
      <c r="EFH188" s="84"/>
      <c r="EFI188" s="84"/>
      <c r="EFJ188" s="84"/>
      <c r="EFK188" s="84"/>
      <c r="EFL188" s="84"/>
      <c r="EFM188" s="84"/>
      <c r="EFN188" s="84"/>
      <c r="EFO188" s="84"/>
      <c r="EFP188" s="84"/>
      <c r="EFQ188" s="84"/>
      <c r="EFR188" s="84"/>
      <c r="EFS188" s="84"/>
      <c r="EFT188" s="84"/>
      <c r="EFU188" s="84"/>
      <c r="EFV188" s="84"/>
      <c r="EFW188" s="84"/>
      <c r="EFX188" s="84"/>
      <c r="EFY188" s="84"/>
      <c r="EFZ188" s="84"/>
      <c r="EGA188" s="84"/>
      <c r="EGB188" s="84"/>
      <c r="EGC188" s="84"/>
      <c r="EGD188" s="84"/>
      <c r="EGE188" s="84"/>
      <c r="EGF188" s="84"/>
      <c r="EGG188" s="84"/>
      <c r="EGH188" s="84"/>
      <c r="EGI188" s="84"/>
      <c r="EGJ188" s="84"/>
      <c r="EGK188" s="84"/>
      <c r="EGL188" s="84"/>
      <c r="EGM188" s="84"/>
      <c r="EGN188" s="84"/>
      <c r="EGO188" s="84"/>
      <c r="EGP188" s="84"/>
      <c r="EGQ188" s="84"/>
      <c r="EGR188" s="84"/>
      <c r="EGS188" s="84"/>
      <c r="EGT188" s="84"/>
      <c r="EGU188" s="84"/>
      <c r="EGV188" s="84"/>
      <c r="EGW188" s="84"/>
      <c r="EGX188" s="84"/>
      <c r="EGY188" s="84"/>
      <c r="EGZ188" s="84"/>
      <c r="EHA188" s="84"/>
      <c r="EHB188" s="84"/>
      <c r="EHC188" s="84"/>
      <c r="EHD188" s="84"/>
      <c r="EHE188" s="84"/>
      <c r="EHF188" s="84"/>
      <c r="EHG188" s="84"/>
      <c r="EHH188" s="84"/>
      <c r="EHI188" s="84"/>
      <c r="EHJ188" s="84"/>
      <c r="EHK188" s="84"/>
      <c r="EHL188" s="84"/>
      <c r="EHM188" s="84"/>
      <c r="EHN188" s="84"/>
      <c r="EHO188" s="84"/>
      <c r="EHP188" s="84"/>
      <c r="EHQ188" s="84"/>
      <c r="EHR188" s="84"/>
      <c r="EHS188" s="84"/>
      <c r="EHT188" s="84"/>
      <c r="EHU188" s="84"/>
      <c r="EHV188" s="84"/>
      <c r="EHW188" s="84"/>
      <c r="EHX188" s="84"/>
      <c r="EHY188" s="84"/>
      <c r="EHZ188" s="84"/>
      <c r="EIA188" s="84"/>
      <c r="EIB188" s="84"/>
      <c r="EIC188" s="84"/>
      <c r="EID188" s="84"/>
      <c r="EIE188" s="84"/>
      <c r="EIF188" s="84"/>
      <c r="EIG188" s="84"/>
      <c r="EIH188" s="84"/>
      <c r="EII188" s="84"/>
      <c r="EIJ188" s="84"/>
      <c r="EIK188" s="84"/>
      <c r="EIL188" s="84"/>
      <c r="EIM188" s="84"/>
      <c r="EIN188" s="84"/>
      <c r="EIO188" s="84"/>
      <c r="EIP188" s="84"/>
      <c r="EIQ188" s="84"/>
      <c r="EIR188" s="84"/>
      <c r="EIS188" s="84"/>
      <c r="EIT188" s="84"/>
      <c r="EIU188" s="84"/>
      <c r="EIV188" s="84"/>
      <c r="EIW188" s="84"/>
      <c r="EIX188" s="84"/>
      <c r="EIY188" s="84"/>
      <c r="EIZ188" s="84"/>
      <c r="EJA188" s="84"/>
      <c r="EJB188" s="84"/>
      <c r="EJC188" s="84"/>
      <c r="EJD188" s="84"/>
      <c r="EJE188" s="84"/>
      <c r="EJF188" s="84"/>
      <c r="EJG188" s="84"/>
      <c r="EJH188" s="84"/>
      <c r="EJI188" s="84"/>
      <c r="EJJ188" s="84"/>
      <c r="EJK188" s="84"/>
      <c r="EJL188" s="84"/>
      <c r="EJM188" s="84"/>
      <c r="EJN188" s="84"/>
      <c r="EJO188" s="84"/>
      <c r="EJP188" s="84"/>
      <c r="EJQ188" s="84"/>
      <c r="EJR188" s="84"/>
      <c r="EJS188" s="84"/>
      <c r="EJT188" s="84"/>
      <c r="EJU188" s="84"/>
      <c r="EJV188" s="84"/>
      <c r="EJW188" s="84"/>
      <c r="EJX188" s="84"/>
      <c r="EJY188" s="84"/>
      <c r="EJZ188" s="84"/>
      <c r="EKA188" s="84"/>
      <c r="EKB188" s="84"/>
      <c r="EKC188" s="84"/>
      <c r="EKD188" s="84"/>
      <c r="EKE188" s="84"/>
      <c r="EKF188" s="84"/>
      <c r="EKG188" s="84"/>
      <c r="EKH188" s="84"/>
      <c r="EKI188" s="84"/>
      <c r="EKJ188" s="84"/>
      <c r="EKK188" s="84"/>
      <c r="EKL188" s="84"/>
      <c r="EKM188" s="84"/>
      <c r="EKN188" s="84"/>
      <c r="EKO188" s="84"/>
      <c r="EKP188" s="84"/>
      <c r="EKQ188" s="84"/>
      <c r="EKR188" s="84"/>
      <c r="EKS188" s="84"/>
      <c r="EKT188" s="84"/>
      <c r="EKU188" s="84"/>
      <c r="EKV188" s="84"/>
      <c r="EKW188" s="84"/>
      <c r="EKX188" s="84"/>
      <c r="EKY188" s="84"/>
      <c r="EKZ188" s="84"/>
      <c r="ELA188" s="84"/>
      <c r="ELB188" s="84"/>
      <c r="ELC188" s="84"/>
      <c r="ELD188" s="84"/>
      <c r="ELE188" s="84"/>
      <c r="ELF188" s="84"/>
      <c r="ELG188" s="84"/>
      <c r="ELH188" s="84"/>
      <c r="ELI188" s="84"/>
      <c r="ELJ188" s="84"/>
      <c r="ELK188" s="84"/>
      <c r="ELL188" s="84"/>
      <c r="ELM188" s="84"/>
      <c r="ELN188" s="84"/>
      <c r="ELO188" s="84"/>
      <c r="ELP188" s="84"/>
      <c r="ELQ188" s="84"/>
      <c r="ELR188" s="84"/>
      <c r="ELS188" s="84"/>
      <c r="ELT188" s="84"/>
      <c r="ELU188" s="84"/>
      <c r="ELV188" s="84"/>
      <c r="ELW188" s="84"/>
      <c r="ELX188" s="84"/>
      <c r="ELY188" s="84"/>
      <c r="ELZ188" s="84"/>
      <c r="EMA188" s="84"/>
      <c r="EMB188" s="84"/>
      <c r="EMC188" s="84"/>
      <c r="EMD188" s="84"/>
      <c r="EME188" s="84"/>
      <c r="EMF188" s="84"/>
      <c r="EMG188" s="84"/>
      <c r="EMH188" s="84"/>
      <c r="EMI188" s="84"/>
      <c r="EMJ188" s="84"/>
      <c r="EMK188" s="84"/>
      <c r="EML188" s="84"/>
      <c r="EMM188" s="84"/>
      <c r="EMN188" s="84"/>
      <c r="EMO188" s="84"/>
      <c r="EMP188" s="84"/>
      <c r="EMQ188" s="84"/>
      <c r="EMR188" s="84"/>
      <c r="EMS188" s="84"/>
      <c r="EMT188" s="84"/>
      <c r="EMU188" s="84"/>
      <c r="EMV188" s="84"/>
      <c r="EMW188" s="84"/>
      <c r="EMX188" s="84"/>
      <c r="EMY188" s="84"/>
      <c r="EMZ188" s="84"/>
      <c r="ENA188" s="84"/>
      <c r="ENB188" s="84"/>
      <c r="ENC188" s="84"/>
      <c r="END188" s="84"/>
      <c r="ENE188" s="84"/>
      <c r="ENF188" s="84"/>
      <c r="ENG188" s="84"/>
      <c r="ENH188" s="84"/>
      <c r="ENI188" s="84"/>
      <c r="ENJ188" s="84"/>
      <c r="ENK188" s="84"/>
      <c r="ENL188" s="84"/>
      <c r="ENM188" s="84"/>
      <c r="ENN188" s="84"/>
      <c r="ENO188" s="84"/>
      <c r="ENP188" s="84"/>
      <c r="ENQ188" s="84"/>
      <c r="ENR188" s="84"/>
      <c r="ENS188" s="84"/>
      <c r="ENT188" s="84"/>
      <c r="ENU188" s="84"/>
      <c r="ENV188" s="84"/>
      <c r="ENW188" s="84"/>
      <c r="ENX188" s="84"/>
      <c r="ENY188" s="84"/>
      <c r="ENZ188" s="84"/>
      <c r="EOA188" s="84"/>
      <c r="EOB188" s="84"/>
      <c r="EOC188" s="84"/>
      <c r="EOD188" s="84"/>
      <c r="EOE188" s="84"/>
      <c r="EOF188" s="84"/>
      <c r="EOG188" s="84"/>
      <c r="EOH188" s="84"/>
      <c r="EOI188" s="84"/>
      <c r="EOJ188" s="84"/>
      <c r="EOK188" s="84"/>
      <c r="EOL188" s="84"/>
      <c r="EOM188" s="84"/>
      <c r="EON188" s="84"/>
      <c r="EOO188" s="84"/>
      <c r="EOP188" s="84"/>
      <c r="EOQ188" s="84"/>
      <c r="EOR188" s="84"/>
      <c r="EOS188" s="84"/>
      <c r="EOT188" s="84"/>
      <c r="EOU188" s="84"/>
      <c r="EOV188" s="84"/>
      <c r="EOW188" s="84"/>
      <c r="EOX188" s="84"/>
      <c r="EOY188" s="84"/>
      <c r="EOZ188" s="84"/>
      <c r="EPA188" s="84"/>
      <c r="EPB188" s="84"/>
      <c r="EPC188" s="84"/>
      <c r="EPD188" s="84"/>
      <c r="EPE188" s="84"/>
      <c r="EPF188" s="84"/>
      <c r="EPG188" s="84"/>
      <c r="EPH188" s="84"/>
      <c r="EPI188" s="84"/>
      <c r="EPJ188" s="84"/>
      <c r="EPK188" s="84"/>
      <c r="EPL188" s="84"/>
      <c r="EPM188" s="84"/>
      <c r="EPN188" s="84"/>
      <c r="EPO188" s="84"/>
      <c r="EPP188" s="84"/>
      <c r="EPQ188" s="84"/>
      <c r="EPR188" s="84"/>
      <c r="EPS188" s="84"/>
      <c r="EPT188" s="84"/>
      <c r="EPU188" s="84"/>
      <c r="EPV188" s="84"/>
      <c r="EPW188" s="84"/>
      <c r="EPX188" s="84"/>
      <c r="EPY188" s="84"/>
      <c r="EPZ188" s="84"/>
      <c r="EQA188" s="84"/>
      <c r="EQB188" s="84"/>
      <c r="EQC188" s="84"/>
      <c r="EQD188" s="84"/>
      <c r="EQE188" s="84"/>
      <c r="EQF188" s="84"/>
      <c r="EQG188" s="84"/>
      <c r="EQH188" s="84"/>
      <c r="EQI188" s="84"/>
      <c r="EQJ188" s="84"/>
      <c r="EQK188" s="84"/>
      <c r="EQL188" s="84"/>
      <c r="EQM188" s="84"/>
      <c r="EQN188" s="84"/>
      <c r="EQO188" s="84"/>
      <c r="EQP188" s="84"/>
      <c r="EQQ188" s="84"/>
      <c r="EQR188" s="84"/>
      <c r="EQS188" s="84"/>
      <c r="EQT188" s="84"/>
      <c r="EQU188" s="84"/>
      <c r="EQV188" s="84"/>
      <c r="EQW188" s="84"/>
      <c r="EQX188" s="84"/>
      <c r="EQY188" s="84"/>
      <c r="EQZ188" s="84"/>
      <c r="ERA188" s="84"/>
      <c r="ERB188" s="84"/>
      <c r="ERC188" s="84"/>
      <c r="ERD188" s="84"/>
      <c r="ERE188" s="84"/>
      <c r="ERF188" s="84"/>
      <c r="ERG188" s="84"/>
      <c r="ERH188" s="84"/>
      <c r="ERI188" s="84"/>
      <c r="ERJ188" s="84"/>
      <c r="ERK188" s="84"/>
      <c r="ERL188" s="84"/>
      <c r="ERM188" s="84"/>
      <c r="ERN188" s="84"/>
      <c r="ERO188" s="84"/>
      <c r="ERP188" s="84"/>
      <c r="ERQ188" s="84"/>
      <c r="ERR188" s="84"/>
      <c r="ERS188" s="84"/>
      <c r="ERT188" s="84"/>
      <c r="ERU188" s="84"/>
      <c r="ERV188" s="84"/>
      <c r="ERW188" s="84"/>
      <c r="ERX188" s="84"/>
      <c r="ERY188" s="84"/>
      <c r="ERZ188" s="84"/>
      <c r="ESA188" s="84"/>
      <c r="ESB188" s="84"/>
      <c r="ESC188" s="84"/>
      <c r="ESD188" s="84"/>
      <c r="ESE188" s="84"/>
      <c r="ESF188" s="84"/>
      <c r="ESG188" s="84"/>
      <c r="ESH188" s="84"/>
      <c r="ESI188" s="84"/>
      <c r="ESJ188" s="84"/>
      <c r="ESK188" s="84"/>
      <c r="ESL188" s="84"/>
      <c r="ESM188" s="84"/>
      <c r="ESN188" s="84"/>
      <c r="ESO188" s="84"/>
      <c r="ESP188" s="84"/>
      <c r="ESQ188" s="84"/>
      <c r="ESR188" s="84"/>
      <c r="ESS188" s="84"/>
      <c r="EST188" s="84"/>
      <c r="ESU188" s="84"/>
      <c r="ESV188" s="84"/>
      <c r="ESW188" s="84"/>
      <c r="ESX188" s="84"/>
      <c r="ESY188" s="84"/>
      <c r="ESZ188" s="84"/>
      <c r="ETA188" s="84"/>
      <c r="ETB188" s="84"/>
      <c r="ETC188" s="84"/>
      <c r="ETD188" s="84"/>
      <c r="ETE188" s="84"/>
      <c r="ETF188" s="84"/>
      <c r="ETG188" s="84"/>
      <c r="ETH188" s="84"/>
      <c r="ETI188" s="84"/>
      <c r="ETJ188" s="84"/>
      <c r="ETK188" s="84"/>
      <c r="ETL188" s="84"/>
      <c r="ETM188" s="84"/>
      <c r="ETN188" s="84"/>
      <c r="ETO188" s="84"/>
      <c r="ETP188" s="84"/>
      <c r="ETQ188" s="84"/>
      <c r="ETR188" s="84"/>
      <c r="ETS188" s="84"/>
      <c r="ETT188" s="84"/>
      <c r="ETU188" s="84"/>
      <c r="ETV188" s="84"/>
      <c r="ETW188" s="84"/>
      <c r="ETX188" s="84"/>
      <c r="ETY188" s="84"/>
      <c r="ETZ188" s="84"/>
      <c r="EUA188" s="84"/>
      <c r="EUB188" s="84"/>
      <c r="EUC188" s="84"/>
      <c r="EUD188" s="84"/>
      <c r="EUE188" s="84"/>
      <c r="EUF188" s="84"/>
      <c r="EUG188" s="84"/>
      <c r="EUH188" s="84"/>
      <c r="EUI188" s="84"/>
      <c r="EUJ188" s="84"/>
      <c r="EUK188" s="84"/>
      <c r="EUL188" s="84"/>
      <c r="EUM188" s="84"/>
      <c r="EUN188" s="84"/>
      <c r="EUO188" s="84"/>
      <c r="EUP188" s="84"/>
      <c r="EUQ188" s="84"/>
      <c r="EUR188" s="84"/>
      <c r="EUS188" s="84"/>
      <c r="EUT188" s="84"/>
      <c r="EUU188" s="84"/>
      <c r="EUV188" s="84"/>
      <c r="EUW188" s="84"/>
      <c r="EUX188" s="84"/>
      <c r="EUY188" s="84"/>
      <c r="EUZ188" s="84"/>
      <c r="EVA188" s="84"/>
      <c r="EVB188" s="84"/>
      <c r="EVC188" s="84"/>
      <c r="EVD188" s="84"/>
      <c r="EVE188" s="84"/>
      <c r="EVF188" s="84"/>
      <c r="EVG188" s="84"/>
      <c r="EVH188" s="84"/>
      <c r="EVI188" s="84"/>
      <c r="EVJ188" s="84"/>
      <c r="EVK188" s="84"/>
      <c r="EVL188" s="84"/>
      <c r="EVM188" s="84"/>
      <c r="EVN188" s="84"/>
      <c r="EVO188" s="84"/>
      <c r="EVP188" s="84"/>
      <c r="EVQ188" s="84"/>
      <c r="EVR188" s="84"/>
      <c r="EVS188" s="84"/>
      <c r="EVT188" s="84"/>
      <c r="EVU188" s="84"/>
      <c r="EVV188" s="84"/>
      <c r="EVW188" s="84"/>
      <c r="EVX188" s="84"/>
      <c r="EVY188" s="84"/>
      <c r="EVZ188" s="84"/>
      <c r="EWA188" s="84"/>
      <c r="EWB188" s="84"/>
      <c r="EWC188" s="84"/>
      <c r="EWD188" s="84"/>
      <c r="EWE188" s="84"/>
      <c r="EWF188" s="84"/>
      <c r="EWG188" s="84"/>
      <c r="EWH188" s="84"/>
      <c r="EWI188" s="84"/>
      <c r="EWJ188" s="84"/>
      <c r="EWK188" s="84"/>
      <c r="EWL188" s="84"/>
      <c r="EWM188" s="84"/>
      <c r="EWN188" s="84"/>
      <c r="EWO188" s="84"/>
      <c r="EWP188" s="84"/>
      <c r="EWQ188" s="84"/>
      <c r="EWR188" s="84"/>
      <c r="EWS188" s="84"/>
      <c r="EWT188" s="84"/>
      <c r="EWU188" s="84"/>
      <c r="EWV188" s="84"/>
      <c r="EWW188" s="84"/>
      <c r="EWX188" s="84"/>
      <c r="EWY188" s="84"/>
      <c r="EWZ188" s="84"/>
      <c r="EXA188" s="84"/>
      <c r="EXB188" s="84"/>
      <c r="EXC188" s="84"/>
      <c r="EXD188" s="84"/>
      <c r="EXE188" s="84"/>
      <c r="EXF188" s="84"/>
      <c r="EXG188" s="84"/>
      <c r="EXH188" s="84"/>
      <c r="EXI188" s="84"/>
      <c r="EXJ188" s="84"/>
      <c r="EXK188" s="84"/>
      <c r="EXL188" s="84"/>
      <c r="EXM188" s="84"/>
      <c r="EXN188" s="84"/>
      <c r="EXO188" s="84"/>
      <c r="EXP188" s="84"/>
      <c r="EXQ188" s="84"/>
      <c r="EXR188" s="84"/>
      <c r="EXS188" s="84"/>
      <c r="EXT188" s="84"/>
      <c r="EXU188" s="84"/>
      <c r="EXV188" s="84"/>
      <c r="EXW188" s="84"/>
      <c r="EXX188" s="84"/>
      <c r="EXY188" s="84"/>
      <c r="EXZ188" s="84"/>
      <c r="EYA188" s="84"/>
      <c r="EYB188" s="84"/>
      <c r="EYC188" s="84"/>
      <c r="EYD188" s="84"/>
      <c r="EYE188" s="84"/>
      <c r="EYF188" s="84"/>
      <c r="EYG188" s="84"/>
      <c r="EYH188" s="84"/>
      <c r="EYI188" s="84"/>
      <c r="EYJ188" s="84"/>
      <c r="EYK188" s="84"/>
      <c r="EYL188" s="84"/>
      <c r="EYM188" s="84"/>
      <c r="EYN188" s="84"/>
      <c r="EYO188" s="84"/>
      <c r="EYP188" s="84"/>
      <c r="EYQ188" s="84"/>
      <c r="EYR188" s="84"/>
      <c r="EYS188" s="84"/>
      <c r="EYT188" s="84"/>
      <c r="EYU188" s="84"/>
      <c r="EYV188" s="84"/>
      <c r="EYW188" s="84"/>
      <c r="EYX188" s="84"/>
      <c r="EYY188" s="84"/>
      <c r="EYZ188" s="84"/>
      <c r="EZA188" s="84"/>
      <c r="EZB188" s="84"/>
      <c r="EZC188" s="84"/>
      <c r="EZD188" s="84"/>
      <c r="EZE188" s="84"/>
      <c r="EZF188" s="84"/>
      <c r="EZG188" s="84"/>
      <c r="EZH188" s="84"/>
      <c r="EZI188" s="84"/>
      <c r="EZJ188" s="84"/>
      <c r="EZK188" s="84"/>
      <c r="EZL188" s="84"/>
      <c r="EZM188" s="84"/>
      <c r="EZN188" s="84"/>
      <c r="EZO188" s="84"/>
      <c r="EZP188" s="84"/>
      <c r="EZQ188" s="84"/>
      <c r="EZR188" s="84"/>
      <c r="EZS188" s="84"/>
      <c r="EZT188" s="84"/>
      <c r="EZU188" s="84"/>
      <c r="EZV188" s="84"/>
      <c r="EZW188" s="84"/>
      <c r="EZX188" s="84"/>
      <c r="EZY188" s="84"/>
      <c r="EZZ188" s="84"/>
      <c r="FAA188" s="84"/>
      <c r="FAB188" s="84"/>
      <c r="FAC188" s="84"/>
      <c r="FAD188" s="84"/>
      <c r="FAE188" s="84"/>
      <c r="FAF188" s="84"/>
      <c r="FAG188" s="84"/>
      <c r="FAH188" s="84"/>
      <c r="FAI188" s="84"/>
      <c r="FAJ188" s="84"/>
      <c r="FAK188" s="84"/>
      <c r="FAL188" s="84"/>
      <c r="FAM188" s="84"/>
      <c r="FAN188" s="84"/>
      <c r="FAO188" s="84"/>
      <c r="FAP188" s="84"/>
      <c r="FAQ188" s="84"/>
      <c r="FAR188" s="84"/>
      <c r="FAS188" s="84"/>
      <c r="FAT188" s="84"/>
      <c r="FAU188" s="84"/>
      <c r="FAV188" s="84"/>
      <c r="FAW188" s="84"/>
      <c r="FAX188" s="84"/>
      <c r="FAY188" s="84"/>
      <c r="FAZ188" s="84"/>
      <c r="FBA188" s="84"/>
      <c r="FBB188" s="84"/>
      <c r="FBC188" s="84"/>
      <c r="FBD188" s="84"/>
      <c r="FBE188" s="84"/>
      <c r="FBF188" s="84"/>
      <c r="FBG188" s="84"/>
      <c r="FBH188" s="84"/>
      <c r="FBI188" s="84"/>
      <c r="FBJ188" s="84"/>
      <c r="FBK188" s="84"/>
      <c r="FBL188" s="84"/>
      <c r="FBM188" s="84"/>
      <c r="FBN188" s="84"/>
      <c r="FBO188" s="84"/>
      <c r="FBP188" s="84"/>
      <c r="FBQ188" s="84"/>
      <c r="FBR188" s="84"/>
      <c r="FBS188" s="84"/>
      <c r="FBT188" s="84"/>
      <c r="FBU188" s="84"/>
      <c r="FBV188" s="84"/>
      <c r="FBW188" s="84"/>
      <c r="FBX188" s="84"/>
      <c r="FBY188" s="84"/>
      <c r="FBZ188" s="84"/>
      <c r="FCA188" s="84"/>
      <c r="FCB188" s="84"/>
      <c r="FCC188" s="84"/>
      <c r="FCD188" s="84"/>
      <c r="FCE188" s="84"/>
      <c r="FCF188" s="84"/>
      <c r="FCG188" s="84"/>
      <c r="FCH188" s="84"/>
      <c r="FCI188" s="84"/>
      <c r="FCJ188" s="84"/>
      <c r="FCK188" s="84"/>
      <c r="FCL188" s="84"/>
      <c r="FCM188" s="84"/>
      <c r="FCN188" s="84"/>
      <c r="FCO188" s="84"/>
      <c r="FCP188" s="84"/>
      <c r="FCQ188" s="84"/>
      <c r="FCR188" s="84"/>
      <c r="FCS188" s="84"/>
      <c r="FCT188" s="84"/>
      <c r="FCU188" s="84"/>
      <c r="FCV188" s="84"/>
      <c r="FCW188" s="84"/>
      <c r="FCX188" s="84"/>
      <c r="FCY188" s="84"/>
      <c r="FCZ188" s="84"/>
      <c r="FDA188" s="84"/>
      <c r="FDB188" s="84"/>
      <c r="FDC188" s="84"/>
      <c r="FDD188" s="84"/>
      <c r="FDE188" s="84"/>
      <c r="FDF188" s="84"/>
      <c r="FDG188" s="84"/>
      <c r="FDH188" s="84"/>
      <c r="FDI188" s="84"/>
      <c r="FDJ188" s="84"/>
      <c r="FDK188" s="84"/>
      <c r="FDL188" s="84"/>
      <c r="FDM188" s="84"/>
      <c r="FDN188" s="84"/>
      <c r="FDO188" s="84"/>
      <c r="FDP188" s="84"/>
      <c r="FDQ188" s="84"/>
      <c r="FDR188" s="84"/>
      <c r="FDS188" s="84"/>
      <c r="FDT188" s="84"/>
      <c r="FDU188" s="84"/>
      <c r="FDV188" s="84"/>
      <c r="FDW188" s="84"/>
      <c r="FDX188" s="84"/>
      <c r="FDY188" s="84"/>
      <c r="FDZ188" s="84"/>
      <c r="FEA188" s="84"/>
      <c r="FEB188" s="84"/>
      <c r="FEC188" s="84"/>
      <c r="FED188" s="84"/>
      <c r="FEE188" s="84"/>
      <c r="FEF188" s="84"/>
      <c r="FEG188" s="84"/>
      <c r="FEH188" s="84"/>
      <c r="FEI188" s="84"/>
      <c r="FEJ188" s="84"/>
      <c r="FEK188" s="84"/>
      <c r="FEL188" s="84"/>
      <c r="FEM188" s="84"/>
      <c r="FEN188" s="84"/>
      <c r="FEO188" s="84"/>
      <c r="FEP188" s="84"/>
      <c r="FEQ188" s="84"/>
      <c r="FER188" s="84"/>
      <c r="FES188" s="84"/>
      <c r="FET188" s="84"/>
      <c r="FEU188" s="84"/>
      <c r="FEV188" s="84"/>
      <c r="FEW188" s="84"/>
      <c r="FEX188" s="84"/>
      <c r="FEY188" s="84"/>
      <c r="FEZ188" s="84"/>
      <c r="FFA188" s="84"/>
      <c r="FFB188" s="84"/>
      <c r="FFC188" s="84"/>
      <c r="FFD188" s="84"/>
      <c r="FFE188" s="84"/>
      <c r="FFF188" s="84"/>
      <c r="FFG188" s="84"/>
      <c r="FFH188" s="84"/>
      <c r="FFI188" s="84"/>
      <c r="FFJ188" s="84"/>
      <c r="FFK188" s="84"/>
      <c r="FFL188" s="84"/>
      <c r="FFM188" s="84"/>
      <c r="FFN188" s="84"/>
      <c r="FFO188" s="84"/>
      <c r="FFP188" s="84"/>
      <c r="FFQ188" s="84"/>
      <c r="FFR188" s="84"/>
      <c r="FFS188" s="84"/>
      <c r="FFT188" s="84"/>
      <c r="FFU188" s="84"/>
      <c r="FFV188" s="84"/>
      <c r="FFW188" s="84"/>
      <c r="FFX188" s="84"/>
      <c r="FFY188" s="84"/>
      <c r="FFZ188" s="84"/>
      <c r="FGA188" s="84"/>
      <c r="FGB188" s="84"/>
      <c r="FGC188" s="84"/>
      <c r="FGD188" s="84"/>
      <c r="FGE188" s="84"/>
      <c r="FGF188" s="84"/>
      <c r="FGG188" s="84"/>
      <c r="FGH188" s="84"/>
      <c r="FGI188" s="84"/>
      <c r="FGJ188" s="84"/>
      <c r="FGK188" s="84"/>
      <c r="FGL188" s="84"/>
      <c r="FGM188" s="84"/>
      <c r="FGN188" s="84"/>
      <c r="FGO188" s="84"/>
      <c r="FGP188" s="84"/>
      <c r="FGQ188" s="84"/>
      <c r="FGR188" s="84"/>
      <c r="FGS188" s="84"/>
      <c r="FGT188" s="84"/>
      <c r="FGU188" s="84"/>
      <c r="FGV188" s="84"/>
      <c r="FGW188" s="84"/>
      <c r="FGX188" s="84"/>
      <c r="FGY188" s="84"/>
      <c r="FGZ188" s="84"/>
      <c r="FHA188" s="84"/>
      <c r="FHB188" s="84"/>
      <c r="FHC188" s="84"/>
      <c r="FHD188" s="84"/>
      <c r="FHE188" s="84"/>
      <c r="FHF188" s="84"/>
      <c r="FHG188" s="84"/>
      <c r="FHH188" s="84"/>
      <c r="FHI188" s="84"/>
      <c r="FHJ188" s="84"/>
      <c r="FHK188" s="84"/>
      <c r="FHL188" s="84"/>
      <c r="FHM188" s="84"/>
      <c r="FHN188" s="84"/>
      <c r="FHO188" s="84"/>
      <c r="FHP188" s="84"/>
      <c r="FHQ188" s="84"/>
      <c r="FHR188" s="84"/>
      <c r="FHS188" s="84"/>
      <c r="FHT188" s="84"/>
      <c r="FHU188" s="84"/>
      <c r="FHV188" s="84"/>
      <c r="FHW188" s="84"/>
      <c r="FHX188" s="84"/>
      <c r="FHY188" s="84"/>
      <c r="FHZ188" s="84"/>
      <c r="FIA188" s="84"/>
      <c r="FIB188" s="84"/>
      <c r="FIC188" s="84"/>
      <c r="FID188" s="84"/>
      <c r="FIE188" s="84"/>
      <c r="FIF188" s="84"/>
      <c r="FIG188" s="84"/>
      <c r="FIH188" s="84"/>
      <c r="FII188" s="84"/>
      <c r="FIJ188" s="84"/>
      <c r="FIK188" s="84"/>
      <c r="FIL188" s="84"/>
      <c r="FIM188" s="84"/>
      <c r="FIN188" s="84"/>
      <c r="FIO188" s="84"/>
      <c r="FIP188" s="84"/>
      <c r="FIQ188" s="84"/>
      <c r="FIR188" s="84"/>
      <c r="FIS188" s="84"/>
      <c r="FIT188" s="84"/>
      <c r="FIU188" s="84"/>
      <c r="FIV188" s="84"/>
      <c r="FIW188" s="84"/>
      <c r="FIX188" s="84"/>
      <c r="FIY188" s="84"/>
      <c r="FIZ188" s="84"/>
      <c r="FJA188" s="84"/>
      <c r="FJB188" s="84"/>
      <c r="FJC188" s="84"/>
      <c r="FJD188" s="84"/>
      <c r="FJE188" s="84"/>
      <c r="FJF188" s="84"/>
      <c r="FJG188" s="84"/>
      <c r="FJH188" s="84"/>
      <c r="FJI188" s="84"/>
      <c r="FJJ188" s="84"/>
      <c r="FJK188" s="84"/>
      <c r="FJL188" s="84"/>
      <c r="FJM188" s="84"/>
      <c r="FJN188" s="84"/>
      <c r="FJO188" s="84"/>
      <c r="FJP188" s="84"/>
      <c r="FJQ188" s="84"/>
      <c r="FJR188" s="84"/>
      <c r="FJS188" s="84"/>
      <c r="FJT188" s="84"/>
      <c r="FJU188" s="84"/>
      <c r="FJV188" s="84"/>
      <c r="FJW188" s="84"/>
      <c r="FJX188" s="84"/>
      <c r="FJY188" s="84"/>
      <c r="FJZ188" s="84"/>
      <c r="FKA188" s="84"/>
      <c r="FKB188" s="84"/>
      <c r="FKC188" s="84"/>
      <c r="FKD188" s="84"/>
      <c r="FKE188" s="84"/>
      <c r="FKF188" s="84"/>
      <c r="FKG188" s="84"/>
      <c r="FKH188" s="84"/>
      <c r="FKI188" s="84"/>
      <c r="FKJ188" s="84"/>
      <c r="FKK188" s="84"/>
      <c r="FKL188" s="84"/>
      <c r="FKM188" s="84"/>
      <c r="FKN188" s="84"/>
      <c r="FKO188" s="84"/>
      <c r="FKP188" s="84"/>
      <c r="FKQ188" s="84"/>
      <c r="FKR188" s="84"/>
      <c r="FKS188" s="84"/>
      <c r="FKT188" s="84"/>
      <c r="FKU188" s="84"/>
      <c r="FKV188" s="84"/>
      <c r="FKW188" s="84"/>
      <c r="FKX188" s="84"/>
      <c r="FKY188" s="84"/>
      <c r="FKZ188" s="84"/>
      <c r="FLA188" s="84"/>
      <c r="FLB188" s="84"/>
      <c r="FLC188" s="84"/>
      <c r="FLD188" s="84"/>
      <c r="FLE188" s="84"/>
      <c r="FLF188" s="84"/>
      <c r="FLG188" s="84"/>
      <c r="FLH188" s="84"/>
      <c r="FLI188" s="84"/>
      <c r="FLJ188" s="84"/>
      <c r="FLK188" s="84"/>
      <c r="FLL188" s="84"/>
      <c r="FLM188" s="84"/>
      <c r="FLN188" s="84"/>
      <c r="FLO188" s="84"/>
      <c r="FLP188" s="84"/>
      <c r="FLQ188" s="84"/>
      <c r="FLR188" s="84"/>
      <c r="FLS188" s="84"/>
      <c r="FLT188" s="84"/>
      <c r="FLU188" s="84"/>
      <c r="FLV188" s="84"/>
      <c r="FLW188" s="84"/>
      <c r="FLX188" s="84"/>
      <c r="FLY188" s="84"/>
      <c r="FLZ188" s="84"/>
      <c r="FMA188" s="84"/>
      <c r="FMB188" s="84"/>
      <c r="FMC188" s="84"/>
      <c r="FMD188" s="84"/>
      <c r="FME188" s="84"/>
      <c r="FMF188" s="84"/>
      <c r="FMG188" s="84"/>
      <c r="FMH188" s="84"/>
      <c r="FMI188" s="84"/>
      <c r="FMJ188" s="84"/>
      <c r="FMK188" s="84"/>
      <c r="FML188" s="84"/>
      <c r="FMM188" s="84"/>
      <c r="FMN188" s="84"/>
      <c r="FMO188" s="84"/>
      <c r="FMP188" s="84"/>
      <c r="FMQ188" s="84"/>
      <c r="FMR188" s="84"/>
      <c r="FMS188" s="84"/>
      <c r="FMT188" s="84"/>
      <c r="FMU188" s="84"/>
      <c r="FMV188" s="84"/>
      <c r="FMW188" s="84"/>
      <c r="FMX188" s="84"/>
      <c r="FMY188" s="84"/>
      <c r="FMZ188" s="84"/>
      <c r="FNA188" s="84"/>
      <c r="FNB188" s="84"/>
      <c r="FNC188" s="84"/>
      <c r="FND188" s="84"/>
      <c r="FNE188" s="84"/>
      <c r="FNF188" s="84"/>
      <c r="FNG188" s="84"/>
      <c r="FNH188" s="84"/>
      <c r="FNI188" s="84"/>
      <c r="FNJ188" s="84"/>
      <c r="FNK188" s="84"/>
      <c r="FNL188" s="84"/>
      <c r="FNM188" s="84"/>
      <c r="FNN188" s="84"/>
      <c r="FNO188" s="84"/>
      <c r="FNP188" s="84"/>
      <c r="FNQ188" s="84"/>
      <c r="FNR188" s="84"/>
      <c r="FNS188" s="84"/>
      <c r="FNT188" s="84"/>
      <c r="FNU188" s="84"/>
      <c r="FNV188" s="84"/>
      <c r="FNW188" s="84"/>
      <c r="FNX188" s="84"/>
      <c r="FNY188" s="84"/>
      <c r="FNZ188" s="84"/>
      <c r="FOA188" s="84"/>
      <c r="FOB188" s="84"/>
      <c r="FOC188" s="84"/>
      <c r="FOD188" s="84"/>
      <c r="FOE188" s="84"/>
      <c r="FOF188" s="84"/>
      <c r="FOG188" s="84"/>
      <c r="FOH188" s="84"/>
      <c r="FOI188" s="84"/>
      <c r="FOJ188" s="84"/>
      <c r="FOK188" s="84"/>
      <c r="FOL188" s="84"/>
      <c r="FOM188" s="84"/>
      <c r="FON188" s="84"/>
      <c r="FOO188" s="84"/>
      <c r="FOP188" s="84"/>
      <c r="FOQ188" s="84"/>
      <c r="FOR188" s="84"/>
      <c r="FOS188" s="84"/>
      <c r="FOT188" s="84"/>
      <c r="FOU188" s="84"/>
      <c r="FOV188" s="84"/>
      <c r="FOW188" s="84"/>
      <c r="FOX188" s="84"/>
      <c r="FOY188" s="84"/>
      <c r="FOZ188" s="84"/>
      <c r="FPA188" s="84"/>
      <c r="FPB188" s="84"/>
      <c r="FPC188" s="84"/>
      <c r="FPD188" s="84"/>
      <c r="FPE188" s="84"/>
      <c r="FPF188" s="84"/>
      <c r="FPG188" s="84"/>
      <c r="FPH188" s="84"/>
      <c r="FPI188" s="84"/>
      <c r="FPJ188" s="84"/>
      <c r="FPK188" s="84"/>
      <c r="FPL188" s="84"/>
      <c r="FPM188" s="84"/>
      <c r="FPN188" s="84"/>
      <c r="FPO188" s="84"/>
      <c r="FPP188" s="84"/>
      <c r="FPQ188" s="84"/>
      <c r="FPR188" s="84"/>
      <c r="FPS188" s="84"/>
      <c r="FPT188" s="84"/>
      <c r="FPU188" s="84"/>
      <c r="FPV188" s="84"/>
      <c r="FPW188" s="84"/>
      <c r="FPX188" s="84"/>
      <c r="FPY188" s="84"/>
      <c r="FPZ188" s="84"/>
      <c r="FQA188" s="84"/>
      <c r="FQB188" s="84"/>
      <c r="FQC188" s="84"/>
      <c r="FQD188" s="84"/>
      <c r="FQE188" s="84"/>
      <c r="FQF188" s="84"/>
      <c r="FQG188" s="84"/>
      <c r="FQH188" s="84"/>
      <c r="FQI188" s="84"/>
      <c r="FQJ188" s="84"/>
      <c r="FQK188" s="84"/>
      <c r="FQL188" s="84"/>
      <c r="FQM188" s="84"/>
      <c r="FQN188" s="84"/>
      <c r="FQO188" s="84"/>
      <c r="FQP188" s="84"/>
      <c r="FQQ188" s="84"/>
      <c r="FQR188" s="84"/>
      <c r="FQS188" s="84"/>
      <c r="FQT188" s="84"/>
      <c r="FQU188" s="84"/>
      <c r="FQV188" s="84"/>
      <c r="FQW188" s="84"/>
      <c r="FQX188" s="84"/>
      <c r="FQY188" s="84"/>
      <c r="FQZ188" s="84"/>
      <c r="FRA188" s="84"/>
      <c r="FRB188" s="84"/>
      <c r="FRC188" s="84"/>
      <c r="FRD188" s="84"/>
      <c r="FRE188" s="84"/>
      <c r="FRF188" s="84"/>
      <c r="FRG188" s="84"/>
      <c r="FRH188" s="84"/>
      <c r="FRI188" s="84"/>
      <c r="FRJ188" s="84"/>
      <c r="FRK188" s="84"/>
      <c r="FRL188" s="84"/>
      <c r="FRM188" s="84"/>
      <c r="FRN188" s="84"/>
      <c r="FRO188" s="84"/>
      <c r="FRP188" s="84"/>
      <c r="FRQ188" s="84"/>
      <c r="FRR188" s="84"/>
      <c r="FRS188" s="84"/>
      <c r="FRT188" s="84"/>
      <c r="FRU188" s="84"/>
      <c r="FRV188" s="84"/>
      <c r="FRW188" s="84"/>
      <c r="FRX188" s="84"/>
      <c r="FRY188" s="84"/>
      <c r="FRZ188" s="84"/>
      <c r="FSA188" s="84"/>
      <c r="FSB188" s="84"/>
      <c r="FSC188" s="84"/>
      <c r="FSD188" s="84"/>
      <c r="FSE188" s="84"/>
      <c r="FSF188" s="84"/>
      <c r="FSG188" s="84"/>
      <c r="FSH188" s="84"/>
      <c r="FSI188" s="84"/>
      <c r="FSJ188" s="84"/>
      <c r="FSK188" s="84"/>
      <c r="FSL188" s="84"/>
      <c r="FSM188" s="84"/>
      <c r="FSN188" s="84"/>
      <c r="FSO188" s="84"/>
      <c r="FSP188" s="84"/>
      <c r="FSQ188" s="84"/>
      <c r="FSR188" s="84"/>
      <c r="FSS188" s="84"/>
      <c r="FST188" s="84"/>
      <c r="FSU188" s="84"/>
      <c r="FSV188" s="84"/>
      <c r="FSW188" s="84"/>
      <c r="FSX188" s="84"/>
      <c r="FSY188" s="84"/>
      <c r="FSZ188" s="84"/>
      <c r="FTA188" s="84"/>
      <c r="FTB188" s="84"/>
      <c r="FTC188" s="84"/>
      <c r="FTD188" s="84"/>
      <c r="FTE188" s="84"/>
      <c r="FTF188" s="84"/>
      <c r="FTG188" s="84"/>
      <c r="FTH188" s="84"/>
      <c r="FTI188" s="84"/>
      <c r="FTJ188" s="84"/>
      <c r="FTK188" s="84"/>
      <c r="FTL188" s="84"/>
      <c r="FTM188" s="84"/>
      <c r="FTN188" s="84"/>
      <c r="FTO188" s="84"/>
      <c r="FTP188" s="84"/>
      <c r="FTQ188" s="84"/>
      <c r="FTR188" s="84"/>
      <c r="FTS188" s="84"/>
      <c r="FTT188" s="84"/>
      <c r="FTU188" s="84"/>
      <c r="FTV188" s="84"/>
      <c r="FTW188" s="84"/>
      <c r="FTX188" s="84"/>
      <c r="FTY188" s="84"/>
      <c r="FTZ188" s="84"/>
      <c r="FUA188" s="84"/>
      <c r="FUB188" s="84"/>
      <c r="FUC188" s="84"/>
      <c r="FUD188" s="84"/>
      <c r="FUE188" s="84"/>
      <c r="FUF188" s="84"/>
      <c r="FUG188" s="84"/>
      <c r="FUH188" s="84"/>
      <c r="FUI188" s="84"/>
      <c r="FUJ188" s="84"/>
      <c r="FUK188" s="84"/>
      <c r="FUL188" s="84"/>
      <c r="FUM188" s="84"/>
      <c r="FUN188" s="84"/>
      <c r="FUO188" s="84"/>
      <c r="FUP188" s="84"/>
      <c r="FUQ188" s="84"/>
      <c r="FUR188" s="84"/>
      <c r="FUS188" s="84"/>
      <c r="FUT188" s="84"/>
      <c r="FUU188" s="84"/>
      <c r="FUV188" s="84"/>
      <c r="FUW188" s="84"/>
      <c r="FUX188" s="84"/>
      <c r="FUY188" s="84"/>
      <c r="FUZ188" s="84"/>
      <c r="FVA188" s="84"/>
      <c r="FVB188" s="84"/>
      <c r="FVC188" s="84"/>
      <c r="FVD188" s="84"/>
      <c r="FVE188" s="84"/>
      <c r="FVF188" s="84"/>
      <c r="FVG188" s="84"/>
      <c r="FVH188" s="84"/>
      <c r="FVI188" s="84"/>
      <c r="FVJ188" s="84"/>
      <c r="FVK188" s="84"/>
      <c r="FVL188" s="84"/>
      <c r="FVM188" s="84"/>
      <c r="FVN188" s="84"/>
      <c r="FVO188" s="84"/>
      <c r="FVP188" s="84"/>
      <c r="FVQ188" s="84"/>
      <c r="FVR188" s="84"/>
      <c r="FVS188" s="84"/>
      <c r="FVT188" s="84"/>
      <c r="FVU188" s="84"/>
      <c r="FVV188" s="84"/>
      <c r="FVW188" s="84"/>
      <c r="FVX188" s="84"/>
      <c r="FVY188" s="84"/>
      <c r="FVZ188" s="84"/>
      <c r="FWA188" s="84"/>
      <c r="FWB188" s="84"/>
      <c r="FWC188" s="84"/>
      <c r="FWD188" s="84"/>
      <c r="FWE188" s="84"/>
      <c r="FWF188" s="84"/>
      <c r="FWG188" s="84"/>
      <c r="FWH188" s="84"/>
      <c r="FWI188" s="84"/>
      <c r="FWJ188" s="84"/>
      <c r="FWK188" s="84"/>
      <c r="FWL188" s="84"/>
      <c r="FWM188" s="84"/>
      <c r="FWN188" s="84"/>
      <c r="FWO188" s="84"/>
      <c r="FWP188" s="84"/>
      <c r="FWQ188" s="84"/>
      <c r="FWR188" s="84"/>
      <c r="FWS188" s="84"/>
      <c r="FWT188" s="84"/>
      <c r="FWU188" s="84"/>
      <c r="FWV188" s="84"/>
      <c r="FWW188" s="84"/>
      <c r="FWX188" s="84"/>
      <c r="FWY188" s="84"/>
      <c r="FWZ188" s="84"/>
      <c r="FXA188" s="84"/>
      <c r="FXB188" s="84"/>
      <c r="FXC188" s="84"/>
      <c r="FXD188" s="84"/>
      <c r="FXE188" s="84"/>
      <c r="FXF188" s="84"/>
      <c r="FXG188" s="84"/>
      <c r="FXH188" s="84"/>
      <c r="FXI188" s="84"/>
      <c r="FXJ188" s="84"/>
      <c r="FXK188" s="84"/>
      <c r="FXL188" s="84"/>
      <c r="FXM188" s="84"/>
      <c r="FXN188" s="84"/>
      <c r="FXO188" s="84"/>
      <c r="FXP188" s="84"/>
      <c r="FXQ188" s="84"/>
      <c r="FXR188" s="84"/>
      <c r="FXS188" s="84"/>
      <c r="FXT188" s="84"/>
      <c r="FXU188" s="84"/>
      <c r="FXV188" s="84"/>
      <c r="FXW188" s="84"/>
      <c r="FXX188" s="84"/>
      <c r="FXY188" s="84"/>
      <c r="FXZ188" s="84"/>
      <c r="FYA188" s="84"/>
      <c r="FYB188" s="84"/>
      <c r="FYC188" s="84"/>
      <c r="FYD188" s="84"/>
      <c r="FYE188" s="84"/>
      <c r="FYF188" s="84"/>
      <c r="FYG188" s="84"/>
      <c r="FYH188" s="84"/>
      <c r="FYI188" s="84"/>
      <c r="FYJ188" s="84"/>
      <c r="FYK188" s="84"/>
      <c r="FYL188" s="84"/>
      <c r="FYM188" s="84"/>
      <c r="FYN188" s="84"/>
      <c r="FYO188" s="84"/>
      <c r="FYP188" s="84"/>
      <c r="FYQ188" s="84"/>
      <c r="FYR188" s="84"/>
      <c r="FYS188" s="84"/>
      <c r="FYT188" s="84"/>
      <c r="FYU188" s="84"/>
      <c r="FYV188" s="84"/>
      <c r="FYW188" s="84"/>
      <c r="FYX188" s="84"/>
      <c r="FYY188" s="84"/>
      <c r="FYZ188" s="84"/>
      <c r="FZA188" s="84"/>
      <c r="FZB188" s="84"/>
      <c r="FZC188" s="84"/>
      <c r="FZD188" s="84"/>
      <c r="FZE188" s="84"/>
      <c r="FZF188" s="84"/>
      <c r="FZG188" s="84"/>
      <c r="FZH188" s="84"/>
      <c r="FZI188" s="84"/>
      <c r="FZJ188" s="84"/>
      <c r="FZK188" s="84"/>
      <c r="FZL188" s="84"/>
      <c r="FZM188" s="84"/>
      <c r="FZN188" s="84"/>
      <c r="FZO188" s="84"/>
      <c r="FZP188" s="84"/>
      <c r="FZQ188" s="84"/>
      <c r="FZR188" s="84"/>
      <c r="FZS188" s="84"/>
      <c r="FZT188" s="84"/>
      <c r="FZU188" s="84"/>
      <c r="FZV188" s="84"/>
      <c r="FZW188" s="84"/>
      <c r="FZX188" s="84"/>
      <c r="FZY188" s="84"/>
      <c r="FZZ188" s="84"/>
      <c r="GAA188" s="84"/>
      <c r="GAB188" s="84"/>
      <c r="GAC188" s="84"/>
      <c r="GAD188" s="84"/>
      <c r="GAE188" s="84"/>
      <c r="GAF188" s="84"/>
      <c r="GAG188" s="84"/>
      <c r="GAH188" s="84"/>
      <c r="GAI188" s="84"/>
      <c r="GAJ188" s="84"/>
      <c r="GAK188" s="84"/>
      <c r="GAL188" s="84"/>
      <c r="GAM188" s="84"/>
      <c r="GAN188" s="84"/>
      <c r="GAO188" s="84"/>
      <c r="GAP188" s="84"/>
      <c r="GAQ188" s="84"/>
      <c r="GAR188" s="84"/>
      <c r="GAS188" s="84"/>
      <c r="GAT188" s="84"/>
      <c r="GAU188" s="84"/>
      <c r="GAV188" s="84"/>
      <c r="GAW188" s="84"/>
      <c r="GAX188" s="84"/>
      <c r="GAY188" s="84"/>
      <c r="GAZ188" s="84"/>
      <c r="GBA188" s="84"/>
      <c r="GBB188" s="84"/>
      <c r="GBC188" s="84"/>
      <c r="GBD188" s="84"/>
      <c r="GBE188" s="84"/>
      <c r="GBF188" s="84"/>
      <c r="GBG188" s="84"/>
      <c r="GBH188" s="84"/>
      <c r="GBI188" s="84"/>
      <c r="GBJ188" s="84"/>
      <c r="GBK188" s="84"/>
      <c r="GBL188" s="84"/>
      <c r="GBM188" s="84"/>
      <c r="GBN188" s="84"/>
      <c r="GBO188" s="84"/>
      <c r="GBP188" s="84"/>
      <c r="GBQ188" s="84"/>
      <c r="GBR188" s="84"/>
      <c r="GBS188" s="84"/>
      <c r="GBT188" s="84"/>
      <c r="GBU188" s="84"/>
      <c r="GBV188" s="84"/>
      <c r="GBW188" s="84"/>
      <c r="GBX188" s="84"/>
      <c r="GBY188" s="84"/>
      <c r="GBZ188" s="84"/>
      <c r="GCA188" s="84"/>
      <c r="GCB188" s="84"/>
      <c r="GCC188" s="84"/>
      <c r="GCD188" s="84"/>
      <c r="GCE188" s="84"/>
      <c r="GCF188" s="84"/>
      <c r="GCG188" s="84"/>
      <c r="GCH188" s="84"/>
      <c r="GCI188" s="84"/>
      <c r="GCJ188" s="84"/>
      <c r="GCK188" s="84"/>
      <c r="GCL188" s="84"/>
      <c r="GCM188" s="84"/>
      <c r="GCN188" s="84"/>
      <c r="GCO188" s="84"/>
      <c r="GCP188" s="84"/>
      <c r="GCQ188" s="84"/>
      <c r="GCR188" s="84"/>
      <c r="GCS188" s="84"/>
      <c r="GCT188" s="84"/>
      <c r="GCU188" s="84"/>
      <c r="GCV188" s="84"/>
      <c r="GCW188" s="84"/>
      <c r="GCX188" s="84"/>
      <c r="GCY188" s="84"/>
      <c r="GCZ188" s="84"/>
      <c r="GDA188" s="84"/>
      <c r="GDB188" s="84"/>
      <c r="GDC188" s="84"/>
      <c r="GDD188" s="84"/>
      <c r="GDE188" s="84"/>
      <c r="GDF188" s="84"/>
      <c r="GDG188" s="84"/>
      <c r="GDH188" s="84"/>
      <c r="GDI188" s="84"/>
      <c r="GDJ188" s="84"/>
      <c r="GDK188" s="84"/>
      <c r="GDL188" s="84"/>
      <c r="GDM188" s="84"/>
      <c r="GDN188" s="84"/>
      <c r="GDO188" s="84"/>
      <c r="GDP188" s="84"/>
      <c r="GDQ188" s="84"/>
      <c r="GDR188" s="84"/>
      <c r="GDS188" s="84"/>
      <c r="GDT188" s="84"/>
      <c r="GDU188" s="84"/>
      <c r="GDV188" s="84"/>
      <c r="GDW188" s="84"/>
      <c r="GDX188" s="84"/>
      <c r="GDY188" s="84"/>
      <c r="GDZ188" s="84"/>
      <c r="GEA188" s="84"/>
      <c r="GEB188" s="84"/>
      <c r="GEC188" s="84"/>
      <c r="GED188" s="84"/>
      <c r="GEE188" s="84"/>
      <c r="GEF188" s="84"/>
      <c r="GEG188" s="84"/>
      <c r="GEH188" s="84"/>
      <c r="GEI188" s="84"/>
      <c r="GEJ188" s="84"/>
      <c r="GEK188" s="84"/>
      <c r="GEL188" s="84"/>
      <c r="GEM188" s="84"/>
      <c r="GEN188" s="84"/>
      <c r="GEO188" s="84"/>
      <c r="GEP188" s="84"/>
      <c r="GEQ188" s="84"/>
      <c r="GER188" s="84"/>
      <c r="GES188" s="84"/>
      <c r="GET188" s="84"/>
      <c r="GEU188" s="84"/>
      <c r="GEV188" s="84"/>
      <c r="GEW188" s="84"/>
      <c r="GEX188" s="84"/>
      <c r="GEY188" s="84"/>
      <c r="GEZ188" s="84"/>
      <c r="GFA188" s="84"/>
      <c r="GFB188" s="84"/>
      <c r="GFC188" s="84"/>
      <c r="GFD188" s="84"/>
      <c r="GFE188" s="84"/>
      <c r="GFF188" s="84"/>
      <c r="GFG188" s="84"/>
      <c r="GFH188" s="84"/>
      <c r="GFI188" s="84"/>
      <c r="GFJ188" s="84"/>
      <c r="GFK188" s="84"/>
      <c r="GFL188" s="84"/>
      <c r="GFM188" s="84"/>
      <c r="GFN188" s="84"/>
      <c r="GFO188" s="84"/>
      <c r="GFP188" s="84"/>
      <c r="GFQ188" s="84"/>
      <c r="GFR188" s="84"/>
      <c r="GFS188" s="84"/>
      <c r="GFT188" s="84"/>
      <c r="GFU188" s="84"/>
      <c r="GFV188" s="84"/>
      <c r="GFW188" s="84"/>
      <c r="GFX188" s="84"/>
      <c r="GFY188" s="84"/>
      <c r="GFZ188" s="84"/>
      <c r="GGA188" s="84"/>
      <c r="GGB188" s="84"/>
      <c r="GGC188" s="84"/>
      <c r="GGD188" s="84"/>
      <c r="GGE188" s="84"/>
      <c r="GGF188" s="84"/>
      <c r="GGG188" s="84"/>
      <c r="GGH188" s="84"/>
      <c r="GGI188" s="84"/>
      <c r="GGJ188" s="84"/>
      <c r="GGK188" s="84"/>
      <c r="GGL188" s="84"/>
      <c r="GGM188" s="84"/>
      <c r="GGN188" s="84"/>
      <c r="GGO188" s="84"/>
      <c r="GGP188" s="84"/>
      <c r="GGQ188" s="84"/>
      <c r="GGR188" s="84"/>
      <c r="GGS188" s="84"/>
      <c r="GGT188" s="84"/>
      <c r="GGU188" s="84"/>
      <c r="GGV188" s="84"/>
      <c r="GGW188" s="84"/>
      <c r="GGX188" s="84"/>
      <c r="GGY188" s="84"/>
      <c r="GGZ188" s="84"/>
      <c r="GHA188" s="84"/>
      <c r="GHB188" s="84"/>
      <c r="GHC188" s="84"/>
      <c r="GHD188" s="84"/>
      <c r="GHE188" s="84"/>
      <c r="GHF188" s="84"/>
      <c r="GHG188" s="84"/>
      <c r="GHH188" s="84"/>
      <c r="GHI188" s="84"/>
      <c r="GHJ188" s="84"/>
      <c r="GHK188" s="84"/>
      <c r="GHL188" s="84"/>
      <c r="GHM188" s="84"/>
      <c r="GHN188" s="84"/>
      <c r="GHO188" s="84"/>
      <c r="GHP188" s="84"/>
      <c r="GHQ188" s="84"/>
      <c r="GHR188" s="84"/>
      <c r="GHS188" s="84"/>
      <c r="GHT188" s="84"/>
      <c r="GHU188" s="84"/>
      <c r="GHV188" s="84"/>
      <c r="GHW188" s="84"/>
      <c r="GHX188" s="84"/>
      <c r="GHY188" s="84"/>
      <c r="GHZ188" s="84"/>
      <c r="GIA188" s="84"/>
      <c r="GIB188" s="84"/>
      <c r="GIC188" s="84"/>
      <c r="GID188" s="84"/>
      <c r="GIE188" s="84"/>
      <c r="GIF188" s="84"/>
      <c r="GIG188" s="84"/>
      <c r="GIH188" s="84"/>
      <c r="GII188" s="84"/>
      <c r="GIJ188" s="84"/>
      <c r="GIK188" s="84"/>
      <c r="GIL188" s="84"/>
      <c r="GIM188" s="84"/>
      <c r="GIN188" s="84"/>
      <c r="GIO188" s="84"/>
      <c r="GIP188" s="84"/>
      <c r="GIQ188" s="84"/>
      <c r="GIR188" s="84"/>
      <c r="GIS188" s="84"/>
      <c r="GIT188" s="84"/>
      <c r="GIU188" s="84"/>
      <c r="GIV188" s="84"/>
      <c r="GIW188" s="84"/>
      <c r="GIX188" s="84"/>
      <c r="GIY188" s="84"/>
      <c r="GIZ188" s="84"/>
      <c r="GJA188" s="84"/>
      <c r="GJB188" s="84"/>
      <c r="GJC188" s="84"/>
      <c r="GJD188" s="84"/>
      <c r="GJE188" s="84"/>
      <c r="GJF188" s="84"/>
      <c r="GJG188" s="84"/>
      <c r="GJH188" s="84"/>
      <c r="GJI188" s="84"/>
      <c r="GJJ188" s="84"/>
      <c r="GJK188" s="84"/>
      <c r="GJL188" s="84"/>
      <c r="GJM188" s="84"/>
      <c r="GJN188" s="84"/>
      <c r="GJO188" s="84"/>
      <c r="GJP188" s="84"/>
      <c r="GJQ188" s="84"/>
      <c r="GJR188" s="84"/>
      <c r="GJS188" s="84"/>
      <c r="GJT188" s="84"/>
      <c r="GJU188" s="84"/>
      <c r="GJV188" s="84"/>
      <c r="GJW188" s="84"/>
      <c r="GJX188" s="84"/>
      <c r="GJY188" s="84"/>
      <c r="GJZ188" s="84"/>
      <c r="GKA188" s="84"/>
      <c r="GKB188" s="84"/>
      <c r="GKC188" s="84"/>
      <c r="GKD188" s="84"/>
      <c r="GKE188" s="84"/>
      <c r="GKF188" s="84"/>
      <c r="GKG188" s="84"/>
      <c r="GKH188" s="84"/>
      <c r="GKI188" s="84"/>
      <c r="GKJ188" s="84"/>
      <c r="GKK188" s="84"/>
      <c r="GKL188" s="84"/>
      <c r="GKM188" s="84"/>
      <c r="GKN188" s="84"/>
      <c r="GKO188" s="84"/>
      <c r="GKP188" s="84"/>
      <c r="GKQ188" s="84"/>
      <c r="GKR188" s="84"/>
      <c r="GKS188" s="84"/>
      <c r="GKT188" s="84"/>
      <c r="GKU188" s="84"/>
      <c r="GKV188" s="84"/>
      <c r="GKW188" s="84"/>
      <c r="GKX188" s="84"/>
      <c r="GKY188" s="84"/>
      <c r="GKZ188" s="84"/>
      <c r="GLA188" s="84"/>
      <c r="GLB188" s="84"/>
      <c r="GLC188" s="84"/>
      <c r="GLD188" s="84"/>
      <c r="GLE188" s="84"/>
      <c r="GLF188" s="84"/>
      <c r="GLG188" s="84"/>
      <c r="GLH188" s="84"/>
      <c r="GLI188" s="84"/>
      <c r="GLJ188" s="84"/>
      <c r="GLK188" s="84"/>
      <c r="GLL188" s="84"/>
      <c r="GLM188" s="84"/>
      <c r="GLN188" s="84"/>
      <c r="GLO188" s="84"/>
      <c r="GLP188" s="84"/>
      <c r="GLQ188" s="84"/>
      <c r="GLR188" s="84"/>
      <c r="GLS188" s="84"/>
      <c r="GLT188" s="84"/>
      <c r="GLU188" s="84"/>
      <c r="GLV188" s="84"/>
      <c r="GLW188" s="84"/>
      <c r="GLX188" s="84"/>
      <c r="GLY188" s="84"/>
      <c r="GLZ188" s="84"/>
      <c r="GMA188" s="84"/>
      <c r="GMB188" s="84"/>
      <c r="GMC188" s="84"/>
      <c r="GMD188" s="84"/>
      <c r="GME188" s="84"/>
      <c r="GMF188" s="84"/>
      <c r="GMG188" s="84"/>
      <c r="GMH188" s="84"/>
      <c r="GMI188" s="84"/>
      <c r="GMJ188" s="84"/>
      <c r="GMK188" s="84"/>
      <c r="GML188" s="84"/>
      <c r="GMM188" s="84"/>
      <c r="GMN188" s="84"/>
      <c r="GMO188" s="84"/>
      <c r="GMP188" s="84"/>
      <c r="GMQ188" s="84"/>
      <c r="GMR188" s="84"/>
      <c r="GMS188" s="84"/>
      <c r="GMT188" s="84"/>
      <c r="GMU188" s="84"/>
      <c r="GMV188" s="84"/>
      <c r="GMW188" s="84"/>
      <c r="GMX188" s="84"/>
      <c r="GMY188" s="84"/>
      <c r="GMZ188" s="84"/>
      <c r="GNA188" s="84"/>
      <c r="GNB188" s="84"/>
      <c r="GNC188" s="84"/>
      <c r="GND188" s="84"/>
      <c r="GNE188" s="84"/>
      <c r="GNF188" s="84"/>
      <c r="GNG188" s="84"/>
      <c r="GNH188" s="84"/>
      <c r="GNI188" s="84"/>
      <c r="GNJ188" s="84"/>
      <c r="GNK188" s="84"/>
      <c r="GNL188" s="84"/>
      <c r="GNM188" s="84"/>
      <c r="GNN188" s="84"/>
      <c r="GNO188" s="84"/>
      <c r="GNP188" s="84"/>
      <c r="GNQ188" s="84"/>
      <c r="GNR188" s="84"/>
      <c r="GNS188" s="84"/>
      <c r="GNT188" s="84"/>
      <c r="GNU188" s="84"/>
      <c r="GNV188" s="84"/>
      <c r="GNW188" s="84"/>
      <c r="GNX188" s="84"/>
      <c r="GNY188" s="84"/>
      <c r="GNZ188" s="84"/>
      <c r="GOA188" s="84"/>
      <c r="GOB188" s="84"/>
      <c r="GOC188" s="84"/>
      <c r="GOD188" s="84"/>
      <c r="GOE188" s="84"/>
      <c r="GOF188" s="84"/>
      <c r="GOG188" s="84"/>
      <c r="GOH188" s="84"/>
      <c r="GOI188" s="84"/>
      <c r="GOJ188" s="84"/>
      <c r="GOK188" s="84"/>
      <c r="GOL188" s="84"/>
      <c r="GOM188" s="84"/>
      <c r="GON188" s="84"/>
      <c r="GOO188" s="84"/>
      <c r="GOP188" s="84"/>
      <c r="GOQ188" s="84"/>
      <c r="GOR188" s="84"/>
      <c r="GOS188" s="84"/>
      <c r="GOT188" s="84"/>
      <c r="GOU188" s="84"/>
      <c r="GOV188" s="84"/>
      <c r="GOW188" s="84"/>
      <c r="GOX188" s="84"/>
      <c r="GOY188" s="84"/>
      <c r="GOZ188" s="84"/>
      <c r="GPA188" s="84"/>
      <c r="GPB188" s="84"/>
      <c r="GPC188" s="84"/>
      <c r="GPD188" s="84"/>
      <c r="GPE188" s="84"/>
      <c r="GPF188" s="84"/>
      <c r="GPG188" s="84"/>
      <c r="GPH188" s="84"/>
      <c r="GPI188" s="84"/>
      <c r="GPJ188" s="84"/>
      <c r="GPK188" s="84"/>
      <c r="GPL188" s="84"/>
      <c r="GPM188" s="84"/>
      <c r="GPN188" s="84"/>
      <c r="GPO188" s="84"/>
      <c r="GPP188" s="84"/>
      <c r="GPQ188" s="84"/>
      <c r="GPR188" s="84"/>
      <c r="GPS188" s="84"/>
      <c r="GPT188" s="84"/>
      <c r="GPU188" s="84"/>
      <c r="GPV188" s="84"/>
      <c r="GPW188" s="84"/>
      <c r="GPX188" s="84"/>
      <c r="GPY188" s="84"/>
      <c r="GPZ188" s="84"/>
      <c r="GQA188" s="84"/>
      <c r="GQB188" s="84"/>
      <c r="GQC188" s="84"/>
      <c r="GQD188" s="84"/>
      <c r="GQE188" s="84"/>
      <c r="GQF188" s="84"/>
      <c r="GQG188" s="84"/>
      <c r="GQH188" s="84"/>
      <c r="GQI188" s="84"/>
      <c r="GQJ188" s="84"/>
      <c r="GQK188" s="84"/>
      <c r="GQL188" s="84"/>
      <c r="GQM188" s="84"/>
      <c r="GQN188" s="84"/>
      <c r="GQO188" s="84"/>
      <c r="GQP188" s="84"/>
      <c r="GQQ188" s="84"/>
      <c r="GQR188" s="84"/>
      <c r="GQS188" s="84"/>
      <c r="GQT188" s="84"/>
      <c r="GQU188" s="84"/>
      <c r="GQV188" s="84"/>
      <c r="GQW188" s="84"/>
      <c r="GQX188" s="84"/>
      <c r="GQY188" s="84"/>
      <c r="GQZ188" s="84"/>
      <c r="GRA188" s="84"/>
      <c r="GRB188" s="84"/>
      <c r="GRC188" s="84"/>
      <c r="GRD188" s="84"/>
      <c r="GRE188" s="84"/>
      <c r="GRF188" s="84"/>
      <c r="GRG188" s="84"/>
      <c r="GRH188" s="84"/>
      <c r="GRI188" s="84"/>
      <c r="GRJ188" s="84"/>
      <c r="GRK188" s="84"/>
      <c r="GRL188" s="84"/>
      <c r="GRM188" s="84"/>
      <c r="GRN188" s="84"/>
      <c r="GRO188" s="84"/>
      <c r="GRP188" s="84"/>
      <c r="GRQ188" s="84"/>
      <c r="GRR188" s="84"/>
      <c r="GRS188" s="84"/>
      <c r="GRT188" s="84"/>
      <c r="GRU188" s="84"/>
      <c r="GRV188" s="84"/>
      <c r="GRW188" s="84"/>
      <c r="GRX188" s="84"/>
      <c r="GRY188" s="84"/>
      <c r="GRZ188" s="84"/>
      <c r="GSA188" s="84"/>
      <c r="GSB188" s="84"/>
      <c r="GSC188" s="84"/>
      <c r="GSD188" s="84"/>
      <c r="GSE188" s="84"/>
      <c r="GSF188" s="84"/>
      <c r="GSG188" s="84"/>
      <c r="GSH188" s="84"/>
      <c r="GSI188" s="84"/>
      <c r="GSJ188" s="84"/>
      <c r="GSK188" s="84"/>
      <c r="GSL188" s="84"/>
      <c r="GSM188" s="84"/>
      <c r="GSN188" s="84"/>
      <c r="GSO188" s="84"/>
      <c r="GSP188" s="84"/>
      <c r="GSQ188" s="84"/>
      <c r="GSR188" s="84"/>
      <c r="GSS188" s="84"/>
      <c r="GST188" s="84"/>
      <c r="GSU188" s="84"/>
      <c r="GSV188" s="84"/>
      <c r="GSW188" s="84"/>
      <c r="GSX188" s="84"/>
      <c r="GSY188" s="84"/>
      <c r="GSZ188" s="84"/>
      <c r="GTA188" s="84"/>
      <c r="GTB188" s="84"/>
      <c r="GTC188" s="84"/>
      <c r="GTD188" s="84"/>
      <c r="GTE188" s="84"/>
      <c r="GTF188" s="84"/>
      <c r="GTG188" s="84"/>
      <c r="GTH188" s="84"/>
      <c r="GTI188" s="84"/>
      <c r="GTJ188" s="84"/>
      <c r="GTK188" s="84"/>
      <c r="GTL188" s="84"/>
      <c r="GTM188" s="84"/>
      <c r="GTN188" s="84"/>
      <c r="GTO188" s="84"/>
      <c r="GTP188" s="84"/>
      <c r="GTQ188" s="84"/>
      <c r="GTR188" s="84"/>
      <c r="GTS188" s="84"/>
      <c r="GTT188" s="84"/>
      <c r="GTU188" s="84"/>
      <c r="GTV188" s="84"/>
      <c r="GTW188" s="84"/>
      <c r="GTX188" s="84"/>
      <c r="GTY188" s="84"/>
      <c r="GTZ188" s="84"/>
      <c r="GUA188" s="84"/>
      <c r="GUB188" s="84"/>
      <c r="GUC188" s="84"/>
      <c r="GUD188" s="84"/>
      <c r="GUE188" s="84"/>
      <c r="GUF188" s="84"/>
      <c r="GUG188" s="84"/>
      <c r="GUH188" s="84"/>
      <c r="GUI188" s="84"/>
      <c r="GUJ188" s="84"/>
      <c r="GUK188" s="84"/>
      <c r="GUL188" s="84"/>
      <c r="GUM188" s="84"/>
      <c r="GUN188" s="84"/>
      <c r="GUO188" s="84"/>
      <c r="GUP188" s="84"/>
      <c r="GUQ188" s="84"/>
      <c r="GUR188" s="84"/>
      <c r="GUS188" s="84"/>
      <c r="GUT188" s="84"/>
      <c r="GUU188" s="84"/>
      <c r="GUV188" s="84"/>
      <c r="GUW188" s="84"/>
      <c r="GUX188" s="84"/>
      <c r="GUY188" s="84"/>
      <c r="GUZ188" s="84"/>
      <c r="GVA188" s="84"/>
      <c r="GVB188" s="84"/>
      <c r="GVC188" s="84"/>
      <c r="GVD188" s="84"/>
      <c r="GVE188" s="84"/>
      <c r="GVF188" s="84"/>
      <c r="GVG188" s="84"/>
      <c r="GVH188" s="84"/>
      <c r="GVI188" s="84"/>
      <c r="GVJ188" s="84"/>
      <c r="GVK188" s="84"/>
      <c r="GVL188" s="84"/>
      <c r="GVM188" s="84"/>
      <c r="GVN188" s="84"/>
      <c r="GVO188" s="84"/>
      <c r="GVP188" s="84"/>
      <c r="GVQ188" s="84"/>
      <c r="GVR188" s="84"/>
      <c r="GVS188" s="84"/>
      <c r="GVT188" s="84"/>
      <c r="GVU188" s="84"/>
      <c r="GVV188" s="84"/>
      <c r="GVW188" s="84"/>
      <c r="GVX188" s="84"/>
      <c r="GVY188" s="84"/>
      <c r="GVZ188" s="84"/>
      <c r="GWA188" s="84"/>
      <c r="GWB188" s="84"/>
      <c r="GWC188" s="84"/>
      <c r="GWD188" s="84"/>
      <c r="GWE188" s="84"/>
      <c r="GWF188" s="84"/>
      <c r="GWG188" s="84"/>
      <c r="GWH188" s="84"/>
      <c r="GWI188" s="84"/>
      <c r="GWJ188" s="84"/>
      <c r="GWK188" s="84"/>
      <c r="GWL188" s="84"/>
      <c r="GWM188" s="84"/>
      <c r="GWN188" s="84"/>
      <c r="GWO188" s="84"/>
      <c r="GWP188" s="84"/>
      <c r="GWQ188" s="84"/>
      <c r="GWR188" s="84"/>
      <c r="GWS188" s="84"/>
      <c r="GWT188" s="84"/>
      <c r="GWU188" s="84"/>
      <c r="GWV188" s="84"/>
      <c r="GWW188" s="84"/>
      <c r="GWX188" s="84"/>
      <c r="GWY188" s="84"/>
      <c r="GWZ188" s="84"/>
      <c r="GXA188" s="84"/>
      <c r="GXB188" s="84"/>
      <c r="GXC188" s="84"/>
      <c r="GXD188" s="84"/>
      <c r="GXE188" s="84"/>
      <c r="GXF188" s="84"/>
      <c r="GXG188" s="84"/>
      <c r="GXH188" s="84"/>
      <c r="GXI188" s="84"/>
      <c r="GXJ188" s="84"/>
      <c r="GXK188" s="84"/>
      <c r="GXL188" s="84"/>
      <c r="GXM188" s="84"/>
      <c r="GXN188" s="84"/>
      <c r="GXO188" s="84"/>
      <c r="GXP188" s="84"/>
      <c r="GXQ188" s="84"/>
      <c r="GXR188" s="84"/>
      <c r="GXS188" s="84"/>
      <c r="GXT188" s="84"/>
      <c r="GXU188" s="84"/>
      <c r="GXV188" s="84"/>
      <c r="GXW188" s="84"/>
      <c r="GXX188" s="84"/>
      <c r="GXY188" s="84"/>
      <c r="GXZ188" s="84"/>
      <c r="GYA188" s="84"/>
      <c r="GYB188" s="84"/>
      <c r="GYC188" s="84"/>
      <c r="GYD188" s="84"/>
      <c r="GYE188" s="84"/>
      <c r="GYF188" s="84"/>
      <c r="GYG188" s="84"/>
      <c r="GYH188" s="84"/>
      <c r="GYI188" s="84"/>
      <c r="GYJ188" s="84"/>
      <c r="GYK188" s="84"/>
      <c r="GYL188" s="84"/>
      <c r="GYM188" s="84"/>
      <c r="GYN188" s="84"/>
      <c r="GYO188" s="84"/>
      <c r="GYP188" s="84"/>
      <c r="GYQ188" s="84"/>
      <c r="GYR188" s="84"/>
      <c r="GYS188" s="84"/>
      <c r="GYT188" s="84"/>
      <c r="GYU188" s="84"/>
      <c r="GYV188" s="84"/>
      <c r="GYW188" s="84"/>
      <c r="GYX188" s="84"/>
      <c r="GYY188" s="84"/>
      <c r="GYZ188" s="84"/>
      <c r="GZA188" s="84"/>
      <c r="GZB188" s="84"/>
      <c r="GZC188" s="84"/>
      <c r="GZD188" s="84"/>
      <c r="GZE188" s="84"/>
      <c r="GZF188" s="84"/>
      <c r="GZG188" s="84"/>
      <c r="GZH188" s="84"/>
      <c r="GZI188" s="84"/>
      <c r="GZJ188" s="84"/>
      <c r="GZK188" s="84"/>
      <c r="GZL188" s="84"/>
      <c r="GZM188" s="84"/>
      <c r="GZN188" s="84"/>
      <c r="GZO188" s="84"/>
      <c r="GZP188" s="84"/>
      <c r="GZQ188" s="84"/>
      <c r="GZR188" s="84"/>
      <c r="GZS188" s="84"/>
      <c r="GZT188" s="84"/>
      <c r="GZU188" s="84"/>
      <c r="GZV188" s="84"/>
      <c r="GZW188" s="84"/>
      <c r="GZX188" s="84"/>
      <c r="GZY188" s="84"/>
      <c r="GZZ188" s="84"/>
      <c r="HAA188" s="84"/>
      <c r="HAB188" s="84"/>
      <c r="HAC188" s="84"/>
      <c r="HAD188" s="84"/>
      <c r="HAE188" s="84"/>
      <c r="HAF188" s="84"/>
      <c r="HAG188" s="84"/>
      <c r="HAH188" s="84"/>
      <c r="HAI188" s="84"/>
      <c r="HAJ188" s="84"/>
      <c r="HAK188" s="84"/>
      <c r="HAL188" s="84"/>
      <c r="HAM188" s="84"/>
      <c r="HAN188" s="84"/>
      <c r="HAO188" s="84"/>
      <c r="HAP188" s="84"/>
      <c r="HAQ188" s="84"/>
      <c r="HAR188" s="84"/>
      <c r="HAS188" s="84"/>
      <c r="HAT188" s="84"/>
      <c r="HAU188" s="84"/>
      <c r="HAV188" s="84"/>
      <c r="HAW188" s="84"/>
      <c r="HAX188" s="84"/>
      <c r="HAY188" s="84"/>
      <c r="HAZ188" s="84"/>
      <c r="HBA188" s="84"/>
      <c r="HBB188" s="84"/>
      <c r="HBC188" s="84"/>
      <c r="HBD188" s="84"/>
      <c r="HBE188" s="84"/>
      <c r="HBF188" s="84"/>
      <c r="HBG188" s="84"/>
      <c r="HBH188" s="84"/>
      <c r="HBI188" s="84"/>
      <c r="HBJ188" s="84"/>
      <c r="HBK188" s="84"/>
      <c r="HBL188" s="84"/>
      <c r="HBM188" s="84"/>
      <c r="HBN188" s="84"/>
      <c r="HBO188" s="84"/>
      <c r="HBP188" s="84"/>
      <c r="HBQ188" s="84"/>
      <c r="HBR188" s="84"/>
      <c r="HBS188" s="84"/>
      <c r="HBT188" s="84"/>
      <c r="HBU188" s="84"/>
      <c r="HBV188" s="84"/>
      <c r="HBW188" s="84"/>
      <c r="HBX188" s="84"/>
      <c r="HBY188" s="84"/>
      <c r="HBZ188" s="84"/>
      <c r="HCA188" s="84"/>
      <c r="HCB188" s="84"/>
      <c r="HCC188" s="84"/>
      <c r="HCD188" s="84"/>
      <c r="HCE188" s="84"/>
      <c r="HCF188" s="84"/>
      <c r="HCG188" s="84"/>
      <c r="HCH188" s="84"/>
      <c r="HCI188" s="84"/>
      <c r="HCJ188" s="84"/>
      <c r="HCK188" s="84"/>
      <c r="HCL188" s="84"/>
      <c r="HCM188" s="84"/>
      <c r="HCN188" s="84"/>
      <c r="HCO188" s="84"/>
      <c r="HCP188" s="84"/>
      <c r="HCQ188" s="84"/>
      <c r="HCR188" s="84"/>
      <c r="HCS188" s="84"/>
      <c r="HCT188" s="84"/>
      <c r="HCU188" s="84"/>
      <c r="HCV188" s="84"/>
      <c r="HCW188" s="84"/>
      <c r="HCX188" s="84"/>
      <c r="HCY188" s="84"/>
      <c r="HCZ188" s="84"/>
      <c r="HDA188" s="84"/>
      <c r="HDB188" s="84"/>
      <c r="HDC188" s="84"/>
      <c r="HDD188" s="84"/>
      <c r="HDE188" s="84"/>
      <c r="HDF188" s="84"/>
      <c r="HDG188" s="84"/>
      <c r="HDH188" s="84"/>
      <c r="HDI188" s="84"/>
      <c r="HDJ188" s="84"/>
      <c r="HDK188" s="84"/>
      <c r="HDL188" s="84"/>
      <c r="HDM188" s="84"/>
      <c r="HDN188" s="84"/>
      <c r="HDO188" s="84"/>
      <c r="HDP188" s="84"/>
      <c r="HDQ188" s="84"/>
      <c r="HDR188" s="84"/>
      <c r="HDS188" s="84"/>
      <c r="HDT188" s="84"/>
      <c r="HDU188" s="84"/>
      <c r="HDV188" s="84"/>
      <c r="HDW188" s="84"/>
      <c r="HDX188" s="84"/>
      <c r="HDY188" s="84"/>
      <c r="HDZ188" s="84"/>
      <c r="HEA188" s="84"/>
      <c r="HEB188" s="84"/>
      <c r="HEC188" s="84"/>
      <c r="HED188" s="84"/>
      <c r="HEE188" s="84"/>
      <c r="HEF188" s="84"/>
      <c r="HEG188" s="84"/>
      <c r="HEH188" s="84"/>
      <c r="HEI188" s="84"/>
      <c r="HEJ188" s="84"/>
      <c r="HEK188" s="84"/>
      <c r="HEL188" s="84"/>
      <c r="HEM188" s="84"/>
      <c r="HEN188" s="84"/>
      <c r="HEO188" s="84"/>
      <c r="HEP188" s="84"/>
      <c r="HEQ188" s="84"/>
      <c r="HER188" s="84"/>
      <c r="HES188" s="84"/>
      <c r="HET188" s="84"/>
      <c r="HEU188" s="84"/>
      <c r="HEV188" s="84"/>
      <c r="HEW188" s="84"/>
      <c r="HEX188" s="84"/>
      <c r="HEY188" s="84"/>
      <c r="HEZ188" s="84"/>
      <c r="HFA188" s="84"/>
      <c r="HFB188" s="84"/>
      <c r="HFC188" s="84"/>
      <c r="HFD188" s="84"/>
      <c r="HFE188" s="84"/>
      <c r="HFF188" s="84"/>
      <c r="HFG188" s="84"/>
      <c r="HFH188" s="84"/>
      <c r="HFI188" s="84"/>
      <c r="HFJ188" s="84"/>
      <c r="HFK188" s="84"/>
      <c r="HFL188" s="84"/>
      <c r="HFM188" s="84"/>
      <c r="HFN188" s="84"/>
      <c r="HFO188" s="84"/>
      <c r="HFP188" s="84"/>
      <c r="HFQ188" s="84"/>
      <c r="HFR188" s="84"/>
      <c r="HFS188" s="84"/>
      <c r="HFT188" s="84"/>
      <c r="HFU188" s="84"/>
      <c r="HFV188" s="84"/>
      <c r="HFW188" s="84"/>
      <c r="HFX188" s="84"/>
      <c r="HFY188" s="84"/>
      <c r="HFZ188" s="84"/>
      <c r="HGA188" s="84"/>
      <c r="HGB188" s="84"/>
      <c r="HGC188" s="84"/>
      <c r="HGD188" s="84"/>
      <c r="HGE188" s="84"/>
      <c r="HGF188" s="84"/>
      <c r="HGG188" s="84"/>
      <c r="HGH188" s="84"/>
      <c r="HGI188" s="84"/>
      <c r="HGJ188" s="84"/>
      <c r="HGK188" s="84"/>
      <c r="HGL188" s="84"/>
      <c r="HGM188" s="84"/>
      <c r="HGN188" s="84"/>
      <c r="HGO188" s="84"/>
      <c r="HGP188" s="84"/>
      <c r="HGQ188" s="84"/>
      <c r="HGR188" s="84"/>
      <c r="HGS188" s="84"/>
      <c r="HGT188" s="84"/>
      <c r="HGU188" s="84"/>
      <c r="HGV188" s="84"/>
      <c r="HGW188" s="84"/>
      <c r="HGX188" s="84"/>
      <c r="HGY188" s="84"/>
      <c r="HGZ188" s="84"/>
      <c r="HHA188" s="84"/>
      <c r="HHB188" s="84"/>
      <c r="HHC188" s="84"/>
      <c r="HHD188" s="84"/>
      <c r="HHE188" s="84"/>
      <c r="HHF188" s="84"/>
      <c r="HHG188" s="84"/>
      <c r="HHH188" s="84"/>
      <c r="HHI188" s="84"/>
      <c r="HHJ188" s="84"/>
      <c r="HHK188" s="84"/>
      <c r="HHL188" s="84"/>
      <c r="HHM188" s="84"/>
      <c r="HHN188" s="84"/>
      <c r="HHO188" s="84"/>
      <c r="HHP188" s="84"/>
      <c r="HHQ188" s="84"/>
      <c r="HHR188" s="84"/>
      <c r="HHS188" s="84"/>
      <c r="HHT188" s="84"/>
      <c r="HHU188" s="84"/>
      <c r="HHV188" s="84"/>
      <c r="HHW188" s="84"/>
      <c r="HHX188" s="84"/>
      <c r="HHY188" s="84"/>
      <c r="HHZ188" s="84"/>
      <c r="HIA188" s="84"/>
      <c r="HIB188" s="84"/>
      <c r="HIC188" s="84"/>
      <c r="HID188" s="84"/>
      <c r="HIE188" s="84"/>
      <c r="HIF188" s="84"/>
      <c r="HIG188" s="84"/>
      <c r="HIH188" s="84"/>
      <c r="HII188" s="84"/>
      <c r="HIJ188" s="84"/>
      <c r="HIK188" s="84"/>
      <c r="HIL188" s="84"/>
      <c r="HIM188" s="84"/>
      <c r="HIN188" s="84"/>
      <c r="HIO188" s="84"/>
      <c r="HIP188" s="84"/>
      <c r="HIQ188" s="84"/>
      <c r="HIR188" s="84"/>
      <c r="HIS188" s="84"/>
      <c r="HIT188" s="84"/>
      <c r="HIU188" s="84"/>
      <c r="HIV188" s="84"/>
      <c r="HIW188" s="84"/>
      <c r="HIX188" s="84"/>
      <c r="HIY188" s="84"/>
      <c r="HIZ188" s="84"/>
      <c r="HJA188" s="84"/>
      <c r="HJB188" s="84"/>
      <c r="HJC188" s="84"/>
      <c r="HJD188" s="84"/>
      <c r="HJE188" s="84"/>
      <c r="HJF188" s="84"/>
      <c r="HJG188" s="84"/>
      <c r="HJH188" s="84"/>
      <c r="HJI188" s="84"/>
      <c r="HJJ188" s="84"/>
      <c r="HJK188" s="84"/>
      <c r="HJL188" s="84"/>
      <c r="HJM188" s="84"/>
      <c r="HJN188" s="84"/>
      <c r="HJO188" s="84"/>
      <c r="HJP188" s="84"/>
      <c r="HJQ188" s="84"/>
      <c r="HJR188" s="84"/>
      <c r="HJS188" s="84"/>
      <c r="HJT188" s="84"/>
      <c r="HJU188" s="84"/>
      <c r="HJV188" s="84"/>
      <c r="HJW188" s="84"/>
      <c r="HJX188" s="84"/>
      <c r="HJY188" s="84"/>
      <c r="HJZ188" s="84"/>
      <c r="HKA188" s="84"/>
      <c r="HKB188" s="84"/>
      <c r="HKC188" s="84"/>
      <c r="HKD188" s="84"/>
      <c r="HKE188" s="84"/>
      <c r="HKF188" s="84"/>
      <c r="HKG188" s="84"/>
      <c r="HKH188" s="84"/>
      <c r="HKI188" s="84"/>
      <c r="HKJ188" s="84"/>
      <c r="HKK188" s="84"/>
      <c r="HKL188" s="84"/>
      <c r="HKM188" s="84"/>
      <c r="HKN188" s="84"/>
      <c r="HKO188" s="84"/>
      <c r="HKP188" s="84"/>
      <c r="HKQ188" s="84"/>
      <c r="HKR188" s="84"/>
      <c r="HKS188" s="84"/>
      <c r="HKT188" s="84"/>
      <c r="HKU188" s="84"/>
      <c r="HKV188" s="84"/>
      <c r="HKW188" s="84"/>
      <c r="HKX188" s="84"/>
      <c r="HKY188" s="84"/>
      <c r="HKZ188" s="84"/>
      <c r="HLA188" s="84"/>
      <c r="HLB188" s="84"/>
      <c r="HLC188" s="84"/>
      <c r="HLD188" s="84"/>
      <c r="HLE188" s="84"/>
      <c r="HLF188" s="84"/>
      <c r="HLG188" s="84"/>
      <c r="HLH188" s="84"/>
      <c r="HLI188" s="84"/>
      <c r="HLJ188" s="84"/>
      <c r="HLK188" s="84"/>
      <c r="HLL188" s="84"/>
      <c r="HLM188" s="84"/>
      <c r="HLN188" s="84"/>
      <c r="HLO188" s="84"/>
      <c r="HLP188" s="84"/>
      <c r="HLQ188" s="84"/>
      <c r="HLR188" s="84"/>
      <c r="HLS188" s="84"/>
      <c r="HLT188" s="84"/>
      <c r="HLU188" s="84"/>
      <c r="HLV188" s="84"/>
      <c r="HLW188" s="84"/>
      <c r="HLX188" s="84"/>
      <c r="HLY188" s="84"/>
      <c r="HLZ188" s="84"/>
      <c r="HMA188" s="84"/>
      <c r="HMB188" s="84"/>
      <c r="HMC188" s="84"/>
      <c r="HMD188" s="84"/>
      <c r="HME188" s="84"/>
      <c r="HMF188" s="84"/>
      <c r="HMG188" s="84"/>
      <c r="HMH188" s="84"/>
      <c r="HMI188" s="84"/>
      <c r="HMJ188" s="84"/>
      <c r="HMK188" s="84"/>
      <c r="HML188" s="84"/>
      <c r="HMM188" s="84"/>
      <c r="HMN188" s="84"/>
      <c r="HMO188" s="84"/>
      <c r="HMP188" s="84"/>
      <c r="HMQ188" s="84"/>
      <c r="HMR188" s="84"/>
      <c r="HMS188" s="84"/>
      <c r="HMT188" s="84"/>
      <c r="HMU188" s="84"/>
      <c r="HMV188" s="84"/>
      <c r="HMW188" s="84"/>
      <c r="HMX188" s="84"/>
      <c r="HMY188" s="84"/>
      <c r="HMZ188" s="84"/>
      <c r="HNA188" s="84"/>
      <c r="HNB188" s="84"/>
      <c r="HNC188" s="84"/>
      <c r="HND188" s="84"/>
      <c r="HNE188" s="84"/>
      <c r="HNF188" s="84"/>
      <c r="HNG188" s="84"/>
      <c r="HNH188" s="84"/>
      <c r="HNI188" s="84"/>
      <c r="HNJ188" s="84"/>
      <c r="HNK188" s="84"/>
      <c r="HNL188" s="84"/>
      <c r="HNM188" s="84"/>
      <c r="HNN188" s="84"/>
      <c r="HNO188" s="84"/>
      <c r="HNP188" s="84"/>
      <c r="HNQ188" s="84"/>
      <c r="HNR188" s="84"/>
      <c r="HNS188" s="84"/>
      <c r="HNT188" s="84"/>
      <c r="HNU188" s="84"/>
      <c r="HNV188" s="84"/>
      <c r="HNW188" s="84"/>
      <c r="HNX188" s="84"/>
      <c r="HNY188" s="84"/>
      <c r="HNZ188" s="84"/>
      <c r="HOA188" s="84"/>
      <c r="HOB188" s="84"/>
      <c r="HOC188" s="84"/>
      <c r="HOD188" s="84"/>
      <c r="HOE188" s="84"/>
      <c r="HOF188" s="84"/>
      <c r="HOG188" s="84"/>
      <c r="HOH188" s="84"/>
      <c r="HOI188" s="84"/>
      <c r="HOJ188" s="84"/>
      <c r="HOK188" s="84"/>
      <c r="HOL188" s="84"/>
      <c r="HOM188" s="84"/>
      <c r="HON188" s="84"/>
      <c r="HOO188" s="84"/>
      <c r="HOP188" s="84"/>
      <c r="HOQ188" s="84"/>
      <c r="HOR188" s="84"/>
      <c r="HOS188" s="84"/>
      <c r="HOT188" s="84"/>
      <c r="HOU188" s="84"/>
      <c r="HOV188" s="84"/>
      <c r="HOW188" s="84"/>
      <c r="HOX188" s="84"/>
      <c r="HOY188" s="84"/>
      <c r="HOZ188" s="84"/>
      <c r="HPA188" s="84"/>
      <c r="HPB188" s="84"/>
      <c r="HPC188" s="84"/>
      <c r="HPD188" s="84"/>
      <c r="HPE188" s="84"/>
      <c r="HPF188" s="84"/>
      <c r="HPG188" s="84"/>
      <c r="HPH188" s="84"/>
      <c r="HPI188" s="84"/>
      <c r="HPJ188" s="84"/>
      <c r="HPK188" s="84"/>
      <c r="HPL188" s="84"/>
      <c r="HPM188" s="84"/>
      <c r="HPN188" s="84"/>
      <c r="HPO188" s="84"/>
      <c r="HPP188" s="84"/>
      <c r="HPQ188" s="84"/>
      <c r="HPR188" s="84"/>
      <c r="HPS188" s="84"/>
      <c r="HPT188" s="84"/>
      <c r="HPU188" s="84"/>
      <c r="HPV188" s="84"/>
      <c r="HPW188" s="84"/>
      <c r="HPX188" s="84"/>
      <c r="HPY188" s="84"/>
      <c r="HPZ188" s="84"/>
      <c r="HQA188" s="84"/>
      <c r="HQB188" s="84"/>
      <c r="HQC188" s="84"/>
      <c r="HQD188" s="84"/>
      <c r="HQE188" s="84"/>
      <c r="HQF188" s="84"/>
      <c r="HQG188" s="84"/>
      <c r="HQH188" s="84"/>
      <c r="HQI188" s="84"/>
      <c r="HQJ188" s="84"/>
      <c r="HQK188" s="84"/>
      <c r="HQL188" s="84"/>
      <c r="HQM188" s="84"/>
      <c r="HQN188" s="84"/>
      <c r="HQO188" s="84"/>
      <c r="HQP188" s="84"/>
      <c r="HQQ188" s="84"/>
      <c r="HQR188" s="84"/>
      <c r="HQS188" s="84"/>
      <c r="HQT188" s="84"/>
      <c r="HQU188" s="84"/>
      <c r="HQV188" s="84"/>
      <c r="HQW188" s="84"/>
      <c r="HQX188" s="84"/>
      <c r="HQY188" s="84"/>
      <c r="HQZ188" s="84"/>
      <c r="HRA188" s="84"/>
      <c r="HRB188" s="84"/>
      <c r="HRC188" s="84"/>
      <c r="HRD188" s="84"/>
      <c r="HRE188" s="84"/>
      <c r="HRF188" s="84"/>
      <c r="HRG188" s="84"/>
      <c r="HRH188" s="84"/>
      <c r="HRI188" s="84"/>
      <c r="HRJ188" s="84"/>
      <c r="HRK188" s="84"/>
      <c r="HRL188" s="84"/>
      <c r="HRM188" s="84"/>
      <c r="HRN188" s="84"/>
      <c r="HRO188" s="84"/>
      <c r="HRP188" s="84"/>
      <c r="HRQ188" s="84"/>
      <c r="HRR188" s="84"/>
      <c r="HRS188" s="84"/>
      <c r="HRT188" s="84"/>
      <c r="HRU188" s="84"/>
      <c r="HRV188" s="84"/>
      <c r="HRW188" s="84"/>
      <c r="HRX188" s="84"/>
      <c r="HRY188" s="84"/>
      <c r="HRZ188" s="84"/>
      <c r="HSA188" s="84"/>
      <c r="HSB188" s="84"/>
      <c r="HSC188" s="84"/>
      <c r="HSD188" s="84"/>
      <c r="HSE188" s="84"/>
      <c r="HSF188" s="84"/>
      <c r="HSG188" s="84"/>
      <c r="HSH188" s="84"/>
      <c r="HSI188" s="84"/>
      <c r="HSJ188" s="84"/>
      <c r="HSK188" s="84"/>
      <c r="HSL188" s="84"/>
      <c r="HSM188" s="84"/>
      <c r="HSN188" s="84"/>
      <c r="HSO188" s="84"/>
      <c r="HSP188" s="84"/>
      <c r="HSQ188" s="84"/>
      <c r="HSR188" s="84"/>
      <c r="HSS188" s="84"/>
      <c r="HST188" s="84"/>
      <c r="HSU188" s="84"/>
      <c r="HSV188" s="84"/>
      <c r="HSW188" s="84"/>
      <c r="HSX188" s="84"/>
      <c r="HSY188" s="84"/>
      <c r="HSZ188" s="84"/>
      <c r="HTA188" s="84"/>
      <c r="HTB188" s="84"/>
      <c r="HTC188" s="84"/>
      <c r="HTD188" s="84"/>
      <c r="HTE188" s="84"/>
      <c r="HTF188" s="84"/>
      <c r="HTG188" s="84"/>
      <c r="HTH188" s="84"/>
      <c r="HTI188" s="84"/>
      <c r="HTJ188" s="84"/>
      <c r="HTK188" s="84"/>
      <c r="HTL188" s="84"/>
      <c r="HTM188" s="84"/>
      <c r="HTN188" s="84"/>
      <c r="HTO188" s="84"/>
      <c r="HTP188" s="84"/>
      <c r="HTQ188" s="84"/>
      <c r="HTR188" s="84"/>
      <c r="HTS188" s="84"/>
      <c r="HTT188" s="84"/>
      <c r="HTU188" s="84"/>
      <c r="HTV188" s="84"/>
      <c r="HTW188" s="84"/>
      <c r="HTX188" s="84"/>
      <c r="HTY188" s="84"/>
      <c r="HTZ188" s="84"/>
      <c r="HUA188" s="84"/>
      <c r="HUB188" s="84"/>
      <c r="HUC188" s="84"/>
      <c r="HUD188" s="84"/>
      <c r="HUE188" s="84"/>
      <c r="HUF188" s="84"/>
      <c r="HUG188" s="84"/>
      <c r="HUH188" s="84"/>
      <c r="HUI188" s="84"/>
      <c r="HUJ188" s="84"/>
      <c r="HUK188" s="84"/>
      <c r="HUL188" s="84"/>
      <c r="HUM188" s="84"/>
      <c r="HUN188" s="84"/>
      <c r="HUO188" s="84"/>
      <c r="HUP188" s="84"/>
      <c r="HUQ188" s="84"/>
      <c r="HUR188" s="84"/>
      <c r="HUS188" s="84"/>
      <c r="HUT188" s="84"/>
      <c r="HUU188" s="84"/>
      <c r="HUV188" s="84"/>
      <c r="HUW188" s="84"/>
      <c r="HUX188" s="84"/>
      <c r="HUY188" s="84"/>
      <c r="HUZ188" s="84"/>
      <c r="HVA188" s="84"/>
      <c r="HVB188" s="84"/>
      <c r="HVC188" s="84"/>
      <c r="HVD188" s="84"/>
      <c r="HVE188" s="84"/>
      <c r="HVF188" s="84"/>
      <c r="HVG188" s="84"/>
      <c r="HVH188" s="84"/>
      <c r="HVI188" s="84"/>
      <c r="HVJ188" s="84"/>
      <c r="HVK188" s="84"/>
      <c r="HVL188" s="84"/>
      <c r="HVM188" s="84"/>
      <c r="HVN188" s="84"/>
      <c r="HVO188" s="84"/>
      <c r="HVP188" s="84"/>
      <c r="HVQ188" s="84"/>
      <c r="HVR188" s="84"/>
      <c r="HVS188" s="84"/>
      <c r="HVT188" s="84"/>
      <c r="HVU188" s="84"/>
      <c r="HVV188" s="84"/>
      <c r="HVW188" s="84"/>
      <c r="HVX188" s="84"/>
      <c r="HVY188" s="84"/>
      <c r="HVZ188" s="84"/>
      <c r="HWA188" s="84"/>
      <c r="HWB188" s="84"/>
      <c r="HWC188" s="84"/>
      <c r="HWD188" s="84"/>
      <c r="HWE188" s="84"/>
      <c r="HWF188" s="84"/>
      <c r="HWG188" s="84"/>
      <c r="HWH188" s="84"/>
      <c r="HWI188" s="84"/>
      <c r="HWJ188" s="84"/>
      <c r="HWK188" s="84"/>
      <c r="HWL188" s="84"/>
      <c r="HWM188" s="84"/>
      <c r="HWN188" s="84"/>
      <c r="HWO188" s="84"/>
      <c r="HWP188" s="84"/>
      <c r="HWQ188" s="84"/>
      <c r="HWR188" s="84"/>
      <c r="HWS188" s="84"/>
      <c r="HWT188" s="84"/>
      <c r="HWU188" s="84"/>
      <c r="HWV188" s="84"/>
      <c r="HWW188" s="84"/>
      <c r="HWX188" s="84"/>
      <c r="HWY188" s="84"/>
      <c r="HWZ188" s="84"/>
      <c r="HXA188" s="84"/>
      <c r="HXB188" s="84"/>
      <c r="HXC188" s="84"/>
      <c r="HXD188" s="84"/>
      <c r="HXE188" s="84"/>
      <c r="HXF188" s="84"/>
      <c r="HXG188" s="84"/>
      <c r="HXH188" s="84"/>
      <c r="HXI188" s="84"/>
      <c r="HXJ188" s="84"/>
      <c r="HXK188" s="84"/>
      <c r="HXL188" s="84"/>
      <c r="HXM188" s="84"/>
      <c r="HXN188" s="84"/>
      <c r="HXO188" s="84"/>
      <c r="HXP188" s="84"/>
      <c r="HXQ188" s="84"/>
      <c r="HXR188" s="84"/>
      <c r="HXS188" s="84"/>
      <c r="HXT188" s="84"/>
      <c r="HXU188" s="84"/>
      <c r="HXV188" s="84"/>
      <c r="HXW188" s="84"/>
      <c r="HXX188" s="84"/>
      <c r="HXY188" s="84"/>
      <c r="HXZ188" s="84"/>
      <c r="HYA188" s="84"/>
      <c r="HYB188" s="84"/>
      <c r="HYC188" s="84"/>
      <c r="HYD188" s="84"/>
      <c r="HYE188" s="84"/>
      <c r="HYF188" s="84"/>
      <c r="HYG188" s="84"/>
      <c r="HYH188" s="84"/>
      <c r="HYI188" s="84"/>
      <c r="HYJ188" s="84"/>
      <c r="HYK188" s="84"/>
      <c r="HYL188" s="84"/>
      <c r="HYM188" s="84"/>
      <c r="HYN188" s="84"/>
      <c r="HYO188" s="84"/>
      <c r="HYP188" s="84"/>
      <c r="HYQ188" s="84"/>
      <c r="HYR188" s="84"/>
      <c r="HYS188" s="84"/>
      <c r="HYT188" s="84"/>
      <c r="HYU188" s="84"/>
      <c r="HYV188" s="84"/>
      <c r="HYW188" s="84"/>
      <c r="HYX188" s="84"/>
      <c r="HYY188" s="84"/>
      <c r="HYZ188" s="84"/>
      <c r="HZA188" s="84"/>
      <c r="HZB188" s="84"/>
      <c r="HZC188" s="84"/>
      <c r="HZD188" s="84"/>
      <c r="HZE188" s="84"/>
      <c r="HZF188" s="84"/>
      <c r="HZG188" s="84"/>
      <c r="HZH188" s="84"/>
      <c r="HZI188" s="84"/>
      <c r="HZJ188" s="84"/>
      <c r="HZK188" s="84"/>
      <c r="HZL188" s="84"/>
      <c r="HZM188" s="84"/>
      <c r="HZN188" s="84"/>
      <c r="HZO188" s="84"/>
      <c r="HZP188" s="84"/>
      <c r="HZQ188" s="84"/>
      <c r="HZR188" s="84"/>
      <c r="HZS188" s="84"/>
      <c r="HZT188" s="84"/>
      <c r="HZU188" s="84"/>
      <c r="HZV188" s="84"/>
      <c r="HZW188" s="84"/>
      <c r="HZX188" s="84"/>
      <c r="HZY188" s="84"/>
      <c r="HZZ188" s="84"/>
      <c r="IAA188" s="84"/>
      <c r="IAB188" s="84"/>
      <c r="IAC188" s="84"/>
      <c r="IAD188" s="84"/>
      <c r="IAE188" s="84"/>
      <c r="IAF188" s="84"/>
      <c r="IAG188" s="84"/>
      <c r="IAH188" s="84"/>
      <c r="IAI188" s="84"/>
      <c r="IAJ188" s="84"/>
      <c r="IAK188" s="84"/>
      <c r="IAL188" s="84"/>
      <c r="IAM188" s="84"/>
      <c r="IAN188" s="84"/>
      <c r="IAO188" s="84"/>
      <c r="IAP188" s="84"/>
      <c r="IAQ188" s="84"/>
      <c r="IAR188" s="84"/>
      <c r="IAS188" s="84"/>
      <c r="IAT188" s="84"/>
      <c r="IAU188" s="84"/>
      <c r="IAV188" s="84"/>
      <c r="IAW188" s="84"/>
      <c r="IAX188" s="84"/>
      <c r="IAY188" s="84"/>
      <c r="IAZ188" s="84"/>
      <c r="IBA188" s="84"/>
      <c r="IBB188" s="84"/>
      <c r="IBC188" s="84"/>
      <c r="IBD188" s="84"/>
      <c r="IBE188" s="84"/>
      <c r="IBF188" s="84"/>
      <c r="IBG188" s="84"/>
      <c r="IBH188" s="84"/>
      <c r="IBI188" s="84"/>
      <c r="IBJ188" s="84"/>
      <c r="IBK188" s="84"/>
      <c r="IBL188" s="84"/>
      <c r="IBM188" s="84"/>
      <c r="IBN188" s="84"/>
      <c r="IBO188" s="84"/>
      <c r="IBP188" s="84"/>
      <c r="IBQ188" s="84"/>
      <c r="IBR188" s="84"/>
      <c r="IBS188" s="84"/>
      <c r="IBT188" s="84"/>
      <c r="IBU188" s="84"/>
      <c r="IBV188" s="84"/>
      <c r="IBW188" s="84"/>
      <c r="IBX188" s="84"/>
      <c r="IBY188" s="84"/>
      <c r="IBZ188" s="84"/>
      <c r="ICA188" s="84"/>
      <c r="ICB188" s="84"/>
      <c r="ICC188" s="84"/>
      <c r="ICD188" s="84"/>
      <c r="ICE188" s="84"/>
      <c r="ICF188" s="84"/>
      <c r="ICG188" s="84"/>
      <c r="ICH188" s="84"/>
      <c r="ICI188" s="84"/>
      <c r="ICJ188" s="84"/>
      <c r="ICK188" s="84"/>
      <c r="ICL188" s="84"/>
      <c r="ICM188" s="84"/>
      <c r="ICN188" s="84"/>
      <c r="ICO188" s="84"/>
      <c r="ICP188" s="84"/>
      <c r="ICQ188" s="84"/>
      <c r="ICR188" s="84"/>
      <c r="ICS188" s="84"/>
      <c r="ICT188" s="84"/>
      <c r="ICU188" s="84"/>
      <c r="ICV188" s="84"/>
      <c r="ICW188" s="84"/>
      <c r="ICX188" s="84"/>
      <c r="ICY188" s="84"/>
      <c r="ICZ188" s="84"/>
      <c r="IDA188" s="84"/>
      <c r="IDB188" s="84"/>
      <c r="IDC188" s="84"/>
      <c r="IDD188" s="84"/>
      <c r="IDE188" s="84"/>
      <c r="IDF188" s="84"/>
      <c r="IDG188" s="84"/>
      <c r="IDH188" s="84"/>
      <c r="IDI188" s="84"/>
      <c r="IDJ188" s="84"/>
      <c r="IDK188" s="84"/>
      <c r="IDL188" s="84"/>
      <c r="IDM188" s="84"/>
      <c r="IDN188" s="84"/>
      <c r="IDO188" s="84"/>
      <c r="IDP188" s="84"/>
      <c r="IDQ188" s="84"/>
      <c r="IDR188" s="84"/>
      <c r="IDS188" s="84"/>
      <c r="IDT188" s="84"/>
      <c r="IDU188" s="84"/>
      <c r="IDV188" s="84"/>
      <c r="IDW188" s="84"/>
      <c r="IDX188" s="84"/>
      <c r="IDY188" s="84"/>
      <c r="IDZ188" s="84"/>
      <c r="IEA188" s="84"/>
      <c r="IEB188" s="84"/>
      <c r="IEC188" s="84"/>
      <c r="IED188" s="84"/>
      <c r="IEE188" s="84"/>
      <c r="IEF188" s="84"/>
      <c r="IEG188" s="84"/>
      <c r="IEH188" s="84"/>
      <c r="IEI188" s="84"/>
      <c r="IEJ188" s="84"/>
      <c r="IEK188" s="84"/>
      <c r="IEL188" s="84"/>
      <c r="IEM188" s="84"/>
      <c r="IEN188" s="84"/>
      <c r="IEO188" s="84"/>
      <c r="IEP188" s="84"/>
      <c r="IEQ188" s="84"/>
      <c r="IER188" s="84"/>
      <c r="IES188" s="84"/>
      <c r="IET188" s="84"/>
      <c r="IEU188" s="84"/>
      <c r="IEV188" s="84"/>
      <c r="IEW188" s="84"/>
      <c r="IEX188" s="84"/>
      <c r="IEY188" s="84"/>
      <c r="IEZ188" s="84"/>
      <c r="IFA188" s="84"/>
      <c r="IFB188" s="84"/>
      <c r="IFC188" s="84"/>
      <c r="IFD188" s="84"/>
      <c r="IFE188" s="84"/>
      <c r="IFF188" s="84"/>
      <c r="IFG188" s="84"/>
      <c r="IFH188" s="84"/>
      <c r="IFI188" s="84"/>
      <c r="IFJ188" s="84"/>
      <c r="IFK188" s="84"/>
      <c r="IFL188" s="84"/>
      <c r="IFM188" s="84"/>
      <c r="IFN188" s="84"/>
      <c r="IFO188" s="84"/>
      <c r="IFP188" s="84"/>
      <c r="IFQ188" s="84"/>
      <c r="IFR188" s="84"/>
      <c r="IFS188" s="84"/>
      <c r="IFT188" s="84"/>
      <c r="IFU188" s="84"/>
      <c r="IFV188" s="84"/>
      <c r="IFW188" s="84"/>
      <c r="IFX188" s="84"/>
      <c r="IFY188" s="84"/>
      <c r="IFZ188" s="84"/>
      <c r="IGA188" s="84"/>
      <c r="IGB188" s="84"/>
      <c r="IGC188" s="84"/>
      <c r="IGD188" s="84"/>
      <c r="IGE188" s="84"/>
      <c r="IGF188" s="84"/>
      <c r="IGG188" s="84"/>
      <c r="IGH188" s="84"/>
      <c r="IGI188" s="84"/>
      <c r="IGJ188" s="84"/>
      <c r="IGK188" s="84"/>
      <c r="IGL188" s="84"/>
      <c r="IGM188" s="84"/>
      <c r="IGN188" s="84"/>
      <c r="IGO188" s="84"/>
      <c r="IGP188" s="84"/>
      <c r="IGQ188" s="84"/>
      <c r="IGR188" s="84"/>
      <c r="IGS188" s="84"/>
      <c r="IGT188" s="84"/>
      <c r="IGU188" s="84"/>
      <c r="IGV188" s="84"/>
      <c r="IGW188" s="84"/>
      <c r="IGX188" s="84"/>
      <c r="IGY188" s="84"/>
      <c r="IGZ188" s="84"/>
      <c r="IHA188" s="84"/>
      <c r="IHB188" s="84"/>
      <c r="IHC188" s="84"/>
      <c r="IHD188" s="84"/>
      <c r="IHE188" s="84"/>
      <c r="IHF188" s="84"/>
      <c r="IHG188" s="84"/>
      <c r="IHH188" s="84"/>
      <c r="IHI188" s="84"/>
      <c r="IHJ188" s="84"/>
      <c r="IHK188" s="84"/>
      <c r="IHL188" s="84"/>
      <c r="IHM188" s="84"/>
      <c r="IHN188" s="84"/>
      <c r="IHO188" s="84"/>
      <c r="IHP188" s="84"/>
      <c r="IHQ188" s="84"/>
      <c r="IHR188" s="84"/>
      <c r="IHS188" s="84"/>
      <c r="IHT188" s="84"/>
      <c r="IHU188" s="84"/>
      <c r="IHV188" s="84"/>
      <c r="IHW188" s="84"/>
      <c r="IHX188" s="84"/>
      <c r="IHY188" s="84"/>
      <c r="IHZ188" s="84"/>
      <c r="IIA188" s="84"/>
      <c r="IIB188" s="84"/>
      <c r="IIC188" s="84"/>
      <c r="IID188" s="84"/>
      <c r="IIE188" s="84"/>
      <c r="IIF188" s="84"/>
      <c r="IIG188" s="84"/>
      <c r="IIH188" s="84"/>
      <c r="III188" s="84"/>
      <c r="IIJ188" s="84"/>
      <c r="IIK188" s="84"/>
      <c r="IIL188" s="84"/>
      <c r="IIM188" s="84"/>
      <c r="IIN188" s="84"/>
      <c r="IIO188" s="84"/>
      <c r="IIP188" s="84"/>
      <c r="IIQ188" s="84"/>
      <c r="IIR188" s="84"/>
      <c r="IIS188" s="84"/>
      <c r="IIT188" s="84"/>
      <c r="IIU188" s="84"/>
      <c r="IIV188" s="84"/>
      <c r="IIW188" s="84"/>
      <c r="IIX188" s="84"/>
      <c r="IIY188" s="84"/>
      <c r="IIZ188" s="84"/>
      <c r="IJA188" s="84"/>
      <c r="IJB188" s="84"/>
      <c r="IJC188" s="84"/>
      <c r="IJD188" s="84"/>
      <c r="IJE188" s="84"/>
      <c r="IJF188" s="84"/>
      <c r="IJG188" s="84"/>
      <c r="IJH188" s="84"/>
      <c r="IJI188" s="84"/>
      <c r="IJJ188" s="84"/>
      <c r="IJK188" s="84"/>
      <c r="IJL188" s="84"/>
      <c r="IJM188" s="84"/>
      <c r="IJN188" s="84"/>
      <c r="IJO188" s="84"/>
      <c r="IJP188" s="84"/>
      <c r="IJQ188" s="84"/>
      <c r="IJR188" s="84"/>
      <c r="IJS188" s="84"/>
      <c r="IJT188" s="84"/>
      <c r="IJU188" s="84"/>
      <c r="IJV188" s="84"/>
      <c r="IJW188" s="84"/>
      <c r="IJX188" s="84"/>
      <c r="IJY188" s="84"/>
      <c r="IJZ188" s="84"/>
      <c r="IKA188" s="84"/>
      <c r="IKB188" s="84"/>
      <c r="IKC188" s="84"/>
      <c r="IKD188" s="84"/>
      <c r="IKE188" s="84"/>
      <c r="IKF188" s="84"/>
      <c r="IKG188" s="84"/>
      <c r="IKH188" s="84"/>
      <c r="IKI188" s="84"/>
      <c r="IKJ188" s="84"/>
      <c r="IKK188" s="84"/>
      <c r="IKL188" s="84"/>
      <c r="IKM188" s="84"/>
      <c r="IKN188" s="84"/>
      <c r="IKO188" s="84"/>
      <c r="IKP188" s="84"/>
      <c r="IKQ188" s="84"/>
      <c r="IKR188" s="84"/>
      <c r="IKS188" s="84"/>
      <c r="IKT188" s="84"/>
      <c r="IKU188" s="84"/>
      <c r="IKV188" s="84"/>
      <c r="IKW188" s="84"/>
      <c r="IKX188" s="84"/>
      <c r="IKY188" s="84"/>
      <c r="IKZ188" s="84"/>
      <c r="ILA188" s="84"/>
      <c r="ILB188" s="84"/>
      <c r="ILC188" s="84"/>
      <c r="ILD188" s="84"/>
      <c r="ILE188" s="84"/>
      <c r="ILF188" s="84"/>
      <c r="ILG188" s="84"/>
      <c r="ILH188" s="84"/>
      <c r="ILI188" s="84"/>
      <c r="ILJ188" s="84"/>
      <c r="ILK188" s="84"/>
      <c r="ILL188" s="84"/>
      <c r="ILM188" s="84"/>
      <c r="ILN188" s="84"/>
      <c r="ILO188" s="84"/>
      <c r="ILP188" s="84"/>
      <c r="ILQ188" s="84"/>
      <c r="ILR188" s="84"/>
      <c r="ILS188" s="84"/>
      <c r="ILT188" s="84"/>
      <c r="ILU188" s="84"/>
      <c r="ILV188" s="84"/>
      <c r="ILW188" s="84"/>
      <c r="ILX188" s="84"/>
      <c r="ILY188" s="84"/>
      <c r="ILZ188" s="84"/>
      <c r="IMA188" s="84"/>
      <c r="IMB188" s="84"/>
      <c r="IMC188" s="84"/>
      <c r="IMD188" s="84"/>
      <c r="IME188" s="84"/>
      <c r="IMF188" s="84"/>
      <c r="IMG188" s="84"/>
      <c r="IMH188" s="84"/>
      <c r="IMI188" s="84"/>
      <c r="IMJ188" s="84"/>
      <c r="IMK188" s="84"/>
      <c r="IML188" s="84"/>
      <c r="IMM188" s="84"/>
      <c r="IMN188" s="84"/>
      <c r="IMO188" s="84"/>
      <c r="IMP188" s="84"/>
      <c r="IMQ188" s="84"/>
      <c r="IMR188" s="84"/>
      <c r="IMS188" s="84"/>
      <c r="IMT188" s="84"/>
      <c r="IMU188" s="84"/>
      <c r="IMV188" s="84"/>
      <c r="IMW188" s="84"/>
      <c r="IMX188" s="84"/>
      <c r="IMY188" s="84"/>
      <c r="IMZ188" s="84"/>
      <c r="INA188" s="84"/>
      <c r="INB188" s="84"/>
      <c r="INC188" s="84"/>
      <c r="IND188" s="84"/>
      <c r="INE188" s="84"/>
      <c r="INF188" s="84"/>
      <c r="ING188" s="84"/>
      <c r="INH188" s="84"/>
      <c r="INI188" s="84"/>
      <c r="INJ188" s="84"/>
      <c r="INK188" s="84"/>
      <c r="INL188" s="84"/>
      <c r="INM188" s="84"/>
      <c r="INN188" s="84"/>
      <c r="INO188" s="84"/>
      <c r="INP188" s="84"/>
      <c r="INQ188" s="84"/>
      <c r="INR188" s="84"/>
      <c r="INS188" s="84"/>
      <c r="INT188" s="84"/>
      <c r="INU188" s="84"/>
      <c r="INV188" s="84"/>
      <c r="INW188" s="84"/>
      <c r="INX188" s="84"/>
      <c r="INY188" s="84"/>
      <c r="INZ188" s="84"/>
      <c r="IOA188" s="84"/>
      <c r="IOB188" s="84"/>
      <c r="IOC188" s="84"/>
      <c r="IOD188" s="84"/>
      <c r="IOE188" s="84"/>
      <c r="IOF188" s="84"/>
      <c r="IOG188" s="84"/>
      <c r="IOH188" s="84"/>
      <c r="IOI188" s="84"/>
      <c r="IOJ188" s="84"/>
      <c r="IOK188" s="84"/>
      <c r="IOL188" s="84"/>
      <c r="IOM188" s="84"/>
      <c r="ION188" s="84"/>
      <c r="IOO188" s="84"/>
      <c r="IOP188" s="84"/>
      <c r="IOQ188" s="84"/>
      <c r="IOR188" s="84"/>
      <c r="IOS188" s="84"/>
      <c r="IOT188" s="84"/>
      <c r="IOU188" s="84"/>
      <c r="IOV188" s="84"/>
      <c r="IOW188" s="84"/>
      <c r="IOX188" s="84"/>
      <c r="IOY188" s="84"/>
      <c r="IOZ188" s="84"/>
      <c r="IPA188" s="84"/>
      <c r="IPB188" s="84"/>
      <c r="IPC188" s="84"/>
      <c r="IPD188" s="84"/>
      <c r="IPE188" s="84"/>
      <c r="IPF188" s="84"/>
      <c r="IPG188" s="84"/>
      <c r="IPH188" s="84"/>
      <c r="IPI188" s="84"/>
      <c r="IPJ188" s="84"/>
      <c r="IPK188" s="84"/>
      <c r="IPL188" s="84"/>
      <c r="IPM188" s="84"/>
      <c r="IPN188" s="84"/>
      <c r="IPO188" s="84"/>
      <c r="IPP188" s="84"/>
      <c r="IPQ188" s="84"/>
      <c r="IPR188" s="84"/>
      <c r="IPS188" s="84"/>
      <c r="IPT188" s="84"/>
      <c r="IPU188" s="84"/>
      <c r="IPV188" s="84"/>
      <c r="IPW188" s="84"/>
      <c r="IPX188" s="84"/>
      <c r="IPY188" s="84"/>
      <c r="IPZ188" s="84"/>
      <c r="IQA188" s="84"/>
      <c r="IQB188" s="84"/>
      <c r="IQC188" s="84"/>
      <c r="IQD188" s="84"/>
      <c r="IQE188" s="84"/>
      <c r="IQF188" s="84"/>
      <c r="IQG188" s="84"/>
      <c r="IQH188" s="84"/>
      <c r="IQI188" s="84"/>
      <c r="IQJ188" s="84"/>
      <c r="IQK188" s="84"/>
      <c r="IQL188" s="84"/>
      <c r="IQM188" s="84"/>
      <c r="IQN188" s="84"/>
      <c r="IQO188" s="84"/>
      <c r="IQP188" s="84"/>
      <c r="IQQ188" s="84"/>
      <c r="IQR188" s="84"/>
      <c r="IQS188" s="84"/>
      <c r="IQT188" s="84"/>
      <c r="IQU188" s="84"/>
      <c r="IQV188" s="84"/>
      <c r="IQW188" s="84"/>
      <c r="IQX188" s="84"/>
      <c r="IQY188" s="84"/>
      <c r="IQZ188" s="84"/>
      <c r="IRA188" s="84"/>
      <c r="IRB188" s="84"/>
      <c r="IRC188" s="84"/>
      <c r="IRD188" s="84"/>
      <c r="IRE188" s="84"/>
      <c r="IRF188" s="84"/>
      <c r="IRG188" s="84"/>
      <c r="IRH188" s="84"/>
      <c r="IRI188" s="84"/>
      <c r="IRJ188" s="84"/>
      <c r="IRK188" s="84"/>
      <c r="IRL188" s="84"/>
      <c r="IRM188" s="84"/>
      <c r="IRN188" s="84"/>
      <c r="IRO188" s="84"/>
      <c r="IRP188" s="84"/>
      <c r="IRQ188" s="84"/>
      <c r="IRR188" s="84"/>
      <c r="IRS188" s="84"/>
      <c r="IRT188" s="84"/>
      <c r="IRU188" s="84"/>
      <c r="IRV188" s="84"/>
      <c r="IRW188" s="84"/>
      <c r="IRX188" s="84"/>
      <c r="IRY188" s="84"/>
      <c r="IRZ188" s="84"/>
      <c r="ISA188" s="84"/>
      <c r="ISB188" s="84"/>
      <c r="ISC188" s="84"/>
      <c r="ISD188" s="84"/>
      <c r="ISE188" s="84"/>
      <c r="ISF188" s="84"/>
      <c r="ISG188" s="84"/>
      <c r="ISH188" s="84"/>
      <c r="ISI188" s="84"/>
      <c r="ISJ188" s="84"/>
      <c r="ISK188" s="84"/>
      <c r="ISL188" s="84"/>
      <c r="ISM188" s="84"/>
      <c r="ISN188" s="84"/>
      <c r="ISO188" s="84"/>
      <c r="ISP188" s="84"/>
      <c r="ISQ188" s="84"/>
      <c r="ISR188" s="84"/>
      <c r="ISS188" s="84"/>
      <c r="IST188" s="84"/>
      <c r="ISU188" s="84"/>
      <c r="ISV188" s="84"/>
      <c r="ISW188" s="84"/>
      <c r="ISX188" s="84"/>
      <c r="ISY188" s="84"/>
      <c r="ISZ188" s="84"/>
      <c r="ITA188" s="84"/>
      <c r="ITB188" s="84"/>
      <c r="ITC188" s="84"/>
      <c r="ITD188" s="84"/>
      <c r="ITE188" s="84"/>
      <c r="ITF188" s="84"/>
      <c r="ITG188" s="84"/>
      <c r="ITH188" s="84"/>
      <c r="ITI188" s="84"/>
      <c r="ITJ188" s="84"/>
      <c r="ITK188" s="84"/>
      <c r="ITL188" s="84"/>
      <c r="ITM188" s="84"/>
      <c r="ITN188" s="84"/>
      <c r="ITO188" s="84"/>
      <c r="ITP188" s="84"/>
      <c r="ITQ188" s="84"/>
      <c r="ITR188" s="84"/>
      <c r="ITS188" s="84"/>
      <c r="ITT188" s="84"/>
      <c r="ITU188" s="84"/>
      <c r="ITV188" s="84"/>
      <c r="ITW188" s="84"/>
      <c r="ITX188" s="84"/>
      <c r="ITY188" s="84"/>
      <c r="ITZ188" s="84"/>
      <c r="IUA188" s="84"/>
      <c r="IUB188" s="84"/>
      <c r="IUC188" s="84"/>
      <c r="IUD188" s="84"/>
      <c r="IUE188" s="84"/>
      <c r="IUF188" s="84"/>
      <c r="IUG188" s="84"/>
      <c r="IUH188" s="84"/>
      <c r="IUI188" s="84"/>
      <c r="IUJ188" s="84"/>
      <c r="IUK188" s="84"/>
      <c r="IUL188" s="84"/>
      <c r="IUM188" s="84"/>
      <c r="IUN188" s="84"/>
      <c r="IUO188" s="84"/>
      <c r="IUP188" s="84"/>
      <c r="IUQ188" s="84"/>
      <c r="IUR188" s="84"/>
      <c r="IUS188" s="84"/>
      <c r="IUT188" s="84"/>
      <c r="IUU188" s="84"/>
      <c r="IUV188" s="84"/>
      <c r="IUW188" s="84"/>
      <c r="IUX188" s="84"/>
      <c r="IUY188" s="84"/>
      <c r="IUZ188" s="84"/>
      <c r="IVA188" s="84"/>
      <c r="IVB188" s="84"/>
      <c r="IVC188" s="84"/>
      <c r="IVD188" s="84"/>
      <c r="IVE188" s="84"/>
      <c r="IVF188" s="84"/>
      <c r="IVG188" s="84"/>
      <c r="IVH188" s="84"/>
      <c r="IVI188" s="84"/>
      <c r="IVJ188" s="84"/>
      <c r="IVK188" s="84"/>
      <c r="IVL188" s="84"/>
      <c r="IVM188" s="84"/>
      <c r="IVN188" s="84"/>
      <c r="IVO188" s="84"/>
      <c r="IVP188" s="84"/>
      <c r="IVQ188" s="84"/>
      <c r="IVR188" s="84"/>
      <c r="IVS188" s="84"/>
      <c r="IVT188" s="84"/>
      <c r="IVU188" s="84"/>
      <c r="IVV188" s="84"/>
      <c r="IVW188" s="84"/>
      <c r="IVX188" s="84"/>
      <c r="IVY188" s="84"/>
      <c r="IVZ188" s="84"/>
      <c r="IWA188" s="84"/>
      <c r="IWB188" s="84"/>
      <c r="IWC188" s="84"/>
      <c r="IWD188" s="84"/>
      <c r="IWE188" s="84"/>
      <c r="IWF188" s="84"/>
      <c r="IWG188" s="84"/>
      <c r="IWH188" s="84"/>
      <c r="IWI188" s="84"/>
      <c r="IWJ188" s="84"/>
      <c r="IWK188" s="84"/>
      <c r="IWL188" s="84"/>
      <c r="IWM188" s="84"/>
      <c r="IWN188" s="84"/>
      <c r="IWO188" s="84"/>
      <c r="IWP188" s="84"/>
      <c r="IWQ188" s="84"/>
      <c r="IWR188" s="84"/>
      <c r="IWS188" s="84"/>
      <c r="IWT188" s="84"/>
      <c r="IWU188" s="84"/>
      <c r="IWV188" s="84"/>
      <c r="IWW188" s="84"/>
      <c r="IWX188" s="84"/>
      <c r="IWY188" s="84"/>
      <c r="IWZ188" s="84"/>
      <c r="IXA188" s="84"/>
      <c r="IXB188" s="84"/>
      <c r="IXC188" s="84"/>
      <c r="IXD188" s="84"/>
      <c r="IXE188" s="84"/>
      <c r="IXF188" s="84"/>
      <c r="IXG188" s="84"/>
      <c r="IXH188" s="84"/>
      <c r="IXI188" s="84"/>
      <c r="IXJ188" s="84"/>
      <c r="IXK188" s="84"/>
      <c r="IXL188" s="84"/>
      <c r="IXM188" s="84"/>
      <c r="IXN188" s="84"/>
      <c r="IXO188" s="84"/>
      <c r="IXP188" s="84"/>
      <c r="IXQ188" s="84"/>
      <c r="IXR188" s="84"/>
      <c r="IXS188" s="84"/>
      <c r="IXT188" s="84"/>
      <c r="IXU188" s="84"/>
      <c r="IXV188" s="84"/>
      <c r="IXW188" s="84"/>
      <c r="IXX188" s="84"/>
      <c r="IXY188" s="84"/>
      <c r="IXZ188" s="84"/>
      <c r="IYA188" s="84"/>
      <c r="IYB188" s="84"/>
      <c r="IYC188" s="84"/>
      <c r="IYD188" s="84"/>
      <c r="IYE188" s="84"/>
      <c r="IYF188" s="84"/>
      <c r="IYG188" s="84"/>
      <c r="IYH188" s="84"/>
      <c r="IYI188" s="84"/>
      <c r="IYJ188" s="84"/>
      <c r="IYK188" s="84"/>
      <c r="IYL188" s="84"/>
      <c r="IYM188" s="84"/>
      <c r="IYN188" s="84"/>
      <c r="IYO188" s="84"/>
      <c r="IYP188" s="84"/>
      <c r="IYQ188" s="84"/>
      <c r="IYR188" s="84"/>
      <c r="IYS188" s="84"/>
      <c r="IYT188" s="84"/>
      <c r="IYU188" s="84"/>
      <c r="IYV188" s="84"/>
      <c r="IYW188" s="84"/>
      <c r="IYX188" s="84"/>
      <c r="IYY188" s="84"/>
      <c r="IYZ188" s="84"/>
      <c r="IZA188" s="84"/>
      <c r="IZB188" s="84"/>
      <c r="IZC188" s="84"/>
      <c r="IZD188" s="84"/>
      <c r="IZE188" s="84"/>
      <c r="IZF188" s="84"/>
      <c r="IZG188" s="84"/>
      <c r="IZH188" s="84"/>
      <c r="IZI188" s="84"/>
      <c r="IZJ188" s="84"/>
      <c r="IZK188" s="84"/>
      <c r="IZL188" s="84"/>
      <c r="IZM188" s="84"/>
      <c r="IZN188" s="84"/>
      <c r="IZO188" s="84"/>
      <c r="IZP188" s="84"/>
      <c r="IZQ188" s="84"/>
      <c r="IZR188" s="84"/>
      <c r="IZS188" s="84"/>
      <c r="IZT188" s="84"/>
      <c r="IZU188" s="84"/>
      <c r="IZV188" s="84"/>
      <c r="IZW188" s="84"/>
      <c r="IZX188" s="84"/>
      <c r="IZY188" s="84"/>
      <c r="IZZ188" s="84"/>
      <c r="JAA188" s="84"/>
      <c r="JAB188" s="84"/>
      <c r="JAC188" s="84"/>
      <c r="JAD188" s="84"/>
      <c r="JAE188" s="84"/>
      <c r="JAF188" s="84"/>
      <c r="JAG188" s="84"/>
      <c r="JAH188" s="84"/>
      <c r="JAI188" s="84"/>
      <c r="JAJ188" s="84"/>
      <c r="JAK188" s="84"/>
      <c r="JAL188" s="84"/>
      <c r="JAM188" s="84"/>
      <c r="JAN188" s="84"/>
      <c r="JAO188" s="84"/>
      <c r="JAP188" s="84"/>
      <c r="JAQ188" s="84"/>
      <c r="JAR188" s="84"/>
      <c r="JAS188" s="84"/>
      <c r="JAT188" s="84"/>
      <c r="JAU188" s="84"/>
      <c r="JAV188" s="84"/>
      <c r="JAW188" s="84"/>
      <c r="JAX188" s="84"/>
      <c r="JAY188" s="84"/>
      <c r="JAZ188" s="84"/>
      <c r="JBA188" s="84"/>
      <c r="JBB188" s="84"/>
      <c r="JBC188" s="84"/>
      <c r="JBD188" s="84"/>
      <c r="JBE188" s="84"/>
      <c r="JBF188" s="84"/>
      <c r="JBG188" s="84"/>
      <c r="JBH188" s="84"/>
      <c r="JBI188" s="84"/>
      <c r="JBJ188" s="84"/>
      <c r="JBK188" s="84"/>
      <c r="JBL188" s="84"/>
      <c r="JBM188" s="84"/>
      <c r="JBN188" s="84"/>
      <c r="JBO188" s="84"/>
      <c r="JBP188" s="84"/>
      <c r="JBQ188" s="84"/>
      <c r="JBR188" s="84"/>
      <c r="JBS188" s="84"/>
      <c r="JBT188" s="84"/>
      <c r="JBU188" s="84"/>
      <c r="JBV188" s="84"/>
      <c r="JBW188" s="84"/>
      <c r="JBX188" s="84"/>
      <c r="JBY188" s="84"/>
      <c r="JBZ188" s="84"/>
      <c r="JCA188" s="84"/>
      <c r="JCB188" s="84"/>
      <c r="JCC188" s="84"/>
      <c r="JCD188" s="84"/>
      <c r="JCE188" s="84"/>
      <c r="JCF188" s="84"/>
      <c r="JCG188" s="84"/>
      <c r="JCH188" s="84"/>
      <c r="JCI188" s="84"/>
      <c r="JCJ188" s="84"/>
      <c r="JCK188" s="84"/>
      <c r="JCL188" s="84"/>
      <c r="JCM188" s="84"/>
      <c r="JCN188" s="84"/>
      <c r="JCO188" s="84"/>
      <c r="JCP188" s="84"/>
      <c r="JCQ188" s="84"/>
      <c r="JCR188" s="84"/>
      <c r="JCS188" s="84"/>
      <c r="JCT188" s="84"/>
      <c r="JCU188" s="84"/>
      <c r="JCV188" s="84"/>
      <c r="JCW188" s="84"/>
      <c r="JCX188" s="84"/>
      <c r="JCY188" s="84"/>
      <c r="JCZ188" s="84"/>
      <c r="JDA188" s="84"/>
      <c r="JDB188" s="84"/>
      <c r="JDC188" s="84"/>
      <c r="JDD188" s="84"/>
      <c r="JDE188" s="84"/>
      <c r="JDF188" s="84"/>
      <c r="JDG188" s="84"/>
      <c r="JDH188" s="84"/>
      <c r="JDI188" s="84"/>
      <c r="JDJ188" s="84"/>
      <c r="JDK188" s="84"/>
      <c r="JDL188" s="84"/>
      <c r="JDM188" s="84"/>
      <c r="JDN188" s="84"/>
      <c r="JDO188" s="84"/>
      <c r="JDP188" s="84"/>
      <c r="JDQ188" s="84"/>
      <c r="JDR188" s="84"/>
      <c r="JDS188" s="84"/>
      <c r="JDT188" s="84"/>
      <c r="JDU188" s="84"/>
      <c r="JDV188" s="84"/>
      <c r="JDW188" s="84"/>
      <c r="JDX188" s="84"/>
      <c r="JDY188" s="84"/>
      <c r="JDZ188" s="84"/>
      <c r="JEA188" s="84"/>
      <c r="JEB188" s="84"/>
      <c r="JEC188" s="84"/>
      <c r="JED188" s="84"/>
      <c r="JEE188" s="84"/>
      <c r="JEF188" s="84"/>
      <c r="JEG188" s="84"/>
      <c r="JEH188" s="84"/>
      <c r="JEI188" s="84"/>
      <c r="JEJ188" s="84"/>
      <c r="JEK188" s="84"/>
      <c r="JEL188" s="84"/>
      <c r="JEM188" s="84"/>
      <c r="JEN188" s="84"/>
      <c r="JEO188" s="84"/>
      <c r="JEP188" s="84"/>
      <c r="JEQ188" s="84"/>
      <c r="JER188" s="84"/>
      <c r="JES188" s="84"/>
      <c r="JET188" s="84"/>
      <c r="JEU188" s="84"/>
      <c r="JEV188" s="84"/>
      <c r="JEW188" s="84"/>
      <c r="JEX188" s="84"/>
      <c r="JEY188" s="84"/>
      <c r="JEZ188" s="84"/>
      <c r="JFA188" s="84"/>
      <c r="JFB188" s="84"/>
      <c r="JFC188" s="84"/>
      <c r="JFD188" s="84"/>
      <c r="JFE188" s="84"/>
      <c r="JFF188" s="84"/>
      <c r="JFG188" s="84"/>
      <c r="JFH188" s="84"/>
      <c r="JFI188" s="84"/>
      <c r="JFJ188" s="84"/>
      <c r="JFK188" s="84"/>
      <c r="JFL188" s="84"/>
      <c r="JFM188" s="84"/>
      <c r="JFN188" s="84"/>
      <c r="JFO188" s="84"/>
      <c r="JFP188" s="84"/>
      <c r="JFQ188" s="84"/>
      <c r="JFR188" s="84"/>
      <c r="JFS188" s="84"/>
      <c r="JFT188" s="84"/>
      <c r="JFU188" s="84"/>
      <c r="JFV188" s="84"/>
      <c r="JFW188" s="84"/>
      <c r="JFX188" s="84"/>
      <c r="JFY188" s="84"/>
      <c r="JFZ188" s="84"/>
      <c r="JGA188" s="84"/>
      <c r="JGB188" s="84"/>
      <c r="JGC188" s="84"/>
      <c r="JGD188" s="84"/>
      <c r="JGE188" s="84"/>
      <c r="JGF188" s="84"/>
      <c r="JGG188" s="84"/>
      <c r="JGH188" s="84"/>
      <c r="JGI188" s="84"/>
      <c r="JGJ188" s="84"/>
      <c r="JGK188" s="84"/>
      <c r="JGL188" s="84"/>
      <c r="JGM188" s="84"/>
      <c r="JGN188" s="84"/>
      <c r="JGO188" s="84"/>
      <c r="JGP188" s="84"/>
      <c r="JGQ188" s="84"/>
      <c r="JGR188" s="84"/>
      <c r="JGS188" s="84"/>
      <c r="JGT188" s="84"/>
      <c r="JGU188" s="84"/>
      <c r="JGV188" s="84"/>
      <c r="JGW188" s="84"/>
      <c r="JGX188" s="84"/>
      <c r="JGY188" s="84"/>
      <c r="JGZ188" s="84"/>
      <c r="JHA188" s="84"/>
      <c r="JHB188" s="84"/>
      <c r="JHC188" s="84"/>
      <c r="JHD188" s="84"/>
      <c r="JHE188" s="84"/>
      <c r="JHF188" s="84"/>
      <c r="JHG188" s="84"/>
      <c r="JHH188" s="84"/>
      <c r="JHI188" s="84"/>
      <c r="JHJ188" s="84"/>
      <c r="JHK188" s="84"/>
      <c r="JHL188" s="84"/>
      <c r="JHM188" s="84"/>
      <c r="JHN188" s="84"/>
      <c r="JHO188" s="84"/>
      <c r="JHP188" s="84"/>
      <c r="JHQ188" s="84"/>
      <c r="JHR188" s="84"/>
      <c r="JHS188" s="84"/>
      <c r="JHT188" s="84"/>
      <c r="JHU188" s="84"/>
      <c r="JHV188" s="84"/>
      <c r="JHW188" s="84"/>
      <c r="JHX188" s="84"/>
      <c r="JHY188" s="84"/>
      <c r="JHZ188" s="84"/>
      <c r="JIA188" s="84"/>
      <c r="JIB188" s="84"/>
      <c r="JIC188" s="84"/>
      <c r="JID188" s="84"/>
      <c r="JIE188" s="84"/>
      <c r="JIF188" s="84"/>
      <c r="JIG188" s="84"/>
      <c r="JIH188" s="84"/>
      <c r="JII188" s="84"/>
      <c r="JIJ188" s="84"/>
      <c r="JIK188" s="84"/>
      <c r="JIL188" s="84"/>
      <c r="JIM188" s="84"/>
      <c r="JIN188" s="84"/>
      <c r="JIO188" s="84"/>
      <c r="JIP188" s="84"/>
      <c r="JIQ188" s="84"/>
      <c r="JIR188" s="84"/>
      <c r="JIS188" s="84"/>
      <c r="JIT188" s="84"/>
      <c r="JIU188" s="84"/>
      <c r="JIV188" s="84"/>
      <c r="JIW188" s="84"/>
      <c r="JIX188" s="84"/>
      <c r="JIY188" s="84"/>
      <c r="JIZ188" s="84"/>
      <c r="JJA188" s="84"/>
      <c r="JJB188" s="84"/>
      <c r="JJC188" s="84"/>
      <c r="JJD188" s="84"/>
      <c r="JJE188" s="84"/>
      <c r="JJF188" s="84"/>
      <c r="JJG188" s="84"/>
      <c r="JJH188" s="84"/>
      <c r="JJI188" s="84"/>
      <c r="JJJ188" s="84"/>
      <c r="JJK188" s="84"/>
      <c r="JJL188" s="84"/>
      <c r="JJM188" s="84"/>
      <c r="JJN188" s="84"/>
      <c r="JJO188" s="84"/>
      <c r="JJP188" s="84"/>
      <c r="JJQ188" s="84"/>
      <c r="JJR188" s="84"/>
      <c r="JJS188" s="84"/>
      <c r="JJT188" s="84"/>
      <c r="JJU188" s="84"/>
      <c r="JJV188" s="84"/>
      <c r="JJW188" s="84"/>
      <c r="JJX188" s="84"/>
      <c r="JJY188" s="84"/>
      <c r="JJZ188" s="84"/>
      <c r="JKA188" s="84"/>
      <c r="JKB188" s="84"/>
      <c r="JKC188" s="84"/>
      <c r="JKD188" s="84"/>
      <c r="JKE188" s="84"/>
      <c r="JKF188" s="84"/>
      <c r="JKG188" s="84"/>
      <c r="JKH188" s="84"/>
      <c r="JKI188" s="84"/>
      <c r="JKJ188" s="84"/>
      <c r="JKK188" s="84"/>
      <c r="JKL188" s="84"/>
      <c r="JKM188" s="84"/>
      <c r="JKN188" s="84"/>
      <c r="JKO188" s="84"/>
      <c r="JKP188" s="84"/>
      <c r="JKQ188" s="84"/>
      <c r="JKR188" s="84"/>
      <c r="JKS188" s="84"/>
      <c r="JKT188" s="84"/>
      <c r="JKU188" s="84"/>
      <c r="JKV188" s="84"/>
      <c r="JKW188" s="84"/>
      <c r="JKX188" s="84"/>
      <c r="JKY188" s="84"/>
      <c r="JKZ188" s="84"/>
      <c r="JLA188" s="84"/>
      <c r="JLB188" s="84"/>
      <c r="JLC188" s="84"/>
      <c r="JLD188" s="84"/>
      <c r="JLE188" s="84"/>
      <c r="JLF188" s="84"/>
      <c r="JLG188" s="84"/>
      <c r="JLH188" s="84"/>
      <c r="JLI188" s="84"/>
      <c r="JLJ188" s="84"/>
      <c r="JLK188" s="84"/>
      <c r="JLL188" s="84"/>
      <c r="JLM188" s="84"/>
      <c r="JLN188" s="84"/>
      <c r="JLO188" s="84"/>
      <c r="JLP188" s="84"/>
      <c r="JLQ188" s="84"/>
      <c r="JLR188" s="84"/>
      <c r="JLS188" s="84"/>
      <c r="JLT188" s="84"/>
      <c r="JLU188" s="84"/>
      <c r="JLV188" s="84"/>
      <c r="JLW188" s="84"/>
      <c r="JLX188" s="84"/>
      <c r="JLY188" s="84"/>
      <c r="JLZ188" s="84"/>
      <c r="JMA188" s="84"/>
      <c r="JMB188" s="84"/>
      <c r="JMC188" s="84"/>
      <c r="JMD188" s="84"/>
      <c r="JME188" s="84"/>
      <c r="JMF188" s="84"/>
      <c r="JMG188" s="84"/>
      <c r="JMH188" s="84"/>
      <c r="JMI188" s="84"/>
      <c r="JMJ188" s="84"/>
      <c r="JMK188" s="84"/>
      <c r="JML188" s="84"/>
      <c r="JMM188" s="84"/>
      <c r="JMN188" s="84"/>
      <c r="JMO188" s="84"/>
      <c r="JMP188" s="84"/>
      <c r="JMQ188" s="84"/>
      <c r="JMR188" s="84"/>
      <c r="JMS188" s="84"/>
      <c r="JMT188" s="84"/>
      <c r="JMU188" s="84"/>
      <c r="JMV188" s="84"/>
      <c r="JMW188" s="84"/>
      <c r="JMX188" s="84"/>
      <c r="JMY188" s="84"/>
      <c r="JMZ188" s="84"/>
      <c r="JNA188" s="84"/>
      <c r="JNB188" s="84"/>
      <c r="JNC188" s="84"/>
      <c r="JND188" s="84"/>
      <c r="JNE188" s="84"/>
      <c r="JNF188" s="84"/>
      <c r="JNG188" s="84"/>
      <c r="JNH188" s="84"/>
      <c r="JNI188" s="84"/>
      <c r="JNJ188" s="84"/>
      <c r="JNK188" s="84"/>
      <c r="JNL188" s="84"/>
      <c r="JNM188" s="84"/>
      <c r="JNN188" s="84"/>
      <c r="JNO188" s="84"/>
      <c r="JNP188" s="84"/>
      <c r="JNQ188" s="84"/>
      <c r="JNR188" s="84"/>
      <c r="JNS188" s="84"/>
      <c r="JNT188" s="84"/>
      <c r="JNU188" s="84"/>
      <c r="JNV188" s="84"/>
      <c r="JNW188" s="84"/>
      <c r="JNX188" s="84"/>
      <c r="JNY188" s="84"/>
      <c r="JNZ188" s="84"/>
      <c r="JOA188" s="84"/>
      <c r="JOB188" s="84"/>
      <c r="JOC188" s="84"/>
      <c r="JOD188" s="84"/>
      <c r="JOE188" s="84"/>
      <c r="JOF188" s="84"/>
      <c r="JOG188" s="84"/>
      <c r="JOH188" s="84"/>
      <c r="JOI188" s="84"/>
      <c r="JOJ188" s="84"/>
      <c r="JOK188" s="84"/>
      <c r="JOL188" s="84"/>
      <c r="JOM188" s="84"/>
      <c r="JON188" s="84"/>
      <c r="JOO188" s="84"/>
      <c r="JOP188" s="84"/>
      <c r="JOQ188" s="84"/>
      <c r="JOR188" s="84"/>
      <c r="JOS188" s="84"/>
      <c r="JOT188" s="84"/>
      <c r="JOU188" s="84"/>
      <c r="JOV188" s="84"/>
      <c r="JOW188" s="84"/>
      <c r="JOX188" s="84"/>
      <c r="JOY188" s="84"/>
      <c r="JOZ188" s="84"/>
      <c r="JPA188" s="84"/>
      <c r="JPB188" s="84"/>
      <c r="JPC188" s="84"/>
      <c r="JPD188" s="84"/>
      <c r="JPE188" s="84"/>
      <c r="JPF188" s="84"/>
      <c r="JPG188" s="84"/>
      <c r="JPH188" s="84"/>
      <c r="JPI188" s="84"/>
      <c r="JPJ188" s="84"/>
      <c r="JPK188" s="84"/>
      <c r="JPL188" s="84"/>
      <c r="JPM188" s="84"/>
      <c r="JPN188" s="84"/>
      <c r="JPO188" s="84"/>
      <c r="JPP188" s="84"/>
      <c r="JPQ188" s="84"/>
      <c r="JPR188" s="84"/>
      <c r="JPS188" s="84"/>
      <c r="JPT188" s="84"/>
      <c r="JPU188" s="84"/>
      <c r="JPV188" s="84"/>
      <c r="JPW188" s="84"/>
      <c r="JPX188" s="84"/>
      <c r="JPY188" s="84"/>
      <c r="JPZ188" s="84"/>
      <c r="JQA188" s="84"/>
      <c r="JQB188" s="84"/>
      <c r="JQC188" s="84"/>
      <c r="JQD188" s="84"/>
      <c r="JQE188" s="84"/>
      <c r="JQF188" s="84"/>
      <c r="JQG188" s="84"/>
      <c r="JQH188" s="84"/>
      <c r="JQI188" s="84"/>
      <c r="JQJ188" s="84"/>
      <c r="JQK188" s="84"/>
      <c r="JQL188" s="84"/>
      <c r="JQM188" s="84"/>
      <c r="JQN188" s="84"/>
      <c r="JQO188" s="84"/>
      <c r="JQP188" s="84"/>
      <c r="JQQ188" s="84"/>
      <c r="JQR188" s="84"/>
      <c r="JQS188" s="84"/>
      <c r="JQT188" s="84"/>
      <c r="JQU188" s="84"/>
      <c r="JQV188" s="84"/>
      <c r="JQW188" s="84"/>
      <c r="JQX188" s="84"/>
      <c r="JQY188" s="84"/>
      <c r="JQZ188" s="84"/>
      <c r="JRA188" s="84"/>
      <c r="JRB188" s="84"/>
      <c r="JRC188" s="84"/>
      <c r="JRD188" s="84"/>
      <c r="JRE188" s="84"/>
      <c r="JRF188" s="84"/>
      <c r="JRG188" s="84"/>
      <c r="JRH188" s="84"/>
      <c r="JRI188" s="84"/>
      <c r="JRJ188" s="84"/>
      <c r="JRK188" s="84"/>
      <c r="JRL188" s="84"/>
      <c r="JRM188" s="84"/>
      <c r="JRN188" s="84"/>
      <c r="JRO188" s="84"/>
      <c r="JRP188" s="84"/>
      <c r="JRQ188" s="84"/>
      <c r="JRR188" s="84"/>
      <c r="JRS188" s="84"/>
      <c r="JRT188" s="84"/>
      <c r="JRU188" s="84"/>
      <c r="JRV188" s="84"/>
      <c r="JRW188" s="84"/>
      <c r="JRX188" s="84"/>
      <c r="JRY188" s="84"/>
      <c r="JRZ188" s="84"/>
      <c r="JSA188" s="84"/>
      <c r="JSB188" s="84"/>
      <c r="JSC188" s="84"/>
      <c r="JSD188" s="84"/>
      <c r="JSE188" s="84"/>
      <c r="JSF188" s="84"/>
      <c r="JSG188" s="84"/>
      <c r="JSH188" s="84"/>
      <c r="JSI188" s="84"/>
      <c r="JSJ188" s="84"/>
      <c r="JSK188" s="84"/>
      <c r="JSL188" s="84"/>
      <c r="JSM188" s="84"/>
      <c r="JSN188" s="84"/>
      <c r="JSO188" s="84"/>
      <c r="JSP188" s="84"/>
      <c r="JSQ188" s="84"/>
      <c r="JSR188" s="84"/>
      <c r="JSS188" s="84"/>
      <c r="JST188" s="84"/>
      <c r="JSU188" s="84"/>
      <c r="JSV188" s="84"/>
      <c r="JSW188" s="84"/>
      <c r="JSX188" s="84"/>
      <c r="JSY188" s="84"/>
      <c r="JSZ188" s="84"/>
      <c r="JTA188" s="84"/>
      <c r="JTB188" s="84"/>
      <c r="JTC188" s="84"/>
      <c r="JTD188" s="84"/>
      <c r="JTE188" s="84"/>
      <c r="JTF188" s="84"/>
      <c r="JTG188" s="84"/>
      <c r="JTH188" s="84"/>
      <c r="JTI188" s="84"/>
      <c r="JTJ188" s="84"/>
      <c r="JTK188" s="84"/>
      <c r="JTL188" s="84"/>
      <c r="JTM188" s="84"/>
      <c r="JTN188" s="84"/>
      <c r="JTO188" s="84"/>
      <c r="JTP188" s="84"/>
      <c r="JTQ188" s="84"/>
      <c r="JTR188" s="84"/>
      <c r="JTS188" s="84"/>
      <c r="JTT188" s="84"/>
      <c r="JTU188" s="84"/>
      <c r="JTV188" s="84"/>
      <c r="JTW188" s="84"/>
      <c r="JTX188" s="84"/>
      <c r="JTY188" s="84"/>
      <c r="JTZ188" s="84"/>
      <c r="JUA188" s="84"/>
      <c r="JUB188" s="84"/>
      <c r="JUC188" s="84"/>
      <c r="JUD188" s="84"/>
      <c r="JUE188" s="84"/>
      <c r="JUF188" s="84"/>
      <c r="JUG188" s="84"/>
      <c r="JUH188" s="84"/>
      <c r="JUI188" s="84"/>
      <c r="JUJ188" s="84"/>
      <c r="JUK188" s="84"/>
      <c r="JUL188" s="84"/>
      <c r="JUM188" s="84"/>
      <c r="JUN188" s="84"/>
      <c r="JUO188" s="84"/>
      <c r="JUP188" s="84"/>
      <c r="JUQ188" s="84"/>
      <c r="JUR188" s="84"/>
      <c r="JUS188" s="84"/>
      <c r="JUT188" s="84"/>
      <c r="JUU188" s="84"/>
      <c r="JUV188" s="84"/>
      <c r="JUW188" s="84"/>
      <c r="JUX188" s="84"/>
      <c r="JUY188" s="84"/>
      <c r="JUZ188" s="84"/>
      <c r="JVA188" s="84"/>
      <c r="JVB188" s="84"/>
      <c r="JVC188" s="84"/>
      <c r="JVD188" s="84"/>
      <c r="JVE188" s="84"/>
      <c r="JVF188" s="84"/>
      <c r="JVG188" s="84"/>
      <c r="JVH188" s="84"/>
      <c r="JVI188" s="84"/>
      <c r="JVJ188" s="84"/>
      <c r="JVK188" s="84"/>
      <c r="JVL188" s="84"/>
      <c r="JVM188" s="84"/>
      <c r="JVN188" s="84"/>
      <c r="JVO188" s="84"/>
      <c r="JVP188" s="84"/>
      <c r="JVQ188" s="84"/>
      <c r="JVR188" s="84"/>
      <c r="JVS188" s="84"/>
      <c r="JVT188" s="84"/>
      <c r="JVU188" s="84"/>
      <c r="JVV188" s="84"/>
      <c r="JVW188" s="84"/>
      <c r="JVX188" s="84"/>
      <c r="JVY188" s="84"/>
      <c r="JVZ188" s="84"/>
      <c r="JWA188" s="84"/>
      <c r="JWB188" s="84"/>
      <c r="JWC188" s="84"/>
      <c r="JWD188" s="84"/>
      <c r="JWE188" s="84"/>
      <c r="JWF188" s="84"/>
      <c r="JWG188" s="84"/>
      <c r="JWH188" s="84"/>
      <c r="JWI188" s="84"/>
      <c r="JWJ188" s="84"/>
      <c r="JWK188" s="84"/>
      <c r="JWL188" s="84"/>
      <c r="JWM188" s="84"/>
      <c r="JWN188" s="84"/>
      <c r="JWO188" s="84"/>
      <c r="JWP188" s="84"/>
      <c r="JWQ188" s="84"/>
      <c r="JWR188" s="84"/>
      <c r="JWS188" s="84"/>
      <c r="JWT188" s="84"/>
      <c r="JWU188" s="84"/>
      <c r="JWV188" s="84"/>
      <c r="JWW188" s="84"/>
      <c r="JWX188" s="84"/>
      <c r="JWY188" s="84"/>
      <c r="JWZ188" s="84"/>
      <c r="JXA188" s="84"/>
      <c r="JXB188" s="84"/>
      <c r="JXC188" s="84"/>
      <c r="JXD188" s="84"/>
      <c r="JXE188" s="84"/>
      <c r="JXF188" s="84"/>
      <c r="JXG188" s="84"/>
      <c r="JXH188" s="84"/>
      <c r="JXI188" s="84"/>
      <c r="JXJ188" s="84"/>
      <c r="JXK188" s="84"/>
      <c r="JXL188" s="84"/>
      <c r="JXM188" s="84"/>
      <c r="JXN188" s="84"/>
      <c r="JXO188" s="84"/>
      <c r="JXP188" s="84"/>
      <c r="JXQ188" s="84"/>
      <c r="JXR188" s="84"/>
      <c r="JXS188" s="84"/>
      <c r="JXT188" s="84"/>
      <c r="JXU188" s="84"/>
      <c r="JXV188" s="84"/>
      <c r="JXW188" s="84"/>
      <c r="JXX188" s="84"/>
      <c r="JXY188" s="84"/>
      <c r="JXZ188" s="84"/>
      <c r="JYA188" s="84"/>
      <c r="JYB188" s="84"/>
      <c r="JYC188" s="84"/>
      <c r="JYD188" s="84"/>
      <c r="JYE188" s="84"/>
      <c r="JYF188" s="84"/>
      <c r="JYG188" s="84"/>
      <c r="JYH188" s="84"/>
      <c r="JYI188" s="84"/>
      <c r="JYJ188" s="84"/>
      <c r="JYK188" s="84"/>
      <c r="JYL188" s="84"/>
      <c r="JYM188" s="84"/>
      <c r="JYN188" s="84"/>
      <c r="JYO188" s="84"/>
      <c r="JYP188" s="84"/>
      <c r="JYQ188" s="84"/>
      <c r="JYR188" s="84"/>
      <c r="JYS188" s="84"/>
      <c r="JYT188" s="84"/>
      <c r="JYU188" s="84"/>
      <c r="JYV188" s="84"/>
      <c r="JYW188" s="84"/>
      <c r="JYX188" s="84"/>
      <c r="JYY188" s="84"/>
      <c r="JYZ188" s="84"/>
      <c r="JZA188" s="84"/>
      <c r="JZB188" s="84"/>
      <c r="JZC188" s="84"/>
      <c r="JZD188" s="84"/>
      <c r="JZE188" s="84"/>
      <c r="JZF188" s="84"/>
      <c r="JZG188" s="84"/>
      <c r="JZH188" s="84"/>
      <c r="JZI188" s="84"/>
      <c r="JZJ188" s="84"/>
      <c r="JZK188" s="84"/>
      <c r="JZL188" s="84"/>
      <c r="JZM188" s="84"/>
      <c r="JZN188" s="84"/>
      <c r="JZO188" s="84"/>
      <c r="JZP188" s="84"/>
      <c r="JZQ188" s="84"/>
      <c r="JZR188" s="84"/>
      <c r="JZS188" s="84"/>
      <c r="JZT188" s="84"/>
      <c r="JZU188" s="84"/>
      <c r="JZV188" s="84"/>
      <c r="JZW188" s="84"/>
      <c r="JZX188" s="84"/>
      <c r="JZY188" s="84"/>
      <c r="JZZ188" s="84"/>
      <c r="KAA188" s="84"/>
      <c r="KAB188" s="84"/>
      <c r="KAC188" s="84"/>
      <c r="KAD188" s="84"/>
      <c r="KAE188" s="84"/>
      <c r="KAF188" s="84"/>
      <c r="KAG188" s="84"/>
      <c r="KAH188" s="84"/>
      <c r="KAI188" s="84"/>
      <c r="KAJ188" s="84"/>
      <c r="KAK188" s="84"/>
      <c r="KAL188" s="84"/>
      <c r="KAM188" s="84"/>
      <c r="KAN188" s="84"/>
      <c r="KAO188" s="84"/>
      <c r="KAP188" s="84"/>
      <c r="KAQ188" s="84"/>
      <c r="KAR188" s="84"/>
      <c r="KAS188" s="84"/>
      <c r="KAT188" s="84"/>
      <c r="KAU188" s="84"/>
      <c r="KAV188" s="84"/>
      <c r="KAW188" s="84"/>
      <c r="KAX188" s="84"/>
      <c r="KAY188" s="84"/>
      <c r="KAZ188" s="84"/>
      <c r="KBA188" s="84"/>
      <c r="KBB188" s="84"/>
      <c r="KBC188" s="84"/>
      <c r="KBD188" s="84"/>
      <c r="KBE188" s="84"/>
      <c r="KBF188" s="84"/>
      <c r="KBG188" s="84"/>
      <c r="KBH188" s="84"/>
      <c r="KBI188" s="84"/>
      <c r="KBJ188" s="84"/>
      <c r="KBK188" s="84"/>
      <c r="KBL188" s="84"/>
      <c r="KBM188" s="84"/>
      <c r="KBN188" s="84"/>
      <c r="KBO188" s="84"/>
      <c r="KBP188" s="84"/>
      <c r="KBQ188" s="84"/>
      <c r="KBR188" s="84"/>
      <c r="KBS188" s="84"/>
      <c r="KBT188" s="84"/>
      <c r="KBU188" s="84"/>
      <c r="KBV188" s="84"/>
      <c r="KBW188" s="84"/>
      <c r="KBX188" s="84"/>
      <c r="KBY188" s="84"/>
      <c r="KBZ188" s="84"/>
      <c r="KCA188" s="84"/>
      <c r="KCB188" s="84"/>
      <c r="KCC188" s="84"/>
      <c r="KCD188" s="84"/>
      <c r="KCE188" s="84"/>
      <c r="KCF188" s="84"/>
      <c r="KCG188" s="84"/>
      <c r="KCH188" s="84"/>
      <c r="KCI188" s="84"/>
      <c r="KCJ188" s="84"/>
      <c r="KCK188" s="84"/>
      <c r="KCL188" s="84"/>
      <c r="KCM188" s="84"/>
      <c r="KCN188" s="84"/>
      <c r="KCO188" s="84"/>
      <c r="KCP188" s="84"/>
      <c r="KCQ188" s="84"/>
      <c r="KCR188" s="84"/>
      <c r="KCS188" s="84"/>
      <c r="KCT188" s="84"/>
      <c r="KCU188" s="84"/>
      <c r="KCV188" s="84"/>
      <c r="KCW188" s="84"/>
      <c r="KCX188" s="84"/>
      <c r="KCY188" s="84"/>
      <c r="KCZ188" s="84"/>
      <c r="KDA188" s="84"/>
      <c r="KDB188" s="84"/>
      <c r="KDC188" s="84"/>
      <c r="KDD188" s="84"/>
      <c r="KDE188" s="84"/>
      <c r="KDF188" s="84"/>
      <c r="KDG188" s="84"/>
      <c r="KDH188" s="84"/>
      <c r="KDI188" s="84"/>
      <c r="KDJ188" s="84"/>
      <c r="KDK188" s="84"/>
      <c r="KDL188" s="84"/>
      <c r="KDM188" s="84"/>
      <c r="KDN188" s="84"/>
      <c r="KDO188" s="84"/>
      <c r="KDP188" s="84"/>
      <c r="KDQ188" s="84"/>
      <c r="KDR188" s="84"/>
      <c r="KDS188" s="84"/>
      <c r="KDT188" s="84"/>
      <c r="KDU188" s="84"/>
      <c r="KDV188" s="84"/>
      <c r="KDW188" s="84"/>
      <c r="KDX188" s="84"/>
      <c r="KDY188" s="84"/>
      <c r="KDZ188" s="84"/>
      <c r="KEA188" s="84"/>
      <c r="KEB188" s="84"/>
      <c r="KEC188" s="84"/>
      <c r="KED188" s="84"/>
      <c r="KEE188" s="84"/>
      <c r="KEF188" s="84"/>
      <c r="KEG188" s="84"/>
      <c r="KEH188" s="84"/>
      <c r="KEI188" s="84"/>
      <c r="KEJ188" s="84"/>
      <c r="KEK188" s="84"/>
      <c r="KEL188" s="84"/>
      <c r="KEM188" s="84"/>
      <c r="KEN188" s="84"/>
      <c r="KEO188" s="84"/>
      <c r="KEP188" s="84"/>
      <c r="KEQ188" s="84"/>
      <c r="KER188" s="84"/>
      <c r="KES188" s="84"/>
      <c r="KET188" s="84"/>
      <c r="KEU188" s="84"/>
      <c r="KEV188" s="84"/>
      <c r="KEW188" s="84"/>
      <c r="KEX188" s="84"/>
      <c r="KEY188" s="84"/>
      <c r="KEZ188" s="84"/>
      <c r="KFA188" s="84"/>
      <c r="KFB188" s="84"/>
      <c r="KFC188" s="84"/>
      <c r="KFD188" s="84"/>
      <c r="KFE188" s="84"/>
      <c r="KFF188" s="84"/>
      <c r="KFG188" s="84"/>
      <c r="KFH188" s="84"/>
      <c r="KFI188" s="84"/>
      <c r="KFJ188" s="84"/>
      <c r="KFK188" s="84"/>
      <c r="KFL188" s="84"/>
      <c r="KFM188" s="84"/>
      <c r="KFN188" s="84"/>
      <c r="KFO188" s="84"/>
      <c r="KFP188" s="84"/>
      <c r="KFQ188" s="84"/>
      <c r="KFR188" s="84"/>
      <c r="KFS188" s="84"/>
      <c r="KFT188" s="84"/>
      <c r="KFU188" s="84"/>
      <c r="KFV188" s="84"/>
      <c r="KFW188" s="84"/>
      <c r="KFX188" s="84"/>
      <c r="KFY188" s="84"/>
      <c r="KFZ188" s="84"/>
      <c r="KGA188" s="84"/>
      <c r="KGB188" s="84"/>
      <c r="KGC188" s="84"/>
      <c r="KGD188" s="84"/>
      <c r="KGE188" s="84"/>
      <c r="KGF188" s="84"/>
      <c r="KGG188" s="84"/>
      <c r="KGH188" s="84"/>
      <c r="KGI188" s="84"/>
      <c r="KGJ188" s="84"/>
      <c r="KGK188" s="84"/>
      <c r="KGL188" s="84"/>
      <c r="KGM188" s="84"/>
      <c r="KGN188" s="84"/>
      <c r="KGO188" s="84"/>
      <c r="KGP188" s="84"/>
      <c r="KGQ188" s="84"/>
      <c r="KGR188" s="84"/>
      <c r="KGS188" s="84"/>
      <c r="KGT188" s="84"/>
      <c r="KGU188" s="84"/>
      <c r="KGV188" s="84"/>
      <c r="KGW188" s="84"/>
      <c r="KGX188" s="84"/>
      <c r="KGY188" s="84"/>
      <c r="KGZ188" s="84"/>
      <c r="KHA188" s="84"/>
      <c r="KHB188" s="84"/>
      <c r="KHC188" s="84"/>
      <c r="KHD188" s="84"/>
      <c r="KHE188" s="84"/>
      <c r="KHF188" s="84"/>
      <c r="KHG188" s="84"/>
      <c r="KHH188" s="84"/>
      <c r="KHI188" s="84"/>
      <c r="KHJ188" s="84"/>
      <c r="KHK188" s="84"/>
      <c r="KHL188" s="84"/>
      <c r="KHM188" s="84"/>
      <c r="KHN188" s="84"/>
      <c r="KHO188" s="84"/>
      <c r="KHP188" s="84"/>
      <c r="KHQ188" s="84"/>
      <c r="KHR188" s="84"/>
      <c r="KHS188" s="84"/>
      <c r="KHT188" s="84"/>
      <c r="KHU188" s="84"/>
      <c r="KHV188" s="84"/>
      <c r="KHW188" s="84"/>
      <c r="KHX188" s="84"/>
      <c r="KHY188" s="84"/>
      <c r="KHZ188" s="84"/>
      <c r="KIA188" s="84"/>
      <c r="KIB188" s="84"/>
      <c r="KIC188" s="84"/>
      <c r="KID188" s="84"/>
      <c r="KIE188" s="84"/>
      <c r="KIF188" s="84"/>
      <c r="KIG188" s="84"/>
      <c r="KIH188" s="84"/>
      <c r="KII188" s="84"/>
      <c r="KIJ188" s="84"/>
      <c r="KIK188" s="84"/>
      <c r="KIL188" s="84"/>
      <c r="KIM188" s="84"/>
      <c r="KIN188" s="84"/>
      <c r="KIO188" s="84"/>
      <c r="KIP188" s="84"/>
      <c r="KIQ188" s="84"/>
      <c r="KIR188" s="84"/>
      <c r="KIS188" s="84"/>
      <c r="KIT188" s="84"/>
      <c r="KIU188" s="84"/>
      <c r="KIV188" s="84"/>
      <c r="KIW188" s="84"/>
      <c r="KIX188" s="84"/>
      <c r="KIY188" s="84"/>
      <c r="KIZ188" s="84"/>
      <c r="KJA188" s="84"/>
      <c r="KJB188" s="84"/>
      <c r="KJC188" s="84"/>
      <c r="KJD188" s="84"/>
      <c r="KJE188" s="84"/>
      <c r="KJF188" s="84"/>
      <c r="KJG188" s="84"/>
      <c r="KJH188" s="84"/>
      <c r="KJI188" s="84"/>
      <c r="KJJ188" s="84"/>
      <c r="KJK188" s="84"/>
      <c r="KJL188" s="84"/>
      <c r="KJM188" s="84"/>
      <c r="KJN188" s="84"/>
      <c r="KJO188" s="84"/>
      <c r="KJP188" s="84"/>
      <c r="KJQ188" s="84"/>
      <c r="KJR188" s="84"/>
      <c r="KJS188" s="84"/>
      <c r="KJT188" s="84"/>
      <c r="KJU188" s="84"/>
      <c r="KJV188" s="84"/>
      <c r="KJW188" s="84"/>
      <c r="KJX188" s="84"/>
      <c r="KJY188" s="84"/>
      <c r="KJZ188" s="84"/>
      <c r="KKA188" s="84"/>
      <c r="KKB188" s="84"/>
      <c r="KKC188" s="84"/>
      <c r="KKD188" s="84"/>
      <c r="KKE188" s="84"/>
      <c r="KKF188" s="84"/>
      <c r="KKG188" s="84"/>
      <c r="KKH188" s="84"/>
      <c r="KKI188" s="84"/>
      <c r="KKJ188" s="84"/>
      <c r="KKK188" s="84"/>
      <c r="KKL188" s="84"/>
      <c r="KKM188" s="84"/>
      <c r="KKN188" s="84"/>
      <c r="KKO188" s="84"/>
      <c r="KKP188" s="84"/>
      <c r="KKQ188" s="84"/>
      <c r="KKR188" s="84"/>
      <c r="KKS188" s="84"/>
      <c r="KKT188" s="84"/>
      <c r="KKU188" s="84"/>
      <c r="KKV188" s="84"/>
      <c r="KKW188" s="84"/>
      <c r="KKX188" s="84"/>
      <c r="KKY188" s="84"/>
      <c r="KKZ188" s="84"/>
      <c r="KLA188" s="84"/>
      <c r="KLB188" s="84"/>
      <c r="KLC188" s="84"/>
      <c r="KLD188" s="84"/>
      <c r="KLE188" s="84"/>
      <c r="KLF188" s="84"/>
      <c r="KLG188" s="84"/>
      <c r="KLH188" s="84"/>
      <c r="KLI188" s="84"/>
      <c r="KLJ188" s="84"/>
      <c r="KLK188" s="84"/>
      <c r="KLL188" s="84"/>
      <c r="KLM188" s="84"/>
      <c r="KLN188" s="84"/>
      <c r="KLO188" s="84"/>
      <c r="KLP188" s="84"/>
      <c r="KLQ188" s="84"/>
      <c r="KLR188" s="84"/>
      <c r="KLS188" s="84"/>
      <c r="KLT188" s="84"/>
      <c r="KLU188" s="84"/>
      <c r="KLV188" s="84"/>
      <c r="KLW188" s="84"/>
      <c r="KLX188" s="84"/>
      <c r="KLY188" s="84"/>
      <c r="KLZ188" s="84"/>
      <c r="KMA188" s="84"/>
      <c r="KMB188" s="84"/>
      <c r="KMC188" s="84"/>
      <c r="KMD188" s="84"/>
      <c r="KME188" s="84"/>
      <c r="KMF188" s="84"/>
      <c r="KMG188" s="84"/>
      <c r="KMH188" s="84"/>
      <c r="KMI188" s="84"/>
      <c r="KMJ188" s="84"/>
      <c r="KMK188" s="84"/>
      <c r="KML188" s="84"/>
      <c r="KMM188" s="84"/>
      <c r="KMN188" s="84"/>
      <c r="KMO188" s="84"/>
      <c r="KMP188" s="84"/>
      <c r="KMQ188" s="84"/>
      <c r="KMR188" s="84"/>
      <c r="KMS188" s="84"/>
      <c r="KMT188" s="84"/>
      <c r="KMU188" s="84"/>
      <c r="KMV188" s="84"/>
      <c r="KMW188" s="84"/>
      <c r="KMX188" s="84"/>
      <c r="KMY188" s="84"/>
      <c r="KMZ188" s="84"/>
      <c r="KNA188" s="84"/>
      <c r="KNB188" s="84"/>
      <c r="KNC188" s="84"/>
      <c r="KND188" s="84"/>
      <c r="KNE188" s="84"/>
      <c r="KNF188" s="84"/>
      <c r="KNG188" s="84"/>
      <c r="KNH188" s="84"/>
      <c r="KNI188" s="84"/>
      <c r="KNJ188" s="84"/>
      <c r="KNK188" s="84"/>
      <c r="KNL188" s="84"/>
      <c r="KNM188" s="84"/>
      <c r="KNN188" s="84"/>
      <c r="KNO188" s="84"/>
      <c r="KNP188" s="84"/>
      <c r="KNQ188" s="84"/>
      <c r="KNR188" s="84"/>
      <c r="KNS188" s="84"/>
      <c r="KNT188" s="84"/>
      <c r="KNU188" s="84"/>
      <c r="KNV188" s="84"/>
      <c r="KNW188" s="84"/>
      <c r="KNX188" s="84"/>
      <c r="KNY188" s="84"/>
      <c r="KNZ188" s="84"/>
      <c r="KOA188" s="84"/>
      <c r="KOB188" s="84"/>
      <c r="KOC188" s="84"/>
      <c r="KOD188" s="84"/>
      <c r="KOE188" s="84"/>
      <c r="KOF188" s="84"/>
      <c r="KOG188" s="84"/>
      <c r="KOH188" s="84"/>
      <c r="KOI188" s="84"/>
      <c r="KOJ188" s="84"/>
      <c r="KOK188" s="84"/>
      <c r="KOL188" s="84"/>
      <c r="KOM188" s="84"/>
      <c r="KON188" s="84"/>
      <c r="KOO188" s="84"/>
      <c r="KOP188" s="84"/>
      <c r="KOQ188" s="84"/>
      <c r="KOR188" s="84"/>
      <c r="KOS188" s="84"/>
      <c r="KOT188" s="84"/>
      <c r="KOU188" s="84"/>
      <c r="KOV188" s="84"/>
      <c r="KOW188" s="84"/>
      <c r="KOX188" s="84"/>
      <c r="KOY188" s="84"/>
      <c r="KOZ188" s="84"/>
      <c r="KPA188" s="84"/>
      <c r="KPB188" s="84"/>
      <c r="KPC188" s="84"/>
      <c r="KPD188" s="84"/>
      <c r="KPE188" s="84"/>
      <c r="KPF188" s="84"/>
      <c r="KPG188" s="84"/>
      <c r="KPH188" s="84"/>
      <c r="KPI188" s="84"/>
      <c r="KPJ188" s="84"/>
      <c r="KPK188" s="84"/>
      <c r="KPL188" s="84"/>
      <c r="KPM188" s="84"/>
      <c r="KPN188" s="84"/>
      <c r="KPO188" s="84"/>
      <c r="KPP188" s="84"/>
      <c r="KPQ188" s="84"/>
      <c r="KPR188" s="84"/>
      <c r="KPS188" s="84"/>
      <c r="KPT188" s="84"/>
      <c r="KPU188" s="84"/>
      <c r="KPV188" s="84"/>
      <c r="KPW188" s="84"/>
      <c r="KPX188" s="84"/>
      <c r="KPY188" s="84"/>
      <c r="KPZ188" s="84"/>
      <c r="KQA188" s="84"/>
      <c r="KQB188" s="84"/>
      <c r="KQC188" s="84"/>
      <c r="KQD188" s="84"/>
      <c r="KQE188" s="84"/>
      <c r="KQF188" s="84"/>
      <c r="KQG188" s="84"/>
      <c r="KQH188" s="84"/>
      <c r="KQI188" s="84"/>
      <c r="KQJ188" s="84"/>
      <c r="KQK188" s="84"/>
      <c r="KQL188" s="84"/>
      <c r="KQM188" s="84"/>
      <c r="KQN188" s="84"/>
      <c r="KQO188" s="84"/>
      <c r="KQP188" s="84"/>
      <c r="KQQ188" s="84"/>
      <c r="KQR188" s="84"/>
      <c r="KQS188" s="84"/>
      <c r="KQT188" s="84"/>
      <c r="KQU188" s="84"/>
      <c r="KQV188" s="84"/>
      <c r="KQW188" s="84"/>
      <c r="KQX188" s="84"/>
      <c r="KQY188" s="84"/>
      <c r="KQZ188" s="84"/>
      <c r="KRA188" s="84"/>
      <c r="KRB188" s="84"/>
      <c r="KRC188" s="84"/>
      <c r="KRD188" s="84"/>
      <c r="KRE188" s="84"/>
      <c r="KRF188" s="84"/>
      <c r="KRG188" s="84"/>
      <c r="KRH188" s="84"/>
      <c r="KRI188" s="84"/>
      <c r="KRJ188" s="84"/>
      <c r="KRK188" s="84"/>
      <c r="KRL188" s="84"/>
      <c r="KRM188" s="84"/>
      <c r="KRN188" s="84"/>
      <c r="KRO188" s="84"/>
      <c r="KRP188" s="84"/>
      <c r="KRQ188" s="84"/>
      <c r="KRR188" s="84"/>
      <c r="KRS188" s="84"/>
      <c r="KRT188" s="84"/>
      <c r="KRU188" s="84"/>
      <c r="KRV188" s="84"/>
      <c r="KRW188" s="84"/>
      <c r="KRX188" s="84"/>
      <c r="KRY188" s="84"/>
      <c r="KRZ188" s="84"/>
      <c r="KSA188" s="84"/>
      <c r="KSB188" s="84"/>
      <c r="KSC188" s="84"/>
      <c r="KSD188" s="84"/>
      <c r="KSE188" s="84"/>
      <c r="KSF188" s="84"/>
      <c r="KSG188" s="84"/>
      <c r="KSH188" s="84"/>
      <c r="KSI188" s="84"/>
      <c r="KSJ188" s="84"/>
      <c r="KSK188" s="84"/>
      <c r="KSL188" s="84"/>
      <c r="KSM188" s="84"/>
      <c r="KSN188" s="84"/>
      <c r="KSO188" s="84"/>
      <c r="KSP188" s="84"/>
      <c r="KSQ188" s="84"/>
      <c r="KSR188" s="84"/>
      <c r="KSS188" s="84"/>
      <c r="KST188" s="84"/>
      <c r="KSU188" s="84"/>
      <c r="KSV188" s="84"/>
      <c r="KSW188" s="84"/>
      <c r="KSX188" s="84"/>
      <c r="KSY188" s="84"/>
      <c r="KSZ188" s="84"/>
      <c r="KTA188" s="84"/>
      <c r="KTB188" s="84"/>
      <c r="KTC188" s="84"/>
      <c r="KTD188" s="84"/>
      <c r="KTE188" s="84"/>
      <c r="KTF188" s="84"/>
      <c r="KTG188" s="84"/>
      <c r="KTH188" s="84"/>
      <c r="KTI188" s="84"/>
      <c r="KTJ188" s="84"/>
      <c r="KTK188" s="84"/>
      <c r="KTL188" s="84"/>
      <c r="KTM188" s="84"/>
      <c r="KTN188" s="84"/>
      <c r="KTO188" s="84"/>
      <c r="KTP188" s="84"/>
      <c r="KTQ188" s="84"/>
      <c r="KTR188" s="84"/>
      <c r="KTS188" s="84"/>
      <c r="KTT188" s="84"/>
      <c r="KTU188" s="84"/>
      <c r="KTV188" s="84"/>
      <c r="KTW188" s="84"/>
      <c r="KTX188" s="84"/>
      <c r="KTY188" s="84"/>
      <c r="KTZ188" s="84"/>
      <c r="KUA188" s="84"/>
      <c r="KUB188" s="84"/>
      <c r="KUC188" s="84"/>
      <c r="KUD188" s="84"/>
      <c r="KUE188" s="84"/>
      <c r="KUF188" s="84"/>
      <c r="KUG188" s="84"/>
      <c r="KUH188" s="84"/>
      <c r="KUI188" s="84"/>
      <c r="KUJ188" s="84"/>
      <c r="KUK188" s="84"/>
      <c r="KUL188" s="84"/>
      <c r="KUM188" s="84"/>
      <c r="KUN188" s="84"/>
      <c r="KUO188" s="84"/>
      <c r="KUP188" s="84"/>
      <c r="KUQ188" s="84"/>
      <c r="KUR188" s="84"/>
      <c r="KUS188" s="84"/>
      <c r="KUT188" s="84"/>
      <c r="KUU188" s="84"/>
      <c r="KUV188" s="84"/>
      <c r="KUW188" s="84"/>
      <c r="KUX188" s="84"/>
      <c r="KUY188" s="84"/>
      <c r="KUZ188" s="84"/>
      <c r="KVA188" s="84"/>
      <c r="KVB188" s="84"/>
      <c r="KVC188" s="84"/>
      <c r="KVD188" s="84"/>
      <c r="KVE188" s="84"/>
      <c r="KVF188" s="84"/>
      <c r="KVG188" s="84"/>
      <c r="KVH188" s="84"/>
      <c r="KVI188" s="84"/>
      <c r="KVJ188" s="84"/>
      <c r="KVK188" s="84"/>
      <c r="KVL188" s="84"/>
      <c r="KVM188" s="84"/>
      <c r="KVN188" s="84"/>
      <c r="KVO188" s="84"/>
      <c r="KVP188" s="84"/>
      <c r="KVQ188" s="84"/>
      <c r="KVR188" s="84"/>
      <c r="KVS188" s="84"/>
      <c r="KVT188" s="84"/>
      <c r="KVU188" s="84"/>
      <c r="KVV188" s="84"/>
      <c r="KVW188" s="84"/>
      <c r="KVX188" s="84"/>
      <c r="KVY188" s="84"/>
      <c r="KVZ188" s="84"/>
      <c r="KWA188" s="84"/>
      <c r="KWB188" s="84"/>
      <c r="KWC188" s="84"/>
      <c r="KWD188" s="84"/>
      <c r="KWE188" s="84"/>
      <c r="KWF188" s="84"/>
      <c r="KWG188" s="84"/>
      <c r="KWH188" s="84"/>
      <c r="KWI188" s="84"/>
      <c r="KWJ188" s="84"/>
      <c r="KWK188" s="84"/>
      <c r="KWL188" s="84"/>
      <c r="KWM188" s="84"/>
      <c r="KWN188" s="84"/>
      <c r="KWO188" s="84"/>
      <c r="KWP188" s="84"/>
      <c r="KWQ188" s="84"/>
      <c r="KWR188" s="84"/>
      <c r="KWS188" s="84"/>
      <c r="KWT188" s="84"/>
      <c r="KWU188" s="84"/>
      <c r="KWV188" s="84"/>
      <c r="KWW188" s="84"/>
      <c r="KWX188" s="84"/>
      <c r="KWY188" s="84"/>
      <c r="KWZ188" s="84"/>
      <c r="KXA188" s="84"/>
      <c r="KXB188" s="84"/>
      <c r="KXC188" s="84"/>
      <c r="KXD188" s="84"/>
      <c r="KXE188" s="84"/>
      <c r="KXF188" s="84"/>
      <c r="KXG188" s="84"/>
      <c r="KXH188" s="84"/>
      <c r="KXI188" s="84"/>
      <c r="KXJ188" s="84"/>
      <c r="KXK188" s="84"/>
      <c r="KXL188" s="84"/>
      <c r="KXM188" s="84"/>
      <c r="KXN188" s="84"/>
      <c r="KXO188" s="84"/>
      <c r="KXP188" s="84"/>
      <c r="KXQ188" s="84"/>
      <c r="KXR188" s="84"/>
      <c r="KXS188" s="84"/>
      <c r="KXT188" s="84"/>
      <c r="KXU188" s="84"/>
      <c r="KXV188" s="84"/>
      <c r="KXW188" s="84"/>
      <c r="KXX188" s="84"/>
      <c r="KXY188" s="84"/>
      <c r="KXZ188" s="84"/>
      <c r="KYA188" s="84"/>
      <c r="KYB188" s="84"/>
      <c r="KYC188" s="84"/>
      <c r="KYD188" s="84"/>
      <c r="KYE188" s="84"/>
      <c r="KYF188" s="84"/>
      <c r="KYG188" s="84"/>
      <c r="KYH188" s="84"/>
      <c r="KYI188" s="84"/>
      <c r="KYJ188" s="84"/>
      <c r="KYK188" s="84"/>
      <c r="KYL188" s="84"/>
      <c r="KYM188" s="84"/>
      <c r="KYN188" s="84"/>
      <c r="KYO188" s="84"/>
      <c r="KYP188" s="84"/>
      <c r="KYQ188" s="84"/>
      <c r="KYR188" s="84"/>
      <c r="KYS188" s="84"/>
      <c r="KYT188" s="84"/>
      <c r="KYU188" s="84"/>
      <c r="KYV188" s="84"/>
      <c r="KYW188" s="84"/>
      <c r="KYX188" s="84"/>
      <c r="KYY188" s="84"/>
      <c r="KYZ188" s="84"/>
      <c r="KZA188" s="84"/>
      <c r="KZB188" s="84"/>
      <c r="KZC188" s="84"/>
      <c r="KZD188" s="84"/>
      <c r="KZE188" s="84"/>
      <c r="KZF188" s="84"/>
      <c r="KZG188" s="84"/>
      <c r="KZH188" s="84"/>
      <c r="KZI188" s="84"/>
      <c r="KZJ188" s="84"/>
      <c r="KZK188" s="84"/>
      <c r="KZL188" s="84"/>
      <c r="KZM188" s="84"/>
      <c r="KZN188" s="84"/>
      <c r="KZO188" s="84"/>
      <c r="KZP188" s="84"/>
      <c r="KZQ188" s="84"/>
      <c r="KZR188" s="84"/>
      <c r="KZS188" s="84"/>
      <c r="KZT188" s="84"/>
      <c r="KZU188" s="84"/>
      <c r="KZV188" s="84"/>
      <c r="KZW188" s="84"/>
      <c r="KZX188" s="84"/>
      <c r="KZY188" s="84"/>
      <c r="KZZ188" s="84"/>
      <c r="LAA188" s="84"/>
      <c r="LAB188" s="84"/>
      <c r="LAC188" s="84"/>
      <c r="LAD188" s="84"/>
      <c r="LAE188" s="84"/>
      <c r="LAF188" s="84"/>
      <c r="LAG188" s="84"/>
      <c r="LAH188" s="84"/>
      <c r="LAI188" s="84"/>
      <c r="LAJ188" s="84"/>
      <c r="LAK188" s="84"/>
      <c r="LAL188" s="84"/>
      <c r="LAM188" s="84"/>
      <c r="LAN188" s="84"/>
      <c r="LAO188" s="84"/>
      <c r="LAP188" s="84"/>
      <c r="LAQ188" s="84"/>
      <c r="LAR188" s="84"/>
      <c r="LAS188" s="84"/>
      <c r="LAT188" s="84"/>
      <c r="LAU188" s="84"/>
      <c r="LAV188" s="84"/>
      <c r="LAW188" s="84"/>
      <c r="LAX188" s="84"/>
      <c r="LAY188" s="84"/>
      <c r="LAZ188" s="84"/>
      <c r="LBA188" s="84"/>
      <c r="LBB188" s="84"/>
      <c r="LBC188" s="84"/>
      <c r="LBD188" s="84"/>
      <c r="LBE188" s="84"/>
      <c r="LBF188" s="84"/>
      <c r="LBG188" s="84"/>
      <c r="LBH188" s="84"/>
      <c r="LBI188" s="84"/>
      <c r="LBJ188" s="84"/>
      <c r="LBK188" s="84"/>
      <c r="LBL188" s="84"/>
      <c r="LBM188" s="84"/>
      <c r="LBN188" s="84"/>
      <c r="LBO188" s="84"/>
      <c r="LBP188" s="84"/>
      <c r="LBQ188" s="84"/>
      <c r="LBR188" s="84"/>
      <c r="LBS188" s="84"/>
      <c r="LBT188" s="84"/>
      <c r="LBU188" s="84"/>
      <c r="LBV188" s="84"/>
      <c r="LBW188" s="84"/>
      <c r="LBX188" s="84"/>
      <c r="LBY188" s="84"/>
      <c r="LBZ188" s="84"/>
      <c r="LCA188" s="84"/>
      <c r="LCB188" s="84"/>
      <c r="LCC188" s="84"/>
      <c r="LCD188" s="84"/>
      <c r="LCE188" s="84"/>
      <c r="LCF188" s="84"/>
      <c r="LCG188" s="84"/>
      <c r="LCH188" s="84"/>
      <c r="LCI188" s="84"/>
      <c r="LCJ188" s="84"/>
      <c r="LCK188" s="84"/>
      <c r="LCL188" s="84"/>
      <c r="LCM188" s="84"/>
      <c r="LCN188" s="84"/>
      <c r="LCO188" s="84"/>
      <c r="LCP188" s="84"/>
      <c r="LCQ188" s="84"/>
      <c r="LCR188" s="84"/>
      <c r="LCS188" s="84"/>
      <c r="LCT188" s="84"/>
      <c r="LCU188" s="84"/>
      <c r="LCV188" s="84"/>
      <c r="LCW188" s="84"/>
      <c r="LCX188" s="84"/>
      <c r="LCY188" s="84"/>
      <c r="LCZ188" s="84"/>
      <c r="LDA188" s="84"/>
      <c r="LDB188" s="84"/>
      <c r="LDC188" s="84"/>
      <c r="LDD188" s="84"/>
      <c r="LDE188" s="84"/>
      <c r="LDF188" s="84"/>
      <c r="LDG188" s="84"/>
      <c r="LDH188" s="84"/>
      <c r="LDI188" s="84"/>
      <c r="LDJ188" s="84"/>
      <c r="LDK188" s="84"/>
      <c r="LDL188" s="84"/>
      <c r="LDM188" s="84"/>
      <c r="LDN188" s="84"/>
      <c r="LDO188" s="84"/>
      <c r="LDP188" s="84"/>
      <c r="LDQ188" s="84"/>
      <c r="LDR188" s="84"/>
      <c r="LDS188" s="84"/>
      <c r="LDT188" s="84"/>
      <c r="LDU188" s="84"/>
      <c r="LDV188" s="84"/>
      <c r="LDW188" s="84"/>
      <c r="LDX188" s="84"/>
      <c r="LDY188" s="84"/>
      <c r="LDZ188" s="84"/>
      <c r="LEA188" s="84"/>
      <c r="LEB188" s="84"/>
      <c r="LEC188" s="84"/>
      <c r="LED188" s="84"/>
      <c r="LEE188" s="84"/>
      <c r="LEF188" s="84"/>
      <c r="LEG188" s="84"/>
      <c r="LEH188" s="84"/>
      <c r="LEI188" s="84"/>
      <c r="LEJ188" s="84"/>
      <c r="LEK188" s="84"/>
      <c r="LEL188" s="84"/>
      <c r="LEM188" s="84"/>
      <c r="LEN188" s="84"/>
      <c r="LEO188" s="84"/>
      <c r="LEP188" s="84"/>
      <c r="LEQ188" s="84"/>
      <c r="LER188" s="84"/>
      <c r="LES188" s="84"/>
      <c r="LET188" s="84"/>
      <c r="LEU188" s="84"/>
      <c r="LEV188" s="84"/>
      <c r="LEW188" s="84"/>
      <c r="LEX188" s="84"/>
      <c r="LEY188" s="84"/>
      <c r="LEZ188" s="84"/>
      <c r="LFA188" s="84"/>
      <c r="LFB188" s="84"/>
      <c r="LFC188" s="84"/>
      <c r="LFD188" s="84"/>
      <c r="LFE188" s="84"/>
      <c r="LFF188" s="84"/>
      <c r="LFG188" s="84"/>
      <c r="LFH188" s="84"/>
      <c r="LFI188" s="84"/>
      <c r="LFJ188" s="84"/>
      <c r="LFK188" s="84"/>
      <c r="LFL188" s="84"/>
      <c r="LFM188" s="84"/>
      <c r="LFN188" s="84"/>
      <c r="LFO188" s="84"/>
      <c r="LFP188" s="84"/>
      <c r="LFQ188" s="84"/>
      <c r="LFR188" s="84"/>
      <c r="LFS188" s="84"/>
      <c r="LFT188" s="84"/>
      <c r="LFU188" s="84"/>
      <c r="LFV188" s="84"/>
      <c r="LFW188" s="84"/>
      <c r="LFX188" s="84"/>
      <c r="LFY188" s="84"/>
      <c r="LFZ188" s="84"/>
      <c r="LGA188" s="84"/>
      <c r="LGB188" s="84"/>
      <c r="LGC188" s="84"/>
      <c r="LGD188" s="84"/>
      <c r="LGE188" s="84"/>
      <c r="LGF188" s="84"/>
      <c r="LGG188" s="84"/>
      <c r="LGH188" s="84"/>
      <c r="LGI188" s="84"/>
      <c r="LGJ188" s="84"/>
      <c r="LGK188" s="84"/>
      <c r="LGL188" s="84"/>
      <c r="LGM188" s="84"/>
      <c r="LGN188" s="84"/>
      <c r="LGO188" s="84"/>
      <c r="LGP188" s="84"/>
      <c r="LGQ188" s="84"/>
      <c r="LGR188" s="84"/>
      <c r="LGS188" s="84"/>
      <c r="LGT188" s="84"/>
      <c r="LGU188" s="84"/>
      <c r="LGV188" s="84"/>
      <c r="LGW188" s="84"/>
      <c r="LGX188" s="84"/>
      <c r="LGY188" s="84"/>
      <c r="LGZ188" s="84"/>
      <c r="LHA188" s="84"/>
      <c r="LHB188" s="84"/>
      <c r="LHC188" s="84"/>
      <c r="LHD188" s="84"/>
      <c r="LHE188" s="84"/>
      <c r="LHF188" s="84"/>
      <c r="LHG188" s="84"/>
      <c r="LHH188" s="84"/>
      <c r="LHI188" s="84"/>
      <c r="LHJ188" s="84"/>
      <c r="LHK188" s="84"/>
      <c r="LHL188" s="84"/>
      <c r="LHM188" s="84"/>
      <c r="LHN188" s="84"/>
      <c r="LHO188" s="84"/>
      <c r="LHP188" s="84"/>
      <c r="LHQ188" s="84"/>
      <c r="LHR188" s="84"/>
      <c r="LHS188" s="84"/>
      <c r="LHT188" s="84"/>
      <c r="LHU188" s="84"/>
      <c r="LHV188" s="84"/>
      <c r="LHW188" s="84"/>
      <c r="LHX188" s="84"/>
      <c r="LHY188" s="84"/>
      <c r="LHZ188" s="84"/>
      <c r="LIA188" s="84"/>
      <c r="LIB188" s="84"/>
      <c r="LIC188" s="84"/>
      <c r="LID188" s="84"/>
      <c r="LIE188" s="84"/>
      <c r="LIF188" s="84"/>
      <c r="LIG188" s="84"/>
      <c r="LIH188" s="84"/>
      <c r="LII188" s="84"/>
      <c r="LIJ188" s="84"/>
      <c r="LIK188" s="84"/>
      <c r="LIL188" s="84"/>
      <c r="LIM188" s="84"/>
      <c r="LIN188" s="84"/>
      <c r="LIO188" s="84"/>
      <c r="LIP188" s="84"/>
      <c r="LIQ188" s="84"/>
      <c r="LIR188" s="84"/>
      <c r="LIS188" s="84"/>
      <c r="LIT188" s="84"/>
      <c r="LIU188" s="84"/>
      <c r="LIV188" s="84"/>
      <c r="LIW188" s="84"/>
      <c r="LIX188" s="84"/>
      <c r="LIY188" s="84"/>
      <c r="LIZ188" s="84"/>
      <c r="LJA188" s="84"/>
      <c r="LJB188" s="84"/>
      <c r="LJC188" s="84"/>
      <c r="LJD188" s="84"/>
      <c r="LJE188" s="84"/>
      <c r="LJF188" s="84"/>
      <c r="LJG188" s="84"/>
      <c r="LJH188" s="84"/>
      <c r="LJI188" s="84"/>
      <c r="LJJ188" s="84"/>
      <c r="LJK188" s="84"/>
      <c r="LJL188" s="84"/>
      <c r="LJM188" s="84"/>
      <c r="LJN188" s="84"/>
      <c r="LJO188" s="84"/>
      <c r="LJP188" s="84"/>
      <c r="LJQ188" s="84"/>
      <c r="LJR188" s="84"/>
      <c r="LJS188" s="84"/>
      <c r="LJT188" s="84"/>
      <c r="LJU188" s="84"/>
      <c r="LJV188" s="84"/>
      <c r="LJW188" s="84"/>
      <c r="LJX188" s="84"/>
      <c r="LJY188" s="84"/>
      <c r="LJZ188" s="84"/>
      <c r="LKA188" s="84"/>
      <c r="LKB188" s="84"/>
      <c r="LKC188" s="84"/>
      <c r="LKD188" s="84"/>
      <c r="LKE188" s="84"/>
      <c r="LKF188" s="84"/>
      <c r="LKG188" s="84"/>
      <c r="LKH188" s="84"/>
      <c r="LKI188" s="84"/>
      <c r="LKJ188" s="84"/>
      <c r="LKK188" s="84"/>
      <c r="LKL188" s="84"/>
      <c r="LKM188" s="84"/>
      <c r="LKN188" s="84"/>
      <c r="LKO188" s="84"/>
      <c r="LKP188" s="84"/>
      <c r="LKQ188" s="84"/>
      <c r="LKR188" s="84"/>
      <c r="LKS188" s="84"/>
      <c r="LKT188" s="84"/>
      <c r="LKU188" s="84"/>
      <c r="LKV188" s="84"/>
      <c r="LKW188" s="84"/>
      <c r="LKX188" s="84"/>
      <c r="LKY188" s="84"/>
      <c r="LKZ188" s="84"/>
      <c r="LLA188" s="84"/>
      <c r="LLB188" s="84"/>
      <c r="LLC188" s="84"/>
      <c r="LLD188" s="84"/>
      <c r="LLE188" s="84"/>
      <c r="LLF188" s="84"/>
      <c r="LLG188" s="84"/>
      <c r="LLH188" s="84"/>
      <c r="LLI188" s="84"/>
      <c r="LLJ188" s="84"/>
      <c r="LLK188" s="84"/>
      <c r="LLL188" s="84"/>
      <c r="LLM188" s="84"/>
      <c r="LLN188" s="84"/>
      <c r="LLO188" s="84"/>
      <c r="LLP188" s="84"/>
      <c r="LLQ188" s="84"/>
      <c r="LLR188" s="84"/>
      <c r="LLS188" s="84"/>
      <c r="LLT188" s="84"/>
      <c r="LLU188" s="84"/>
      <c r="LLV188" s="84"/>
      <c r="LLW188" s="84"/>
      <c r="LLX188" s="84"/>
      <c r="LLY188" s="84"/>
      <c r="LLZ188" s="84"/>
      <c r="LMA188" s="84"/>
      <c r="LMB188" s="84"/>
      <c r="LMC188" s="84"/>
      <c r="LMD188" s="84"/>
      <c r="LME188" s="84"/>
      <c r="LMF188" s="84"/>
      <c r="LMG188" s="84"/>
      <c r="LMH188" s="84"/>
      <c r="LMI188" s="84"/>
      <c r="LMJ188" s="84"/>
      <c r="LMK188" s="84"/>
      <c r="LML188" s="84"/>
      <c r="LMM188" s="84"/>
      <c r="LMN188" s="84"/>
      <c r="LMO188" s="84"/>
      <c r="LMP188" s="84"/>
      <c r="LMQ188" s="84"/>
      <c r="LMR188" s="84"/>
      <c r="LMS188" s="84"/>
      <c r="LMT188" s="84"/>
      <c r="LMU188" s="84"/>
      <c r="LMV188" s="84"/>
      <c r="LMW188" s="84"/>
      <c r="LMX188" s="84"/>
      <c r="LMY188" s="84"/>
      <c r="LMZ188" s="84"/>
      <c r="LNA188" s="84"/>
      <c r="LNB188" s="84"/>
      <c r="LNC188" s="84"/>
      <c r="LND188" s="84"/>
      <c r="LNE188" s="84"/>
      <c r="LNF188" s="84"/>
      <c r="LNG188" s="84"/>
      <c r="LNH188" s="84"/>
      <c r="LNI188" s="84"/>
      <c r="LNJ188" s="84"/>
      <c r="LNK188" s="84"/>
      <c r="LNL188" s="84"/>
      <c r="LNM188" s="84"/>
      <c r="LNN188" s="84"/>
      <c r="LNO188" s="84"/>
      <c r="LNP188" s="84"/>
      <c r="LNQ188" s="84"/>
      <c r="LNR188" s="84"/>
      <c r="LNS188" s="84"/>
      <c r="LNT188" s="84"/>
      <c r="LNU188" s="84"/>
      <c r="LNV188" s="84"/>
      <c r="LNW188" s="84"/>
      <c r="LNX188" s="84"/>
      <c r="LNY188" s="84"/>
      <c r="LNZ188" s="84"/>
      <c r="LOA188" s="84"/>
      <c r="LOB188" s="84"/>
      <c r="LOC188" s="84"/>
      <c r="LOD188" s="84"/>
      <c r="LOE188" s="84"/>
      <c r="LOF188" s="84"/>
      <c r="LOG188" s="84"/>
      <c r="LOH188" s="84"/>
      <c r="LOI188" s="84"/>
      <c r="LOJ188" s="84"/>
      <c r="LOK188" s="84"/>
      <c r="LOL188" s="84"/>
      <c r="LOM188" s="84"/>
      <c r="LON188" s="84"/>
      <c r="LOO188" s="84"/>
      <c r="LOP188" s="84"/>
      <c r="LOQ188" s="84"/>
      <c r="LOR188" s="84"/>
      <c r="LOS188" s="84"/>
      <c r="LOT188" s="84"/>
      <c r="LOU188" s="84"/>
      <c r="LOV188" s="84"/>
      <c r="LOW188" s="84"/>
      <c r="LOX188" s="84"/>
      <c r="LOY188" s="84"/>
      <c r="LOZ188" s="84"/>
      <c r="LPA188" s="84"/>
      <c r="LPB188" s="84"/>
      <c r="LPC188" s="84"/>
      <c r="LPD188" s="84"/>
      <c r="LPE188" s="84"/>
      <c r="LPF188" s="84"/>
      <c r="LPG188" s="84"/>
      <c r="LPH188" s="84"/>
      <c r="LPI188" s="84"/>
      <c r="LPJ188" s="84"/>
      <c r="LPK188" s="84"/>
      <c r="LPL188" s="84"/>
      <c r="LPM188" s="84"/>
      <c r="LPN188" s="84"/>
      <c r="LPO188" s="84"/>
      <c r="LPP188" s="84"/>
      <c r="LPQ188" s="84"/>
      <c r="LPR188" s="84"/>
      <c r="LPS188" s="84"/>
      <c r="LPT188" s="84"/>
      <c r="LPU188" s="84"/>
      <c r="LPV188" s="84"/>
      <c r="LPW188" s="84"/>
      <c r="LPX188" s="84"/>
      <c r="LPY188" s="84"/>
      <c r="LPZ188" s="84"/>
      <c r="LQA188" s="84"/>
      <c r="LQB188" s="84"/>
      <c r="LQC188" s="84"/>
      <c r="LQD188" s="84"/>
      <c r="LQE188" s="84"/>
      <c r="LQF188" s="84"/>
      <c r="LQG188" s="84"/>
      <c r="LQH188" s="84"/>
      <c r="LQI188" s="84"/>
      <c r="LQJ188" s="84"/>
      <c r="LQK188" s="84"/>
      <c r="LQL188" s="84"/>
      <c r="LQM188" s="84"/>
      <c r="LQN188" s="84"/>
      <c r="LQO188" s="84"/>
      <c r="LQP188" s="84"/>
      <c r="LQQ188" s="84"/>
      <c r="LQR188" s="84"/>
      <c r="LQS188" s="84"/>
      <c r="LQT188" s="84"/>
      <c r="LQU188" s="84"/>
      <c r="LQV188" s="84"/>
      <c r="LQW188" s="84"/>
      <c r="LQX188" s="84"/>
      <c r="LQY188" s="84"/>
      <c r="LQZ188" s="84"/>
      <c r="LRA188" s="84"/>
      <c r="LRB188" s="84"/>
      <c r="LRC188" s="84"/>
      <c r="LRD188" s="84"/>
      <c r="LRE188" s="84"/>
      <c r="LRF188" s="84"/>
      <c r="LRG188" s="84"/>
      <c r="LRH188" s="84"/>
      <c r="LRI188" s="84"/>
      <c r="LRJ188" s="84"/>
      <c r="LRK188" s="84"/>
      <c r="LRL188" s="84"/>
      <c r="LRM188" s="84"/>
      <c r="LRN188" s="84"/>
      <c r="LRO188" s="84"/>
      <c r="LRP188" s="84"/>
      <c r="LRQ188" s="84"/>
      <c r="LRR188" s="84"/>
      <c r="LRS188" s="84"/>
      <c r="LRT188" s="84"/>
      <c r="LRU188" s="84"/>
      <c r="LRV188" s="84"/>
      <c r="LRW188" s="84"/>
      <c r="LRX188" s="84"/>
      <c r="LRY188" s="84"/>
      <c r="LRZ188" s="84"/>
      <c r="LSA188" s="84"/>
      <c r="LSB188" s="84"/>
      <c r="LSC188" s="84"/>
      <c r="LSD188" s="84"/>
      <c r="LSE188" s="84"/>
      <c r="LSF188" s="84"/>
      <c r="LSG188" s="84"/>
      <c r="LSH188" s="84"/>
      <c r="LSI188" s="84"/>
      <c r="LSJ188" s="84"/>
      <c r="LSK188" s="84"/>
      <c r="LSL188" s="84"/>
      <c r="LSM188" s="84"/>
      <c r="LSN188" s="84"/>
      <c r="LSO188" s="84"/>
      <c r="LSP188" s="84"/>
      <c r="LSQ188" s="84"/>
      <c r="LSR188" s="84"/>
      <c r="LSS188" s="84"/>
      <c r="LST188" s="84"/>
      <c r="LSU188" s="84"/>
      <c r="LSV188" s="84"/>
      <c r="LSW188" s="84"/>
      <c r="LSX188" s="84"/>
      <c r="LSY188" s="84"/>
      <c r="LSZ188" s="84"/>
      <c r="LTA188" s="84"/>
      <c r="LTB188" s="84"/>
      <c r="LTC188" s="84"/>
      <c r="LTD188" s="84"/>
      <c r="LTE188" s="84"/>
      <c r="LTF188" s="84"/>
      <c r="LTG188" s="84"/>
      <c r="LTH188" s="84"/>
      <c r="LTI188" s="84"/>
      <c r="LTJ188" s="84"/>
      <c r="LTK188" s="84"/>
      <c r="LTL188" s="84"/>
      <c r="LTM188" s="84"/>
      <c r="LTN188" s="84"/>
      <c r="LTO188" s="84"/>
      <c r="LTP188" s="84"/>
      <c r="LTQ188" s="84"/>
      <c r="LTR188" s="84"/>
      <c r="LTS188" s="84"/>
      <c r="LTT188" s="84"/>
      <c r="LTU188" s="84"/>
      <c r="LTV188" s="84"/>
      <c r="LTW188" s="84"/>
      <c r="LTX188" s="84"/>
      <c r="LTY188" s="84"/>
      <c r="LTZ188" s="84"/>
      <c r="LUA188" s="84"/>
      <c r="LUB188" s="84"/>
      <c r="LUC188" s="84"/>
      <c r="LUD188" s="84"/>
      <c r="LUE188" s="84"/>
      <c r="LUF188" s="84"/>
      <c r="LUG188" s="84"/>
      <c r="LUH188" s="84"/>
      <c r="LUI188" s="84"/>
      <c r="LUJ188" s="84"/>
      <c r="LUK188" s="84"/>
      <c r="LUL188" s="84"/>
      <c r="LUM188" s="84"/>
      <c r="LUN188" s="84"/>
      <c r="LUO188" s="84"/>
      <c r="LUP188" s="84"/>
      <c r="LUQ188" s="84"/>
      <c r="LUR188" s="84"/>
      <c r="LUS188" s="84"/>
      <c r="LUT188" s="84"/>
      <c r="LUU188" s="84"/>
      <c r="LUV188" s="84"/>
      <c r="LUW188" s="84"/>
      <c r="LUX188" s="84"/>
      <c r="LUY188" s="84"/>
      <c r="LUZ188" s="84"/>
      <c r="LVA188" s="84"/>
      <c r="LVB188" s="84"/>
      <c r="LVC188" s="84"/>
      <c r="LVD188" s="84"/>
      <c r="LVE188" s="84"/>
      <c r="LVF188" s="84"/>
      <c r="LVG188" s="84"/>
      <c r="LVH188" s="84"/>
      <c r="LVI188" s="84"/>
      <c r="LVJ188" s="84"/>
      <c r="LVK188" s="84"/>
      <c r="LVL188" s="84"/>
      <c r="LVM188" s="84"/>
      <c r="LVN188" s="84"/>
      <c r="LVO188" s="84"/>
      <c r="LVP188" s="84"/>
      <c r="LVQ188" s="84"/>
      <c r="LVR188" s="84"/>
      <c r="LVS188" s="84"/>
      <c r="LVT188" s="84"/>
      <c r="LVU188" s="84"/>
      <c r="LVV188" s="84"/>
      <c r="LVW188" s="84"/>
      <c r="LVX188" s="84"/>
      <c r="LVY188" s="84"/>
      <c r="LVZ188" s="84"/>
      <c r="LWA188" s="84"/>
      <c r="LWB188" s="84"/>
      <c r="LWC188" s="84"/>
      <c r="LWD188" s="84"/>
      <c r="LWE188" s="84"/>
      <c r="LWF188" s="84"/>
      <c r="LWG188" s="84"/>
      <c r="LWH188" s="84"/>
      <c r="LWI188" s="84"/>
      <c r="LWJ188" s="84"/>
      <c r="LWK188" s="84"/>
      <c r="LWL188" s="84"/>
      <c r="LWM188" s="84"/>
      <c r="LWN188" s="84"/>
      <c r="LWO188" s="84"/>
      <c r="LWP188" s="84"/>
      <c r="LWQ188" s="84"/>
      <c r="LWR188" s="84"/>
      <c r="LWS188" s="84"/>
      <c r="LWT188" s="84"/>
      <c r="LWU188" s="84"/>
      <c r="LWV188" s="84"/>
      <c r="LWW188" s="84"/>
      <c r="LWX188" s="84"/>
      <c r="LWY188" s="84"/>
      <c r="LWZ188" s="84"/>
      <c r="LXA188" s="84"/>
      <c r="LXB188" s="84"/>
      <c r="LXC188" s="84"/>
      <c r="LXD188" s="84"/>
      <c r="LXE188" s="84"/>
      <c r="LXF188" s="84"/>
      <c r="LXG188" s="84"/>
      <c r="LXH188" s="84"/>
      <c r="LXI188" s="84"/>
      <c r="LXJ188" s="84"/>
      <c r="LXK188" s="84"/>
      <c r="LXL188" s="84"/>
      <c r="LXM188" s="84"/>
      <c r="LXN188" s="84"/>
      <c r="LXO188" s="84"/>
      <c r="LXP188" s="84"/>
      <c r="LXQ188" s="84"/>
      <c r="LXR188" s="84"/>
      <c r="LXS188" s="84"/>
      <c r="LXT188" s="84"/>
      <c r="LXU188" s="84"/>
      <c r="LXV188" s="84"/>
      <c r="LXW188" s="84"/>
      <c r="LXX188" s="84"/>
      <c r="LXY188" s="84"/>
      <c r="LXZ188" s="84"/>
      <c r="LYA188" s="84"/>
      <c r="LYB188" s="84"/>
      <c r="LYC188" s="84"/>
      <c r="LYD188" s="84"/>
      <c r="LYE188" s="84"/>
      <c r="LYF188" s="84"/>
      <c r="LYG188" s="84"/>
      <c r="LYH188" s="84"/>
      <c r="LYI188" s="84"/>
      <c r="LYJ188" s="84"/>
      <c r="LYK188" s="84"/>
      <c r="LYL188" s="84"/>
      <c r="LYM188" s="84"/>
      <c r="LYN188" s="84"/>
      <c r="LYO188" s="84"/>
      <c r="LYP188" s="84"/>
      <c r="LYQ188" s="84"/>
      <c r="LYR188" s="84"/>
      <c r="LYS188" s="84"/>
      <c r="LYT188" s="84"/>
      <c r="LYU188" s="84"/>
      <c r="LYV188" s="84"/>
      <c r="LYW188" s="84"/>
      <c r="LYX188" s="84"/>
      <c r="LYY188" s="84"/>
      <c r="LYZ188" s="84"/>
      <c r="LZA188" s="84"/>
      <c r="LZB188" s="84"/>
      <c r="LZC188" s="84"/>
      <c r="LZD188" s="84"/>
      <c r="LZE188" s="84"/>
      <c r="LZF188" s="84"/>
      <c r="LZG188" s="84"/>
      <c r="LZH188" s="84"/>
      <c r="LZI188" s="84"/>
      <c r="LZJ188" s="84"/>
      <c r="LZK188" s="84"/>
      <c r="LZL188" s="84"/>
      <c r="LZM188" s="84"/>
      <c r="LZN188" s="84"/>
      <c r="LZO188" s="84"/>
      <c r="LZP188" s="84"/>
      <c r="LZQ188" s="84"/>
      <c r="LZR188" s="84"/>
      <c r="LZS188" s="84"/>
      <c r="LZT188" s="84"/>
      <c r="LZU188" s="84"/>
      <c r="LZV188" s="84"/>
      <c r="LZW188" s="84"/>
      <c r="LZX188" s="84"/>
      <c r="LZY188" s="84"/>
      <c r="LZZ188" s="84"/>
      <c r="MAA188" s="84"/>
      <c r="MAB188" s="84"/>
      <c r="MAC188" s="84"/>
      <c r="MAD188" s="84"/>
      <c r="MAE188" s="84"/>
      <c r="MAF188" s="84"/>
      <c r="MAG188" s="84"/>
      <c r="MAH188" s="84"/>
      <c r="MAI188" s="84"/>
      <c r="MAJ188" s="84"/>
      <c r="MAK188" s="84"/>
      <c r="MAL188" s="84"/>
      <c r="MAM188" s="84"/>
      <c r="MAN188" s="84"/>
      <c r="MAO188" s="84"/>
      <c r="MAP188" s="84"/>
      <c r="MAQ188" s="84"/>
      <c r="MAR188" s="84"/>
      <c r="MAS188" s="84"/>
      <c r="MAT188" s="84"/>
      <c r="MAU188" s="84"/>
      <c r="MAV188" s="84"/>
      <c r="MAW188" s="84"/>
      <c r="MAX188" s="84"/>
      <c r="MAY188" s="84"/>
      <c r="MAZ188" s="84"/>
      <c r="MBA188" s="84"/>
      <c r="MBB188" s="84"/>
      <c r="MBC188" s="84"/>
      <c r="MBD188" s="84"/>
      <c r="MBE188" s="84"/>
      <c r="MBF188" s="84"/>
      <c r="MBG188" s="84"/>
      <c r="MBH188" s="84"/>
      <c r="MBI188" s="84"/>
      <c r="MBJ188" s="84"/>
      <c r="MBK188" s="84"/>
      <c r="MBL188" s="84"/>
      <c r="MBM188" s="84"/>
      <c r="MBN188" s="84"/>
      <c r="MBO188" s="84"/>
      <c r="MBP188" s="84"/>
      <c r="MBQ188" s="84"/>
      <c r="MBR188" s="84"/>
      <c r="MBS188" s="84"/>
      <c r="MBT188" s="84"/>
      <c r="MBU188" s="84"/>
      <c r="MBV188" s="84"/>
      <c r="MBW188" s="84"/>
      <c r="MBX188" s="84"/>
      <c r="MBY188" s="84"/>
      <c r="MBZ188" s="84"/>
      <c r="MCA188" s="84"/>
      <c r="MCB188" s="84"/>
      <c r="MCC188" s="84"/>
      <c r="MCD188" s="84"/>
      <c r="MCE188" s="84"/>
      <c r="MCF188" s="84"/>
      <c r="MCG188" s="84"/>
      <c r="MCH188" s="84"/>
      <c r="MCI188" s="84"/>
      <c r="MCJ188" s="84"/>
      <c r="MCK188" s="84"/>
      <c r="MCL188" s="84"/>
      <c r="MCM188" s="84"/>
      <c r="MCN188" s="84"/>
      <c r="MCO188" s="84"/>
      <c r="MCP188" s="84"/>
      <c r="MCQ188" s="84"/>
      <c r="MCR188" s="84"/>
      <c r="MCS188" s="84"/>
      <c r="MCT188" s="84"/>
      <c r="MCU188" s="84"/>
      <c r="MCV188" s="84"/>
      <c r="MCW188" s="84"/>
      <c r="MCX188" s="84"/>
      <c r="MCY188" s="84"/>
      <c r="MCZ188" s="84"/>
      <c r="MDA188" s="84"/>
      <c r="MDB188" s="84"/>
      <c r="MDC188" s="84"/>
      <c r="MDD188" s="84"/>
      <c r="MDE188" s="84"/>
      <c r="MDF188" s="84"/>
      <c r="MDG188" s="84"/>
      <c r="MDH188" s="84"/>
      <c r="MDI188" s="84"/>
      <c r="MDJ188" s="84"/>
      <c r="MDK188" s="84"/>
      <c r="MDL188" s="84"/>
      <c r="MDM188" s="84"/>
      <c r="MDN188" s="84"/>
      <c r="MDO188" s="84"/>
      <c r="MDP188" s="84"/>
      <c r="MDQ188" s="84"/>
      <c r="MDR188" s="84"/>
      <c r="MDS188" s="84"/>
      <c r="MDT188" s="84"/>
      <c r="MDU188" s="84"/>
      <c r="MDV188" s="84"/>
      <c r="MDW188" s="84"/>
      <c r="MDX188" s="84"/>
      <c r="MDY188" s="84"/>
      <c r="MDZ188" s="84"/>
      <c r="MEA188" s="84"/>
      <c r="MEB188" s="84"/>
      <c r="MEC188" s="84"/>
      <c r="MED188" s="84"/>
      <c r="MEE188" s="84"/>
      <c r="MEF188" s="84"/>
      <c r="MEG188" s="84"/>
      <c r="MEH188" s="84"/>
      <c r="MEI188" s="84"/>
      <c r="MEJ188" s="84"/>
      <c r="MEK188" s="84"/>
      <c r="MEL188" s="84"/>
      <c r="MEM188" s="84"/>
      <c r="MEN188" s="84"/>
      <c r="MEO188" s="84"/>
      <c r="MEP188" s="84"/>
      <c r="MEQ188" s="84"/>
      <c r="MER188" s="84"/>
      <c r="MES188" s="84"/>
      <c r="MET188" s="84"/>
      <c r="MEU188" s="84"/>
      <c r="MEV188" s="84"/>
      <c r="MEW188" s="84"/>
      <c r="MEX188" s="84"/>
      <c r="MEY188" s="84"/>
      <c r="MEZ188" s="84"/>
      <c r="MFA188" s="84"/>
      <c r="MFB188" s="84"/>
      <c r="MFC188" s="84"/>
      <c r="MFD188" s="84"/>
      <c r="MFE188" s="84"/>
      <c r="MFF188" s="84"/>
      <c r="MFG188" s="84"/>
      <c r="MFH188" s="84"/>
      <c r="MFI188" s="84"/>
      <c r="MFJ188" s="84"/>
      <c r="MFK188" s="84"/>
      <c r="MFL188" s="84"/>
      <c r="MFM188" s="84"/>
      <c r="MFN188" s="84"/>
      <c r="MFO188" s="84"/>
      <c r="MFP188" s="84"/>
      <c r="MFQ188" s="84"/>
      <c r="MFR188" s="84"/>
      <c r="MFS188" s="84"/>
      <c r="MFT188" s="84"/>
      <c r="MFU188" s="84"/>
      <c r="MFV188" s="84"/>
      <c r="MFW188" s="84"/>
      <c r="MFX188" s="84"/>
      <c r="MFY188" s="84"/>
      <c r="MFZ188" s="84"/>
      <c r="MGA188" s="84"/>
      <c r="MGB188" s="84"/>
      <c r="MGC188" s="84"/>
      <c r="MGD188" s="84"/>
      <c r="MGE188" s="84"/>
      <c r="MGF188" s="84"/>
      <c r="MGG188" s="84"/>
      <c r="MGH188" s="84"/>
      <c r="MGI188" s="84"/>
      <c r="MGJ188" s="84"/>
      <c r="MGK188" s="84"/>
      <c r="MGL188" s="84"/>
      <c r="MGM188" s="84"/>
      <c r="MGN188" s="84"/>
      <c r="MGO188" s="84"/>
      <c r="MGP188" s="84"/>
      <c r="MGQ188" s="84"/>
      <c r="MGR188" s="84"/>
      <c r="MGS188" s="84"/>
      <c r="MGT188" s="84"/>
      <c r="MGU188" s="84"/>
      <c r="MGV188" s="84"/>
      <c r="MGW188" s="84"/>
      <c r="MGX188" s="84"/>
      <c r="MGY188" s="84"/>
      <c r="MGZ188" s="84"/>
      <c r="MHA188" s="84"/>
      <c r="MHB188" s="84"/>
      <c r="MHC188" s="84"/>
      <c r="MHD188" s="84"/>
      <c r="MHE188" s="84"/>
      <c r="MHF188" s="84"/>
      <c r="MHG188" s="84"/>
      <c r="MHH188" s="84"/>
      <c r="MHI188" s="84"/>
      <c r="MHJ188" s="84"/>
      <c r="MHK188" s="84"/>
      <c r="MHL188" s="84"/>
      <c r="MHM188" s="84"/>
      <c r="MHN188" s="84"/>
      <c r="MHO188" s="84"/>
      <c r="MHP188" s="84"/>
      <c r="MHQ188" s="84"/>
      <c r="MHR188" s="84"/>
      <c r="MHS188" s="84"/>
      <c r="MHT188" s="84"/>
      <c r="MHU188" s="84"/>
      <c r="MHV188" s="84"/>
      <c r="MHW188" s="84"/>
      <c r="MHX188" s="84"/>
      <c r="MHY188" s="84"/>
      <c r="MHZ188" s="84"/>
      <c r="MIA188" s="84"/>
      <c r="MIB188" s="84"/>
      <c r="MIC188" s="84"/>
      <c r="MID188" s="84"/>
      <c r="MIE188" s="84"/>
      <c r="MIF188" s="84"/>
      <c r="MIG188" s="84"/>
      <c r="MIH188" s="84"/>
      <c r="MII188" s="84"/>
      <c r="MIJ188" s="84"/>
      <c r="MIK188" s="84"/>
      <c r="MIL188" s="84"/>
      <c r="MIM188" s="84"/>
      <c r="MIN188" s="84"/>
      <c r="MIO188" s="84"/>
      <c r="MIP188" s="84"/>
      <c r="MIQ188" s="84"/>
      <c r="MIR188" s="84"/>
      <c r="MIS188" s="84"/>
      <c r="MIT188" s="84"/>
      <c r="MIU188" s="84"/>
      <c r="MIV188" s="84"/>
      <c r="MIW188" s="84"/>
      <c r="MIX188" s="84"/>
      <c r="MIY188" s="84"/>
      <c r="MIZ188" s="84"/>
      <c r="MJA188" s="84"/>
      <c r="MJB188" s="84"/>
      <c r="MJC188" s="84"/>
      <c r="MJD188" s="84"/>
      <c r="MJE188" s="84"/>
      <c r="MJF188" s="84"/>
      <c r="MJG188" s="84"/>
      <c r="MJH188" s="84"/>
      <c r="MJI188" s="84"/>
      <c r="MJJ188" s="84"/>
      <c r="MJK188" s="84"/>
      <c r="MJL188" s="84"/>
      <c r="MJM188" s="84"/>
      <c r="MJN188" s="84"/>
      <c r="MJO188" s="84"/>
      <c r="MJP188" s="84"/>
      <c r="MJQ188" s="84"/>
      <c r="MJR188" s="84"/>
      <c r="MJS188" s="84"/>
      <c r="MJT188" s="84"/>
      <c r="MJU188" s="84"/>
      <c r="MJV188" s="84"/>
      <c r="MJW188" s="84"/>
      <c r="MJX188" s="84"/>
      <c r="MJY188" s="84"/>
      <c r="MJZ188" s="84"/>
      <c r="MKA188" s="84"/>
      <c r="MKB188" s="84"/>
      <c r="MKC188" s="84"/>
      <c r="MKD188" s="84"/>
      <c r="MKE188" s="84"/>
      <c r="MKF188" s="84"/>
      <c r="MKG188" s="84"/>
      <c r="MKH188" s="84"/>
      <c r="MKI188" s="84"/>
      <c r="MKJ188" s="84"/>
      <c r="MKK188" s="84"/>
      <c r="MKL188" s="84"/>
      <c r="MKM188" s="84"/>
      <c r="MKN188" s="84"/>
      <c r="MKO188" s="84"/>
      <c r="MKP188" s="84"/>
      <c r="MKQ188" s="84"/>
      <c r="MKR188" s="84"/>
      <c r="MKS188" s="84"/>
      <c r="MKT188" s="84"/>
      <c r="MKU188" s="84"/>
      <c r="MKV188" s="84"/>
      <c r="MKW188" s="84"/>
      <c r="MKX188" s="84"/>
      <c r="MKY188" s="84"/>
      <c r="MKZ188" s="84"/>
      <c r="MLA188" s="84"/>
      <c r="MLB188" s="84"/>
      <c r="MLC188" s="84"/>
      <c r="MLD188" s="84"/>
      <c r="MLE188" s="84"/>
      <c r="MLF188" s="84"/>
      <c r="MLG188" s="84"/>
      <c r="MLH188" s="84"/>
      <c r="MLI188" s="84"/>
      <c r="MLJ188" s="84"/>
      <c r="MLK188" s="84"/>
      <c r="MLL188" s="84"/>
      <c r="MLM188" s="84"/>
      <c r="MLN188" s="84"/>
      <c r="MLO188" s="84"/>
      <c r="MLP188" s="84"/>
      <c r="MLQ188" s="84"/>
      <c r="MLR188" s="84"/>
      <c r="MLS188" s="84"/>
      <c r="MLT188" s="84"/>
      <c r="MLU188" s="84"/>
      <c r="MLV188" s="84"/>
      <c r="MLW188" s="84"/>
      <c r="MLX188" s="84"/>
      <c r="MLY188" s="84"/>
      <c r="MLZ188" s="84"/>
      <c r="MMA188" s="84"/>
      <c r="MMB188" s="84"/>
      <c r="MMC188" s="84"/>
      <c r="MMD188" s="84"/>
      <c r="MME188" s="84"/>
      <c r="MMF188" s="84"/>
      <c r="MMG188" s="84"/>
      <c r="MMH188" s="84"/>
      <c r="MMI188" s="84"/>
      <c r="MMJ188" s="84"/>
      <c r="MMK188" s="84"/>
      <c r="MML188" s="84"/>
      <c r="MMM188" s="84"/>
      <c r="MMN188" s="84"/>
      <c r="MMO188" s="84"/>
      <c r="MMP188" s="84"/>
      <c r="MMQ188" s="84"/>
      <c r="MMR188" s="84"/>
      <c r="MMS188" s="84"/>
      <c r="MMT188" s="84"/>
      <c r="MMU188" s="84"/>
      <c r="MMV188" s="84"/>
      <c r="MMW188" s="84"/>
      <c r="MMX188" s="84"/>
      <c r="MMY188" s="84"/>
      <c r="MMZ188" s="84"/>
      <c r="MNA188" s="84"/>
      <c r="MNB188" s="84"/>
      <c r="MNC188" s="84"/>
      <c r="MND188" s="84"/>
      <c r="MNE188" s="84"/>
      <c r="MNF188" s="84"/>
      <c r="MNG188" s="84"/>
      <c r="MNH188" s="84"/>
      <c r="MNI188" s="84"/>
      <c r="MNJ188" s="84"/>
      <c r="MNK188" s="84"/>
      <c r="MNL188" s="84"/>
      <c r="MNM188" s="84"/>
      <c r="MNN188" s="84"/>
      <c r="MNO188" s="84"/>
      <c r="MNP188" s="84"/>
      <c r="MNQ188" s="84"/>
      <c r="MNR188" s="84"/>
      <c r="MNS188" s="84"/>
      <c r="MNT188" s="84"/>
      <c r="MNU188" s="84"/>
      <c r="MNV188" s="84"/>
      <c r="MNW188" s="84"/>
      <c r="MNX188" s="84"/>
      <c r="MNY188" s="84"/>
      <c r="MNZ188" s="84"/>
      <c r="MOA188" s="84"/>
      <c r="MOB188" s="84"/>
      <c r="MOC188" s="84"/>
      <c r="MOD188" s="84"/>
      <c r="MOE188" s="84"/>
      <c r="MOF188" s="84"/>
      <c r="MOG188" s="84"/>
      <c r="MOH188" s="84"/>
      <c r="MOI188" s="84"/>
      <c r="MOJ188" s="84"/>
      <c r="MOK188" s="84"/>
      <c r="MOL188" s="84"/>
      <c r="MOM188" s="84"/>
      <c r="MON188" s="84"/>
      <c r="MOO188" s="84"/>
      <c r="MOP188" s="84"/>
      <c r="MOQ188" s="84"/>
      <c r="MOR188" s="84"/>
      <c r="MOS188" s="84"/>
      <c r="MOT188" s="84"/>
      <c r="MOU188" s="84"/>
      <c r="MOV188" s="84"/>
      <c r="MOW188" s="84"/>
      <c r="MOX188" s="84"/>
      <c r="MOY188" s="84"/>
      <c r="MOZ188" s="84"/>
      <c r="MPA188" s="84"/>
      <c r="MPB188" s="84"/>
      <c r="MPC188" s="84"/>
      <c r="MPD188" s="84"/>
      <c r="MPE188" s="84"/>
      <c r="MPF188" s="84"/>
      <c r="MPG188" s="84"/>
      <c r="MPH188" s="84"/>
      <c r="MPI188" s="84"/>
      <c r="MPJ188" s="84"/>
      <c r="MPK188" s="84"/>
      <c r="MPL188" s="84"/>
      <c r="MPM188" s="84"/>
      <c r="MPN188" s="84"/>
      <c r="MPO188" s="84"/>
      <c r="MPP188" s="84"/>
      <c r="MPQ188" s="84"/>
      <c r="MPR188" s="84"/>
      <c r="MPS188" s="84"/>
      <c r="MPT188" s="84"/>
      <c r="MPU188" s="84"/>
      <c r="MPV188" s="84"/>
      <c r="MPW188" s="84"/>
      <c r="MPX188" s="84"/>
      <c r="MPY188" s="84"/>
      <c r="MPZ188" s="84"/>
      <c r="MQA188" s="84"/>
      <c r="MQB188" s="84"/>
      <c r="MQC188" s="84"/>
      <c r="MQD188" s="84"/>
      <c r="MQE188" s="84"/>
      <c r="MQF188" s="84"/>
      <c r="MQG188" s="84"/>
      <c r="MQH188" s="84"/>
      <c r="MQI188" s="84"/>
      <c r="MQJ188" s="84"/>
      <c r="MQK188" s="84"/>
      <c r="MQL188" s="84"/>
      <c r="MQM188" s="84"/>
      <c r="MQN188" s="84"/>
      <c r="MQO188" s="84"/>
      <c r="MQP188" s="84"/>
      <c r="MQQ188" s="84"/>
      <c r="MQR188" s="84"/>
      <c r="MQS188" s="84"/>
      <c r="MQT188" s="84"/>
      <c r="MQU188" s="84"/>
      <c r="MQV188" s="84"/>
      <c r="MQW188" s="84"/>
      <c r="MQX188" s="84"/>
      <c r="MQY188" s="84"/>
      <c r="MQZ188" s="84"/>
      <c r="MRA188" s="84"/>
      <c r="MRB188" s="84"/>
      <c r="MRC188" s="84"/>
      <c r="MRD188" s="84"/>
      <c r="MRE188" s="84"/>
      <c r="MRF188" s="84"/>
      <c r="MRG188" s="84"/>
      <c r="MRH188" s="84"/>
      <c r="MRI188" s="84"/>
      <c r="MRJ188" s="84"/>
      <c r="MRK188" s="84"/>
      <c r="MRL188" s="84"/>
      <c r="MRM188" s="84"/>
      <c r="MRN188" s="84"/>
      <c r="MRO188" s="84"/>
      <c r="MRP188" s="84"/>
      <c r="MRQ188" s="84"/>
      <c r="MRR188" s="84"/>
      <c r="MRS188" s="84"/>
      <c r="MRT188" s="84"/>
      <c r="MRU188" s="84"/>
      <c r="MRV188" s="84"/>
      <c r="MRW188" s="84"/>
      <c r="MRX188" s="84"/>
      <c r="MRY188" s="84"/>
      <c r="MRZ188" s="84"/>
      <c r="MSA188" s="84"/>
      <c r="MSB188" s="84"/>
      <c r="MSC188" s="84"/>
      <c r="MSD188" s="84"/>
      <c r="MSE188" s="84"/>
      <c r="MSF188" s="84"/>
      <c r="MSG188" s="84"/>
      <c r="MSH188" s="84"/>
      <c r="MSI188" s="84"/>
      <c r="MSJ188" s="84"/>
      <c r="MSK188" s="84"/>
      <c r="MSL188" s="84"/>
      <c r="MSM188" s="84"/>
      <c r="MSN188" s="84"/>
      <c r="MSO188" s="84"/>
      <c r="MSP188" s="84"/>
      <c r="MSQ188" s="84"/>
      <c r="MSR188" s="84"/>
      <c r="MSS188" s="84"/>
      <c r="MST188" s="84"/>
      <c r="MSU188" s="84"/>
      <c r="MSV188" s="84"/>
      <c r="MSW188" s="84"/>
      <c r="MSX188" s="84"/>
      <c r="MSY188" s="84"/>
      <c r="MSZ188" s="84"/>
      <c r="MTA188" s="84"/>
      <c r="MTB188" s="84"/>
      <c r="MTC188" s="84"/>
      <c r="MTD188" s="84"/>
      <c r="MTE188" s="84"/>
      <c r="MTF188" s="84"/>
      <c r="MTG188" s="84"/>
      <c r="MTH188" s="84"/>
      <c r="MTI188" s="84"/>
      <c r="MTJ188" s="84"/>
      <c r="MTK188" s="84"/>
      <c r="MTL188" s="84"/>
      <c r="MTM188" s="84"/>
      <c r="MTN188" s="84"/>
      <c r="MTO188" s="84"/>
      <c r="MTP188" s="84"/>
      <c r="MTQ188" s="84"/>
      <c r="MTR188" s="84"/>
      <c r="MTS188" s="84"/>
      <c r="MTT188" s="84"/>
      <c r="MTU188" s="84"/>
      <c r="MTV188" s="84"/>
      <c r="MTW188" s="84"/>
      <c r="MTX188" s="84"/>
      <c r="MTY188" s="84"/>
      <c r="MTZ188" s="84"/>
      <c r="MUA188" s="84"/>
      <c r="MUB188" s="84"/>
      <c r="MUC188" s="84"/>
      <c r="MUD188" s="84"/>
      <c r="MUE188" s="84"/>
      <c r="MUF188" s="84"/>
      <c r="MUG188" s="84"/>
      <c r="MUH188" s="84"/>
      <c r="MUI188" s="84"/>
      <c r="MUJ188" s="84"/>
      <c r="MUK188" s="84"/>
      <c r="MUL188" s="84"/>
      <c r="MUM188" s="84"/>
      <c r="MUN188" s="84"/>
      <c r="MUO188" s="84"/>
      <c r="MUP188" s="84"/>
      <c r="MUQ188" s="84"/>
      <c r="MUR188" s="84"/>
      <c r="MUS188" s="84"/>
      <c r="MUT188" s="84"/>
      <c r="MUU188" s="84"/>
      <c r="MUV188" s="84"/>
      <c r="MUW188" s="84"/>
      <c r="MUX188" s="84"/>
      <c r="MUY188" s="84"/>
      <c r="MUZ188" s="84"/>
      <c r="MVA188" s="84"/>
      <c r="MVB188" s="84"/>
      <c r="MVC188" s="84"/>
      <c r="MVD188" s="84"/>
      <c r="MVE188" s="84"/>
      <c r="MVF188" s="84"/>
      <c r="MVG188" s="84"/>
      <c r="MVH188" s="84"/>
      <c r="MVI188" s="84"/>
      <c r="MVJ188" s="84"/>
      <c r="MVK188" s="84"/>
      <c r="MVL188" s="84"/>
      <c r="MVM188" s="84"/>
      <c r="MVN188" s="84"/>
      <c r="MVO188" s="84"/>
      <c r="MVP188" s="84"/>
      <c r="MVQ188" s="84"/>
      <c r="MVR188" s="84"/>
      <c r="MVS188" s="84"/>
      <c r="MVT188" s="84"/>
      <c r="MVU188" s="84"/>
      <c r="MVV188" s="84"/>
      <c r="MVW188" s="84"/>
      <c r="MVX188" s="84"/>
      <c r="MVY188" s="84"/>
      <c r="MVZ188" s="84"/>
      <c r="MWA188" s="84"/>
      <c r="MWB188" s="84"/>
      <c r="MWC188" s="84"/>
      <c r="MWD188" s="84"/>
      <c r="MWE188" s="84"/>
      <c r="MWF188" s="84"/>
      <c r="MWG188" s="84"/>
      <c r="MWH188" s="84"/>
      <c r="MWI188" s="84"/>
      <c r="MWJ188" s="84"/>
      <c r="MWK188" s="84"/>
      <c r="MWL188" s="84"/>
      <c r="MWM188" s="84"/>
      <c r="MWN188" s="84"/>
      <c r="MWO188" s="84"/>
      <c r="MWP188" s="84"/>
      <c r="MWQ188" s="84"/>
      <c r="MWR188" s="84"/>
      <c r="MWS188" s="84"/>
      <c r="MWT188" s="84"/>
      <c r="MWU188" s="84"/>
      <c r="MWV188" s="84"/>
      <c r="MWW188" s="84"/>
      <c r="MWX188" s="84"/>
      <c r="MWY188" s="84"/>
      <c r="MWZ188" s="84"/>
      <c r="MXA188" s="84"/>
      <c r="MXB188" s="84"/>
      <c r="MXC188" s="84"/>
      <c r="MXD188" s="84"/>
      <c r="MXE188" s="84"/>
      <c r="MXF188" s="84"/>
      <c r="MXG188" s="84"/>
      <c r="MXH188" s="84"/>
      <c r="MXI188" s="84"/>
      <c r="MXJ188" s="84"/>
      <c r="MXK188" s="84"/>
      <c r="MXL188" s="84"/>
      <c r="MXM188" s="84"/>
      <c r="MXN188" s="84"/>
      <c r="MXO188" s="84"/>
      <c r="MXP188" s="84"/>
      <c r="MXQ188" s="84"/>
      <c r="MXR188" s="84"/>
      <c r="MXS188" s="84"/>
      <c r="MXT188" s="84"/>
      <c r="MXU188" s="84"/>
      <c r="MXV188" s="84"/>
      <c r="MXW188" s="84"/>
      <c r="MXX188" s="84"/>
      <c r="MXY188" s="84"/>
      <c r="MXZ188" s="84"/>
      <c r="MYA188" s="84"/>
      <c r="MYB188" s="84"/>
      <c r="MYC188" s="84"/>
      <c r="MYD188" s="84"/>
      <c r="MYE188" s="84"/>
      <c r="MYF188" s="84"/>
      <c r="MYG188" s="84"/>
      <c r="MYH188" s="84"/>
      <c r="MYI188" s="84"/>
      <c r="MYJ188" s="84"/>
      <c r="MYK188" s="84"/>
      <c r="MYL188" s="84"/>
      <c r="MYM188" s="84"/>
      <c r="MYN188" s="84"/>
      <c r="MYO188" s="84"/>
      <c r="MYP188" s="84"/>
      <c r="MYQ188" s="84"/>
      <c r="MYR188" s="84"/>
      <c r="MYS188" s="84"/>
      <c r="MYT188" s="84"/>
      <c r="MYU188" s="84"/>
      <c r="MYV188" s="84"/>
      <c r="MYW188" s="84"/>
      <c r="MYX188" s="84"/>
      <c r="MYY188" s="84"/>
      <c r="MYZ188" s="84"/>
      <c r="MZA188" s="84"/>
      <c r="MZB188" s="84"/>
      <c r="MZC188" s="84"/>
      <c r="MZD188" s="84"/>
      <c r="MZE188" s="84"/>
      <c r="MZF188" s="84"/>
      <c r="MZG188" s="84"/>
      <c r="MZH188" s="84"/>
      <c r="MZI188" s="84"/>
      <c r="MZJ188" s="84"/>
      <c r="MZK188" s="84"/>
      <c r="MZL188" s="84"/>
      <c r="MZM188" s="84"/>
      <c r="MZN188" s="84"/>
      <c r="MZO188" s="84"/>
      <c r="MZP188" s="84"/>
      <c r="MZQ188" s="84"/>
      <c r="MZR188" s="84"/>
      <c r="MZS188" s="84"/>
      <c r="MZT188" s="84"/>
      <c r="MZU188" s="84"/>
      <c r="MZV188" s="84"/>
      <c r="MZW188" s="84"/>
      <c r="MZX188" s="84"/>
      <c r="MZY188" s="84"/>
      <c r="MZZ188" s="84"/>
      <c r="NAA188" s="84"/>
      <c r="NAB188" s="84"/>
      <c r="NAC188" s="84"/>
      <c r="NAD188" s="84"/>
      <c r="NAE188" s="84"/>
      <c r="NAF188" s="84"/>
      <c r="NAG188" s="84"/>
      <c r="NAH188" s="84"/>
      <c r="NAI188" s="84"/>
      <c r="NAJ188" s="84"/>
      <c r="NAK188" s="84"/>
      <c r="NAL188" s="84"/>
      <c r="NAM188" s="84"/>
      <c r="NAN188" s="84"/>
      <c r="NAO188" s="84"/>
      <c r="NAP188" s="84"/>
      <c r="NAQ188" s="84"/>
      <c r="NAR188" s="84"/>
      <c r="NAS188" s="84"/>
      <c r="NAT188" s="84"/>
      <c r="NAU188" s="84"/>
      <c r="NAV188" s="84"/>
      <c r="NAW188" s="84"/>
      <c r="NAX188" s="84"/>
      <c r="NAY188" s="84"/>
      <c r="NAZ188" s="84"/>
      <c r="NBA188" s="84"/>
      <c r="NBB188" s="84"/>
      <c r="NBC188" s="84"/>
      <c r="NBD188" s="84"/>
      <c r="NBE188" s="84"/>
      <c r="NBF188" s="84"/>
      <c r="NBG188" s="84"/>
      <c r="NBH188" s="84"/>
      <c r="NBI188" s="84"/>
      <c r="NBJ188" s="84"/>
      <c r="NBK188" s="84"/>
      <c r="NBL188" s="84"/>
      <c r="NBM188" s="84"/>
      <c r="NBN188" s="84"/>
      <c r="NBO188" s="84"/>
      <c r="NBP188" s="84"/>
      <c r="NBQ188" s="84"/>
      <c r="NBR188" s="84"/>
      <c r="NBS188" s="84"/>
      <c r="NBT188" s="84"/>
      <c r="NBU188" s="84"/>
      <c r="NBV188" s="84"/>
      <c r="NBW188" s="84"/>
      <c r="NBX188" s="84"/>
      <c r="NBY188" s="84"/>
      <c r="NBZ188" s="84"/>
      <c r="NCA188" s="84"/>
      <c r="NCB188" s="84"/>
      <c r="NCC188" s="84"/>
      <c r="NCD188" s="84"/>
      <c r="NCE188" s="84"/>
      <c r="NCF188" s="84"/>
      <c r="NCG188" s="84"/>
      <c r="NCH188" s="84"/>
      <c r="NCI188" s="84"/>
      <c r="NCJ188" s="84"/>
      <c r="NCK188" s="84"/>
      <c r="NCL188" s="84"/>
      <c r="NCM188" s="84"/>
      <c r="NCN188" s="84"/>
      <c r="NCO188" s="84"/>
      <c r="NCP188" s="84"/>
      <c r="NCQ188" s="84"/>
      <c r="NCR188" s="84"/>
      <c r="NCS188" s="84"/>
      <c r="NCT188" s="84"/>
      <c r="NCU188" s="84"/>
      <c r="NCV188" s="84"/>
      <c r="NCW188" s="84"/>
      <c r="NCX188" s="84"/>
      <c r="NCY188" s="84"/>
      <c r="NCZ188" s="84"/>
      <c r="NDA188" s="84"/>
      <c r="NDB188" s="84"/>
      <c r="NDC188" s="84"/>
      <c r="NDD188" s="84"/>
      <c r="NDE188" s="84"/>
      <c r="NDF188" s="84"/>
      <c r="NDG188" s="84"/>
      <c r="NDH188" s="84"/>
      <c r="NDI188" s="84"/>
      <c r="NDJ188" s="84"/>
      <c r="NDK188" s="84"/>
      <c r="NDL188" s="84"/>
      <c r="NDM188" s="84"/>
      <c r="NDN188" s="84"/>
      <c r="NDO188" s="84"/>
      <c r="NDP188" s="84"/>
      <c r="NDQ188" s="84"/>
      <c r="NDR188" s="84"/>
      <c r="NDS188" s="84"/>
      <c r="NDT188" s="84"/>
      <c r="NDU188" s="84"/>
      <c r="NDV188" s="84"/>
      <c r="NDW188" s="84"/>
      <c r="NDX188" s="84"/>
      <c r="NDY188" s="84"/>
      <c r="NDZ188" s="84"/>
      <c r="NEA188" s="84"/>
      <c r="NEB188" s="84"/>
      <c r="NEC188" s="84"/>
      <c r="NED188" s="84"/>
      <c r="NEE188" s="84"/>
      <c r="NEF188" s="84"/>
      <c r="NEG188" s="84"/>
      <c r="NEH188" s="84"/>
      <c r="NEI188" s="84"/>
      <c r="NEJ188" s="84"/>
      <c r="NEK188" s="84"/>
      <c r="NEL188" s="84"/>
      <c r="NEM188" s="84"/>
      <c r="NEN188" s="84"/>
      <c r="NEO188" s="84"/>
      <c r="NEP188" s="84"/>
      <c r="NEQ188" s="84"/>
      <c r="NER188" s="84"/>
      <c r="NES188" s="84"/>
      <c r="NET188" s="84"/>
      <c r="NEU188" s="84"/>
      <c r="NEV188" s="84"/>
      <c r="NEW188" s="84"/>
      <c r="NEX188" s="84"/>
      <c r="NEY188" s="84"/>
      <c r="NEZ188" s="84"/>
      <c r="NFA188" s="84"/>
      <c r="NFB188" s="84"/>
      <c r="NFC188" s="84"/>
      <c r="NFD188" s="84"/>
      <c r="NFE188" s="84"/>
      <c r="NFF188" s="84"/>
      <c r="NFG188" s="84"/>
      <c r="NFH188" s="84"/>
      <c r="NFI188" s="84"/>
      <c r="NFJ188" s="84"/>
      <c r="NFK188" s="84"/>
      <c r="NFL188" s="84"/>
      <c r="NFM188" s="84"/>
      <c r="NFN188" s="84"/>
      <c r="NFO188" s="84"/>
      <c r="NFP188" s="84"/>
      <c r="NFQ188" s="84"/>
      <c r="NFR188" s="84"/>
      <c r="NFS188" s="84"/>
      <c r="NFT188" s="84"/>
      <c r="NFU188" s="84"/>
      <c r="NFV188" s="84"/>
      <c r="NFW188" s="84"/>
      <c r="NFX188" s="84"/>
      <c r="NFY188" s="84"/>
      <c r="NFZ188" s="84"/>
      <c r="NGA188" s="84"/>
      <c r="NGB188" s="84"/>
      <c r="NGC188" s="84"/>
      <c r="NGD188" s="84"/>
      <c r="NGE188" s="84"/>
      <c r="NGF188" s="84"/>
      <c r="NGG188" s="84"/>
      <c r="NGH188" s="84"/>
      <c r="NGI188" s="84"/>
      <c r="NGJ188" s="84"/>
      <c r="NGK188" s="84"/>
      <c r="NGL188" s="84"/>
      <c r="NGM188" s="84"/>
      <c r="NGN188" s="84"/>
      <c r="NGO188" s="84"/>
      <c r="NGP188" s="84"/>
      <c r="NGQ188" s="84"/>
      <c r="NGR188" s="84"/>
      <c r="NGS188" s="84"/>
      <c r="NGT188" s="84"/>
      <c r="NGU188" s="84"/>
      <c r="NGV188" s="84"/>
      <c r="NGW188" s="84"/>
      <c r="NGX188" s="84"/>
      <c r="NGY188" s="84"/>
      <c r="NGZ188" s="84"/>
      <c r="NHA188" s="84"/>
      <c r="NHB188" s="84"/>
      <c r="NHC188" s="84"/>
      <c r="NHD188" s="84"/>
      <c r="NHE188" s="84"/>
      <c r="NHF188" s="84"/>
      <c r="NHG188" s="84"/>
      <c r="NHH188" s="84"/>
      <c r="NHI188" s="84"/>
      <c r="NHJ188" s="84"/>
      <c r="NHK188" s="84"/>
      <c r="NHL188" s="84"/>
      <c r="NHM188" s="84"/>
      <c r="NHN188" s="84"/>
      <c r="NHO188" s="84"/>
      <c r="NHP188" s="84"/>
      <c r="NHQ188" s="84"/>
      <c r="NHR188" s="84"/>
      <c r="NHS188" s="84"/>
      <c r="NHT188" s="84"/>
      <c r="NHU188" s="84"/>
      <c r="NHV188" s="84"/>
      <c r="NHW188" s="84"/>
      <c r="NHX188" s="84"/>
      <c r="NHY188" s="84"/>
      <c r="NHZ188" s="84"/>
      <c r="NIA188" s="84"/>
      <c r="NIB188" s="84"/>
      <c r="NIC188" s="84"/>
      <c r="NID188" s="84"/>
      <c r="NIE188" s="84"/>
      <c r="NIF188" s="84"/>
      <c r="NIG188" s="84"/>
      <c r="NIH188" s="84"/>
      <c r="NII188" s="84"/>
      <c r="NIJ188" s="84"/>
      <c r="NIK188" s="84"/>
      <c r="NIL188" s="84"/>
      <c r="NIM188" s="84"/>
      <c r="NIN188" s="84"/>
      <c r="NIO188" s="84"/>
      <c r="NIP188" s="84"/>
      <c r="NIQ188" s="84"/>
      <c r="NIR188" s="84"/>
      <c r="NIS188" s="84"/>
      <c r="NIT188" s="84"/>
      <c r="NIU188" s="84"/>
      <c r="NIV188" s="84"/>
      <c r="NIW188" s="84"/>
      <c r="NIX188" s="84"/>
      <c r="NIY188" s="84"/>
      <c r="NIZ188" s="84"/>
      <c r="NJA188" s="84"/>
      <c r="NJB188" s="84"/>
      <c r="NJC188" s="84"/>
      <c r="NJD188" s="84"/>
      <c r="NJE188" s="84"/>
      <c r="NJF188" s="84"/>
      <c r="NJG188" s="84"/>
      <c r="NJH188" s="84"/>
      <c r="NJI188" s="84"/>
      <c r="NJJ188" s="84"/>
      <c r="NJK188" s="84"/>
      <c r="NJL188" s="84"/>
      <c r="NJM188" s="84"/>
      <c r="NJN188" s="84"/>
      <c r="NJO188" s="84"/>
      <c r="NJP188" s="84"/>
      <c r="NJQ188" s="84"/>
      <c r="NJR188" s="84"/>
      <c r="NJS188" s="84"/>
      <c r="NJT188" s="84"/>
      <c r="NJU188" s="84"/>
      <c r="NJV188" s="84"/>
      <c r="NJW188" s="84"/>
      <c r="NJX188" s="84"/>
      <c r="NJY188" s="84"/>
      <c r="NJZ188" s="84"/>
      <c r="NKA188" s="84"/>
      <c r="NKB188" s="84"/>
      <c r="NKC188" s="84"/>
      <c r="NKD188" s="84"/>
      <c r="NKE188" s="84"/>
      <c r="NKF188" s="84"/>
      <c r="NKG188" s="84"/>
      <c r="NKH188" s="84"/>
      <c r="NKI188" s="84"/>
      <c r="NKJ188" s="84"/>
      <c r="NKK188" s="84"/>
      <c r="NKL188" s="84"/>
      <c r="NKM188" s="84"/>
      <c r="NKN188" s="84"/>
      <c r="NKO188" s="84"/>
      <c r="NKP188" s="84"/>
      <c r="NKQ188" s="84"/>
      <c r="NKR188" s="84"/>
      <c r="NKS188" s="84"/>
      <c r="NKT188" s="84"/>
      <c r="NKU188" s="84"/>
      <c r="NKV188" s="84"/>
      <c r="NKW188" s="84"/>
      <c r="NKX188" s="84"/>
      <c r="NKY188" s="84"/>
      <c r="NKZ188" s="84"/>
      <c r="NLA188" s="84"/>
      <c r="NLB188" s="84"/>
      <c r="NLC188" s="84"/>
      <c r="NLD188" s="84"/>
      <c r="NLE188" s="84"/>
      <c r="NLF188" s="84"/>
      <c r="NLG188" s="84"/>
      <c r="NLH188" s="84"/>
      <c r="NLI188" s="84"/>
      <c r="NLJ188" s="84"/>
      <c r="NLK188" s="84"/>
      <c r="NLL188" s="84"/>
      <c r="NLM188" s="84"/>
      <c r="NLN188" s="84"/>
      <c r="NLO188" s="84"/>
      <c r="NLP188" s="84"/>
      <c r="NLQ188" s="84"/>
      <c r="NLR188" s="84"/>
      <c r="NLS188" s="84"/>
      <c r="NLT188" s="84"/>
      <c r="NLU188" s="84"/>
      <c r="NLV188" s="84"/>
      <c r="NLW188" s="84"/>
      <c r="NLX188" s="84"/>
      <c r="NLY188" s="84"/>
      <c r="NLZ188" s="84"/>
      <c r="NMA188" s="84"/>
      <c r="NMB188" s="84"/>
      <c r="NMC188" s="84"/>
      <c r="NMD188" s="84"/>
      <c r="NME188" s="84"/>
      <c r="NMF188" s="84"/>
      <c r="NMG188" s="84"/>
      <c r="NMH188" s="84"/>
      <c r="NMI188" s="84"/>
      <c r="NMJ188" s="84"/>
      <c r="NMK188" s="84"/>
      <c r="NML188" s="84"/>
      <c r="NMM188" s="84"/>
      <c r="NMN188" s="84"/>
      <c r="NMO188" s="84"/>
      <c r="NMP188" s="84"/>
      <c r="NMQ188" s="84"/>
      <c r="NMR188" s="84"/>
      <c r="NMS188" s="84"/>
      <c r="NMT188" s="84"/>
      <c r="NMU188" s="84"/>
      <c r="NMV188" s="84"/>
      <c r="NMW188" s="84"/>
      <c r="NMX188" s="84"/>
      <c r="NMY188" s="84"/>
      <c r="NMZ188" s="84"/>
      <c r="NNA188" s="84"/>
      <c r="NNB188" s="84"/>
      <c r="NNC188" s="84"/>
      <c r="NND188" s="84"/>
      <c r="NNE188" s="84"/>
      <c r="NNF188" s="84"/>
      <c r="NNG188" s="84"/>
      <c r="NNH188" s="84"/>
      <c r="NNI188" s="84"/>
      <c r="NNJ188" s="84"/>
      <c r="NNK188" s="84"/>
      <c r="NNL188" s="84"/>
      <c r="NNM188" s="84"/>
      <c r="NNN188" s="84"/>
      <c r="NNO188" s="84"/>
      <c r="NNP188" s="84"/>
      <c r="NNQ188" s="84"/>
      <c r="NNR188" s="84"/>
      <c r="NNS188" s="84"/>
      <c r="NNT188" s="84"/>
      <c r="NNU188" s="84"/>
      <c r="NNV188" s="84"/>
      <c r="NNW188" s="84"/>
      <c r="NNX188" s="84"/>
      <c r="NNY188" s="84"/>
      <c r="NNZ188" s="84"/>
      <c r="NOA188" s="84"/>
      <c r="NOB188" s="84"/>
      <c r="NOC188" s="84"/>
      <c r="NOD188" s="84"/>
      <c r="NOE188" s="84"/>
      <c r="NOF188" s="84"/>
      <c r="NOG188" s="84"/>
      <c r="NOH188" s="84"/>
      <c r="NOI188" s="84"/>
      <c r="NOJ188" s="84"/>
      <c r="NOK188" s="84"/>
      <c r="NOL188" s="84"/>
      <c r="NOM188" s="84"/>
      <c r="NON188" s="84"/>
      <c r="NOO188" s="84"/>
      <c r="NOP188" s="84"/>
      <c r="NOQ188" s="84"/>
      <c r="NOR188" s="84"/>
      <c r="NOS188" s="84"/>
      <c r="NOT188" s="84"/>
      <c r="NOU188" s="84"/>
      <c r="NOV188" s="84"/>
      <c r="NOW188" s="84"/>
      <c r="NOX188" s="84"/>
      <c r="NOY188" s="84"/>
      <c r="NOZ188" s="84"/>
      <c r="NPA188" s="84"/>
      <c r="NPB188" s="84"/>
      <c r="NPC188" s="84"/>
      <c r="NPD188" s="84"/>
      <c r="NPE188" s="84"/>
      <c r="NPF188" s="84"/>
      <c r="NPG188" s="84"/>
      <c r="NPH188" s="84"/>
      <c r="NPI188" s="84"/>
      <c r="NPJ188" s="84"/>
      <c r="NPK188" s="84"/>
      <c r="NPL188" s="84"/>
      <c r="NPM188" s="84"/>
      <c r="NPN188" s="84"/>
      <c r="NPO188" s="84"/>
      <c r="NPP188" s="84"/>
      <c r="NPQ188" s="84"/>
      <c r="NPR188" s="84"/>
      <c r="NPS188" s="84"/>
      <c r="NPT188" s="84"/>
      <c r="NPU188" s="84"/>
      <c r="NPV188" s="84"/>
      <c r="NPW188" s="84"/>
      <c r="NPX188" s="84"/>
      <c r="NPY188" s="84"/>
      <c r="NPZ188" s="84"/>
      <c r="NQA188" s="84"/>
      <c r="NQB188" s="84"/>
      <c r="NQC188" s="84"/>
      <c r="NQD188" s="84"/>
      <c r="NQE188" s="84"/>
      <c r="NQF188" s="84"/>
      <c r="NQG188" s="84"/>
      <c r="NQH188" s="84"/>
      <c r="NQI188" s="84"/>
      <c r="NQJ188" s="84"/>
      <c r="NQK188" s="84"/>
      <c r="NQL188" s="84"/>
      <c r="NQM188" s="84"/>
      <c r="NQN188" s="84"/>
      <c r="NQO188" s="84"/>
      <c r="NQP188" s="84"/>
      <c r="NQQ188" s="84"/>
      <c r="NQR188" s="84"/>
      <c r="NQS188" s="84"/>
      <c r="NQT188" s="84"/>
      <c r="NQU188" s="84"/>
      <c r="NQV188" s="84"/>
      <c r="NQW188" s="84"/>
      <c r="NQX188" s="84"/>
      <c r="NQY188" s="84"/>
      <c r="NQZ188" s="84"/>
      <c r="NRA188" s="84"/>
      <c r="NRB188" s="84"/>
      <c r="NRC188" s="84"/>
      <c r="NRD188" s="84"/>
      <c r="NRE188" s="84"/>
      <c r="NRF188" s="84"/>
      <c r="NRG188" s="84"/>
      <c r="NRH188" s="84"/>
      <c r="NRI188" s="84"/>
      <c r="NRJ188" s="84"/>
      <c r="NRK188" s="84"/>
      <c r="NRL188" s="84"/>
      <c r="NRM188" s="84"/>
      <c r="NRN188" s="84"/>
      <c r="NRO188" s="84"/>
      <c r="NRP188" s="84"/>
      <c r="NRQ188" s="84"/>
      <c r="NRR188" s="84"/>
      <c r="NRS188" s="84"/>
      <c r="NRT188" s="84"/>
      <c r="NRU188" s="84"/>
      <c r="NRV188" s="84"/>
      <c r="NRW188" s="84"/>
      <c r="NRX188" s="84"/>
      <c r="NRY188" s="84"/>
      <c r="NRZ188" s="84"/>
      <c r="NSA188" s="84"/>
      <c r="NSB188" s="84"/>
      <c r="NSC188" s="84"/>
      <c r="NSD188" s="84"/>
      <c r="NSE188" s="84"/>
      <c r="NSF188" s="84"/>
      <c r="NSG188" s="84"/>
      <c r="NSH188" s="84"/>
      <c r="NSI188" s="84"/>
      <c r="NSJ188" s="84"/>
      <c r="NSK188" s="84"/>
      <c r="NSL188" s="84"/>
      <c r="NSM188" s="84"/>
      <c r="NSN188" s="84"/>
      <c r="NSO188" s="84"/>
      <c r="NSP188" s="84"/>
      <c r="NSQ188" s="84"/>
      <c r="NSR188" s="84"/>
      <c r="NSS188" s="84"/>
      <c r="NST188" s="84"/>
      <c r="NSU188" s="84"/>
      <c r="NSV188" s="84"/>
      <c r="NSW188" s="84"/>
      <c r="NSX188" s="84"/>
      <c r="NSY188" s="84"/>
      <c r="NSZ188" s="84"/>
      <c r="NTA188" s="84"/>
      <c r="NTB188" s="84"/>
      <c r="NTC188" s="84"/>
      <c r="NTD188" s="84"/>
      <c r="NTE188" s="84"/>
      <c r="NTF188" s="84"/>
      <c r="NTG188" s="84"/>
      <c r="NTH188" s="84"/>
      <c r="NTI188" s="84"/>
      <c r="NTJ188" s="84"/>
      <c r="NTK188" s="84"/>
      <c r="NTL188" s="84"/>
      <c r="NTM188" s="84"/>
      <c r="NTN188" s="84"/>
      <c r="NTO188" s="84"/>
      <c r="NTP188" s="84"/>
      <c r="NTQ188" s="84"/>
      <c r="NTR188" s="84"/>
      <c r="NTS188" s="84"/>
      <c r="NTT188" s="84"/>
      <c r="NTU188" s="84"/>
      <c r="NTV188" s="84"/>
      <c r="NTW188" s="84"/>
      <c r="NTX188" s="84"/>
      <c r="NTY188" s="84"/>
      <c r="NTZ188" s="84"/>
      <c r="NUA188" s="84"/>
      <c r="NUB188" s="84"/>
      <c r="NUC188" s="84"/>
      <c r="NUD188" s="84"/>
      <c r="NUE188" s="84"/>
      <c r="NUF188" s="84"/>
      <c r="NUG188" s="84"/>
      <c r="NUH188" s="84"/>
      <c r="NUI188" s="84"/>
      <c r="NUJ188" s="84"/>
      <c r="NUK188" s="84"/>
      <c r="NUL188" s="84"/>
      <c r="NUM188" s="84"/>
      <c r="NUN188" s="84"/>
      <c r="NUO188" s="84"/>
      <c r="NUP188" s="84"/>
      <c r="NUQ188" s="84"/>
      <c r="NUR188" s="84"/>
      <c r="NUS188" s="84"/>
      <c r="NUT188" s="84"/>
      <c r="NUU188" s="84"/>
      <c r="NUV188" s="84"/>
      <c r="NUW188" s="84"/>
      <c r="NUX188" s="84"/>
      <c r="NUY188" s="84"/>
      <c r="NUZ188" s="84"/>
      <c r="NVA188" s="84"/>
      <c r="NVB188" s="84"/>
      <c r="NVC188" s="84"/>
      <c r="NVD188" s="84"/>
      <c r="NVE188" s="84"/>
      <c r="NVF188" s="84"/>
      <c r="NVG188" s="84"/>
      <c r="NVH188" s="84"/>
      <c r="NVI188" s="84"/>
      <c r="NVJ188" s="84"/>
      <c r="NVK188" s="84"/>
      <c r="NVL188" s="84"/>
      <c r="NVM188" s="84"/>
      <c r="NVN188" s="84"/>
      <c r="NVO188" s="84"/>
      <c r="NVP188" s="84"/>
      <c r="NVQ188" s="84"/>
      <c r="NVR188" s="84"/>
      <c r="NVS188" s="84"/>
      <c r="NVT188" s="84"/>
      <c r="NVU188" s="84"/>
      <c r="NVV188" s="84"/>
      <c r="NVW188" s="84"/>
      <c r="NVX188" s="84"/>
      <c r="NVY188" s="84"/>
      <c r="NVZ188" s="84"/>
      <c r="NWA188" s="84"/>
      <c r="NWB188" s="84"/>
      <c r="NWC188" s="84"/>
      <c r="NWD188" s="84"/>
      <c r="NWE188" s="84"/>
      <c r="NWF188" s="84"/>
      <c r="NWG188" s="84"/>
      <c r="NWH188" s="84"/>
      <c r="NWI188" s="84"/>
      <c r="NWJ188" s="84"/>
      <c r="NWK188" s="84"/>
      <c r="NWL188" s="84"/>
      <c r="NWM188" s="84"/>
      <c r="NWN188" s="84"/>
      <c r="NWO188" s="84"/>
      <c r="NWP188" s="84"/>
      <c r="NWQ188" s="84"/>
      <c r="NWR188" s="84"/>
      <c r="NWS188" s="84"/>
      <c r="NWT188" s="84"/>
      <c r="NWU188" s="84"/>
      <c r="NWV188" s="84"/>
      <c r="NWW188" s="84"/>
      <c r="NWX188" s="84"/>
      <c r="NWY188" s="84"/>
      <c r="NWZ188" s="84"/>
      <c r="NXA188" s="84"/>
      <c r="NXB188" s="84"/>
      <c r="NXC188" s="84"/>
      <c r="NXD188" s="84"/>
      <c r="NXE188" s="84"/>
      <c r="NXF188" s="84"/>
      <c r="NXG188" s="84"/>
      <c r="NXH188" s="84"/>
      <c r="NXI188" s="84"/>
      <c r="NXJ188" s="84"/>
      <c r="NXK188" s="84"/>
      <c r="NXL188" s="84"/>
      <c r="NXM188" s="84"/>
      <c r="NXN188" s="84"/>
      <c r="NXO188" s="84"/>
      <c r="NXP188" s="84"/>
      <c r="NXQ188" s="84"/>
      <c r="NXR188" s="84"/>
      <c r="NXS188" s="84"/>
      <c r="NXT188" s="84"/>
      <c r="NXU188" s="84"/>
      <c r="NXV188" s="84"/>
      <c r="NXW188" s="84"/>
      <c r="NXX188" s="84"/>
      <c r="NXY188" s="84"/>
      <c r="NXZ188" s="84"/>
      <c r="NYA188" s="84"/>
      <c r="NYB188" s="84"/>
      <c r="NYC188" s="84"/>
      <c r="NYD188" s="84"/>
      <c r="NYE188" s="84"/>
      <c r="NYF188" s="84"/>
      <c r="NYG188" s="84"/>
      <c r="NYH188" s="84"/>
      <c r="NYI188" s="84"/>
      <c r="NYJ188" s="84"/>
      <c r="NYK188" s="84"/>
      <c r="NYL188" s="84"/>
      <c r="NYM188" s="84"/>
      <c r="NYN188" s="84"/>
      <c r="NYO188" s="84"/>
      <c r="NYP188" s="84"/>
      <c r="NYQ188" s="84"/>
      <c r="NYR188" s="84"/>
      <c r="NYS188" s="84"/>
      <c r="NYT188" s="84"/>
      <c r="NYU188" s="84"/>
      <c r="NYV188" s="84"/>
      <c r="NYW188" s="84"/>
      <c r="NYX188" s="84"/>
      <c r="NYY188" s="84"/>
      <c r="NYZ188" s="84"/>
      <c r="NZA188" s="84"/>
      <c r="NZB188" s="84"/>
      <c r="NZC188" s="84"/>
      <c r="NZD188" s="84"/>
      <c r="NZE188" s="84"/>
      <c r="NZF188" s="84"/>
      <c r="NZG188" s="84"/>
      <c r="NZH188" s="84"/>
      <c r="NZI188" s="84"/>
      <c r="NZJ188" s="84"/>
      <c r="NZK188" s="84"/>
      <c r="NZL188" s="84"/>
      <c r="NZM188" s="84"/>
      <c r="NZN188" s="84"/>
      <c r="NZO188" s="84"/>
      <c r="NZP188" s="84"/>
      <c r="NZQ188" s="84"/>
      <c r="NZR188" s="84"/>
      <c r="NZS188" s="84"/>
      <c r="NZT188" s="84"/>
      <c r="NZU188" s="84"/>
      <c r="NZV188" s="84"/>
      <c r="NZW188" s="84"/>
      <c r="NZX188" s="84"/>
      <c r="NZY188" s="84"/>
      <c r="NZZ188" s="84"/>
      <c r="OAA188" s="84"/>
      <c r="OAB188" s="84"/>
      <c r="OAC188" s="84"/>
      <c r="OAD188" s="84"/>
      <c r="OAE188" s="84"/>
      <c r="OAF188" s="84"/>
      <c r="OAG188" s="84"/>
      <c r="OAH188" s="84"/>
      <c r="OAI188" s="84"/>
      <c r="OAJ188" s="84"/>
      <c r="OAK188" s="84"/>
      <c r="OAL188" s="84"/>
      <c r="OAM188" s="84"/>
      <c r="OAN188" s="84"/>
      <c r="OAO188" s="84"/>
      <c r="OAP188" s="84"/>
      <c r="OAQ188" s="84"/>
      <c r="OAR188" s="84"/>
      <c r="OAS188" s="84"/>
      <c r="OAT188" s="84"/>
      <c r="OAU188" s="84"/>
      <c r="OAV188" s="84"/>
      <c r="OAW188" s="84"/>
      <c r="OAX188" s="84"/>
      <c r="OAY188" s="84"/>
      <c r="OAZ188" s="84"/>
      <c r="OBA188" s="84"/>
      <c r="OBB188" s="84"/>
      <c r="OBC188" s="84"/>
      <c r="OBD188" s="84"/>
      <c r="OBE188" s="84"/>
      <c r="OBF188" s="84"/>
      <c r="OBG188" s="84"/>
      <c r="OBH188" s="84"/>
      <c r="OBI188" s="84"/>
      <c r="OBJ188" s="84"/>
      <c r="OBK188" s="84"/>
      <c r="OBL188" s="84"/>
      <c r="OBM188" s="84"/>
      <c r="OBN188" s="84"/>
      <c r="OBO188" s="84"/>
      <c r="OBP188" s="84"/>
      <c r="OBQ188" s="84"/>
      <c r="OBR188" s="84"/>
      <c r="OBS188" s="84"/>
      <c r="OBT188" s="84"/>
      <c r="OBU188" s="84"/>
      <c r="OBV188" s="84"/>
      <c r="OBW188" s="84"/>
      <c r="OBX188" s="84"/>
      <c r="OBY188" s="84"/>
      <c r="OBZ188" s="84"/>
      <c r="OCA188" s="84"/>
      <c r="OCB188" s="84"/>
      <c r="OCC188" s="84"/>
      <c r="OCD188" s="84"/>
      <c r="OCE188" s="84"/>
      <c r="OCF188" s="84"/>
      <c r="OCG188" s="84"/>
      <c r="OCH188" s="84"/>
      <c r="OCI188" s="84"/>
      <c r="OCJ188" s="84"/>
      <c r="OCK188" s="84"/>
      <c r="OCL188" s="84"/>
      <c r="OCM188" s="84"/>
      <c r="OCN188" s="84"/>
      <c r="OCO188" s="84"/>
      <c r="OCP188" s="84"/>
      <c r="OCQ188" s="84"/>
      <c r="OCR188" s="84"/>
      <c r="OCS188" s="84"/>
      <c r="OCT188" s="84"/>
      <c r="OCU188" s="84"/>
      <c r="OCV188" s="84"/>
      <c r="OCW188" s="84"/>
      <c r="OCX188" s="84"/>
      <c r="OCY188" s="84"/>
      <c r="OCZ188" s="84"/>
      <c r="ODA188" s="84"/>
      <c r="ODB188" s="84"/>
      <c r="ODC188" s="84"/>
      <c r="ODD188" s="84"/>
      <c r="ODE188" s="84"/>
      <c r="ODF188" s="84"/>
      <c r="ODG188" s="84"/>
      <c r="ODH188" s="84"/>
      <c r="ODI188" s="84"/>
      <c r="ODJ188" s="84"/>
      <c r="ODK188" s="84"/>
      <c r="ODL188" s="84"/>
      <c r="ODM188" s="84"/>
      <c r="ODN188" s="84"/>
      <c r="ODO188" s="84"/>
      <c r="ODP188" s="84"/>
      <c r="ODQ188" s="84"/>
      <c r="ODR188" s="84"/>
      <c r="ODS188" s="84"/>
      <c r="ODT188" s="84"/>
      <c r="ODU188" s="84"/>
      <c r="ODV188" s="84"/>
      <c r="ODW188" s="84"/>
      <c r="ODX188" s="84"/>
      <c r="ODY188" s="84"/>
      <c r="ODZ188" s="84"/>
      <c r="OEA188" s="84"/>
      <c r="OEB188" s="84"/>
      <c r="OEC188" s="84"/>
      <c r="OED188" s="84"/>
      <c r="OEE188" s="84"/>
      <c r="OEF188" s="84"/>
      <c r="OEG188" s="84"/>
      <c r="OEH188" s="84"/>
      <c r="OEI188" s="84"/>
      <c r="OEJ188" s="84"/>
      <c r="OEK188" s="84"/>
      <c r="OEL188" s="84"/>
      <c r="OEM188" s="84"/>
      <c r="OEN188" s="84"/>
      <c r="OEO188" s="84"/>
      <c r="OEP188" s="84"/>
      <c r="OEQ188" s="84"/>
      <c r="OER188" s="84"/>
      <c r="OES188" s="84"/>
      <c r="OET188" s="84"/>
      <c r="OEU188" s="84"/>
      <c r="OEV188" s="84"/>
      <c r="OEW188" s="84"/>
      <c r="OEX188" s="84"/>
      <c r="OEY188" s="84"/>
      <c r="OEZ188" s="84"/>
      <c r="OFA188" s="84"/>
      <c r="OFB188" s="84"/>
      <c r="OFC188" s="84"/>
      <c r="OFD188" s="84"/>
      <c r="OFE188" s="84"/>
      <c r="OFF188" s="84"/>
      <c r="OFG188" s="84"/>
      <c r="OFH188" s="84"/>
      <c r="OFI188" s="84"/>
      <c r="OFJ188" s="84"/>
      <c r="OFK188" s="84"/>
      <c r="OFL188" s="84"/>
      <c r="OFM188" s="84"/>
      <c r="OFN188" s="84"/>
      <c r="OFO188" s="84"/>
      <c r="OFP188" s="84"/>
      <c r="OFQ188" s="84"/>
      <c r="OFR188" s="84"/>
      <c r="OFS188" s="84"/>
      <c r="OFT188" s="84"/>
      <c r="OFU188" s="84"/>
      <c r="OFV188" s="84"/>
      <c r="OFW188" s="84"/>
      <c r="OFX188" s="84"/>
      <c r="OFY188" s="84"/>
      <c r="OFZ188" s="84"/>
      <c r="OGA188" s="84"/>
      <c r="OGB188" s="84"/>
      <c r="OGC188" s="84"/>
      <c r="OGD188" s="84"/>
      <c r="OGE188" s="84"/>
      <c r="OGF188" s="84"/>
      <c r="OGG188" s="84"/>
      <c r="OGH188" s="84"/>
      <c r="OGI188" s="84"/>
      <c r="OGJ188" s="84"/>
      <c r="OGK188" s="84"/>
      <c r="OGL188" s="84"/>
      <c r="OGM188" s="84"/>
      <c r="OGN188" s="84"/>
      <c r="OGO188" s="84"/>
      <c r="OGP188" s="84"/>
      <c r="OGQ188" s="84"/>
      <c r="OGR188" s="84"/>
      <c r="OGS188" s="84"/>
      <c r="OGT188" s="84"/>
      <c r="OGU188" s="84"/>
      <c r="OGV188" s="84"/>
      <c r="OGW188" s="84"/>
      <c r="OGX188" s="84"/>
      <c r="OGY188" s="84"/>
      <c r="OGZ188" s="84"/>
      <c r="OHA188" s="84"/>
      <c r="OHB188" s="84"/>
      <c r="OHC188" s="84"/>
      <c r="OHD188" s="84"/>
      <c r="OHE188" s="84"/>
      <c r="OHF188" s="84"/>
      <c r="OHG188" s="84"/>
      <c r="OHH188" s="84"/>
      <c r="OHI188" s="84"/>
      <c r="OHJ188" s="84"/>
      <c r="OHK188" s="84"/>
      <c r="OHL188" s="84"/>
      <c r="OHM188" s="84"/>
      <c r="OHN188" s="84"/>
      <c r="OHO188" s="84"/>
      <c r="OHP188" s="84"/>
      <c r="OHQ188" s="84"/>
      <c r="OHR188" s="84"/>
      <c r="OHS188" s="84"/>
      <c r="OHT188" s="84"/>
      <c r="OHU188" s="84"/>
      <c r="OHV188" s="84"/>
      <c r="OHW188" s="84"/>
      <c r="OHX188" s="84"/>
      <c r="OHY188" s="84"/>
      <c r="OHZ188" s="84"/>
      <c r="OIA188" s="84"/>
      <c r="OIB188" s="84"/>
      <c r="OIC188" s="84"/>
      <c r="OID188" s="84"/>
      <c r="OIE188" s="84"/>
      <c r="OIF188" s="84"/>
      <c r="OIG188" s="84"/>
      <c r="OIH188" s="84"/>
      <c r="OII188" s="84"/>
      <c r="OIJ188" s="84"/>
      <c r="OIK188" s="84"/>
      <c r="OIL188" s="84"/>
      <c r="OIM188" s="84"/>
      <c r="OIN188" s="84"/>
      <c r="OIO188" s="84"/>
      <c r="OIP188" s="84"/>
      <c r="OIQ188" s="84"/>
      <c r="OIR188" s="84"/>
      <c r="OIS188" s="84"/>
      <c r="OIT188" s="84"/>
      <c r="OIU188" s="84"/>
      <c r="OIV188" s="84"/>
      <c r="OIW188" s="84"/>
      <c r="OIX188" s="84"/>
      <c r="OIY188" s="84"/>
      <c r="OIZ188" s="84"/>
      <c r="OJA188" s="84"/>
      <c r="OJB188" s="84"/>
      <c r="OJC188" s="84"/>
      <c r="OJD188" s="84"/>
      <c r="OJE188" s="84"/>
      <c r="OJF188" s="84"/>
      <c r="OJG188" s="84"/>
      <c r="OJH188" s="84"/>
      <c r="OJI188" s="84"/>
      <c r="OJJ188" s="84"/>
      <c r="OJK188" s="84"/>
      <c r="OJL188" s="84"/>
      <c r="OJM188" s="84"/>
      <c r="OJN188" s="84"/>
      <c r="OJO188" s="84"/>
      <c r="OJP188" s="84"/>
      <c r="OJQ188" s="84"/>
      <c r="OJR188" s="84"/>
      <c r="OJS188" s="84"/>
      <c r="OJT188" s="84"/>
      <c r="OJU188" s="84"/>
      <c r="OJV188" s="84"/>
      <c r="OJW188" s="84"/>
      <c r="OJX188" s="84"/>
      <c r="OJY188" s="84"/>
      <c r="OJZ188" s="84"/>
      <c r="OKA188" s="84"/>
      <c r="OKB188" s="84"/>
      <c r="OKC188" s="84"/>
      <c r="OKD188" s="84"/>
      <c r="OKE188" s="84"/>
      <c r="OKF188" s="84"/>
      <c r="OKG188" s="84"/>
      <c r="OKH188" s="84"/>
      <c r="OKI188" s="84"/>
      <c r="OKJ188" s="84"/>
      <c r="OKK188" s="84"/>
      <c r="OKL188" s="84"/>
      <c r="OKM188" s="84"/>
      <c r="OKN188" s="84"/>
      <c r="OKO188" s="84"/>
      <c r="OKP188" s="84"/>
      <c r="OKQ188" s="84"/>
      <c r="OKR188" s="84"/>
      <c r="OKS188" s="84"/>
      <c r="OKT188" s="84"/>
      <c r="OKU188" s="84"/>
      <c r="OKV188" s="84"/>
      <c r="OKW188" s="84"/>
      <c r="OKX188" s="84"/>
      <c r="OKY188" s="84"/>
      <c r="OKZ188" s="84"/>
      <c r="OLA188" s="84"/>
      <c r="OLB188" s="84"/>
      <c r="OLC188" s="84"/>
      <c r="OLD188" s="84"/>
      <c r="OLE188" s="84"/>
      <c r="OLF188" s="84"/>
      <c r="OLG188" s="84"/>
      <c r="OLH188" s="84"/>
      <c r="OLI188" s="84"/>
      <c r="OLJ188" s="84"/>
      <c r="OLK188" s="84"/>
      <c r="OLL188" s="84"/>
      <c r="OLM188" s="84"/>
      <c r="OLN188" s="84"/>
      <c r="OLO188" s="84"/>
      <c r="OLP188" s="84"/>
      <c r="OLQ188" s="84"/>
      <c r="OLR188" s="84"/>
      <c r="OLS188" s="84"/>
      <c r="OLT188" s="84"/>
      <c r="OLU188" s="84"/>
      <c r="OLV188" s="84"/>
      <c r="OLW188" s="84"/>
      <c r="OLX188" s="84"/>
      <c r="OLY188" s="84"/>
      <c r="OLZ188" s="84"/>
      <c r="OMA188" s="84"/>
      <c r="OMB188" s="84"/>
      <c r="OMC188" s="84"/>
      <c r="OMD188" s="84"/>
      <c r="OME188" s="84"/>
      <c r="OMF188" s="84"/>
      <c r="OMG188" s="84"/>
      <c r="OMH188" s="84"/>
      <c r="OMI188" s="84"/>
      <c r="OMJ188" s="84"/>
      <c r="OMK188" s="84"/>
      <c r="OML188" s="84"/>
      <c r="OMM188" s="84"/>
      <c r="OMN188" s="84"/>
      <c r="OMO188" s="84"/>
      <c r="OMP188" s="84"/>
      <c r="OMQ188" s="84"/>
      <c r="OMR188" s="84"/>
      <c r="OMS188" s="84"/>
      <c r="OMT188" s="84"/>
      <c r="OMU188" s="84"/>
      <c r="OMV188" s="84"/>
      <c r="OMW188" s="84"/>
      <c r="OMX188" s="84"/>
      <c r="OMY188" s="84"/>
      <c r="OMZ188" s="84"/>
      <c r="ONA188" s="84"/>
      <c r="ONB188" s="84"/>
      <c r="ONC188" s="84"/>
      <c r="OND188" s="84"/>
      <c r="ONE188" s="84"/>
      <c r="ONF188" s="84"/>
      <c r="ONG188" s="84"/>
      <c r="ONH188" s="84"/>
      <c r="ONI188" s="84"/>
      <c r="ONJ188" s="84"/>
      <c r="ONK188" s="84"/>
      <c r="ONL188" s="84"/>
      <c r="ONM188" s="84"/>
      <c r="ONN188" s="84"/>
      <c r="ONO188" s="84"/>
      <c r="ONP188" s="84"/>
      <c r="ONQ188" s="84"/>
      <c r="ONR188" s="84"/>
      <c r="ONS188" s="84"/>
      <c r="ONT188" s="84"/>
      <c r="ONU188" s="84"/>
      <c r="ONV188" s="84"/>
      <c r="ONW188" s="84"/>
      <c r="ONX188" s="84"/>
      <c r="ONY188" s="84"/>
      <c r="ONZ188" s="84"/>
      <c r="OOA188" s="84"/>
      <c r="OOB188" s="84"/>
      <c r="OOC188" s="84"/>
      <c r="OOD188" s="84"/>
      <c r="OOE188" s="84"/>
      <c r="OOF188" s="84"/>
      <c r="OOG188" s="84"/>
      <c r="OOH188" s="84"/>
      <c r="OOI188" s="84"/>
      <c r="OOJ188" s="84"/>
      <c r="OOK188" s="84"/>
      <c r="OOL188" s="84"/>
      <c r="OOM188" s="84"/>
      <c r="OON188" s="84"/>
      <c r="OOO188" s="84"/>
      <c r="OOP188" s="84"/>
      <c r="OOQ188" s="84"/>
      <c r="OOR188" s="84"/>
      <c r="OOS188" s="84"/>
      <c r="OOT188" s="84"/>
      <c r="OOU188" s="84"/>
      <c r="OOV188" s="84"/>
      <c r="OOW188" s="84"/>
      <c r="OOX188" s="84"/>
      <c r="OOY188" s="84"/>
      <c r="OOZ188" s="84"/>
      <c r="OPA188" s="84"/>
      <c r="OPB188" s="84"/>
      <c r="OPC188" s="84"/>
      <c r="OPD188" s="84"/>
      <c r="OPE188" s="84"/>
      <c r="OPF188" s="84"/>
      <c r="OPG188" s="84"/>
      <c r="OPH188" s="84"/>
      <c r="OPI188" s="84"/>
      <c r="OPJ188" s="84"/>
      <c r="OPK188" s="84"/>
      <c r="OPL188" s="84"/>
      <c r="OPM188" s="84"/>
      <c r="OPN188" s="84"/>
      <c r="OPO188" s="84"/>
      <c r="OPP188" s="84"/>
      <c r="OPQ188" s="84"/>
      <c r="OPR188" s="84"/>
      <c r="OPS188" s="84"/>
      <c r="OPT188" s="84"/>
      <c r="OPU188" s="84"/>
      <c r="OPV188" s="84"/>
      <c r="OPW188" s="84"/>
      <c r="OPX188" s="84"/>
      <c r="OPY188" s="84"/>
      <c r="OPZ188" s="84"/>
      <c r="OQA188" s="84"/>
      <c r="OQB188" s="84"/>
      <c r="OQC188" s="84"/>
      <c r="OQD188" s="84"/>
      <c r="OQE188" s="84"/>
      <c r="OQF188" s="84"/>
      <c r="OQG188" s="84"/>
      <c r="OQH188" s="84"/>
      <c r="OQI188" s="84"/>
      <c r="OQJ188" s="84"/>
      <c r="OQK188" s="84"/>
      <c r="OQL188" s="84"/>
      <c r="OQM188" s="84"/>
      <c r="OQN188" s="84"/>
      <c r="OQO188" s="84"/>
      <c r="OQP188" s="84"/>
      <c r="OQQ188" s="84"/>
      <c r="OQR188" s="84"/>
      <c r="OQS188" s="84"/>
      <c r="OQT188" s="84"/>
      <c r="OQU188" s="84"/>
      <c r="OQV188" s="84"/>
      <c r="OQW188" s="84"/>
      <c r="OQX188" s="84"/>
      <c r="OQY188" s="84"/>
      <c r="OQZ188" s="84"/>
      <c r="ORA188" s="84"/>
      <c r="ORB188" s="84"/>
      <c r="ORC188" s="84"/>
      <c r="ORD188" s="84"/>
      <c r="ORE188" s="84"/>
      <c r="ORF188" s="84"/>
      <c r="ORG188" s="84"/>
      <c r="ORH188" s="84"/>
      <c r="ORI188" s="84"/>
      <c r="ORJ188" s="84"/>
      <c r="ORK188" s="84"/>
      <c r="ORL188" s="84"/>
      <c r="ORM188" s="84"/>
      <c r="ORN188" s="84"/>
      <c r="ORO188" s="84"/>
      <c r="ORP188" s="84"/>
      <c r="ORQ188" s="84"/>
      <c r="ORR188" s="84"/>
      <c r="ORS188" s="84"/>
      <c r="ORT188" s="84"/>
      <c r="ORU188" s="84"/>
      <c r="ORV188" s="84"/>
      <c r="ORW188" s="84"/>
      <c r="ORX188" s="84"/>
      <c r="ORY188" s="84"/>
      <c r="ORZ188" s="84"/>
      <c r="OSA188" s="84"/>
      <c r="OSB188" s="84"/>
      <c r="OSC188" s="84"/>
      <c r="OSD188" s="84"/>
      <c r="OSE188" s="84"/>
      <c r="OSF188" s="84"/>
      <c r="OSG188" s="84"/>
      <c r="OSH188" s="84"/>
      <c r="OSI188" s="84"/>
      <c r="OSJ188" s="84"/>
      <c r="OSK188" s="84"/>
      <c r="OSL188" s="84"/>
      <c r="OSM188" s="84"/>
      <c r="OSN188" s="84"/>
      <c r="OSO188" s="84"/>
      <c r="OSP188" s="84"/>
      <c r="OSQ188" s="84"/>
      <c r="OSR188" s="84"/>
      <c r="OSS188" s="84"/>
      <c r="OST188" s="84"/>
      <c r="OSU188" s="84"/>
      <c r="OSV188" s="84"/>
      <c r="OSW188" s="84"/>
      <c r="OSX188" s="84"/>
      <c r="OSY188" s="84"/>
      <c r="OSZ188" s="84"/>
      <c r="OTA188" s="84"/>
      <c r="OTB188" s="84"/>
      <c r="OTC188" s="84"/>
      <c r="OTD188" s="84"/>
      <c r="OTE188" s="84"/>
      <c r="OTF188" s="84"/>
      <c r="OTG188" s="84"/>
      <c r="OTH188" s="84"/>
      <c r="OTI188" s="84"/>
      <c r="OTJ188" s="84"/>
      <c r="OTK188" s="84"/>
      <c r="OTL188" s="84"/>
      <c r="OTM188" s="84"/>
      <c r="OTN188" s="84"/>
      <c r="OTO188" s="84"/>
      <c r="OTP188" s="84"/>
      <c r="OTQ188" s="84"/>
      <c r="OTR188" s="84"/>
      <c r="OTS188" s="84"/>
      <c r="OTT188" s="84"/>
      <c r="OTU188" s="84"/>
      <c r="OTV188" s="84"/>
      <c r="OTW188" s="84"/>
      <c r="OTX188" s="84"/>
      <c r="OTY188" s="84"/>
      <c r="OTZ188" s="84"/>
      <c r="OUA188" s="84"/>
      <c r="OUB188" s="84"/>
      <c r="OUC188" s="84"/>
      <c r="OUD188" s="84"/>
      <c r="OUE188" s="84"/>
      <c r="OUF188" s="84"/>
      <c r="OUG188" s="84"/>
      <c r="OUH188" s="84"/>
      <c r="OUI188" s="84"/>
      <c r="OUJ188" s="84"/>
      <c r="OUK188" s="84"/>
      <c r="OUL188" s="84"/>
      <c r="OUM188" s="84"/>
      <c r="OUN188" s="84"/>
      <c r="OUO188" s="84"/>
      <c r="OUP188" s="84"/>
      <c r="OUQ188" s="84"/>
      <c r="OUR188" s="84"/>
      <c r="OUS188" s="84"/>
      <c r="OUT188" s="84"/>
      <c r="OUU188" s="84"/>
      <c r="OUV188" s="84"/>
      <c r="OUW188" s="84"/>
      <c r="OUX188" s="84"/>
      <c r="OUY188" s="84"/>
      <c r="OUZ188" s="84"/>
      <c r="OVA188" s="84"/>
      <c r="OVB188" s="84"/>
      <c r="OVC188" s="84"/>
      <c r="OVD188" s="84"/>
      <c r="OVE188" s="84"/>
      <c r="OVF188" s="84"/>
      <c r="OVG188" s="84"/>
      <c r="OVH188" s="84"/>
      <c r="OVI188" s="84"/>
      <c r="OVJ188" s="84"/>
      <c r="OVK188" s="84"/>
      <c r="OVL188" s="84"/>
      <c r="OVM188" s="84"/>
      <c r="OVN188" s="84"/>
      <c r="OVO188" s="84"/>
      <c r="OVP188" s="84"/>
      <c r="OVQ188" s="84"/>
      <c r="OVR188" s="84"/>
      <c r="OVS188" s="84"/>
      <c r="OVT188" s="84"/>
      <c r="OVU188" s="84"/>
      <c r="OVV188" s="84"/>
      <c r="OVW188" s="84"/>
      <c r="OVX188" s="84"/>
      <c r="OVY188" s="84"/>
      <c r="OVZ188" s="84"/>
      <c r="OWA188" s="84"/>
      <c r="OWB188" s="84"/>
      <c r="OWC188" s="84"/>
      <c r="OWD188" s="84"/>
      <c r="OWE188" s="84"/>
      <c r="OWF188" s="84"/>
      <c r="OWG188" s="84"/>
      <c r="OWH188" s="84"/>
      <c r="OWI188" s="84"/>
      <c r="OWJ188" s="84"/>
      <c r="OWK188" s="84"/>
      <c r="OWL188" s="84"/>
      <c r="OWM188" s="84"/>
      <c r="OWN188" s="84"/>
      <c r="OWO188" s="84"/>
      <c r="OWP188" s="84"/>
      <c r="OWQ188" s="84"/>
      <c r="OWR188" s="84"/>
      <c r="OWS188" s="84"/>
      <c r="OWT188" s="84"/>
      <c r="OWU188" s="84"/>
      <c r="OWV188" s="84"/>
      <c r="OWW188" s="84"/>
      <c r="OWX188" s="84"/>
      <c r="OWY188" s="84"/>
      <c r="OWZ188" s="84"/>
      <c r="OXA188" s="84"/>
      <c r="OXB188" s="84"/>
      <c r="OXC188" s="84"/>
      <c r="OXD188" s="84"/>
      <c r="OXE188" s="84"/>
      <c r="OXF188" s="84"/>
      <c r="OXG188" s="84"/>
      <c r="OXH188" s="84"/>
      <c r="OXI188" s="84"/>
      <c r="OXJ188" s="84"/>
      <c r="OXK188" s="84"/>
      <c r="OXL188" s="84"/>
      <c r="OXM188" s="84"/>
      <c r="OXN188" s="84"/>
      <c r="OXO188" s="84"/>
      <c r="OXP188" s="84"/>
      <c r="OXQ188" s="84"/>
      <c r="OXR188" s="84"/>
      <c r="OXS188" s="84"/>
      <c r="OXT188" s="84"/>
      <c r="OXU188" s="84"/>
      <c r="OXV188" s="84"/>
      <c r="OXW188" s="84"/>
      <c r="OXX188" s="84"/>
      <c r="OXY188" s="84"/>
      <c r="OXZ188" s="84"/>
      <c r="OYA188" s="84"/>
      <c r="OYB188" s="84"/>
      <c r="OYC188" s="84"/>
      <c r="OYD188" s="84"/>
      <c r="OYE188" s="84"/>
      <c r="OYF188" s="84"/>
      <c r="OYG188" s="84"/>
      <c r="OYH188" s="84"/>
      <c r="OYI188" s="84"/>
      <c r="OYJ188" s="84"/>
      <c r="OYK188" s="84"/>
      <c r="OYL188" s="84"/>
      <c r="OYM188" s="84"/>
      <c r="OYN188" s="84"/>
      <c r="OYO188" s="84"/>
      <c r="OYP188" s="84"/>
      <c r="OYQ188" s="84"/>
      <c r="OYR188" s="84"/>
      <c r="OYS188" s="84"/>
      <c r="OYT188" s="84"/>
      <c r="OYU188" s="84"/>
      <c r="OYV188" s="84"/>
      <c r="OYW188" s="84"/>
      <c r="OYX188" s="84"/>
      <c r="OYY188" s="84"/>
      <c r="OYZ188" s="84"/>
      <c r="OZA188" s="84"/>
      <c r="OZB188" s="84"/>
      <c r="OZC188" s="84"/>
      <c r="OZD188" s="84"/>
      <c r="OZE188" s="84"/>
      <c r="OZF188" s="84"/>
      <c r="OZG188" s="84"/>
      <c r="OZH188" s="84"/>
      <c r="OZI188" s="84"/>
      <c r="OZJ188" s="84"/>
      <c r="OZK188" s="84"/>
      <c r="OZL188" s="84"/>
      <c r="OZM188" s="84"/>
      <c r="OZN188" s="84"/>
      <c r="OZO188" s="84"/>
      <c r="OZP188" s="84"/>
      <c r="OZQ188" s="84"/>
      <c r="OZR188" s="84"/>
      <c r="OZS188" s="84"/>
      <c r="OZT188" s="84"/>
      <c r="OZU188" s="84"/>
      <c r="OZV188" s="84"/>
      <c r="OZW188" s="84"/>
      <c r="OZX188" s="84"/>
      <c r="OZY188" s="84"/>
      <c r="OZZ188" s="84"/>
      <c r="PAA188" s="84"/>
      <c r="PAB188" s="84"/>
      <c r="PAC188" s="84"/>
      <c r="PAD188" s="84"/>
      <c r="PAE188" s="84"/>
      <c r="PAF188" s="84"/>
      <c r="PAG188" s="84"/>
      <c r="PAH188" s="84"/>
      <c r="PAI188" s="84"/>
      <c r="PAJ188" s="84"/>
      <c r="PAK188" s="84"/>
      <c r="PAL188" s="84"/>
      <c r="PAM188" s="84"/>
      <c r="PAN188" s="84"/>
      <c r="PAO188" s="84"/>
      <c r="PAP188" s="84"/>
      <c r="PAQ188" s="84"/>
      <c r="PAR188" s="84"/>
      <c r="PAS188" s="84"/>
      <c r="PAT188" s="84"/>
      <c r="PAU188" s="84"/>
      <c r="PAV188" s="84"/>
      <c r="PAW188" s="84"/>
      <c r="PAX188" s="84"/>
      <c r="PAY188" s="84"/>
      <c r="PAZ188" s="84"/>
      <c r="PBA188" s="84"/>
      <c r="PBB188" s="84"/>
      <c r="PBC188" s="84"/>
      <c r="PBD188" s="84"/>
      <c r="PBE188" s="84"/>
      <c r="PBF188" s="84"/>
      <c r="PBG188" s="84"/>
      <c r="PBH188" s="84"/>
      <c r="PBI188" s="84"/>
      <c r="PBJ188" s="84"/>
      <c r="PBK188" s="84"/>
      <c r="PBL188" s="84"/>
      <c r="PBM188" s="84"/>
      <c r="PBN188" s="84"/>
      <c r="PBO188" s="84"/>
      <c r="PBP188" s="84"/>
      <c r="PBQ188" s="84"/>
      <c r="PBR188" s="84"/>
      <c r="PBS188" s="84"/>
      <c r="PBT188" s="84"/>
      <c r="PBU188" s="84"/>
      <c r="PBV188" s="84"/>
      <c r="PBW188" s="84"/>
      <c r="PBX188" s="84"/>
      <c r="PBY188" s="84"/>
      <c r="PBZ188" s="84"/>
      <c r="PCA188" s="84"/>
      <c r="PCB188" s="84"/>
      <c r="PCC188" s="84"/>
      <c r="PCD188" s="84"/>
      <c r="PCE188" s="84"/>
      <c r="PCF188" s="84"/>
      <c r="PCG188" s="84"/>
      <c r="PCH188" s="84"/>
      <c r="PCI188" s="84"/>
      <c r="PCJ188" s="84"/>
      <c r="PCK188" s="84"/>
      <c r="PCL188" s="84"/>
      <c r="PCM188" s="84"/>
      <c r="PCN188" s="84"/>
      <c r="PCO188" s="84"/>
      <c r="PCP188" s="84"/>
      <c r="PCQ188" s="84"/>
      <c r="PCR188" s="84"/>
      <c r="PCS188" s="84"/>
      <c r="PCT188" s="84"/>
      <c r="PCU188" s="84"/>
      <c r="PCV188" s="84"/>
      <c r="PCW188" s="84"/>
      <c r="PCX188" s="84"/>
      <c r="PCY188" s="84"/>
      <c r="PCZ188" s="84"/>
      <c r="PDA188" s="84"/>
      <c r="PDB188" s="84"/>
      <c r="PDC188" s="84"/>
      <c r="PDD188" s="84"/>
      <c r="PDE188" s="84"/>
      <c r="PDF188" s="84"/>
      <c r="PDG188" s="84"/>
      <c r="PDH188" s="84"/>
      <c r="PDI188" s="84"/>
      <c r="PDJ188" s="84"/>
      <c r="PDK188" s="84"/>
      <c r="PDL188" s="84"/>
      <c r="PDM188" s="84"/>
      <c r="PDN188" s="84"/>
      <c r="PDO188" s="84"/>
      <c r="PDP188" s="84"/>
      <c r="PDQ188" s="84"/>
      <c r="PDR188" s="84"/>
      <c r="PDS188" s="84"/>
      <c r="PDT188" s="84"/>
      <c r="PDU188" s="84"/>
      <c r="PDV188" s="84"/>
      <c r="PDW188" s="84"/>
      <c r="PDX188" s="84"/>
      <c r="PDY188" s="84"/>
      <c r="PDZ188" s="84"/>
      <c r="PEA188" s="84"/>
      <c r="PEB188" s="84"/>
      <c r="PEC188" s="84"/>
      <c r="PED188" s="84"/>
      <c r="PEE188" s="84"/>
      <c r="PEF188" s="84"/>
      <c r="PEG188" s="84"/>
      <c r="PEH188" s="84"/>
      <c r="PEI188" s="84"/>
      <c r="PEJ188" s="84"/>
      <c r="PEK188" s="84"/>
      <c r="PEL188" s="84"/>
      <c r="PEM188" s="84"/>
      <c r="PEN188" s="84"/>
      <c r="PEO188" s="84"/>
      <c r="PEP188" s="84"/>
      <c r="PEQ188" s="84"/>
      <c r="PER188" s="84"/>
      <c r="PES188" s="84"/>
      <c r="PET188" s="84"/>
      <c r="PEU188" s="84"/>
      <c r="PEV188" s="84"/>
      <c r="PEW188" s="84"/>
      <c r="PEX188" s="84"/>
      <c r="PEY188" s="84"/>
      <c r="PEZ188" s="84"/>
      <c r="PFA188" s="84"/>
      <c r="PFB188" s="84"/>
      <c r="PFC188" s="84"/>
      <c r="PFD188" s="84"/>
      <c r="PFE188" s="84"/>
      <c r="PFF188" s="84"/>
      <c r="PFG188" s="84"/>
      <c r="PFH188" s="84"/>
      <c r="PFI188" s="84"/>
      <c r="PFJ188" s="84"/>
      <c r="PFK188" s="84"/>
      <c r="PFL188" s="84"/>
      <c r="PFM188" s="84"/>
      <c r="PFN188" s="84"/>
      <c r="PFO188" s="84"/>
      <c r="PFP188" s="84"/>
      <c r="PFQ188" s="84"/>
      <c r="PFR188" s="84"/>
      <c r="PFS188" s="84"/>
      <c r="PFT188" s="84"/>
      <c r="PFU188" s="84"/>
      <c r="PFV188" s="84"/>
      <c r="PFW188" s="84"/>
      <c r="PFX188" s="84"/>
      <c r="PFY188" s="84"/>
      <c r="PFZ188" s="84"/>
      <c r="PGA188" s="84"/>
      <c r="PGB188" s="84"/>
      <c r="PGC188" s="84"/>
      <c r="PGD188" s="84"/>
      <c r="PGE188" s="84"/>
      <c r="PGF188" s="84"/>
      <c r="PGG188" s="84"/>
      <c r="PGH188" s="84"/>
      <c r="PGI188" s="84"/>
      <c r="PGJ188" s="84"/>
      <c r="PGK188" s="84"/>
      <c r="PGL188" s="84"/>
      <c r="PGM188" s="84"/>
      <c r="PGN188" s="84"/>
      <c r="PGO188" s="84"/>
      <c r="PGP188" s="84"/>
      <c r="PGQ188" s="84"/>
      <c r="PGR188" s="84"/>
      <c r="PGS188" s="84"/>
      <c r="PGT188" s="84"/>
      <c r="PGU188" s="84"/>
      <c r="PGV188" s="84"/>
      <c r="PGW188" s="84"/>
      <c r="PGX188" s="84"/>
      <c r="PGY188" s="84"/>
      <c r="PGZ188" s="84"/>
      <c r="PHA188" s="84"/>
      <c r="PHB188" s="84"/>
      <c r="PHC188" s="84"/>
      <c r="PHD188" s="84"/>
      <c r="PHE188" s="84"/>
      <c r="PHF188" s="84"/>
      <c r="PHG188" s="84"/>
      <c r="PHH188" s="84"/>
      <c r="PHI188" s="84"/>
      <c r="PHJ188" s="84"/>
      <c r="PHK188" s="84"/>
      <c r="PHL188" s="84"/>
      <c r="PHM188" s="84"/>
      <c r="PHN188" s="84"/>
      <c r="PHO188" s="84"/>
      <c r="PHP188" s="84"/>
      <c r="PHQ188" s="84"/>
      <c r="PHR188" s="84"/>
      <c r="PHS188" s="84"/>
      <c r="PHT188" s="84"/>
      <c r="PHU188" s="84"/>
      <c r="PHV188" s="84"/>
      <c r="PHW188" s="84"/>
      <c r="PHX188" s="84"/>
      <c r="PHY188" s="84"/>
      <c r="PHZ188" s="84"/>
      <c r="PIA188" s="84"/>
      <c r="PIB188" s="84"/>
      <c r="PIC188" s="84"/>
      <c r="PID188" s="84"/>
      <c r="PIE188" s="84"/>
      <c r="PIF188" s="84"/>
      <c r="PIG188" s="84"/>
      <c r="PIH188" s="84"/>
      <c r="PII188" s="84"/>
      <c r="PIJ188" s="84"/>
      <c r="PIK188" s="84"/>
      <c r="PIL188" s="84"/>
      <c r="PIM188" s="84"/>
      <c r="PIN188" s="84"/>
      <c r="PIO188" s="84"/>
      <c r="PIP188" s="84"/>
      <c r="PIQ188" s="84"/>
      <c r="PIR188" s="84"/>
      <c r="PIS188" s="84"/>
      <c r="PIT188" s="84"/>
      <c r="PIU188" s="84"/>
      <c r="PIV188" s="84"/>
      <c r="PIW188" s="84"/>
      <c r="PIX188" s="84"/>
      <c r="PIY188" s="84"/>
      <c r="PIZ188" s="84"/>
      <c r="PJA188" s="84"/>
      <c r="PJB188" s="84"/>
      <c r="PJC188" s="84"/>
      <c r="PJD188" s="84"/>
      <c r="PJE188" s="84"/>
      <c r="PJF188" s="84"/>
      <c r="PJG188" s="84"/>
      <c r="PJH188" s="84"/>
      <c r="PJI188" s="84"/>
      <c r="PJJ188" s="84"/>
      <c r="PJK188" s="84"/>
      <c r="PJL188" s="84"/>
      <c r="PJM188" s="84"/>
      <c r="PJN188" s="84"/>
      <c r="PJO188" s="84"/>
      <c r="PJP188" s="84"/>
      <c r="PJQ188" s="84"/>
      <c r="PJR188" s="84"/>
      <c r="PJS188" s="84"/>
      <c r="PJT188" s="84"/>
      <c r="PJU188" s="84"/>
      <c r="PJV188" s="84"/>
      <c r="PJW188" s="84"/>
      <c r="PJX188" s="84"/>
      <c r="PJY188" s="84"/>
      <c r="PJZ188" s="84"/>
      <c r="PKA188" s="84"/>
      <c r="PKB188" s="84"/>
      <c r="PKC188" s="84"/>
      <c r="PKD188" s="84"/>
      <c r="PKE188" s="84"/>
      <c r="PKF188" s="84"/>
      <c r="PKG188" s="84"/>
      <c r="PKH188" s="84"/>
      <c r="PKI188" s="84"/>
      <c r="PKJ188" s="84"/>
      <c r="PKK188" s="84"/>
      <c r="PKL188" s="84"/>
      <c r="PKM188" s="84"/>
      <c r="PKN188" s="84"/>
      <c r="PKO188" s="84"/>
      <c r="PKP188" s="84"/>
      <c r="PKQ188" s="84"/>
      <c r="PKR188" s="84"/>
      <c r="PKS188" s="84"/>
      <c r="PKT188" s="84"/>
      <c r="PKU188" s="84"/>
      <c r="PKV188" s="84"/>
      <c r="PKW188" s="84"/>
      <c r="PKX188" s="84"/>
      <c r="PKY188" s="84"/>
      <c r="PKZ188" s="84"/>
      <c r="PLA188" s="84"/>
      <c r="PLB188" s="84"/>
      <c r="PLC188" s="84"/>
      <c r="PLD188" s="84"/>
      <c r="PLE188" s="84"/>
      <c r="PLF188" s="84"/>
      <c r="PLG188" s="84"/>
      <c r="PLH188" s="84"/>
      <c r="PLI188" s="84"/>
      <c r="PLJ188" s="84"/>
      <c r="PLK188" s="84"/>
      <c r="PLL188" s="84"/>
      <c r="PLM188" s="84"/>
      <c r="PLN188" s="84"/>
      <c r="PLO188" s="84"/>
      <c r="PLP188" s="84"/>
      <c r="PLQ188" s="84"/>
      <c r="PLR188" s="84"/>
      <c r="PLS188" s="84"/>
      <c r="PLT188" s="84"/>
      <c r="PLU188" s="84"/>
      <c r="PLV188" s="84"/>
      <c r="PLW188" s="84"/>
      <c r="PLX188" s="84"/>
      <c r="PLY188" s="84"/>
      <c r="PLZ188" s="84"/>
      <c r="PMA188" s="84"/>
      <c r="PMB188" s="84"/>
      <c r="PMC188" s="84"/>
      <c r="PMD188" s="84"/>
      <c r="PME188" s="84"/>
      <c r="PMF188" s="84"/>
      <c r="PMG188" s="84"/>
      <c r="PMH188" s="84"/>
      <c r="PMI188" s="84"/>
      <c r="PMJ188" s="84"/>
      <c r="PMK188" s="84"/>
      <c r="PML188" s="84"/>
      <c r="PMM188" s="84"/>
      <c r="PMN188" s="84"/>
      <c r="PMO188" s="84"/>
      <c r="PMP188" s="84"/>
      <c r="PMQ188" s="84"/>
      <c r="PMR188" s="84"/>
      <c r="PMS188" s="84"/>
      <c r="PMT188" s="84"/>
      <c r="PMU188" s="84"/>
      <c r="PMV188" s="84"/>
      <c r="PMW188" s="84"/>
      <c r="PMX188" s="84"/>
      <c r="PMY188" s="84"/>
      <c r="PMZ188" s="84"/>
      <c r="PNA188" s="84"/>
      <c r="PNB188" s="84"/>
      <c r="PNC188" s="84"/>
      <c r="PND188" s="84"/>
      <c r="PNE188" s="84"/>
      <c r="PNF188" s="84"/>
      <c r="PNG188" s="84"/>
      <c r="PNH188" s="84"/>
      <c r="PNI188" s="84"/>
      <c r="PNJ188" s="84"/>
      <c r="PNK188" s="84"/>
      <c r="PNL188" s="84"/>
      <c r="PNM188" s="84"/>
      <c r="PNN188" s="84"/>
      <c r="PNO188" s="84"/>
      <c r="PNP188" s="84"/>
      <c r="PNQ188" s="84"/>
      <c r="PNR188" s="84"/>
      <c r="PNS188" s="84"/>
      <c r="PNT188" s="84"/>
      <c r="PNU188" s="84"/>
      <c r="PNV188" s="84"/>
      <c r="PNW188" s="84"/>
      <c r="PNX188" s="84"/>
      <c r="PNY188" s="84"/>
      <c r="PNZ188" s="84"/>
      <c r="POA188" s="84"/>
      <c r="POB188" s="84"/>
      <c r="POC188" s="84"/>
      <c r="POD188" s="84"/>
      <c r="POE188" s="84"/>
      <c r="POF188" s="84"/>
      <c r="POG188" s="84"/>
      <c r="POH188" s="84"/>
      <c r="POI188" s="84"/>
      <c r="POJ188" s="84"/>
      <c r="POK188" s="84"/>
      <c r="POL188" s="84"/>
      <c r="POM188" s="84"/>
      <c r="PON188" s="84"/>
      <c r="POO188" s="84"/>
      <c r="POP188" s="84"/>
      <c r="POQ188" s="84"/>
      <c r="POR188" s="84"/>
      <c r="POS188" s="84"/>
      <c r="POT188" s="84"/>
      <c r="POU188" s="84"/>
      <c r="POV188" s="84"/>
      <c r="POW188" s="84"/>
      <c r="POX188" s="84"/>
      <c r="POY188" s="84"/>
      <c r="POZ188" s="84"/>
      <c r="PPA188" s="84"/>
      <c r="PPB188" s="84"/>
      <c r="PPC188" s="84"/>
      <c r="PPD188" s="84"/>
      <c r="PPE188" s="84"/>
      <c r="PPF188" s="84"/>
      <c r="PPG188" s="84"/>
      <c r="PPH188" s="84"/>
      <c r="PPI188" s="84"/>
      <c r="PPJ188" s="84"/>
      <c r="PPK188" s="84"/>
      <c r="PPL188" s="84"/>
      <c r="PPM188" s="84"/>
      <c r="PPN188" s="84"/>
      <c r="PPO188" s="84"/>
      <c r="PPP188" s="84"/>
      <c r="PPQ188" s="84"/>
      <c r="PPR188" s="84"/>
      <c r="PPS188" s="84"/>
      <c r="PPT188" s="84"/>
      <c r="PPU188" s="84"/>
      <c r="PPV188" s="84"/>
      <c r="PPW188" s="84"/>
      <c r="PPX188" s="84"/>
      <c r="PPY188" s="84"/>
      <c r="PPZ188" s="84"/>
      <c r="PQA188" s="84"/>
      <c r="PQB188" s="84"/>
      <c r="PQC188" s="84"/>
      <c r="PQD188" s="84"/>
      <c r="PQE188" s="84"/>
      <c r="PQF188" s="84"/>
      <c r="PQG188" s="84"/>
      <c r="PQH188" s="84"/>
      <c r="PQI188" s="84"/>
      <c r="PQJ188" s="84"/>
      <c r="PQK188" s="84"/>
      <c r="PQL188" s="84"/>
      <c r="PQM188" s="84"/>
      <c r="PQN188" s="84"/>
      <c r="PQO188" s="84"/>
      <c r="PQP188" s="84"/>
      <c r="PQQ188" s="84"/>
      <c r="PQR188" s="84"/>
      <c r="PQS188" s="84"/>
      <c r="PQT188" s="84"/>
      <c r="PQU188" s="84"/>
      <c r="PQV188" s="84"/>
      <c r="PQW188" s="84"/>
      <c r="PQX188" s="84"/>
      <c r="PQY188" s="84"/>
      <c r="PQZ188" s="84"/>
      <c r="PRA188" s="84"/>
      <c r="PRB188" s="84"/>
      <c r="PRC188" s="84"/>
      <c r="PRD188" s="84"/>
      <c r="PRE188" s="84"/>
      <c r="PRF188" s="84"/>
      <c r="PRG188" s="84"/>
      <c r="PRH188" s="84"/>
      <c r="PRI188" s="84"/>
      <c r="PRJ188" s="84"/>
      <c r="PRK188" s="84"/>
      <c r="PRL188" s="84"/>
      <c r="PRM188" s="84"/>
      <c r="PRN188" s="84"/>
      <c r="PRO188" s="84"/>
      <c r="PRP188" s="84"/>
      <c r="PRQ188" s="84"/>
      <c r="PRR188" s="84"/>
      <c r="PRS188" s="84"/>
      <c r="PRT188" s="84"/>
      <c r="PRU188" s="84"/>
      <c r="PRV188" s="84"/>
      <c r="PRW188" s="84"/>
      <c r="PRX188" s="84"/>
      <c r="PRY188" s="84"/>
      <c r="PRZ188" s="84"/>
      <c r="PSA188" s="84"/>
      <c r="PSB188" s="84"/>
      <c r="PSC188" s="84"/>
      <c r="PSD188" s="84"/>
      <c r="PSE188" s="84"/>
      <c r="PSF188" s="84"/>
      <c r="PSG188" s="84"/>
      <c r="PSH188" s="84"/>
      <c r="PSI188" s="84"/>
      <c r="PSJ188" s="84"/>
      <c r="PSK188" s="84"/>
      <c r="PSL188" s="84"/>
      <c r="PSM188" s="84"/>
      <c r="PSN188" s="84"/>
      <c r="PSO188" s="84"/>
      <c r="PSP188" s="84"/>
      <c r="PSQ188" s="84"/>
      <c r="PSR188" s="84"/>
      <c r="PSS188" s="84"/>
      <c r="PST188" s="84"/>
      <c r="PSU188" s="84"/>
      <c r="PSV188" s="84"/>
      <c r="PSW188" s="84"/>
      <c r="PSX188" s="84"/>
      <c r="PSY188" s="84"/>
      <c r="PSZ188" s="84"/>
      <c r="PTA188" s="84"/>
      <c r="PTB188" s="84"/>
      <c r="PTC188" s="84"/>
      <c r="PTD188" s="84"/>
      <c r="PTE188" s="84"/>
      <c r="PTF188" s="84"/>
      <c r="PTG188" s="84"/>
      <c r="PTH188" s="84"/>
      <c r="PTI188" s="84"/>
      <c r="PTJ188" s="84"/>
      <c r="PTK188" s="84"/>
      <c r="PTL188" s="84"/>
      <c r="PTM188" s="84"/>
      <c r="PTN188" s="84"/>
      <c r="PTO188" s="84"/>
      <c r="PTP188" s="84"/>
      <c r="PTQ188" s="84"/>
      <c r="PTR188" s="84"/>
      <c r="PTS188" s="84"/>
      <c r="PTT188" s="84"/>
      <c r="PTU188" s="84"/>
      <c r="PTV188" s="84"/>
      <c r="PTW188" s="84"/>
      <c r="PTX188" s="84"/>
      <c r="PTY188" s="84"/>
      <c r="PTZ188" s="84"/>
      <c r="PUA188" s="84"/>
      <c r="PUB188" s="84"/>
      <c r="PUC188" s="84"/>
      <c r="PUD188" s="84"/>
      <c r="PUE188" s="84"/>
      <c r="PUF188" s="84"/>
      <c r="PUG188" s="84"/>
      <c r="PUH188" s="84"/>
      <c r="PUI188" s="84"/>
      <c r="PUJ188" s="84"/>
      <c r="PUK188" s="84"/>
      <c r="PUL188" s="84"/>
      <c r="PUM188" s="84"/>
      <c r="PUN188" s="84"/>
      <c r="PUO188" s="84"/>
      <c r="PUP188" s="84"/>
      <c r="PUQ188" s="84"/>
      <c r="PUR188" s="84"/>
      <c r="PUS188" s="84"/>
      <c r="PUT188" s="84"/>
      <c r="PUU188" s="84"/>
      <c r="PUV188" s="84"/>
      <c r="PUW188" s="84"/>
      <c r="PUX188" s="84"/>
      <c r="PUY188" s="84"/>
      <c r="PUZ188" s="84"/>
      <c r="PVA188" s="84"/>
      <c r="PVB188" s="84"/>
      <c r="PVC188" s="84"/>
      <c r="PVD188" s="84"/>
      <c r="PVE188" s="84"/>
      <c r="PVF188" s="84"/>
      <c r="PVG188" s="84"/>
      <c r="PVH188" s="84"/>
      <c r="PVI188" s="84"/>
      <c r="PVJ188" s="84"/>
      <c r="PVK188" s="84"/>
      <c r="PVL188" s="84"/>
      <c r="PVM188" s="84"/>
      <c r="PVN188" s="84"/>
      <c r="PVO188" s="84"/>
      <c r="PVP188" s="84"/>
      <c r="PVQ188" s="84"/>
      <c r="PVR188" s="84"/>
      <c r="PVS188" s="84"/>
      <c r="PVT188" s="84"/>
      <c r="PVU188" s="84"/>
      <c r="PVV188" s="84"/>
      <c r="PVW188" s="84"/>
      <c r="PVX188" s="84"/>
      <c r="PVY188" s="84"/>
      <c r="PVZ188" s="84"/>
      <c r="PWA188" s="84"/>
      <c r="PWB188" s="84"/>
      <c r="PWC188" s="84"/>
      <c r="PWD188" s="84"/>
      <c r="PWE188" s="84"/>
      <c r="PWF188" s="84"/>
      <c r="PWG188" s="84"/>
      <c r="PWH188" s="84"/>
      <c r="PWI188" s="84"/>
      <c r="PWJ188" s="84"/>
      <c r="PWK188" s="84"/>
      <c r="PWL188" s="84"/>
      <c r="PWM188" s="84"/>
      <c r="PWN188" s="84"/>
      <c r="PWO188" s="84"/>
      <c r="PWP188" s="84"/>
      <c r="PWQ188" s="84"/>
      <c r="PWR188" s="84"/>
      <c r="PWS188" s="84"/>
      <c r="PWT188" s="84"/>
      <c r="PWU188" s="84"/>
      <c r="PWV188" s="84"/>
      <c r="PWW188" s="84"/>
      <c r="PWX188" s="84"/>
      <c r="PWY188" s="84"/>
      <c r="PWZ188" s="84"/>
      <c r="PXA188" s="84"/>
      <c r="PXB188" s="84"/>
      <c r="PXC188" s="84"/>
      <c r="PXD188" s="84"/>
      <c r="PXE188" s="84"/>
      <c r="PXF188" s="84"/>
      <c r="PXG188" s="84"/>
      <c r="PXH188" s="84"/>
      <c r="PXI188" s="84"/>
      <c r="PXJ188" s="84"/>
      <c r="PXK188" s="84"/>
      <c r="PXL188" s="84"/>
      <c r="PXM188" s="84"/>
      <c r="PXN188" s="84"/>
      <c r="PXO188" s="84"/>
      <c r="PXP188" s="84"/>
      <c r="PXQ188" s="84"/>
      <c r="PXR188" s="84"/>
      <c r="PXS188" s="84"/>
      <c r="PXT188" s="84"/>
      <c r="PXU188" s="84"/>
      <c r="PXV188" s="84"/>
      <c r="PXW188" s="84"/>
      <c r="PXX188" s="84"/>
      <c r="PXY188" s="84"/>
      <c r="PXZ188" s="84"/>
      <c r="PYA188" s="84"/>
      <c r="PYB188" s="84"/>
      <c r="PYC188" s="84"/>
      <c r="PYD188" s="84"/>
      <c r="PYE188" s="84"/>
      <c r="PYF188" s="84"/>
      <c r="PYG188" s="84"/>
      <c r="PYH188" s="84"/>
      <c r="PYI188" s="84"/>
      <c r="PYJ188" s="84"/>
      <c r="PYK188" s="84"/>
      <c r="PYL188" s="84"/>
      <c r="PYM188" s="84"/>
      <c r="PYN188" s="84"/>
      <c r="PYO188" s="84"/>
      <c r="PYP188" s="84"/>
      <c r="PYQ188" s="84"/>
      <c r="PYR188" s="84"/>
      <c r="PYS188" s="84"/>
      <c r="PYT188" s="84"/>
      <c r="PYU188" s="84"/>
      <c r="PYV188" s="84"/>
      <c r="PYW188" s="84"/>
      <c r="PYX188" s="84"/>
      <c r="PYY188" s="84"/>
      <c r="PYZ188" s="84"/>
      <c r="PZA188" s="84"/>
      <c r="PZB188" s="84"/>
      <c r="PZC188" s="84"/>
      <c r="PZD188" s="84"/>
      <c r="PZE188" s="84"/>
      <c r="PZF188" s="84"/>
      <c r="PZG188" s="84"/>
      <c r="PZH188" s="84"/>
      <c r="PZI188" s="84"/>
      <c r="PZJ188" s="84"/>
      <c r="PZK188" s="84"/>
      <c r="PZL188" s="84"/>
      <c r="PZM188" s="84"/>
      <c r="PZN188" s="84"/>
      <c r="PZO188" s="84"/>
      <c r="PZP188" s="84"/>
      <c r="PZQ188" s="84"/>
      <c r="PZR188" s="84"/>
      <c r="PZS188" s="84"/>
      <c r="PZT188" s="84"/>
      <c r="PZU188" s="84"/>
      <c r="PZV188" s="84"/>
      <c r="PZW188" s="84"/>
      <c r="PZX188" s="84"/>
      <c r="PZY188" s="84"/>
      <c r="PZZ188" s="84"/>
      <c r="QAA188" s="84"/>
      <c r="QAB188" s="84"/>
      <c r="QAC188" s="84"/>
      <c r="QAD188" s="84"/>
      <c r="QAE188" s="84"/>
      <c r="QAF188" s="84"/>
      <c r="QAG188" s="84"/>
      <c r="QAH188" s="84"/>
      <c r="QAI188" s="84"/>
      <c r="QAJ188" s="84"/>
      <c r="QAK188" s="84"/>
      <c r="QAL188" s="84"/>
      <c r="QAM188" s="84"/>
      <c r="QAN188" s="84"/>
      <c r="QAO188" s="84"/>
      <c r="QAP188" s="84"/>
      <c r="QAQ188" s="84"/>
      <c r="QAR188" s="84"/>
      <c r="QAS188" s="84"/>
      <c r="QAT188" s="84"/>
      <c r="QAU188" s="84"/>
      <c r="QAV188" s="84"/>
      <c r="QAW188" s="84"/>
      <c r="QAX188" s="84"/>
      <c r="QAY188" s="84"/>
      <c r="QAZ188" s="84"/>
      <c r="QBA188" s="84"/>
      <c r="QBB188" s="84"/>
      <c r="QBC188" s="84"/>
      <c r="QBD188" s="84"/>
      <c r="QBE188" s="84"/>
      <c r="QBF188" s="84"/>
      <c r="QBG188" s="84"/>
      <c r="QBH188" s="84"/>
      <c r="QBI188" s="84"/>
      <c r="QBJ188" s="84"/>
      <c r="QBK188" s="84"/>
      <c r="QBL188" s="84"/>
      <c r="QBM188" s="84"/>
      <c r="QBN188" s="84"/>
      <c r="QBO188" s="84"/>
      <c r="QBP188" s="84"/>
      <c r="QBQ188" s="84"/>
      <c r="QBR188" s="84"/>
      <c r="QBS188" s="84"/>
      <c r="QBT188" s="84"/>
      <c r="QBU188" s="84"/>
      <c r="QBV188" s="84"/>
      <c r="QBW188" s="84"/>
      <c r="QBX188" s="84"/>
      <c r="QBY188" s="84"/>
      <c r="QBZ188" s="84"/>
      <c r="QCA188" s="84"/>
      <c r="QCB188" s="84"/>
      <c r="QCC188" s="84"/>
      <c r="QCD188" s="84"/>
      <c r="QCE188" s="84"/>
      <c r="QCF188" s="84"/>
      <c r="QCG188" s="84"/>
      <c r="QCH188" s="84"/>
      <c r="QCI188" s="84"/>
      <c r="QCJ188" s="84"/>
      <c r="QCK188" s="84"/>
      <c r="QCL188" s="84"/>
      <c r="QCM188" s="84"/>
      <c r="QCN188" s="84"/>
      <c r="QCO188" s="84"/>
      <c r="QCP188" s="84"/>
      <c r="QCQ188" s="84"/>
      <c r="QCR188" s="84"/>
      <c r="QCS188" s="84"/>
      <c r="QCT188" s="84"/>
      <c r="QCU188" s="84"/>
      <c r="QCV188" s="84"/>
      <c r="QCW188" s="84"/>
      <c r="QCX188" s="84"/>
      <c r="QCY188" s="84"/>
      <c r="QCZ188" s="84"/>
      <c r="QDA188" s="84"/>
      <c r="QDB188" s="84"/>
      <c r="QDC188" s="84"/>
      <c r="QDD188" s="84"/>
      <c r="QDE188" s="84"/>
      <c r="QDF188" s="84"/>
      <c r="QDG188" s="84"/>
      <c r="QDH188" s="84"/>
      <c r="QDI188" s="84"/>
      <c r="QDJ188" s="84"/>
      <c r="QDK188" s="84"/>
      <c r="QDL188" s="84"/>
      <c r="QDM188" s="84"/>
      <c r="QDN188" s="84"/>
      <c r="QDO188" s="84"/>
      <c r="QDP188" s="84"/>
      <c r="QDQ188" s="84"/>
      <c r="QDR188" s="84"/>
      <c r="QDS188" s="84"/>
      <c r="QDT188" s="84"/>
      <c r="QDU188" s="84"/>
      <c r="QDV188" s="84"/>
      <c r="QDW188" s="84"/>
      <c r="QDX188" s="84"/>
      <c r="QDY188" s="84"/>
      <c r="QDZ188" s="84"/>
      <c r="QEA188" s="84"/>
      <c r="QEB188" s="84"/>
      <c r="QEC188" s="84"/>
      <c r="QED188" s="84"/>
      <c r="QEE188" s="84"/>
      <c r="QEF188" s="84"/>
      <c r="QEG188" s="84"/>
      <c r="QEH188" s="84"/>
      <c r="QEI188" s="84"/>
      <c r="QEJ188" s="84"/>
      <c r="QEK188" s="84"/>
      <c r="QEL188" s="84"/>
      <c r="QEM188" s="84"/>
      <c r="QEN188" s="84"/>
      <c r="QEO188" s="84"/>
      <c r="QEP188" s="84"/>
      <c r="QEQ188" s="84"/>
      <c r="QER188" s="84"/>
      <c r="QES188" s="84"/>
      <c r="QET188" s="84"/>
      <c r="QEU188" s="84"/>
      <c r="QEV188" s="84"/>
      <c r="QEW188" s="84"/>
      <c r="QEX188" s="84"/>
      <c r="QEY188" s="84"/>
      <c r="QEZ188" s="84"/>
      <c r="QFA188" s="84"/>
      <c r="QFB188" s="84"/>
      <c r="QFC188" s="84"/>
      <c r="QFD188" s="84"/>
      <c r="QFE188" s="84"/>
      <c r="QFF188" s="84"/>
      <c r="QFG188" s="84"/>
      <c r="QFH188" s="84"/>
      <c r="QFI188" s="84"/>
      <c r="QFJ188" s="84"/>
      <c r="QFK188" s="84"/>
      <c r="QFL188" s="84"/>
      <c r="QFM188" s="84"/>
      <c r="QFN188" s="84"/>
      <c r="QFO188" s="84"/>
      <c r="QFP188" s="84"/>
      <c r="QFQ188" s="84"/>
      <c r="QFR188" s="84"/>
      <c r="QFS188" s="84"/>
      <c r="QFT188" s="84"/>
      <c r="QFU188" s="84"/>
      <c r="QFV188" s="84"/>
      <c r="QFW188" s="84"/>
      <c r="QFX188" s="84"/>
      <c r="QFY188" s="84"/>
      <c r="QFZ188" s="84"/>
      <c r="QGA188" s="84"/>
      <c r="QGB188" s="84"/>
      <c r="QGC188" s="84"/>
      <c r="QGD188" s="84"/>
      <c r="QGE188" s="84"/>
      <c r="QGF188" s="84"/>
      <c r="QGG188" s="84"/>
      <c r="QGH188" s="84"/>
      <c r="QGI188" s="84"/>
      <c r="QGJ188" s="84"/>
      <c r="QGK188" s="84"/>
      <c r="QGL188" s="84"/>
      <c r="QGM188" s="84"/>
      <c r="QGN188" s="84"/>
      <c r="QGO188" s="84"/>
      <c r="QGP188" s="84"/>
      <c r="QGQ188" s="84"/>
      <c r="QGR188" s="84"/>
      <c r="QGS188" s="84"/>
      <c r="QGT188" s="84"/>
      <c r="QGU188" s="84"/>
      <c r="QGV188" s="84"/>
      <c r="QGW188" s="84"/>
      <c r="QGX188" s="84"/>
      <c r="QGY188" s="84"/>
      <c r="QGZ188" s="84"/>
      <c r="QHA188" s="84"/>
      <c r="QHB188" s="84"/>
      <c r="QHC188" s="84"/>
      <c r="QHD188" s="84"/>
      <c r="QHE188" s="84"/>
      <c r="QHF188" s="84"/>
      <c r="QHG188" s="84"/>
      <c r="QHH188" s="84"/>
      <c r="QHI188" s="84"/>
      <c r="QHJ188" s="84"/>
      <c r="QHK188" s="84"/>
      <c r="QHL188" s="84"/>
      <c r="QHM188" s="84"/>
      <c r="QHN188" s="84"/>
      <c r="QHO188" s="84"/>
      <c r="QHP188" s="84"/>
      <c r="QHQ188" s="84"/>
      <c r="QHR188" s="84"/>
      <c r="QHS188" s="84"/>
      <c r="QHT188" s="84"/>
      <c r="QHU188" s="84"/>
      <c r="QHV188" s="84"/>
      <c r="QHW188" s="84"/>
      <c r="QHX188" s="84"/>
      <c r="QHY188" s="84"/>
      <c r="QHZ188" s="84"/>
      <c r="QIA188" s="84"/>
      <c r="QIB188" s="84"/>
      <c r="QIC188" s="84"/>
      <c r="QID188" s="84"/>
      <c r="QIE188" s="84"/>
      <c r="QIF188" s="84"/>
      <c r="QIG188" s="84"/>
      <c r="QIH188" s="84"/>
      <c r="QII188" s="84"/>
      <c r="QIJ188" s="84"/>
      <c r="QIK188" s="84"/>
      <c r="QIL188" s="84"/>
      <c r="QIM188" s="84"/>
      <c r="QIN188" s="84"/>
      <c r="QIO188" s="84"/>
      <c r="QIP188" s="84"/>
      <c r="QIQ188" s="84"/>
      <c r="QIR188" s="84"/>
      <c r="QIS188" s="84"/>
      <c r="QIT188" s="84"/>
      <c r="QIU188" s="84"/>
      <c r="QIV188" s="84"/>
      <c r="QIW188" s="84"/>
      <c r="QIX188" s="84"/>
      <c r="QIY188" s="84"/>
      <c r="QIZ188" s="84"/>
      <c r="QJA188" s="84"/>
      <c r="QJB188" s="84"/>
      <c r="QJC188" s="84"/>
      <c r="QJD188" s="84"/>
      <c r="QJE188" s="84"/>
      <c r="QJF188" s="84"/>
      <c r="QJG188" s="84"/>
      <c r="QJH188" s="84"/>
      <c r="QJI188" s="84"/>
      <c r="QJJ188" s="84"/>
      <c r="QJK188" s="84"/>
      <c r="QJL188" s="84"/>
      <c r="QJM188" s="84"/>
      <c r="QJN188" s="84"/>
      <c r="QJO188" s="84"/>
      <c r="QJP188" s="84"/>
      <c r="QJQ188" s="84"/>
      <c r="QJR188" s="84"/>
      <c r="QJS188" s="84"/>
      <c r="QJT188" s="84"/>
      <c r="QJU188" s="84"/>
      <c r="QJV188" s="84"/>
      <c r="QJW188" s="84"/>
      <c r="QJX188" s="84"/>
      <c r="QJY188" s="84"/>
      <c r="QJZ188" s="84"/>
      <c r="QKA188" s="84"/>
      <c r="QKB188" s="84"/>
      <c r="QKC188" s="84"/>
      <c r="QKD188" s="84"/>
      <c r="QKE188" s="84"/>
      <c r="QKF188" s="84"/>
      <c r="QKG188" s="84"/>
      <c r="QKH188" s="84"/>
      <c r="QKI188" s="84"/>
      <c r="QKJ188" s="84"/>
      <c r="QKK188" s="84"/>
      <c r="QKL188" s="84"/>
      <c r="QKM188" s="84"/>
      <c r="QKN188" s="84"/>
      <c r="QKO188" s="84"/>
      <c r="QKP188" s="84"/>
      <c r="QKQ188" s="84"/>
      <c r="QKR188" s="84"/>
      <c r="QKS188" s="84"/>
      <c r="QKT188" s="84"/>
      <c r="QKU188" s="84"/>
      <c r="QKV188" s="84"/>
      <c r="QKW188" s="84"/>
      <c r="QKX188" s="84"/>
      <c r="QKY188" s="84"/>
      <c r="QKZ188" s="84"/>
      <c r="QLA188" s="84"/>
      <c r="QLB188" s="84"/>
      <c r="QLC188" s="84"/>
      <c r="QLD188" s="84"/>
      <c r="QLE188" s="84"/>
      <c r="QLF188" s="84"/>
      <c r="QLG188" s="84"/>
      <c r="QLH188" s="84"/>
      <c r="QLI188" s="84"/>
      <c r="QLJ188" s="84"/>
      <c r="QLK188" s="84"/>
      <c r="QLL188" s="84"/>
      <c r="QLM188" s="84"/>
      <c r="QLN188" s="84"/>
      <c r="QLO188" s="84"/>
      <c r="QLP188" s="84"/>
      <c r="QLQ188" s="84"/>
      <c r="QLR188" s="84"/>
      <c r="QLS188" s="84"/>
      <c r="QLT188" s="84"/>
      <c r="QLU188" s="84"/>
      <c r="QLV188" s="84"/>
      <c r="QLW188" s="84"/>
      <c r="QLX188" s="84"/>
      <c r="QLY188" s="84"/>
      <c r="QLZ188" s="84"/>
      <c r="QMA188" s="84"/>
      <c r="QMB188" s="84"/>
      <c r="QMC188" s="84"/>
      <c r="QMD188" s="84"/>
      <c r="QME188" s="84"/>
      <c r="QMF188" s="84"/>
      <c r="QMG188" s="84"/>
      <c r="QMH188" s="84"/>
      <c r="QMI188" s="84"/>
      <c r="QMJ188" s="84"/>
      <c r="QMK188" s="84"/>
      <c r="QML188" s="84"/>
      <c r="QMM188" s="84"/>
      <c r="QMN188" s="84"/>
      <c r="QMO188" s="84"/>
      <c r="QMP188" s="84"/>
      <c r="QMQ188" s="84"/>
      <c r="QMR188" s="84"/>
      <c r="QMS188" s="84"/>
      <c r="QMT188" s="84"/>
      <c r="QMU188" s="84"/>
      <c r="QMV188" s="84"/>
      <c r="QMW188" s="84"/>
      <c r="QMX188" s="84"/>
      <c r="QMY188" s="84"/>
      <c r="QMZ188" s="84"/>
      <c r="QNA188" s="84"/>
      <c r="QNB188" s="84"/>
      <c r="QNC188" s="84"/>
      <c r="QND188" s="84"/>
      <c r="QNE188" s="84"/>
      <c r="QNF188" s="84"/>
      <c r="QNG188" s="84"/>
      <c r="QNH188" s="84"/>
      <c r="QNI188" s="84"/>
      <c r="QNJ188" s="84"/>
      <c r="QNK188" s="84"/>
      <c r="QNL188" s="84"/>
      <c r="QNM188" s="84"/>
      <c r="QNN188" s="84"/>
      <c r="QNO188" s="84"/>
      <c r="QNP188" s="84"/>
      <c r="QNQ188" s="84"/>
      <c r="QNR188" s="84"/>
      <c r="QNS188" s="84"/>
      <c r="QNT188" s="84"/>
      <c r="QNU188" s="84"/>
      <c r="QNV188" s="84"/>
      <c r="QNW188" s="84"/>
      <c r="QNX188" s="84"/>
      <c r="QNY188" s="84"/>
      <c r="QNZ188" s="84"/>
      <c r="QOA188" s="84"/>
      <c r="QOB188" s="84"/>
      <c r="QOC188" s="84"/>
      <c r="QOD188" s="84"/>
      <c r="QOE188" s="84"/>
      <c r="QOF188" s="84"/>
      <c r="QOG188" s="84"/>
      <c r="QOH188" s="84"/>
      <c r="QOI188" s="84"/>
      <c r="QOJ188" s="84"/>
      <c r="QOK188" s="84"/>
      <c r="QOL188" s="84"/>
      <c r="QOM188" s="84"/>
      <c r="QON188" s="84"/>
      <c r="QOO188" s="84"/>
      <c r="QOP188" s="84"/>
      <c r="QOQ188" s="84"/>
      <c r="QOR188" s="84"/>
      <c r="QOS188" s="84"/>
      <c r="QOT188" s="84"/>
      <c r="QOU188" s="84"/>
      <c r="QOV188" s="84"/>
      <c r="QOW188" s="84"/>
      <c r="QOX188" s="84"/>
      <c r="QOY188" s="84"/>
      <c r="QOZ188" s="84"/>
      <c r="QPA188" s="84"/>
      <c r="QPB188" s="84"/>
      <c r="QPC188" s="84"/>
      <c r="QPD188" s="84"/>
      <c r="QPE188" s="84"/>
      <c r="QPF188" s="84"/>
      <c r="QPG188" s="84"/>
      <c r="QPH188" s="84"/>
      <c r="QPI188" s="84"/>
      <c r="QPJ188" s="84"/>
      <c r="QPK188" s="84"/>
      <c r="QPL188" s="84"/>
      <c r="QPM188" s="84"/>
      <c r="QPN188" s="84"/>
      <c r="QPO188" s="84"/>
      <c r="QPP188" s="84"/>
      <c r="QPQ188" s="84"/>
      <c r="QPR188" s="84"/>
      <c r="QPS188" s="84"/>
      <c r="QPT188" s="84"/>
      <c r="QPU188" s="84"/>
      <c r="QPV188" s="84"/>
      <c r="QPW188" s="84"/>
      <c r="QPX188" s="84"/>
      <c r="QPY188" s="84"/>
      <c r="QPZ188" s="84"/>
      <c r="QQA188" s="84"/>
      <c r="QQB188" s="84"/>
      <c r="QQC188" s="84"/>
      <c r="QQD188" s="84"/>
      <c r="QQE188" s="84"/>
      <c r="QQF188" s="84"/>
      <c r="QQG188" s="84"/>
      <c r="QQH188" s="84"/>
      <c r="QQI188" s="84"/>
      <c r="QQJ188" s="84"/>
      <c r="QQK188" s="84"/>
      <c r="QQL188" s="84"/>
      <c r="QQM188" s="84"/>
      <c r="QQN188" s="84"/>
      <c r="QQO188" s="84"/>
      <c r="QQP188" s="84"/>
      <c r="QQQ188" s="84"/>
      <c r="QQR188" s="84"/>
      <c r="QQS188" s="84"/>
      <c r="QQT188" s="84"/>
      <c r="QQU188" s="84"/>
      <c r="QQV188" s="84"/>
      <c r="QQW188" s="84"/>
      <c r="QQX188" s="84"/>
      <c r="QQY188" s="84"/>
      <c r="QQZ188" s="84"/>
      <c r="QRA188" s="84"/>
      <c r="QRB188" s="84"/>
      <c r="QRC188" s="84"/>
      <c r="QRD188" s="84"/>
      <c r="QRE188" s="84"/>
      <c r="QRF188" s="84"/>
      <c r="QRG188" s="84"/>
      <c r="QRH188" s="84"/>
      <c r="QRI188" s="84"/>
      <c r="QRJ188" s="84"/>
      <c r="QRK188" s="84"/>
      <c r="QRL188" s="84"/>
      <c r="QRM188" s="84"/>
      <c r="QRN188" s="84"/>
      <c r="QRO188" s="84"/>
      <c r="QRP188" s="84"/>
      <c r="QRQ188" s="84"/>
      <c r="QRR188" s="84"/>
      <c r="QRS188" s="84"/>
      <c r="QRT188" s="84"/>
      <c r="QRU188" s="84"/>
      <c r="QRV188" s="84"/>
      <c r="QRW188" s="84"/>
      <c r="QRX188" s="84"/>
      <c r="QRY188" s="84"/>
      <c r="QRZ188" s="84"/>
      <c r="QSA188" s="84"/>
      <c r="QSB188" s="84"/>
      <c r="QSC188" s="84"/>
      <c r="QSD188" s="84"/>
      <c r="QSE188" s="84"/>
      <c r="QSF188" s="84"/>
      <c r="QSG188" s="84"/>
      <c r="QSH188" s="84"/>
      <c r="QSI188" s="84"/>
      <c r="QSJ188" s="84"/>
      <c r="QSK188" s="84"/>
      <c r="QSL188" s="84"/>
      <c r="QSM188" s="84"/>
      <c r="QSN188" s="84"/>
      <c r="QSO188" s="84"/>
      <c r="QSP188" s="84"/>
      <c r="QSQ188" s="84"/>
      <c r="QSR188" s="84"/>
      <c r="QSS188" s="84"/>
      <c r="QST188" s="84"/>
      <c r="QSU188" s="84"/>
      <c r="QSV188" s="84"/>
      <c r="QSW188" s="84"/>
      <c r="QSX188" s="84"/>
      <c r="QSY188" s="84"/>
      <c r="QSZ188" s="84"/>
      <c r="QTA188" s="84"/>
      <c r="QTB188" s="84"/>
      <c r="QTC188" s="84"/>
      <c r="QTD188" s="84"/>
      <c r="QTE188" s="84"/>
      <c r="QTF188" s="84"/>
      <c r="QTG188" s="84"/>
      <c r="QTH188" s="84"/>
      <c r="QTI188" s="84"/>
      <c r="QTJ188" s="84"/>
      <c r="QTK188" s="84"/>
      <c r="QTL188" s="84"/>
      <c r="QTM188" s="84"/>
      <c r="QTN188" s="84"/>
      <c r="QTO188" s="84"/>
      <c r="QTP188" s="84"/>
      <c r="QTQ188" s="84"/>
      <c r="QTR188" s="84"/>
      <c r="QTS188" s="84"/>
      <c r="QTT188" s="84"/>
      <c r="QTU188" s="84"/>
      <c r="QTV188" s="84"/>
      <c r="QTW188" s="84"/>
      <c r="QTX188" s="84"/>
      <c r="QTY188" s="84"/>
      <c r="QTZ188" s="84"/>
      <c r="QUA188" s="84"/>
      <c r="QUB188" s="84"/>
      <c r="QUC188" s="84"/>
      <c r="QUD188" s="84"/>
      <c r="QUE188" s="84"/>
      <c r="QUF188" s="84"/>
      <c r="QUG188" s="84"/>
      <c r="QUH188" s="84"/>
      <c r="QUI188" s="84"/>
      <c r="QUJ188" s="84"/>
      <c r="QUK188" s="84"/>
      <c r="QUL188" s="84"/>
      <c r="QUM188" s="84"/>
      <c r="QUN188" s="84"/>
      <c r="QUO188" s="84"/>
      <c r="QUP188" s="84"/>
      <c r="QUQ188" s="84"/>
      <c r="QUR188" s="84"/>
      <c r="QUS188" s="84"/>
      <c r="QUT188" s="84"/>
      <c r="QUU188" s="84"/>
      <c r="QUV188" s="84"/>
      <c r="QUW188" s="84"/>
      <c r="QUX188" s="84"/>
      <c r="QUY188" s="84"/>
      <c r="QUZ188" s="84"/>
      <c r="QVA188" s="84"/>
      <c r="QVB188" s="84"/>
      <c r="QVC188" s="84"/>
      <c r="QVD188" s="84"/>
      <c r="QVE188" s="84"/>
      <c r="QVF188" s="84"/>
      <c r="QVG188" s="84"/>
      <c r="QVH188" s="84"/>
      <c r="QVI188" s="84"/>
      <c r="QVJ188" s="84"/>
      <c r="QVK188" s="84"/>
      <c r="QVL188" s="84"/>
      <c r="QVM188" s="84"/>
      <c r="QVN188" s="84"/>
      <c r="QVO188" s="84"/>
      <c r="QVP188" s="84"/>
      <c r="QVQ188" s="84"/>
      <c r="QVR188" s="84"/>
      <c r="QVS188" s="84"/>
      <c r="QVT188" s="84"/>
      <c r="QVU188" s="84"/>
      <c r="QVV188" s="84"/>
      <c r="QVW188" s="84"/>
      <c r="QVX188" s="84"/>
      <c r="QVY188" s="84"/>
      <c r="QVZ188" s="84"/>
      <c r="QWA188" s="84"/>
      <c r="QWB188" s="84"/>
      <c r="QWC188" s="84"/>
      <c r="QWD188" s="84"/>
      <c r="QWE188" s="84"/>
      <c r="QWF188" s="84"/>
      <c r="QWG188" s="84"/>
      <c r="QWH188" s="84"/>
      <c r="QWI188" s="84"/>
      <c r="QWJ188" s="84"/>
      <c r="QWK188" s="84"/>
      <c r="QWL188" s="84"/>
      <c r="QWM188" s="84"/>
      <c r="QWN188" s="84"/>
      <c r="QWO188" s="84"/>
      <c r="QWP188" s="84"/>
      <c r="QWQ188" s="84"/>
      <c r="QWR188" s="84"/>
      <c r="QWS188" s="84"/>
      <c r="QWT188" s="84"/>
      <c r="QWU188" s="84"/>
      <c r="QWV188" s="84"/>
      <c r="QWW188" s="84"/>
      <c r="QWX188" s="84"/>
      <c r="QWY188" s="84"/>
      <c r="QWZ188" s="84"/>
      <c r="QXA188" s="84"/>
      <c r="QXB188" s="84"/>
      <c r="QXC188" s="84"/>
      <c r="QXD188" s="84"/>
      <c r="QXE188" s="84"/>
      <c r="QXF188" s="84"/>
      <c r="QXG188" s="84"/>
      <c r="QXH188" s="84"/>
      <c r="QXI188" s="84"/>
      <c r="QXJ188" s="84"/>
      <c r="QXK188" s="84"/>
      <c r="QXL188" s="84"/>
      <c r="QXM188" s="84"/>
      <c r="QXN188" s="84"/>
      <c r="QXO188" s="84"/>
      <c r="QXP188" s="84"/>
      <c r="QXQ188" s="84"/>
      <c r="QXR188" s="84"/>
      <c r="QXS188" s="84"/>
      <c r="QXT188" s="84"/>
      <c r="QXU188" s="84"/>
      <c r="QXV188" s="84"/>
      <c r="QXW188" s="84"/>
      <c r="QXX188" s="84"/>
      <c r="QXY188" s="84"/>
      <c r="QXZ188" s="84"/>
      <c r="QYA188" s="84"/>
      <c r="QYB188" s="84"/>
      <c r="QYC188" s="84"/>
      <c r="QYD188" s="84"/>
      <c r="QYE188" s="84"/>
      <c r="QYF188" s="84"/>
      <c r="QYG188" s="84"/>
      <c r="QYH188" s="84"/>
      <c r="QYI188" s="84"/>
      <c r="QYJ188" s="84"/>
      <c r="QYK188" s="84"/>
      <c r="QYL188" s="84"/>
      <c r="QYM188" s="84"/>
      <c r="QYN188" s="84"/>
      <c r="QYO188" s="84"/>
      <c r="QYP188" s="84"/>
      <c r="QYQ188" s="84"/>
      <c r="QYR188" s="84"/>
      <c r="QYS188" s="84"/>
      <c r="QYT188" s="84"/>
      <c r="QYU188" s="84"/>
      <c r="QYV188" s="84"/>
      <c r="QYW188" s="84"/>
      <c r="QYX188" s="84"/>
      <c r="QYY188" s="84"/>
      <c r="QYZ188" s="84"/>
      <c r="QZA188" s="84"/>
      <c r="QZB188" s="84"/>
      <c r="QZC188" s="84"/>
      <c r="QZD188" s="84"/>
      <c r="QZE188" s="84"/>
      <c r="QZF188" s="84"/>
      <c r="QZG188" s="84"/>
      <c r="QZH188" s="84"/>
      <c r="QZI188" s="84"/>
      <c r="QZJ188" s="84"/>
      <c r="QZK188" s="84"/>
      <c r="QZL188" s="84"/>
      <c r="QZM188" s="84"/>
      <c r="QZN188" s="84"/>
      <c r="QZO188" s="84"/>
      <c r="QZP188" s="84"/>
      <c r="QZQ188" s="84"/>
      <c r="QZR188" s="84"/>
      <c r="QZS188" s="84"/>
      <c r="QZT188" s="84"/>
      <c r="QZU188" s="84"/>
      <c r="QZV188" s="84"/>
      <c r="QZW188" s="84"/>
      <c r="QZX188" s="84"/>
      <c r="QZY188" s="84"/>
      <c r="QZZ188" s="84"/>
      <c r="RAA188" s="84"/>
      <c r="RAB188" s="84"/>
      <c r="RAC188" s="84"/>
      <c r="RAD188" s="84"/>
      <c r="RAE188" s="84"/>
      <c r="RAF188" s="84"/>
      <c r="RAG188" s="84"/>
      <c r="RAH188" s="84"/>
      <c r="RAI188" s="84"/>
      <c r="RAJ188" s="84"/>
      <c r="RAK188" s="84"/>
      <c r="RAL188" s="84"/>
      <c r="RAM188" s="84"/>
      <c r="RAN188" s="84"/>
      <c r="RAO188" s="84"/>
      <c r="RAP188" s="84"/>
      <c r="RAQ188" s="84"/>
      <c r="RAR188" s="84"/>
      <c r="RAS188" s="84"/>
      <c r="RAT188" s="84"/>
      <c r="RAU188" s="84"/>
      <c r="RAV188" s="84"/>
      <c r="RAW188" s="84"/>
      <c r="RAX188" s="84"/>
      <c r="RAY188" s="84"/>
      <c r="RAZ188" s="84"/>
      <c r="RBA188" s="84"/>
      <c r="RBB188" s="84"/>
      <c r="RBC188" s="84"/>
      <c r="RBD188" s="84"/>
      <c r="RBE188" s="84"/>
      <c r="RBF188" s="84"/>
      <c r="RBG188" s="84"/>
      <c r="RBH188" s="84"/>
      <c r="RBI188" s="84"/>
      <c r="RBJ188" s="84"/>
      <c r="RBK188" s="84"/>
      <c r="RBL188" s="84"/>
      <c r="RBM188" s="84"/>
      <c r="RBN188" s="84"/>
      <c r="RBO188" s="84"/>
      <c r="RBP188" s="84"/>
      <c r="RBQ188" s="84"/>
      <c r="RBR188" s="84"/>
      <c r="RBS188" s="84"/>
      <c r="RBT188" s="84"/>
      <c r="RBU188" s="84"/>
      <c r="RBV188" s="84"/>
      <c r="RBW188" s="84"/>
      <c r="RBX188" s="84"/>
      <c r="RBY188" s="84"/>
      <c r="RBZ188" s="84"/>
      <c r="RCA188" s="84"/>
      <c r="RCB188" s="84"/>
      <c r="RCC188" s="84"/>
      <c r="RCD188" s="84"/>
      <c r="RCE188" s="84"/>
      <c r="RCF188" s="84"/>
      <c r="RCG188" s="84"/>
      <c r="RCH188" s="84"/>
      <c r="RCI188" s="84"/>
      <c r="RCJ188" s="84"/>
      <c r="RCK188" s="84"/>
      <c r="RCL188" s="84"/>
      <c r="RCM188" s="84"/>
      <c r="RCN188" s="84"/>
      <c r="RCO188" s="84"/>
      <c r="RCP188" s="84"/>
      <c r="RCQ188" s="84"/>
      <c r="RCR188" s="84"/>
      <c r="RCS188" s="84"/>
      <c r="RCT188" s="84"/>
      <c r="RCU188" s="84"/>
      <c r="RCV188" s="84"/>
      <c r="RCW188" s="84"/>
      <c r="RCX188" s="84"/>
      <c r="RCY188" s="84"/>
      <c r="RCZ188" s="84"/>
      <c r="RDA188" s="84"/>
      <c r="RDB188" s="84"/>
      <c r="RDC188" s="84"/>
      <c r="RDD188" s="84"/>
      <c r="RDE188" s="84"/>
      <c r="RDF188" s="84"/>
      <c r="RDG188" s="84"/>
      <c r="RDH188" s="84"/>
      <c r="RDI188" s="84"/>
      <c r="RDJ188" s="84"/>
      <c r="RDK188" s="84"/>
      <c r="RDL188" s="84"/>
      <c r="RDM188" s="84"/>
      <c r="RDN188" s="84"/>
      <c r="RDO188" s="84"/>
      <c r="RDP188" s="84"/>
      <c r="RDQ188" s="84"/>
      <c r="RDR188" s="84"/>
      <c r="RDS188" s="84"/>
      <c r="RDT188" s="84"/>
      <c r="RDU188" s="84"/>
      <c r="RDV188" s="84"/>
      <c r="RDW188" s="84"/>
      <c r="RDX188" s="84"/>
      <c r="RDY188" s="84"/>
      <c r="RDZ188" s="84"/>
      <c r="REA188" s="84"/>
      <c r="REB188" s="84"/>
      <c r="REC188" s="84"/>
      <c r="RED188" s="84"/>
      <c r="REE188" s="84"/>
      <c r="REF188" s="84"/>
      <c r="REG188" s="84"/>
      <c r="REH188" s="84"/>
      <c r="REI188" s="84"/>
      <c r="REJ188" s="84"/>
      <c r="REK188" s="84"/>
      <c r="REL188" s="84"/>
      <c r="REM188" s="84"/>
      <c r="REN188" s="84"/>
      <c r="REO188" s="84"/>
      <c r="REP188" s="84"/>
      <c r="REQ188" s="84"/>
      <c r="RER188" s="84"/>
      <c r="RES188" s="84"/>
      <c r="RET188" s="84"/>
      <c r="REU188" s="84"/>
      <c r="REV188" s="84"/>
      <c r="REW188" s="84"/>
      <c r="REX188" s="84"/>
      <c r="REY188" s="84"/>
      <c r="REZ188" s="84"/>
      <c r="RFA188" s="84"/>
      <c r="RFB188" s="84"/>
      <c r="RFC188" s="84"/>
      <c r="RFD188" s="84"/>
      <c r="RFE188" s="84"/>
      <c r="RFF188" s="84"/>
      <c r="RFG188" s="84"/>
      <c r="RFH188" s="84"/>
      <c r="RFI188" s="84"/>
      <c r="RFJ188" s="84"/>
      <c r="RFK188" s="84"/>
      <c r="RFL188" s="84"/>
      <c r="RFM188" s="84"/>
      <c r="RFN188" s="84"/>
      <c r="RFO188" s="84"/>
      <c r="RFP188" s="84"/>
      <c r="RFQ188" s="84"/>
      <c r="RFR188" s="84"/>
      <c r="RFS188" s="84"/>
      <c r="RFT188" s="84"/>
      <c r="RFU188" s="84"/>
      <c r="RFV188" s="84"/>
      <c r="RFW188" s="84"/>
      <c r="RFX188" s="84"/>
      <c r="RFY188" s="84"/>
      <c r="RFZ188" s="84"/>
      <c r="RGA188" s="84"/>
      <c r="RGB188" s="84"/>
      <c r="RGC188" s="84"/>
      <c r="RGD188" s="84"/>
      <c r="RGE188" s="84"/>
      <c r="RGF188" s="84"/>
      <c r="RGG188" s="84"/>
      <c r="RGH188" s="84"/>
      <c r="RGI188" s="84"/>
      <c r="RGJ188" s="84"/>
      <c r="RGK188" s="84"/>
      <c r="RGL188" s="84"/>
      <c r="RGM188" s="84"/>
      <c r="RGN188" s="84"/>
      <c r="RGO188" s="84"/>
      <c r="RGP188" s="84"/>
      <c r="RGQ188" s="84"/>
      <c r="RGR188" s="84"/>
      <c r="RGS188" s="84"/>
      <c r="RGT188" s="84"/>
      <c r="RGU188" s="84"/>
      <c r="RGV188" s="84"/>
      <c r="RGW188" s="84"/>
      <c r="RGX188" s="84"/>
      <c r="RGY188" s="84"/>
      <c r="RGZ188" s="84"/>
      <c r="RHA188" s="84"/>
      <c r="RHB188" s="84"/>
      <c r="RHC188" s="84"/>
      <c r="RHD188" s="84"/>
      <c r="RHE188" s="84"/>
      <c r="RHF188" s="84"/>
      <c r="RHG188" s="84"/>
      <c r="RHH188" s="84"/>
      <c r="RHI188" s="84"/>
      <c r="RHJ188" s="84"/>
      <c r="RHK188" s="84"/>
      <c r="RHL188" s="84"/>
      <c r="RHM188" s="84"/>
      <c r="RHN188" s="84"/>
      <c r="RHO188" s="84"/>
      <c r="RHP188" s="84"/>
      <c r="RHQ188" s="84"/>
      <c r="RHR188" s="84"/>
      <c r="RHS188" s="84"/>
      <c r="RHT188" s="84"/>
      <c r="RHU188" s="84"/>
      <c r="RHV188" s="84"/>
      <c r="RHW188" s="84"/>
      <c r="RHX188" s="84"/>
      <c r="RHY188" s="84"/>
      <c r="RHZ188" s="84"/>
      <c r="RIA188" s="84"/>
      <c r="RIB188" s="84"/>
      <c r="RIC188" s="84"/>
      <c r="RID188" s="84"/>
      <c r="RIE188" s="84"/>
      <c r="RIF188" s="84"/>
      <c r="RIG188" s="84"/>
      <c r="RIH188" s="84"/>
      <c r="RII188" s="84"/>
      <c r="RIJ188" s="84"/>
      <c r="RIK188" s="84"/>
      <c r="RIL188" s="84"/>
      <c r="RIM188" s="84"/>
      <c r="RIN188" s="84"/>
      <c r="RIO188" s="84"/>
      <c r="RIP188" s="84"/>
      <c r="RIQ188" s="84"/>
      <c r="RIR188" s="84"/>
      <c r="RIS188" s="84"/>
      <c r="RIT188" s="84"/>
      <c r="RIU188" s="84"/>
      <c r="RIV188" s="84"/>
      <c r="RIW188" s="84"/>
      <c r="RIX188" s="84"/>
      <c r="RIY188" s="84"/>
      <c r="RIZ188" s="84"/>
      <c r="RJA188" s="84"/>
      <c r="RJB188" s="84"/>
      <c r="RJC188" s="84"/>
      <c r="RJD188" s="84"/>
      <c r="RJE188" s="84"/>
      <c r="RJF188" s="84"/>
      <c r="RJG188" s="84"/>
      <c r="RJH188" s="84"/>
      <c r="RJI188" s="84"/>
      <c r="RJJ188" s="84"/>
      <c r="RJK188" s="84"/>
      <c r="RJL188" s="84"/>
      <c r="RJM188" s="84"/>
      <c r="RJN188" s="84"/>
      <c r="RJO188" s="84"/>
      <c r="RJP188" s="84"/>
      <c r="RJQ188" s="84"/>
      <c r="RJR188" s="84"/>
      <c r="RJS188" s="84"/>
      <c r="RJT188" s="84"/>
      <c r="RJU188" s="84"/>
      <c r="RJV188" s="84"/>
      <c r="RJW188" s="84"/>
      <c r="RJX188" s="84"/>
      <c r="RJY188" s="84"/>
      <c r="RJZ188" s="84"/>
      <c r="RKA188" s="84"/>
      <c r="RKB188" s="84"/>
      <c r="RKC188" s="84"/>
      <c r="RKD188" s="84"/>
      <c r="RKE188" s="84"/>
      <c r="RKF188" s="84"/>
      <c r="RKG188" s="84"/>
      <c r="RKH188" s="84"/>
      <c r="RKI188" s="84"/>
      <c r="RKJ188" s="84"/>
      <c r="RKK188" s="84"/>
      <c r="RKL188" s="84"/>
      <c r="RKM188" s="84"/>
      <c r="RKN188" s="84"/>
      <c r="RKO188" s="84"/>
      <c r="RKP188" s="84"/>
      <c r="RKQ188" s="84"/>
      <c r="RKR188" s="84"/>
      <c r="RKS188" s="84"/>
      <c r="RKT188" s="84"/>
      <c r="RKU188" s="84"/>
      <c r="RKV188" s="84"/>
      <c r="RKW188" s="84"/>
      <c r="RKX188" s="84"/>
      <c r="RKY188" s="84"/>
      <c r="RKZ188" s="84"/>
      <c r="RLA188" s="84"/>
      <c r="RLB188" s="84"/>
      <c r="RLC188" s="84"/>
      <c r="RLD188" s="84"/>
      <c r="RLE188" s="84"/>
      <c r="RLF188" s="84"/>
      <c r="RLG188" s="84"/>
      <c r="RLH188" s="84"/>
      <c r="RLI188" s="84"/>
      <c r="RLJ188" s="84"/>
      <c r="RLK188" s="84"/>
      <c r="RLL188" s="84"/>
      <c r="RLM188" s="84"/>
      <c r="RLN188" s="84"/>
      <c r="RLO188" s="84"/>
      <c r="RLP188" s="84"/>
      <c r="RLQ188" s="84"/>
      <c r="RLR188" s="84"/>
      <c r="RLS188" s="84"/>
      <c r="RLT188" s="84"/>
      <c r="RLU188" s="84"/>
      <c r="RLV188" s="84"/>
      <c r="RLW188" s="84"/>
      <c r="RLX188" s="84"/>
      <c r="RLY188" s="84"/>
      <c r="RLZ188" s="84"/>
      <c r="RMA188" s="84"/>
      <c r="RMB188" s="84"/>
      <c r="RMC188" s="84"/>
      <c r="RMD188" s="84"/>
      <c r="RME188" s="84"/>
      <c r="RMF188" s="84"/>
      <c r="RMG188" s="84"/>
      <c r="RMH188" s="84"/>
      <c r="RMI188" s="84"/>
      <c r="RMJ188" s="84"/>
      <c r="RMK188" s="84"/>
      <c r="RML188" s="84"/>
      <c r="RMM188" s="84"/>
      <c r="RMN188" s="84"/>
      <c r="RMO188" s="84"/>
      <c r="RMP188" s="84"/>
      <c r="RMQ188" s="84"/>
      <c r="RMR188" s="84"/>
      <c r="RMS188" s="84"/>
      <c r="RMT188" s="84"/>
      <c r="RMU188" s="84"/>
      <c r="RMV188" s="84"/>
      <c r="RMW188" s="84"/>
      <c r="RMX188" s="84"/>
      <c r="RMY188" s="84"/>
      <c r="RMZ188" s="84"/>
      <c r="RNA188" s="84"/>
      <c r="RNB188" s="84"/>
      <c r="RNC188" s="84"/>
      <c r="RND188" s="84"/>
      <c r="RNE188" s="84"/>
      <c r="RNF188" s="84"/>
      <c r="RNG188" s="84"/>
      <c r="RNH188" s="84"/>
      <c r="RNI188" s="84"/>
      <c r="RNJ188" s="84"/>
      <c r="RNK188" s="84"/>
      <c r="RNL188" s="84"/>
      <c r="RNM188" s="84"/>
      <c r="RNN188" s="84"/>
      <c r="RNO188" s="84"/>
      <c r="RNP188" s="84"/>
      <c r="RNQ188" s="84"/>
      <c r="RNR188" s="84"/>
      <c r="RNS188" s="84"/>
      <c r="RNT188" s="84"/>
      <c r="RNU188" s="84"/>
      <c r="RNV188" s="84"/>
      <c r="RNW188" s="84"/>
      <c r="RNX188" s="84"/>
      <c r="RNY188" s="84"/>
      <c r="RNZ188" s="84"/>
      <c r="ROA188" s="84"/>
      <c r="ROB188" s="84"/>
      <c r="ROC188" s="84"/>
      <c r="ROD188" s="84"/>
      <c r="ROE188" s="84"/>
      <c r="ROF188" s="84"/>
      <c r="ROG188" s="84"/>
      <c r="ROH188" s="84"/>
      <c r="ROI188" s="84"/>
      <c r="ROJ188" s="84"/>
      <c r="ROK188" s="84"/>
      <c r="ROL188" s="84"/>
      <c r="ROM188" s="84"/>
      <c r="RON188" s="84"/>
      <c r="ROO188" s="84"/>
      <c r="ROP188" s="84"/>
      <c r="ROQ188" s="84"/>
      <c r="ROR188" s="84"/>
      <c r="ROS188" s="84"/>
      <c r="ROT188" s="84"/>
      <c r="ROU188" s="84"/>
      <c r="ROV188" s="84"/>
      <c r="ROW188" s="84"/>
      <c r="ROX188" s="84"/>
      <c r="ROY188" s="84"/>
      <c r="ROZ188" s="84"/>
      <c r="RPA188" s="84"/>
      <c r="RPB188" s="84"/>
      <c r="RPC188" s="84"/>
      <c r="RPD188" s="84"/>
      <c r="RPE188" s="84"/>
      <c r="RPF188" s="84"/>
      <c r="RPG188" s="84"/>
      <c r="RPH188" s="84"/>
      <c r="RPI188" s="84"/>
      <c r="RPJ188" s="84"/>
      <c r="RPK188" s="84"/>
      <c r="RPL188" s="84"/>
      <c r="RPM188" s="84"/>
      <c r="RPN188" s="84"/>
      <c r="RPO188" s="84"/>
      <c r="RPP188" s="84"/>
      <c r="RPQ188" s="84"/>
      <c r="RPR188" s="84"/>
      <c r="RPS188" s="84"/>
      <c r="RPT188" s="84"/>
      <c r="RPU188" s="84"/>
      <c r="RPV188" s="84"/>
      <c r="RPW188" s="84"/>
      <c r="RPX188" s="84"/>
      <c r="RPY188" s="84"/>
      <c r="RPZ188" s="84"/>
      <c r="RQA188" s="84"/>
      <c r="RQB188" s="84"/>
      <c r="RQC188" s="84"/>
      <c r="RQD188" s="84"/>
      <c r="RQE188" s="84"/>
      <c r="RQF188" s="84"/>
      <c r="RQG188" s="84"/>
      <c r="RQH188" s="84"/>
      <c r="RQI188" s="84"/>
      <c r="RQJ188" s="84"/>
      <c r="RQK188" s="84"/>
      <c r="RQL188" s="84"/>
      <c r="RQM188" s="84"/>
      <c r="RQN188" s="84"/>
      <c r="RQO188" s="84"/>
      <c r="RQP188" s="84"/>
      <c r="RQQ188" s="84"/>
      <c r="RQR188" s="84"/>
      <c r="RQS188" s="84"/>
      <c r="RQT188" s="84"/>
      <c r="RQU188" s="84"/>
      <c r="RQV188" s="84"/>
      <c r="RQW188" s="84"/>
      <c r="RQX188" s="84"/>
      <c r="RQY188" s="84"/>
      <c r="RQZ188" s="84"/>
      <c r="RRA188" s="84"/>
      <c r="RRB188" s="84"/>
      <c r="RRC188" s="84"/>
      <c r="RRD188" s="84"/>
      <c r="RRE188" s="84"/>
      <c r="RRF188" s="84"/>
      <c r="RRG188" s="84"/>
      <c r="RRH188" s="84"/>
      <c r="RRI188" s="84"/>
      <c r="RRJ188" s="84"/>
      <c r="RRK188" s="84"/>
      <c r="RRL188" s="84"/>
      <c r="RRM188" s="84"/>
      <c r="RRN188" s="84"/>
      <c r="RRO188" s="84"/>
      <c r="RRP188" s="84"/>
      <c r="RRQ188" s="84"/>
      <c r="RRR188" s="84"/>
      <c r="RRS188" s="84"/>
      <c r="RRT188" s="84"/>
      <c r="RRU188" s="84"/>
      <c r="RRV188" s="84"/>
      <c r="RRW188" s="84"/>
      <c r="RRX188" s="84"/>
      <c r="RRY188" s="84"/>
      <c r="RRZ188" s="84"/>
      <c r="RSA188" s="84"/>
      <c r="RSB188" s="84"/>
      <c r="RSC188" s="84"/>
      <c r="RSD188" s="84"/>
      <c r="RSE188" s="84"/>
      <c r="RSF188" s="84"/>
      <c r="RSG188" s="84"/>
      <c r="RSH188" s="84"/>
      <c r="RSI188" s="84"/>
      <c r="RSJ188" s="84"/>
      <c r="RSK188" s="84"/>
      <c r="RSL188" s="84"/>
      <c r="RSM188" s="84"/>
      <c r="RSN188" s="84"/>
      <c r="RSO188" s="84"/>
      <c r="RSP188" s="84"/>
      <c r="RSQ188" s="84"/>
      <c r="RSR188" s="84"/>
      <c r="RSS188" s="84"/>
      <c r="RST188" s="84"/>
      <c r="RSU188" s="84"/>
      <c r="RSV188" s="84"/>
      <c r="RSW188" s="84"/>
      <c r="RSX188" s="84"/>
      <c r="RSY188" s="84"/>
      <c r="RSZ188" s="84"/>
      <c r="RTA188" s="84"/>
      <c r="RTB188" s="84"/>
      <c r="RTC188" s="84"/>
      <c r="RTD188" s="84"/>
      <c r="RTE188" s="84"/>
      <c r="RTF188" s="84"/>
      <c r="RTG188" s="84"/>
      <c r="RTH188" s="84"/>
      <c r="RTI188" s="84"/>
      <c r="RTJ188" s="84"/>
      <c r="RTK188" s="84"/>
      <c r="RTL188" s="84"/>
      <c r="RTM188" s="84"/>
      <c r="RTN188" s="84"/>
      <c r="RTO188" s="84"/>
      <c r="RTP188" s="84"/>
      <c r="RTQ188" s="84"/>
      <c r="RTR188" s="84"/>
      <c r="RTS188" s="84"/>
      <c r="RTT188" s="84"/>
      <c r="RTU188" s="84"/>
      <c r="RTV188" s="84"/>
      <c r="RTW188" s="84"/>
      <c r="RTX188" s="84"/>
      <c r="RTY188" s="84"/>
      <c r="RTZ188" s="84"/>
      <c r="RUA188" s="84"/>
      <c r="RUB188" s="84"/>
      <c r="RUC188" s="84"/>
      <c r="RUD188" s="84"/>
      <c r="RUE188" s="84"/>
      <c r="RUF188" s="84"/>
      <c r="RUG188" s="84"/>
      <c r="RUH188" s="84"/>
      <c r="RUI188" s="84"/>
      <c r="RUJ188" s="84"/>
      <c r="RUK188" s="84"/>
      <c r="RUL188" s="84"/>
      <c r="RUM188" s="84"/>
      <c r="RUN188" s="84"/>
      <c r="RUO188" s="84"/>
      <c r="RUP188" s="84"/>
      <c r="RUQ188" s="84"/>
      <c r="RUR188" s="84"/>
      <c r="RUS188" s="84"/>
      <c r="RUT188" s="84"/>
      <c r="RUU188" s="84"/>
      <c r="RUV188" s="84"/>
      <c r="RUW188" s="84"/>
      <c r="RUX188" s="84"/>
      <c r="RUY188" s="84"/>
      <c r="RUZ188" s="84"/>
      <c r="RVA188" s="84"/>
      <c r="RVB188" s="84"/>
      <c r="RVC188" s="84"/>
      <c r="RVD188" s="84"/>
      <c r="RVE188" s="84"/>
      <c r="RVF188" s="84"/>
      <c r="RVG188" s="84"/>
      <c r="RVH188" s="84"/>
      <c r="RVI188" s="84"/>
      <c r="RVJ188" s="84"/>
      <c r="RVK188" s="84"/>
      <c r="RVL188" s="84"/>
      <c r="RVM188" s="84"/>
      <c r="RVN188" s="84"/>
      <c r="RVO188" s="84"/>
      <c r="RVP188" s="84"/>
      <c r="RVQ188" s="84"/>
      <c r="RVR188" s="84"/>
      <c r="RVS188" s="84"/>
      <c r="RVT188" s="84"/>
      <c r="RVU188" s="84"/>
      <c r="RVV188" s="84"/>
      <c r="RVW188" s="84"/>
      <c r="RVX188" s="84"/>
      <c r="RVY188" s="84"/>
      <c r="RVZ188" s="84"/>
      <c r="RWA188" s="84"/>
      <c r="RWB188" s="84"/>
      <c r="RWC188" s="84"/>
      <c r="RWD188" s="84"/>
      <c r="RWE188" s="84"/>
      <c r="RWF188" s="84"/>
      <c r="RWG188" s="84"/>
      <c r="RWH188" s="84"/>
      <c r="RWI188" s="84"/>
      <c r="RWJ188" s="84"/>
      <c r="RWK188" s="84"/>
      <c r="RWL188" s="84"/>
      <c r="RWM188" s="84"/>
      <c r="RWN188" s="84"/>
      <c r="RWO188" s="84"/>
      <c r="RWP188" s="84"/>
      <c r="RWQ188" s="84"/>
      <c r="RWR188" s="84"/>
      <c r="RWS188" s="84"/>
      <c r="RWT188" s="84"/>
      <c r="RWU188" s="84"/>
      <c r="RWV188" s="84"/>
      <c r="RWW188" s="84"/>
      <c r="RWX188" s="84"/>
      <c r="RWY188" s="84"/>
      <c r="RWZ188" s="84"/>
      <c r="RXA188" s="84"/>
      <c r="RXB188" s="84"/>
      <c r="RXC188" s="84"/>
      <c r="RXD188" s="84"/>
      <c r="RXE188" s="84"/>
      <c r="RXF188" s="84"/>
      <c r="RXG188" s="84"/>
      <c r="RXH188" s="84"/>
      <c r="RXI188" s="84"/>
      <c r="RXJ188" s="84"/>
      <c r="RXK188" s="84"/>
      <c r="RXL188" s="84"/>
      <c r="RXM188" s="84"/>
      <c r="RXN188" s="84"/>
      <c r="RXO188" s="84"/>
      <c r="RXP188" s="84"/>
      <c r="RXQ188" s="84"/>
      <c r="RXR188" s="84"/>
      <c r="RXS188" s="84"/>
      <c r="RXT188" s="84"/>
      <c r="RXU188" s="84"/>
      <c r="RXV188" s="84"/>
      <c r="RXW188" s="84"/>
      <c r="RXX188" s="84"/>
      <c r="RXY188" s="84"/>
      <c r="RXZ188" s="84"/>
      <c r="RYA188" s="84"/>
      <c r="RYB188" s="84"/>
      <c r="RYC188" s="84"/>
      <c r="RYD188" s="84"/>
      <c r="RYE188" s="84"/>
      <c r="RYF188" s="84"/>
      <c r="RYG188" s="84"/>
      <c r="RYH188" s="84"/>
      <c r="RYI188" s="84"/>
      <c r="RYJ188" s="84"/>
      <c r="RYK188" s="84"/>
      <c r="RYL188" s="84"/>
      <c r="RYM188" s="84"/>
      <c r="RYN188" s="84"/>
      <c r="RYO188" s="84"/>
      <c r="RYP188" s="84"/>
      <c r="RYQ188" s="84"/>
      <c r="RYR188" s="84"/>
      <c r="RYS188" s="84"/>
      <c r="RYT188" s="84"/>
      <c r="RYU188" s="84"/>
      <c r="RYV188" s="84"/>
      <c r="RYW188" s="84"/>
      <c r="RYX188" s="84"/>
      <c r="RYY188" s="84"/>
      <c r="RYZ188" s="84"/>
      <c r="RZA188" s="84"/>
      <c r="RZB188" s="84"/>
      <c r="RZC188" s="84"/>
      <c r="RZD188" s="84"/>
      <c r="RZE188" s="84"/>
      <c r="RZF188" s="84"/>
      <c r="RZG188" s="84"/>
      <c r="RZH188" s="84"/>
      <c r="RZI188" s="84"/>
      <c r="RZJ188" s="84"/>
      <c r="RZK188" s="84"/>
      <c r="RZL188" s="84"/>
      <c r="RZM188" s="84"/>
      <c r="RZN188" s="84"/>
      <c r="RZO188" s="84"/>
      <c r="RZP188" s="84"/>
      <c r="RZQ188" s="84"/>
      <c r="RZR188" s="84"/>
      <c r="RZS188" s="84"/>
      <c r="RZT188" s="84"/>
      <c r="RZU188" s="84"/>
      <c r="RZV188" s="84"/>
      <c r="RZW188" s="84"/>
      <c r="RZX188" s="84"/>
      <c r="RZY188" s="84"/>
      <c r="RZZ188" s="84"/>
      <c r="SAA188" s="84"/>
      <c r="SAB188" s="84"/>
      <c r="SAC188" s="84"/>
      <c r="SAD188" s="84"/>
      <c r="SAE188" s="84"/>
      <c r="SAF188" s="84"/>
      <c r="SAG188" s="84"/>
      <c r="SAH188" s="84"/>
      <c r="SAI188" s="84"/>
      <c r="SAJ188" s="84"/>
      <c r="SAK188" s="84"/>
      <c r="SAL188" s="84"/>
      <c r="SAM188" s="84"/>
      <c r="SAN188" s="84"/>
      <c r="SAO188" s="84"/>
      <c r="SAP188" s="84"/>
      <c r="SAQ188" s="84"/>
      <c r="SAR188" s="84"/>
      <c r="SAS188" s="84"/>
      <c r="SAT188" s="84"/>
      <c r="SAU188" s="84"/>
      <c r="SAV188" s="84"/>
      <c r="SAW188" s="84"/>
      <c r="SAX188" s="84"/>
      <c r="SAY188" s="84"/>
      <c r="SAZ188" s="84"/>
      <c r="SBA188" s="84"/>
      <c r="SBB188" s="84"/>
      <c r="SBC188" s="84"/>
      <c r="SBD188" s="84"/>
      <c r="SBE188" s="84"/>
      <c r="SBF188" s="84"/>
      <c r="SBG188" s="84"/>
      <c r="SBH188" s="84"/>
      <c r="SBI188" s="84"/>
      <c r="SBJ188" s="84"/>
      <c r="SBK188" s="84"/>
      <c r="SBL188" s="84"/>
      <c r="SBM188" s="84"/>
      <c r="SBN188" s="84"/>
      <c r="SBO188" s="84"/>
      <c r="SBP188" s="84"/>
      <c r="SBQ188" s="84"/>
      <c r="SBR188" s="84"/>
      <c r="SBS188" s="84"/>
      <c r="SBT188" s="84"/>
      <c r="SBU188" s="84"/>
      <c r="SBV188" s="84"/>
      <c r="SBW188" s="84"/>
      <c r="SBX188" s="84"/>
      <c r="SBY188" s="84"/>
      <c r="SBZ188" s="84"/>
      <c r="SCA188" s="84"/>
      <c r="SCB188" s="84"/>
      <c r="SCC188" s="84"/>
      <c r="SCD188" s="84"/>
      <c r="SCE188" s="84"/>
      <c r="SCF188" s="84"/>
      <c r="SCG188" s="84"/>
      <c r="SCH188" s="84"/>
      <c r="SCI188" s="84"/>
      <c r="SCJ188" s="84"/>
      <c r="SCK188" s="84"/>
      <c r="SCL188" s="84"/>
      <c r="SCM188" s="84"/>
      <c r="SCN188" s="84"/>
      <c r="SCO188" s="84"/>
      <c r="SCP188" s="84"/>
      <c r="SCQ188" s="84"/>
      <c r="SCR188" s="84"/>
      <c r="SCS188" s="84"/>
      <c r="SCT188" s="84"/>
      <c r="SCU188" s="84"/>
      <c r="SCV188" s="84"/>
      <c r="SCW188" s="84"/>
      <c r="SCX188" s="84"/>
      <c r="SCY188" s="84"/>
      <c r="SCZ188" s="84"/>
      <c r="SDA188" s="84"/>
      <c r="SDB188" s="84"/>
      <c r="SDC188" s="84"/>
      <c r="SDD188" s="84"/>
      <c r="SDE188" s="84"/>
      <c r="SDF188" s="84"/>
      <c r="SDG188" s="84"/>
      <c r="SDH188" s="84"/>
      <c r="SDI188" s="84"/>
      <c r="SDJ188" s="84"/>
      <c r="SDK188" s="84"/>
      <c r="SDL188" s="84"/>
      <c r="SDM188" s="84"/>
      <c r="SDN188" s="84"/>
      <c r="SDO188" s="84"/>
      <c r="SDP188" s="84"/>
      <c r="SDQ188" s="84"/>
      <c r="SDR188" s="84"/>
      <c r="SDS188" s="84"/>
      <c r="SDT188" s="84"/>
      <c r="SDU188" s="84"/>
      <c r="SDV188" s="84"/>
      <c r="SDW188" s="84"/>
      <c r="SDX188" s="84"/>
      <c r="SDY188" s="84"/>
      <c r="SDZ188" s="84"/>
      <c r="SEA188" s="84"/>
      <c r="SEB188" s="84"/>
      <c r="SEC188" s="84"/>
      <c r="SED188" s="84"/>
      <c r="SEE188" s="84"/>
      <c r="SEF188" s="84"/>
      <c r="SEG188" s="84"/>
      <c r="SEH188" s="84"/>
      <c r="SEI188" s="84"/>
      <c r="SEJ188" s="84"/>
      <c r="SEK188" s="84"/>
      <c r="SEL188" s="84"/>
      <c r="SEM188" s="84"/>
      <c r="SEN188" s="84"/>
      <c r="SEO188" s="84"/>
      <c r="SEP188" s="84"/>
      <c r="SEQ188" s="84"/>
      <c r="SER188" s="84"/>
      <c r="SES188" s="84"/>
      <c r="SET188" s="84"/>
      <c r="SEU188" s="84"/>
      <c r="SEV188" s="84"/>
      <c r="SEW188" s="84"/>
      <c r="SEX188" s="84"/>
      <c r="SEY188" s="84"/>
      <c r="SEZ188" s="84"/>
      <c r="SFA188" s="84"/>
      <c r="SFB188" s="84"/>
      <c r="SFC188" s="84"/>
      <c r="SFD188" s="84"/>
      <c r="SFE188" s="84"/>
      <c r="SFF188" s="84"/>
      <c r="SFG188" s="84"/>
      <c r="SFH188" s="84"/>
      <c r="SFI188" s="84"/>
      <c r="SFJ188" s="84"/>
      <c r="SFK188" s="84"/>
      <c r="SFL188" s="84"/>
      <c r="SFM188" s="84"/>
      <c r="SFN188" s="84"/>
      <c r="SFO188" s="84"/>
      <c r="SFP188" s="84"/>
      <c r="SFQ188" s="84"/>
      <c r="SFR188" s="84"/>
      <c r="SFS188" s="84"/>
      <c r="SFT188" s="84"/>
      <c r="SFU188" s="84"/>
      <c r="SFV188" s="84"/>
      <c r="SFW188" s="84"/>
      <c r="SFX188" s="84"/>
      <c r="SFY188" s="84"/>
      <c r="SFZ188" s="84"/>
      <c r="SGA188" s="84"/>
      <c r="SGB188" s="84"/>
      <c r="SGC188" s="84"/>
      <c r="SGD188" s="84"/>
      <c r="SGE188" s="84"/>
      <c r="SGF188" s="84"/>
      <c r="SGG188" s="84"/>
      <c r="SGH188" s="84"/>
      <c r="SGI188" s="84"/>
      <c r="SGJ188" s="84"/>
      <c r="SGK188" s="84"/>
      <c r="SGL188" s="84"/>
      <c r="SGM188" s="84"/>
      <c r="SGN188" s="84"/>
      <c r="SGO188" s="84"/>
      <c r="SGP188" s="84"/>
      <c r="SGQ188" s="84"/>
      <c r="SGR188" s="84"/>
      <c r="SGS188" s="84"/>
      <c r="SGT188" s="84"/>
      <c r="SGU188" s="84"/>
      <c r="SGV188" s="84"/>
      <c r="SGW188" s="84"/>
      <c r="SGX188" s="84"/>
      <c r="SGY188" s="84"/>
      <c r="SGZ188" s="84"/>
      <c r="SHA188" s="84"/>
      <c r="SHB188" s="84"/>
      <c r="SHC188" s="84"/>
      <c r="SHD188" s="84"/>
      <c r="SHE188" s="84"/>
      <c r="SHF188" s="84"/>
      <c r="SHG188" s="84"/>
      <c r="SHH188" s="84"/>
      <c r="SHI188" s="84"/>
      <c r="SHJ188" s="84"/>
      <c r="SHK188" s="84"/>
      <c r="SHL188" s="84"/>
      <c r="SHM188" s="84"/>
      <c r="SHN188" s="84"/>
      <c r="SHO188" s="84"/>
      <c r="SHP188" s="84"/>
      <c r="SHQ188" s="84"/>
      <c r="SHR188" s="84"/>
      <c r="SHS188" s="84"/>
      <c r="SHT188" s="84"/>
      <c r="SHU188" s="84"/>
      <c r="SHV188" s="84"/>
      <c r="SHW188" s="84"/>
      <c r="SHX188" s="84"/>
      <c r="SHY188" s="84"/>
      <c r="SHZ188" s="84"/>
      <c r="SIA188" s="84"/>
      <c r="SIB188" s="84"/>
      <c r="SIC188" s="84"/>
      <c r="SID188" s="84"/>
      <c r="SIE188" s="84"/>
      <c r="SIF188" s="84"/>
      <c r="SIG188" s="84"/>
      <c r="SIH188" s="84"/>
      <c r="SII188" s="84"/>
      <c r="SIJ188" s="84"/>
      <c r="SIK188" s="84"/>
      <c r="SIL188" s="84"/>
      <c r="SIM188" s="84"/>
      <c r="SIN188" s="84"/>
      <c r="SIO188" s="84"/>
      <c r="SIP188" s="84"/>
      <c r="SIQ188" s="84"/>
      <c r="SIR188" s="84"/>
      <c r="SIS188" s="84"/>
      <c r="SIT188" s="84"/>
      <c r="SIU188" s="84"/>
      <c r="SIV188" s="84"/>
      <c r="SIW188" s="84"/>
      <c r="SIX188" s="84"/>
      <c r="SIY188" s="84"/>
      <c r="SIZ188" s="84"/>
      <c r="SJA188" s="84"/>
      <c r="SJB188" s="84"/>
      <c r="SJC188" s="84"/>
      <c r="SJD188" s="84"/>
      <c r="SJE188" s="84"/>
      <c r="SJF188" s="84"/>
      <c r="SJG188" s="84"/>
      <c r="SJH188" s="84"/>
      <c r="SJI188" s="84"/>
      <c r="SJJ188" s="84"/>
      <c r="SJK188" s="84"/>
      <c r="SJL188" s="84"/>
      <c r="SJM188" s="84"/>
      <c r="SJN188" s="84"/>
      <c r="SJO188" s="84"/>
      <c r="SJP188" s="84"/>
      <c r="SJQ188" s="84"/>
      <c r="SJR188" s="84"/>
      <c r="SJS188" s="84"/>
      <c r="SJT188" s="84"/>
      <c r="SJU188" s="84"/>
      <c r="SJV188" s="84"/>
      <c r="SJW188" s="84"/>
      <c r="SJX188" s="84"/>
      <c r="SJY188" s="84"/>
      <c r="SJZ188" s="84"/>
      <c r="SKA188" s="84"/>
      <c r="SKB188" s="84"/>
      <c r="SKC188" s="84"/>
      <c r="SKD188" s="84"/>
      <c r="SKE188" s="84"/>
      <c r="SKF188" s="84"/>
      <c r="SKG188" s="84"/>
      <c r="SKH188" s="84"/>
      <c r="SKI188" s="84"/>
      <c r="SKJ188" s="84"/>
      <c r="SKK188" s="84"/>
      <c r="SKL188" s="84"/>
      <c r="SKM188" s="84"/>
      <c r="SKN188" s="84"/>
      <c r="SKO188" s="84"/>
      <c r="SKP188" s="84"/>
      <c r="SKQ188" s="84"/>
      <c r="SKR188" s="84"/>
      <c r="SKS188" s="84"/>
      <c r="SKT188" s="84"/>
      <c r="SKU188" s="84"/>
      <c r="SKV188" s="84"/>
      <c r="SKW188" s="84"/>
      <c r="SKX188" s="84"/>
      <c r="SKY188" s="84"/>
      <c r="SKZ188" s="84"/>
      <c r="SLA188" s="84"/>
      <c r="SLB188" s="84"/>
      <c r="SLC188" s="84"/>
      <c r="SLD188" s="84"/>
      <c r="SLE188" s="84"/>
      <c r="SLF188" s="84"/>
      <c r="SLG188" s="84"/>
      <c r="SLH188" s="84"/>
      <c r="SLI188" s="84"/>
      <c r="SLJ188" s="84"/>
      <c r="SLK188" s="84"/>
      <c r="SLL188" s="84"/>
      <c r="SLM188" s="84"/>
      <c r="SLN188" s="84"/>
      <c r="SLO188" s="84"/>
      <c r="SLP188" s="84"/>
      <c r="SLQ188" s="84"/>
      <c r="SLR188" s="84"/>
      <c r="SLS188" s="84"/>
      <c r="SLT188" s="84"/>
      <c r="SLU188" s="84"/>
      <c r="SLV188" s="84"/>
      <c r="SLW188" s="84"/>
      <c r="SLX188" s="84"/>
      <c r="SLY188" s="84"/>
      <c r="SLZ188" s="84"/>
      <c r="SMA188" s="84"/>
      <c r="SMB188" s="84"/>
      <c r="SMC188" s="84"/>
      <c r="SMD188" s="84"/>
      <c r="SME188" s="84"/>
      <c r="SMF188" s="84"/>
      <c r="SMG188" s="84"/>
      <c r="SMH188" s="84"/>
      <c r="SMI188" s="84"/>
      <c r="SMJ188" s="84"/>
      <c r="SMK188" s="84"/>
      <c r="SML188" s="84"/>
      <c r="SMM188" s="84"/>
      <c r="SMN188" s="84"/>
      <c r="SMO188" s="84"/>
      <c r="SMP188" s="84"/>
      <c r="SMQ188" s="84"/>
      <c r="SMR188" s="84"/>
      <c r="SMS188" s="84"/>
      <c r="SMT188" s="84"/>
      <c r="SMU188" s="84"/>
      <c r="SMV188" s="84"/>
      <c r="SMW188" s="84"/>
      <c r="SMX188" s="84"/>
      <c r="SMY188" s="84"/>
      <c r="SMZ188" s="84"/>
      <c r="SNA188" s="84"/>
      <c r="SNB188" s="84"/>
      <c r="SNC188" s="84"/>
      <c r="SND188" s="84"/>
      <c r="SNE188" s="84"/>
      <c r="SNF188" s="84"/>
      <c r="SNG188" s="84"/>
      <c r="SNH188" s="84"/>
      <c r="SNI188" s="84"/>
      <c r="SNJ188" s="84"/>
      <c r="SNK188" s="84"/>
      <c r="SNL188" s="84"/>
      <c r="SNM188" s="84"/>
      <c r="SNN188" s="84"/>
      <c r="SNO188" s="84"/>
      <c r="SNP188" s="84"/>
      <c r="SNQ188" s="84"/>
      <c r="SNR188" s="84"/>
      <c r="SNS188" s="84"/>
      <c r="SNT188" s="84"/>
      <c r="SNU188" s="84"/>
      <c r="SNV188" s="84"/>
      <c r="SNW188" s="84"/>
      <c r="SNX188" s="84"/>
      <c r="SNY188" s="84"/>
      <c r="SNZ188" s="84"/>
      <c r="SOA188" s="84"/>
      <c r="SOB188" s="84"/>
      <c r="SOC188" s="84"/>
      <c r="SOD188" s="84"/>
      <c r="SOE188" s="84"/>
      <c r="SOF188" s="84"/>
      <c r="SOG188" s="84"/>
      <c r="SOH188" s="84"/>
      <c r="SOI188" s="84"/>
      <c r="SOJ188" s="84"/>
      <c r="SOK188" s="84"/>
      <c r="SOL188" s="84"/>
      <c r="SOM188" s="84"/>
      <c r="SON188" s="84"/>
      <c r="SOO188" s="84"/>
      <c r="SOP188" s="84"/>
      <c r="SOQ188" s="84"/>
      <c r="SOR188" s="84"/>
      <c r="SOS188" s="84"/>
      <c r="SOT188" s="84"/>
      <c r="SOU188" s="84"/>
      <c r="SOV188" s="84"/>
      <c r="SOW188" s="84"/>
      <c r="SOX188" s="84"/>
      <c r="SOY188" s="84"/>
      <c r="SOZ188" s="84"/>
      <c r="SPA188" s="84"/>
      <c r="SPB188" s="84"/>
      <c r="SPC188" s="84"/>
      <c r="SPD188" s="84"/>
      <c r="SPE188" s="84"/>
      <c r="SPF188" s="84"/>
      <c r="SPG188" s="84"/>
      <c r="SPH188" s="84"/>
      <c r="SPI188" s="84"/>
      <c r="SPJ188" s="84"/>
      <c r="SPK188" s="84"/>
      <c r="SPL188" s="84"/>
      <c r="SPM188" s="84"/>
      <c r="SPN188" s="84"/>
      <c r="SPO188" s="84"/>
      <c r="SPP188" s="84"/>
      <c r="SPQ188" s="84"/>
      <c r="SPR188" s="84"/>
      <c r="SPS188" s="84"/>
      <c r="SPT188" s="84"/>
      <c r="SPU188" s="84"/>
      <c r="SPV188" s="84"/>
      <c r="SPW188" s="84"/>
      <c r="SPX188" s="84"/>
      <c r="SPY188" s="84"/>
      <c r="SPZ188" s="84"/>
      <c r="SQA188" s="84"/>
      <c r="SQB188" s="84"/>
      <c r="SQC188" s="84"/>
      <c r="SQD188" s="84"/>
      <c r="SQE188" s="84"/>
      <c r="SQF188" s="84"/>
      <c r="SQG188" s="84"/>
      <c r="SQH188" s="84"/>
      <c r="SQI188" s="84"/>
      <c r="SQJ188" s="84"/>
      <c r="SQK188" s="84"/>
      <c r="SQL188" s="84"/>
      <c r="SQM188" s="84"/>
      <c r="SQN188" s="84"/>
      <c r="SQO188" s="84"/>
      <c r="SQP188" s="84"/>
      <c r="SQQ188" s="84"/>
      <c r="SQR188" s="84"/>
      <c r="SQS188" s="84"/>
      <c r="SQT188" s="84"/>
      <c r="SQU188" s="84"/>
      <c r="SQV188" s="84"/>
      <c r="SQW188" s="84"/>
      <c r="SQX188" s="84"/>
      <c r="SQY188" s="84"/>
      <c r="SQZ188" s="84"/>
      <c r="SRA188" s="84"/>
      <c r="SRB188" s="84"/>
      <c r="SRC188" s="84"/>
      <c r="SRD188" s="84"/>
      <c r="SRE188" s="84"/>
      <c r="SRF188" s="84"/>
      <c r="SRG188" s="84"/>
      <c r="SRH188" s="84"/>
      <c r="SRI188" s="84"/>
      <c r="SRJ188" s="84"/>
      <c r="SRK188" s="84"/>
      <c r="SRL188" s="84"/>
      <c r="SRM188" s="84"/>
      <c r="SRN188" s="84"/>
      <c r="SRO188" s="84"/>
      <c r="SRP188" s="84"/>
      <c r="SRQ188" s="84"/>
      <c r="SRR188" s="84"/>
      <c r="SRS188" s="84"/>
      <c r="SRT188" s="84"/>
      <c r="SRU188" s="84"/>
      <c r="SRV188" s="84"/>
      <c r="SRW188" s="84"/>
      <c r="SRX188" s="84"/>
      <c r="SRY188" s="84"/>
      <c r="SRZ188" s="84"/>
      <c r="SSA188" s="84"/>
      <c r="SSB188" s="84"/>
      <c r="SSC188" s="84"/>
      <c r="SSD188" s="84"/>
      <c r="SSE188" s="84"/>
      <c r="SSF188" s="84"/>
      <c r="SSG188" s="84"/>
      <c r="SSH188" s="84"/>
      <c r="SSI188" s="84"/>
      <c r="SSJ188" s="84"/>
      <c r="SSK188" s="84"/>
      <c r="SSL188" s="84"/>
      <c r="SSM188" s="84"/>
      <c r="SSN188" s="84"/>
      <c r="SSO188" s="84"/>
      <c r="SSP188" s="84"/>
      <c r="SSQ188" s="84"/>
      <c r="SSR188" s="84"/>
      <c r="SSS188" s="84"/>
      <c r="SST188" s="84"/>
      <c r="SSU188" s="84"/>
      <c r="SSV188" s="84"/>
      <c r="SSW188" s="84"/>
      <c r="SSX188" s="84"/>
      <c r="SSY188" s="84"/>
      <c r="SSZ188" s="84"/>
      <c r="STA188" s="84"/>
      <c r="STB188" s="84"/>
      <c r="STC188" s="84"/>
      <c r="STD188" s="84"/>
      <c r="STE188" s="84"/>
      <c r="STF188" s="84"/>
      <c r="STG188" s="84"/>
      <c r="STH188" s="84"/>
      <c r="STI188" s="84"/>
      <c r="STJ188" s="84"/>
      <c r="STK188" s="84"/>
      <c r="STL188" s="84"/>
      <c r="STM188" s="84"/>
      <c r="STN188" s="84"/>
      <c r="STO188" s="84"/>
      <c r="STP188" s="84"/>
      <c r="STQ188" s="84"/>
      <c r="STR188" s="84"/>
      <c r="STS188" s="84"/>
      <c r="STT188" s="84"/>
      <c r="STU188" s="84"/>
      <c r="STV188" s="84"/>
      <c r="STW188" s="84"/>
      <c r="STX188" s="84"/>
      <c r="STY188" s="84"/>
      <c r="STZ188" s="84"/>
      <c r="SUA188" s="84"/>
      <c r="SUB188" s="84"/>
      <c r="SUC188" s="84"/>
      <c r="SUD188" s="84"/>
      <c r="SUE188" s="84"/>
      <c r="SUF188" s="84"/>
      <c r="SUG188" s="84"/>
      <c r="SUH188" s="84"/>
      <c r="SUI188" s="84"/>
      <c r="SUJ188" s="84"/>
      <c r="SUK188" s="84"/>
      <c r="SUL188" s="84"/>
      <c r="SUM188" s="84"/>
      <c r="SUN188" s="84"/>
      <c r="SUO188" s="84"/>
      <c r="SUP188" s="84"/>
      <c r="SUQ188" s="84"/>
      <c r="SUR188" s="84"/>
      <c r="SUS188" s="84"/>
      <c r="SUT188" s="84"/>
      <c r="SUU188" s="84"/>
      <c r="SUV188" s="84"/>
      <c r="SUW188" s="84"/>
      <c r="SUX188" s="84"/>
      <c r="SUY188" s="84"/>
      <c r="SUZ188" s="84"/>
      <c r="SVA188" s="84"/>
      <c r="SVB188" s="84"/>
      <c r="SVC188" s="84"/>
      <c r="SVD188" s="84"/>
      <c r="SVE188" s="84"/>
      <c r="SVF188" s="84"/>
      <c r="SVG188" s="84"/>
      <c r="SVH188" s="84"/>
      <c r="SVI188" s="84"/>
      <c r="SVJ188" s="84"/>
      <c r="SVK188" s="84"/>
      <c r="SVL188" s="84"/>
      <c r="SVM188" s="84"/>
      <c r="SVN188" s="84"/>
      <c r="SVO188" s="84"/>
      <c r="SVP188" s="84"/>
      <c r="SVQ188" s="84"/>
      <c r="SVR188" s="84"/>
      <c r="SVS188" s="84"/>
      <c r="SVT188" s="84"/>
      <c r="SVU188" s="84"/>
      <c r="SVV188" s="84"/>
      <c r="SVW188" s="84"/>
      <c r="SVX188" s="84"/>
      <c r="SVY188" s="84"/>
      <c r="SVZ188" s="84"/>
      <c r="SWA188" s="84"/>
      <c r="SWB188" s="84"/>
      <c r="SWC188" s="84"/>
      <c r="SWD188" s="84"/>
      <c r="SWE188" s="84"/>
      <c r="SWF188" s="84"/>
      <c r="SWG188" s="84"/>
      <c r="SWH188" s="84"/>
      <c r="SWI188" s="84"/>
      <c r="SWJ188" s="84"/>
      <c r="SWK188" s="84"/>
      <c r="SWL188" s="84"/>
      <c r="SWM188" s="84"/>
      <c r="SWN188" s="84"/>
      <c r="SWO188" s="84"/>
      <c r="SWP188" s="84"/>
      <c r="SWQ188" s="84"/>
      <c r="SWR188" s="84"/>
      <c r="SWS188" s="84"/>
      <c r="SWT188" s="84"/>
      <c r="SWU188" s="84"/>
      <c r="SWV188" s="84"/>
      <c r="SWW188" s="84"/>
      <c r="SWX188" s="84"/>
      <c r="SWY188" s="84"/>
      <c r="SWZ188" s="84"/>
      <c r="SXA188" s="84"/>
      <c r="SXB188" s="84"/>
      <c r="SXC188" s="84"/>
      <c r="SXD188" s="84"/>
      <c r="SXE188" s="84"/>
      <c r="SXF188" s="84"/>
      <c r="SXG188" s="84"/>
      <c r="SXH188" s="84"/>
      <c r="SXI188" s="84"/>
      <c r="SXJ188" s="84"/>
      <c r="SXK188" s="84"/>
      <c r="SXL188" s="84"/>
      <c r="SXM188" s="84"/>
      <c r="SXN188" s="84"/>
      <c r="SXO188" s="84"/>
      <c r="SXP188" s="84"/>
      <c r="SXQ188" s="84"/>
      <c r="SXR188" s="84"/>
      <c r="SXS188" s="84"/>
      <c r="SXT188" s="84"/>
      <c r="SXU188" s="84"/>
      <c r="SXV188" s="84"/>
      <c r="SXW188" s="84"/>
      <c r="SXX188" s="84"/>
      <c r="SXY188" s="84"/>
      <c r="SXZ188" s="84"/>
      <c r="SYA188" s="84"/>
      <c r="SYB188" s="84"/>
      <c r="SYC188" s="84"/>
      <c r="SYD188" s="84"/>
      <c r="SYE188" s="84"/>
      <c r="SYF188" s="84"/>
      <c r="SYG188" s="84"/>
      <c r="SYH188" s="84"/>
      <c r="SYI188" s="84"/>
      <c r="SYJ188" s="84"/>
      <c r="SYK188" s="84"/>
      <c r="SYL188" s="84"/>
      <c r="SYM188" s="84"/>
      <c r="SYN188" s="84"/>
      <c r="SYO188" s="84"/>
      <c r="SYP188" s="84"/>
      <c r="SYQ188" s="84"/>
      <c r="SYR188" s="84"/>
      <c r="SYS188" s="84"/>
      <c r="SYT188" s="84"/>
      <c r="SYU188" s="84"/>
      <c r="SYV188" s="84"/>
      <c r="SYW188" s="84"/>
      <c r="SYX188" s="84"/>
      <c r="SYY188" s="84"/>
      <c r="SYZ188" s="84"/>
      <c r="SZA188" s="84"/>
      <c r="SZB188" s="84"/>
      <c r="SZC188" s="84"/>
      <c r="SZD188" s="84"/>
      <c r="SZE188" s="84"/>
      <c r="SZF188" s="84"/>
      <c r="SZG188" s="84"/>
      <c r="SZH188" s="84"/>
      <c r="SZI188" s="84"/>
      <c r="SZJ188" s="84"/>
      <c r="SZK188" s="84"/>
      <c r="SZL188" s="84"/>
      <c r="SZM188" s="84"/>
      <c r="SZN188" s="84"/>
      <c r="SZO188" s="84"/>
      <c r="SZP188" s="84"/>
      <c r="SZQ188" s="84"/>
      <c r="SZR188" s="84"/>
      <c r="SZS188" s="84"/>
      <c r="SZT188" s="84"/>
      <c r="SZU188" s="84"/>
      <c r="SZV188" s="84"/>
      <c r="SZW188" s="84"/>
      <c r="SZX188" s="84"/>
      <c r="SZY188" s="84"/>
      <c r="SZZ188" s="84"/>
      <c r="TAA188" s="84"/>
      <c r="TAB188" s="84"/>
      <c r="TAC188" s="84"/>
      <c r="TAD188" s="84"/>
      <c r="TAE188" s="84"/>
      <c r="TAF188" s="84"/>
      <c r="TAG188" s="84"/>
      <c r="TAH188" s="84"/>
      <c r="TAI188" s="84"/>
      <c r="TAJ188" s="84"/>
      <c r="TAK188" s="84"/>
      <c r="TAL188" s="84"/>
      <c r="TAM188" s="84"/>
      <c r="TAN188" s="84"/>
      <c r="TAO188" s="84"/>
      <c r="TAP188" s="84"/>
      <c r="TAQ188" s="84"/>
      <c r="TAR188" s="84"/>
      <c r="TAS188" s="84"/>
      <c r="TAT188" s="84"/>
      <c r="TAU188" s="84"/>
      <c r="TAV188" s="84"/>
      <c r="TAW188" s="84"/>
      <c r="TAX188" s="84"/>
      <c r="TAY188" s="84"/>
      <c r="TAZ188" s="84"/>
      <c r="TBA188" s="84"/>
      <c r="TBB188" s="84"/>
      <c r="TBC188" s="84"/>
      <c r="TBD188" s="84"/>
      <c r="TBE188" s="84"/>
      <c r="TBF188" s="84"/>
      <c r="TBG188" s="84"/>
      <c r="TBH188" s="84"/>
      <c r="TBI188" s="84"/>
      <c r="TBJ188" s="84"/>
      <c r="TBK188" s="84"/>
      <c r="TBL188" s="84"/>
      <c r="TBM188" s="84"/>
      <c r="TBN188" s="84"/>
      <c r="TBO188" s="84"/>
      <c r="TBP188" s="84"/>
      <c r="TBQ188" s="84"/>
      <c r="TBR188" s="84"/>
      <c r="TBS188" s="84"/>
      <c r="TBT188" s="84"/>
      <c r="TBU188" s="84"/>
      <c r="TBV188" s="84"/>
      <c r="TBW188" s="84"/>
      <c r="TBX188" s="84"/>
      <c r="TBY188" s="84"/>
      <c r="TBZ188" s="84"/>
      <c r="TCA188" s="84"/>
      <c r="TCB188" s="84"/>
      <c r="TCC188" s="84"/>
      <c r="TCD188" s="84"/>
      <c r="TCE188" s="84"/>
      <c r="TCF188" s="84"/>
      <c r="TCG188" s="84"/>
      <c r="TCH188" s="84"/>
      <c r="TCI188" s="84"/>
      <c r="TCJ188" s="84"/>
      <c r="TCK188" s="84"/>
      <c r="TCL188" s="84"/>
      <c r="TCM188" s="84"/>
      <c r="TCN188" s="84"/>
      <c r="TCO188" s="84"/>
      <c r="TCP188" s="84"/>
      <c r="TCQ188" s="84"/>
      <c r="TCR188" s="84"/>
      <c r="TCS188" s="84"/>
      <c r="TCT188" s="84"/>
      <c r="TCU188" s="84"/>
      <c r="TCV188" s="84"/>
      <c r="TCW188" s="84"/>
      <c r="TCX188" s="84"/>
      <c r="TCY188" s="84"/>
      <c r="TCZ188" s="84"/>
      <c r="TDA188" s="84"/>
      <c r="TDB188" s="84"/>
      <c r="TDC188" s="84"/>
      <c r="TDD188" s="84"/>
      <c r="TDE188" s="84"/>
      <c r="TDF188" s="84"/>
      <c r="TDG188" s="84"/>
      <c r="TDH188" s="84"/>
      <c r="TDI188" s="84"/>
      <c r="TDJ188" s="84"/>
      <c r="TDK188" s="84"/>
      <c r="TDL188" s="84"/>
      <c r="TDM188" s="84"/>
      <c r="TDN188" s="84"/>
      <c r="TDO188" s="84"/>
      <c r="TDP188" s="84"/>
      <c r="TDQ188" s="84"/>
      <c r="TDR188" s="84"/>
      <c r="TDS188" s="84"/>
      <c r="TDT188" s="84"/>
      <c r="TDU188" s="84"/>
      <c r="TDV188" s="84"/>
      <c r="TDW188" s="84"/>
      <c r="TDX188" s="84"/>
      <c r="TDY188" s="84"/>
      <c r="TDZ188" s="84"/>
      <c r="TEA188" s="84"/>
      <c r="TEB188" s="84"/>
      <c r="TEC188" s="84"/>
      <c r="TED188" s="84"/>
      <c r="TEE188" s="84"/>
      <c r="TEF188" s="84"/>
      <c r="TEG188" s="84"/>
      <c r="TEH188" s="84"/>
      <c r="TEI188" s="84"/>
      <c r="TEJ188" s="84"/>
      <c r="TEK188" s="84"/>
      <c r="TEL188" s="84"/>
      <c r="TEM188" s="84"/>
      <c r="TEN188" s="84"/>
      <c r="TEO188" s="84"/>
      <c r="TEP188" s="84"/>
      <c r="TEQ188" s="84"/>
      <c r="TER188" s="84"/>
      <c r="TES188" s="84"/>
      <c r="TET188" s="84"/>
      <c r="TEU188" s="84"/>
      <c r="TEV188" s="84"/>
      <c r="TEW188" s="84"/>
      <c r="TEX188" s="84"/>
      <c r="TEY188" s="84"/>
      <c r="TEZ188" s="84"/>
      <c r="TFA188" s="84"/>
      <c r="TFB188" s="84"/>
      <c r="TFC188" s="84"/>
      <c r="TFD188" s="84"/>
      <c r="TFE188" s="84"/>
      <c r="TFF188" s="84"/>
      <c r="TFG188" s="84"/>
      <c r="TFH188" s="84"/>
      <c r="TFI188" s="84"/>
      <c r="TFJ188" s="84"/>
      <c r="TFK188" s="84"/>
      <c r="TFL188" s="84"/>
      <c r="TFM188" s="84"/>
      <c r="TFN188" s="84"/>
      <c r="TFO188" s="84"/>
      <c r="TFP188" s="84"/>
      <c r="TFQ188" s="84"/>
      <c r="TFR188" s="84"/>
      <c r="TFS188" s="84"/>
      <c r="TFT188" s="84"/>
      <c r="TFU188" s="84"/>
      <c r="TFV188" s="84"/>
      <c r="TFW188" s="84"/>
      <c r="TFX188" s="84"/>
      <c r="TFY188" s="84"/>
      <c r="TFZ188" s="84"/>
      <c r="TGA188" s="84"/>
      <c r="TGB188" s="84"/>
      <c r="TGC188" s="84"/>
      <c r="TGD188" s="84"/>
      <c r="TGE188" s="84"/>
      <c r="TGF188" s="84"/>
      <c r="TGG188" s="84"/>
      <c r="TGH188" s="84"/>
      <c r="TGI188" s="84"/>
      <c r="TGJ188" s="84"/>
      <c r="TGK188" s="84"/>
      <c r="TGL188" s="84"/>
      <c r="TGM188" s="84"/>
      <c r="TGN188" s="84"/>
      <c r="TGO188" s="84"/>
      <c r="TGP188" s="84"/>
      <c r="TGQ188" s="84"/>
      <c r="TGR188" s="84"/>
      <c r="TGS188" s="84"/>
      <c r="TGT188" s="84"/>
      <c r="TGU188" s="84"/>
      <c r="TGV188" s="84"/>
      <c r="TGW188" s="84"/>
      <c r="TGX188" s="84"/>
      <c r="TGY188" s="84"/>
      <c r="TGZ188" s="84"/>
      <c r="THA188" s="84"/>
      <c r="THB188" s="84"/>
      <c r="THC188" s="84"/>
      <c r="THD188" s="84"/>
      <c r="THE188" s="84"/>
      <c r="THF188" s="84"/>
      <c r="THG188" s="84"/>
      <c r="THH188" s="84"/>
      <c r="THI188" s="84"/>
      <c r="THJ188" s="84"/>
      <c r="THK188" s="84"/>
      <c r="THL188" s="84"/>
      <c r="THM188" s="84"/>
      <c r="THN188" s="84"/>
      <c r="THO188" s="84"/>
      <c r="THP188" s="84"/>
      <c r="THQ188" s="84"/>
      <c r="THR188" s="84"/>
      <c r="THS188" s="84"/>
      <c r="THT188" s="84"/>
      <c r="THU188" s="84"/>
      <c r="THV188" s="84"/>
      <c r="THW188" s="84"/>
      <c r="THX188" s="84"/>
      <c r="THY188" s="84"/>
      <c r="THZ188" s="84"/>
      <c r="TIA188" s="84"/>
      <c r="TIB188" s="84"/>
      <c r="TIC188" s="84"/>
      <c r="TID188" s="84"/>
      <c r="TIE188" s="84"/>
      <c r="TIF188" s="84"/>
      <c r="TIG188" s="84"/>
      <c r="TIH188" s="84"/>
      <c r="TII188" s="84"/>
      <c r="TIJ188" s="84"/>
      <c r="TIK188" s="84"/>
      <c r="TIL188" s="84"/>
      <c r="TIM188" s="84"/>
      <c r="TIN188" s="84"/>
      <c r="TIO188" s="84"/>
      <c r="TIP188" s="84"/>
      <c r="TIQ188" s="84"/>
      <c r="TIR188" s="84"/>
      <c r="TIS188" s="84"/>
      <c r="TIT188" s="84"/>
      <c r="TIU188" s="84"/>
      <c r="TIV188" s="84"/>
      <c r="TIW188" s="84"/>
      <c r="TIX188" s="84"/>
      <c r="TIY188" s="84"/>
      <c r="TIZ188" s="84"/>
      <c r="TJA188" s="84"/>
      <c r="TJB188" s="84"/>
      <c r="TJC188" s="84"/>
      <c r="TJD188" s="84"/>
      <c r="TJE188" s="84"/>
      <c r="TJF188" s="84"/>
      <c r="TJG188" s="84"/>
      <c r="TJH188" s="84"/>
      <c r="TJI188" s="84"/>
      <c r="TJJ188" s="84"/>
      <c r="TJK188" s="84"/>
      <c r="TJL188" s="84"/>
      <c r="TJM188" s="84"/>
      <c r="TJN188" s="84"/>
      <c r="TJO188" s="84"/>
      <c r="TJP188" s="84"/>
      <c r="TJQ188" s="84"/>
      <c r="TJR188" s="84"/>
      <c r="TJS188" s="84"/>
      <c r="TJT188" s="84"/>
      <c r="TJU188" s="84"/>
      <c r="TJV188" s="84"/>
      <c r="TJW188" s="84"/>
      <c r="TJX188" s="84"/>
      <c r="TJY188" s="84"/>
      <c r="TJZ188" s="84"/>
      <c r="TKA188" s="84"/>
      <c r="TKB188" s="84"/>
      <c r="TKC188" s="84"/>
      <c r="TKD188" s="84"/>
      <c r="TKE188" s="84"/>
      <c r="TKF188" s="84"/>
      <c r="TKG188" s="84"/>
      <c r="TKH188" s="84"/>
      <c r="TKI188" s="84"/>
      <c r="TKJ188" s="84"/>
      <c r="TKK188" s="84"/>
      <c r="TKL188" s="84"/>
      <c r="TKM188" s="84"/>
      <c r="TKN188" s="84"/>
      <c r="TKO188" s="84"/>
      <c r="TKP188" s="84"/>
      <c r="TKQ188" s="84"/>
      <c r="TKR188" s="84"/>
      <c r="TKS188" s="84"/>
      <c r="TKT188" s="84"/>
      <c r="TKU188" s="84"/>
      <c r="TKV188" s="84"/>
      <c r="TKW188" s="84"/>
      <c r="TKX188" s="84"/>
      <c r="TKY188" s="84"/>
      <c r="TKZ188" s="84"/>
      <c r="TLA188" s="84"/>
      <c r="TLB188" s="84"/>
      <c r="TLC188" s="84"/>
      <c r="TLD188" s="84"/>
      <c r="TLE188" s="84"/>
      <c r="TLF188" s="84"/>
      <c r="TLG188" s="84"/>
      <c r="TLH188" s="84"/>
      <c r="TLI188" s="84"/>
      <c r="TLJ188" s="84"/>
      <c r="TLK188" s="84"/>
      <c r="TLL188" s="84"/>
      <c r="TLM188" s="84"/>
      <c r="TLN188" s="84"/>
      <c r="TLO188" s="84"/>
      <c r="TLP188" s="84"/>
      <c r="TLQ188" s="84"/>
      <c r="TLR188" s="84"/>
      <c r="TLS188" s="84"/>
      <c r="TLT188" s="84"/>
      <c r="TLU188" s="84"/>
      <c r="TLV188" s="84"/>
      <c r="TLW188" s="84"/>
      <c r="TLX188" s="84"/>
      <c r="TLY188" s="84"/>
      <c r="TLZ188" s="84"/>
      <c r="TMA188" s="84"/>
      <c r="TMB188" s="84"/>
      <c r="TMC188" s="84"/>
      <c r="TMD188" s="84"/>
      <c r="TME188" s="84"/>
      <c r="TMF188" s="84"/>
      <c r="TMG188" s="84"/>
      <c r="TMH188" s="84"/>
      <c r="TMI188" s="84"/>
      <c r="TMJ188" s="84"/>
      <c r="TMK188" s="84"/>
      <c r="TML188" s="84"/>
      <c r="TMM188" s="84"/>
      <c r="TMN188" s="84"/>
      <c r="TMO188" s="84"/>
      <c r="TMP188" s="84"/>
      <c r="TMQ188" s="84"/>
      <c r="TMR188" s="84"/>
      <c r="TMS188" s="84"/>
      <c r="TMT188" s="84"/>
      <c r="TMU188" s="84"/>
      <c r="TMV188" s="84"/>
      <c r="TMW188" s="84"/>
      <c r="TMX188" s="84"/>
      <c r="TMY188" s="84"/>
      <c r="TMZ188" s="84"/>
      <c r="TNA188" s="84"/>
      <c r="TNB188" s="84"/>
      <c r="TNC188" s="84"/>
      <c r="TND188" s="84"/>
      <c r="TNE188" s="84"/>
      <c r="TNF188" s="84"/>
      <c r="TNG188" s="84"/>
      <c r="TNH188" s="84"/>
      <c r="TNI188" s="84"/>
      <c r="TNJ188" s="84"/>
      <c r="TNK188" s="84"/>
      <c r="TNL188" s="84"/>
      <c r="TNM188" s="84"/>
      <c r="TNN188" s="84"/>
      <c r="TNO188" s="84"/>
      <c r="TNP188" s="84"/>
      <c r="TNQ188" s="84"/>
      <c r="TNR188" s="84"/>
      <c r="TNS188" s="84"/>
      <c r="TNT188" s="84"/>
      <c r="TNU188" s="84"/>
      <c r="TNV188" s="84"/>
      <c r="TNW188" s="84"/>
      <c r="TNX188" s="84"/>
      <c r="TNY188" s="84"/>
      <c r="TNZ188" s="84"/>
      <c r="TOA188" s="84"/>
      <c r="TOB188" s="84"/>
      <c r="TOC188" s="84"/>
      <c r="TOD188" s="84"/>
      <c r="TOE188" s="84"/>
      <c r="TOF188" s="84"/>
      <c r="TOG188" s="84"/>
      <c r="TOH188" s="84"/>
      <c r="TOI188" s="84"/>
      <c r="TOJ188" s="84"/>
      <c r="TOK188" s="84"/>
      <c r="TOL188" s="84"/>
      <c r="TOM188" s="84"/>
      <c r="TON188" s="84"/>
      <c r="TOO188" s="84"/>
      <c r="TOP188" s="84"/>
      <c r="TOQ188" s="84"/>
      <c r="TOR188" s="84"/>
      <c r="TOS188" s="84"/>
      <c r="TOT188" s="84"/>
      <c r="TOU188" s="84"/>
      <c r="TOV188" s="84"/>
      <c r="TOW188" s="84"/>
      <c r="TOX188" s="84"/>
      <c r="TOY188" s="84"/>
      <c r="TOZ188" s="84"/>
      <c r="TPA188" s="84"/>
      <c r="TPB188" s="84"/>
      <c r="TPC188" s="84"/>
      <c r="TPD188" s="84"/>
      <c r="TPE188" s="84"/>
      <c r="TPF188" s="84"/>
      <c r="TPG188" s="84"/>
      <c r="TPH188" s="84"/>
      <c r="TPI188" s="84"/>
      <c r="TPJ188" s="84"/>
      <c r="TPK188" s="84"/>
      <c r="TPL188" s="84"/>
      <c r="TPM188" s="84"/>
      <c r="TPN188" s="84"/>
      <c r="TPO188" s="84"/>
      <c r="TPP188" s="84"/>
      <c r="TPQ188" s="84"/>
      <c r="TPR188" s="84"/>
      <c r="TPS188" s="84"/>
      <c r="TPT188" s="84"/>
      <c r="TPU188" s="84"/>
      <c r="TPV188" s="84"/>
      <c r="TPW188" s="84"/>
      <c r="TPX188" s="84"/>
      <c r="TPY188" s="84"/>
      <c r="TPZ188" s="84"/>
      <c r="TQA188" s="84"/>
      <c r="TQB188" s="84"/>
      <c r="TQC188" s="84"/>
      <c r="TQD188" s="84"/>
      <c r="TQE188" s="84"/>
      <c r="TQF188" s="84"/>
      <c r="TQG188" s="84"/>
      <c r="TQH188" s="84"/>
      <c r="TQI188" s="84"/>
      <c r="TQJ188" s="84"/>
      <c r="TQK188" s="84"/>
      <c r="TQL188" s="84"/>
      <c r="TQM188" s="84"/>
      <c r="TQN188" s="84"/>
      <c r="TQO188" s="84"/>
      <c r="TQP188" s="84"/>
      <c r="TQQ188" s="84"/>
      <c r="TQR188" s="84"/>
      <c r="TQS188" s="84"/>
      <c r="TQT188" s="84"/>
      <c r="TQU188" s="84"/>
      <c r="TQV188" s="84"/>
      <c r="TQW188" s="84"/>
      <c r="TQX188" s="84"/>
      <c r="TQY188" s="84"/>
      <c r="TQZ188" s="84"/>
      <c r="TRA188" s="84"/>
      <c r="TRB188" s="84"/>
      <c r="TRC188" s="84"/>
      <c r="TRD188" s="84"/>
      <c r="TRE188" s="84"/>
      <c r="TRF188" s="84"/>
      <c r="TRG188" s="84"/>
      <c r="TRH188" s="84"/>
      <c r="TRI188" s="84"/>
      <c r="TRJ188" s="84"/>
      <c r="TRK188" s="84"/>
      <c r="TRL188" s="84"/>
      <c r="TRM188" s="84"/>
      <c r="TRN188" s="84"/>
      <c r="TRO188" s="84"/>
      <c r="TRP188" s="84"/>
      <c r="TRQ188" s="84"/>
      <c r="TRR188" s="84"/>
      <c r="TRS188" s="84"/>
      <c r="TRT188" s="84"/>
      <c r="TRU188" s="84"/>
      <c r="TRV188" s="84"/>
      <c r="TRW188" s="84"/>
      <c r="TRX188" s="84"/>
      <c r="TRY188" s="84"/>
      <c r="TRZ188" s="84"/>
      <c r="TSA188" s="84"/>
      <c r="TSB188" s="84"/>
      <c r="TSC188" s="84"/>
      <c r="TSD188" s="84"/>
      <c r="TSE188" s="84"/>
      <c r="TSF188" s="84"/>
      <c r="TSG188" s="84"/>
      <c r="TSH188" s="84"/>
      <c r="TSI188" s="84"/>
      <c r="TSJ188" s="84"/>
      <c r="TSK188" s="84"/>
      <c r="TSL188" s="84"/>
      <c r="TSM188" s="84"/>
      <c r="TSN188" s="84"/>
      <c r="TSO188" s="84"/>
      <c r="TSP188" s="84"/>
      <c r="TSQ188" s="84"/>
      <c r="TSR188" s="84"/>
      <c r="TSS188" s="84"/>
      <c r="TST188" s="84"/>
      <c r="TSU188" s="84"/>
      <c r="TSV188" s="84"/>
      <c r="TSW188" s="84"/>
      <c r="TSX188" s="84"/>
      <c r="TSY188" s="84"/>
      <c r="TSZ188" s="84"/>
      <c r="TTA188" s="84"/>
      <c r="TTB188" s="84"/>
      <c r="TTC188" s="84"/>
      <c r="TTD188" s="84"/>
      <c r="TTE188" s="84"/>
      <c r="TTF188" s="84"/>
      <c r="TTG188" s="84"/>
      <c r="TTH188" s="84"/>
      <c r="TTI188" s="84"/>
      <c r="TTJ188" s="84"/>
      <c r="TTK188" s="84"/>
      <c r="TTL188" s="84"/>
      <c r="TTM188" s="84"/>
      <c r="TTN188" s="84"/>
      <c r="TTO188" s="84"/>
      <c r="TTP188" s="84"/>
      <c r="TTQ188" s="84"/>
      <c r="TTR188" s="84"/>
      <c r="TTS188" s="84"/>
      <c r="TTT188" s="84"/>
      <c r="TTU188" s="84"/>
      <c r="TTV188" s="84"/>
      <c r="TTW188" s="84"/>
      <c r="TTX188" s="84"/>
      <c r="TTY188" s="84"/>
      <c r="TTZ188" s="84"/>
      <c r="TUA188" s="84"/>
      <c r="TUB188" s="84"/>
      <c r="TUC188" s="84"/>
      <c r="TUD188" s="84"/>
      <c r="TUE188" s="84"/>
      <c r="TUF188" s="84"/>
      <c r="TUG188" s="84"/>
      <c r="TUH188" s="84"/>
      <c r="TUI188" s="84"/>
      <c r="TUJ188" s="84"/>
      <c r="TUK188" s="84"/>
      <c r="TUL188" s="84"/>
      <c r="TUM188" s="84"/>
      <c r="TUN188" s="84"/>
      <c r="TUO188" s="84"/>
      <c r="TUP188" s="84"/>
      <c r="TUQ188" s="84"/>
      <c r="TUR188" s="84"/>
      <c r="TUS188" s="84"/>
      <c r="TUT188" s="84"/>
      <c r="TUU188" s="84"/>
      <c r="TUV188" s="84"/>
      <c r="TUW188" s="84"/>
      <c r="TUX188" s="84"/>
      <c r="TUY188" s="84"/>
      <c r="TUZ188" s="84"/>
      <c r="TVA188" s="84"/>
      <c r="TVB188" s="84"/>
      <c r="TVC188" s="84"/>
      <c r="TVD188" s="84"/>
      <c r="TVE188" s="84"/>
      <c r="TVF188" s="84"/>
      <c r="TVG188" s="84"/>
      <c r="TVH188" s="84"/>
      <c r="TVI188" s="84"/>
      <c r="TVJ188" s="84"/>
      <c r="TVK188" s="84"/>
      <c r="TVL188" s="84"/>
      <c r="TVM188" s="84"/>
      <c r="TVN188" s="84"/>
      <c r="TVO188" s="84"/>
      <c r="TVP188" s="84"/>
      <c r="TVQ188" s="84"/>
      <c r="TVR188" s="84"/>
      <c r="TVS188" s="84"/>
      <c r="TVT188" s="84"/>
      <c r="TVU188" s="84"/>
      <c r="TVV188" s="84"/>
      <c r="TVW188" s="84"/>
      <c r="TVX188" s="84"/>
      <c r="TVY188" s="84"/>
      <c r="TVZ188" s="84"/>
      <c r="TWA188" s="84"/>
      <c r="TWB188" s="84"/>
      <c r="TWC188" s="84"/>
      <c r="TWD188" s="84"/>
      <c r="TWE188" s="84"/>
      <c r="TWF188" s="84"/>
      <c r="TWG188" s="84"/>
      <c r="TWH188" s="84"/>
      <c r="TWI188" s="84"/>
      <c r="TWJ188" s="84"/>
      <c r="TWK188" s="84"/>
      <c r="TWL188" s="84"/>
      <c r="TWM188" s="84"/>
      <c r="TWN188" s="84"/>
      <c r="TWO188" s="84"/>
      <c r="TWP188" s="84"/>
      <c r="TWQ188" s="84"/>
      <c r="TWR188" s="84"/>
      <c r="TWS188" s="84"/>
      <c r="TWT188" s="84"/>
      <c r="TWU188" s="84"/>
      <c r="TWV188" s="84"/>
      <c r="TWW188" s="84"/>
      <c r="TWX188" s="84"/>
      <c r="TWY188" s="84"/>
      <c r="TWZ188" s="84"/>
      <c r="TXA188" s="84"/>
      <c r="TXB188" s="84"/>
      <c r="TXC188" s="84"/>
      <c r="TXD188" s="84"/>
      <c r="TXE188" s="84"/>
      <c r="TXF188" s="84"/>
      <c r="TXG188" s="84"/>
      <c r="TXH188" s="84"/>
      <c r="TXI188" s="84"/>
      <c r="TXJ188" s="84"/>
      <c r="TXK188" s="84"/>
      <c r="TXL188" s="84"/>
      <c r="TXM188" s="84"/>
      <c r="TXN188" s="84"/>
      <c r="TXO188" s="84"/>
      <c r="TXP188" s="84"/>
      <c r="TXQ188" s="84"/>
      <c r="TXR188" s="84"/>
      <c r="TXS188" s="84"/>
      <c r="TXT188" s="84"/>
      <c r="TXU188" s="84"/>
      <c r="TXV188" s="84"/>
      <c r="TXW188" s="84"/>
      <c r="TXX188" s="84"/>
      <c r="TXY188" s="84"/>
      <c r="TXZ188" s="84"/>
      <c r="TYA188" s="84"/>
      <c r="TYB188" s="84"/>
      <c r="TYC188" s="84"/>
      <c r="TYD188" s="84"/>
      <c r="TYE188" s="84"/>
      <c r="TYF188" s="84"/>
      <c r="TYG188" s="84"/>
      <c r="TYH188" s="84"/>
      <c r="TYI188" s="84"/>
      <c r="TYJ188" s="84"/>
      <c r="TYK188" s="84"/>
      <c r="TYL188" s="84"/>
      <c r="TYM188" s="84"/>
      <c r="TYN188" s="84"/>
      <c r="TYO188" s="84"/>
      <c r="TYP188" s="84"/>
      <c r="TYQ188" s="84"/>
      <c r="TYR188" s="84"/>
      <c r="TYS188" s="84"/>
      <c r="TYT188" s="84"/>
      <c r="TYU188" s="84"/>
      <c r="TYV188" s="84"/>
      <c r="TYW188" s="84"/>
      <c r="TYX188" s="84"/>
      <c r="TYY188" s="84"/>
      <c r="TYZ188" s="84"/>
      <c r="TZA188" s="84"/>
      <c r="TZB188" s="84"/>
      <c r="TZC188" s="84"/>
      <c r="TZD188" s="84"/>
      <c r="TZE188" s="84"/>
      <c r="TZF188" s="84"/>
      <c r="TZG188" s="84"/>
      <c r="TZH188" s="84"/>
      <c r="TZI188" s="84"/>
      <c r="TZJ188" s="84"/>
      <c r="TZK188" s="84"/>
      <c r="TZL188" s="84"/>
      <c r="TZM188" s="84"/>
      <c r="TZN188" s="84"/>
      <c r="TZO188" s="84"/>
      <c r="TZP188" s="84"/>
      <c r="TZQ188" s="84"/>
      <c r="TZR188" s="84"/>
      <c r="TZS188" s="84"/>
      <c r="TZT188" s="84"/>
      <c r="TZU188" s="84"/>
      <c r="TZV188" s="84"/>
      <c r="TZW188" s="84"/>
      <c r="TZX188" s="84"/>
      <c r="TZY188" s="84"/>
      <c r="TZZ188" s="84"/>
      <c r="UAA188" s="84"/>
      <c r="UAB188" s="84"/>
      <c r="UAC188" s="84"/>
      <c r="UAD188" s="84"/>
      <c r="UAE188" s="84"/>
      <c r="UAF188" s="84"/>
      <c r="UAG188" s="84"/>
      <c r="UAH188" s="84"/>
      <c r="UAI188" s="84"/>
      <c r="UAJ188" s="84"/>
      <c r="UAK188" s="84"/>
      <c r="UAL188" s="84"/>
      <c r="UAM188" s="84"/>
      <c r="UAN188" s="84"/>
      <c r="UAO188" s="84"/>
      <c r="UAP188" s="84"/>
      <c r="UAQ188" s="84"/>
      <c r="UAR188" s="84"/>
      <c r="UAS188" s="84"/>
      <c r="UAT188" s="84"/>
      <c r="UAU188" s="84"/>
      <c r="UAV188" s="84"/>
      <c r="UAW188" s="84"/>
      <c r="UAX188" s="84"/>
      <c r="UAY188" s="84"/>
      <c r="UAZ188" s="84"/>
      <c r="UBA188" s="84"/>
      <c r="UBB188" s="84"/>
      <c r="UBC188" s="84"/>
      <c r="UBD188" s="84"/>
      <c r="UBE188" s="84"/>
      <c r="UBF188" s="84"/>
      <c r="UBG188" s="84"/>
      <c r="UBH188" s="84"/>
      <c r="UBI188" s="84"/>
      <c r="UBJ188" s="84"/>
      <c r="UBK188" s="84"/>
      <c r="UBL188" s="84"/>
      <c r="UBM188" s="84"/>
      <c r="UBN188" s="84"/>
      <c r="UBO188" s="84"/>
      <c r="UBP188" s="84"/>
      <c r="UBQ188" s="84"/>
      <c r="UBR188" s="84"/>
      <c r="UBS188" s="84"/>
      <c r="UBT188" s="84"/>
      <c r="UBU188" s="84"/>
      <c r="UBV188" s="84"/>
      <c r="UBW188" s="84"/>
      <c r="UBX188" s="84"/>
      <c r="UBY188" s="84"/>
      <c r="UBZ188" s="84"/>
      <c r="UCA188" s="84"/>
      <c r="UCB188" s="84"/>
      <c r="UCC188" s="84"/>
      <c r="UCD188" s="84"/>
      <c r="UCE188" s="84"/>
      <c r="UCF188" s="84"/>
      <c r="UCG188" s="84"/>
      <c r="UCH188" s="84"/>
      <c r="UCI188" s="84"/>
      <c r="UCJ188" s="84"/>
      <c r="UCK188" s="84"/>
      <c r="UCL188" s="84"/>
      <c r="UCM188" s="84"/>
      <c r="UCN188" s="84"/>
      <c r="UCO188" s="84"/>
      <c r="UCP188" s="84"/>
      <c r="UCQ188" s="84"/>
      <c r="UCR188" s="84"/>
      <c r="UCS188" s="84"/>
      <c r="UCT188" s="84"/>
      <c r="UCU188" s="84"/>
      <c r="UCV188" s="84"/>
      <c r="UCW188" s="84"/>
      <c r="UCX188" s="84"/>
      <c r="UCY188" s="84"/>
      <c r="UCZ188" s="84"/>
      <c r="UDA188" s="84"/>
      <c r="UDB188" s="84"/>
      <c r="UDC188" s="84"/>
      <c r="UDD188" s="84"/>
      <c r="UDE188" s="84"/>
      <c r="UDF188" s="84"/>
      <c r="UDG188" s="84"/>
      <c r="UDH188" s="84"/>
      <c r="UDI188" s="84"/>
      <c r="UDJ188" s="84"/>
      <c r="UDK188" s="84"/>
      <c r="UDL188" s="84"/>
      <c r="UDM188" s="84"/>
      <c r="UDN188" s="84"/>
      <c r="UDO188" s="84"/>
      <c r="UDP188" s="84"/>
      <c r="UDQ188" s="84"/>
      <c r="UDR188" s="84"/>
      <c r="UDS188" s="84"/>
      <c r="UDT188" s="84"/>
      <c r="UDU188" s="84"/>
      <c r="UDV188" s="84"/>
      <c r="UDW188" s="84"/>
      <c r="UDX188" s="84"/>
      <c r="UDY188" s="84"/>
      <c r="UDZ188" s="84"/>
      <c r="UEA188" s="84"/>
      <c r="UEB188" s="84"/>
      <c r="UEC188" s="84"/>
      <c r="UED188" s="84"/>
      <c r="UEE188" s="84"/>
      <c r="UEF188" s="84"/>
      <c r="UEG188" s="84"/>
      <c r="UEH188" s="84"/>
      <c r="UEI188" s="84"/>
      <c r="UEJ188" s="84"/>
      <c r="UEK188" s="84"/>
      <c r="UEL188" s="84"/>
      <c r="UEM188" s="84"/>
      <c r="UEN188" s="84"/>
      <c r="UEO188" s="84"/>
      <c r="UEP188" s="84"/>
      <c r="UEQ188" s="84"/>
      <c r="UER188" s="84"/>
      <c r="UES188" s="84"/>
      <c r="UET188" s="84"/>
      <c r="UEU188" s="84"/>
      <c r="UEV188" s="84"/>
      <c r="UEW188" s="84"/>
      <c r="UEX188" s="84"/>
      <c r="UEY188" s="84"/>
      <c r="UEZ188" s="84"/>
      <c r="UFA188" s="84"/>
      <c r="UFB188" s="84"/>
      <c r="UFC188" s="84"/>
      <c r="UFD188" s="84"/>
      <c r="UFE188" s="84"/>
      <c r="UFF188" s="84"/>
      <c r="UFG188" s="84"/>
      <c r="UFH188" s="84"/>
      <c r="UFI188" s="84"/>
      <c r="UFJ188" s="84"/>
      <c r="UFK188" s="84"/>
      <c r="UFL188" s="84"/>
      <c r="UFM188" s="84"/>
      <c r="UFN188" s="84"/>
      <c r="UFO188" s="84"/>
      <c r="UFP188" s="84"/>
      <c r="UFQ188" s="84"/>
      <c r="UFR188" s="84"/>
      <c r="UFS188" s="84"/>
      <c r="UFT188" s="84"/>
      <c r="UFU188" s="84"/>
      <c r="UFV188" s="84"/>
      <c r="UFW188" s="84"/>
      <c r="UFX188" s="84"/>
      <c r="UFY188" s="84"/>
      <c r="UFZ188" s="84"/>
      <c r="UGA188" s="84"/>
      <c r="UGB188" s="84"/>
      <c r="UGC188" s="84"/>
      <c r="UGD188" s="84"/>
      <c r="UGE188" s="84"/>
      <c r="UGF188" s="84"/>
      <c r="UGG188" s="84"/>
      <c r="UGH188" s="84"/>
      <c r="UGI188" s="84"/>
      <c r="UGJ188" s="84"/>
      <c r="UGK188" s="84"/>
      <c r="UGL188" s="84"/>
      <c r="UGM188" s="84"/>
      <c r="UGN188" s="84"/>
      <c r="UGO188" s="84"/>
      <c r="UGP188" s="84"/>
      <c r="UGQ188" s="84"/>
      <c r="UGR188" s="84"/>
      <c r="UGS188" s="84"/>
      <c r="UGT188" s="84"/>
      <c r="UGU188" s="84"/>
      <c r="UGV188" s="84"/>
      <c r="UGW188" s="84"/>
      <c r="UGX188" s="84"/>
      <c r="UGY188" s="84"/>
      <c r="UGZ188" s="84"/>
      <c r="UHA188" s="84"/>
      <c r="UHB188" s="84"/>
      <c r="UHC188" s="84"/>
      <c r="UHD188" s="84"/>
      <c r="UHE188" s="84"/>
      <c r="UHF188" s="84"/>
      <c r="UHG188" s="84"/>
      <c r="UHH188" s="84"/>
      <c r="UHI188" s="84"/>
      <c r="UHJ188" s="84"/>
      <c r="UHK188" s="84"/>
      <c r="UHL188" s="84"/>
      <c r="UHM188" s="84"/>
      <c r="UHN188" s="84"/>
      <c r="UHO188" s="84"/>
      <c r="UHP188" s="84"/>
      <c r="UHQ188" s="84"/>
      <c r="UHR188" s="84"/>
      <c r="UHS188" s="84"/>
      <c r="UHT188" s="84"/>
      <c r="UHU188" s="84"/>
      <c r="UHV188" s="84"/>
      <c r="UHW188" s="84"/>
      <c r="UHX188" s="84"/>
      <c r="UHY188" s="84"/>
      <c r="UHZ188" s="84"/>
      <c r="UIA188" s="84"/>
      <c r="UIB188" s="84"/>
      <c r="UIC188" s="84"/>
      <c r="UID188" s="84"/>
      <c r="UIE188" s="84"/>
      <c r="UIF188" s="84"/>
      <c r="UIG188" s="84"/>
      <c r="UIH188" s="84"/>
      <c r="UII188" s="84"/>
      <c r="UIJ188" s="84"/>
      <c r="UIK188" s="84"/>
      <c r="UIL188" s="84"/>
      <c r="UIM188" s="84"/>
      <c r="UIN188" s="84"/>
      <c r="UIO188" s="84"/>
      <c r="UIP188" s="84"/>
      <c r="UIQ188" s="84"/>
      <c r="UIR188" s="84"/>
      <c r="UIS188" s="84"/>
      <c r="UIT188" s="84"/>
      <c r="UIU188" s="84"/>
      <c r="UIV188" s="84"/>
      <c r="UIW188" s="84"/>
      <c r="UIX188" s="84"/>
      <c r="UIY188" s="84"/>
      <c r="UIZ188" s="84"/>
      <c r="UJA188" s="84"/>
      <c r="UJB188" s="84"/>
      <c r="UJC188" s="84"/>
      <c r="UJD188" s="84"/>
      <c r="UJE188" s="84"/>
      <c r="UJF188" s="84"/>
      <c r="UJG188" s="84"/>
      <c r="UJH188" s="84"/>
      <c r="UJI188" s="84"/>
      <c r="UJJ188" s="84"/>
      <c r="UJK188" s="84"/>
      <c r="UJL188" s="84"/>
      <c r="UJM188" s="84"/>
      <c r="UJN188" s="84"/>
      <c r="UJO188" s="84"/>
      <c r="UJP188" s="84"/>
      <c r="UJQ188" s="84"/>
      <c r="UJR188" s="84"/>
      <c r="UJS188" s="84"/>
      <c r="UJT188" s="84"/>
      <c r="UJU188" s="84"/>
      <c r="UJV188" s="84"/>
      <c r="UJW188" s="84"/>
      <c r="UJX188" s="84"/>
      <c r="UJY188" s="84"/>
      <c r="UJZ188" s="84"/>
      <c r="UKA188" s="84"/>
      <c r="UKB188" s="84"/>
      <c r="UKC188" s="84"/>
      <c r="UKD188" s="84"/>
      <c r="UKE188" s="84"/>
      <c r="UKF188" s="84"/>
      <c r="UKG188" s="84"/>
      <c r="UKH188" s="84"/>
      <c r="UKI188" s="84"/>
      <c r="UKJ188" s="84"/>
      <c r="UKK188" s="84"/>
      <c r="UKL188" s="84"/>
      <c r="UKM188" s="84"/>
      <c r="UKN188" s="84"/>
      <c r="UKO188" s="84"/>
      <c r="UKP188" s="84"/>
      <c r="UKQ188" s="84"/>
      <c r="UKR188" s="84"/>
      <c r="UKS188" s="84"/>
      <c r="UKT188" s="84"/>
      <c r="UKU188" s="84"/>
      <c r="UKV188" s="84"/>
      <c r="UKW188" s="84"/>
      <c r="UKX188" s="84"/>
      <c r="UKY188" s="84"/>
      <c r="UKZ188" s="84"/>
      <c r="ULA188" s="84"/>
      <c r="ULB188" s="84"/>
      <c r="ULC188" s="84"/>
      <c r="ULD188" s="84"/>
      <c r="ULE188" s="84"/>
      <c r="ULF188" s="84"/>
      <c r="ULG188" s="84"/>
      <c r="ULH188" s="84"/>
      <c r="ULI188" s="84"/>
      <c r="ULJ188" s="84"/>
      <c r="ULK188" s="84"/>
      <c r="ULL188" s="84"/>
      <c r="ULM188" s="84"/>
      <c r="ULN188" s="84"/>
      <c r="ULO188" s="84"/>
      <c r="ULP188" s="84"/>
      <c r="ULQ188" s="84"/>
      <c r="ULR188" s="84"/>
      <c r="ULS188" s="84"/>
      <c r="ULT188" s="84"/>
      <c r="ULU188" s="84"/>
      <c r="ULV188" s="84"/>
      <c r="ULW188" s="84"/>
      <c r="ULX188" s="84"/>
      <c r="ULY188" s="84"/>
      <c r="ULZ188" s="84"/>
      <c r="UMA188" s="84"/>
      <c r="UMB188" s="84"/>
      <c r="UMC188" s="84"/>
      <c r="UMD188" s="84"/>
      <c r="UME188" s="84"/>
      <c r="UMF188" s="84"/>
      <c r="UMG188" s="84"/>
      <c r="UMH188" s="84"/>
      <c r="UMI188" s="84"/>
      <c r="UMJ188" s="84"/>
      <c r="UMK188" s="84"/>
      <c r="UML188" s="84"/>
      <c r="UMM188" s="84"/>
      <c r="UMN188" s="84"/>
      <c r="UMO188" s="84"/>
      <c r="UMP188" s="84"/>
      <c r="UMQ188" s="84"/>
      <c r="UMR188" s="84"/>
      <c r="UMS188" s="84"/>
      <c r="UMT188" s="84"/>
      <c r="UMU188" s="84"/>
      <c r="UMV188" s="84"/>
      <c r="UMW188" s="84"/>
      <c r="UMX188" s="84"/>
      <c r="UMY188" s="84"/>
      <c r="UMZ188" s="84"/>
      <c r="UNA188" s="84"/>
      <c r="UNB188" s="84"/>
      <c r="UNC188" s="84"/>
      <c r="UND188" s="84"/>
      <c r="UNE188" s="84"/>
      <c r="UNF188" s="84"/>
      <c r="UNG188" s="84"/>
      <c r="UNH188" s="84"/>
      <c r="UNI188" s="84"/>
      <c r="UNJ188" s="84"/>
      <c r="UNK188" s="84"/>
      <c r="UNL188" s="84"/>
      <c r="UNM188" s="84"/>
      <c r="UNN188" s="84"/>
      <c r="UNO188" s="84"/>
      <c r="UNP188" s="84"/>
      <c r="UNQ188" s="84"/>
      <c r="UNR188" s="84"/>
      <c r="UNS188" s="84"/>
      <c r="UNT188" s="84"/>
      <c r="UNU188" s="84"/>
      <c r="UNV188" s="84"/>
      <c r="UNW188" s="84"/>
      <c r="UNX188" s="84"/>
      <c r="UNY188" s="84"/>
      <c r="UNZ188" s="84"/>
      <c r="UOA188" s="84"/>
      <c r="UOB188" s="84"/>
      <c r="UOC188" s="84"/>
      <c r="UOD188" s="84"/>
      <c r="UOE188" s="84"/>
      <c r="UOF188" s="84"/>
      <c r="UOG188" s="84"/>
      <c r="UOH188" s="84"/>
      <c r="UOI188" s="84"/>
      <c r="UOJ188" s="84"/>
      <c r="UOK188" s="84"/>
      <c r="UOL188" s="84"/>
      <c r="UOM188" s="84"/>
      <c r="UON188" s="84"/>
      <c r="UOO188" s="84"/>
      <c r="UOP188" s="84"/>
      <c r="UOQ188" s="84"/>
      <c r="UOR188" s="84"/>
      <c r="UOS188" s="84"/>
      <c r="UOT188" s="84"/>
      <c r="UOU188" s="84"/>
      <c r="UOV188" s="84"/>
      <c r="UOW188" s="84"/>
      <c r="UOX188" s="84"/>
      <c r="UOY188" s="84"/>
      <c r="UOZ188" s="84"/>
      <c r="UPA188" s="84"/>
      <c r="UPB188" s="84"/>
      <c r="UPC188" s="84"/>
      <c r="UPD188" s="84"/>
      <c r="UPE188" s="84"/>
      <c r="UPF188" s="84"/>
      <c r="UPG188" s="84"/>
      <c r="UPH188" s="84"/>
      <c r="UPI188" s="84"/>
      <c r="UPJ188" s="84"/>
      <c r="UPK188" s="84"/>
      <c r="UPL188" s="84"/>
      <c r="UPM188" s="84"/>
      <c r="UPN188" s="84"/>
      <c r="UPO188" s="84"/>
      <c r="UPP188" s="84"/>
      <c r="UPQ188" s="84"/>
      <c r="UPR188" s="84"/>
      <c r="UPS188" s="84"/>
      <c r="UPT188" s="84"/>
      <c r="UPU188" s="84"/>
      <c r="UPV188" s="84"/>
      <c r="UPW188" s="84"/>
      <c r="UPX188" s="84"/>
      <c r="UPY188" s="84"/>
      <c r="UPZ188" s="84"/>
      <c r="UQA188" s="84"/>
      <c r="UQB188" s="84"/>
      <c r="UQC188" s="84"/>
      <c r="UQD188" s="84"/>
      <c r="UQE188" s="84"/>
      <c r="UQF188" s="84"/>
      <c r="UQG188" s="84"/>
      <c r="UQH188" s="84"/>
      <c r="UQI188" s="84"/>
      <c r="UQJ188" s="84"/>
      <c r="UQK188" s="84"/>
      <c r="UQL188" s="84"/>
      <c r="UQM188" s="84"/>
      <c r="UQN188" s="84"/>
      <c r="UQO188" s="84"/>
      <c r="UQP188" s="84"/>
      <c r="UQQ188" s="84"/>
      <c r="UQR188" s="84"/>
      <c r="UQS188" s="84"/>
      <c r="UQT188" s="84"/>
      <c r="UQU188" s="84"/>
      <c r="UQV188" s="84"/>
      <c r="UQW188" s="84"/>
      <c r="UQX188" s="84"/>
      <c r="UQY188" s="84"/>
      <c r="UQZ188" s="84"/>
      <c r="URA188" s="84"/>
      <c r="URB188" s="84"/>
      <c r="URC188" s="84"/>
      <c r="URD188" s="84"/>
      <c r="URE188" s="84"/>
      <c r="URF188" s="84"/>
      <c r="URG188" s="84"/>
      <c r="URH188" s="84"/>
      <c r="URI188" s="84"/>
      <c r="URJ188" s="84"/>
      <c r="URK188" s="84"/>
      <c r="URL188" s="84"/>
      <c r="URM188" s="84"/>
      <c r="URN188" s="84"/>
      <c r="URO188" s="84"/>
      <c r="URP188" s="84"/>
      <c r="URQ188" s="84"/>
      <c r="URR188" s="84"/>
      <c r="URS188" s="84"/>
      <c r="URT188" s="84"/>
      <c r="URU188" s="84"/>
      <c r="URV188" s="84"/>
      <c r="URW188" s="84"/>
      <c r="URX188" s="84"/>
      <c r="URY188" s="84"/>
      <c r="URZ188" s="84"/>
      <c r="USA188" s="84"/>
      <c r="USB188" s="84"/>
      <c r="USC188" s="84"/>
      <c r="USD188" s="84"/>
      <c r="USE188" s="84"/>
      <c r="USF188" s="84"/>
      <c r="USG188" s="84"/>
      <c r="USH188" s="84"/>
      <c r="USI188" s="84"/>
      <c r="USJ188" s="84"/>
      <c r="USK188" s="84"/>
      <c r="USL188" s="84"/>
      <c r="USM188" s="84"/>
      <c r="USN188" s="84"/>
      <c r="USO188" s="84"/>
      <c r="USP188" s="84"/>
      <c r="USQ188" s="84"/>
      <c r="USR188" s="84"/>
      <c r="USS188" s="84"/>
      <c r="UST188" s="84"/>
      <c r="USU188" s="84"/>
      <c r="USV188" s="84"/>
      <c r="USW188" s="84"/>
      <c r="USX188" s="84"/>
      <c r="USY188" s="84"/>
      <c r="USZ188" s="84"/>
      <c r="UTA188" s="84"/>
      <c r="UTB188" s="84"/>
      <c r="UTC188" s="84"/>
      <c r="UTD188" s="84"/>
      <c r="UTE188" s="84"/>
      <c r="UTF188" s="84"/>
      <c r="UTG188" s="84"/>
      <c r="UTH188" s="84"/>
      <c r="UTI188" s="84"/>
      <c r="UTJ188" s="84"/>
      <c r="UTK188" s="84"/>
      <c r="UTL188" s="84"/>
      <c r="UTM188" s="84"/>
      <c r="UTN188" s="84"/>
      <c r="UTO188" s="84"/>
      <c r="UTP188" s="84"/>
      <c r="UTQ188" s="84"/>
      <c r="UTR188" s="84"/>
      <c r="UTS188" s="84"/>
      <c r="UTT188" s="84"/>
      <c r="UTU188" s="84"/>
      <c r="UTV188" s="84"/>
      <c r="UTW188" s="84"/>
      <c r="UTX188" s="84"/>
      <c r="UTY188" s="84"/>
      <c r="UTZ188" s="84"/>
      <c r="UUA188" s="84"/>
      <c r="UUB188" s="84"/>
      <c r="UUC188" s="84"/>
      <c r="UUD188" s="84"/>
      <c r="UUE188" s="84"/>
      <c r="UUF188" s="84"/>
      <c r="UUG188" s="84"/>
      <c r="UUH188" s="84"/>
      <c r="UUI188" s="84"/>
      <c r="UUJ188" s="84"/>
      <c r="UUK188" s="84"/>
      <c r="UUL188" s="84"/>
      <c r="UUM188" s="84"/>
      <c r="UUN188" s="84"/>
      <c r="UUO188" s="84"/>
      <c r="UUP188" s="84"/>
      <c r="UUQ188" s="84"/>
      <c r="UUR188" s="84"/>
      <c r="UUS188" s="84"/>
      <c r="UUT188" s="84"/>
      <c r="UUU188" s="84"/>
      <c r="UUV188" s="84"/>
      <c r="UUW188" s="84"/>
      <c r="UUX188" s="84"/>
      <c r="UUY188" s="84"/>
      <c r="UUZ188" s="84"/>
      <c r="UVA188" s="84"/>
      <c r="UVB188" s="84"/>
      <c r="UVC188" s="84"/>
      <c r="UVD188" s="84"/>
      <c r="UVE188" s="84"/>
      <c r="UVF188" s="84"/>
      <c r="UVG188" s="84"/>
      <c r="UVH188" s="84"/>
      <c r="UVI188" s="84"/>
      <c r="UVJ188" s="84"/>
      <c r="UVK188" s="84"/>
      <c r="UVL188" s="84"/>
      <c r="UVM188" s="84"/>
      <c r="UVN188" s="84"/>
      <c r="UVO188" s="84"/>
      <c r="UVP188" s="84"/>
      <c r="UVQ188" s="84"/>
      <c r="UVR188" s="84"/>
      <c r="UVS188" s="84"/>
      <c r="UVT188" s="84"/>
      <c r="UVU188" s="84"/>
      <c r="UVV188" s="84"/>
      <c r="UVW188" s="84"/>
      <c r="UVX188" s="84"/>
      <c r="UVY188" s="84"/>
      <c r="UVZ188" s="84"/>
      <c r="UWA188" s="84"/>
      <c r="UWB188" s="84"/>
      <c r="UWC188" s="84"/>
      <c r="UWD188" s="84"/>
      <c r="UWE188" s="84"/>
      <c r="UWF188" s="84"/>
      <c r="UWG188" s="84"/>
      <c r="UWH188" s="84"/>
      <c r="UWI188" s="84"/>
      <c r="UWJ188" s="84"/>
      <c r="UWK188" s="84"/>
      <c r="UWL188" s="84"/>
      <c r="UWM188" s="84"/>
      <c r="UWN188" s="84"/>
      <c r="UWO188" s="84"/>
      <c r="UWP188" s="84"/>
      <c r="UWQ188" s="84"/>
      <c r="UWR188" s="84"/>
      <c r="UWS188" s="84"/>
      <c r="UWT188" s="84"/>
      <c r="UWU188" s="84"/>
      <c r="UWV188" s="84"/>
      <c r="UWW188" s="84"/>
      <c r="UWX188" s="84"/>
      <c r="UWY188" s="84"/>
      <c r="UWZ188" s="84"/>
      <c r="UXA188" s="84"/>
      <c r="UXB188" s="84"/>
      <c r="UXC188" s="84"/>
      <c r="UXD188" s="84"/>
      <c r="UXE188" s="84"/>
      <c r="UXF188" s="84"/>
      <c r="UXG188" s="84"/>
      <c r="UXH188" s="84"/>
      <c r="UXI188" s="84"/>
      <c r="UXJ188" s="84"/>
      <c r="UXK188" s="84"/>
      <c r="UXL188" s="84"/>
      <c r="UXM188" s="84"/>
      <c r="UXN188" s="84"/>
      <c r="UXO188" s="84"/>
      <c r="UXP188" s="84"/>
      <c r="UXQ188" s="84"/>
      <c r="UXR188" s="84"/>
      <c r="UXS188" s="84"/>
      <c r="UXT188" s="84"/>
      <c r="UXU188" s="84"/>
      <c r="UXV188" s="84"/>
      <c r="UXW188" s="84"/>
      <c r="UXX188" s="84"/>
      <c r="UXY188" s="84"/>
      <c r="UXZ188" s="84"/>
      <c r="UYA188" s="84"/>
      <c r="UYB188" s="84"/>
      <c r="UYC188" s="84"/>
      <c r="UYD188" s="84"/>
      <c r="UYE188" s="84"/>
      <c r="UYF188" s="84"/>
      <c r="UYG188" s="84"/>
      <c r="UYH188" s="84"/>
      <c r="UYI188" s="84"/>
      <c r="UYJ188" s="84"/>
      <c r="UYK188" s="84"/>
      <c r="UYL188" s="84"/>
      <c r="UYM188" s="84"/>
      <c r="UYN188" s="84"/>
      <c r="UYO188" s="84"/>
      <c r="UYP188" s="84"/>
      <c r="UYQ188" s="84"/>
      <c r="UYR188" s="84"/>
      <c r="UYS188" s="84"/>
      <c r="UYT188" s="84"/>
      <c r="UYU188" s="84"/>
      <c r="UYV188" s="84"/>
      <c r="UYW188" s="84"/>
      <c r="UYX188" s="84"/>
      <c r="UYY188" s="84"/>
      <c r="UYZ188" s="84"/>
      <c r="UZA188" s="84"/>
      <c r="UZB188" s="84"/>
      <c r="UZC188" s="84"/>
      <c r="UZD188" s="84"/>
      <c r="UZE188" s="84"/>
      <c r="UZF188" s="84"/>
      <c r="UZG188" s="84"/>
      <c r="UZH188" s="84"/>
      <c r="UZI188" s="84"/>
      <c r="UZJ188" s="84"/>
      <c r="UZK188" s="84"/>
      <c r="UZL188" s="84"/>
      <c r="UZM188" s="84"/>
      <c r="UZN188" s="84"/>
      <c r="UZO188" s="84"/>
      <c r="UZP188" s="84"/>
      <c r="UZQ188" s="84"/>
      <c r="UZR188" s="84"/>
      <c r="UZS188" s="84"/>
      <c r="UZT188" s="84"/>
      <c r="UZU188" s="84"/>
      <c r="UZV188" s="84"/>
      <c r="UZW188" s="84"/>
      <c r="UZX188" s="84"/>
      <c r="UZY188" s="84"/>
      <c r="UZZ188" s="84"/>
      <c r="VAA188" s="84"/>
      <c r="VAB188" s="84"/>
      <c r="VAC188" s="84"/>
      <c r="VAD188" s="84"/>
      <c r="VAE188" s="84"/>
      <c r="VAF188" s="84"/>
      <c r="VAG188" s="84"/>
      <c r="VAH188" s="84"/>
      <c r="VAI188" s="84"/>
      <c r="VAJ188" s="84"/>
      <c r="VAK188" s="84"/>
      <c r="VAL188" s="84"/>
      <c r="VAM188" s="84"/>
      <c r="VAN188" s="84"/>
      <c r="VAO188" s="84"/>
      <c r="VAP188" s="84"/>
      <c r="VAQ188" s="84"/>
      <c r="VAR188" s="84"/>
      <c r="VAS188" s="84"/>
      <c r="VAT188" s="84"/>
      <c r="VAU188" s="84"/>
      <c r="VAV188" s="84"/>
      <c r="VAW188" s="84"/>
      <c r="VAX188" s="84"/>
      <c r="VAY188" s="84"/>
      <c r="VAZ188" s="84"/>
      <c r="VBA188" s="84"/>
      <c r="VBB188" s="84"/>
      <c r="VBC188" s="84"/>
      <c r="VBD188" s="84"/>
      <c r="VBE188" s="84"/>
      <c r="VBF188" s="84"/>
      <c r="VBG188" s="84"/>
      <c r="VBH188" s="84"/>
      <c r="VBI188" s="84"/>
      <c r="VBJ188" s="84"/>
      <c r="VBK188" s="84"/>
      <c r="VBL188" s="84"/>
      <c r="VBM188" s="84"/>
      <c r="VBN188" s="84"/>
      <c r="VBO188" s="84"/>
      <c r="VBP188" s="84"/>
      <c r="VBQ188" s="84"/>
      <c r="VBR188" s="84"/>
      <c r="VBS188" s="84"/>
      <c r="VBT188" s="84"/>
      <c r="VBU188" s="84"/>
      <c r="VBV188" s="84"/>
      <c r="VBW188" s="84"/>
      <c r="VBX188" s="84"/>
      <c r="VBY188" s="84"/>
      <c r="VBZ188" s="84"/>
      <c r="VCA188" s="84"/>
      <c r="VCB188" s="84"/>
      <c r="VCC188" s="84"/>
      <c r="VCD188" s="84"/>
      <c r="VCE188" s="84"/>
      <c r="VCF188" s="84"/>
      <c r="VCG188" s="84"/>
      <c r="VCH188" s="84"/>
      <c r="VCI188" s="84"/>
      <c r="VCJ188" s="84"/>
      <c r="VCK188" s="84"/>
      <c r="VCL188" s="84"/>
      <c r="VCM188" s="84"/>
      <c r="VCN188" s="84"/>
      <c r="VCO188" s="84"/>
      <c r="VCP188" s="84"/>
      <c r="VCQ188" s="84"/>
      <c r="VCR188" s="84"/>
      <c r="VCS188" s="84"/>
      <c r="VCT188" s="84"/>
      <c r="VCU188" s="84"/>
      <c r="VCV188" s="84"/>
      <c r="VCW188" s="84"/>
      <c r="VCX188" s="84"/>
      <c r="VCY188" s="84"/>
      <c r="VCZ188" s="84"/>
      <c r="VDA188" s="84"/>
      <c r="VDB188" s="84"/>
      <c r="VDC188" s="84"/>
      <c r="VDD188" s="84"/>
      <c r="VDE188" s="84"/>
      <c r="VDF188" s="84"/>
      <c r="VDG188" s="84"/>
      <c r="VDH188" s="84"/>
      <c r="VDI188" s="84"/>
      <c r="VDJ188" s="84"/>
      <c r="VDK188" s="84"/>
      <c r="VDL188" s="84"/>
      <c r="VDM188" s="84"/>
      <c r="VDN188" s="84"/>
      <c r="VDO188" s="84"/>
      <c r="VDP188" s="84"/>
      <c r="VDQ188" s="84"/>
      <c r="VDR188" s="84"/>
      <c r="VDS188" s="84"/>
      <c r="VDT188" s="84"/>
      <c r="VDU188" s="84"/>
      <c r="VDV188" s="84"/>
      <c r="VDW188" s="84"/>
      <c r="VDX188" s="84"/>
      <c r="VDY188" s="84"/>
      <c r="VDZ188" s="84"/>
      <c r="VEA188" s="84"/>
      <c r="VEB188" s="84"/>
      <c r="VEC188" s="84"/>
      <c r="VED188" s="84"/>
      <c r="VEE188" s="84"/>
      <c r="VEF188" s="84"/>
      <c r="VEG188" s="84"/>
      <c r="VEH188" s="84"/>
      <c r="VEI188" s="84"/>
      <c r="VEJ188" s="84"/>
      <c r="VEK188" s="84"/>
      <c r="VEL188" s="84"/>
      <c r="VEM188" s="84"/>
      <c r="VEN188" s="84"/>
      <c r="VEO188" s="84"/>
      <c r="VEP188" s="84"/>
      <c r="VEQ188" s="84"/>
      <c r="VER188" s="84"/>
      <c r="VES188" s="84"/>
      <c r="VET188" s="84"/>
      <c r="VEU188" s="84"/>
      <c r="VEV188" s="84"/>
      <c r="VEW188" s="84"/>
      <c r="VEX188" s="84"/>
      <c r="VEY188" s="84"/>
      <c r="VEZ188" s="84"/>
      <c r="VFA188" s="84"/>
      <c r="VFB188" s="84"/>
      <c r="VFC188" s="84"/>
      <c r="VFD188" s="84"/>
      <c r="VFE188" s="84"/>
      <c r="VFF188" s="84"/>
      <c r="VFG188" s="84"/>
      <c r="VFH188" s="84"/>
      <c r="VFI188" s="84"/>
      <c r="VFJ188" s="84"/>
      <c r="VFK188" s="84"/>
      <c r="VFL188" s="84"/>
      <c r="VFM188" s="84"/>
      <c r="VFN188" s="84"/>
      <c r="VFO188" s="84"/>
      <c r="VFP188" s="84"/>
      <c r="VFQ188" s="84"/>
      <c r="VFR188" s="84"/>
      <c r="VFS188" s="84"/>
      <c r="VFT188" s="84"/>
      <c r="VFU188" s="84"/>
      <c r="VFV188" s="84"/>
      <c r="VFW188" s="84"/>
      <c r="VFX188" s="84"/>
      <c r="VFY188" s="84"/>
      <c r="VFZ188" s="84"/>
      <c r="VGA188" s="84"/>
      <c r="VGB188" s="84"/>
      <c r="VGC188" s="84"/>
      <c r="VGD188" s="84"/>
      <c r="VGE188" s="84"/>
      <c r="VGF188" s="84"/>
      <c r="VGG188" s="84"/>
      <c r="VGH188" s="84"/>
      <c r="VGI188" s="84"/>
      <c r="VGJ188" s="84"/>
      <c r="VGK188" s="84"/>
      <c r="VGL188" s="84"/>
      <c r="VGM188" s="84"/>
      <c r="VGN188" s="84"/>
      <c r="VGO188" s="84"/>
      <c r="VGP188" s="84"/>
      <c r="VGQ188" s="84"/>
      <c r="VGR188" s="84"/>
      <c r="VGS188" s="84"/>
      <c r="VGT188" s="84"/>
      <c r="VGU188" s="84"/>
      <c r="VGV188" s="84"/>
      <c r="VGW188" s="84"/>
      <c r="VGX188" s="84"/>
      <c r="VGY188" s="84"/>
      <c r="VGZ188" s="84"/>
      <c r="VHA188" s="84"/>
      <c r="VHB188" s="84"/>
      <c r="VHC188" s="84"/>
      <c r="VHD188" s="84"/>
      <c r="VHE188" s="84"/>
      <c r="VHF188" s="84"/>
      <c r="VHG188" s="84"/>
      <c r="VHH188" s="84"/>
      <c r="VHI188" s="84"/>
      <c r="VHJ188" s="84"/>
      <c r="VHK188" s="84"/>
      <c r="VHL188" s="84"/>
      <c r="VHM188" s="84"/>
      <c r="VHN188" s="84"/>
      <c r="VHO188" s="84"/>
      <c r="VHP188" s="84"/>
      <c r="VHQ188" s="84"/>
      <c r="VHR188" s="84"/>
      <c r="VHS188" s="84"/>
      <c r="VHT188" s="84"/>
      <c r="VHU188" s="84"/>
      <c r="VHV188" s="84"/>
      <c r="VHW188" s="84"/>
      <c r="VHX188" s="84"/>
      <c r="VHY188" s="84"/>
      <c r="VHZ188" s="84"/>
      <c r="VIA188" s="84"/>
      <c r="VIB188" s="84"/>
      <c r="VIC188" s="84"/>
      <c r="VID188" s="84"/>
      <c r="VIE188" s="84"/>
      <c r="VIF188" s="84"/>
      <c r="VIG188" s="84"/>
      <c r="VIH188" s="84"/>
      <c r="VII188" s="84"/>
      <c r="VIJ188" s="84"/>
      <c r="VIK188" s="84"/>
      <c r="VIL188" s="84"/>
      <c r="VIM188" s="84"/>
      <c r="VIN188" s="84"/>
      <c r="VIO188" s="84"/>
      <c r="VIP188" s="84"/>
      <c r="VIQ188" s="84"/>
      <c r="VIR188" s="84"/>
      <c r="VIS188" s="84"/>
      <c r="VIT188" s="84"/>
      <c r="VIU188" s="84"/>
      <c r="VIV188" s="84"/>
      <c r="VIW188" s="84"/>
      <c r="VIX188" s="84"/>
      <c r="VIY188" s="84"/>
      <c r="VIZ188" s="84"/>
      <c r="VJA188" s="84"/>
      <c r="VJB188" s="84"/>
      <c r="VJC188" s="84"/>
      <c r="VJD188" s="84"/>
      <c r="VJE188" s="84"/>
      <c r="VJF188" s="84"/>
      <c r="VJG188" s="84"/>
      <c r="VJH188" s="84"/>
      <c r="VJI188" s="84"/>
      <c r="VJJ188" s="84"/>
      <c r="VJK188" s="84"/>
      <c r="VJL188" s="84"/>
      <c r="VJM188" s="84"/>
      <c r="VJN188" s="84"/>
      <c r="VJO188" s="84"/>
      <c r="VJP188" s="84"/>
      <c r="VJQ188" s="84"/>
      <c r="VJR188" s="84"/>
      <c r="VJS188" s="84"/>
      <c r="VJT188" s="84"/>
      <c r="VJU188" s="84"/>
      <c r="VJV188" s="84"/>
      <c r="VJW188" s="84"/>
      <c r="VJX188" s="84"/>
      <c r="VJY188" s="84"/>
      <c r="VJZ188" s="84"/>
      <c r="VKA188" s="84"/>
      <c r="VKB188" s="84"/>
      <c r="VKC188" s="84"/>
      <c r="VKD188" s="84"/>
      <c r="VKE188" s="84"/>
      <c r="VKF188" s="84"/>
      <c r="VKG188" s="84"/>
      <c r="VKH188" s="84"/>
      <c r="VKI188" s="84"/>
      <c r="VKJ188" s="84"/>
      <c r="VKK188" s="84"/>
      <c r="VKL188" s="84"/>
      <c r="VKM188" s="84"/>
      <c r="VKN188" s="84"/>
      <c r="VKO188" s="84"/>
      <c r="VKP188" s="84"/>
      <c r="VKQ188" s="84"/>
      <c r="VKR188" s="84"/>
      <c r="VKS188" s="84"/>
      <c r="VKT188" s="84"/>
      <c r="VKU188" s="84"/>
      <c r="VKV188" s="84"/>
      <c r="VKW188" s="84"/>
      <c r="VKX188" s="84"/>
      <c r="VKY188" s="84"/>
      <c r="VKZ188" s="84"/>
      <c r="VLA188" s="84"/>
      <c r="VLB188" s="84"/>
      <c r="VLC188" s="84"/>
      <c r="VLD188" s="84"/>
      <c r="VLE188" s="84"/>
      <c r="VLF188" s="84"/>
      <c r="VLG188" s="84"/>
      <c r="VLH188" s="84"/>
      <c r="VLI188" s="84"/>
      <c r="VLJ188" s="84"/>
      <c r="VLK188" s="84"/>
      <c r="VLL188" s="84"/>
      <c r="VLM188" s="84"/>
      <c r="VLN188" s="84"/>
      <c r="VLO188" s="84"/>
      <c r="VLP188" s="84"/>
      <c r="VLQ188" s="84"/>
      <c r="VLR188" s="84"/>
      <c r="VLS188" s="84"/>
      <c r="VLT188" s="84"/>
      <c r="VLU188" s="84"/>
      <c r="VLV188" s="84"/>
      <c r="VLW188" s="84"/>
      <c r="VLX188" s="84"/>
      <c r="VLY188" s="84"/>
      <c r="VLZ188" s="84"/>
      <c r="VMA188" s="84"/>
      <c r="VMB188" s="84"/>
      <c r="VMC188" s="84"/>
      <c r="VMD188" s="84"/>
      <c r="VME188" s="84"/>
      <c r="VMF188" s="84"/>
      <c r="VMG188" s="84"/>
      <c r="VMH188" s="84"/>
      <c r="VMI188" s="84"/>
      <c r="VMJ188" s="84"/>
      <c r="VMK188" s="84"/>
      <c r="VML188" s="84"/>
      <c r="VMM188" s="84"/>
      <c r="VMN188" s="84"/>
      <c r="VMO188" s="84"/>
      <c r="VMP188" s="84"/>
      <c r="VMQ188" s="84"/>
      <c r="VMR188" s="84"/>
      <c r="VMS188" s="84"/>
      <c r="VMT188" s="84"/>
      <c r="VMU188" s="84"/>
      <c r="VMV188" s="84"/>
      <c r="VMW188" s="84"/>
      <c r="VMX188" s="84"/>
      <c r="VMY188" s="84"/>
      <c r="VMZ188" s="84"/>
      <c r="VNA188" s="84"/>
      <c r="VNB188" s="84"/>
      <c r="VNC188" s="84"/>
      <c r="VND188" s="84"/>
      <c r="VNE188" s="84"/>
      <c r="VNF188" s="84"/>
      <c r="VNG188" s="84"/>
      <c r="VNH188" s="84"/>
      <c r="VNI188" s="84"/>
      <c r="VNJ188" s="84"/>
      <c r="VNK188" s="84"/>
      <c r="VNL188" s="84"/>
      <c r="VNM188" s="84"/>
      <c r="VNN188" s="84"/>
      <c r="VNO188" s="84"/>
      <c r="VNP188" s="84"/>
      <c r="VNQ188" s="84"/>
      <c r="VNR188" s="84"/>
      <c r="VNS188" s="84"/>
      <c r="VNT188" s="84"/>
      <c r="VNU188" s="84"/>
      <c r="VNV188" s="84"/>
      <c r="VNW188" s="84"/>
      <c r="VNX188" s="84"/>
      <c r="VNY188" s="84"/>
      <c r="VNZ188" s="84"/>
      <c r="VOA188" s="84"/>
      <c r="VOB188" s="84"/>
      <c r="VOC188" s="84"/>
      <c r="VOD188" s="84"/>
      <c r="VOE188" s="84"/>
      <c r="VOF188" s="84"/>
      <c r="VOG188" s="84"/>
      <c r="VOH188" s="84"/>
      <c r="VOI188" s="84"/>
      <c r="VOJ188" s="84"/>
      <c r="VOK188" s="84"/>
      <c r="VOL188" s="84"/>
      <c r="VOM188" s="84"/>
      <c r="VON188" s="84"/>
      <c r="VOO188" s="84"/>
      <c r="VOP188" s="84"/>
      <c r="VOQ188" s="84"/>
      <c r="VOR188" s="84"/>
      <c r="VOS188" s="84"/>
      <c r="VOT188" s="84"/>
      <c r="VOU188" s="84"/>
      <c r="VOV188" s="84"/>
      <c r="VOW188" s="84"/>
      <c r="VOX188" s="84"/>
      <c r="VOY188" s="84"/>
      <c r="VOZ188" s="84"/>
      <c r="VPA188" s="84"/>
      <c r="VPB188" s="84"/>
      <c r="VPC188" s="84"/>
      <c r="VPD188" s="84"/>
      <c r="VPE188" s="84"/>
      <c r="VPF188" s="84"/>
      <c r="VPG188" s="84"/>
      <c r="VPH188" s="84"/>
      <c r="VPI188" s="84"/>
      <c r="VPJ188" s="84"/>
      <c r="VPK188" s="84"/>
      <c r="VPL188" s="84"/>
      <c r="VPM188" s="84"/>
      <c r="VPN188" s="84"/>
      <c r="VPO188" s="84"/>
      <c r="VPP188" s="84"/>
      <c r="VPQ188" s="84"/>
      <c r="VPR188" s="84"/>
      <c r="VPS188" s="84"/>
      <c r="VPT188" s="84"/>
      <c r="VPU188" s="84"/>
      <c r="VPV188" s="84"/>
      <c r="VPW188" s="84"/>
      <c r="VPX188" s="84"/>
      <c r="VPY188" s="84"/>
      <c r="VPZ188" s="84"/>
      <c r="VQA188" s="84"/>
      <c r="VQB188" s="84"/>
      <c r="VQC188" s="84"/>
      <c r="VQD188" s="84"/>
      <c r="VQE188" s="84"/>
      <c r="VQF188" s="84"/>
      <c r="VQG188" s="84"/>
      <c r="VQH188" s="84"/>
      <c r="VQI188" s="84"/>
      <c r="VQJ188" s="84"/>
      <c r="VQK188" s="84"/>
      <c r="VQL188" s="84"/>
      <c r="VQM188" s="84"/>
      <c r="VQN188" s="84"/>
      <c r="VQO188" s="84"/>
      <c r="VQP188" s="84"/>
      <c r="VQQ188" s="84"/>
      <c r="VQR188" s="84"/>
      <c r="VQS188" s="84"/>
      <c r="VQT188" s="84"/>
      <c r="VQU188" s="84"/>
      <c r="VQV188" s="84"/>
      <c r="VQW188" s="84"/>
      <c r="VQX188" s="84"/>
      <c r="VQY188" s="84"/>
      <c r="VQZ188" s="84"/>
      <c r="VRA188" s="84"/>
      <c r="VRB188" s="84"/>
      <c r="VRC188" s="84"/>
      <c r="VRD188" s="84"/>
      <c r="VRE188" s="84"/>
      <c r="VRF188" s="84"/>
      <c r="VRG188" s="84"/>
      <c r="VRH188" s="84"/>
      <c r="VRI188" s="84"/>
      <c r="VRJ188" s="84"/>
      <c r="VRK188" s="84"/>
      <c r="VRL188" s="84"/>
      <c r="VRM188" s="84"/>
      <c r="VRN188" s="84"/>
      <c r="VRO188" s="84"/>
      <c r="VRP188" s="84"/>
      <c r="VRQ188" s="84"/>
      <c r="VRR188" s="84"/>
      <c r="VRS188" s="84"/>
      <c r="VRT188" s="84"/>
      <c r="VRU188" s="84"/>
      <c r="VRV188" s="84"/>
      <c r="VRW188" s="84"/>
      <c r="VRX188" s="84"/>
      <c r="VRY188" s="84"/>
      <c r="VRZ188" s="84"/>
      <c r="VSA188" s="84"/>
      <c r="VSB188" s="84"/>
      <c r="VSC188" s="84"/>
      <c r="VSD188" s="84"/>
      <c r="VSE188" s="84"/>
      <c r="VSF188" s="84"/>
      <c r="VSG188" s="84"/>
      <c r="VSH188" s="84"/>
      <c r="VSI188" s="84"/>
      <c r="VSJ188" s="84"/>
      <c r="VSK188" s="84"/>
      <c r="VSL188" s="84"/>
      <c r="VSM188" s="84"/>
      <c r="VSN188" s="84"/>
      <c r="VSO188" s="84"/>
      <c r="VSP188" s="84"/>
      <c r="VSQ188" s="84"/>
      <c r="VSR188" s="84"/>
      <c r="VSS188" s="84"/>
      <c r="VST188" s="84"/>
      <c r="VSU188" s="84"/>
      <c r="VSV188" s="84"/>
      <c r="VSW188" s="84"/>
      <c r="VSX188" s="84"/>
      <c r="VSY188" s="84"/>
      <c r="VSZ188" s="84"/>
      <c r="VTA188" s="84"/>
      <c r="VTB188" s="84"/>
      <c r="VTC188" s="84"/>
      <c r="VTD188" s="84"/>
      <c r="VTE188" s="84"/>
      <c r="VTF188" s="84"/>
      <c r="VTG188" s="84"/>
      <c r="VTH188" s="84"/>
      <c r="VTI188" s="84"/>
      <c r="VTJ188" s="84"/>
      <c r="VTK188" s="84"/>
      <c r="VTL188" s="84"/>
      <c r="VTM188" s="84"/>
      <c r="VTN188" s="84"/>
      <c r="VTO188" s="84"/>
      <c r="VTP188" s="84"/>
      <c r="VTQ188" s="84"/>
      <c r="VTR188" s="84"/>
      <c r="VTS188" s="84"/>
      <c r="VTT188" s="84"/>
      <c r="VTU188" s="84"/>
      <c r="VTV188" s="84"/>
      <c r="VTW188" s="84"/>
      <c r="VTX188" s="84"/>
      <c r="VTY188" s="84"/>
      <c r="VTZ188" s="84"/>
      <c r="VUA188" s="84"/>
      <c r="VUB188" s="84"/>
      <c r="VUC188" s="84"/>
      <c r="VUD188" s="84"/>
      <c r="VUE188" s="84"/>
      <c r="VUF188" s="84"/>
      <c r="VUG188" s="84"/>
      <c r="VUH188" s="84"/>
      <c r="VUI188" s="84"/>
      <c r="VUJ188" s="84"/>
      <c r="VUK188" s="84"/>
      <c r="VUL188" s="84"/>
      <c r="VUM188" s="84"/>
      <c r="VUN188" s="84"/>
      <c r="VUO188" s="84"/>
      <c r="VUP188" s="84"/>
      <c r="VUQ188" s="84"/>
      <c r="VUR188" s="84"/>
      <c r="VUS188" s="84"/>
      <c r="VUT188" s="84"/>
      <c r="VUU188" s="84"/>
      <c r="VUV188" s="84"/>
      <c r="VUW188" s="84"/>
      <c r="VUX188" s="84"/>
      <c r="VUY188" s="84"/>
      <c r="VUZ188" s="84"/>
      <c r="VVA188" s="84"/>
      <c r="VVB188" s="84"/>
      <c r="VVC188" s="84"/>
      <c r="VVD188" s="84"/>
      <c r="VVE188" s="84"/>
      <c r="VVF188" s="84"/>
      <c r="VVG188" s="84"/>
      <c r="VVH188" s="84"/>
      <c r="VVI188" s="84"/>
      <c r="VVJ188" s="84"/>
      <c r="VVK188" s="84"/>
      <c r="VVL188" s="84"/>
      <c r="VVM188" s="84"/>
      <c r="VVN188" s="84"/>
      <c r="VVO188" s="84"/>
      <c r="VVP188" s="84"/>
      <c r="VVQ188" s="84"/>
      <c r="VVR188" s="84"/>
      <c r="VVS188" s="84"/>
      <c r="VVT188" s="84"/>
      <c r="VVU188" s="84"/>
      <c r="VVV188" s="84"/>
      <c r="VVW188" s="84"/>
      <c r="VVX188" s="84"/>
      <c r="VVY188" s="84"/>
      <c r="VVZ188" s="84"/>
      <c r="VWA188" s="84"/>
      <c r="VWB188" s="84"/>
      <c r="VWC188" s="84"/>
      <c r="VWD188" s="84"/>
      <c r="VWE188" s="84"/>
      <c r="VWF188" s="84"/>
      <c r="VWG188" s="84"/>
      <c r="VWH188" s="84"/>
      <c r="VWI188" s="84"/>
      <c r="VWJ188" s="84"/>
      <c r="VWK188" s="84"/>
      <c r="VWL188" s="84"/>
      <c r="VWM188" s="84"/>
      <c r="VWN188" s="84"/>
      <c r="VWO188" s="84"/>
      <c r="VWP188" s="84"/>
      <c r="VWQ188" s="84"/>
      <c r="VWR188" s="84"/>
      <c r="VWS188" s="84"/>
      <c r="VWT188" s="84"/>
      <c r="VWU188" s="84"/>
      <c r="VWV188" s="84"/>
      <c r="VWW188" s="84"/>
      <c r="VWX188" s="84"/>
      <c r="VWY188" s="84"/>
      <c r="VWZ188" s="84"/>
      <c r="VXA188" s="84"/>
      <c r="VXB188" s="84"/>
      <c r="VXC188" s="84"/>
      <c r="VXD188" s="84"/>
      <c r="VXE188" s="84"/>
      <c r="VXF188" s="84"/>
      <c r="VXG188" s="84"/>
      <c r="VXH188" s="84"/>
      <c r="VXI188" s="84"/>
      <c r="VXJ188" s="84"/>
      <c r="VXK188" s="84"/>
      <c r="VXL188" s="84"/>
      <c r="VXM188" s="84"/>
      <c r="VXN188" s="84"/>
      <c r="VXO188" s="84"/>
      <c r="VXP188" s="84"/>
      <c r="VXQ188" s="84"/>
      <c r="VXR188" s="84"/>
      <c r="VXS188" s="84"/>
      <c r="VXT188" s="84"/>
      <c r="VXU188" s="84"/>
      <c r="VXV188" s="84"/>
      <c r="VXW188" s="84"/>
      <c r="VXX188" s="84"/>
      <c r="VXY188" s="84"/>
      <c r="VXZ188" s="84"/>
      <c r="VYA188" s="84"/>
      <c r="VYB188" s="84"/>
      <c r="VYC188" s="84"/>
      <c r="VYD188" s="84"/>
      <c r="VYE188" s="84"/>
      <c r="VYF188" s="84"/>
      <c r="VYG188" s="84"/>
      <c r="VYH188" s="84"/>
      <c r="VYI188" s="84"/>
      <c r="VYJ188" s="84"/>
      <c r="VYK188" s="84"/>
      <c r="VYL188" s="84"/>
      <c r="VYM188" s="84"/>
      <c r="VYN188" s="84"/>
      <c r="VYO188" s="84"/>
      <c r="VYP188" s="84"/>
      <c r="VYQ188" s="84"/>
      <c r="VYR188" s="84"/>
      <c r="VYS188" s="84"/>
      <c r="VYT188" s="84"/>
      <c r="VYU188" s="84"/>
      <c r="VYV188" s="84"/>
      <c r="VYW188" s="84"/>
      <c r="VYX188" s="84"/>
      <c r="VYY188" s="84"/>
      <c r="VYZ188" s="84"/>
      <c r="VZA188" s="84"/>
      <c r="VZB188" s="84"/>
      <c r="VZC188" s="84"/>
      <c r="VZD188" s="84"/>
      <c r="VZE188" s="84"/>
      <c r="VZF188" s="84"/>
      <c r="VZG188" s="84"/>
      <c r="VZH188" s="84"/>
      <c r="VZI188" s="84"/>
      <c r="VZJ188" s="84"/>
      <c r="VZK188" s="84"/>
      <c r="VZL188" s="84"/>
      <c r="VZM188" s="84"/>
      <c r="VZN188" s="84"/>
      <c r="VZO188" s="84"/>
      <c r="VZP188" s="84"/>
      <c r="VZQ188" s="84"/>
      <c r="VZR188" s="84"/>
      <c r="VZS188" s="84"/>
      <c r="VZT188" s="84"/>
      <c r="VZU188" s="84"/>
      <c r="VZV188" s="84"/>
      <c r="VZW188" s="84"/>
      <c r="VZX188" s="84"/>
      <c r="VZY188" s="84"/>
      <c r="VZZ188" s="84"/>
      <c r="WAA188" s="84"/>
      <c r="WAB188" s="84"/>
      <c r="WAC188" s="84"/>
      <c r="WAD188" s="84"/>
      <c r="WAE188" s="84"/>
      <c r="WAF188" s="84"/>
      <c r="WAG188" s="84"/>
      <c r="WAH188" s="84"/>
      <c r="WAI188" s="84"/>
      <c r="WAJ188" s="84"/>
      <c r="WAK188" s="84"/>
      <c r="WAL188" s="84"/>
      <c r="WAM188" s="84"/>
      <c r="WAN188" s="84"/>
      <c r="WAO188" s="84"/>
      <c r="WAP188" s="84"/>
      <c r="WAQ188" s="84"/>
      <c r="WAR188" s="84"/>
      <c r="WAS188" s="84"/>
      <c r="WAT188" s="84"/>
      <c r="WAU188" s="84"/>
      <c r="WAV188" s="84"/>
      <c r="WAW188" s="84"/>
      <c r="WAX188" s="84"/>
      <c r="WAY188" s="84"/>
      <c r="WAZ188" s="84"/>
      <c r="WBA188" s="84"/>
      <c r="WBB188" s="84"/>
      <c r="WBC188" s="84"/>
      <c r="WBD188" s="84"/>
      <c r="WBE188" s="84"/>
      <c r="WBF188" s="84"/>
      <c r="WBG188" s="84"/>
      <c r="WBH188" s="84"/>
      <c r="WBI188" s="84"/>
      <c r="WBJ188" s="84"/>
      <c r="WBK188" s="84"/>
      <c r="WBL188" s="84"/>
      <c r="WBM188" s="84"/>
      <c r="WBN188" s="84"/>
      <c r="WBO188" s="84"/>
      <c r="WBP188" s="84"/>
      <c r="WBQ188" s="84"/>
      <c r="WBR188" s="84"/>
      <c r="WBS188" s="84"/>
      <c r="WBT188" s="84"/>
      <c r="WBU188" s="84"/>
      <c r="WBV188" s="84"/>
      <c r="WBW188" s="84"/>
      <c r="WBX188" s="84"/>
      <c r="WBY188" s="84"/>
      <c r="WBZ188" s="84"/>
      <c r="WCA188" s="84"/>
      <c r="WCB188" s="84"/>
      <c r="WCC188" s="84"/>
      <c r="WCD188" s="84"/>
      <c r="WCE188" s="84"/>
      <c r="WCF188" s="84"/>
      <c r="WCG188" s="84"/>
      <c r="WCH188" s="84"/>
      <c r="WCI188" s="84"/>
      <c r="WCJ188" s="84"/>
      <c r="WCK188" s="84"/>
      <c r="WCL188" s="84"/>
      <c r="WCM188" s="84"/>
      <c r="WCN188" s="84"/>
      <c r="WCO188" s="84"/>
      <c r="WCP188" s="84"/>
      <c r="WCQ188" s="84"/>
      <c r="WCR188" s="84"/>
      <c r="WCS188" s="84"/>
      <c r="WCT188" s="84"/>
      <c r="WCU188" s="84"/>
      <c r="WCV188" s="84"/>
      <c r="WCW188" s="84"/>
      <c r="WCX188" s="84"/>
      <c r="WCY188" s="84"/>
      <c r="WCZ188" s="84"/>
      <c r="WDA188" s="84"/>
      <c r="WDB188" s="84"/>
      <c r="WDC188" s="84"/>
      <c r="WDD188" s="84"/>
      <c r="WDE188" s="84"/>
      <c r="WDF188" s="84"/>
      <c r="WDG188" s="84"/>
      <c r="WDH188" s="84"/>
      <c r="WDI188" s="84"/>
      <c r="WDJ188" s="84"/>
      <c r="WDK188" s="84"/>
      <c r="WDL188" s="84"/>
      <c r="WDM188" s="84"/>
      <c r="WDN188" s="84"/>
      <c r="WDO188" s="84"/>
      <c r="WDP188" s="84"/>
      <c r="WDQ188" s="84"/>
      <c r="WDR188" s="84"/>
      <c r="WDS188" s="84"/>
      <c r="WDT188" s="84"/>
      <c r="WDU188" s="84"/>
      <c r="WDV188" s="84"/>
      <c r="WDW188" s="84"/>
      <c r="WDX188" s="84"/>
      <c r="WDY188" s="84"/>
      <c r="WDZ188" s="84"/>
      <c r="WEA188" s="84"/>
      <c r="WEB188" s="84"/>
      <c r="WEC188" s="84"/>
      <c r="WED188" s="84"/>
      <c r="WEE188" s="84"/>
      <c r="WEF188" s="84"/>
      <c r="WEG188" s="84"/>
      <c r="WEH188" s="84"/>
      <c r="WEI188" s="84"/>
      <c r="WEJ188" s="84"/>
      <c r="WEK188" s="84"/>
      <c r="WEL188" s="84"/>
      <c r="WEM188" s="84"/>
      <c r="WEN188" s="84"/>
      <c r="WEO188" s="84"/>
      <c r="WEP188" s="84"/>
      <c r="WEQ188" s="84"/>
      <c r="WER188" s="84"/>
      <c r="WES188" s="84"/>
      <c r="WET188" s="84"/>
      <c r="WEU188" s="84"/>
      <c r="WEV188" s="84"/>
      <c r="WEW188" s="84"/>
      <c r="WEX188" s="84"/>
      <c r="WEY188" s="84"/>
      <c r="WEZ188" s="84"/>
      <c r="WFA188" s="84"/>
      <c r="WFB188" s="84"/>
      <c r="WFC188" s="84"/>
      <c r="WFD188" s="84"/>
      <c r="WFE188" s="84"/>
      <c r="WFF188" s="84"/>
      <c r="WFG188" s="84"/>
      <c r="WFH188" s="84"/>
      <c r="WFI188" s="84"/>
      <c r="WFJ188" s="84"/>
      <c r="WFK188" s="84"/>
      <c r="WFL188" s="84"/>
      <c r="WFM188" s="84"/>
      <c r="WFN188" s="84"/>
      <c r="WFO188" s="84"/>
      <c r="WFP188" s="84"/>
      <c r="WFQ188" s="84"/>
      <c r="WFR188" s="84"/>
      <c r="WFS188" s="84"/>
      <c r="WFT188" s="84"/>
      <c r="WFU188" s="84"/>
      <c r="WFV188" s="84"/>
      <c r="WFW188" s="84"/>
      <c r="WFX188" s="84"/>
      <c r="WFY188" s="84"/>
      <c r="WFZ188" s="84"/>
      <c r="WGA188" s="84"/>
      <c r="WGB188" s="84"/>
      <c r="WGC188" s="84"/>
      <c r="WGD188" s="84"/>
      <c r="WGE188" s="84"/>
      <c r="WGF188" s="84"/>
      <c r="WGG188" s="84"/>
      <c r="WGH188" s="84"/>
      <c r="WGI188" s="84"/>
      <c r="WGJ188" s="84"/>
      <c r="WGK188" s="84"/>
      <c r="WGL188" s="84"/>
      <c r="WGM188" s="84"/>
      <c r="WGN188" s="84"/>
      <c r="WGO188" s="84"/>
      <c r="WGP188" s="84"/>
      <c r="WGQ188" s="84"/>
      <c r="WGR188" s="84"/>
      <c r="WGS188" s="84"/>
      <c r="WGT188" s="84"/>
      <c r="WGU188" s="84"/>
      <c r="WGV188" s="84"/>
      <c r="WGW188" s="84"/>
      <c r="WGX188" s="84"/>
      <c r="WGY188" s="84"/>
      <c r="WGZ188" s="84"/>
      <c r="WHA188" s="84"/>
      <c r="WHB188" s="84"/>
      <c r="WHC188" s="84"/>
      <c r="WHD188" s="84"/>
      <c r="WHE188" s="84"/>
      <c r="WHF188" s="84"/>
      <c r="WHG188" s="84"/>
      <c r="WHH188" s="84"/>
      <c r="WHI188" s="84"/>
      <c r="WHJ188" s="84"/>
      <c r="WHK188" s="84"/>
      <c r="WHL188" s="84"/>
      <c r="WHM188" s="84"/>
      <c r="WHN188" s="84"/>
      <c r="WHO188" s="84"/>
      <c r="WHP188" s="84"/>
      <c r="WHQ188" s="84"/>
      <c r="WHR188" s="84"/>
      <c r="WHS188" s="84"/>
      <c r="WHT188" s="84"/>
      <c r="WHU188" s="84"/>
      <c r="WHV188" s="84"/>
      <c r="WHW188" s="84"/>
      <c r="WHX188" s="84"/>
      <c r="WHY188" s="84"/>
      <c r="WHZ188" s="84"/>
      <c r="WIA188" s="84"/>
      <c r="WIB188" s="84"/>
      <c r="WIC188" s="84"/>
      <c r="WID188" s="84"/>
      <c r="WIE188" s="84"/>
      <c r="WIF188" s="84"/>
      <c r="WIG188" s="84"/>
      <c r="WIH188" s="84"/>
      <c r="WII188" s="84"/>
      <c r="WIJ188" s="84"/>
      <c r="WIK188" s="84"/>
      <c r="WIL188" s="84"/>
      <c r="WIM188" s="84"/>
      <c r="WIN188" s="84"/>
      <c r="WIO188" s="84"/>
      <c r="WIP188" s="84"/>
      <c r="WIQ188" s="84"/>
      <c r="WIR188" s="84"/>
      <c r="WIS188" s="84"/>
      <c r="WIT188" s="84"/>
      <c r="WIU188" s="84"/>
      <c r="WIV188" s="84"/>
      <c r="WIW188" s="84"/>
      <c r="WIX188" s="84"/>
      <c r="WIY188" s="84"/>
      <c r="WIZ188" s="84"/>
      <c r="WJA188" s="84"/>
      <c r="WJB188" s="84"/>
      <c r="WJC188" s="84"/>
      <c r="WJD188" s="84"/>
      <c r="WJE188" s="84"/>
      <c r="WJF188" s="84"/>
      <c r="WJG188" s="84"/>
      <c r="WJH188" s="84"/>
      <c r="WJI188" s="84"/>
      <c r="WJJ188" s="84"/>
      <c r="WJK188" s="84"/>
      <c r="WJL188" s="84"/>
      <c r="WJM188" s="84"/>
      <c r="WJN188" s="84"/>
      <c r="WJO188" s="84"/>
      <c r="WJP188" s="84"/>
      <c r="WJQ188" s="84"/>
      <c r="WJR188" s="84"/>
      <c r="WJS188" s="84"/>
      <c r="WJT188" s="84"/>
      <c r="WJU188" s="84"/>
      <c r="WJV188" s="84"/>
      <c r="WJW188" s="84"/>
      <c r="WJX188" s="84"/>
      <c r="WJY188" s="84"/>
      <c r="WJZ188" s="84"/>
      <c r="WKA188" s="84"/>
      <c r="WKB188" s="84"/>
      <c r="WKC188" s="84"/>
      <c r="WKD188" s="84"/>
      <c r="WKE188" s="84"/>
      <c r="WKF188" s="84"/>
      <c r="WKG188" s="84"/>
      <c r="WKH188" s="84"/>
      <c r="WKI188" s="84"/>
      <c r="WKJ188" s="84"/>
      <c r="WKK188" s="84"/>
      <c r="WKL188" s="84"/>
      <c r="WKM188" s="84"/>
      <c r="WKN188" s="84"/>
      <c r="WKO188" s="84"/>
      <c r="WKP188" s="84"/>
      <c r="WKQ188" s="84"/>
      <c r="WKR188" s="84"/>
      <c r="WKS188" s="84"/>
      <c r="WKT188" s="84"/>
      <c r="WKU188" s="84"/>
      <c r="WKV188" s="84"/>
      <c r="WKW188" s="84"/>
      <c r="WKX188" s="84"/>
      <c r="WKY188" s="84"/>
      <c r="WKZ188" s="84"/>
      <c r="WLA188" s="84"/>
      <c r="WLB188" s="84"/>
      <c r="WLC188" s="84"/>
      <c r="WLD188" s="84"/>
      <c r="WLE188" s="84"/>
      <c r="WLF188" s="84"/>
      <c r="WLG188" s="84"/>
      <c r="WLH188" s="84"/>
      <c r="WLI188" s="84"/>
      <c r="WLJ188" s="84"/>
      <c r="WLK188" s="84"/>
      <c r="WLL188" s="84"/>
      <c r="WLM188" s="84"/>
      <c r="WLN188" s="84"/>
      <c r="WLO188" s="84"/>
      <c r="WLP188" s="84"/>
      <c r="WLQ188" s="84"/>
      <c r="WLR188" s="84"/>
      <c r="WLS188" s="84"/>
      <c r="WLT188" s="84"/>
      <c r="WLU188" s="84"/>
      <c r="WLV188" s="84"/>
      <c r="WLW188" s="84"/>
      <c r="WLX188" s="84"/>
      <c r="WLY188" s="84"/>
      <c r="WLZ188" s="84"/>
      <c r="WMA188" s="84"/>
      <c r="WMB188" s="84"/>
      <c r="WMC188" s="84"/>
      <c r="WMD188" s="84"/>
      <c r="WME188" s="84"/>
      <c r="WMF188" s="84"/>
      <c r="WMG188" s="84"/>
      <c r="WMH188" s="84"/>
      <c r="WMI188" s="84"/>
      <c r="WMJ188" s="84"/>
      <c r="WMK188" s="84"/>
      <c r="WML188" s="84"/>
      <c r="WMM188" s="84"/>
      <c r="WMN188" s="84"/>
      <c r="WMO188" s="84"/>
      <c r="WMP188" s="84"/>
      <c r="WMQ188" s="84"/>
      <c r="WMR188" s="84"/>
      <c r="WMS188" s="84"/>
      <c r="WMT188" s="84"/>
      <c r="WMU188" s="84"/>
      <c r="WMV188" s="84"/>
      <c r="WMW188" s="84"/>
      <c r="WMX188" s="84"/>
      <c r="WMY188" s="84"/>
      <c r="WMZ188" s="84"/>
      <c r="WNA188" s="84"/>
      <c r="WNB188" s="84"/>
      <c r="WNC188" s="84"/>
      <c r="WND188" s="84"/>
      <c r="WNE188" s="84"/>
      <c r="WNF188" s="84"/>
      <c r="WNG188" s="84"/>
      <c r="WNH188" s="84"/>
      <c r="WNI188" s="84"/>
      <c r="WNJ188" s="84"/>
      <c r="WNK188" s="84"/>
      <c r="WNL188" s="84"/>
      <c r="WNM188" s="84"/>
      <c r="WNN188" s="84"/>
      <c r="WNO188" s="84"/>
      <c r="WNP188" s="84"/>
      <c r="WNQ188" s="84"/>
      <c r="WNR188" s="84"/>
      <c r="WNS188" s="84"/>
      <c r="WNT188" s="84"/>
      <c r="WNU188" s="84"/>
      <c r="WNV188" s="84"/>
      <c r="WNW188" s="84"/>
      <c r="WNX188" s="84"/>
      <c r="WNY188" s="84"/>
      <c r="WNZ188" s="84"/>
      <c r="WOA188" s="84"/>
      <c r="WOB188" s="84"/>
      <c r="WOC188" s="84"/>
      <c r="WOD188" s="84"/>
      <c r="WOE188" s="84"/>
      <c r="WOF188" s="84"/>
      <c r="WOG188" s="84"/>
      <c r="WOH188" s="84"/>
      <c r="WOI188" s="84"/>
      <c r="WOJ188" s="84"/>
      <c r="WOK188" s="84"/>
      <c r="WOL188" s="84"/>
      <c r="WOM188" s="84"/>
      <c r="WON188" s="84"/>
      <c r="WOO188" s="84"/>
      <c r="WOP188" s="84"/>
      <c r="WOQ188" s="84"/>
      <c r="WOR188" s="84"/>
      <c r="WOS188" s="84"/>
      <c r="WOT188" s="84"/>
      <c r="WOU188" s="84"/>
      <c r="WOV188" s="84"/>
      <c r="WOW188" s="84"/>
      <c r="WOX188" s="84"/>
      <c r="WOY188" s="84"/>
      <c r="WOZ188" s="84"/>
      <c r="WPA188" s="84"/>
      <c r="WPB188" s="84"/>
      <c r="WPC188" s="84"/>
      <c r="WPD188" s="84"/>
      <c r="WPE188" s="84"/>
      <c r="WPF188" s="84"/>
      <c r="WPG188" s="84"/>
      <c r="WPH188" s="84"/>
      <c r="WPI188" s="84"/>
      <c r="WPJ188" s="84"/>
      <c r="WPK188" s="84"/>
      <c r="WPL188" s="84"/>
      <c r="WPM188" s="84"/>
      <c r="WPN188" s="84"/>
      <c r="WPO188" s="84"/>
      <c r="WPP188" s="84"/>
      <c r="WPQ188" s="84"/>
      <c r="WPR188" s="84"/>
      <c r="WPS188" s="84"/>
      <c r="WPT188" s="84"/>
      <c r="WPU188" s="84"/>
      <c r="WPV188" s="84"/>
      <c r="WPW188" s="84"/>
      <c r="WPX188" s="84"/>
      <c r="WPY188" s="84"/>
      <c r="WPZ188" s="84"/>
      <c r="WQA188" s="84"/>
      <c r="WQB188" s="84"/>
      <c r="WQC188" s="84"/>
      <c r="WQD188" s="84"/>
      <c r="WQE188" s="84"/>
      <c r="WQF188" s="84"/>
      <c r="WQG188" s="84"/>
      <c r="WQH188" s="84"/>
      <c r="WQI188" s="84"/>
      <c r="WQJ188" s="84"/>
      <c r="WQK188" s="84"/>
      <c r="WQL188" s="84"/>
      <c r="WQM188" s="84"/>
      <c r="WQN188" s="84"/>
      <c r="WQO188" s="84"/>
      <c r="WQP188" s="84"/>
      <c r="WQQ188" s="84"/>
      <c r="WQR188" s="84"/>
      <c r="WQS188" s="84"/>
      <c r="WQT188" s="84"/>
      <c r="WQU188" s="84"/>
      <c r="WQV188" s="84"/>
      <c r="WQW188" s="84"/>
      <c r="WQX188" s="84"/>
      <c r="WQY188" s="84"/>
      <c r="WQZ188" s="84"/>
      <c r="WRA188" s="84"/>
      <c r="WRB188" s="84"/>
      <c r="WRC188" s="84"/>
      <c r="WRD188" s="84"/>
      <c r="WRE188" s="84"/>
      <c r="WRF188" s="84"/>
      <c r="WRG188" s="84"/>
      <c r="WRH188" s="84"/>
      <c r="WRI188" s="84"/>
      <c r="WRJ188" s="84"/>
      <c r="WRK188" s="84"/>
      <c r="WRL188" s="84"/>
      <c r="WRM188" s="84"/>
      <c r="WRN188" s="84"/>
      <c r="WRO188" s="84"/>
      <c r="WRP188" s="84"/>
      <c r="WRQ188" s="84"/>
      <c r="WRR188" s="84"/>
      <c r="WRS188" s="84"/>
      <c r="WRT188" s="84"/>
      <c r="WRU188" s="84"/>
      <c r="WRV188" s="84"/>
      <c r="WRW188" s="84"/>
      <c r="WRX188" s="84"/>
      <c r="WRY188" s="84"/>
      <c r="WRZ188" s="84"/>
      <c r="WSA188" s="84"/>
      <c r="WSB188" s="84"/>
      <c r="WSC188" s="84"/>
      <c r="WSD188" s="84"/>
      <c r="WSE188" s="84"/>
      <c r="WSF188" s="84"/>
      <c r="WSG188" s="84"/>
      <c r="WSH188" s="84"/>
      <c r="WSI188" s="84"/>
      <c r="WSJ188" s="84"/>
      <c r="WSK188" s="84"/>
      <c r="WSL188" s="84"/>
      <c r="WSM188" s="84"/>
      <c r="WSN188" s="84"/>
      <c r="WSO188" s="84"/>
      <c r="WSP188" s="84"/>
      <c r="WSQ188" s="84"/>
      <c r="WSR188" s="84"/>
      <c r="WSS188" s="84"/>
      <c r="WST188" s="84"/>
      <c r="WSU188" s="84"/>
      <c r="WSV188" s="84"/>
      <c r="WSW188" s="84"/>
      <c r="WSX188" s="84"/>
      <c r="WSY188" s="84"/>
      <c r="WSZ188" s="84"/>
      <c r="WTA188" s="84"/>
      <c r="WTB188" s="84"/>
      <c r="WTC188" s="84"/>
      <c r="WTD188" s="84"/>
      <c r="WTE188" s="84"/>
      <c r="WTF188" s="84"/>
      <c r="WTG188" s="84"/>
      <c r="WTH188" s="84"/>
      <c r="WTI188" s="84"/>
      <c r="WTJ188" s="84"/>
      <c r="WTK188" s="84"/>
      <c r="WTL188" s="84"/>
      <c r="WTM188" s="84"/>
      <c r="WTN188" s="84"/>
      <c r="WTO188" s="84"/>
      <c r="WTP188" s="84"/>
      <c r="WTQ188" s="84"/>
      <c r="WTR188" s="84"/>
      <c r="WTS188" s="84"/>
      <c r="WTT188" s="84"/>
      <c r="WTU188" s="84"/>
      <c r="WTV188" s="84"/>
      <c r="WTW188" s="84"/>
      <c r="WTX188" s="84"/>
      <c r="WTY188" s="84"/>
      <c r="WTZ188" s="84"/>
      <c r="WUA188" s="84"/>
      <c r="WUB188" s="84"/>
      <c r="WUC188" s="84"/>
      <c r="WUD188" s="84"/>
      <c r="WUE188" s="84"/>
      <c r="WUF188" s="84"/>
      <c r="WUG188" s="84"/>
      <c r="WUH188" s="84"/>
      <c r="WUI188" s="84"/>
      <c r="WUJ188" s="84"/>
      <c r="WUK188" s="84"/>
      <c r="WUL188" s="84"/>
      <c r="WUM188" s="84"/>
      <c r="WUN188" s="84"/>
      <c r="WUO188" s="84"/>
      <c r="WUP188" s="84"/>
      <c r="WUQ188" s="84"/>
      <c r="WUR188" s="84"/>
      <c r="WUS188" s="84"/>
      <c r="WUT188" s="84"/>
      <c r="WUU188" s="84"/>
      <c r="WUV188" s="84"/>
      <c r="WUW188" s="84"/>
      <c r="WUX188" s="84"/>
      <c r="WUY188" s="84"/>
      <c r="WUZ188" s="84"/>
      <c r="WVA188" s="84"/>
      <c r="WVB188" s="84"/>
      <c r="WVC188" s="84"/>
      <c r="WVD188" s="84"/>
      <c r="WVE188" s="84"/>
      <c r="WVF188" s="84"/>
      <c r="WVG188" s="84"/>
      <c r="WVH188" s="84"/>
      <c r="WVI188" s="84"/>
      <c r="WVJ188" s="84"/>
      <c r="WVK188" s="84"/>
      <c r="WVL188" s="84"/>
      <c r="WVM188" s="84"/>
      <c r="WVN188" s="84"/>
      <c r="WVO188" s="84"/>
      <c r="WVP188" s="84"/>
      <c r="WVQ188" s="84"/>
      <c r="WVR188" s="84"/>
      <c r="WVS188" s="84"/>
      <c r="WVT188" s="84"/>
      <c r="WVU188" s="84"/>
      <c r="WVV188" s="84"/>
      <c r="WVW188" s="84"/>
      <c r="WVX188" s="84"/>
      <c r="WVY188" s="84"/>
      <c r="WVZ188" s="84"/>
      <c r="WWA188" s="84"/>
      <c r="WWB188" s="84"/>
      <c r="WWC188" s="84"/>
      <c r="WWD188" s="84"/>
      <c r="WWE188" s="84"/>
      <c r="WWF188" s="84"/>
      <c r="WWG188" s="84"/>
      <c r="WWH188" s="84"/>
      <c r="WWI188" s="84"/>
      <c r="WWJ188" s="84"/>
      <c r="WWK188" s="84"/>
      <c r="WWL188" s="84"/>
      <c r="WWM188" s="84"/>
      <c r="WWN188" s="84"/>
      <c r="WWO188" s="84"/>
      <c r="WWP188" s="84"/>
      <c r="WWQ188" s="84"/>
      <c r="WWR188" s="84"/>
      <c r="WWS188" s="84"/>
      <c r="WWT188" s="84"/>
      <c r="WWU188" s="84"/>
      <c r="WWV188" s="84"/>
      <c r="WWW188" s="84"/>
      <c r="WWX188" s="84"/>
      <c r="WWY188" s="84"/>
      <c r="WWZ188" s="84"/>
      <c r="WXA188" s="84"/>
      <c r="WXB188" s="84"/>
      <c r="WXC188" s="84"/>
      <c r="WXD188" s="84"/>
      <c r="WXE188" s="84"/>
      <c r="WXF188" s="84"/>
      <c r="WXG188" s="84"/>
      <c r="WXH188" s="84"/>
      <c r="WXI188" s="84"/>
      <c r="WXJ188" s="84"/>
      <c r="WXK188" s="84"/>
      <c r="WXL188" s="84"/>
      <c r="WXM188" s="84"/>
      <c r="WXN188" s="84"/>
      <c r="WXO188" s="84"/>
      <c r="WXP188" s="84"/>
      <c r="WXQ188" s="84"/>
      <c r="WXR188" s="84"/>
      <c r="WXS188" s="84"/>
      <c r="WXT188" s="84"/>
      <c r="WXU188" s="84"/>
      <c r="WXV188" s="84"/>
      <c r="WXW188" s="84"/>
      <c r="WXX188" s="84"/>
      <c r="WXY188" s="84"/>
      <c r="WXZ188" s="84"/>
      <c r="WYA188" s="84"/>
      <c r="WYB188" s="84"/>
      <c r="WYC188" s="84"/>
      <c r="WYD188" s="84"/>
      <c r="WYE188" s="84"/>
      <c r="WYF188" s="84"/>
      <c r="WYG188" s="84"/>
      <c r="WYH188" s="84"/>
      <c r="WYI188" s="84"/>
      <c r="WYJ188" s="84"/>
      <c r="WYK188" s="84"/>
      <c r="WYL188" s="84"/>
      <c r="WYM188" s="84"/>
      <c r="WYN188" s="84"/>
      <c r="WYO188" s="84"/>
      <c r="WYP188" s="84"/>
      <c r="WYQ188" s="84"/>
      <c r="WYR188" s="84"/>
      <c r="WYS188" s="84"/>
      <c r="WYT188" s="84"/>
      <c r="WYU188" s="84"/>
      <c r="WYV188" s="84"/>
      <c r="WYW188" s="84"/>
      <c r="WYX188" s="84"/>
      <c r="WYY188" s="84"/>
      <c r="WYZ188" s="84"/>
      <c r="WZA188" s="84"/>
      <c r="WZB188" s="84"/>
      <c r="WZC188" s="84"/>
      <c r="WZD188" s="84"/>
      <c r="WZE188" s="84"/>
      <c r="WZF188" s="84"/>
      <c r="WZG188" s="84"/>
      <c r="WZH188" s="84"/>
      <c r="WZI188" s="84"/>
      <c r="WZJ188" s="84"/>
      <c r="WZK188" s="84"/>
      <c r="WZL188" s="84"/>
      <c r="WZM188" s="84"/>
      <c r="WZN188" s="84"/>
      <c r="WZO188" s="84"/>
      <c r="WZP188" s="84"/>
      <c r="WZQ188" s="84"/>
      <c r="WZR188" s="84"/>
      <c r="WZS188" s="84"/>
      <c r="WZT188" s="84"/>
      <c r="WZU188" s="84"/>
      <c r="WZV188" s="84"/>
      <c r="WZW188" s="84"/>
      <c r="WZX188" s="84"/>
      <c r="WZY188" s="84"/>
      <c r="WZZ188" s="84"/>
      <c r="XAA188" s="84"/>
      <c r="XAB188" s="84"/>
      <c r="XAC188" s="84"/>
      <c r="XAD188" s="84"/>
      <c r="XAE188" s="84"/>
      <c r="XAF188" s="84"/>
      <c r="XAG188" s="84"/>
      <c r="XAH188" s="84"/>
      <c r="XAI188" s="84"/>
      <c r="XAJ188" s="84"/>
      <c r="XAK188" s="84"/>
      <c r="XAL188" s="84"/>
      <c r="XAM188" s="84"/>
      <c r="XAN188" s="84"/>
      <c r="XAO188" s="84"/>
      <c r="XAP188" s="84"/>
      <c r="XAQ188" s="84"/>
      <c r="XAR188" s="84"/>
      <c r="XAS188" s="84"/>
      <c r="XAT188" s="84"/>
      <c r="XAU188" s="84"/>
      <c r="XAV188" s="84"/>
      <c r="XAW188" s="84"/>
      <c r="XAX188" s="84"/>
      <c r="XAY188" s="84"/>
      <c r="XAZ188" s="84"/>
      <c r="XBA188" s="84"/>
      <c r="XBB188" s="84"/>
      <c r="XBC188" s="84"/>
      <c r="XBD188" s="84"/>
      <c r="XBE188" s="84"/>
      <c r="XBF188" s="84"/>
      <c r="XBG188" s="84"/>
      <c r="XBH188" s="84"/>
      <c r="XBI188" s="84"/>
      <c r="XBJ188" s="84"/>
      <c r="XBK188" s="84"/>
      <c r="XBL188" s="84"/>
      <c r="XBM188" s="84"/>
      <c r="XBN188" s="84"/>
      <c r="XBO188" s="84"/>
      <c r="XBP188" s="84"/>
      <c r="XBQ188" s="84"/>
      <c r="XBR188" s="84"/>
      <c r="XBS188" s="84"/>
      <c r="XBT188" s="84"/>
      <c r="XBU188" s="84"/>
      <c r="XBV188" s="84"/>
      <c r="XBW188" s="84"/>
      <c r="XBX188" s="84"/>
      <c r="XBY188" s="84"/>
      <c r="XBZ188" s="84"/>
      <c r="XCA188" s="84"/>
      <c r="XCB188" s="84"/>
      <c r="XCC188" s="84"/>
      <c r="XCD188" s="84"/>
      <c r="XCE188" s="84"/>
      <c r="XCF188" s="84"/>
      <c r="XCG188" s="84"/>
      <c r="XCH188" s="84"/>
      <c r="XCI188" s="84"/>
      <c r="XCJ188" s="84"/>
      <c r="XCK188" s="84"/>
      <c r="XCL188" s="84"/>
      <c r="XCM188" s="84"/>
      <c r="XCN188" s="84"/>
      <c r="XCO188" s="84"/>
      <c r="XCP188" s="84"/>
      <c r="XCQ188" s="84"/>
      <c r="XCR188" s="84"/>
      <c r="XCS188" s="84"/>
      <c r="XCT188" s="84"/>
      <c r="XCU188" s="84"/>
      <c r="XCV188" s="84"/>
      <c r="XCW188" s="84"/>
      <c r="XCX188" s="84"/>
      <c r="XCY188" s="84"/>
      <c r="XCZ188" s="84"/>
      <c r="XDA188" s="84"/>
      <c r="XDB188" s="84"/>
      <c r="XDC188" s="84"/>
      <c r="XDD188" s="84"/>
      <c r="XDE188" s="84"/>
      <c r="XDF188" s="84"/>
      <c r="XDG188" s="84"/>
      <c r="XDH188" s="84"/>
      <c r="XDI188" s="84"/>
      <c r="XDJ188" s="84"/>
      <c r="XDK188" s="84"/>
      <c r="XDL188" s="84"/>
      <c r="XDM188" s="84"/>
      <c r="XDN188" s="84"/>
      <c r="XDO188" s="84"/>
      <c r="XDP188" s="84"/>
      <c r="XDQ188" s="84"/>
      <c r="XDR188" s="84"/>
      <c r="XDS188" s="84"/>
      <c r="XDT188" s="84"/>
      <c r="XDU188" s="84"/>
      <c r="XDV188" s="84"/>
      <c r="XDW188" s="84"/>
      <c r="XDX188" s="84"/>
    </row>
    <row r="189" spans="1:16352" x14ac:dyDescent="0.3">
      <c r="A189" s="119" t="s">
        <v>62</v>
      </c>
      <c r="B189" s="120"/>
      <c r="C189" s="121"/>
      <c r="D189" s="72" t="s">
        <v>348</v>
      </c>
      <c r="E189" s="73"/>
      <c r="F189" s="73"/>
      <c r="G189" s="73"/>
      <c r="H189" s="73">
        <v>6</v>
      </c>
      <c r="I189" s="73"/>
      <c r="J189" s="73">
        <v>8</v>
      </c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</row>
    <row r="190" spans="1:16352" x14ac:dyDescent="0.3">
      <c r="A190" s="122"/>
      <c r="B190" s="123"/>
      <c r="C190" s="124"/>
      <c r="D190" s="72" t="s">
        <v>351</v>
      </c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</row>
    <row r="191" spans="1:16352" x14ac:dyDescent="0.3">
      <c r="A191" s="122"/>
      <c r="B191" s="123"/>
      <c r="C191" s="124"/>
      <c r="D191" s="72" t="s">
        <v>352</v>
      </c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</row>
    <row r="192" spans="1:16352" x14ac:dyDescent="0.3">
      <c r="A192" s="122"/>
      <c r="B192" s="123"/>
      <c r="C192" s="124"/>
      <c r="D192" s="72" t="s">
        <v>349</v>
      </c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</row>
    <row r="193" spans="1:16352" s="88" customFormat="1" x14ac:dyDescent="0.3">
      <c r="A193" s="122"/>
      <c r="B193" s="123"/>
      <c r="C193" s="124"/>
      <c r="D193" s="86" t="s">
        <v>350</v>
      </c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</row>
    <row r="194" spans="1:16352" x14ac:dyDescent="0.3">
      <c r="A194" s="122"/>
      <c r="B194" s="123"/>
      <c r="C194" s="124"/>
      <c r="D194" s="72" t="s">
        <v>212</v>
      </c>
      <c r="E194" s="73"/>
      <c r="F194" s="73"/>
      <c r="G194" s="73"/>
      <c r="H194" s="73">
        <f>COUNTIFS(H2:H187,"National")</f>
        <v>2</v>
      </c>
      <c r="I194" s="73">
        <f t="shared" ref="I194:K194" si="0">COUNTIFS(I2:I187,"National")</f>
        <v>0</v>
      </c>
      <c r="J194" s="73">
        <f t="shared" si="0"/>
        <v>2</v>
      </c>
      <c r="K194" s="73">
        <f t="shared" si="0"/>
        <v>0</v>
      </c>
      <c r="L194" s="73">
        <f t="shared" ref="L194:AI194" si="1">COUNTIFS(L2:L187,"National")</f>
        <v>3</v>
      </c>
      <c r="M194" s="73">
        <f t="shared" si="1"/>
        <v>0</v>
      </c>
      <c r="N194" s="73">
        <f t="shared" si="1"/>
        <v>2</v>
      </c>
      <c r="O194" s="73">
        <f t="shared" si="1"/>
        <v>2</v>
      </c>
      <c r="P194" s="73">
        <f t="shared" si="1"/>
        <v>0</v>
      </c>
      <c r="Q194" s="73">
        <f t="shared" si="1"/>
        <v>2</v>
      </c>
      <c r="R194" s="73">
        <f t="shared" si="1"/>
        <v>0</v>
      </c>
      <c r="S194" s="73">
        <f t="shared" si="1"/>
        <v>2</v>
      </c>
      <c r="T194" s="73">
        <f t="shared" si="1"/>
        <v>2</v>
      </c>
      <c r="U194" s="73">
        <f t="shared" si="1"/>
        <v>0</v>
      </c>
      <c r="V194" s="73">
        <f t="shared" si="1"/>
        <v>2</v>
      </c>
      <c r="W194" s="73">
        <f t="shared" si="1"/>
        <v>2</v>
      </c>
      <c r="X194" s="73">
        <f t="shared" si="1"/>
        <v>2</v>
      </c>
      <c r="Y194" s="73">
        <f t="shared" si="1"/>
        <v>2</v>
      </c>
      <c r="Z194" s="73">
        <f t="shared" si="1"/>
        <v>0</v>
      </c>
      <c r="AA194" s="73">
        <f t="shared" si="1"/>
        <v>2</v>
      </c>
      <c r="AB194" s="73">
        <f t="shared" si="1"/>
        <v>0</v>
      </c>
      <c r="AC194" s="73">
        <f t="shared" si="1"/>
        <v>0</v>
      </c>
      <c r="AD194" s="73">
        <f t="shared" si="1"/>
        <v>2</v>
      </c>
      <c r="AE194" s="73">
        <f t="shared" si="1"/>
        <v>3</v>
      </c>
      <c r="AF194" s="73">
        <f t="shared" si="1"/>
        <v>2</v>
      </c>
      <c r="AG194" s="73">
        <f t="shared" si="1"/>
        <v>3</v>
      </c>
      <c r="AH194" s="73">
        <f t="shared" si="1"/>
        <v>0</v>
      </c>
      <c r="AI194" s="73">
        <f t="shared" si="1"/>
        <v>3</v>
      </c>
    </row>
    <row r="195" spans="1:16352" s="25" customFormat="1" ht="14.5" customHeight="1" x14ac:dyDescent="0.3">
      <c r="A195" s="122"/>
      <c r="B195" s="123"/>
      <c r="C195" s="124"/>
      <c r="D195" s="72" t="s">
        <v>213</v>
      </c>
      <c r="E195" s="73"/>
      <c r="F195" s="73"/>
      <c r="G195" s="73"/>
      <c r="H195" s="73">
        <f>COUNTIFS(H2:H189,"Regional")</f>
        <v>18</v>
      </c>
      <c r="I195" s="73">
        <f t="shared" ref="I195:K195" si="2">COUNTIFS(I2:I189,"Regional")</f>
        <v>0</v>
      </c>
      <c r="J195" s="73">
        <f t="shared" si="2"/>
        <v>12</v>
      </c>
      <c r="K195" s="73">
        <f t="shared" si="2"/>
        <v>0</v>
      </c>
      <c r="L195" s="73">
        <f>COUNTIFS(L2:L189,"Regional")</f>
        <v>19</v>
      </c>
      <c r="M195" s="73">
        <f t="shared" ref="M195:AI195" si="3">COUNTIFS(M3:M194,"Regional")</f>
        <v>0</v>
      </c>
      <c r="N195" s="73">
        <f t="shared" si="3"/>
        <v>38</v>
      </c>
      <c r="O195" s="73">
        <f t="shared" si="3"/>
        <v>58</v>
      </c>
      <c r="P195" s="73">
        <f t="shared" si="3"/>
        <v>0</v>
      </c>
      <c r="Q195" s="73">
        <f t="shared" si="3"/>
        <v>30</v>
      </c>
      <c r="R195" s="73">
        <f t="shared" si="3"/>
        <v>0</v>
      </c>
      <c r="S195" s="73">
        <f t="shared" si="3"/>
        <v>16</v>
      </c>
      <c r="T195" s="73">
        <f t="shared" si="3"/>
        <v>19</v>
      </c>
      <c r="U195" s="73">
        <f t="shared" si="3"/>
        <v>0</v>
      </c>
      <c r="V195" s="73">
        <f t="shared" si="3"/>
        <v>24</v>
      </c>
      <c r="W195" s="73">
        <f t="shared" si="3"/>
        <v>19</v>
      </c>
      <c r="X195" s="73">
        <f t="shared" si="3"/>
        <v>11</v>
      </c>
      <c r="Y195" s="73">
        <f t="shared" si="3"/>
        <v>20</v>
      </c>
      <c r="Z195" s="73">
        <f t="shared" si="3"/>
        <v>0</v>
      </c>
      <c r="AA195" s="73">
        <f t="shared" si="3"/>
        <v>30</v>
      </c>
      <c r="AB195" s="73">
        <f t="shared" si="3"/>
        <v>0</v>
      </c>
      <c r="AC195" s="73">
        <f t="shared" si="3"/>
        <v>0</v>
      </c>
      <c r="AD195" s="73">
        <f t="shared" si="3"/>
        <v>35</v>
      </c>
      <c r="AE195" s="73">
        <f t="shared" si="3"/>
        <v>13</v>
      </c>
      <c r="AF195" s="73">
        <f t="shared" si="3"/>
        <v>30</v>
      </c>
      <c r="AG195" s="73">
        <f t="shared" si="3"/>
        <v>15</v>
      </c>
      <c r="AH195" s="73">
        <f t="shared" si="3"/>
        <v>0</v>
      </c>
      <c r="AI195" s="73">
        <f t="shared" si="3"/>
        <v>12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  <c r="AFA195" s="3"/>
      <c r="AFB195" s="3"/>
      <c r="AFC195" s="3"/>
      <c r="AFD195" s="3"/>
      <c r="AFE195" s="3"/>
      <c r="AFF195" s="3"/>
      <c r="AFG195" s="3"/>
      <c r="AFH195" s="3"/>
      <c r="AFI195" s="3"/>
      <c r="AFJ195" s="3"/>
      <c r="AFK195" s="3"/>
      <c r="AFL195" s="3"/>
      <c r="AFM195" s="3"/>
      <c r="AFN195" s="3"/>
      <c r="AFO195" s="3"/>
      <c r="AFP195" s="3"/>
      <c r="AFQ195" s="3"/>
      <c r="AFR195" s="3"/>
      <c r="AFS195" s="3"/>
      <c r="AFT195" s="3"/>
      <c r="AFU195" s="3"/>
      <c r="AFV195" s="3"/>
      <c r="AFW195" s="3"/>
      <c r="AFX195" s="3"/>
      <c r="AFY195" s="3"/>
      <c r="AFZ195" s="3"/>
      <c r="AGA195" s="3"/>
      <c r="AGB195" s="3"/>
      <c r="AGC195" s="3"/>
      <c r="AGD195" s="3"/>
      <c r="AGE195" s="3"/>
      <c r="AGF195" s="3"/>
      <c r="AGG195" s="3"/>
      <c r="AGH195" s="3"/>
      <c r="AGI195" s="3"/>
      <c r="AGJ195" s="3"/>
      <c r="AGK195" s="3"/>
      <c r="AGL195" s="3"/>
      <c r="AGM195" s="3"/>
      <c r="AGN195" s="3"/>
      <c r="AGO195" s="3"/>
      <c r="AGP195" s="3"/>
      <c r="AGQ195" s="3"/>
      <c r="AGR195" s="3"/>
      <c r="AGS195" s="3"/>
      <c r="AGT195" s="3"/>
      <c r="AGU195" s="3"/>
      <c r="AGV195" s="3"/>
      <c r="AGW195" s="3"/>
      <c r="AGX195" s="3"/>
      <c r="AGY195" s="3"/>
      <c r="AGZ195" s="3"/>
      <c r="AHA195" s="3"/>
      <c r="AHB195" s="3"/>
      <c r="AHC195" s="3"/>
      <c r="AHD195" s="3"/>
      <c r="AHE195" s="3"/>
      <c r="AHF195" s="3"/>
      <c r="AHG195" s="3"/>
      <c r="AHH195" s="3"/>
      <c r="AHI195" s="3"/>
      <c r="AHJ195" s="3"/>
      <c r="AHK195" s="3"/>
      <c r="AHL195" s="3"/>
      <c r="AHM195" s="3"/>
      <c r="AHN195" s="3"/>
      <c r="AHO195" s="3"/>
      <c r="AHP195" s="3"/>
      <c r="AHQ195" s="3"/>
      <c r="AHR195" s="3"/>
      <c r="AHS195" s="3"/>
      <c r="AHT195" s="3"/>
      <c r="AHU195" s="3"/>
      <c r="AHV195" s="3"/>
      <c r="AHW195" s="3"/>
      <c r="AHX195" s="3"/>
      <c r="AHY195" s="3"/>
      <c r="AHZ195" s="3"/>
      <c r="AIA195" s="3"/>
      <c r="AIB195" s="3"/>
      <c r="AIC195" s="3"/>
      <c r="AID195" s="3"/>
      <c r="AIE195" s="3"/>
      <c r="AIF195" s="3"/>
      <c r="AIG195" s="3"/>
      <c r="AIH195" s="3"/>
      <c r="AII195" s="3"/>
      <c r="AIJ195" s="3"/>
      <c r="AIK195" s="3"/>
      <c r="AIL195" s="3"/>
      <c r="AIM195" s="3"/>
      <c r="AIN195" s="3"/>
      <c r="AIO195" s="3"/>
      <c r="AIP195" s="3"/>
      <c r="AIQ195" s="3"/>
      <c r="AIR195" s="3"/>
      <c r="AIS195" s="3"/>
      <c r="AIT195" s="3"/>
      <c r="AIU195" s="3"/>
      <c r="AIV195" s="3"/>
      <c r="AIW195" s="3"/>
      <c r="AIX195" s="3"/>
      <c r="AIY195" s="3"/>
      <c r="AIZ195" s="3"/>
      <c r="AJA195" s="3"/>
      <c r="AJB195" s="3"/>
      <c r="AJC195" s="3"/>
      <c r="AJD195" s="3"/>
      <c r="AJE195" s="3"/>
      <c r="AJF195" s="3"/>
      <c r="AJG195" s="3"/>
      <c r="AJH195" s="3"/>
      <c r="AJI195" s="3"/>
      <c r="AJJ195" s="3"/>
      <c r="AJK195" s="3"/>
      <c r="AJL195" s="3"/>
      <c r="AJM195" s="3"/>
      <c r="AJN195" s="3"/>
      <c r="AJO195" s="3"/>
      <c r="AJP195" s="3"/>
      <c r="AJQ195" s="3"/>
      <c r="AJR195" s="3"/>
      <c r="AJS195" s="3"/>
      <c r="AJT195" s="3"/>
      <c r="AJU195" s="3"/>
      <c r="AJV195" s="3"/>
      <c r="AJW195" s="3"/>
      <c r="AJX195" s="3"/>
      <c r="AJY195" s="3"/>
      <c r="AJZ195" s="3"/>
      <c r="AKA195" s="3"/>
      <c r="AKB195" s="3"/>
      <c r="AKC195" s="3"/>
      <c r="AKD195" s="3"/>
      <c r="AKE195" s="3"/>
      <c r="AKF195" s="3"/>
      <c r="AKG195" s="3"/>
      <c r="AKH195" s="3"/>
      <c r="AKI195" s="3"/>
      <c r="AKJ195" s="3"/>
      <c r="AKK195" s="3"/>
      <c r="AKL195" s="3"/>
      <c r="AKM195" s="3"/>
      <c r="AKN195" s="3"/>
      <c r="AKO195" s="3"/>
      <c r="AKP195" s="3"/>
      <c r="AKQ195" s="3"/>
      <c r="AKR195" s="3"/>
      <c r="AKS195" s="3"/>
      <c r="AKT195" s="3"/>
      <c r="AKU195" s="3"/>
      <c r="AKV195" s="3"/>
      <c r="AKW195" s="3"/>
      <c r="AKX195" s="3"/>
      <c r="AKY195" s="3"/>
      <c r="AKZ195" s="3"/>
      <c r="ALA195" s="3"/>
      <c r="ALB195" s="3"/>
      <c r="ALC195" s="3"/>
      <c r="ALD195" s="3"/>
      <c r="ALE195" s="3"/>
      <c r="ALF195" s="3"/>
      <c r="ALG195" s="3"/>
      <c r="ALH195" s="3"/>
      <c r="ALI195" s="3"/>
      <c r="ALJ195" s="3"/>
      <c r="ALK195" s="3"/>
      <c r="ALL195" s="3"/>
      <c r="ALM195" s="3"/>
      <c r="ALN195" s="3"/>
      <c r="ALO195" s="3"/>
      <c r="ALP195" s="3"/>
      <c r="ALQ195" s="3"/>
      <c r="ALR195" s="3"/>
      <c r="ALS195" s="3"/>
      <c r="ALT195" s="3"/>
      <c r="ALU195" s="3"/>
      <c r="ALV195" s="3"/>
      <c r="ALW195" s="3"/>
      <c r="ALX195" s="3"/>
      <c r="ALY195" s="3"/>
      <c r="ALZ195" s="3"/>
      <c r="AMA195" s="3"/>
      <c r="AMB195" s="3"/>
      <c r="AMC195" s="3"/>
      <c r="AMD195" s="3"/>
      <c r="AME195" s="3"/>
      <c r="AMF195" s="3"/>
      <c r="AMG195" s="3"/>
      <c r="AMH195" s="3"/>
      <c r="AMI195" s="3"/>
      <c r="AMJ195" s="3"/>
      <c r="AMK195" s="3"/>
      <c r="AML195" s="3"/>
      <c r="AMM195" s="3"/>
      <c r="AMN195" s="3"/>
      <c r="AMO195" s="3"/>
      <c r="AMP195" s="3"/>
      <c r="AMQ195" s="3"/>
      <c r="AMR195" s="3"/>
      <c r="AMS195" s="3"/>
      <c r="AMT195" s="3"/>
      <c r="AMU195" s="3"/>
      <c r="AMV195" s="3"/>
      <c r="AMW195" s="3"/>
      <c r="AMX195" s="3"/>
      <c r="AMY195" s="3"/>
      <c r="AMZ195" s="3"/>
      <c r="ANA195" s="3"/>
      <c r="ANB195" s="3"/>
      <c r="ANC195" s="3"/>
      <c r="AND195" s="3"/>
      <c r="ANE195" s="3"/>
      <c r="ANF195" s="3"/>
      <c r="ANG195" s="3"/>
      <c r="ANH195" s="3"/>
      <c r="ANI195" s="3"/>
      <c r="ANJ195" s="3"/>
      <c r="ANK195" s="3"/>
      <c r="ANL195" s="3"/>
      <c r="ANM195" s="3"/>
      <c r="ANN195" s="3"/>
      <c r="ANO195" s="3"/>
      <c r="ANP195" s="3"/>
      <c r="ANQ195" s="3"/>
      <c r="ANR195" s="3"/>
      <c r="ANS195" s="3"/>
      <c r="ANT195" s="3"/>
      <c r="ANU195" s="3"/>
      <c r="ANV195" s="3"/>
      <c r="ANW195" s="3"/>
      <c r="ANX195" s="3"/>
      <c r="ANY195" s="3"/>
      <c r="ANZ195" s="3"/>
      <c r="AOA195" s="3"/>
      <c r="AOB195" s="3"/>
      <c r="AOC195" s="3"/>
      <c r="AOD195" s="3"/>
      <c r="AOE195" s="3"/>
      <c r="AOF195" s="3"/>
      <c r="AOG195" s="3"/>
      <c r="AOH195" s="3"/>
      <c r="AOI195" s="3"/>
      <c r="AOJ195" s="3"/>
      <c r="AOK195" s="3"/>
      <c r="AOL195" s="3"/>
      <c r="AOM195" s="3"/>
      <c r="AON195" s="3"/>
      <c r="AOO195" s="3"/>
      <c r="AOP195" s="3"/>
      <c r="AOQ195" s="3"/>
      <c r="AOR195" s="3"/>
      <c r="AOS195" s="3"/>
      <c r="AOT195" s="3"/>
      <c r="AOU195" s="3"/>
      <c r="AOV195" s="3"/>
      <c r="AOW195" s="3"/>
      <c r="AOX195" s="3"/>
      <c r="AOY195" s="3"/>
      <c r="AOZ195" s="3"/>
      <c r="APA195" s="3"/>
      <c r="APB195" s="3"/>
      <c r="APC195" s="3"/>
      <c r="APD195" s="3"/>
      <c r="APE195" s="3"/>
      <c r="APF195" s="3"/>
      <c r="APG195" s="3"/>
      <c r="APH195" s="3"/>
      <c r="API195" s="3"/>
      <c r="APJ195" s="3"/>
      <c r="APK195" s="3"/>
      <c r="APL195" s="3"/>
      <c r="APM195" s="3"/>
      <c r="APN195" s="3"/>
      <c r="APO195" s="3"/>
      <c r="APP195" s="3"/>
      <c r="APQ195" s="3"/>
      <c r="APR195" s="3"/>
      <c r="APS195" s="3"/>
      <c r="APT195" s="3"/>
      <c r="APU195" s="3"/>
      <c r="APV195" s="3"/>
      <c r="APW195" s="3"/>
      <c r="APX195" s="3"/>
      <c r="APY195" s="3"/>
      <c r="APZ195" s="3"/>
      <c r="AQA195" s="3"/>
      <c r="AQB195" s="3"/>
      <c r="AQC195" s="3"/>
      <c r="AQD195" s="3"/>
      <c r="AQE195" s="3"/>
      <c r="AQF195" s="3"/>
      <c r="AQG195" s="3"/>
      <c r="AQH195" s="3"/>
      <c r="AQI195" s="3"/>
      <c r="AQJ195" s="3"/>
      <c r="AQK195" s="3"/>
      <c r="AQL195" s="3"/>
      <c r="AQM195" s="3"/>
      <c r="AQN195" s="3"/>
      <c r="AQO195" s="3"/>
      <c r="AQP195" s="3"/>
      <c r="AQQ195" s="3"/>
      <c r="AQR195" s="3"/>
      <c r="AQS195" s="3"/>
      <c r="AQT195" s="3"/>
      <c r="AQU195" s="3"/>
      <c r="AQV195" s="3"/>
      <c r="AQW195" s="3"/>
      <c r="AQX195" s="3"/>
      <c r="AQY195" s="3"/>
      <c r="AQZ195" s="3"/>
      <c r="ARA195" s="3"/>
      <c r="ARB195" s="3"/>
      <c r="ARC195" s="3"/>
      <c r="ARD195" s="3"/>
      <c r="ARE195" s="3"/>
      <c r="ARF195" s="3"/>
      <c r="ARG195" s="3"/>
      <c r="ARH195" s="3"/>
      <c r="ARI195" s="3"/>
      <c r="ARJ195" s="3"/>
      <c r="ARK195" s="3"/>
      <c r="ARL195" s="3"/>
      <c r="ARM195" s="3"/>
      <c r="ARN195" s="3"/>
      <c r="ARO195" s="3"/>
      <c r="ARP195" s="3"/>
      <c r="ARQ195" s="3"/>
      <c r="ARR195" s="3"/>
      <c r="ARS195" s="3"/>
      <c r="ART195" s="3"/>
      <c r="ARU195" s="3"/>
      <c r="ARV195" s="3"/>
      <c r="ARW195" s="3"/>
      <c r="ARX195" s="3"/>
      <c r="ARY195" s="3"/>
      <c r="ARZ195" s="3"/>
      <c r="ASA195" s="3"/>
      <c r="ASB195" s="3"/>
      <c r="ASC195" s="3"/>
      <c r="ASD195" s="3"/>
      <c r="ASE195" s="3"/>
      <c r="ASF195" s="3"/>
      <c r="ASG195" s="3"/>
      <c r="ASH195" s="3"/>
      <c r="ASI195" s="3"/>
      <c r="ASJ195" s="3"/>
      <c r="ASK195" s="3"/>
      <c r="ASL195" s="3"/>
      <c r="ASM195" s="3"/>
      <c r="ASN195" s="3"/>
      <c r="ASO195" s="3"/>
      <c r="ASP195" s="3"/>
      <c r="ASQ195" s="3"/>
      <c r="ASR195" s="3"/>
      <c r="ASS195" s="3"/>
      <c r="AST195" s="3"/>
      <c r="ASU195" s="3"/>
      <c r="ASV195" s="3"/>
      <c r="ASW195" s="3"/>
      <c r="ASX195" s="3"/>
      <c r="ASY195" s="3"/>
      <c r="ASZ195" s="3"/>
      <c r="ATA195" s="3"/>
      <c r="ATB195" s="3"/>
      <c r="ATC195" s="3"/>
      <c r="ATD195" s="3"/>
      <c r="ATE195" s="3"/>
      <c r="ATF195" s="3"/>
      <c r="ATG195" s="3"/>
      <c r="ATH195" s="3"/>
      <c r="ATI195" s="3"/>
      <c r="ATJ195" s="3"/>
      <c r="ATK195" s="3"/>
      <c r="ATL195" s="3"/>
      <c r="ATM195" s="3"/>
      <c r="ATN195" s="3"/>
      <c r="ATO195" s="3"/>
      <c r="ATP195" s="3"/>
      <c r="ATQ195" s="3"/>
      <c r="ATR195" s="3"/>
      <c r="ATS195" s="3"/>
      <c r="ATT195" s="3"/>
      <c r="ATU195" s="3"/>
      <c r="ATV195" s="3"/>
      <c r="ATW195" s="3"/>
      <c r="ATX195" s="3"/>
      <c r="ATY195" s="3"/>
      <c r="ATZ195" s="3"/>
      <c r="AUA195" s="3"/>
      <c r="AUB195" s="3"/>
      <c r="AUC195" s="3"/>
      <c r="AUD195" s="3"/>
      <c r="AUE195" s="3"/>
      <c r="AUF195" s="3"/>
      <c r="AUG195" s="3"/>
      <c r="AUH195" s="3"/>
      <c r="AUI195" s="3"/>
      <c r="AUJ195" s="3"/>
      <c r="AUK195" s="3"/>
      <c r="AUL195" s="3"/>
      <c r="AUM195" s="3"/>
      <c r="AUN195" s="3"/>
      <c r="AUO195" s="3"/>
      <c r="AUP195" s="3"/>
      <c r="AUQ195" s="3"/>
      <c r="AUR195" s="3"/>
      <c r="AUS195" s="3"/>
      <c r="AUT195" s="3"/>
      <c r="AUU195" s="3"/>
      <c r="AUV195" s="3"/>
      <c r="AUW195" s="3"/>
      <c r="AUX195" s="3"/>
      <c r="AUY195" s="3"/>
      <c r="AUZ195" s="3"/>
      <c r="AVA195" s="3"/>
      <c r="AVB195" s="3"/>
      <c r="AVC195" s="3"/>
      <c r="AVD195" s="3"/>
      <c r="AVE195" s="3"/>
      <c r="AVF195" s="3"/>
      <c r="AVG195" s="3"/>
      <c r="AVH195" s="3"/>
      <c r="AVI195" s="3"/>
      <c r="AVJ195" s="3"/>
      <c r="AVK195" s="3"/>
      <c r="AVL195" s="3"/>
      <c r="AVM195" s="3"/>
      <c r="AVN195" s="3"/>
      <c r="AVO195" s="3"/>
      <c r="AVP195" s="3"/>
      <c r="AVQ195" s="3"/>
      <c r="AVR195" s="3"/>
      <c r="AVS195" s="3"/>
      <c r="AVT195" s="3"/>
      <c r="AVU195" s="3"/>
      <c r="AVV195" s="3"/>
      <c r="AVW195" s="3"/>
      <c r="AVX195" s="3"/>
      <c r="AVY195" s="3"/>
      <c r="AVZ195" s="3"/>
      <c r="AWA195" s="3"/>
      <c r="AWB195" s="3"/>
      <c r="AWC195" s="3"/>
      <c r="AWD195" s="3"/>
      <c r="AWE195" s="3"/>
      <c r="AWF195" s="3"/>
      <c r="AWG195" s="3"/>
      <c r="AWH195" s="3"/>
      <c r="AWI195" s="3"/>
      <c r="AWJ195" s="3"/>
      <c r="AWK195" s="3"/>
      <c r="AWL195" s="3"/>
      <c r="AWM195" s="3"/>
      <c r="AWN195" s="3"/>
      <c r="AWO195" s="3"/>
      <c r="AWP195" s="3"/>
      <c r="AWQ195" s="3"/>
      <c r="AWR195" s="3"/>
      <c r="AWS195" s="3"/>
      <c r="AWT195" s="3"/>
      <c r="AWU195" s="3"/>
      <c r="AWV195" s="3"/>
      <c r="AWW195" s="3"/>
      <c r="AWX195" s="3"/>
      <c r="AWY195" s="3"/>
      <c r="AWZ195" s="3"/>
      <c r="AXA195" s="3"/>
      <c r="AXB195" s="3"/>
      <c r="AXC195" s="3"/>
      <c r="AXD195" s="3"/>
      <c r="AXE195" s="3"/>
      <c r="AXF195" s="3"/>
      <c r="AXG195" s="3"/>
      <c r="AXH195" s="3"/>
      <c r="AXI195" s="3"/>
      <c r="AXJ195" s="3"/>
      <c r="AXK195" s="3"/>
      <c r="AXL195" s="3"/>
      <c r="AXM195" s="3"/>
      <c r="AXN195" s="3"/>
      <c r="AXO195" s="3"/>
      <c r="AXP195" s="3"/>
      <c r="AXQ195" s="3"/>
      <c r="AXR195" s="3"/>
      <c r="AXS195" s="3"/>
      <c r="AXT195" s="3"/>
      <c r="AXU195" s="3"/>
      <c r="AXV195" s="3"/>
      <c r="AXW195" s="3"/>
      <c r="AXX195" s="3"/>
      <c r="AXY195" s="3"/>
      <c r="AXZ195" s="3"/>
      <c r="AYA195" s="3"/>
      <c r="AYB195" s="3"/>
      <c r="AYC195" s="3"/>
      <c r="AYD195" s="3"/>
      <c r="AYE195" s="3"/>
      <c r="AYF195" s="3"/>
      <c r="AYG195" s="3"/>
      <c r="AYH195" s="3"/>
      <c r="AYI195" s="3"/>
      <c r="AYJ195" s="3"/>
      <c r="AYK195" s="3"/>
      <c r="AYL195" s="3"/>
      <c r="AYM195" s="3"/>
      <c r="AYN195" s="3"/>
      <c r="AYO195" s="3"/>
      <c r="AYP195" s="3"/>
      <c r="AYQ195" s="3"/>
      <c r="AYR195" s="3"/>
      <c r="AYS195" s="3"/>
      <c r="AYT195" s="3"/>
      <c r="AYU195" s="3"/>
      <c r="AYV195" s="3"/>
      <c r="AYW195" s="3"/>
      <c r="AYX195" s="3"/>
      <c r="AYY195" s="3"/>
      <c r="AYZ195" s="3"/>
      <c r="AZA195" s="3"/>
      <c r="AZB195" s="3"/>
      <c r="AZC195" s="3"/>
      <c r="AZD195" s="3"/>
      <c r="AZE195" s="3"/>
      <c r="AZF195" s="3"/>
      <c r="AZG195" s="3"/>
      <c r="AZH195" s="3"/>
      <c r="AZI195" s="3"/>
      <c r="AZJ195" s="3"/>
      <c r="AZK195" s="3"/>
      <c r="AZL195" s="3"/>
      <c r="AZM195" s="3"/>
      <c r="AZN195" s="3"/>
      <c r="AZO195" s="3"/>
      <c r="AZP195" s="3"/>
      <c r="AZQ195" s="3"/>
      <c r="AZR195" s="3"/>
      <c r="AZS195" s="3"/>
      <c r="AZT195" s="3"/>
      <c r="AZU195" s="3"/>
      <c r="AZV195" s="3"/>
      <c r="AZW195" s="3"/>
      <c r="AZX195" s="3"/>
      <c r="AZY195" s="3"/>
      <c r="AZZ195" s="3"/>
      <c r="BAA195" s="3"/>
      <c r="BAB195" s="3"/>
      <c r="BAC195" s="3"/>
      <c r="BAD195" s="3"/>
      <c r="BAE195" s="3"/>
      <c r="BAF195" s="3"/>
      <c r="BAG195" s="3"/>
      <c r="BAH195" s="3"/>
      <c r="BAI195" s="3"/>
      <c r="BAJ195" s="3"/>
      <c r="BAK195" s="3"/>
      <c r="BAL195" s="3"/>
      <c r="BAM195" s="3"/>
      <c r="BAN195" s="3"/>
      <c r="BAO195" s="3"/>
      <c r="BAP195" s="3"/>
      <c r="BAQ195" s="3"/>
      <c r="BAR195" s="3"/>
      <c r="BAS195" s="3"/>
      <c r="BAT195" s="3"/>
      <c r="BAU195" s="3"/>
      <c r="BAV195" s="3"/>
      <c r="BAW195" s="3"/>
      <c r="BAX195" s="3"/>
      <c r="BAY195" s="3"/>
      <c r="BAZ195" s="3"/>
      <c r="BBA195" s="3"/>
      <c r="BBB195" s="3"/>
      <c r="BBC195" s="3"/>
      <c r="BBD195" s="3"/>
      <c r="BBE195" s="3"/>
      <c r="BBF195" s="3"/>
      <c r="BBG195" s="3"/>
      <c r="BBH195" s="3"/>
      <c r="BBI195" s="3"/>
      <c r="BBJ195" s="3"/>
      <c r="BBK195" s="3"/>
      <c r="BBL195" s="3"/>
      <c r="BBM195" s="3"/>
      <c r="BBN195" s="3"/>
      <c r="BBO195" s="3"/>
      <c r="BBP195" s="3"/>
      <c r="BBQ195" s="3"/>
      <c r="BBR195" s="3"/>
      <c r="BBS195" s="3"/>
      <c r="BBT195" s="3"/>
      <c r="BBU195" s="3"/>
      <c r="BBV195" s="3"/>
      <c r="BBW195" s="3"/>
      <c r="BBX195" s="3"/>
      <c r="BBY195" s="3"/>
      <c r="BBZ195" s="3"/>
      <c r="BCA195" s="3"/>
      <c r="BCB195" s="3"/>
      <c r="BCC195" s="3"/>
      <c r="BCD195" s="3"/>
      <c r="BCE195" s="3"/>
      <c r="BCF195" s="3"/>
      <c r="BCG195" s="3"/>
      <c r="BCH195" s="3"/>
      <c r="BCI195" s="3"/>
      <c r="BCJ195" s="3"/>
      <c r="BCK195" s="3"/>
      <c r="BCL195" s="3"/>
      <c r="BCM195" s="3"/>
      <c r="BCN195" s="3"/>
      <c r="BCO195" s="3"/>
      <c r="BCP195" s="3"/>
      <c r="BCQ195" s="3"/>
      <c r="BCR195" s="3"/>
      <c r="BCS195" s="3"/>
      <c r="BCT195" s="3"/>
      <c r="BCU195" s="3"/>
      <c r="BCV195" s="3"/>
      <c r="BCW195" s="3"/>
      <c r="BCX195" s="3"/>
      <c r="BCY195" s="3"/>
      <c r="BCZ195" s="3"/>
      <c r="BDA195" s="3"/>
      <c r="BDB195" s="3"/>
      <c r="BDC195" s="3"/>
      <c r="BDD195" s="3"/>
      <c r="BDE195" s="3"/>
      <c r="BDF195" s="3"/>
      <c r="BDG195" s="3"/>
      <c r="BDH195" s="3"/>
      <c r="BDI195" s="3"/>
      <c r="BDJ195" s="3"/>
      <c r="BDK195" s="3"/>
      <c r="BDL195" s="3"/>
      <c r="BDM195" s="3"/>
      <c r="BDN195" s="3"/>
      <c r="BDO195" s="3"/>
      <c r="BDP195" s="3"/>
      <c r="BDQ195" s="3"/>
      <c r="BDR195" s="3"/>
      <c r="BDS195" s="3"/>
      <c r="BDT195" s="3"/>
      <c r="BDU195" s="3"/>
      <c r="BDV195" s="3"/>
      <c r="BDW195" s="3"/>
      <c r="BDX195" s="3"/>
      <c r="BDY195" s="3"/>
      <c r="BDZ195" s="3"/>
      <c r="BEA195" s="3"/>
      <c r="BEB195" s="3"/>
      <c r="BEC195" s="3"/>
      <c r="BED195" s="3"/>
      <c r="BEE195" s="3"/>
      <c r="BEF195" s="3"/>
      <c r="BEG195" s="3"/>
      <c r="BEH195" s="3"/>
      <c r="BEI195" s="3"/>
      <c r="BEJ195" s="3"/>
      <c r="BEK195" s="3"/>
      <c r="BEL195" s="3"/>
      <c r="BEM195" s="3"/>
      <c r="BEN195" s="3"/>
      <c r="BEO195" s="3"/>
      <c r="BEP195" s="3"/>
      <c r="BEQ195" s="3"/>
      <c r="BER195" s="3"/>
      <c r="BES195" s="3"/>
      <c r="BET195" s="3"/>
      <c r="BEU195" s="3"/>
      <c r="BEV195" s="3"/>
      <c r="BEW195" s="3"/>
      <c r="BEX195" s="3"/>
      <c r="BEY195" s="3"/>
      <c r="BEZ195" s="3"/>
      <c r="BFA195" s="3"/>
      <c r="BFB195" s="3"/>
      <c r="BFC195" s="3"/>
      <c r="BFD195" s="3"/>
      <c r="BFE195" s="3"/>
      <c r="BFF195" s="3"/>
      <c r="BFG195" s="3"/>
      <c r="BFH195" s="3"/>
      <c r="BFI195" s="3"/>
      <c r="BFJ195" s="3"/>
      <c r="BFK195" s="3"/>
      <c r="BFL195" s="3"/>
      <c r="BFM195" s="3"/>
      <c r="BFN195" s="3"/>
      <c r="BFO195" s="3"/>
      <c r="BFP195" s="3"/>
      <c r="BFQ195" s="3"/>
      <c r="BFR195" s="3"/>
      <c r="BFS195" s="3"/>
      <c r="BFT195" s="3"/>
      <c r="BFU195" s="3"/>
      <c r="BFV195" s="3"/>
      <c r="BFW195" s="3"/>
      <c r="BFX195" s="3"/>
      <c r="BFY195" s="3"/>
      <c r="BFZ195" s="3"/>
      <c r="BGA195" s="3"/>
      <c r="BGB195" s="3"/>
      <c r="BGC195" s="3"/>
      <c r="BGD195" s="3"/>
      <c r="BGE195" s="3"/>
      <c r="BGF195" s="3"/>
      <c r="BGG195" s="3"/>
      <c r="BGH195" s="3"/>
      <c r="BGI195" s="3"/>
      <c r="BGJ195" s="3"/>
      <c r="BGK195" s="3"/>
      <c r="BGL195" s="3"/>
      <c r="BGM195" s="3"/>
      <c r="BGN195" s="3"/>
      <c r="BGO195" s="3"/>
      <c r="BGP195" s="3"/>
      <c r="BGQ195" s="3"/>
      <c r="BGR195" s="3"/>
      <c r="BGS195" s="3"/>
      <c r="BGT195" s="3"/>
      <c r="BGU195" s="3"/>
      <c r="BGV195" s="3"/>
      <c r="BGW195" s="3"/>
      <c r="BGX195" s="3"/>
      <c r="BGY195" s="3"/>
      <c r="BGZ195" s="3"/>
      <c r="BHA195" s="3"/>
      <c r="BHB195" s="3"/>
      <c r="BHC195" s="3"/>
      <c r="BHD195" s="3"/>
      <c r="BHE195" s="3"/>
      <c r="BHF195" s="3"/>
      <c r="BHG195" s="3"/>
      <c r="BHH195" s="3"/>
      <c r="BHI195" s="3"/>
      <c r="BHJ195" s="3"/>
      <c r="BHK195" s="3"/>
      <c r="BHL195" s="3"/>
      <c r="BHM195" s="3"/>
      <c r="BHN195" s="3"/>
      <c r="BHO195" s="3"/>
      <c r="BHP195" s="3"/>
      <c r="BHQ195" s="3"/>
      <c r="BHR195" s="3"/>
      <c r="BHS195" s="3"/>
      <c r="BHT195" s="3"/>
      <c r="BHU195" s="3"/>
      <c r="BHV195" s="3"/>
      <c r="BHW195" s="3"/>
      <c r="BHX195" s="3"/>
      <c r="BHY195" s="3"/>
      <c r="BHZ195" s="3"/>
      <c r="BIA195" s="3"/>
      <c r="BIB195" s="3"/>
      <c r="BIC195" s="3"/>
      <c r="BID195" s="3"/>
      <c r="BIE195" s="3"/>
      <c r="BIF195" s="3"/>
      <c r="BIG195" s="3"/>
      <c r="BIH195" s="3"/>
      <c r="BII195" s="3"/>
      <c r="BIJ195" s="3"/>
      <c r="BIK195" s="3"/>
      <c r="BIL195" s="3"/>
      <c r="BIM195" s="3"/>
      <c r="BIN195" s="3"/>
      <c r="BIO195" s="3"/>
      <c r="BIP195" s="3"/>
      <c r="BIQ195" s="3"/>
      <c r="BIR195" s="3"/>
      <c r="BIS195" s="3"/>
      <c r="BIT195" s="3"/>
      <c r="BIU195" s="3"/>
      <c r="BIV195" s="3"/>
      <c r="BIW195" s="3"/>
      <c r="BIX195" s="3"/>
      <c r="BIY195" s="3"/>
      <c r="BIZ195" s="3"/>
      <c r="BJA195" s="3"/>
      <c r="BJB195" s="3"/>
      <c r="BJC195" s="3"/>
      <c r="BJD195" s="3"/>
      <c r="BJE195" s="3"/>
      <c r="BJF195" s="3"/>
      <c r="BJG195" s="3"/>
      <c r="BJH195" s="3"/>
      <c r="BJI195" s="3"/>
      <c r="BJJ195" s="3"/>
      <c r="BJK195" s="3"/>
      <c r="BJL195" s="3"/>
      <c r="BJM195" s="3"/>
      <c r="BJN195" s="3"/>
      <c r="BJO195" s="3"/>
      <c r="BJP195" s="3"/>
      <c r="BJQ195" s="3"/>
      <c r="BJR195" s="3"/>
      <c r="BJS195" s="3"/>
      <c r="BJT195" s="3"/>
      <c r="BJU195" s="3"/>
      <c r="BJV195" s="3"/>
      <c r="BJW195" s="3"/>
      <c r="BJX195" s="3"/>
      <c r="BJY195" s="3"/>
      <c r="BJZ195" s="3"/>
      <c r="BKA195" s="3"/>
      <c r="BKB195" s="3"/>
      <c r="BKC195" s="3"/>
      <c r="BKD195" s="3"/>
      <c r="BKE195" s="3"/>
      <c r="BKF195" s="3"/>
      <c r="BKG195" s="3"/>
      <c r="BKH195" s="3"/>
      <c r="BKI195" s="3"/>
      <c r="BKJ195" s="3"/>
      <c r="BKK195" s="3"/>
      <c r="BKL195" s="3"/>
      <c r="BKM195" s="3"/>
      <c r="BKN195" s="3"/>
      <c r="BKO195" s="3"/>
      <c r="BKP195" s="3"/>
      <c r="BKQ195" s="3"/>
      <c r="BKR195" s="3"/>
      <c r="BKS195" s="3"/>
      <c r="BKT195" s="3"/>
      <c r="BKU195" s="3"/>
      <c r="BKV195" s="3"/>
      <c r="BKW195" s="3"/>
      <c r="BKX195" s="3"/>
      <c r="BKY195" s="3"/>
      <c r="BKZ195" s="3"/>
      <c r="BLA195" s="3"/>
      <c r="BLB195" s="3"/>
      <c r="BLC195" s="3"/>
      <c r="BLD195" s="3"/>
      <c r="BLE195" s="3"/>
      <c r="BLF195" s="3"/>
      <c r="BLG195" s="3"/>
      <c r="BLH195" s="3"/>
      <c r="BLI195" s="3"/>
      <c r="BLJ195" s="3"/>
      <c r="BLK195" s="3"/>
      <c r="BLL195" s="3"/>
      <c r="BLM195" s="3"/>
      <c r="BLN195" s="3"/>
      <c r="BLO195" s="3"/>
      <c r="BLP195" s="3"/>
      <c r="BLQ195" s="3"/>
      <c r="BLR195" s="3"/>
      <c r="BLS195" s="3"/>
      <c r="BLT195" s="3"/>
      <c r="BLU195" s="3"/>
      <c r="BLV195" s="3"/>
      <c r="BLW195" s="3"/>
      <c r="BLX195" s="3"/>
      <c r="BLY195" s="3"/>
      <c r="BLZ195" s="3"/>
      <c r="BMA195" s="3"/>
      <c r="BMB195" s="3"/>
      <c r="BMC195" s="3"/>
      <c r="BMD195" s="3"/>
      <c r="BME195" s="3"/>
      <c r="BMF195" s="3"/>
      <c r="BMG195" s="3"/>
      <c r="BMH195" s="3"/>
      <c r="BMI195" s="3"/>
      <c r="BMJ195" s="3"/>
      <c r="BMK195" s="3"/>
      <c r="BML195" s="3"/>
      <c r="BMM195" s="3"/>
      <c r="BMN195" s="3"/>
      <c r="BMO195" s="3"/>
      <c r="BMP195" s="3"/>
      <c r="BMQ195" s="3"/>
      <c r="BMR195" s="3"/>
      <c r="BMS195" s="3"/>
      <c r="BMT195" s="3"/>
      <c r="BMU195" s="3"/>
      <c r="BMV195" s="3"/>
      <c r="BMW195" s="3"/>
      <c r="BMX195" s="3"/>
      <c r="BMY195" s="3"/>
      <c r="BMZ195" s="3"/>
      <c r="BNA195" s="3"/>
      <c r="BNB195" s="3"/>
      <c r="BNC195" s="3"/>
      <c r="BND195" s="3"/>
      <c r="BNE195" s="3"/>
      <c r="BNF195" s="3"/>
      <c r="BNG195" s="3"/>
      <c r="BNH195" s="3"/>
      <c r="BNI195" s="3"/>
      <c r="BNJ195" s="3"/>
      <c r="BNK195" s="3"/>
      <c r="BNL195" s="3"/>
      <c r="BNM195" s="3"/>
      <c r="BNN195" s="3"/>
      <c r="BNO195" s="3"/>
      <c r="BNP195" s="3"/>
      <c r="BNQ195" s="3"/>
      <c r="BNR195" s="3"/>
      <c r="BNS195" s="3"/>
      <c r="BNT195" s="3"/>
      <c r="BNU195" s="3"/>
      <c r="BNV195" s="3"/>
      <c r="BNW195" s="3"/>
      <c r="BNX195" s="3"/>
      <c r="BNY195" s="3"/>
      <c r="BNZ195" s="3"/>
      <c r="BOA195" s="3"/>
      <c r="BOB195" s="3"/>
      <c r="BOC195" s="3"/>
      <c r="BOD195" s="3"/>
      <c r="BOE195" s="3"/>
      <c r="BOF195" s="3"/>
      <c r="BOG195" s="3"/>
      <c r="BOH195" s="3"/>
      <c r="BOI195" s="3"/>
      <c r="BOJ195" s="3"/>
      <c r="BOK195" s="3"/>
      <c r="BOL195" s="3"/>
      <c r="BOM195" s="3"/>
      <c r="BON195" s="3"/>
      <c r="BOO195" s="3"/>
      <c r="BOP195" s="3"/>
      <c r="BOQ195" s="3"/>
      <c r="BOR195" s="3"/>
      <c r="BOS195" s="3"/>
      <c r="BOT195" s="3"/>
      <c r="BOU195" s="3"/>
      <c r="BOV195" s="3"/>
      <c r="BOW195" s="3"/>
      <c r="BOX195" s="3"/>
      <c r="BOY195" s="3"/>
      <c r="BOZ195" s="3"/>
      <c r="BPA195" s="3"/>
      <c r="BPB195" s="3"/>
      <c r="BPC195" s="3"/>
      <c r="BPD195" s="3"/>
      <c r="BPE195" s="3"/>
      <c r="BPF195" s="3"/>
      <c r="BPG195" s="3"/>
      <c r="BPH195" s="3"/>
      <c r="BPI195" s="3"/>
      <c r="BPJ195" s="3"/>
      <c r="BPK195" s="3"/>
      <c r="BPL195" s="3"/>
      <c r="BPM195" s="3"/>
      <c r="BPN195" s="3"/>
      <c r="BPO195" s="3"/>
      <c r="BPP195" s="3"/>
      <c r="BPQ195" s="3"/>
      <c r="BPR195" s="3"/>
      <c r="BPS195" s="3"/>
      <c r="BPT195" s="3"/>
      <c r="BPU195" s="3"/>
      <c r="BPV195" s="3"/>
      <c r="BPW195" s="3"/>
      <c r="BPX195" s="3"/>
      <c r="BPY195" s="3"/>
      <c r="BPZ195" s="3"/>
      <c r="BQA195" s="3"/>
      <c r="BQB195" s="3"/>
      <c r="BQC195" s="3"/>
      <c r="BQD195" s="3"/>
      <c r="BQE195" s="3"/>
      <c r="BQF195" s="3"/>
      <c r="BQG195" s="3"/>
      <c r="BQH195" s="3"/>
      <c r="BQI195" s="3"/>
      <c r="BQJ195" s="3"/>
      <c r="BQK195" s="3"/>
      <c r="BQL195" s="3"/>
      <c r="BQM195" s="3"/>
      <c r="BQN195" s="3"/>
      <c r="BQO195" s="3"/>
      <c r="BQP195" s="3"/>
      <c r="BQQ195" s="3"/>
      <c r="BQR195" s="3"/>
      <c r="BQS195" s="3"/>
      <c r="BQT195" s="3"/>
      <c r="BQU195" s="3"/>
      <c r="BQV195" s="3"/>
      <c r="BQW195" s="3"/>
      <c r="BQX195" s="3"/>
      <c r="BQY195" s="3"/>
      <c r="BQZ195" s="3"/>
      <c r="BRA195" s="3"/>
      <c r="BRB195" s="3"/>
      <c r="BRC195" s="3"/>
      <c r="BRD195" s="3"/>
      <c r="BRE195" s="3"/>
      <c r="BRF195" s="3"/>
      <c r="BRG195" s="3"/>
      <c r="BRH195" s="3"/>
      <c r="BRI195" s="3"/>
      <c r="BRJ195" s="3"/>
      <c r="BRK195" s="3"/>
      <c r="BRL195" s="3"/>
      <c r="BRM195" s="3"/>
      <c r="BRN195" s="3"/>
      <c r="BRO195" s="3"/>
      <c r="BRP195" s="3"/>
      <c r="BRQ195" s="3"/>
      <c r="BRR195" s="3"/>
      <c r="BRS195" s="3"/>
      <c r="BRT195" s="3"/>
      <c r="BRU195" s="3"/>
      <c r="BRV195" s="3"/>
      <c r="BRW195" s="3"/>
      <c r="BRX195" s="3"/>
      <c r="BRY195" s="3"/>
      <c r="BRZ195" s="3"/>
      <c r="BSA195" s="3"/>
      <c r="BSB195" s="3"/>
      <c r="BSC195" s="3"/>
      <c r="BSD195" s="3"/>
      <c r="BSE195" s="3"/>
      <c r="BSF195" s="3"/>
      <c r="BSG195" s="3"/>
      <c r="BSH195" s="3"/>
      <c r="BSI195" s="3"/>
      <c r="BSJ195" s="3"/>
      <c r="BSK195" s="3"/>
      <c r="BSL195" s="3"/>
      <c r="BSM195" s="3"/>
      <c r="BSN195" s="3"/>
      <c r="BSO195" s="3"/>
      <c r="BSP195" s="3"/>
      <c r="BSQ195" s="3"/>
      <c r="BSR195" s="3"/>
      <c r="BSS195" s="3"/>
      <c r="BST195" s="3"/>
      <c r="BSU195" s="3"/>
      <c r="BSV195" s="3"/>
      <c r="BSW195" s="3"/>
      <c r="BSX195" s="3"/>
      <c r="BSY195" s="3"/>
      <c r="BSZ195" s="3"/>
      <c r="BTA195" s="3"/>
      <c r="BTB195" s="3"/>
      <c r="BTC195" s="3"/>
      <c r="BTD195" s="3"/>
      <c r="BTE195" s="3"/>
      <c r="BTF195" s="3"/>
      <c r="BTG195" s="3"/>
      <c r="BTH195" s="3"/>
      <c r="BTI195" s="3"/>
      <c r="BTJ195" s="3"/>
      <c r="BTK195" s="3"/>
      <c r="BTL195" s="3"/>
      <c r="BTM195" s="3"/>
      <c r="BTN195" s="3"/>
      <c r="BTO195" s="3"/>
      <c r="BTP195" s="3"/>
      <c r="BTQ195" s="3"/>
      <c r="BTR195" s="3"/>
      <c r="BTS195" s="3"/>
      <c r="BTT195" s="3"/>
      <c r="BTU195" s="3"/>
      <c r="BTV195" s="3"/>
      <c r="BTW195" s="3"/>
      <c r="BTX195" s="3"/>
      <c r="BTY195" s="3"/>
      <c r="BTZ195" s="3"/>
      <c r="BUA195" s="3"/>
      <c r="BUB195" s="3"/>
      <c r="BUC195" s="3"/>
      <c r="BUD195" s="3"/>
      <c r="BUE195" s="3"/>
      <c r="BUF195" s="3"/>
      <c r="BUG195" s="3"/>
      <c r="BUH195" s="3"/>
      <c r="BUI195" s="3"/>
      <c r="BUJ195" s="3"/>
      <c r="BUK195" s="3"/>
      <c r="BUL195" s="3"/>
      <c r="BUM195" s="3"/>
      <c r="BUN195" s="3"/>
      <c r="BUO195" s="3"/>
      <c r="BUP195" s="3"/>
      <c r="BUQ195" s="3"/>
      <c r="BUR195" s="3"/>
      <c r="BUS195" s="3"/>
      <c r="BUT195" s="3"/>
      <c r="BUU195" s="3"/>
      <c r="BUV195" s="3"/>
      <c r="BUW195" s="3"/>
      <c r="BUX195" s="3"/>
      <c r="BUY195" s="3"/>
      <c r="BUZ195" s="3"/>
      <c r="BVA195" s="3"/>
      <c r="BVB195" s="3"/>
      <c r="BVC195" s="3"/>
      <c r="BVD195" s="3"/>
      <c r="BVE195" s="3"/>
      <c r="BVF195" s="3"/>
      <c r="BVG195" s="3"/>
      <c r="BVH195" s="3"/>
      <c r="BVI195" s="3"/>
      <c r="BVJ195" s="3"/>
      <c r="BVK195" s="3"/>
      <c r="BVL195" s="3"/>
      <c r="BVM195" s="3"/>
      <c r="BVN195" s="3"/>
      <c r="BVO195" s="3"/>
      <c r="BVP195" s="3"/>
      <c r="BVQ195" s="3"/>
      <c r="BVR195" s="3"/>
      <c r="BVS195" s="3"/>
      <c r="BVT195" s="3"/>
      <c r="BVU195" s="3"/>
      <c r="BVV195" s="3"/>
      <c r="BVW195" s="3"/>
      <c r="BVX195" s="3"/>
      <c r="BVY195" s="3"/>
      <c r="BVZ195" s="3"/>
      <c r="BWA195" s="3"/>
      <c r="BWB195" s="3"/>
      <c r="BWC195" s="3"/>
      <c r="BWD195" s="3"/>
      <c r="BWE195" s="3"/>
      <c r="BWF195" s="3"/>
      <c r="BWG195" s="3"/>
      <c r="BWH195" s="3"/>
      <c r="BWI195" s="3"/>
      <c r="BWJ195" s="3"/>
      <c r="BWK195" s="3"/>
      <c r="BWL195" s="3"/>
      <c r="BWM195" s="3"/>
      <c r="BWN195" s="3"/>
      <c r="BWO195" s="3"/>
      <c r="BWP195" s="3"/>
      <c r="BWQ195" s="3"/>
      <c r="BWR195" s="3"/>
      <c r="BWS195" s="3"/>
      <c r="BWT195" s="3"/>
      <c r="BWU195" s="3"/>
      <c r="BWV195" s="3"/>
      <c r="BWW195" s="3"/>
      <c r="BWX195" s="3"/>
      <c r="BWY195" s="3"/>
      <c r="BWZ195" s="3"/>
      <c r="BXA195" s="3"/>
      <c r="BXB195" s="3"/>
      <c r="BXC195" s="3"/>
      <c r="BXD195" s="3"/>
      <c r="BXE195" s="3"/>
      <c r="BXF195" s="3"/>
      <c r="BXG195" s="3"/>
      <c r="BXH195" s="3"/>
      <c r="BXI195" s="3"/>
      <c r="BXJ195" s="3"/>
      <c r="BXK195" s="3"/>
      <c r="BXL195" s="3"/>
      <c r="BXM195" s="3"/>
      <c r="BXN195" s="3"/>
      <c r="BXO195" s="3"/>
      <c r="BXP195" s="3"/>
      <c r="BXQ195" s="3"/>
      <c r="BXR195" s="3"/>
      <c r="BXS195" s="3"/>
      <c r="BXT195" s="3"/>
      <c r="BXU195" s="3"/>
      <c r="BXV195" s="3"/>
      <c r="BXW195" s="3"/>
      <c r="BXX195" s="3"/>
      <c r="BXY195" s="3"/>
      <c r="BXZ195" s="3"/>
      <c r="BYA195" s="3"/>
      <c r="BYB195" s="3"/>
      <c r="BYC195" s="3"/>
      <c r="BYD195" s="3"/>
      <c r="BYE195" s="3"/>
      <c r="BYF195" s="3"/>
      <c r="BYG195" s="3"/>
      <c r="BYH195" s="3"/>
      <c r="BYI195" s="3"/>
      <c r="BYJ195" s="3"/>
      <c r="BYK195" s="3"/>
      <c r="BYL195" s="3"/>
      <c r="BYM195" s="3"/>
      <c r="BYN195" s="3"/>
      <c r="BYO195" s="3"/>
      <c r="BYP195" s="3"/>
      <c r="BYQ195" s="3"/>
      <c r="BYR195" s="3"/>
      <c r="BYS195" s="3"/>
      <c r="BYT195" s="3"/>
      <c r="BYU195" s="3"/>
      <c r="BYV195" s="3"/>
      <c r="BYW195" s="3"/>
      <c r="BYX195" s="3"/>
      <c r="BYY195" s="3"/>
      <c r="BYZ195" s="3"/>
      <c r="BZA195" s="3"/>
      <c r="BZB195" s="3"/>
      <c r="BZC195" s="3"/>
      <c r="BZD195" s="3"/>
      <c r="BZE195" s="3"/>
      <c r="BZF195" s="3"/>
      <c r="BZG195" s="3"/>
      <c r="BZH195" s="3"/>
      <c r="BZI195" s="3"/>
      <c r="BZJ195" s="3"/>
      <c r="BZK195" s="3"/>
      <c r="BZL195" s="3"/>
      <c r="BZM195" s="3"/>
      <c r="BZN195" s="3"/>
      <c r="BZO195" s="3"/>
      <c r="BZP195" s="3"/>
      <c r="BZQ195" s="3"/>
      <c r="BZR195" s="3"/>
      <c r="BZS195" s="3"/>
      <c r="BZT195" s="3"/>
      <c r="BZU195" s="3"/>
      <c r="BZV195" s="3"/>
      <c r="BZW195" s="3"/>
      <c r="BZX195" s="3"/>
      <c r="BZY195" s="3"/>
      <c r="BZZ195" s="3"/>
      <c r="CAA195" s="3"/>
      <c r="CAB195" s="3"/>
      <c r="CAC195" s="3"/>
      <c r="CAD195" s="3"/>
      <c r="CAE195" s="3"/>
      <c r="CAF195" s="3"/>
      <c r="CAG195" s="3"/>
      <c r="CAH195" s="3"/>
      <c r="CAI195" s="3"/>
      <c r="CAJ195" s="3"/>
      <c r="CAK195" s="3"/>
      <c r="CAL195" s="3"/>
      <c r="CAM195" s="3"/>
      <c r="CAN195" s="3"/>
      <c r="CAO195" s="3"/>
      <c r="CAP195" s="3"/>
      <c r="CAQ195" s="3"/>
      <c r="CAR195" s="3"/>
      <c r="CAS195" s="3"/>
      <c r="CAT195" s="3"/>
      <c r="CAU195" s="3"/>
      <c r="CAV195" s="3"/>
      <c r="CAW195" s="3"/>
      <c r="CAX195" s="3"/>
      <c r="CAY195" s="3"/>
      <c r="CAZ195" s="3"/>
      <c r="CBA195" s="3"/>
      <c r="CBB195" s="3"/>
      <c r="CBC195" s="3"/>
      <c r="CBD195" s="3"/>
      <c r="CBE195" s="3"/>
      <c r="CBF195" s="3"/>
      <c r="CBG195" s="3"/>
      <c r="CBH195" s="3"/>
      <c r="CBI195" s="3"/>
      <c r="CBJ195" s="3"/>
      <c r="CBK195" s="3"/>
      <c r="CBL195" s="3"/>
      <c r="CBM195" s="3"/>
      <c r="CBN195" s="3"/>
      <c r="CBO195" s="3"/>
      <c r="CBP195" s="3"/>
      <c r="CBQ195" s="3"/>
      <c r="CBR195" s="3"/>
      <c r="CBS195" s="3"/>
      <c r="CBT195" s="3"/>
      <c r="CBU195" s="3"/>
      <c r="CBV195" s="3"/>
      <c r="CBW195" s="3"/>
      <c r="CBX195" s="3"/>
      <c r="CBY195" s="3"/>
      <c r="CBZ195" s="3"/>
      <c r="CCA195" s="3"/>
      <c r="CCB195" s="3"/>
      <c r="CCC195" s="3"/>
      <c r="CCD195" s="3"/>
      <c r="CCE195" s="3"/>
      <c r="CCF195" s="3"/>
      <c r="CCG195" s="3"/>
      <c r="CCH195" s="3"/>
      <c r="CCI195" s="3"/>
      <c r="CCJ195" s="3"/>
      <c r="CCK195" s="3"/>
      <c r="CCL195" s="3"/>
      <c r="CCM195" s="3"/>
      <c r="CCN195" s="3"/>
      <c r="CCO195" s="3"/>
      <c r="CCP195" s="3"/>
      <c r="CCQ195" s="3"/>
      <c r="CCR195" s="3"/>
      <c r="CCS195" s="3"/>
      <c r="CCT195" s="3"/>
      <c r="CCU195" s="3"/>
      <c r="CCV195" s="3"/>
      <c r="CCW195" s="3"/>
      <c r="CCX195" s="3"/>
      <c r="CCY195" s="3"/>
      <c r="CCZ195" s="3"/>
      <c r="CDA195" s="3"/>
      <c r="CDB195" s="3"/>
      <c r="CDC195" s="3"/>
      <c r="CDD195" s="3"/>
      <c r="CDE195" s="3"/>
      <c r="CDF195" s="3"/>
      <c r="CDG195" s="3"/>
      <c r="CDH195" s="3"/>
      <c r="CDI195" s="3"/>
      <c r="CDJ195" s="3"/>
      <c r="CDK195" s="3"/>
      <c r="CDL195" s="3"/>
      <c r="CDM195" s="3"/>
      <c r="CDN195" s="3"/>
      <c r="CDO195" s="3"/>
      <c r="CDP195" s="3"/>
      <c r="CDQ195" s="3"/>
      <c r="CDR195" s="3"/>
      <c r="CDS195" s="3"/>
      <c r="CDT195" s="3"/>
      <c r="CDU195" s="3"/>
      <c r="CDV195" s="3"/>
      <c r="CDW195" s="3"/>
      <c r="CDX195" s="3"/>
      <c r="CDY195" s="3"/>
      <c r="CDZ195" s="3"/>
      <c r="CEA195" s="3"/>
      <c r="CEB195" s="3"/>
      <c r="CEC195" s="3"/>
      <c r="CED195" s="3"/>
      <c r="CEE195" s="3"/>
      <c r="CEF195" s="3"/>
      <c r="CEG195" s="3"/>
      <c r="CEH195" s="3"/>
      <c r="CEI195" s="3"/>
      <c r="CEJ195" s="3"/>
      <c r="CEK195" s="3"/>
      <c r="CEL195" s="3"/>
      <c r="CEM195" s="3"/>
      <c r="CEN195" s="3"/>
      <c r="CEO195" s="3"/>
      <c r="CEP195" s="3"/>
      <c r="CEQ195" s="3"/>
      <c r="CER195" s="3"/>
      <c r="CES195" s="3"/>
      <c r="CET195" s="3"/>
      <c r="CEU195" s="3"/>
      <c r="CEV195" s="3"/>
      <c r="CEW195" s="3"/>
      <c r="CEX195" s="3"/>
      <c r="CEY195" s="3"/>
      <c r="CEZ195" s="3"/>
      <c r="CFA195" s="3"/>
      <c r="CFB195" s="3"/>
      <c r="CFC195" s="3"/>
      <c r="CFD195" s="3"/>
      <c r="CFE195" s="3"/>
      <c r="CFF195" s="3"/>
      <c r="CFG195" s="3"/>
      <c r="CFH195" s="3"/>
      <c r="CFI195" s="3"/>
      <c r="CFJ195" s="3"/>
      <c r="CFK195" s="3"/>
      <c r="CFL195" s="3"/>
      <c r="CFM195" s="3"/>
      <c r="CFN195" s="3"/>
      <c r="CFO195" s="3"/>
      <c r="CFP195" s="3"/>
      <c r="CFQ195" s="3"/>
      <c r="CFR195" s="3"/>
      <c r="CFS195" s="3"/>
      <c r="CFT195" s="3"/>
      <c r="CFU195" s="3"/>
      <c r="CFV195" s="3"/>
      <c r="CFW195" s="3"/>
      <c r="CFX195" s="3"/>
      <c r="CFY195" s="3"/>
      <c r="CFZ195" s="3"/>
      <c r="CGA195" s="3"/>
      <c r="CGB195" s="3"/>
      <c r="CGC195" s="3"/>
      <c r="CGD195" s="3"/>
      <c r="CGE195" s="3"/>
      <c r="CGF195" s="3"/>
      <c r="CGG195" s="3"/>
      <c r="CGH195" s="3"/>
      <c r="CGI195" s="3"/>
      <c r="CGJ195" s="3"/>
      <c r="CGK195" s="3"/>
      <c r="CGL195" s="3"/>
      <c r="CGM195" s="3"/>
      <c r="CGN195" s="3"/>
      <c r="CGO195" s="3"/>
      <c r="CGP195" s="3"/>
      <c r="CGQ195" s="3"/>
      <c r="CGR195" s="3"/>
      <c r="CGS195" s="3"/>
      <c r="CGT195" s="3"/>
      <c r="CGU195" s="3"/>
      <c r="CGV195" s="3"/>
      <c r="CGW195" s="3"/>
      <c r="CGX195" s="3"/>
      <c r="CGY195" s="3"/>
      <c r="CGZ195" s="3"/>
      <c r="CHA195" s="3"/>
      <c r="CHB195" s="3"/>
      <c r="CHC195" s="3"/>
      <c r="CHD195" s="3"/>
      <c r="CHE195" s="3"/>
      <c r="CHF195" s="3"/>
      <c r="CHG195" s="3"/>
      <c r="CHH195" s="3"/>
      <c r="CHI195" s="3"/>
      <c r="CHJ195" s="3"/>
      <c r="CHK195" s="3"/>
      <c r="CHL195" s="3"/>
      <c r="CHM195" s="3"/>
      <c r="CHN195" s="3"/>
      <c r="CHO195" s="3"/>
      <c r="CHP195" s="3"/>
      <c r="CHQ195" s="3"/>
      <c r="CHR195" s="3"/>
      <c r="CHS195" s="3"/>
      <c r="CHT195" s="3"/>
      <c r="CHU195" s="3"/>
      <c r="CHV195" s="3"/>
      <c r="CHW195" s="3"/>
      <c r="CHX195" s="3"/>
      <c r="CHY195" s="3"/>
      <c r="CHZ195" s="3"/>
      <c r="CIA195" s="3"/>
      <c r="CIB195" s="3"/>
      <c r="CIC195" s="3"/>
      <c r="CID195" s="3"/>
      <c r="CIE195" s="3"/>
      <c r="CIF195" s="3"/>
      <c r="CIG195" s="3"/>
      <c r="CIH195" s="3"/>
      <c r="CII195" s="3"/>
      <c r="CIJ195" s="3"/>
      <c r="CIK195" s="3"/>
      <c r="CIL195" s="3"/>
      <c r="CIM195" s="3"/>
      <c r="CIN195" s="3"/>
      <c r="CIO195" s="3"/>
      <c r="CIP195" s="3"/>
      <c r="CIQ195" s="3"/>
      <c r="CIR195" s="3"/>
      <c r="CIS195" s="3"/>
      <c r="CIT195" s="3"/>
      <c r="CIU195" s="3"/>
      <c r="CIV195" s="3"/>
      <c r="CIW195" s="3"/>
      <c r="CIX195" s="3"/>
      <c r="CIY195" s="3"/>
      <c r="CIZ195" s="3"/>
      <c r="CJA195" s="3"/>
      <c r="CJB195" s="3"/>
      <c r="CJC195" s="3"/>
      <c r="CJD195" s="3"/>
      <c r="CJE195" s="3"/>
      <c r="CJF195" s="3"/>
      <c r="CJG195" s="3"/>
      <c r="CJH195" s="3"/>
      <c r="CJI195" s="3"/>
      <c r="CJJ195" s="3"/>
      <c r="CJK195" s="3"/>
      <c r="CJL195" s="3"/>
      <c r="CJM195" s="3"/>
      <c r="CJN195" s="3"/>
      <c r="CJO195" s="3"/>
      <c r="CJP195" s="3"/>
      <c r="CJQ195" s="3"/>
      <c r="CJR195" s="3"/>
      <c r="CJS195" s="3"/>
      <c r="CJT195" s="3"/>
      <c r="CJU195" s="3"/>
      <c r="CJV195" s="3"/>
      <c r="CJW195" s="3"/>
      <c r="CJX195" s="3"/>
      <c r="CJY195" s="3"/>
      <c r="CJZ195" s="3"/>
      <c r="CKA195" s="3"/>
      <c r="CKB195" s="3"/>
      <c r="CKC195" s="3"/>
      <c r="CKD195" s="3"/>
      <c r="CKE195" s="3"/>
      <c r="CKF195" s="3"/>
      <c r="CKG195" s="3"/>
      <c r="CKH195" s="3"/>
      <c r="CKI195" s="3"/>
      <c r="CKJ195" s="3"/>
      <c r="CKK195" s="3"/>
      <c r="CKL195" s="3"/>
      <c r="CKM195" s="3"/>
      <c r="CKN195" s="3"/>
      <c r="CKO195" s="3"/>
      <c r="CKP195" s="3"/>
      <c r="CKQ195" s="3"/>
      <c r="CKR195" s="3"/>
      <c r="CKS195" s="3"/>
      <c r="CKT195" s="3"/>
      <c r="CKU195" s="3"/>
      <c r="CKV195" s="3"/>
      <c r="CKW195" s="3"/>
      <c r="CKX195" s="3"/>
      <c r="CKY195" s="3"/>
      <c r="CKZ195" s="3"/>
      <c r="CLA195" s="3"/>
      <c r="CLB195" s="3"/>
      <c r="CLC195" s="3"/>
      <c r="CLD195" s="3"/>
      <c r="CLE195" s="3"/>
      <c r="CLF195" s="3"/>
      <c r="CLG195" s="3"/>
      <c r="CLH195" s="3"/>
      <c r="CLI195" s="3"/>
      <c r="CLJ195" s="3"/>
      <c r="CLK195" s="3"/>
      <c r="CLL195" s="3"/>
      <c r="CLM195" s="3"/>
      <c r="CLN195" s="3"/>
      <c r="CLO195" s="3"/>
      <c r="CLP195" s="3"/>
      <c r="CLQ195" s="3"/>
      <c r="CLR195" s="3"/>
      <c r="CLS195" s="3"/>
      <c r="CLT195" s="3"/>
      <c r="CLU195" s="3"/>
      <c r="CLV195" s="3"/>
      <c r="CLW195" s="3"/>
      <c r="CLX195" s="3"/>
      <c r="CLY195" s="3"/>
      <c r="CLZ195" s="3"/>
      <c r="CMA195" s="3"/>
      <c r="CMB195" s="3"/>
      <c r="CMC195" s="3"/>
      <c r="CMD195" s="3"/>
      <c r="CME195" s="3"/>
      <c r="CMF195" s="3"/>
      <c r="CMG195" s="3"/>
      <c r="CMH195" s="3"/>
      <c r="CMI195" s="3"/>
      <c r="CMJ195" s="3"/>
      <c r="CMK195" s="3"/>
      <c r="CML195" s="3"/>
      <c r="CMM195" s="3"/>
      <c r="CMN195" s="3"/>
      <c r="CMO195" s="3"/>
      <c r="CMP195" s="3"/>
      <c r="CMQ195" s="3"/>
      <c r="CMR195" s="3"/>
      <c r="CMS195" s="3"/>
      <c r="CMT195" s="3"/>
      <c r="CMU195" s="3"/>
      <c r="CMV195" s="3"/>
      <c r="CMW195" s="3"/>
      <c r="CMX195" s="3"/>
      <c r="CMY195" s="3"/>
      <c r="CMZ195" s="3"/>
      <c r="CNA195" s="3"/>
      <c r="CNB195" s="3"/>
      <c r="CNC195" s="3"/>
      <c r="CND195" s="3"/>
      <c r="CNE195" s="3"/>
      <c r="CNF195" s="3"/>
      <c r="CNG195" s="3"/>
      <c r="CNH195" s="3"/>
      <c r="CNI195" s="3"/>
      <c r="CNJ195" s="3"/>
      <c r="CNK195" s="3"/>
      <c r="CNL195" s="3"/>
      <c r="CNM195" s="3"/>
      <c r="CNN195" s="3"/>
      <c r="CNO195" s="3"/>
      <c r="CNP195" s="3"/>
      <c r="CNQ195" s="3"/>
      <c r="CNR195" s="3"/>
      <c r="CNS195" s="3"/>
      <c r="CNT195" s="3"/>
      <c r="CNU195" s="3"/>
      <c r="CNV195" s="3"/>
      <c r="CNW195" s="3"/>
      <c r="CNX195" s="3"/>
      <c r="CNY195" s="3"/>
      <c r="CNZ195" s="3"/>
      <c r="COA195" s="3"/>
      <c r="COB195" s="3"/>
      <c r="COC195" s="3"/>
      <c r="COD195" s="3"/>
      <c r="COE195" s="3"/>
      <c r="COF195" s="3"/>
      <c r="COG195" s="3"/>
      <c r="COH195" s="3"/>
      <c r="COI195" s="3"/>
      <c r="COJ195" s="3"/>
      <c r="COK195" s="3"/>
      <c r="COL195" s="3"/>
      <c r="COM195" s="3"/>
      <c r="CON195" s="3"/>
      <c r="COO195" s="3"/>
      <c r="COP195" s="3"/>
      <c r="COQ195" s="3"/>
      <c r="COR195" s="3"/>
      <c r="COS195" s="3"/>
      <c r="COT195" s="3"/>
      <c r="COU195" s="3"/>
      <c r="COV195" s="3"/>
      <c r="COW195" s="3"/>
      <c r="COX195" s="3"/>
      <c r="COY195" s="3"/>
      <c r="COZ195" s="3"/>
      <c r="CPA195" s="3"/>
      <c r="CPB195" s="3"/>
      <c r="CPC195" s="3"/>
      <c r="CPD195" s="3"/>
      <c r="CPE195" s="3"/>
      <c r="CPF195" s="3"/>
      <c r="CPG195" s="3"/>
      <c r="CPH195" s="3"/>
      <c r="CPI195" s="3"/>
      <c r="CPJ195" s="3"/>
      <c r="CPK195" s="3"/>
      <c r="CPL195" s="3"/>
      <c r="CPM195" s="3"/>
      <c r="CPN195" s="3"/>
      <c r="CPO195" s="3"/>
      <c r="CPP195" s="3"/>
      <c r="CPQ195" s="3"/>
      <c r="CPR195" s="3"/>
      <c r="CPS195" s="3"/>
      <c r="CPT195" s="3"/>
      <c r="CPU195" s="3"/>
      <c r="CPV195" s="3"/>
      <c r="CPW195" s="3"/>
      <c r="CPX195" s="3"/>
      <c r="CPY195" s="3"/>
      <c r="CPZ195" s="3"/>
      <c r="CQA195" s="3"/>
      <c r="CQB195" s="3"/>
      <c r="CQC195" s="3"/>
      <c r="CQD195" s="3"/>
      <c r="CQE195" s="3"/>
      <c r="CQF195" s="3"/>
      <c r="CQG195" s="3"/>
      <c r="CQH195" s="3"/>
      <c r="CQI195" s="3"/>
      <c r="CQJ195" s="3"/>
      <c r="CQK195" s="3"/>
      <c r="CQL195" s="3"/>
      <c r="CQM195" s="3"/>
      <c r="CQN195" s="3"/>
      <c r="CQO195" s="3"/>
      <c r="CQP195" s="3"/>
      <c r="CQQ195" s="3"/>
      <c r="CQR195" s="3"/>
      <c r="CQS195" s="3"/>
      <c r="CQT195" s="3"/>
      <c r="CQU195" s="3"/>
      <c r="CQV195" s="3"/>
      <c r="CQW195" s="3"/>
      <c r="CQX195" s="3"/>
      <c r="CQY195" s="3"/>
      <c r="CQZ195" s="3"/>
      <c r="CRA195" s="3"/>
      <c r="CRB195" s="3"/>
      <c r="CRC195" s="3"/>
      <c r="CRD195" s="3"/>
      <c r="CRE195" s="3"/>
      <c r="CRF195" s="3"/>
      <c r="CRG195" s="3"/>
      <c r="CRH195" s="3"/>
      <c r="CRI195" s="3"/>
      <c r="CRJ195" s="3"/>
      <c r="CRK195" s="3"/>
      <c r="CRL195" s="3"/>
      <c r="CRM195" s="3"/>
      <c r="CRN195" s="3"/>
      <c r="CRO195" s="3"/>
      <c r="CRP195" s="3"/>
      <c r="CRQ195" s="3"/>
      <c r="CRR195" s="3"/>
      <c r="CRS195" s="3"/>
      <c r="CRT195" s="3"/>
      <c r="CRU195" s="3"/>
      <c r="CRV195" s="3"/>
      <c r="CRW195" s="3"/>
      <c r="CRX195" s="3"/>
      <c r="CRY195" s="3"/>
      <c r="CRZ195" s="3"/>
      <c r="CSA195" s="3"/>
      <c r="CSB195" s="3"/>
      <c r="CSC195" s="3"/>
      <c r="CSD195" s="3"/>
      <c r="CSE195" s="3"/>
      <c r="CSF195" s="3"/>
      <c r="CSG195" s="3"/>
      <c r="CSH195" s="3"/>
      <c r="CSI195" s="3"/>
      <c r="CSJ195" s="3"/>
      <c r="CSK195" s="3"/>
      <c r="CSL195" s="3"/>
      <c r="CSM195" s="3"/>
      <c r="CSN195" s="3"/>
      <c r="CSO195" s="3"/>
      <c r="CSP195" s="3"/>
      <c r="CSQ195" s="3"/>
      <c r="CSR195" s="3"/>
      <c r="CSS195" s="3"/>
      <c r="CST195" s="3"/>
      <c r="CSU195" s="3"/>
      <c r="CSV195" s="3"/>
      <c r="CSW195" s="3"/>
      <c r="CSX195" s="3"/>
      <c r="CSY195" s="3"/>
      <c r="CSZ195" s="3"/>
      <c r="CTA195" s="3"/>
      <c r="CTB195" s="3"/>
      <c r="CTC195" s="3"/>
      <c r="CTD195" s="3"/>
      <c r="CTE195" s="3"/>
      <c r="CTF195" s="3"/>
      <c r="CTG195" s="3"/>
      <c r="CTH195" s="3"/>
      <c r="CTI195" s="3"/>
      <c r="CTJ195" s="3"/>
      <c r="CTK195" s="3"/>
      <c r="CTL195" s="3"/>
      <c r="CTM195" s="3"/>
      <c r="CTN195" s="3"/>
      <c r="CTO195" s="3"/>
      <c r="CTP195" s="3"/>
      <c r="CTQ195" s="3"/>
      <c r="CTR195" s="3"/>
      <c r="CTS195" s="3"/>
      <c r="CTT195" s="3"/>
      <c r="CTU195" s="3"/>
      <c r="CTV195" s="3"/>
      <c r="CTW195" s="3"/>
      <c r="CTX195" s="3"/>
      <c r="CTY195" s="3"/>
      <c r="CTZ195" s="3"/>
      <c r="CUA195" s="3"/>
      <c r="CUB195" s="3"/>
      <c r="CUC195" s="3"/>
      <c r="CUD195" s="3"/>
      <c r="CUE195" s="3"/>
      <c r="CUF195" s="3"/>
      <c r="CUG195" s="3"/>
      <c r="CUH195" s="3"/>
      <c r="CUI195" s="3"/>
      <c r="CUJ195" s="3"/>
      <c r="CUK195" s="3"/>
      <c r="CUL195" s="3"/>
      <c r="CUM195" s="3"/>
      <c r="CUN195" s="3"/>
      <c r="CUO195" s="3"/>
      <c r="CUP195" s="3"/>
      <c r="CUQ195" s="3"/>
      <c r="CUR195" s="3"/>
      <c r="CUS195" s="3"/>
      <c r="CUT195" s="3"/>
      <c r="CUU195" s="3"/>
      <c r="CUV195" s="3"/>
      <c r="CUW195" s="3"/>
      <c r="CUX195" s="3"/>
      <c r="CUY195" s="3"/>
      <c r="CUZ195" s="3"/>
      <c r="CVA195" s="3"/>
      <c r="CVB195" s="3"/>
      <c r="CVC195" s="3"/>
      <c r="CVD195" s="3"/>
      <c r="CVE195" s="3"/>
      <c r="CVF195" s="3"/>
      <c r="CVG195" s="3"/>
      <c r="CVH195" s="3"/>
      <c r="CVI195" s="3"/>
      <c r="CVJ195" s="3"/>
      <c r="CVK195" s="3"/>
      <c r="CVL195" s="3"/>
      <c r="CVM195" s="3"/>
      <c r="CVN195" s="3"/>
      <c r="CVO195" s="3"/>
      <c r="CVP195" s="3"/>
      <c r="CVQ195" s="3"/>
      <c r="CVR195" s="3"/>
      <c r="CVS195" s="3"/>
      <c r="CVT195" s="3"/>
      <c r="CVU195" s="3"/>
      <c r="CVV195" s="3"/>
      <c r="CVW195" s="3"/>
      <c r="CVX195" s="3"/>
      <c r="CVY195" s="3"/>
      <c r="CVZ195" s="3"/>
      <c r="CWA195" s="3"/>
      <c r="CWB195" s="3"/>
      <c r="CWC195" s="3"/>
      <c r="CWD195" s="3"/>
      <c r="CWE195" s="3"/>
      <c r="CWF195" s="3"/>
      <c r="CWG195" s="3"/>
      <c r="CWH195" s="3"/>
      <c r="CWI195" s="3"/>
      <c r="CWJ195" s="3"/>
      <c r="CWK195" s="3"/>
      <c r="CWL195" s="3"/>
      <c r="CWM195" s="3"/>
      <c r="CWN195" s="3"/>
      <c r="CWO195" s="3"/>
      <c r="CWP195" s="3"/>
      <c r="CWQ195" s="3"/>
      <c r="CWR195" s="3"/>
      <c r="CWS195" s="3"/>
      <c r="CWT195" s="3"/>
      <c r="CWU195" s="3"/>
      <c r="CWV195" s="3"/>
      <c r="CWW195" s="3"/>
      <c r="CWX195" s="3"/>
      <c r="CWY195" s="3"/>
      <c r="CWZ195" s="3"/>
      <c r="CXA195" s="3"/>
      <c r="CXB195" s="3"/>
      <c r="CXC195" s="3"/>
      <c r="CXD195" s="3"/>
      <c r="CXE195" s="3"/>
      <c r="CXF195" s="3"/>
      <c r="CXG195" s="3"/>
      <c r="CXH195" s="3"/>
      <c r="CXI195" s="3"/>
      <c r="CXJ195" s="3"/>
      <c r="CXK195" s="3"/>
      <c r="CXL195" s="3"/>
      <c r="CXM195" s="3"/>
      <c r="CXN195" s="3"/>
      <c r="CXO195" s="3"/>
      <c r="CXP195" s="3"/>
      <c r="CXQ195" s="3"/>
      <c r="CXR195" s="3"/>
      <c r="CXS195" s="3"/>
      <c r="CXT195" s="3"/>
      <c r="CXU195" s="3"/>
      <c r="CXV195" s="3"/>
      <c r="CXW195" s="3"/>
      <c r="CXX195" s="3"/>
      <c r="CXY195" s="3"/>
      <c r="CXZ195" s="3"/>
      <c r="CYA195" s="3"/>
      <c r="CYB195" s="3"/>
      <c r="CYC195" s="3"/>
      <c r="CYD195" s="3"/>
      <c r="CYE195" s="3"/>
      <c r="CYF195" s="3"/>
      <c r="CYG195" s="3"/>
      <c r="CYH195" s="3"/>
      <c r="CYI195" s="3"/>
      <c r="CYJ195" s="3"/>
      <c r="CYK195" s="3"/>
      <c r="CYL195" s="3"/>
      <c r="CYM195" s="3"/>
      <c r="CYN195" s="3"/>
      <c r="CYO195" s="3"/>
      <c r="CYP195" s="3"/>
      <c r="CYQ195" s="3"/>
      <c r="CYR195" s="3"/>
      <c r="CYS195" s="3"/>
      <c r="CYT195" s="3"/>
      <c r="CYU195" s="3"/>
      <c r="CYV195" s="3"/>
      <c r="CYW195" s="3"/>
      <c r="CYX195" s="3"/>
      <c r="CYY195" s="3"/>
      <c r="CYZ195" s="3"/>
      <c r="CZA195" s="3"/>
      <c r="CZB195" s="3"/>
      <c r="CZC195" s="3"/>
      <c r="CZD195" s="3"/>
      <c r="CZE195" s="3"/>
      <c r="CZF195" s="3"/>
      <c r="CZG195" s="3"/>
      <c r="CZH195" s="3"/>
      <c r="CZI195" s="3"/>
      <c r="CZJ195" s="3"/>
      <c r="CZK195" s="3"/>
      <c r="CZL195" s="3"/>
      <c r="CZM195" s="3"/>
      <c r="CZN195" s="3"/>
      <c r="CZO195" s="3"/>
      <c r="CZP195" s="3"/>
      <c r="CZQ195" s="3"/>
      <c r="CZR195" s="3"/>
      <c r="CZS195" s="3"/>
      <c r="CZT195" s="3"/>
      <c r="CZU195" s="3"/>
      <c r="CZV195" s="3"/>
      <c r="CZW195" s="3"/>
      <c r="CZX195" s="3"/>
      <c r="CZY195" s="3"/>
      <c r="CZZ195" s="3"/>
      <c r="DAA195" s="3"/>
      <c r="DAB195" s="3"/>
      <c r="DAC195" s="3"/>
      <c r="DAD195" s="3"/>
      <c r="DAE195" s="3"/>
      <c r="DAF195" s="3"/>
      <c r="DAG195" s="3"/>
      <c r="DAH195" s="3"/>
      <c r="DAI195" s="3"/>
      <c r="DAJ195" s="3"/>
      <c r="DAK195" s="3"/>
      <c r="DAL195" s="3"/>
      <c r="DAM195" s="3"/>
      <c r="DAN195" s="3"/>
      <c r="DAO195" s="3"/>
      <c r="DAP195" s="3"/>
      <c r="DAQ195" s="3"/>
      <c r="DAR195" s="3"/>
      <c r="DAS195" s="3"/>
      <c r="DAT195" s="3"/>
      <c r="DAU195" s="3"/>
      <c r="DAV195" s="3"/>
      <c r="DAW195" s="3"/>
      <c r="DAX195" s="3"/>
      <c r="DAY195" s="3"/>
      <c r="DAZ195" s="3"/>
      <c r="DBA195" s="3"/>
      <c r="DBB195" s="3"/>
      <c r="DBC195" s="3"/>
      <c r="DBD195" s="3"/>
      <c r="DBE195" s="3"/>
      <c r="DBF195" s="3"/>
      <c r="DBG195" s="3"/>
      <c r="DBH195" s="3"/>
      <c r="DBI195" s="3"/>
      <c r="DBJ195" s="3"/>
      <c r="DBK195" s="3"/>
      <c r="DBL195" s="3"/>
      <c r="DBM195" s="3"/>
      <c r="DBN195" s="3"/>
      <c r="DBO195" s="3"/>
      <c r="DBP195" s="3"/>
      <c r="DBQ195" s="3"/>
      <c r="DBR195" s="3"/>
      <c r="DBS195" s="3"/>
      <c r="DBT195" s="3"/>
      <c r="DBU195" s="3"/>
      <c r="DBV195" s="3"/>
      <c r="DBW195" s="3"/>
      <c r="DBX195" s="3"/>
      <c r="DBY195" s="3"/>
      <c r="DBZ195" s="3"/>
      <c r="DCA195" s="3"/>
      <c r="DCB195" s="3"/>
      <c r="DCC195" s="3"/>
      <c r="DCD195" s="3"/>
      <c r="DCE195" s="3"/>
      <c r="DCF195" s="3"/>
      <c r="DCG195" s="3"/>
      <c r="DCH195" s="3"/>
      <c r="DCI195" s="3"/>
      <c r="DCJ195" s="3"/>
      <c r="DCK195" s="3"/>
      <c r="DCL195" s="3"/>
      <c r="DCM195" s="3"/>
      <c r="DCN195" s="3"/>
      <c r="DCO195" s="3"/>
      <c r="DCP195" s="3"/>
      <c r="DCQ195" s="3"/>
      <c r="DCR195" s="3"/>
      <c r="DCS195" s="3"/>
      <c r="DCT195" s="3"/>
      <c r="DCU195" s="3"/>
      <c r="DCV195" s="3"/>
      <c r="DCW195" s="3"/>
      <c r="DCX195" s="3"/>
      <c r="DCY195" s="3"/>
      <c r="DCZ195" s="3"/>
      <c r="DDA195" s="3"/>
      <c r="DDB195" s="3"/>
      <c r="DDC195" s="3"/>
      <c r="DDD195" s="3"/>
      <c r="DDE195" s="3"/>
      <c r="DDF195" s="3"/>
      <c r="DDG195" s="3"/>
      <c r="DDH195" s="3"/>
      <c r="DDI195" s="3"/>
      <c r="DDJ195" s="3"/>
      <c r="DDK195" s="3"/>
      <c r="DDL195" s="3"/>
      <c r="DDM195" s="3"/>
      <c r="DDN195" s="3"/>
      <c r="DDO195" s="3"/>
      <c r="DDP195" s="3"/>
      <c r="DDQ195" s="3"/>
      <c r="DDR195" s="3"/>
      <c r="DDS195" s="3"/>
      <c r="DDT195" s="3"/>
      <c r="DDU195" s="3"/>
      <c r="DDV195" s="3"/>
      <c r="DDW195" s="3"/>
      <c r="DDX195" s="3"/>
      <c r="DDY195" s="3"/>
      <c r="DDZ195" s="3"/>
      <c r="DEA195" s="3"/>
      <c r="DEB195" s="3"/>
      <c r="DEC195" s="3"/>
      <c r="DED195" s="3"/>
      <c r="DEE195" s="3"/>
      <c r="DEF195" s="3"/>
      <c r="DEG195" s="3"/>
      <c r="DEH195" s="3"/>
      <c r="DEI195" s="3"/>
      <c r="DEJ195" s="3"/>
      <c r="DEK195" s="3"/>
      <c r="DEL195" s="3"/>
      <c r="DEM195" s="3"/>
      <c r="DEN195" s="3"/>
      <c r="DEO195" s="3"/>
      <c r="DEP195" s="3"/>
      <c r="DEQ195" s="3"/>
      <c r="DER195" s="3"/>
      <c r="DES195" s="3"/>
      <c r="DET195" s="3"/>
      <c r="DEU195" s="3"/>
      <c r="DEV195" s="3"/>
      <c r="DEW195" s="3"/>
      <c r="DEX195" s="3"/>
      <c r="DEY195" s="3"/>
      <c r="DEZ195" s="3"/>
      <c r="DFA195" s="3"/>
      <c r="DFB195" s="3"/>
      <c r="DFC195" s="3"/>
      <c r="DFD195" s="3"/>
      <c r="DFE195" s="3"/>
      <c r="DFF195" s="3"/>
      <c r="DFG195" s="3"/>
      <c r="DFH195" s="3"/>
      <c r="DFI195" s="3"/>
      <c r="DFJ195" s="3"/>
      <c r="DFK195" s="3"/>
      <c r="DFL195" s="3"/>
      <c r="DFM195" s="3"/>
      <c r="DFN195" s="3"/>
      <c r="DFO195" s="3"/>
      <c r="DFP195" s="3"/>
      <c r="DFQ195" s="3"/>
      <c r="DFR195" s="3"/>
      <c r="DFS195" s="3"/>
      <c r="DFT195" s="3"/>
      <c r="DFU195" s="3"/>
      <c r="DFV195" s="3"/>
      <c r="DFW195" s="3"/>
      <c r="DFX195" s="3"/>
      <c r="DFY195" s="3"/>
      <c r="DFZ195" s="3"/>
      <c r="DGA195" s="3"/>
      <c r="DGB195" s="3"/>
      <c r="DGC195" s="3"/>
      <c r="DGD195" s="3"/>
      <c r="DGE195" s="3"/>
      <c r="DGF195" s="3"/>
      <c r="DGG195" s="3"/>
      <c r="DGH195" s="3"/>
      <c r="DGI195" s="3"/>
      <c r="DGJ195" s="3"/>
      <c r="DGK195" s="3"/>
      <c r="DGL195" s="3"/>
      <c r="DGM195" s="3"/>
      <c r="DGN195" s="3"/>
      <c r="DGO195" s="3"/>
      <c r="DGP195" s="3"/>
      <c r="DGQ195" s="3"/>
      <c r="DGR195" s="3"/>
      <c r="DGS195" s="3"/>
      <c r="DGT195" s="3"/>
      <c r="DGU195" s="3"/>
      <c r="DGV195" s="3"/>
      <c r="DGW195" s="3"/>
      <c r="DGX195" s="3"/>
      <c r="DGY195" s="3"/>
      <c r="DGZ195" s="3"/>
      <c r="DHA195" s="3"/>
      <c r="DHB195" s="3"/>
      <c r="DHC195" s="3"/>
      <c r="DHD195" s="3"/>
      <c r="DHE195" s="3"/>
      <c r="DHF195" s="3"/>
      <c r="DHG195" s="3"/>
      <c r="DHH195" s="3"/>
      <c r="DHI195" s="3"/>
      <c r="DHJ195" s="3"/>
      <c r="DHK195" s="3"/>
      <c r="DHL195" s="3"/>
      <c r="DHM195" s="3"/>
      <c r="DHN195" s="3"/>
      <c r="DHO195" s="3"/>
      <c r="DHP195" s="3"/>
      <c r="DHQ195" s="3"/>
      <c r="DHR195" s="3"/>
      <c r="DHS195" s="3"/>
      <c r="DHT195" s="3"/>
      <c r="DHU195" s="3"/>
      <c r="DHV195" s="3"/>
      <c r="DHW195" s="3"/>
      <c r="DHX195" s="3"/>
      <c r="DHY195" s="3"/>
      <c r="DHZ195" s="3"/>
      <c r="DIA195" s="3"/>
      <c r="DIB195" s="3"/>
      <c r="DIC195" s="3"/>
      <c r="DID195" s="3"/>
      <c r="DIE195" s="3"/>
      <c r="DIF195" s="3"/>
      <c r="DIG195" s="3"/>
      <c r="DIH195" s="3"/>
      <c r="DII195" s="3"/>
      <c r="DIJ195" s="3"/>
      <c r="DIK195" s="3"/>
      <c r="DIL195" s="3"/>
      <c r="DIM195" s="3"/>
      <c r="DIN195" s="3"/>
      <c r="DIO195" s="3"/>
      <c r="DIP195" s="3"/>
      <c r="DIQ195" s="3"/>
      <c r="DIR195" s="3"/>
      <c r="DIS195" s="3"/>
      <c r="DIT195" s="3"/>
      <c r="DIU195" s="3"/>
      <c r="DIV195" s="3"/>
      <c r="DIW195" s="3"/>
      <c r="DIX195" s="3"/>
      <c r="DIY195" s="3"/>
      <c r="DIZ195" s="3"/>
      <c r="DJA195" s="3"/>
      <c r="DJB195" s="3"/>
      <c r="DJC195" s="3"/>
      <c r="DJD195" s="3"/>
      <c r="DJE195" s="3"/>
      <c r="DJF195" s="3"/>
      <c r="DJG195" s="3"/>
      <c r="DJH195" s="3"/>
      <c r="DJI195" s="3"/>
      <c r="DJJ195" s="3"/>
      <c r="DJK195" s="3"/>
      <c r="DJL195" s="3"/>
      <c r="DJM195" s="3"/>
      <c r="DJN195" s="3"/>
      <c r="DJO195" s="3"/>
      <c r="DJP195" s="3"/>
      <c r="DJQ195" s="3"/>
      <c r="DJR195" s="3"/>
      <c r="DJS195" s="3"/>
      <c r="DJT195" s="3"/>
      <c r="DJU195" s="3"/>
      <c r="DJV195" s="3"/>
      <c r="DJW195" s="3"/>
      <c r="DJX195" s="3"/>
      <c r="DJY195" s="3"/>
      <c r="DJZ195" s="3"/>
      <c r="DKA195" s="3"/>
      <c r="DKB195" s="3"/>
      <c r="DKC195" s="3"/>
      <c r="DKD195" s="3"/>
      <c r="DKE195" s="3"/>
      <c r="DKF195" s="3"/>
      <c r="DKG195" s="3"/>
      <c r="DKH195" s="3"/>
      <c r="DKI195" s="3"/>
      <c r="DKJ195" s="3"/>
      <c r="DKK195" s="3"/>
      <c r="DKL195" s="3"/>
      <c r="DKM195" s="3"/>
      <c r="DKN195" s="3"/>
      <c r="DKO195" s="3"/>
      <c r="DKP195" s="3"/>
      <c r="DKQ195" s="3"/>
      <c r="DKR195" s="3"/>
      <c r="DKS195" s="3"/>
      <c r="DKT195" s="3"/>
      <c r="DKU195" s="3"/>
      <c r="DKV195" s="3"/>
      <c r="DKW195" s="3"/>
      <c r="DKX195" s="3"/>
      <c r="DKY195" s="3"/>
      <c r="DKZ195" s="3"/>
      <c r="DLA195" s="3"/>
      <c r="DLB195" s="3"/>
      <c r="DLC195" s="3"/>
      <c r="DLD195" s="3"/>
      <c r="DLE195" s="3"/>
      <c r="DLF195" s="3"/>
      <c r="DLG195" s="3"/>
      <c r="DLH195" s="3"/>
      <c r="DLI195" s="3"/>
      <c r="DLJ195" s="3"/>
      <c r="DLK195" s="3"/>
      <c r="DLL195" s="3"/>
      <c r="DLM195" s="3"/>
      <c r="DLN195" s="3"/>
      <c r="DLO195" s="3"/>
      <c r="DLP195" s="3"/>
      <c r="DLQ195" s="3"/>
      <c r="DLR195" s="3"/>
      <c r="DLS195" s="3"/>
      <c r="DLT195" s="3"/>
      <c r="DLU195" s="3"/>
      <c r="DLV195" s="3"/>
      <c r="DLW195" s="3"/>
      <c r="DLX195" s="3"/>
      <c r="DLY195" s="3"/>
      <c r="DLZ195" s="3"/>
      <c r="DMA195" s="3"/>
      <c r="DMB195" s="3"/>
      <c r="DMC195" s="3"/>
      <c r="DMD195" s="3"/>
      <c r="DME195" s="3"/>
      <c r="DMF195" s="3"/>
      <c r="DMG195" s="3"/>
      <c r="DMH195" s="3"/>
      <c r="DMI195" s="3"/>
      <c r="DMJ195" s="3"/>
      <c r="DMK195" s="3"/>
      <c r="DML195" s="3"/>
      <c r="DMM195" s="3"/>
      <c r="DMN195" s="3"/>
      <c r="DMO195" s="3"/>
      <c r="DMP195" s="3"/>
      <c r="DMQ195" s="3"/>
      <c r="DMR195" s="3"/>
      <c r="DMS195" s="3"/>
      <c r="DMT195" s="3"/>
      <c r="DMU195" s="3"/>
      <c r="DMV195" s="3"/>
      <c r="DMW195" s="3"/>
      <c r="DMX195" s="3"/>
      <c r="DMY195" s="3"/>
      <c r="DMZ195" s="3"/>
      <c r="DNA195" s="3"/>
      <c r="DNB195" s="3"/>
      <c r="DNC195" s="3"/>
      <c r="DND195" s="3"/>
      <c r="DNE195" s="3"/>
      <c r="DNF195" s="3"/>
      <c r="DNG195" s="3"/>
      <c r="DNH195" s="3"/>
      <c r="DNI195" s="3"/>
      <c r="DNJ195" s="3"/>
      <c r="DNK195" s="3"/>
      <c r="DNL195" s="3"/>
      <c r="DNM195" s="3"/>
      <c r="DNN195" s="3"/>
      <c r="DNO195" s="3"/>
      <c r="DNP195" s="3"/>
      <c r="DNQ195" s="3"/>
      <c r="DNR195" s="3"/>
      <c r="DNS195" s="3"/>
      <c r="DNT195" s="3"/>
      <c r="DNU195" s="3"/>
      <c r="DNV195" s="3"/>
      <c r="DNW195" s="3"/>
      <c r="DNX195" s="3"/>
      <c r="DNY195" s="3"/>
      <c r="DNZ195" s="3"/>
      <c r="DOA195" s="3"/>
      <c r="DOB195" s="3"/>
      <c r="DOC195" s="3"/>
      <c r="DOD195" s="3"/>
      <c r="DOE195" s="3"/>
      <c r="DOF195" s="3"/>
      <c r="DOG195" s="3"/>
      <c r="DOH195" s="3"/>
      <c r="DOI195" s="3"/>
      <c r="DOJ195" s="3"/>
      <c r="DOK195" s="3"/>
      <c r="DOL195" s="3"/>
      <c r="DOM195" s="3"/>
      <c r="DON195" s="3"/>
      <c r="DOO195" s="3"/>
      <c r="DOP195" s="3"/>
      <c r="DOQ195" s="3"/>
      <c r="DOR195" s="3"/>
      <c r="DOS195" s="3"/>
      <c r="DOT195" s="3"/>
      <c r="DOU195" s="3"/>
      <c r="DOV195" s="3"/>
      <c r="DOW195" s="3"/>
      <c r="DOX195" s="3"/>
      <c r="DOY195" s="3"/>
      <c r="DOZ195" s="3"/>
      <c r="DPA195" s="3"/>
      <c r="DPB195" s="3"/>
      <c r="DPC195" s="3"/>
      <c r="DPD195" s="3"/>
      <c r="DPE195" s="3"/>
      <c r="DPF195" s="3"/>
      <c r="DPG195" s="3"/>
      <c r="DPH195" s="3"/>
      <c r="DPI195" s="3"/>
      <c r="DPJ195" s="3"/>
      <c r="DPK195" s="3"/>
      <c r="DPL195" s="3"/>
      <c r="DPM195" s="3"/>
      <c r="DPN195" s="3"/>
      <c r="DPO195" s="3"/>
      <c r="DPP195" s="3"/>
      <c r="DPQ195" s="3"/>
      <c r="DPR195" s="3"/>
      <c r="DPS195" s="3"/>
      <c r="DPT195" s="3"/>
      <c r="DPU195" s="3"/>
      <c r="DPV195" s="3"/>
      <c r="DPW195" s="3"/>
      <c r="DPX195" s="3"/>
      <c r="DPY195" s="3"/>
      <c r="DPZ195" s="3"/>
      <c r="DQA195" s="3"/>
      <c r="DQB195" s="3"/>
      <c r="DQC195" s="3"/>
      <c r="DQD195" s="3"/>
      <c r="DQE195" s="3"/>
      <c r="DQF195" s="3"/>
      <c r="DQG195" s="3"/>
      <c r="DQH195" s="3"/>
      <c r="DQI195" s="3"/>
      <c r="DQJ195" s="3"/>
      <c r="DQK195" s="3"/>
      <c r="DQL195" s="3"/>
      <c r="DQM195" s="3"/>
      <c r="DQN195" s="3"/>
      <c r="DQO195" s="3"/>
      <c r="DQP195" s="3"/>
      <c r="DQQ195" s="3"/>
      <c r="DQR195" s="3"/>
      <c r="DQS195" s="3"/>
      <c r="DQT195" s="3"/>
      <c r="DQU195" s="3"/>
      <c r="DQV195" s="3"/>
      <c r="DQW195" s="3"/>
      <c r="DQX195" s="3"/>
      <c r="DQY195" s="3"/>
      <c r="DQZ195" s="3"/>
      <c r="DRA195" s="3"/>
      <c r="DRB195" s="3"/>
      <c r="DRC195" s="3"/>
      <c r="DRD195" s="3"/>
      <c r="DRE195" s="3"/>
      <c r="DRF195" s="3"/>
      <c r="DRG195" s="3"/>
      <c r="DRH195" s="3"/>
      <c r="DRI195" s="3"/>
      <c r="DRJ195" s="3"/>
      <c r="DRK195" s="3"/>
      <c r="DRL195" s="3"/>
      <c r="DRM195" s="3"/>
      <c r="DRN195" s="3"/>
      <c r="DRO195" s="3"/>
      <c r="DRP195" s="3"/>
      <c r="DRQ195" s="3"/>
      <c r="DRR195" s="3"/>
      <c r="DRS195" s="3"/>
      <c r="DRT195" s="3"/>
      <c r="DRU195" s="3"/>
      <c r="DRV195" s="3"/>
      <c r="DRW195" s="3"/>
      <c r="DRX195" s="3"/>
      <c r="DRY195" s="3"/>
      <c r="DRZ195" s="3"/>
      <c r="DSA195" s="3"/>
      <c r="DSB195" s="3"/>
      <c r="DSC195" s="3"/>
      <c r="DSD195" s="3"/>
      <c r="DSE195" s="3"/>
      <c r="DSF195" s="3"/>
      <c r="DSG195" s="3"/>
      <c r="DSH195" s="3"/>
      <c r="DSI195" s="3"/>
      <c r="DSJ195" s="3"/>
      <c r="DSK195" s="3"/>
      <c r="DSL195" s="3"/>
      <c r="DSM195" s="3"/>
      <c r="DSN195" s="3"/>
      <c r="DSO195" s="3"/>
      <c r="DSP195" s="3"/>
      <c r="DSQ195" s="3"/>
      <c r="DSR195" s="3"/>
      <c r="DSS195" s="3"/>
      <c r="DST195" s="3"/>
      <c r="DSU195" s="3"/>
      <c r="DSV195" s="3"/>
      <c r="DSW195" s="3"/>
      <c r="DSX195" s="3"/>
      <c r="DSY195" s="3"/>
      <c r="DSZ195" s="3"/>
      <c r="DTA195" s="3"/>
      <c r="DTB195" s="3"/>
      <c r="DTC195" s="3"/>
      <c r="DTD195" s="3"/>
      <c r="DTE195" s="3"/>
      <c r="DTF195" s="3"/>
      <c r="DTG195" s="3"/>
      <c r="DTH195" s="3"/>
      <c r="DTI195" s="3"/>
      <c r="DTJ195" s="3"/>
      <c r="DTK195" s="3"/>
      <c r="DTL195" s="3"/>
      <c r="DTM195" s="3"/>
      <c r="DTN195" s="3"/>
      <c r="DTO195" s="3"/>
      <c r="DTP195" s="3"/>
      <c r="DTQ195" s="3"/>
      <c r="DTR195" s="3"/>
      <c r="DTS195" s="3"/>
      <c r="DTT195" s="3"/>
      <c r="DTU195" s="3"/>
      <c r="DTV195" s="3"/>
      <c r="DTW195" s="3"/>
      <c r="DTX195" s="3"/>
      <c r="DTY195" s="3"/>
      <c r="DTZ195" s="3"/>
      <c r="DUA195" s="3"/>
      <c r="DUB195" s="3"/>
      <c r="DUC195" s="3"/>
      <c r="DUD195" s="3"/>
      <c r="DUE195" s="3"/>
      <c r="DUF195" s="3"/>
      <c r="DUG195" s="3"/>
      <c r="DUH195" s="3"/>
      <c r="DUI195" s="3"/>
      <c r="DUJ195" s="3"/>
      <c r="DUK195" s="3"/>
      <c r="DUL195" s="3"/>
      <c r="DUM195" s="3"/>
      <c r="DUN195" s="3"/>
      <c r="DUO195" s="3"/>
      <c r="DUP195" s="3"/>
      <c r="DUQ195" s="3"/>
      <c r="DUR195" s="3"/>
      <c r="DUS195" s="3"/>
      <c r="DUT195" s="3"/>
      <c r="DUU195" s="3"/>
      <c r="DUV195" s="3"/>
      <c r="DUW195" s="3"/>
      <c r="DUX195" s="3"/>
      <c r="DUY195" s="3"/>
      <c r="DUZ195" s="3"/>
      <c r="DVA195" s="3"/>
      <c r="DVB195" s="3"/>
      <c r="DVC195" s="3"/>
      <c r="DVD195" s="3"/>
      <c r="DVE195" s="3"/>
      <c r="DVF195" s="3"/>
      <c r="DVG195" s="3"/>
      <c r="DVH195" s="3"/>
      <c r="DVI195" s="3"/>
      <c r="DVJ195" s="3"/>
      <c r="DVK195" s="3"/>
      <c r="DVL195" s="3"/>
      <c r="DVM195" s="3"/>
      <c r="DVN195" s="3"/>
      <c r="DVO195" s="3"/>
      <c r="DVP195" s="3"/>
      <c r="DVQ195" s="3"/>
      <c r="DVR195" s="3"/>
      <c r="DVS195" s="3"/>
      <c r="DVT195" s="3"/>
      <c r="DVU195" s="3"/>
      <c r="DVV195" s="3"/>
      <c r="DVW195" s="3"/>
      <c r="DVX195" s="3"/>
      <c r="DVY195" s="3"/>
      <c r="DVZ195" s="3"/>
      <c r="DWA195" s="3"/>
      <c r="DWB195" s="3"/>
      <c r="DWC195" s="3"/>
      <c r="DWD195" s="3"/>
      <c r="DWE195" s="3"/>
      <c r="DWF195" s="3"/>
      <c r="DWG195" s="3"/>
      <c r="DWH195" s="3"/>
      <c r="DWI195" s="3"/>
      <c r="DWJ195" s="3"/>
      <c r="DWK195" s="3"/>
      <c r="DWL195" s="3"/>
      <c r="DWM195" s="3"/>
      <c r="DWN195" s="3"/>
      <c r="DWO195" s="3"/>
      <c r="DWP195" s="3"/>
      <c r="DWQ195" s="3"/>
      <c r="DWR195" s="3"/>
      <c r="DWS195" s="3"/>
      <c r="DWT195" s="3"/>
      <c r="DWU195" s="3"/>
      <c r="DWV195" s="3"/>
      <c r="DWW195" s="3"/>
      <c r="DWX195" s="3"/>
      <c r="DWY195" s="3"/>
      <c r="DWZ195" s="3"/>
      <c r="DXA195" s="3"/>
      <c r="DXB195" s="3"/>
      <c r="DXC195" s="3"/>
      <c r="DXD195" s="3"/>
      <c r="DXE195" s="3"/>
      <c r="DXF195" s="3"/>
      <c r="DXG195" s="3"/>
      <c r="DXH195" s="3"/>
      <c r="DXI195" s="3"/>
      <c r="DXJ195" s="3"/>
      <c r="DXK195" s="3"/>
      <c r="DXL195" s="3"/>
      <c r="DXM195" s="3"/>
      <c r="DXN195" s="3"/>
      <c r="DXO195" s="3"/>
      <c r="DXP195" s="3"/>
      <c r="DXQ195" s="3"/>
      <c r="DXR195" s="3"/>
      <c r="DXS195" s="3"/>
      <c r="DXT195" s="3"/>
      <c r="DXU195" s="3"/>
      <c r="DXV195" s="3"/>
      <c r="DXW195" s="3"/>
      <c r="DXX195" s="3"/>
      <c r="DXY195" s="3"/>
      <c r="DXZ195" s="3"/>
      <c r="DYA195" s="3"/>
      <c r="DYB195" s="3"/>
      <c r="DYC195" s="3"/>
      <c r="DYD195" s="3"/>
      <c r="DYE195" s="3"/>
      <c r="DYF195" s="3"/>
      <c r="DYG195" s="3"/>
      <c r="DYH195" s="3"/>
      <c r="DYI195" s="3"/>
      <c r="DYJ195" s="3"/>
      <c r="DYK195" s="3"/>
      <c r="DYL195" s="3"/>
      <c r="DYM195" s="3"/>
      <c r="DYN195" s="3"/>
      <c r="DYO195" s="3"/>
      <c r="DYP195" s="3"/>
      <c r="DYQ195" s="3"/>
      <c r="DYR195" s="3"/>
      <c r="DYS195" s="3"/>
      <c r="DYT195" s="3"/>
      <c r="DYU195" s="3"/>
      <c r="DYV195" s="3"/>
      <c r="DYW195" s="3"/>
      <c r="DYX195" s="3"/>
      <c r="DYY195" s="3"/>
      <c r="DYZ195" s="3"/>
      <c r="DZA195" s="3"/>
      <c r="DZB195" s="3"/>
      <c r="DZC195" s="3"/>
      <c r="DZD195" s="3"/>
      <c r="DZE195" s="3"/>
      <c r="DZF195" s="3"/>
      <c r="DZG195" s="3"/>
      <c r="DZH195" s="3"/>
      <c r="DZI195" s="3"/>
      <c r="DZJ195" s="3"/>
      <c r="DZK195" s="3"/>
      <c r="DZL195" s="3"/>
      <c r="DZM195" s="3"/>
      <c r="DZN195" s="3"/>
      <c r="DZO195" s="3"/>
      <c r="DZP195" s="3"/>
      <c r="DZQ195" s="3"/>
      <c r="DZR195" s="3"/>
      <c r="DZS195" s="3"/>
      <c r="DZT195" s="3"/>
      <c r="DZU195" s="3"/>
      <c r="DZV195" s="3"/>
      <c r="DZW195" s="3"/>
      <c r="DZX195" s="3"/>
      <c r="DZY195" s="3"/>
      <c r="DZZ195" s="3"/>
      <c r="EAA195" s="3"/>
      <c r="EAB195" s="3"/>
      <c r="EAC195" s="3"/>
      <c r="EAD195" s="3"/>
      <c r="EAE195" s="3"/>
      <c r="EAF195" s="3"/>
      <c r="EAG195" s="3"/>
      <c r="EAH195" s="3"/>
      <c r="EAI195" s="3"/>
      <c r="EAJ195" s="3"/>
      <c r="EAK195" s="3"/>
      <c r="EAL195" s="3"/>
      <c r="EAM195" s="3"/>
      <c r="EAN195" s="3"/>
      <c r="EAO195" s="3"/>
      <c r="EAP195" s="3"/>
      <c r="EAQ195" s="3"/>
      <c r="EAR195" s="3"/>
      <c r="EAS195" s="3"/>
      <c r="EAT195" s="3"/>
      <c r="EAU195" s="3"/>
      <c r="EAV195" s="3"/>
      <c r="EAW195" s="3"/>
      <c r="EAX195" s="3"/>
      <c r="EAY195" s="3"/>
      <c r="EAZ195" s="3"/>
      <c r="EBA195" s="3"/>
      <c r="EBB195" s="3"/>
      <c r="EBC195" s="3"/>
      <c r="EBD195" s="3"/>
      <c r="EBE195" s="3"/>
      <c r="EBF195" s="3"/>
      <c r="EBG195" s="3"/>
      <c r="EBH195" s="3"/>
      <c r="EBI195" s="3"/>
      <c r="EBJ195" s="3"/>
      <c r="EBK195" s="3"/>
      <c r="EBL195" s="3"/>
      <c r="EBM195" s="3"/>
      <c r="EBN195" s="3"/>
      <c r="EBO195" s="3"/>
      <c r="EBP195" s="3"/>
      <c r="EBQ195" s="3"/>
      <c r="EBR195" s="3"/>
      <c r="EBS195" s="3"/>
      <c r="EBT195" s="3"/>
      <c r="EBU195" s="3"/>
      <c r="EBV195" s="3"/>
      <c r="EBW195" s="3"/>
      <c r="EBX195" s="3"/>
      <c r="EBY195" s="3"/>
      <c r="EBZ195" s="3"/>
      <c r="ECA195" s="3"/>
      <c r="ECB195" s="3"/>
      <c r="ECC195" s="3"/>
      <c r="ECD195" s="3"/>
      <c r="ECE195" s="3"/>
      <c r="ECF195" s="3"/>
      <c r="ECG195" s="3"/>
      <c r="ECH195" s="3"/>
      <c r="ECI195" s="3"/>
      <c r="ECJ195" s="3"/>
      <c r="ECK195" s="3"/>
      <c r="ECL195" s="3"/>
      <c r="ECM195" s="3"/>
      <c r="ECN195" s="3"/>
      <c r="ECO195" s="3"/>
      <c r="ECP195" s="3"/>
      <c r="ECQ195" s="3"/>
      <c r="ECR195" s="3"/>
      <c r="ECS195" s="3"/>
      <c r="ECT195" s="3"/>
      <c r="ECU195" s="3"/>
      <c r="ECV195" s="3"/>
      <c r="ECW195" s="3"/>
      <c r="ECX195" s="3"/>
      <c r="ECY195" s="3"/>
      <c r="ECZ195" s="3"/>
      <c r="EDA195" s="3"/>
      <c r="EDB195" s="3"/>
      <c r="EDC195" s="3"/>
      <c r="EDD195" s="3"/>
      <c r="EDE195" s="3"/>
      <c r="EDF195" s="3"/>
      <c r="EDG195" s="3"/>
      <c r="EDH195" s="3"/>
      <c r="EDI195" s="3"/>
      <c r="EDJ195" s="3"/>
      <c r="EDK195" s="3"/>
      <c r="EDL195" s="3"/>
      <c r="EDM195" s="3"/>
      <c r="EDN195" s="3"/>
      <c r="EDO195" s="3"/>
      <c r="EDP195" s="3"/>
      <c r="EDQ195" s="3"/>
      <c r="EDR195" s="3"/>
      <c r="EDS195" s="3"/>
      <c r="EDT195" s="3"/>
      <c r="EDU195" s="3"/>
      <c r="EDV195" s="3"/>
      <c r="EDW195" s="3"/>
      <c r="EDX195" s="3"/>
      <c r="EDY195" s="3"/>
      <c r="EDZ195" s="3"/>
      <c r="EEA195" s="3"/>
      <c r="EEB195" s="3"/>
      <c r="EEC195" s="3"/>
      <c r="EED195" s="3"/>
      <c r="EEE195" s="3"/>
      <c r="EEF195" s="3"/>
      <c r="EEG195" s="3"/>
      <c r="EEH195" s="3"/>
      <c r="EEI195" s="3"/>
      <c r="EEJ195" s="3"/>
      <c r="EEK195" s="3"/>
      <c r="EEL195" s="3"/>
      <c r="EEM195" s="3"/>
      <c r="EEN195" s="3"/>
      <c r="EEO195" s="3"/>
      <c r="EEP195" s="3"/>
      <c r="EEQ195" s="3"/>
      <c r="EER195" s="3"/>
      <c r="EES195" s="3"/>
      <c r="EET195" s="3"/>
      <c r="EEU195" s="3"/>
      <c r="EEV195" s="3"/>
      <c r="EEW195" s="3"/>
      <c r="EEX195" s="3"/>
      <c r="EEY195" s="3"/>
      <c r="EEZ195" s="3"/>
      <c r="EFA195" s="3"/>
      <c r="EFB195" s="3"/>
      <c r="EFC195" s="3"/>
      <c r="EFD195" s="3"/>
      <c r="EFE195" s="3"/>
      <c r="EFF195" s="3"/>
      <c r="EFG195" s="3"/>
      <c r="EFH195" s="3"/>
      <c r="EFI195" s="3"/>
      <c r="EFJ195" s="3"/>
      <c r="EFK195" s="3"/>
      <c r="EFL195" s="3"/>
      <c r="EFM195" s="3"/>
      <c r="EFN195" s="3"/>
      <c r="EFO195" s="3"/>
      <c r="EFP195" s="3"/>
      <c r="EFQ195" s="3"/>
      <c r="EFR195" s="3"/>
      <c r="EFS195" s="3"/>
      <c r="EFT195" s="3"/>
      <c r="EFU195" s="3"/>
      <c r="EFV195" s="3"/>
      <c r="EFW195" s="3"/>
      <c r="EFX195" s="3"/>
      <c r="EFY195" s="3"/>
      <c r="EFZ195" s="3"/>
      <c r="EGA195" s="3"/>
      <c r="EGB195" s="3"/>
      <c r="EGC195" s="3"/>
      <c r="EGD195" s="3"/>
      <c r="EGE195" s="3"/>
      <c r="EGF195" s="3"/>
      <c r="EGG195" s="3"/>
      <c r="EGH195" s="3"/>
      <c r="EGI195" s="3"/>
      <c r="EGJ195" s="3"/>
      <c r="EGK195" s="3"/>
      <c r="EGL195" s="3"/>
      <c r="EGM195" s="3"/>
      <c r="EGN195" s="3"/>
      <c r="EGO195" s="3"/>
      <c r="EGP195" s="3"/>
      <c r="EGQ195" s="3"/>
      <c r="EGR195" s="3"/>
      <c r="EGS195" s="3"/>
      <c r="EGT195" s="3"/>
      <c r="EGU195" s="3"/>
      <c r="EGV195" s="3"/>
      <c r="EGW195" s="3"/>
      <c r="EGX195" s="3"/>
      <c r="EGY195" s="3"/>
      <c r="EGZ195" s="3"/>
      <c r="EHA195" s="3"/>
      <c r="EHB195" s="3"/>
      <c r="EHC195" s="3"/>
      <c r="EHD195" s="3"/>
      <c r="EHE195" s="3"/>
      <c r="EHF195" s="3"/>
      <c r="EHG195" s="3"/>
      <c r="EHH195" s="3"/>
      <c r="EHI195" s="3"/>
      <c r="EHJ195" s="3"/>
      <c r="EHK195" s="3"/>
      <c r="EHL195" s="3"/>
      <c r="EHM195" s="3"/>
      <c r="EHN195" s="3"/>
      <c r="EHO195" s="3"/>
      <c r="EHP195" s="3"/>
      <c r="EHQ195" s="3"/>
      <c r="EHR195" s="3"/>
      <c r="EHS195" s="3"/>
      <c r="EHT195" s="3"/>
      <c r="EHU195" s="3"/>
      <c r="EHV195" s="3"/>
      <c r="EHW195" s="3"/>
      <c r="EHX195" s="3"/>
      <c r="EHY195" s="3"/>
      <c r="EHZ195" s="3"/>
      <c r="EIA195" s="3"/>
      <c r="EIB195" s="3"/>
      <c r="EIC195" s="3"/>
      <c r="EID195" s="3"/>
      <c r="EIE195" s="3"/>
      <c r="EIF195" s="3"/>
      <c r="EIG195" s="3"/>
      <c r="EIH195" s="3"/>
      <c r="EII195" s="3"/>
      <c r="EIJ195" s="3"/>
      <c r="EIK195" s="3"/>
      <c r="EIL195" s="3"/>
      <c r="EIM195" s="3"/>
      <c r="EIN195" s="3"/>
      <c r="EIO195" s="3"/>
      <c r="EIP195" s="3"/>
      <c r="EIQ195" s="3"/>
      <c r="EIR195" s="3"/>
      <c r="EIS195" s="3"/>
      <c r="EIT195" s="3"/>
      <c r="EIU195" s="3"/>
      <c r="EIV195" s="3"/>
      <c r="EIW195" s="3"/>
      <c r="EIX195" s="3"/>
      <c r="EIY195" s="3"/>
      <c r="EIZ195" s="3"/>
      <c r="EJA195" s="3"/>
      <c r="EJB195" s="3"/>
      <c r="EJC195" s="3"/>
      <c r="EJD195" s="3"/>
      <c r="EJE195" s="3"/>
      <c r="EJF195" s="3"/>
      <c r="EJG195" s="3"/>
      <c r="EJH195" s="3"/>
      <c r="EJI195" s="3"/>
      <c r="EJJ195" s="3"/>
      <c r="EJK195" s="3"/>
      <c r="EJL195" s="3"/>
      <c r="EJM195" s="3"/>
      <c r="EJN195" s="3"/>
      <c r="EJO195" s="3"/>
      <c r="EJP195" s="3"/>
      <c r="EJQ195" s="3"/>
      <c r="EJR195" s="3"/>
      <c r="EJS195" s="3"/>
      <c r="EJT195" s="3"/>
      <c r="EJU195" s="3"/>
      <c r="EJV195" s="3"/>
      <c r="EJW195" s="3"/>
      <c r="EJX195" s="3"/>
      <c r="EJY195" s="3"/>
      <c r="EJZ195" s="3"/>
      <c r="EKA195" s="3"/>
      <c r="EKB195" s="3"/>
      <c r="EKC195" s="3"/>
      <c r="EKD195" s="3"/>
      <c r="EKE195" s="3"/>
      <c r="EKF195" s="3"/>
      <c r="EKG195" s="3"/>
      <c r="EKH195" s="3"/>
      <c r="EKI195" s="3"/>
      <c r="EKJ195" s="3"/>
      <c r="EKK195" s="3"/>
      <c r="EKL195" s="3"/>
      <c r="EKM195" s="3"/>
      <c r="EKN195" s="3"/>
      <c r="EKO195" s="3"/>
      <c r="EKP195" s="3"/>
      <c r="EKQ195" s="3"/>
      <c r="EKR195" s="3"/>
      <c r="EKS195" s="3"/>
      <c r="EKT195" s="3"/>
      <c r="EKU195" s="3"/>
      <c r="EKV195" s="3"/>
      <c r="EKW195" s="3"/>
      <c r="EKX195" s="3"/>
      <c r="EKY195" s="3"/>
      <c r="EKZ195" s="3"/>
      <c r="ELA195" s="3"/>
      <c r="ELB195" s="3"/>
      <c r="ELC195" s="3"/>
      <c r="ELD195" s="3"/>
      <c r="ELE195" s="3"/>
      <c r="ELF195" s="3"/>
      <c r="ELG195" s="3"/>
      <c r="ELH195" s="3"/>
      <c r="ELI195" s="3"/>
      <c r="ELJ195" s="3"/>
      <c r="ELK195" s="3"/>
      <c r="ELL195" s="3"/>
      <c r="ELM195" s="3"/>
      <c r="ELN195" s="3"/>
      <c r="ELO195" s="3"/>
      <c r="ELP195" s="3"/>
      <c r="ELQ195" s="3"/>
      <c r="ELR195" s="3"/>
      <c r="ELS195" s="3"/>
      <c r="ELT195" s="3"/>
      <c r="ELU195" s="3"/>
      <c r="ELV195" s="3"/>
      <c r="ELW195" s="3"/>
      <c r="ELX195" s="3"/>
      <c r="ELY195" s="3"/>
      <c r="ELZ195" s="3"/>
      <c r="EMA195" s="3"/>
      <c r="EMB195" s="3"/>
      <c r="EMC195" s="3"/>
      <c r="EMD195" s="3"/>
      <c r="EME195" s="3"/>
      <c r="EMF195" s="3"/>
      <c r="EMG195" s="3"/>
      <c r="EMH195" s="3"/>
      <c r="EMI195" s="3"/>
      <c r="EMJ195" s="3"/>
      <c r="EMK195" s="3"/>
      <c r="EML195" s="3"/>
      <c r="EMM195" s="3"/>
      <c r="EMN195" s="3"/>
      <c r="EMO195" s="3"/>
      <c r="EMP195" s="3"/>
      <c r="EMQ195" s="3"/>
      <c r="EMR195" s="3"/>
      <c r="EMS195" s="3"/>
      <c r="EMT195" s="3"/>
      <c r="EMU195" s="3"/>
      <c r="EMV195" s="3"/>
      <c r="EMW195" s="3"/>
      <c r="EMX195" s="3"/>
      <c r="EMY195" s="3"/>
      <c r="EMZ195" s="3"/>
      <c r="ENA195" s="3"/>
      <c r="ENB195" s="3"/>
      <c r="ENC195" s="3"/>
      <c r="END195" s="3"/>
      <c r="ENE195" s="3"/>
      <c r="ENF195" s="3"/>
      <c r="ENG195" s="3"/>
      <c r="ENH195" s="3"/>
      <c r="ENI195" s="3"/>
      <c r="ENJ195" s="3"/>
      <c r="ENK195" s="3"/>
      <c r="ENL195" s="3"/>
      <c r="ENM195" s="3"/>
      <c r="ENN195" s="3"/>
      <c r="ENO195" s="3"/>
      <c r="ENP195" s="3"/>
      <c r="ENQ195" s="3"/>
      <c r="ENR195" s="3"/>
      <c r="ENS195" s="3"/>
      <c r="ENT195" s="3"/>
      <c r="ENU195" s="3"/>
      <c r="ENV195" s="3"/>
      <c r="ENW195" s="3"/>
      <c r="ENX195" s="3"/>
      <c r="ENY195" s="3"/>
      <c r="ENZ195" s="3"/>
      <c r="EOA195" s="3"/>
      <c r="EOB195" s="3"/>
      <c r="EOC195" s="3"/>
      <c r="EOD195" s="3"/>
      <c r="EOE195" s="3"/>
      <c r="EOF195" s="3"/>
      <c r="EOG195" s="3"/>
      <c r="EOH195" s="3"/>
      <c r="EOI195" s="3"/>
      <c r="EOJ195" s="3"/>
      <c r="EOK195" s="3"/>
      <c r="EOL195" s="3"/>
      <c r="EOM195" s="3"/>
      <c r="EON195" s="3"/>
      <c r="EOO195" s="3"/>
      <c r="EOP195" s="3"/>
      <c r="EOQ195" s="3"/>
      <c r="EOR195" s="3"/>
      <c r="EOS195" s="3"/>
      <c r="EOT195" s="3"/>
      <c r="EOU195" s="3"/>
      <c r="EOV195" s="3"/>
      <c r="EOW195" s="3"/>
      <c r="EOX195" s="3"/>
      <c r="EOY195" s="3"/>
      <c r="EOZ195" s="3"/>
      <c r="EPA195" s="3"/>
      <c r="EPB195" s="3"/>
      <c r="EPC195" s="3"/>
      <c r="EPD195" s="3"/>
      <c r="EPE195" s="3"/>
      <c r="EPF195" s="3"/>
      <c r="EPG195" s="3"/>
      <c r="EPH195" s="3"/>
      <c r="EPI195" s="3"/>
      <c r="EPJ195" s="3"/>
      <c r="EPK195" s="3"/>
      <c r="EPL195" s="3"/>
      <c r="EPM195" s="3"/>
      <c r="EPN195" s="3"/>
      <c r="EPO195" s="3"/>
      <c r="EPP195" s="3"/>
      <c r="EPQ195" s="3"/>
      <c r="EPR195" s="3"/>
      <c r="EPS195" s="3"/>
      <c r="EPT195" s="3"/>
      <c r="EPU195" s="3"/>
      <c r="EPV195" s="3"/>
      <c r="EPW195" s="3"/>
      <c r="EPX195" s="3"/>
      <c r="EPY195" s="3"/>
      <c r="EPZ195" s="3"/>
      <c r="EQA195" s="3"/>
      <c r="EQB195" s="3"/>
      <c r="EQC195" s="3"/>
      <c r="EQD195" s="3"/>
      <c r="EQE195" s="3"/>
      <c r="EQF195" s="3"/>
      <c r="EQG195" s="3"/>
      <c r="EQH195" s="3"/>
      <c r="EQI195" s="3"/>
      <c r="EQJ195" s="3"/>
      <c r="EQK195" s="3"/>
      <c r="EQL195" s="3"/>
      <c r="EQM195" s="3"/>
      <c r="EQN195" s="3"/>
      <c r="EQO195" s="3"/>
      <c r="EQP195" s="3"/>
      <c r="EQQ195" s="3"/>
      <c r="EQR195" s="3"/>
      <c r="EQS195" s="3"/>
      <c r="EQT195" s="3"/>
      <c r="EQU195" s="3"/>
      <c r="EQV195" s="3"/>
      <c r="EQW195" s="3"/>
      <c r="EQX195" s="3"/>
      <c r="EQY195" s="3"/>
      <c r="EQZ195" s="3"/>
      <c r="ERA195" s="3"/>
      <c r="ERB195" s="3"/>
      <c r="ERC195" s="3"/>
      <c r="ERD195" s="3"/>
      <c r="ERE195" s="3"/>
      <c r="ERF195" s="3"/>
      <c r="ERG195" s="3"/>
      <c r="ERH195" s="3"/>
      <c r="ERI195" s="3"/>
      <c r="ERJ195" s="3"/>
      <c r="ERK195" s="3"/>
      <c r="ERL195" s="3"/>
      <c r="ERM195" s="3"/>
      <c r="ERN195" s="3"/>
      <c r="ERO195" s="3"/>
      <c r="ERP195" s="3"/>
      <c r="ERQ195" s="3"/>
      <c r="ERR195" s="3"/>
      <c r="ERS195" s="3"/>
      <c r="ERT195" s="3"/>
      <c r="ERU195" s="3"/>
      <c r="ERV195" s="3"/>
      <c r="ERW195" s="3"/>
      <c r="ERX195" s="3"/>
      <c r="ERY195" s="3"/>
      <c r="ERZ195" s="3"/>
      <c r="ESA195" s="3"/>
      <c r="ESB195" s="3"/>
      <c r="ESC195" s="3"/>
      <c r="ESD195" s="3"/>
      <c r="ESE195" s="3"/>
      <c r="ESF195" s="3"/>
      <c r="ESG195" s="3"/>
      <c r="ESH195" s="3"/>
      <c r="ESI195" s="3"/>
      <c r="ESJ195" s="3"/>
      <c r="ESK195" s="3"/>
      <c r="ESL195" s="3"/>
      <c r="ESM195" s="3"/>
      <c r="ESN195" s="3"/>
      <c r="ESO195" s="3"/>
      <c r="ESP195" s="3"/>
      <c r="ESQ195" s="3"/>
      <c r="ESR195" s="3"/>
      <c r="ESS195" s="3"/>
      <c r="EST195" s="3"/>
      <c r="ESU195" s="3"/>
      <c r="ESV195" s="3"/>
      <c r="ESW195" s="3"/>
      <c r="ESX195" s="3"/>
      <c r="ESY195" s="3"/>
      <c r="ESZ195" s="3"/>
      <c r="ETA195" s="3"/>
      <c r="ETB195" s="3"/>
      <c r="ETC195" s="3"/>
      <c r="ETD195" s="3"/>
      <c r="ETE195" s="3"/>
      <c r="ETF195" s="3"/>
      <c r="ETG195" s="3"/>
      <c r="ETH195" s="3"/>
      <c r="ETI195" s="3"/>
      <c r="ETJ195" s="3"/>
      <c r="ETK195" s="3"/>
      <c r="ETL195" s="3"/>
      <c r="ETM195" s="3"/>
      <c r="ETN195" s="3"/>
      <c r="ETO195" s="3"/>
      <c r="ETP195" s="3"/>
      <c r="ETQ195" s="3"/>
      <c r="ETR195" s="3"/>
      <c r="ETS195" s="3"/>
      <c r="ETT195" s="3"/>
      <c r="ETU195" s="3"/>
      <c r="ETV195" s="3"/>
      <c r="ETW195" s="3"/>
      <c r="ETX195" s="3"/>
      <c r="ETY195" s="3"/>
      <c r="ETZ195" s="3"/>
      <c r="EUA195" s="3"/>
      <c r="EUB195" s="3"/>
      <c r="EUC195" s="3"/>
      <c r="EUD195" s="3"/>
      <c r="EUE195" s="3"/>
      <c r="EUF195" s="3"/>
      <c r="EUG195" s="3"/>
      <c r="EUH195" s="3"/>
      <c r="EUI195" s="3"/>
      <c r="EUJ195" s="3"/>
      <c r="EUK195" s="3"/>
      <c r="EUL195" s="3"/>
      <c r="EUM195" s="3"/>
      <c r="EUN195" s="3"/>
      <c r="EUO195" s="3"/>
      <c r="EUP195" s="3"/>
      <c r="EUQ195" s="3"/>
      <c r="EUR195" s="3"/>
      <c r="EUS195" s="3"/>
      <c r="EUT195" s="3"/>
      <c r="EUU195" s="3"/>
      <c r="EUV195" s="3"/>
      <c r="EUW195" s="3"/>
      <c r="EUX195" s="3"/>
      <c r="EUY195" s="3"/>
      <c r="EUZ195" s="3"/>
      <c r="EVA195" s="3"/>
      <c r="EVB195" s="3"/>
      <c r="EVC195" s="3"/>
      <c r="EVD195" s="3"/>
      <c r="EVE195" s="3"/>
      <c r="EVF195" s="3"/>
      <c r="EVG195" s="3"/>
      <c r="EVH195" s="3"/>
      <c r="EVI195" s="3"/>
      <c r="EVJ195" s="3"/>
      <c r="EVK195" s="3"/>
      <c r="EVL195" s="3"/>
      <c r="EVM195" s="3"/>
      <c r="EVN195" s="3"/>
      <c r="EVO195" s="3"/>
      <c r="EVP195" s="3"/>
      <c r="EVQ195" s="3"/>
      <c r="EVR195" s="3"/>
      <c r="EVS195" s="3"/>
      <c r="EVT195" s="3"/>
      <c r="EVU195" s="3"/>
      <c r="EVV195" s="3"/>
      <c r="EVW195" s="3"/>
      <c r="EVX195" s="3"/>
      <c r="EVY195" s="3"/>
      <c r="EVZ195" s="3"/>
      <c r="EWA195" s="3"/>
      <c r="EWB195" s="3"/>
      <c r="EWC195" s="3"/>
      <c r="EWD195" s="3"/>
      <c r="EWE195" s="3"/>
      <c r="EWF195" s="3"/>
      <c r="EWG195" s="3"/>
      <c r="EWH195" s="3"/>
      <c r="EWI195" s="3"/>
      <c r="EWJ195" s="3"/>
      <c r="EWK195" s="3"/>
      <c r="EWL195" s="3"/>
      <c r="EWM195" s="3"/>
      <c r="EWN195" s="3"/>
      <c r="EWO195" s="3"/>
      <c r="EWP195" s="3"/>
      <c r="EWQ195" s="3"/>
      <c r="EWR195" s="3"/>
      <c r="EWS195" s="3"/>
      <c r="EWT195" s="3"/>
      <c r="EWU195" s="3"/>
      <c r="EWV195" s="3"/>
      <c r="EWW195" s="3"/>
      <c r="EWX195" s="3"/>
      <c r="EWY195" s="3"/>
      <c r="EWZ195" s="3"/>
      <c r="EXA195" s="3"/>
      <c r="EXB195" s="3"/>
      <c r="EXC195" s="3"/>
      <c r="EXD195" s="3"/>
      <c r="EXE195" s="3"/>
      <c r="EXF195" s="3"/>
      <c r="EXG195" s="3"/>
      <c r="EXH195" s="3"/>
      <c r="EXI195" s="3"/>
      <c r="EXJ195" s="3"/>
      <c r="EXK195" s="3"/>
      <c r="EXL195" s="3"/>
      <c r="EXM195" s="3"/>
      <c r="EXN195" s="3"/>
      <c r="EXO195" s="3"/>
      <c r="EXP195" s="3"/>
      <c r="EXQ195" s="3"/>
      <c r="EXR195" s="3"/>
      <c r="EXS195" s="3"/>
      <c r="EXT195" s="3"/>
      <c r="EXU195" s="3"/>
      <c r="EXV195" s="3"/>
      <c r="EXW195" s="3"/>
      <c r="EXX195" s="3"/>
      <c r="EXY195" s="3"/>
      <c r="EXZ195" s="3"/>
      <c r="EYA195" s="3"/>
      <c r="EYB195" s="3"/>
      <c r="EYC195" s="3"/>
      <c r="EYD195" s="3"/>
      <c r="EYE195" s="3"/>
      <c r="EYF195" s="3"/>
      <c r="EYG195" s="3"/>
      <c r="EYH195" s="3"/>
      <c r="EYI195" s="3"/>
      <c r="EYJ195" s="3"/>
      <c r="EYK195" s="3"/>
      <c r="EYL195" s="3"/>
      <c r="EYM195" s="3"/>
      <c r="EYN195" s="3"/>
      <c r="EYO195" s="3"/>
      <c r="EYP195" s="3"/>
      <c r="EYQ195" s="3"/>
      <c r="EYR195" s="3"/>
      <c r="EYS195" s="3"/>
      <c r="EYT195" s="3"/>
      <c r="EYU195" s="3"/>
      <c r="EYV195" s="3"/>
      <c r="EYW195" s="3"/>
      <c r="EYX195" s="3"/>
      <c r="EYY195" s="3"/>
      <c r="EYZ195" s="3"/>
      <c r="EZA195" s="3"/>
      <c r="EZB195" s="3"/>
      <c r="EZC195" s="3"/>
      <c r="EZD195" s="3"/>
      <c r="EZE195" s="3"/>
      <c r="EZF195" s="3"/>
      <c r="EZG195" s="3"/>
      <c r="EZH195" s="3"/>
      <c r="EZI195" s="3"/>
      <c r="EZJ195" s="3"/>
      <c r="EZK195" s="3"/>
      <c r="EZL195" s="3"/>
      <c r="EZM195" s="3"/>
      <c r="EZN195" s="3"/>
      <c r="EZO195" s="3"/>
      <c r="EZP195" s="3"/>
      <c r="EZQ195" s="3"/>
      <c r="EZR195" s="3"/>
      <c r="EZS195" s="3"/>
      <c r="EZT195" s="3"/>
      <c r="EZU195" s="3"/>
      <c r="EZV195" s="3"/>
      <c r="EZW195" s="3"/>
      <c r="EZX195" s="3"/>
      <c r="EZY195" s="3"/>
      <c r="EZZ195" s="3"/>
      <c r="FAA195" s="3"/>
      <c r="FAB195" s="3"/>
      <c r="FAC195" s="3"/>
      <c r="FAD195" s="3"/>
      <c r="FAE195" s="3"/>
      <c r="FAF195" s="3"/>
      <c r="FAG195" s="3"/>
      <c r="FAH195" s="3"/>
      <c r="FAI195" s="3"/>
      <c r="FAJ195" s="3"/>
      <c r="FAK195" s="3"/>
      <c r="FAL195" s="3"/>
      <c r="FAM195" s="3"/>
      <c r="FAN195" s="3"/>
      <c r="FAO195" s="3"/>
      <c r="FAP195" s="3"/>
      <c r="FAQ195" s="3"/>
      <c r="FAR195" s="3"/>
      <c r="FAS195" s="3"/>
      <c r="FAT195" s="3"/>
      <c r="FAU195" s="3"/>
      <c r="FAV195" s="3"/>
      <c r="FAW195" s="3"/>
      <c r="FAX195" s="3"/>
      <c r="FAY195" s="3"/>
      <c r="FAZ195" s="3"/>
      <c r="FBA195" s="3"/>
      <c r="FBB195" s="3"/>
      <c r="FBC195" s="3"/>
      <c r="FBD195" s="3"/>
      <c r="FBE195" s="3"/>
      <c r="FBF195" s="3"/>
      <c r="FBG195" s="3"/>
      <c r="FBH195" s="3"/>
      <c r="FBI195" s="3"/>
      <c r="FBJ195" s="3"/>
      <c r="FBK195" s="3"/>
      <c r="FBL195" s="3"/>
      <c r="FBM195" s="3"/>
      <c r="FBN195" s="3"/>
      <c r="FBO195" s="3"/>
      <c r="FBP195" s="3"/>
      <c r="FBQ195" s="3"/>
      <c r="FBR195" s="3"/>
      <c r="FBS195" s="3"/>
      <c r="FBT195" s="3"/>
      <c r="FBU195" s="3"/>
      <c r="FBV195" s="3"/>
      <c r="FBW195" s="3"/>
      <c r="FBX195" s="3"/>
      <c r="FBY195" s="3"/>
      <c r="FBZ195" s="3"/>
      <c r="FCA195" s="3"/>
      <c r="FCB195" s="3"/>
      <c r="FCC195" s="3"/>
      <c r="FCD195" s="3"/>
      <c r="FCE195" s="3"/>
      <c r="FCF195" s="3"/>
      <c r="FCG195" s="3"/>
      <c r="FCH195" s="3"/>
      <c r="FCI195" s="3"/>
      <c r="FCJ195" s="3"/>
      <c r="FCK195" s="3"/>
      <c r="FCL195" s="3"/>
      <c r="FCM195" s="3"/>
      <c r="FCN195" s="3"/>
      <c r="FCO195" s="3"/>
      <c r="FCP195" s="3"/>
      <c r="FCQ195" s="3"/>
      <c r="FCR195" s="3"/>
      <c r="FCS195" s="3"/>
      <c r="FCT195" s="3"/>
      <c r="FCU195" s="3"/>
      <c r="FCV195" s="3"/>
      <c r="FCW195" s="3"/>
      <c r="FCX195" s="3"/>
      <c r="FCY195" s="3"/>
      <c r="FCZ195" s="3"/>
      <c r="FDA195" s="3"/>
      <c r="FDB195" s="3"/>
      <c r="FDC195" s="3"/>
      <c r="FDD195" s="3"/>
      <c r="FDE195" s="3"/>
      <c r="FDF195" s="3"/>
      <c r="FDG195" s="3"/>
      <c r="FDH195" s="3"/>
      <c r="FDI195" s="3"/>
      <c r="FDJ195" s="3"/>
      <c r="FDK195" s="3"/>
      <c r="FDL195" s="3"/>
      <c r="FDM195" s="3"/>
      <c r="FDN195" s="3"/>
      <c r="FDO195" s="3"/>
      <c r="FDP195" s="3"/>
      <c r="FDQ195" s="3"/>
      <c r="FDR195" s="3"/>
      <c r="FDS195" s="3"/>
      <c r="FDT195" s="3"/>
      <c r="FDU195" s="3"/>
      <c r="FDV195" s="3"/>
      <c r="FDW195" s="3"/>
      <c r="FDX195" s="3"/>
      <c r="FDY195" s="3"/>
      <c r="FDZ195" s="3"/>
      <c r="FEA195" s="3"/>
      <c r="FEB195" s="3"/>
      <c r="FEC195" s="3"/>
      <c r="FED195" s="3"/>
      <c r="FEE195" s="3"/>
      <c r="FEF195" s="3"/>
      <c r="FEG195" s="3"/>
      <c r="FEH195" s="3"/>
      <c r="FEI195" s="3"/>
      <c r="FEJ195" s="3"/>
      <c r="FEK195" s="3"/>
      <c r="FEL195" s="3"/>
      <c r="FEM195" s="3"/>
      <c r="FEN195" s="3"/>
      <c r="FEO195" s="3"/>
      <c r="FEP195" s="3"/>
      <c r="FEQ195" s="3"/>
      <c r="FER195" s="3"/>
      <c r="FES195" s="3"/>
      <c r="FET195" s="3"/>
      <c r="FEU195" s="3"/>
      <c r="FEV195" s="3"/>
      <c r="FEW195" s="3"/>
      <c r="FEX195" s="3"/>
      <c r="FEY195" s="3"/>
      <c r="FEZ195" s="3"/>
      <c r="FFA195" s="3"/>
      <c r="FFB195" s="3"/>
      <c r="FFC195" s="3"/>
      <c r="FFD195" s="3"/>
      <c r="FFE195" s="3"/>
      <c r="FFF195" s="3"/>
      <c r="FFG195" s="3"/>
      <c r="FFH195" s="3"/>
      <c r="FFI195" s="3"/>
      <c r="FFJ195" s="3"/>
      <c r="FFK195" s="3"/>
      <c r="FFL195" s="3"/>
      <c r="FFM195" s="3"/>
      <c r="FFN195" s="3"/>
      <c r="FFO195" s="3"/>
      <c r="FFP195" s="3"/>
      <c r="FFQ195" s="3"/>
      <c r="FFR195" s="3"/>
      <c r="FFS195" s="3"/>
      <c r="FFT195" s="3"/>
      <c r="FFU195" s="3"/>
      <c r="FFV195" s="3"/>
      <c r="FFW195" s="3"/>
      <c r="FFX195" s="3"/>
      <c r="FFY195" s="3"/>
      <c r="FFZ195" s="3"/>
      <c r="FGA195" s="3"/>
      <c r="FGB195" s="3"/>
      <c r="FGC195" s="3"/>
      <c r="FGD195" s="3"/>
      <c r="FGE195" s="3"/>
      <c r="FGF195" s="3"/>
      <c r="FGG195" s="3"/>
      <c r="FGH195" s="3"/>
      <c r="FGI195" s="3"/>
      <c r="FGJ195" s="3"/>
      <c r="FGK195" s="3"/>
      <c r="FGL195" s="3"/>
      <c r="FGM195" s="3"/>
      <c r="FGN195" s="3"/>
      <c r="FGO195" s="3"/>
      <c r="FGP195" s="3"/>
      <c r="FGQ195" s="3"/>
      <c r="FGR195" s="3"/>
      <c r="FGS195" s="3"/>
      <c r="FGT195" s="3"/>
      <c r="FGU195" s="3"/>
      <c r="FGV195" s="3"/>
      <c r="FGW195" s="3"/>
      <c r="FGX195" s="3"/>
      <c r="FGY195" s="3"/>
      <c r="FGZ195" s="3"/>
      <c r="FHA195" s="3"/>
      <c r="FHB195" s="3"/>
      <c r="FHC195" s="3"/>
      <c r="FHD195" s="3"/>
      <c r="FHE195" s="3"/>
      <c r="FHF195" s="3"/>
      <c r="FHG195" s="3"/>
      <c r="FHH195" s="3"/>
      <c r="FHI195" s="3"/>
      <c r="FHJ195" s="3"/>
      <c r="FHK195" s="3"/>
      <c r="FHL195" s="3"/>
      <c r="FHM195" s="3"/>
      <c r="FHN195" s="3"/>
      <c r="FHO195" s="3"/>
      <c r="FHP195" s="3"/>
      <c r="FHQ195" s="3"/>
      <c r="FHR195" s="3"/>
      <c r="FHS195" s="3"/>
      <c r="FHT195" s="3"/>
      <c r="FHU195" s="3"/>
      <c r="FHV195" s="3"/>
      <c r="FHW195" s="3"/>
      <c r="FHX195" s="3"/>
      <c r="FHY195" s="3"/>
      <c r="FHZ195" s="3"/>
      <c r="FIA195" s="3"/>
      <c r="FIB195" s="3"/>
      <c r="FIC195" s="3"/>
      <c r="FID195" s="3"/>
      <c r="FIE195" s="3"/>
      <c r="FIF195" s="3"/>
      <c r="FIG195" s="3"/>
      <c r="FIH195" s="3"/>
      <c r="FII195" s="3"/>
      <c r="FIJ195" s="3"/>
      <c r="FIK195" s="3"/>
      <c r="FIL195" s="3"/>
      <c r="FIM195" s="3"/>
      <c r="FIN195" s="3"/>
      <c r="FIO195" s="3"/>
      <c r="FIP195" s="3"/>
      <c r="FIQ195" s="3"/>
      <c r="FIR195" s="3"/>
      <c r="FIS195" s="3"/>
      <c r="FIT195" s="3"/>
      <c r="FIU195" s="3"/>
      <c r="FIV195" s="3"/>
      <c r="FIW195" s="3"/>
      <c r="FIX195" s="3"/>
      <c r="FIY195" s="3"/>
      <c r="FIZ195" s="3"/>
      <c r="FJA195" s="3"/>
      <c r="FJB195" s="3"/>
      <c r="FJC195" s="3"/>
      <c r="FJD195" s="3"/>
      <c r="FJE195" s="3"/>
      <c r="FJF195" s="3"/>
      <c r="FJG195" s="3"/>
      <c r="FJH195" s="3"/>
      <c r="FJI195" s="3"/>
      <c r="FJJ195" s="3"/>
      <c r="FJK195" s="3"/>
      <c r="FJL195" s="3"/>
      <c r="FJM195" s="3"/>
      <c r="FJN195" s="3"/>
      <c r="FJO195" s="3"/>
      <c r="FJP195" s="3"/>
      <c r="FJQ195" s="3"/>
      <c r="FJR195" s="3"/>
      <c r="FJS195" s="3"/>
      <c r="FJT195" s="3"/>
      <c r="FJU195" s="3"/>
      <c r="FJV195" s="3"/>
      <c r="FJW195" s="3"/>
      <c r="FJX195" s="3"/>
      <c r="FJY195" s="3"/>
      <c r="FJZ195" s="3"/>
      <c r="FKA195" s="3"/>
      <c r="FKB195" s="3"/>
      <c r="FKC195" s="3"/>
      <c r="FKD195" s="3"/>
      <c r="FKE195" s="3"/>
      <c r="FKF195" s="3"/>
      <c r="FKG195" s="3"/>
      <c r="FKH195" s="3"/>
      <c r="FKI195" s="3"/>
      <c r="FKJ195" s="3"/>
      <c r="FKK195" s="3"/>
      <c r="FKL195" s="3"/>
      <c r="FKM195" s="3"/>
      <c r="FKN195" s="3"/>
      <c r="FKO195" s="3"/>
      <c r="FKP195" s="3"/>
      <c r="FKQ195" s="3"/>
      <c r="FKR195" s="3"/>
      <c r="FKS195" s="3"/>
      <c r="FKT195" s="3"/>
      <c r="FKU195" s="3"/>
      <c r="FKV195" s="3"/>
      <c r="FKW195" s="3"/>
      <c r="FKX195" s="3"/>
      <c r="FKY195" s="3"/>
      <c r="FKZ195" s="3"/>
      <c r="FLA195" s="3"/>
      <c r="FLB195" s="3"/>
      <c r="FLC195" s="3"/>
      <c r="FLD195" s="3"/>
      <c r="FLE195" s="3"/>
      <c r="FLF195" s="3"/>
      <c r="FLG195" s="3"/>
      <c r="FLH195" s="3"/>
      <c r="FLI195" s="3"/>
      <c r="FLJ195" s="3"/>
      <c r="FLK195" s="3"/>
      <c r="FLL195" s="3"/>
      <c r="FLM195" s="3"/>
      <c r="FLN195" s="3"/>
      <c r="FLO195" s="3"/>
      <c r="FLP195" s="3"/>
      <c r="FLQ195" s="3"/>
      <c r="FLR195" s="3"/>
      <c r="FLS195" s="3"/>
      <c r="FLT195" s="3"/>
      <c r="FLU195" s="3"/>
      <c r="FLV195" s="3"/>
      <c r="FLW195" s="3"/>
      <c r="FLX195" s="3"/>
      <c r="FLY195" s="3"/>
      <c r="FLZ195" s="3"/>
      <c r="FMA195" s="3"/>
      <c r="FMB195" s="3"/>
      <c r="FMC195" s="3"/>
      <c r="FMD195" s="3"/>
      <c r="FME195" s="3"/>
      <c r="FMF195" s="3"/>
      <c r="FMG195" s="3"/>
      <c r="FMH195" s="3"/>
      <c r="FMI195" s="3"/>
      <c r="FMJ195" s="3"/>
      <c r="FMK195" s="3"/>
      <c r="FML195" s="3"/>
      <c r="FMM195" s="3"/>
      <c r="FMN195" s="3"/>
      <c r="FMO195" s="3"/>
      <c r="FMP195" s="3"/>
      <c r="FMQ195" s="3"/>
      <c r="FMR195" s="3"/>
      <c r="FMS195" s="3"/>
      <c r="FMT195" s="3"/>
      <c r="FMU195" s="3"/>
      <c r="FMV195" s="3"/>
      <c r="FMW195" s="3"/>
      <c r="FMX195" s="3"/>
      <c r="FMY195" s="3"/>
      <c r="FMZ195" s="3"/>
      <c r="FNA195" s="3"/>
      <c r="FNB195" s="3"/>
      <c r="FNC195" s="3"/>
      <c r="FND195" s="3"/>
      <c r="FNE195" s="3"/>
      <c r="FNF195" s="3"/>
      <c r="FNG195" s="3"/>
      <c r="FNH195" s="3"/>
      <c r="FNI195" s="3"/>
      <c r="FNJ195" s="3"/>
      <c r="FNK195" s="3"/>
      <c r="FNL195" s="3"/>
      <c r="FNM195" s="3"/>
      <c r="FNN195" s="3"/>
      <c r="FNO195" s="3"/>
      <c r="FNP195" s="3"/>
      <c r="FNQ195" s="3"/>
      <c r="FNR195" s="3"/>
      <c r="FNS195" s="3"/>
      <c r="FNT195" s="3"/>
      <c r="FNU195" s="3"/>
      <c r="FNV195" s="3"/>
      <c r="FNW195" s="3"/>
      <c r="FNX195" s="3"/>
      <c r="FNY195" s="3"/>
      <c r="FNZ195" s="3"/>
      <c r="FOA195" s="3"/>
      <c r="FOB195" s="3"/>
      <c r="FOC195" s="3"/>
      <c r="FOD195" s="3"/>
      <c r="FOE195" s="3"/>
      <c r="FOF195" s="3"/>
      <c r="FOG195" s="3"/>
      <c r="FOH195" s="3"/>
      <c r="FOI195" s="3"/>
      <c r="FOJ195" s="3"/>
      <c r="FOK195" s="3"/>
      <c r="FOL195" s="3"/>
      <c r="FOM195" s="3"/>
      <c r="FON195" s="3"/>
      <c r="FOO195" s="3"/>
      <c r="FOP195" s="3"/>
      <c r="FOQ195" s="3"/>
      <c r="FOR195" s="3"/>
      <c r="FOS195" s="3"/>
      <c r="FOT195" s="3"/>
      <c r="FOU195" s="3"/>
      <c r="FOV195" s="3"/>
      <c r="FOW195" s="3"/>
      <c r="FOX195" s="3"/>
      <c r="FOY195" s="3"/>
      <c r="FOZ195" s="3"/>
      <c r="FPA195" s="3"/>
      <c r="FPB195" s="3"/>
      <c r="FPC195" s="3"/>
      <c r="FPD195" s="3"/>
      <c r="FPE195" s="3"/>
      <c r="FPF195" s="3"/>
      <c r="FPG195" s="3"/>
      <c r="FPH195" s="3"/>
      <c r="FPI195" s="3"/>
      <c r="FPJ195" s="3"/>
      <c r="FPK195" s="3"/>
      <c r="FPL195" s="3"/>
      <c r="FPM195" s="3"/>
      <c r="FPN195" s="3"/>
      <c r="FPO195" s="3"/>
      <c r="FPP195" s="3"/>
      <c r="FPQ195" s="3"/>
      <c r="FPR195" s="3"/>
      <c r="FPS195" s="3"/>
      <c r="FPT195" s="3"/>
      <c r="FPU195" s="3"/>
      <c r="FPV195" s="3"/>
      <c r="FPW195" s="3"/>
      <c r="FPX195" s="3"/>
      <c r="FPY195" s="3"/>
      <c r="FPZ195" s="3"/>
      <c r="FQA195" s="3"/>
      <c r="FQB195" s="3"/>
      <c r="FQC195" s="3"/>
      <c r="FQD195" s="3"/>
      <c r="FQE195" s="3"/>
      <c r="FQF195" s="3"/>
      <c r="FQG195" s="3"/>
      <c r="FQH195" s="3"/>
      <c r="FQI195" s="3"/>
      <c r="FQJ195" s="3"/>
      <c r="FQK195" s="3"/>
      <c r="FQL195" s="3"/>
      <c r="FQM195" s="3"/>
      <c r="FQN195" s="3"/>
      <c r="FQO195" s="3"/>
      <c r="FQP195" s="3"/>
      <c r="FQQ195" s="3"/>
      <c r="FQR195" s="3"/>
      <c r="FQS195" s="3"/>
      <c r="FQT195" s="3"/>
      <c r="FQU195" s="3"/>
      <c r="FQV195" s="3"/>
      <c r="FQW195" s="3"/>
      <c r="FQX195" s="3"/>
      <c r="FQY195" s="3"/>
      <c r="FQZ195" s="3"/>
      <c r="FRA195" s="3"/>
      <c r="FRB195" s="3"/>
      <c r="FRC195" s="3"/>
      <c r="FRD195" s="3"/>
      <c r="FRE195" s="3"/>
      <c r="FRF195" s="3"/>
      <c r="FRG195" s="3"/>
      <c r="FRH195" s="3"/>
      <c r="FRI195" s="3"/>
      <c r="FRJ195" s="3"/>
      <c r="FRK195" s="3"/>
      <c r="FRL195" s="3"/>
      <c r="FRM195" s="3"/>
      <c r="FRN195" s="3"/>
      <c r="FRO195" s="3"/>
      <c r="FRP195" s="3"/>
      <c r="FRQ195" s="3"/>
      <c r="FRR195" s="3"/>
      <c r="FRS195" s="3"/>
      <c r="FRT195" s="3"/>
      <c r="FRU195" s="3"/>
      <c r="FRV195" s="3"/>
      <c r="FRW195" s="3"/>
      <c r="FRX195" s="3"/>
      <c r="FRY195" s="3"/>
      <c r="FRZ195" s="3"/>
      <c r="FSA195" s="3"/>
      <c r="FSB195" s="3"/>
      <c r="FSC195" s="3"/>
      <c r="FSD195" s="3"/>
      <c r="FSE195" s="3"/>
      <c r="FSF195" s="3"/>
      <c r="FSG195" s="3"/>
      <c r="FSH195" s="3"/>
      <c r="FSI195" s="3"/>
      <c r="FSJ195" s="3"/>
      <c r="FSK195" s="3"/>
      <c r="FSL195" s="3"/>
      <c r="FSM195" s="3"/>
      <c r="FSN195" s="3"/>
      <c r="FSO195" s="3"/>
      <c r="FSP195" s="3"/>
      <c r="FSQ195" s="3"/>
      <c r="FSR195" s="3"/>
      <c r="FSS195" s="3"/>
      <c r="FST195" s="3"/>
      <c r="FSU195" s="3"/>
      <c r="FSV195" s="3"/>
      <c r="FSW195" s="3"/>
      <c r="FSX195" s="3"/>
      <c r="FSY195" s="3"/>
      <c r="FSZ195" s="3"/>
      <c r="FTA195" s="3"/>
      <c r="FTB195" s="3"/>
      <c r="FTC195" s="3"/>
      <c r="FTD195" s="3"/>
      <c r="FTE195" s="3"/>
      <c r="FTF195" s="3"/>
      <c r="FTG195" s="3"/>
      <c r="FTH195" s="3"/>
      <c r="FTI195" s="3"/>
      <c r="FTJ195" s="3"/>
      <c r="FTK195" s="3"/>
      <c r="FTL195" s="3"/>
      <c r="FTM195" s="3"/>
      <c r="FTN195" s="3"/>
      <c r="FTO195" s="3"/>
      <c r="FTP195" s="3"/>
      <c r="FTQ195" s="3"/>
      <c r="FTR195" s="3"/>
      <c r="FTS195" s="3"/>
      <c r="FTT195" s="3"/>
      <c r="FTU195" s="3"/>
      <c r="FTV195" s="3"/>
      <c r="FTW195" s="3"/>
      <c r="FTX195" s="3"/>
      <c r="FTY195" s="3"/>
      <c r="FTZ195" s="3"/>
      <c r="FUA195" s="3"/>
      <c r="FUB195" s="3"/>
      <c r="FUC195" s="3"/>
      <c r="FUD195" s="3"/>
      <c r="FUE195" s="3"/>
      <c r="FUF195" s="3"/>
      <c r="FUG195" s="3"/>
      <c r="FUH195" s="3"/>
      <c r="FUI195" s="3"/>
      <c r="FUJ195" s="3"/>
      <c r="FUK195" s="3"/>
      <c r="FUL195" s="3"/>
      <c r="FUM195" s="3"/>
      <c r="FUN195" s="3"/>
      <c r="FUO195" s="3"/>
      <c r="FUP195" s="3"/>
      <c r="FUQ195" s="3"/>
      <c r="FUR195" s="3"/>
      <c r="FUS195" s="3"/>
      <c r="FUT195" s="3"/>
      <c r="FUU195" s="3"/>
      <c r="FUV195" s="3"/>
      <c r="FUW195" s="3"/>
      <c r="FUX195" s="3"/>
      <c r="FUY195" s="3"/>
      <c r="FUZ195" s="3"/>
      <c r="FVA195" s="3"/>
      <c r="FVB195" s="3"/>
      <c r="FVC195" s="3"/>
      <c r="FVD195" s="3"/>
      <c r="FVE195" s="3"/>
      <c r="FVF195" s="3"/>
      <c r="FVG195" s="3"/>
      <c r="FVH195" s="3"/>
      <c r="FVI195" s="3"/>
      <c r="FVJ195" s="3"/>
      <c r="FVK195" s="3"/>
      <c r="FVL195" s="3"/>
      <c r="FVM195" s="3"/>
      <c r="FVN195" s="3"/>
      <c r="FVO195" s="3"/>
      <c r="FVP195" s="3"/>
      <c r="FVQ195" s="3"/>
      <c r="FVR195" s="3"/>
      <c r="FVS195" s="3"/>
      <c r="FVT195" s="3"/>
      <c r="FVU195" s="3"/>
      <c r="FVV195" s="3"/>
      <c r="FVW195" s="3"/>
      <c r="FVX195" s="3"/>
      <c r="FVY195" s="3"/>
      <c r="FVZ195" s="3"/>
      <c r="FWA195" s="3"/>
      <c r="FWB195" s="3"/>
      <c r="FWC195" s="3"/>
      <c r="FWD195" s="3"/>
      <c r="FWE195" s="3"/>
      <c r="FWF195" s="3"/>
      <c r="FWG195" s="3"/>
      <c r="FWH195" s="3"/>
      <c r="FWI195" s="3"/>
      <c r="FWJ195" s="3"/>
      <c r="FWK195" s="3"/>
      <c r="FWL195" s="3"/>
      <c r="FWM195" s="3"/>
      <c r="FWN195" s="3"/>
      <c r="FWO195" s="3"/>
      <c r="FWP195" s="3"/>
      <c r="FWQ195" s="3"/>
      <c r="FWR195" s="3"/>
      <c r="FWS195" s="3"/>
      <c r="FWT195" s="3"/>
      <c r="FWU195" s="3"/>
      <c r="FWV195" s="3"/>
      <c r="FWW195" s="3"/>
      <c r="FWX195" s="3"/>
      <c r="FWY195" s="3"/>
      <c r="FWZ195" s="3"/>
      <c r="FXA195" s="3"/>
      <c r="FXB195" s="3"/>
      <c r="FXC195" s="3"/>
      <c r="FXD195" s="3"/>
      <c r="FXE195" s="3"/>
      <c r="FXF195" s="3"/>
      <c r="FXG195" s="3"/>
      <c r="FXH195" s="3"/>
      <c r="FXI195" s="3"/>
      <c r="FXJ195" s="3"/>
      <c r="FXK195" s="3"/>
      <c r="FXL195" s="3"/>
      <c r="FXM195" s="3"/>
      <c r="FXN195" s="3"/>
      <c r="FXO195" s="3"/>
      <c r="FXP195" s="3"/>
      <c r="FXQ195" s="3"/>
      <c r="FXR195" s="3"/>
      <c r="FXS195" s="3"/>
      <c r="FXT195" s="3"/>
      <c r="FXU195" s="3"/>
      <c r="FXV195" s="3"/>
      <c r="FXW195" s="3"/>
      <c r="FXX195" s="3"/>
      <c r="FXY195" s="3"/>
      <c r="FXZ195" s="3"/>
      <c r="FYA195" s="3"/>
      <c r="FYB195" s="3"/>
      <c r="FYC195" s="3"/>
      <c r="FYD195" s="3"/>
      <c r="FYE195" s="3"/>
      <c r="FYF195" s="3"/>
      <c r="FYG195" s="3"/>
      <c r="FYH195" s="3"/>
      <c r="FYI195" s="3"/>
      <c r="FYJ195" s="3"/>
      <c r="FYK195" s="3"/>
      <c r="FYL195" s="3"/>
      <c r="FYM195" s="3"/>
      <c r="FYN195" s="3"/>
      <c r="FYO195" s="3"/>
      <c r="FYP195" s="3"/>
      <c r="FYQ195" s="3"/>
      <c r="FYR195" s="3"/>
      <c r="FYS195" s="3"/>
      <c r="FYT195" s="3"/>
      <c r="FYU195" s="3"/>
      <c r="FYV195" s="3"/>
      <c r="FYW195" s="3"/>
      <c r="FYX195" s="3"/>
      <c r="FYY195" s="3"/>
      <c r="FYZ195" s="3"/>
      <c r="FZA195" s="3"/>
      <c r="FZB195" s="3"/>
      <c r="FZC195" s="3"/>
      <c r="FZD195" s="3"/>
      <c r="FZE195" s="3"/>
      <c r="FZF195" s="3"/>
      <c r="FZG195" s="3"/>
      <c r="FZH195" s="3"/>
      <c r="FZI195" s="3"/>
      <c r="FZJ195" s="3"/>
      <c r="FZK195" s="3"/>
      <c r="FZL195" s="3"/>
      <c r="FZM195" s="3"/>
      <c r="FZN195" s="3"/>
      <c r="FZO195" s="3"/>
      <c r="FZP195" s="3"/>
      <c r="FZQ195" s="3"/>
      <c r="FZR195" s="3"/>
      <c r="FZS195" s="3"/>
      <c r="FZT195" s="3"/>
      <c r="FZU195" s="3"/>
      <c r="FZV195" s="3"/>
      <c r="FZW195" s="3"/>
      <c r="FZX195" s="3"/>
      <c r="FZY195" s="3"/>
      <c r="FZZ195" s="3"/>
      <c r="GAA195" s="3"/>
      <c r="GAB195" s="3"/>
      <c r="GAC195" s="3"/>
      <c r="GAD195" s="3"/>
      <c r="GAE195" s="3"/>
      <c r="GAF195" s="3"/>
      <c r="GAG195" s="3"/>
      <c r="GAH195" s="3"/>
      <c r="GAI195" s="3"/>
      <c r="GAJ195" s="3"/>
      <c r="GAK195" s="3"/>
      <c r="GAL195" s="3"/>
      <c r="GAM195" s="3"/>
      <c r="GAN195" s="3"/>
      <c r="GAO195" s="3"/>
      <c r="GAP195" s="3"/>
      <c r="GAQ195" s="3"/>
      <c r="GAR195" s="3"/>
      <c r="GAS195" s="3"/>
      <c r="GAT195" s="3"/>
      <c r="GAU195" s="3"/>
      <c r="GAV195" s="3"/>
      <c r="GAW195" s="3"/>
      <c r="GAX195" s="3"/>
      <c r="GAY195" s="3"/>
      <c r="GAZ195" s="3"/>
      <c r="GBA195" s="3"/>
      <c r="GBB195" s="3"/>
      <c r="GBC195" s="3"/>
      <c r="GBD195" s="3"/>
      <c r="GBE195" s="3"/>
      <c r="GBF195" s="3"/>
      <c r="GBG195" s="3"/>
      <c r="GBH195" s="3"/>
      <c r="GBI195" s="3"/>
      <c r="GBJ195" s="3"/>
      <c r="GBK195" s="3"/>
      <c r="GBL195" s="3"/>
      <c r="GBM195" s="3"/>
      <c r="GBN195" s="3"/>
      <c r="GBO195" s="3"/>
      <c r="GBP195" s="3"/>
      <c r="GBQ195" s="3"/>
      <c r="GBR195" s="3"/>
      <c r="GBS195" s="3"/>
      <c r="GBT195" s="3"/>
      <c r="GBU195" s="3"/>
      <c r="GBV195" s="3"/>
      <c r="GBW195" s="3"/>
      <c r="GBX195" s="3"/>
      <c r="GBY195" s="3"/>
      <c r="GBZ195" s="3"/>
      <c r="GCA195" s="3"/>
      <c r="GCB195" s="3"/>
      <c r="GCC195" s="3"/>
      <c r="GCD195" s="3"/>
      <c r="GCE195" s="3"/>
      <c r="GCF195" s="3"/>
      <c r="GCG195" s="3"/>
      <c r="GCH195" s="3"/>
      <c r="GCI195" s="3"/>
      <c r="GCJ195" s="3"/>
      <c r="GCK195" s="3"/>
      <c r="GCL195" s="3"/>
      <c r="GCM195" s="3"/>
      <c r="GCN195" s="3"/>
      <c r="GCO195" s="3"/>
      <c r="GCP195" s="3"/>
      <c r="GCQ195" s="3"/>
      <c r="GCR195" s="3"/>
      <c r="GCS195" s="3"/>
      <c r="GCT195" s="3"/>
      <c r="GCU195" s="3"/>
      <c r="GCV195" s="3"/>
      <c r="GCW195" s="3"/>
      <c r="GCX195" s="3"/>
      <c r="GCY195" s="3"/>
      <c r="GCZ195" s="3"/>
      <c r="GDA195" s="3"/>
      <c r="GDB195" s="3"/>
      <c r="GDC195" s="3"/>
      <c r="GDD195" s="3"/>
      <c r="GDE195" s="3"/>
      <c r="GDF195" s="3"/>
      <c r="GDG195" s="3"/>
      <c r="GDH195" s="3"/>
      <c r="GDI195" s="3"/>
      <c r="GDJ195" s="3"/>
      <c r="GDK195" s="3"/>
      <c r="GDL195" s="3"/>
      <c r="GDM195" s="3"/>
      <c r="GDN195" s="3"/>
      <c r="GDO195" s="3"/>
      <c r="GDP195" s="3"/>
      <c r="GDQ195" s="3"/>
      <c r="GDR195" s="3"/>
      <c r="GDS195" s="3"/>
      <c r="GDT195" s="3"/>
      <c r="GDU195" s="3"/>
      <c r="GDV195" s="3"/>
      <c r="GDW195" s="3"/>
      <c r="GDX195" s="3"/>
      <c r="GDY195" s="3"/>
      <c r="GDZ195" s="3"/>
      <c r="GEA195" s="3"/>
      <c r="GEB195" s="3"/>
      <c r="GEC195" s="3"/>
      <c r="GED195" s="3"/>
      <c r="GEE195" s="3"/>
      <c r="GEF195" s="3"/>
      <c r="GEG195" s="3"/>
      <c r="GEH195" s="3"/>
      <c r="GEI195" s="3"/>
      <c r="GEJ195" s="3"/>
      <c r="GEK195" s="3"/>
      <c r="GEL195" s="3"/>
      <c r="GEM195" s="3"/>
      <c r="GEN195" s="3"/>
      <c r="GEO195" s="3"/>
      <c r="GEP195" s="3"/>
      <c r="GEQ195" s="3"/>
      <c r="GER195" s="3"/>
      <c r="GES195" s="3"/>
      <c r="GET195" s="3"/>
      <c r="GEU195" s="3"/>
      <c r="GEV195" s="3"/>
      <c r="GEW195" s="3"/>
      <c r="GEX195" s="3"/>
      <c r="GEY195" s="3"/>
      <c r="GEZ195" s="3"/>
      <c r="GFA195" s="3"/>
      <c r="GFB195" s="3"/>
      <c r="GFC195" s="3"/>
      <c r="GFD195" s="3"/>
      <c r="GFE195" s="3"/>
      <c r="GFF195" s="3"/>
      <c r="GFG195" s="3"/>
      <c r="GFH195" s="3"/>
      <c r="GFI195" s="3"/>
      <c r="GFJ195" s="3"/>
      <c r="GFK195" s="3"/>
      <c r="GFL195" s="3"/>
      <c r="GFM195" s="3"/>
      <c r="GFN195" s="3"/>
      <c r="GFO195" s="3"/>
      <c r="GFP195" s="3"/>
      <c r="GFQ195" s="3"/>
      <c r="GFR195" s="3"/>
      <c r="GFS195" s="3"/>
      <c r="GFT195" s="3"/>
      <c r="GFU195" s="3"/>
      <c r="GFV195" s="3"/>
      <c r="GFW195" s="3"/>
      <c r="GFX195" s="3"/>
      <c r="GFY195" s="3"/>
      <c r="GFZ195" s="3"/>
      <c r="GGA195" s="3"/>
      <c r="GGB195" s="3"/>
      <c r="GGC195" s="3"/>
      <c r="GGD195" s="3"/>
      <c r="GGE195" s="3"/>
      <c r="GGF195" s="3"/>
      <c r="GGG195" s="3"/>
      <c r="GGH195" s="3"/>
      <c r="GGI195" s="3"/>
      <c r="GGJ195" s="3"/>
      <c r="GGK195" s="3"/>
      <c r="GGL195" s="3"/>
      <c r="GGM195" s="3"/>
      <c r="GGN195" s="3"/>
      <c r="GGO195" s="3"/>
      <c r="GGP195" s="3"/>
      <c r="GGQ195" s="3"/>
      <c r="GGR195" s="3"/>
      <c r="GGS195" s="3"/>
      <c r="GGT195" s="3"/>
      <c r="GGU195" s="3"/>
      <c r="GGV195" s="3"/>
      <c r="GGW195" s="3"/>
      <c r="GGX195" s="3"/>
      <c r="GGY195" s="3"/>
      <c r="GGZ195" s="3"/>
      <c r="GHA195" s="3"/>
      <c r="GHB195" s="3"/>
      <c r="GHC195" s="3"/>
      <c r="GHD195" s="3"/>
      <c r="GHE195" s="3"/>
      <c r="GHF195" s="3"/>
      <c r="GHG195" s="3"/>
      <c r="GHH195" s="3"/>
      <c r="GHI195" s="3"/>
      <c r="GHJ195" s="3"/>
      <c r="GHK195" s="3"/>
      <c r="GHL195" s="3"/>
      <c r="GHM195" s="3"/>
      <c r="GHN195" s="3"/>
      <c r="GHO195" s="3"/>
      <c r="GHP195" s="3"/>
      <c r="GHQ195" s="3"/>
      <c r="GHR195" s="3"/>
      <c r="GHS195" s="3"/>
      <c r="GHT195" s="3"/>
      <c r="GHU195" s="3"/>
      <c r="GHV195" s="3"/>
      <c r="GHW195" s="3"/>
      <c r="GHX195" s="3"/>
      <c r="GHY195" s="3"/>
      <c r="GHZ195" s="3"/>
      <c r="GIA195" s="3"/>
      <c r="GIB195" s="3"/>
      <c r="GIC195" s="3"/>
      <c r="GID195" s="3"/>
      <c r="GIE195" s="3"/>
      <c r="GIF195" s="3"/>
      <c r="GIG195" s="3"/>
      <c r="GIH195" s="3"/>
      <c r="GII195" s="3"/>
      <c r="GIJ195" s="3"/>
      <c r="GIK195" s="3"/>
      <c r="GIL195" s="3"/>
      <c r="GIM195" s="3"/>
      <c r="GIN195" s="3"/>
      <c r="GIO195" s="3"/>
      <c r="GIP195" s="3"/>
      <c r="GIQ195" s="3"/>
      <c r="GIR195" s="3"/>
      <c r="GIS195" s="3"/>
      <c r="GIT195" s="3"/>
      <c r="GIU195" s="3"/>
      <c r="GIV195" s="3"/>
      <c r="GIW195" s="3"/>
      <c r="GIX195" s="3"/>
      <c r="GIY195" s="3"/>
      <c r="GIZ195" s="3"/>
      <c r="GJA195" s="3"/>
      <c r="GJB195" s="3"/>
      <c r="GJC195" s="3"/>
      <c r="GJD195" s="3"/>
      <c r="GJE195" s="3"/>
      <c r="GJF195" s="3"/>
      <c r="GJG195" s="3"/>
      <c r="GJH195" s="3"/>
      <c r="GJI195" s="3"/>
      <c r="GJJ195" s="3"/>
      <c r="GJK195" s="3"/>
      <c r="GJL195" s="3"/>
      <c r="GJM195" s="3"/>
      <c r="GJN195" s="3"/>
      <c r="GJO195" s="3"/>
      <c r="GJP195" s="3"/>
      <c r="GJQ195" s="3"/>
      <c r="GJR195" s="3"/>
      <c r="GJS195" s="3"/>
      <c r="GJT195" s="3"/>
      <c r="GJU195" s="3"/>
      <c r="GJV195" s="3"/>
      <c r="GJW195" s="3"/>
      <c r="GJX195" s="3"/>
      <c r="GJY195" s="3"/>
      <c r="GJZ195" s="3"/>
      <c r="GKA195" s="3"/>
      <c r="GKB195" s="3"/>
      <c r="GKC195" s="3"/>
      <c r="GKD195" s="3"/>
      <c r="GKE195" s="3"/>
      <c r="GKF195" s="3"/>
      <c r="GKG195" s="3"/>
      <c r="GKH195" s="3"/>
      <c r="GKI195" s="3"/>
      <c r="GKJ195" s="3"/>
      <c r="GKK195" s="3"/>
      <c r="GKL195" s="3"/>
      <c r="GKM195" s="3"/>
      <c r="GKN195" s="3"/>
      <c r="GKO195" s="3"/>
      <c r="GKP195" s="3"/>
      <c r="GKQ195" s="3"/>
      <c r="GKR195" s="3"/>
      <c r="GKS195" s="3"/>
      <c r="GKT195" s="3"/>
      <c r="GKU195" s="3"/>
      <c r="GKV195" s="3"/>
      <c r="GKW195" s="3"/>
      <c r="GKX195" s="3"/>
      <c r="GKY195" s="3"/>
      <c r="GKZ195" s="3"/>
      <c r="GLA195" s="3"/>
      <c r="GLB195" s="3"/>
      <c r="GLC195" s="3"/>
      <c r="GLD195" s="3"/>
      <c r="GLE195" s="3"/>
      <c r="GLF195" s="3"/>
      <c r="GLG195" s="3"/>
      <c r="GLH195" s="3"/>
      <c r="GLI195" s="3"/>
      <c r="GLJ195" s="3"/>
      <c r="GLK195" s="3"/>
      <c r="GLL195" s="3"/>
      <c r="GLM195" s="3"/>
      <c r="GLN195" s="3"/>
      <c r="GLO195" s="3"/>
      <c r="GLP195" s="3"/>
      <c r="GLQ195" s="3"/>
      <c r="GLR195" s="3"/>
      <c r="GLS195" s="3"/>
      <c r="GLT195" s="3"/>
      <c r="GLU195" s="3"/>
      <c r="GLV195" s="3"/>
      <c r="GLW195" s="3"/>
      <c r="GLX195" s="3"/>
      <c r="GLY195" s="3"/>
      <c r="GLZ195" s="3"/>
      <c r="GMA195" s="3"/>
      <c r="GMB195" s="3"/>
      <c r="GMC195" s="3"/>
      <c r="GMD195" s="3"/>
      <c r="GME195" s="3"/>
      <c r="GMF195" s="3"/>
      <c r="GMG195" s="3"/>
      <c r="GMH195" s="3"/>
      <c r="GMI195" s="3"/>
      <c r="GMJ195" s="3"/>
      <c r="GMK195" s="3"/>
      <c r="GML195" s="3"/>
      <c r="GMM195" s="3"/>
      <c r="GMN195" s="3"/>
      <c r="GMO195" s="3"/>
      <c r="GMP195" s="3"/>
      <c r="GMQ195" s="3"/>
      <c r="GMR195" s="3"/>
      <c r="GMS195" s="3"/>
      <c r="GMT195" s="3"/>
      <c r="GMU195" s="3"/>
      <c r="GMV195" s="3"/>
      <c r="GMW195" s="3"/>
      <c r="GMX195" s="3"/>
      <c r="GMY195" s="3"/>
      <c r="GMZ195" s="3"/>
      <c r="GNA195" s="3"/>
      <c r="GNB195" s="3"/>
      <c r="GNC195" s="3"/>
      <c r="GND195" s="3"/>
      <c r="GNE195" s="3"/>
      <c r="GNF195" s="3"/>
      <c r="GNG195" s="3"/>
      <c r="GNH195" s="3"/>
      <c r="GNI195" s="3"/>
      <c r="GNJ195" s="3"/>
      <c r="GNK195" s="3"/>
      <c r="GNL195" s="3"/>
      <c r="GNM195" s="3"/>
      <c r="GNN195" s="3"/>
      <c r="GNO195" s="3"/>
      <c r="GNP195" s="3"/>
      <c r="GNQ195" s="3"/>
      <c r="GNR195" s="3"/>
      <c r="GNS195" s="3"/>
      <c r="GNT195" s="3"/>
      <c r="GNU195" s="3"/>
      <c r="GNV195" s="3"/>
      <c r="GNW195" s="3"/>
      <c r="GNX195" s="3"/>
      <c r="GNY195" s="3"/>
      <c r="GNZ195" s="3"/>
      <c r="GOA195" s="3"/>
      <c r="GOB195" s="3"/>
      <c r="GOC195" s="3"/>
      <c r="GOD195" s="3"/>
      <c r="GOE195" s="3"/>
      <c r="GOF195" s="3"/>
      <c r="GOG195" s="3"/>
      <c r="GOH195" s="3"/>
      <c r="GOI195" s="3"/>
      <c r="GOJ195" s="3"/>
      <c r="GOK195" s="3"/>
      <c r="GOL195" s="3"/>
      <c r="GOM195" s="3"/>
      <c r="GON195" s="3"/>
      <c r="GOO195" s="3"/>
      <c r="GOP195" s="3"/>
      <c r="GOQ195" s="3"/>
      <c r="GOR195" s="3"/>
      <c r="GOS195" s="3"/>
      <c r="GOT195" s="3"/>
      <c r="GOU195" s="3"/>
      <c r="GOV195" s="3"/>
      <c r="GOW195" s="3"/>
      <c r="GOX195" s="3"/>
      <c r="GOY195" s="3"/>
      <c r="GOZ195" s="3"/>
      <c r="GPA195" s="3"/>
      <c r="GPB195" s="3"/>
      <c r="GPC195" s="3"/>
      <c r="GPD195" s="3"/>
      <c r="GPE195" s="3"/>
      <c r="GPF195" s="3"/>
      <c r="GPG195" s="3"/>
      <c r="GPH195" s="3"/>
      <c r="GPI195" s="3"/>
      <c r="GPJ195" s="3"/>
      <c r="GPK195" s="3"/>
      <c r="GPL195" s="3"/>
      <c r="GPM195" s="3"/>
      <c r="GPN195" s="3"/>
      <c r="GPO195" s="3"/>
      <c r="GPP195" s="3"/>
      <c r="GPQ195" s="3"/>
      <c r="GPR195" s="3"/>
      <c r="GPS195" s="3"/>
      <c r="GPT195" s="3"/>
      <c r="GPU195" s="3"/>
      <c r="GPV195" s="3"/>
      <c r="GPW195" s="3"/>
      <c r="GPX195" s="3"/>
      <c r="GPY195" s="3"/>
      <c r="GPZ195" s="3"/>
      <c r="GQA195" s="3"/>
      <c r="GQB195" s="3"/>
      <c r="GQC195" s="3"/>
      <c r="GQD195" s="3"/>
      <c r="GQE195" s="3"/>
      <c r="GQF195" s="3"/>
      <c r="GQG195" s="3"/>
      <c r="GQH195" s="3"/>
      <c r="GQI195" s="3"/>
      <c r="GQJ195" s="3"/>
      <c r="GQK195" s="3"/>
      <c r="GQL195" s="3"/>
      <c r="GQM195" s="3"/>
      <c r="GQN195" s="3"/>
      <c r="GQO195" s="3"/>
      <c r="GQP195" s="3"/>
      <c r="GQQ195" s="3"/>
      <c r="GQR195" s="3"/>
      <c r="GQS195" s="3"/>
      <c r="GQT195" s="3"/>
      <c r="GQU195" s="3"/>
      <c r="GQV195" s="3"/>
      <c r="GQW195" s="3"/>
      <c r="GQX195" s="3"/>
      <c r="GQY195" s="3"/>
      <c r="GQZ195" s="3"/>
      <c r="GRA195" s="3"/>
      <c r="GRB195" s="3"/>
      <c r="GRC195" s="3"/>
      <c r="GRD195" s="3"/>
      <c r="GRE195" s="3"/>
      <c r="GRF195" s="3"/>
      <c r="GRG195" s="3"/>
      <c r="GRH195" s="3"/>
      <c r="GRI195" s="3"/>
      <c r="GRJ195" s="3"/>
      <c r="GRK195" s="3"/>
      <c r="GRL195" s="3"/>
      <c r="GRM195" s="3"/>
      <c r="GRN195" s="3"/>
      <c r="GRO195" s="3"/>
      <c r="GRP195" s="3"/>
      <c r="GRQ195" s="3"/>
      <c r="GRR195" s="3"/>
      <c r="GRS195" s="3"/>
      <c r="GRT195" s="3"/>
      <c r="GRU195" s="3"/>
      <c r="GRV195" s="3"/>
      <c r="GRW195" s="3"/>
      <c r="GRX195" s="3"/>
      <c r="GRY195" s="3"/>
      <c r="GRZ195" s="3"/>
      <c r="GSA195" s="3"/>
      <c r="GSB195" s="3"/>
      <c r="GSC195" s="3"/>
      <c r="GSD195" s="3"/>
      <c r="GSE195" s="3"/>
      <c r="GSF195" s="3"/>
      <c r="GSG195" s="3"/>
      <c r="GSH195" s="3"/>
      <c r="GSI195" s="3"/>
      <c r="GSJ195" s="3"/>
      <c r="GSK195" s="3"/>
      <c r="GSL195" s="3"/>
      <c r="GSM195" s="3"/>
      <c r="GSN195" s="3"/>
      <c r="GSO195" s="3"/>
      <c r="GSP195" s="3"/>
      <c r="GSQ195" s="3"/>
      <c r="GSR195" s="3"/>
      <c r="GSS195" s="3"/>
      <c r="GST195" s="3"/>
      <c r="GSU195" s="3"/>
      <c r="GSV195" s="3"/>
      <c r="GSW195" s="3"/>
      <c r="GSX195" s="3"/>
      <c r="GSY195" s="3"/>
      <c r="GSZ195" s="3"/>
      <c r="GTA195" s="3"/>
      <c r="GTB195" s="3"/>
      <c r="GTC195" s="3"/>
      <c r="GTD195" s="3"/>
      <c r="GTE195" s="3"/>
      <c r="GTF195" s="3"/>
      <c r="GTG195" s="3"/>
      <c r="GTH195" s="3"/>
      <c r="GTI195" s="3"/>
      <c r="GTJ195" s="3"/>
      <c r="GTK195" s="3"/>
      <c r="GTL195" s="3"/>
      <c r="GTM195" s="3"/>
      <c r="GTN195" s="3"/>
      <c r="GTO195" s="3"/>
      <c r="GTP195" s="3"/>
      <c r="GTQ195" s="3"/>
      <c r="GTR195" s="3"/>
      <c r="GTS195" s="3"/>
      <c r="GTT195" s="3"/>
      <c r="GTU195" s="3"/>
      <c r="GTV195" s="3"/>
      <c r="GTW195" s="3"/>
      <c r="GTX195" s="3"/>
      <c r="GTY195" s="3"/>
      <c r="GTZ195" s="3"/>
      <c r="GUA195" s="3"/>
      <c r="GUB195" s="3"/>
      <c r="GUC195" s="3"/>
      <c r="GUD195" s="3"/>
      <c r="GUE195" s="3"/>
      <c r="GUF195" s="3"/>
      <c r="GUG195" s="3"/>
      <c r="GUH195" s="3"/>
      <c r="GUI195" s="3"/>
      <c r="GUJ195" s="3"/>
      <c r="GUK195" s="3"/>
      <c r="GUL195" s="3"/>
      <c r="GUM195" s="3"/>
      <c r="GUN195" s="3"/>
      <c r="GUO195" s="3"/>
      <c r="GUP195" s="3"/>
      <c r="GUQ195" s="3"/>
      <c r="GUR195" s="3"/>
      <c r="GUS195" s="3"/>
      <c r="GUT195" s="3"/>
      <c r="GUU195" s="3"/>
      <c r="GUV195" s="3"/>
      <c r="GUW195" s="3"/>
      <c r="GUX195" s="3"/>
      <c r="GUY195" s="3"/>
      <c r="GUZ195" s="3"/>
      <c r="GVA195" s="3"/>
      <c r="GVB195" s="3"/>
      <c r="GVC195" s="3"/>
      <c r="GVD195" s="3"/>
      <c r="GVE195" s="3"/>
      <c r="GVF195" s="3"/>
      <c r="GVG195" s="3"/>
      <c r="GVH195" s="3"/>
      <c r="GVI195" s="3"/>
      <c r="GVJ195" s="3"/>
      <c r="GVK195" s="3"/>
      <c r="GVL195" s="3"/>
      <c r="GVM195" s="3"/>
      <c r="GVN195" s="3"/>
      <c r="GVO195" s="3"/>
      <c r="GVP195" s="3"/>
      <c r="GVQ195" s="3"/>
      <c r="GVR195" s="3"/>
      <c r="GVS195" s="3"/>
      <c r="GVT195" s="3"/>
      <c r="GVU195" s="3"/>
      <c r="GVV195" s="3"/>
      <c r="GVW195" s="3"/>
      <c r="GVX195" s="3"/>
      <c r="GVY195" s="3"/>
      <c r="GVZ195" s="3"/>
      <c r="GWA195" s="3"/>
      <c r="GWB195" s="3"/>
      <c r="GWC195" s="3"/>
      <c r="GWD195" s="3"/>
      <c r="GWE195" s="3"/>
      <c r="GWF195" s="3"/>
      <c r="GWG195" s="3"/>
      <c r="GWH195" s="3"/>
      <c r="GWI195" s="3"/>
      <c r="GWJ195" s="3"/>
      <c r="GWK195" s="3"/>
      <c r="GWL195" s="3"/>
      <c r="GWM195" s="3"/>
      <c r="GWN195" s="3"/>
      <c r="GWO195" s="3"/>
      <c r="GWP195" s="3"/>
      <c r="GWQ195" s="3"/>
      <c r="GWR195" s="3"/>
      <c r="GWS195" s="3"/>
      <c r="GWT195" s="3"/>
      <c r="GWU195" s="3"/>
      <c r="GWV195" s="3"/>
      <c r="GWW195" s="3"/>
      <c r="GWX195" s="3"/>
      <c r="GWY195" s="3"/>
      <c r="GWZ195" s="3"/>
      <c r="GXA195" s="3"/>
      <c r="GXB195" s="3"/>
      <c r="GXC195" s="3"/>
      <c r="GXD195" s="3"/>
      <c r="GXE195" s="3"/>
      <c r="GXF195" s="3"/>
      <c r="GXG195" s="3"/>
      <c r="GXH195" s="3"/>
      <c r="GXI195" s="3"/>
      <c r="GXJ195" s="3"/>
      <c r="GXK195" s="3"/>
      <c r="GXL195" s="3"/>
      <c r="GXM195" s="3"/>
      <c r="GXN195" s="3"/>
      <c r="GXO195" s="3"/>
      <c r="GXP195" s="3"/>
      <c r="GXQ195" s="3"/>
      <c r="GXR195" s="3"/>
      <c r="GXS195" s="3"/>
      <c r="GXT195" s="3"/>
      <c r="GXU195" s="3"/>
      <c r="GXV195" s="3"/>
      <c r="GXW195" s="3"/>
      <c r="GXX195" s="3"/>
      <c r="GXY195" s="3"/>
      <c r="GXZ195" s="3"/>
      <c r="GYA195" s="3"/>
      <c r="GYB195" s="3"/>
      <c r="GYC195" s="3"/>
      <c r="GYD195" s="3"/>
      <c r="GYE195" s="3"/>
      <c r="GYF195" s="3"/>
      <c r="GYG195" s="3"/>
      <c r="GYH195" s="3"/>
      <c r="GYI195" s="3"/>
      <c r="GYJ195" s="3"/>
      <c r="GYK195" s="3"/>
      <c r="GYL195" s="3"/>
      <c r="GYM195" s="3"/>
      <c r="GYN195" s="3"/>
      <c r="GYO195" s="3"/>
      <c r="GYP195" s="3"/>
      <c r="GYQ195" s="3"/>
      <c r="GYR195" s="3"/>
      <c r="GYS195" s="3"/>
      <c r="GYT195" s="3"/>
      <c r="GYU195" s="3"/>
      <c r="GYV195" s="3"/>
      <c r="GYW195" s="3"/>
      <c r="GYX195" s="3"/>
      <c r="GYY195" s="3"/>
      <c r="GYZ195" s="3"/>
      <c r="GZA195" s="3"/>
      <c r="GZB195" s="3"/>
      <c r="GZC195" s="3"/>
      <c r="GZD195" s="3"/>
      <c r="GZE195" s="3"/>
      <c r="GZF195" s="3"/>
      <c r="GZG195" s="3"/>
      <c r="GZH195" s="3"/>
      <c r="GZI195" s="3"/>
      <c r="GZJ195" s="3"/>
      <c r="GZK195" s="3"/>
      <c r="GZL195" s="3"/>
      <c r="GZM195" s="3"/>
      <c r="GZN195" s="3"/>
      <c r="GZO195" s="3"/>
      <c r="GZP195" s="3"/>
      <c r="GZQ195" s="3"/>
      <c r="GZR195" s="3"/>
      <c r="GZS195" s="3"/>
      <c r="GZT195" s="3"/>
      <c r="GZU195" s="3"/>
      <c r="GZV195" s="3"/>
      <c r="GZW195" s="3"/>
      <c r="GZX195" s="3"/>
      <c r="GZY195" s="3"/>
      <c r="GZZ195" s="3"/>
      <c r="HAA195" s="3"/>
      <c r="HAB195" s="3"/>
      <c r="HAC195" s="3"/>
      <c r="HAD195" s="3"/>
      <c r="HAE195" s="3"/>
      <c r="HAF195" s="3"/>
      <c r="HAG195" s="3"/>
      <c r="HAH195" s="3"/>
      <c r="HAI195" s="3"/>
      <c r="HAJ195" s="3"/>
      <c r="HAK195" s="3"/>
      <c r="HAL195" s="3"/>
      <c r="HAM195" s="3"/>
      <c r="HAN195" s="3"/>
      <c r="HAO195" s="3"/>
      <c r="HAP195" s="3"/>
      <c r="HAQ195" s="3"/>
      <c r="HAR195" s="3"/>
      <c r="HAS195" s="3"/>
      <c r="HAT195" s="3"/>
      <c r="HAU195" s="3"/>
      <c r="HAV195" s="3"/>
      <c r="HAW195" s="3"/>
      <c r="HAX195" s="3"/>
      <c r="HAY195" s="3"/>
      <c r="HAZ195" s="3"/>
      <c r="HBA195" s="3"/>
      <c r="HBB195" s="3"/>
      <c r="HBC195" s="3"/>
      <c r="HBD195" s="3"/>
      <c r="HBE195" s="3"/>
      <c r="HBF195" s="3"/>
      <c r="HBG195" s="3"/>
      <c r="HBH195" s="3"/>
      <c r="HBI195" s="3"/>
      <c r="HBJ195" s="3"/>
      <c r="HBK195" s="3"/>
      <c r="HBL195" s="3"/>
      <c r="HBM195" s="3"/>
      <c r="HBN195" s="3"/>
      <c r="HBO195" s="3"/>
      <c r="HBP195" s="3"/>
      <c r="HBQ195" s="3"/>
      <c r="HBR195" s="3"/>
      <c r="HBS195" s="3"/>
      <c r="HBT195" s="3"/>
      <c r="HBU195" s="3"/>
      <c r="HBV195" s="3"/>
      <c r="HBW195" s="3"/>
      <c r="HBX195" s="3"/>
      <c r="HBY195" s="3"/>
      <c r="HBZ195" s="3"/>
      <c r="HCA195" s="3"/>
      <c r="HCB195" s="3"/>
      <c r="HCC195" s="3"/>
      <c r="HCD195" s="3"/>
      <c r="HCE195" s="3"/>
      <c r="HCF195" s="3"/>
      <c r="HCG195" s="3"/>
      <c r="HCH195" s="3"/>
      <c r="HCI195" s="3"/>
      <c r="HCJ195" s="3"/>
      <c r="HCK195" s="3"/>
      <c r="HCL195" s="3"/>
      <c r="HCM195" s="3"/>
      <c r="HCN195" s="3"/>
      <c r="HCO195" s="3"/>
      <c r="HCP195" s="3"/>
      <c r="HCQ195" s="3"/>
      <c r="HCR195" s="3"/>
      <c r="HCS195" s="3"/>
      <c r="HCT195" s="3"/>
      <c r="HCU195" s="3"/>
      <c r="HCV195" s="3"/>
      <c r="HCW195" s="3"/>
      <c r="HCX195" s="3"/>
      <c r="HCY195" s="3"/>
      <c r="HCZ195" s="3"/>
      <c r="HDA195" s="3"/>
      <c r="HDB195" s="3"/>
      <c r="HDC195" s="3"/>
      <c r="HDD195" s="3"/>
      <c r="HDE195" s="3"/>
      <c r="HDF195" s="3"/>
      <c r="HDG195" s="3"/>
      <c r="HDH195" s="3"/>
      <c r="HDI195" s="3"/>
      <c r="HDJ195" s="3"/>
      <c r="HDK195" s="3"/>
      <c r="HDL195" s="3"/>
      <c r="HDM195" s="3"/>
      <c r="HDN195" s="3"/>
      <c r="HDO195" s="3"/>
      <c r="HDP195" s="3"/>
      <c r="HDQ195" s="3"/>
      <c r="HDR195" s="3"/>
      <c r="HDS195" s="3"/>
      <c r="HDT195" s="3"/>
      <c r="HDU195" s="3"/>
      <c r="HDV195" s="3"/>
      <c r="HDW195" s="3"/>
      <c r="HDX195" s="3"/>
      <c r="HDY195" s="3"/>
      <c r="HDZ195" s="3"/>
      <c r="HEA195" s="3"/>
      <c r="HEB195" s="3"/>
      <c r="HEC195" s="3"/>
      <c r="HED195" s="3"/>
      <c r="HEE195" s="3"/>
      <c r="HEF195" s="3"/>
      <c r="HEG195" s="3"/>
      <c r="HEH195" s="3"/>
      <c r="HEI195" s="3"/>
      <c r="HEJ195" s="3"/>
      <c r="HEK195" s="3"/>
      <c r="HEL195" s="3"/>
      <c r="HEM195" s="3"/>
      <c r="HEN195" s="3"/>
      <c r="HEO195" s="3"/>
      <c r="HEP195" s="3"/>
      <c r="HEQ195" s="3"/>
      <c r="HER195" s="3"/>
      <c r="HES195" s="3"/>
      <c r="HET195" s="3"/>
      <c r="HEU195" s="3"/>
      <c r="HEV195" s="3"/>
      <c r="HEW195" s="3"/>
      <c r="HEX195" s="3"/>
      <c r="HEY195" s="3"/>
      <c r="HEZ195" s="3"/>
      <c r="HFA195" s="3"/>
      <c r="HFB195" s="3"/>
      <c r="HFC195" s="3"/>
      <c r="HFD195" s="3"/>
      <c r="HFE195" s="3"/>
      <c r="HFF195" s="3"/>
      <c r="HFG195" s="3"/>
      <c r="HFH195" s="3"/>
      <c r="HFI195" s="3"/>
      <c r="HFJ195" s="3"/>
      <c r="HFK195" s="3"/>
      <c r="HFL195" s="3"/>
      <c r="HFM195" s="3"/>
      <c r="HFN195" s="3"/>
      <c r="HFO195" s="3"/>
      <c r="HFP195" s="3"/>
      <c r="HFQ195" s="3"/>
      <c r="HFR195" s="3"/>
      <c r="HFS195" s="3"/>
      <c r="HFT195" s="3"/>
      <c r="HFU195" s="3"/>
      <c r="HFV195" s="3"/>
      <c r="HFW195" s="3"/>
      <c r="HFX195" s="3"/>
      <c r="HFY195" s="3"/>
      <c r="HFZ195" s="3"/>
      <c r="HGA195" s="3"/>
      <c r="HGB195" s="3"/>
      <c r="HGC195" s="3"/>
      <c r="HGD195" s="3"/>
      <c r="HGE195" s="3"/>
      <c r="HGF195" s="3"/>
      <c r="HGG195" s="3"/>
      <c r="HGH195" s="3"/>
      <c r="HGI195" s="3"/>
      <c r="HGJ195" s="3"/>
      <c r="HGK195" s="3"/>
      <c r="HGL195" s="3"/>
      <c r="HGM195" s="3"/>
      <c r="HGN195" s="3"/>
      <c r="HGO195" s="3"/>
      <c r="HGP195" s="3"/>
      <c r="HGQ195" s="3"/>
      <c r="HGR195" s="3"/>
      <c r="HGS195" s="3"/>
      <c r="HGT195" s="3"/>
      <c r="HGU195" s="3"/>
      <c r="HGV195" s="3"/>
      <c r="HGW195" s="3"/>
      <c r="HGX195" s="3"/>
      <c r="HGY195" s="3"/>
      <c r="HGZ195" s="3"/>
      <c r="HHA195" s="3"/>
      <c r="HHB195" s="3"/>
      <c r="HHC195" s="3"/>
      <c r="HHD195" s="3"/>
      <c r="HHE195" s="3"/>
      <c r="HHF195" s="3"/>
      <c r="HHG195" s="3"/>
      <c r="HHH195" s="3"/>
      <c r="HHI195" s="3"/>
      <c r="HHJ195" s="3"/>
      <c r="HHK195" s="3"/>
      <c r="HHL195" s="3"/>
      <c r="HHM195" s="3"/>
      <c r="HHN195" s="3"/>
      <c r="HHO195" s="3"/>
      <c r="HHP195" s="3"/>
      <c r="HHQ195" s="3"/>
      <c r="HHR195" s="3"/>
      <c r="HHS195" s="3"/>
      <c r="HHT195" s="3"/>
      <c r="HHU195" s="3"/>
      <c r="HHV195" s="3"/>
      <c r="HHW195" s="3"/>
      <c r="HHX195" s="3"/>
      <c r="HHY195" s="3"/>
      <c r="HHZ195" s="3"/>
      <c r="HIA195" s="3"/>
      <c r="HIB195" s="3"/>
      <c r="HIC195" s="3"/>
      <c r="HID195" s="3"/>
      <c r="HIE195" s="3"/>
      <c r="HIF195" s="3"/>
      <c r="HIG195" s="3"/>
      <c r="HIH195" s="3"/>
      <c r="HII195" s="3"/>
      <c r="HIJ195" s="3"/>
      <c r="HIK195" s="3"/>
      <c r="HIL195" s="3"/>
      <c r="HIM195" s="3"/>
      <c r="HIN195" s="3"/>
      <c r="HIO195" s="3"/>
      <c r="HIP195" s="3"/>
      <c r="HIQ195" s="3"/>
      <c r="HIR195" s="3"/>
      <c r="HIS195" s="3"/>
      <c r="HIT195" s="3"/>
      <c r="HIU195" s="3"/>
      <c r="HIV195" s="3"/>
      <c r="HIW195" s="3"/>
      <c r="HIX195" s="3"/>
      <c r="HIY195" s="3"/>
      <c r="HIZ195" s="3"/>
      <c r="HJA195" s="3"/>
      <c r="HJB195" s="3"/>
      <c r="HJC195" s="3"/>
      <c r="HJD195" s="3"/>
      <c r="HJE195" s="3"/>
      <c r="HJF195" s="3"/>
      <c r="HJG195" s="3"/>
      <c r="HJH195" s="3"/>
      <c r="HJI195" s="3"/>
      <c r="HJJ195" s="3"/>
      <c r="HJK195" s="3"/>
      <c r="HJL195" s="3"/>
      <c r="HJM195" s="3"/>
      <c r="HJN195" s="3"/>
      <c r="HJO195" s="3"/>
      <c r="HJP195" s="3"/>
      <c r="HJQ195" s="3"/>
      <c r="HJR195" s="3"/>
      <c r="HJS195" s="3"/>
      <c r="HJT195" s="3"/>
      <c r="HJU195" s="3"/>
      <c r="HJV195" s="3"/>
      <c r="HJW195" s="3"/>
      <c r="HJX195" s="3"/>
      <c r="HJY195" s="3"/>
      <c r="HJZ195" s="3"/>
      <c r="HKA195" s="3"/>
      <c r="HKB195" s="3"/>
      <c r="HKC195" s="3"/>
      <c r="HKD195" s="3"/>
      <c r="HKE195" s="3"/>
      <c r="HKF195" s="3"/>
      <c r="HKG195" s="3"/>
      <c r="HKH195" s="3"/>
      <c r="HKI195" s="3"/>
      <c r="HKJ195" s="3"/>
      <c r="HKK195" s="3"/>
      <c r="HKL195" s="3"/>
      <c r="HKM195" s="3"/>
      <c r="HKN195" s="3"/>
      <c r="HKO195" s="3"/>
      <c r="HKP195" s="3"/>
      <c r="HKQ195" s="3"/>
      <c r="HKR195" s="3"/>
      <c r="HKS195" s="3"/>
      <c r="HKT195" s="3"/>
      <c r="HKU195" s="3"/>
      <c r="HKV195" s="3"/>
      <c r="HKW195" s="3"/>
      <c r="HKX195" s="3"/>
      <c r="HKY195" s="3"/>
      <c r="HKZ195" s="3"/>
      <c r="HLA195" s="3"/>
      <c r="HLB195" s="3"/>
      <c r="HLC195" s="3"/>
      <c r="HLD195" s="3"/>
      <c r="HLE195" s="3"/>
      <c r="HLF195" s="3"/>
      <c r="HLG195" s="3"/>
      <c r="HLH195" s="3"/>
      <c r="HLI195" s="3"/>
      <c r="HLJ195" s="3"/>
      <c r="HLK195" s="3"/>
      <c r="HLL195" s="3"/>
      <c r="HLM195" s="3"/>
      <c r="HLN195" s="3"/>
      <c r="HLO195" s="3"/>
      <c r="HLP195" s="3"/>
      <c r="HLQ195" s="3"/>
      <c r="HLR195" s="3"/>
      <c r="HLS195" s="3"/>
      <c r="HLT195" s="3"/>
      <c r="HLU195" s="3"/>
      <c r="HLV195" s="3"/>
      <c r="HLW195" s="3"/>
      <c r="HLX195" s="3"/>
      <c r="HLY195" s="3"/>
      <c r="HLZ195" s="3"/>
      <c r="HMA195" s="3"/>
      <c r="HMB195" s="3"/>
      <c r="HMC195" s="3"/>
      <c r="HMD195" s="3"/>
      <c r="HME195" s="3"/>
      <c r="HMF195" s="3"/>
      <c r="HMG195" s="3"/>
      <c r="HMH195" s="3"/>
      <c r="HMI195" s="3"/>
      <c r="HMJ195" s="3"/>
      <c r="HMK195" s="3"/>
      <c r="HML195" s="3"/>
      <c r="HMM195" s="3"/>
      <c r="HMN195" s="3"/>
      <c r="HMO195" s="3"/>
      <c r="HMP195" s="3"/>
      <c r="HMQ195" s="3"/>
      <c r="HMR195" s="3"/>
      <c r="HMS195" s="3"/>
      <c r="HMT195" s="3"/>
      <c r="HMU195" s="3"/>
      <c r="HMV195" s="3"/>
      <c r="HMW195" s="3"/>
      <c r="HMX195" s="3"/>
      <c r="HMY195" s="3"/>
      <c r="HMZ195" s="3"/>
      <c r="HNA195" s="3"/>
      <c r="HNB195" s="3"/>
      <c r="HNC195" s="3"/>
      <c r="HND195" s="3"/>
      <c r="HNE195" s="3"/>
      <c r="HNF195" s="3"/>
      <c r="HNG195" s="3"/>
      <c r="HNH195" s="3"/>
      <c r="HNI195" s="3"/>
      <c r="HNJ195" s="3"/>
      <c r="HNK195" s="3"/>
      <c r="HNL195" s="3"/>
      <c r="HNM195" s="3"/>
      <c r="HNN195" s="3"/>
      <c r="HNO195" s="3"/>
      <c r="HNP195" s="3"/>
      <c r="HNQ195" s="3"/>
      <c r="HNR195" s="3"/>
      <c r="HNS195" s="3"/>
      <c r="HNT195" s="3"/>
      <c r="HNU195" s="3"/>
      <c r="HNV195" s="3"/>
      <c r="HNW195" s="3"/>
      <c r="HNX195" s="3"/>
      <c r="HNY195" s="3"/>
      <c r="HNZ195" s="3"/>
      <c r="HOA195" s="3"/>
      <c r="HOB195" s="3"/>
      <c r="HOC195" s="3"/>
      <c r="HOD195" s="3"/>
      <c r="HOE195" s="3"/>
      <c r="HOF195" s="3"/>
      <c r="HOG195" s="3"/>
      <c r="HOH195" s="3"/>
      <c r="HOI195" s="3"/>
      <c r="HOJ195" s="3"/>
      <c r="HOK195" s="3"/>
      <c r="HOL195" s="3"/>
      <c r="HOM195" s="3"/>
      <c r="HON195" s="3"/>
      <c r="HOO195" s="3"/>
      <c r="HOP195" s="3"/>
      <c r="HOQ195" s="3"/>
      <c r="HOR195" s="3"/>
      <c r="HOS195" s="3"/>
      <c r="HOT195" s="3"/>
      <c r="HOU195" s="3"/>
      <c r="HOV195" s="3"/>
      <c r="HOW195" s="3"/>
      <c r="HOX195" s="3"/>
      <c r="HOY195" s="3"/>
      <c r="HOZ195" s="3"/>
      <c r="HPA195" s="3"/>
      <c r="HPB195" s="3"/>
      <c r="HPC195" s="3"/>
      <c r="HPD195" s="3"/>
      <c r="HPE195" s="3"/>
      <c r="HPF195" s="3"/>
      <c r="HPG195" s="3"/>
      <c r="HPH195" s="3"/>
      <c r="HPI195" s="3"/>
      <c r="HPJ195" s="3"/>
      <c r="HPK195" s="3"/>
      <c r="HPL195" s="3"/>
      <c r="HPM195" s="3"/>
      <c r="HPN195" s="3"/>
      <c r="HPO195" s="3"/>
      <c r="HPP195" s="3"/>
      <c r="HPQ195" s="3"/>
      <c r="HPR195" s="3"/>
      <c r="HPS195" s="3"/>
      <c r="HPT195" s="3"/>
      <c r="HPU195" s="3"/>
      <c r="HPV195" s="3"/>
      <c r="HPW195" s="3"/>
      <c r="HPX195" s="3"/>
      <c r="HPY195" s="3"/>
      <c r="HPZ195" s="3"/>
      <c r="HQA195" s="3"/>
      <c r="HQB195" s="3"/>
      <c r="HQC195" s="3"/>
      <c r="HQD195" s="3"/>
      <c r="HQE195" s="3"/>
      <c r="HQF195" s="3"/>
      <c r="HQG195" s="3"/>
      <c r="HQH195" s="3"/>
      <c r="HQI195" s="3"/>
      <c r="HQJ195" s="3"/>
      <c r="HQK195" s="3"/>
      <c r="HQL195" s="3"/>
      <c r="HQM195" s="3"/>
      <c r="HQN195" s="3"/>
      <c r="HQO195" s="3"/>
      <c r="HQP195" s="3"/>
      <c r="HQQ195" s="3"/>
      <c r="HQR195" s="3"/>
      <c r="HQS195" s="3"/>
      <c r="HQT195" s="3"/>
      <c r="HQU195" s="3"/>
      <c r="HQV195" s="3"/>
      <c r="HQW195" s="3"/>
      <c r="HQX195" s="3"/>
      <c r="HQY195" s="3"/>
      <c r="HQZ195" s="3"/>
      <c r="HRA195" s="3"/>
      <c r="HRB195" s="3"/>
      <c r="HRC195" s="3"/>
      <c r="HRD195" s="3"/>
      <c r="HRE195" s="3"/>
      <c r="HRF195" s="3"/>
      <c r="HRG195" s="3"/>
      <c r="HRH195" s="3"/>
      <c r="HRI195" s="3"/>
      <c r="HRJ195" s="3"/>
      <c r="HRK195" s="3"/>
      <c r="HRL195" s="3"/>
      <c r="HRM195" s="3"/>
      <c r="HRN195" s="3"/>
      <c r="HRO195" s="3"/>
      <c r="HRP195" s="3"/>
      <c r="HRQ195" s="3"/>
      <c r="HRR195" s="3"/>
      <c r="HRS195" s="3"/>
      <c r="HRT195" s="3"/>
      <c r="HRU195" s="3"/>
      <c r="HRV195" s="3"/>
      <c r="HRW195" s="3"/>
      <c r="HRX195" s="3"/>
      <c r="HRY195" s="3"/>
      <c r="HRZ195" s="3"/>
      <c r="HSA195" s="3"/>
      <c r="HSB195" s="3"/>
      <c r="HSC195" s="3"/>
      <c r="HSD195" s="3"/>
      <c r="HSE195" s="3"/>
      <c r="HSF195" s="3"/>
      <c r="HSG195" s="3"/>
      <c r="HSH195" s="3"/>
      <c r="HSI195" s="3"/>
      <c r="HSJ195" s="3"/>
      <c r="HSK195" s="3"/>
      <c r="HSL195" s="3"/>
      <c r="HSM195" s="3"/>
      <c r="HSN195" s="3"/>
      <c r="HSO195" s="3"/>
      <c r="HSP195" s="3"/>
      <c r="HSQ195" s="3"/>
      <c r="HSR195" s="3"/>
      <c r="HSS195" s="3"/>
      <c r="HST195" s="3"/>
      <c r="HSU195" s="3"/>
      <c r="HSV195" s="3"/>
      <c r="HSW195" s="3"/>
      <c r="HSX195" s="3"/>
      <c r="HSY195" s="3"/>
      <c r="HSZ195" s="3"/>
      <c r="HTA195" s="3"/>
      <c r="HTB195" s="3"/>
      <c r="HTC195" s="3"/>
      <c r="HTD195" s="3"/>
      <c r="HTE195" s="3"/>
      <c r="HTF195" s="3"/>
      <c r="HTG195" s="3"/>
      <c r="HTH195" s="3"/>
      <c r="HTI195" s="3"/>
      <c r="HTJ195" s="3"/>
      <c r="HTK195" s="3"/>
      <c r="HTL195" s="3"/>
      <c r="HTM195" s="3"/>
      <c r="HTN195" s="3"/>
      <c r="HTO195" s="3"/>
      <c r="HTP195" s="3"/>
      <c r="HTQ195" s="3"/>
      <c r="HTR195" s="3"/>
      <c r="HTS195" s="3"/>
      <c r="HTT195" s="3"/>
      <c r="HTU195" s="3"/>
      <c r="HTV195" s="3"/>
      <c r="HTW195" s="3"/>
      <c r="HTX195" s="3"/>
      <c r="HTY195" s="3"/>
      <c r="HTZ195" s="3"/>
      <c r="HUA195" s="3"/>
      <c r="HUB195" s="3"/>
      <c r="HUC195" s="3"/>
      <c r="HUD195" s="3"/>
      <c r="HUE195" s="3"/>
      <c r="HUF195" s="3"/>
      <c r="HUG195" s="3"/>
      <c r="HUH195" s="3"/>
      <c r="HUI195" s="3"/>
      <c r="HUJ195" s="3"/>
      <c r="HUK195" s="3"/>
      <c r="HUL195" s="3"/>
      <c r="HUM195" s="3"/>
      <c r="HUN195" s="3"/>
      <c r="HUO195" s="3"/>
      <c r="HUP195" s="3"/>
      <c r="HUQ195" s="3"/>
      <c r="HUR195" s="3"/>
      <c r="HUS195" s="3"/>
      <c r="HUT195" s="3"/>
      <c r="HUU195" s="3"/>
      <c r="HUV195" s="3"/>
      <c r="HUW195" s="3"/>
      <c r="HUX195" s="3"/>
      <c r="HUY195" s="3"/>
      <c r="HUZ195" s="3"/>
      <c r="HVA195" s="3"/>
      <c r="HVB195" s="3"/>
      <c r="HVC195" s="3"/>
      <c r="HVD195" s="3"/>
      <c r="HVE195" s="3"/>
      <c r="HVF195" s="3"/>
      <c r="HVG195" s="3"/>
      <c r="HVH195" s="3"/>
      <c r="HVI195" s="3"/>
      <c r="HVJ195" s="3"/>
      <c r="HVK195" s="3"/>
      <c r="HVL195" s="3"/>
      <c r="HVM195" s="3"/>
      <c r="HVN195" s="3"/>
      <c r="HVO195" s="3"/>
      <c r="HVP195" s="3"/>
      <c r="HVQ195" s="3"/>
      <c r="HVR195" s="3"/>
      <c r="HVS195" s="3"/>
      <c r="HVT195" s="3"/>
      <c r="HVU195" s="3"/>
      <c r="HVV195" s="3"/>
      <c r="HVW195" s="3"/>
      <c r="HVX195" s="3"/>
      <c r="HVY195" s="3"/>
      <c r="HVZ195" s="3"/>
      <c r="HWA195" s="3"/>
      <c r="HWB195" s="3"/>
      <c r="HWC195" s="3"/>
      <c r="HWD195" s="3"/>
      <c r="HWE195" s="3"/>
      <c r="HWF195" s="3"/>
      <c r="HWG195" s="3"/>
      <c r="HWH195" s="3"/>
      <c r="HWI195" s="3"/>
      <c r="HWJ195" s="3"/>
      <c r="HWK195" s="3"/>
      <c r="HWL195" s="3"/>
      <c r="HWM195" s="3"/>
      <c r="HWN195" s="3"/>
      <c r="HWO195" s="3"/>
      <c r="HWP195" s="3"/>
      <c r="HWQ195" s="3"/>
      <c r="HWR195" s="3"/>
      <c r="HWS195" s="3"/>
      <c r="HWT195" s="3"/>
      <c r="HWU195" s="3"/>
      <c r="HWV195" s="3"/>
      <c r="HWW195" s="3"/>
      <c r="HWX195" s="3"/>
      <c r="HWY195" s="3"/>
      <c r="HWZ195" s="3"/>
      <c r="HXA195" s="3"/>
      <c r="HXB195" s="3"/>
      <c r="HXC195" s="3"/>
      <c r="HXD195" s="3"/>
      <c r="HXE195" s="3"/>
      <c r="HXF195" s="3"/>
      <c r="HXG195" s="3"/>
      <c r="HXH195" s="3"/>
      <c r="HXI195" s="3"/>
      <c r="HXJ195" s="3"/>
      <c r="HXK195" s="3"/>
      <c r="HXL195" s="3"/>
      <c r="HXM195" s="3"/>
      <c r="HXN195" s="3"/>
      <c r="HXO195" s="3"/>
      <c r="HXP195" s="3"/>
      <c r="HXQ195" s="3"/>
      <c r="HXR195" s="3"/>
      <c r="HXS195" s="3"/>
      <c r="HXT195" s="3"/>
      <c r="HXU195" s="3"/>
      <c r="HXV195" s="3"/>
      <c r="HXW195" s="3"/>
      <c r="HXX195" s="3"/>
      <c r="HXY195" s="3"/>
      <c r="HXZ195" s="3"/>
      <c r="HYA195" s="3"/>
      <c r="HYB195" s="3"/>
      <c r="HYC195" s="3"/>
      <c r="HYD195" s="3"/>
      <c r="HYE195" s="3"/>
      <c r="HYF195" s="3"/>
      <c r="HYG195" s="3"/>
      <c r="HYH195" s="3"/>
      <c r="HYI195" s="3"/>
      <c r="HYJ195" s="3"/>
      <c r="HYK195" s="3"/>
      <c r="HYL195" s="3"/>
      <c r="HYM195" s="3"/>
      <c r="HYN195" s="3"/>
      <c r="HYO195" s="3"/>
      <c r="HYP195" s="3"/>
      <c r="HYQ195" s="3"/>
      <c r="HYR195" s="3"/>
      <c r="HYS195" s="3"/>
      <c r="HYT195" s="3"/>
      <c r="HYU195" s="3"/>
      <c r="HYV195" s="3"/>
      <c r="HYW195" s="3"/>
      <c r="HYX195" s="3"/>
      <c r="HYY195" s="3"/>
      <c r="HYZ195" s="3"/>
      <c r="HZA195" s="3"/>
      <c r="HZB195" s="3"/>
      <c r="HZC195" s="3"/>
      <c r="HZD195" s="3"/>
      <c r="HZE195" s="3"/>
      <c r="HZF195" s="3"/>
      <c r="HZG195" s="3"/>
      <c r="HZH195" s="3"/>
      <c r="HZI195" s="3"/>
      <c r="HZJ195" s="3"/>
      <c r="HZK195" s="3"/>
      <c r="HZL195" s="3"/>
      <c r="HZM195" s="3"/>
      <c r="HZN195" s="3"/>
      <c r="HZO195" s="3"/>
      <c r="HZP195" s="3"/>
      <c r="HZQ195" s="3"/>
      <c r="HZR195" s="3"/>
      <c r="HZS195" s="3"/>
      <c r="HZT195" s="3"/>
      <c r="HZU195" s="3"/>
      <c r="HZV195" s="3"/>
      <c r="HZW195" s="3"/>
      <c r="HZX195" s="3"/>
      <c r="HZY195" s="3"/>
      <c r="HZZ195" s="3"/>
      <c r="IAA195" s="3"/>
      <c r="IAB195" s="3"/>
      <c r="IAC195" s="3"/>
      <c r="IAD195" s="3"/>
      <c r="IAE195" s="3"/>
      <c r="IAF195" s="3"/>
      <c r="IAG195" s="3"/>
      <c r="IAH195" s="3"/>
      <c r="IAI195" s="3"/>
      <c r="IAJ195" s="3"/>
      <c r="IAK195" s="3"/>
      <c r="IAL195" s="3"/>
      <c r="IAM195" s="3"/>
      <c r="IAN195" s="3"/>
      <c r="IAO195" s="3"/>
      <c r="IAP195" s="3"/>
      <c r="IAQ195" s="3"/>
      <c r="IAR195" s="3"/>
      <c r="IAS195" s="3"/>
      <c r="IAT195" s="3"/>
      <c r="IAU195" s="3"/>
      <c r="IAV195" s="3"/>
      <c r="IAW195" s="3"/>
      <c r="IAX195" s="3"/>
      <c r="IAY195" s="3"/>
      <c r="IAZ195" s="3"/>
      <c r="IBA195" s="3"/>
      <c r="IBB195" s="3"/>
      <c r="IBC195" s="3"/>
      <c r="IBD195" s="3"/>
      <c r="IBE195" s="3"/>
      <c r="IBF195" s="3"/>
      <c r="IBG195" s="3"/>
      <c r="IBH195" s="3"/>
      <c r="IBI195" s="3"/>
      <c r="IBJ195" s="3"/>
      <c r="IBK195" s="3"/>
      <c r="IBL195" s="3"/>
      <c r="IBM195" s="3"/>
      <c r="IBN195" s="3"/>
      <c r="IBO195" s="3"/>
      <c r="IBP195" s="3"/>
      <c r="IBQ195" s="3"/>
      <c r="IBR195" s="3"/>
      <c r="IBS195" s="3"/>
      <c r="IBT195" s="3"/>
      <c r="IBU195" s="3"/>
      <c r="IBV195" s="3"/>
      <c r="IBW195" s="3"/>
      <c r="IBX195" s="3"/>
      <c r="IBY195" s="3"/>
      <c r="IBZ195" s="3"/>
      <c r="ICA195" s="3"/>
      <c r="ICB195" s="3"/>
      <c r="ICC195" s="3"/>
      <c r="ICD195" s="3"/>
      <c r="ICE195" s="3"/>
      <c r="ICF195" s="3"/>
      <c r="ICG195" s="3"/>
      <c r="ICH195" s="3"/>
      <c r="ICI195" s="3"/>
      <c r="ICJ195" s="3"/>
      <c r="ICK195" s="3"/>
      <c r="ICL195" s="3"/>
      <c r="ICM195" s="3"/>
      <c r="ICN195" s="3"/>
      <c r="ICO195" s="3"/>
      <c r="ICP195" s="3"/>
      <c r="ICQ195" s="3"/>
      <c r="ICR195" s="3"/>
      <c r="ICS195" s="3"/>
      <c r="ICT195" s="3"/>
      <c r="ICU195" s="3"/>
      <c r="ICV195" s="3"/>
      <c r="ICW195" s="3"/>
      <c r="ICX195" s="3"/>
      <c r="ICY195" s="3"/>
      <c r="ICZ195" s="3"/>
      <c r="IDA195" s="3"/>
      <c r="IDB195" s="3"/>
      <c r="IDC195" s="3"/>
      <c r="IDD195" s="3"/>
      <c r="IDE195" s="3"/>
      <c r="IDF195" s="3"/>
      <c r="IDG195" s="3"/>
      <c r="IDH195" s="3"/>
      <c r="IDI195" s="3"/>
      <c r="IDJ195" s="3"/>
      <c r="IDK195" s="3"/>
      <c r="IDL195" s="3"/>
      <c r="IDM195" s="3"/>
      <c r="IDN195" s="3"/>
      <c r="IDO195" s="3"/>
      <c r="IDP195" s="3"/>
      <c r="IDQ195" s="3"/>
      <c r="IDR195" s="3"/>
      <c r="IDS195" s="3"/>
      <c r="IDT195" s="3"/>
      <c r="IDU195" s="3"/>
      <c r="IDV195" s="3"/>
      <c r="IDW195" s="3"/>
      <c r="IDX195" s="3"/>
      <c r="IDY195" s="3"/>
      <c r="IDZ195" s="3"/>
      <c r="IEA195" s="3"/>
      <c r="IEB195" s="3"/>
      <c r="IEC195" s="3"/>
      <c r="IED195" s="3"/>
      <c r="IEE195" s="3"/>
      <c r="IEF195" s="3"/>
      <c r="IEG195" s="3"/>
      <c r="IEH195" s="3"/>
      <c r="IEI195" s="3"/>
      <c r="IEJ195" s="3"/>
      <c r="IEK195" s="3"/>
      <c r="IEL195" s="3"/>
      <c r="IEM195" s="3"/>
      <c r="IEN195" s="3"/>
      <c r="IEO195" s="3"/>
      <c r="IEP195" s="3"/>
      <c r="IEQ195" s="3"/>
      <c r="IER195" s="3"/>
      <c r="IES195" s="3"/>
      <c r="IET195" s="3"/>
      <c r="IEU195" s="3"/>
      <c r="IEV195" s="3"/>
      <c r="IEW195" s="3"/>
      <c r="IEX195" s="3"/>
      <c r="IEY195" s="3"/>
      <c r="IEZ195" s="3"/>
      <c r="IFA195" s="3"/>
      <c r="IFB195" s="3"/>
      <c r="IFC195" s="3"/>
      <c r="IFD195" s="3"/>
      <c r="IFE195" s="3"/>
      <c r="IFF195" s="3"/>
      <c r="IFG195" s="3"/>
      <c r="IFH195" s="3"/>
      <c r="IFI195" s="3"/>
      <c r="IFJ195" s="3"/>
      <c r="IFK195" s="3"/>
      <c r="IFL195" s="3"/>
      <c r="IFM195" s="3"/>
      <c r="IFN195" s="3"/>
      <c r="IFO195" s="3"/>
      <c r="IFP195" s="3"/>
      <c r="IFQ195" s="3"/>
      <c r="IFR195" s="3"/>
      <c r="IFS195" s="3"/>
      <c r="IFT195" s="3"/>
      <c r="IFU195" s="3"/>
      <c r="IFV195" s="3"/>
      <c r="IFW195" s="3"/>
      <c r="IFX195" s="3"/>
      <c r="IFY195" s="3"/>
      <c r="IFZ195" s="3"/>
      <c r="IGA195" s="3"/>
      <c r="IGB195" s="3"/>
      <c r="IGC195" s="3"/>
      <c r="IGD195" s="3"/>
      <c r="IGE195" s="3"/>
      <c r="IGF195" s="3"/>
      <c r="IGG195" s="3"/>
      <c r="IGH195" s="3"/>
      <c r="IGI195" s="3"/>
      <c r="IGJ195" s="3"/>
      <c r="IGK195" s="3"/>
      <c r="IGL195" s="3"/>
      <c r="IGM195" s="3"/>
      <c r="IGN195" s="3"/>
      <c r="IGO195" s="3"/>
      <c r="IGP195" s="3"/>
      <c r="IGQ195" s="3"/>
      <c r="IGR195" s="3"/>
      <c r="IGS195" s="3"/>
      <c r="IGT195" s="3"/>
      <c r="IGU195" s="3"/>
      <c r="IGV195" s="3"/>
      <c r="IGW195" s="3"/>
      <c r="IGX195" s="3"/>
      <c r="IGY195" s="3"/>
      <c r="IGZ195" s="3"/>
      <c r="IHA195" s="3"/>
      <c r="IHB195" s="3"/>
      <c r="IHC195" s="3"/>
      <c r="IHD195" s="3"/>
      <c r="IHE195" s="3"/>
      <c r="IHF195" s="3"/>
      <c r="IHG195" s="3"/>
      <c r="IHH195" s="3"/>
      <c r="IHI195" s="3"/>
      <c r="IHJ195" s="3"/>
      <c r="IHK195" s="3"/>
      <c r="IHL195" s="3"/>
      <c r="IHM195" s="3"/>
      <c r="IHN195" s="3"/>
      <c r="IHO195" s="3"/>
      <c r="IHP195" s="3"/>
      <c r="IHQ195" s="3"/>
      <c r="IHR195" s="3"/>
      <c r="IHS195" s="3"/>
      <c r="IHT195" s="3"/>
      <c r="IHU195" s="3"/>
      <c r="IHV195" s="3"/>
      <c r="IHW195" s="3"/>
      <c r="IHX195" s="3"/>
      <c r="IHY195" s="3"/>
      <c r="IHZ195" s="3"/>
      <c r="IIA195" s="3"/>
      <c r="IIB195" s="3"/>
      <c r="IIC195" s="3"/>
      <c r="IID195" s="3"/>
      <c r="IIE195" s="3"/>
      <c r="IIF195" s="3"/>
      <c r="IIG195" s="3"/>
      <c r="IIH195" s="3"/>
      <c r="III195" s="3"/>
      <c r="IIJ195" s="3"/>
      <c r="IIK195" s="3"/>
      <c r="IIL195" s="3"/>
      <c r="IIM195" s="3"/>
      <c r="IIN195" s="3"/>
      <c r="IIO195" s="3"/>
      <c r="IIP195" s="3"/>
      <c r="IIQ195" s="3"/>
      <c r="IIR195" s="3"/>
      <c r="IIS195" s="3"/>
      <c r="IIT195" s="3"/>
      <c r="IIU195" s="3"/>
      <c r="IIV195" s="3"/>
      <c r="IIW195" s="3"/>
      <c r="IIX195" s="3"/>
      <c r="IIY195" s="3"/>
      <c r="IIZ195" s="3"/>
      <c r="IJA195" s="3"/>
      <c r="IJB195" s="3"/>
      <c r="IJC195" s="3"/>
      <c r="IJD195" s="3"/>
      <c r="IJE195" s="3"/>
      <c r="IJF195" s="3"/>
      <c r="IJG195" s="3"/>
      <c r="IJH195" s="3"/>
      <c r="IJI195" s="3"/>
      <c r="IJJ195" s="3"/>
      <c r="IJK195" s="3"/>
      <c r="IJL195" s="3"/>
      <c r="IJM195" s="3"/>
      <c r="IJN195" s="3"/>
      <c r="IJO195" s="3"/>
      <c r="IJP195" s="3"/>
      <c r="IJQ195" s="3"/>
      <c r="IJR195" s="3"/>
      <c r="IJS195" s="3"/>
      <c r="IJT195" s="3"/>
      <c r="IJU195" s="3"/>
      <c r="IJV195" s="3"/>
      <c r="IJW195" s="3"/>
      <c r="IJX195" s="3"/>
      <c r="IJY195" s="3"/>
      <c r="IJZ195" s="3"/>
      <c r="IKA195" s="3"/>
      <c r="IKB195" s="3"/>
      <c r="IKC195" s="3"/>
      <c r="IKD195" s="3"/>
      <c r="IKE195" s="3"/>
      <c r="IKF195" s="3"/>
      <c r="IKG195" s="3"/>
      <c r="IKH195" s="3"/>
      <c r="IKI195" s="3"/>
      <c r="IKJ195" s="3"/>
      <c r="IKK195" s="3"/>
      <c r="IKL195" s="3"/>
      <c r="IKM195" s="3"/>
      <c r="IKN195" s="3"/>
      <c r="IKO195" s="3"/>
      <c r="IKP195" s="3"/>
      <c r="IKQ195" s="3"/>
      <c r="IKR195" s="3"/>
      <c r="IKS195" s="3"/>
      <c r="IKT195" s="3"/>
      <c r="IKU195" s="3"/>
      <c r="IKV195" s="3"/>
      <c r="IKW195" s="3"/>
      <c r="IKX195" s="3"/>
      <c r="IKY195" s="3"/>
      <c r="IKZ195" s="3"/>
      <c r="ILA195" s="3"/>
      <c r="ILB195" s="3"/>
      <c r="ILC195" s="3"/>
      <c r="ILD195" s="3"/>
      <c r="ILE195" s="3"/>
      <c r="ILF195" s="3"/>
      <c r="ILG195" s="3"/>
      <c r="ILH195" s="3"/>
      <c r="ILI195" s="3"/>
      <c r="ILJ195" s="3"/>
      <c r="ILK195" s="3"/>
      <c r="ILL195" s="3"/>
      <c r="ILM195" s="3"/>
      <c r="ILN195" s="3"/>
      <c r="ILO195" s="3"/>
      <c r="ILP195" s="3"/>
      <c r="ILQ195" s="3"/>
      <c r="ILR195" s="3"/>
      <c r="ILS195" s="3"/>
      <c r="ILT195" s="3"/>
      <c r="ILU195" s="3"/>
      <c r="ILV195" s="3"/>
      <c r="ILW195" s="3"/>
      <c r="ILX195" s="3"/>
      <c r="ILY195" s="3"/>
      <c r="ILZ195" s="3"/>
      <c r="IMA195" s="3"/>
      <c r="IMB195" s="3"/>
      <c r="IMC195" s="3"/>
      <c r="IMD195" s="3"/>
      <c r="IME195" s="3"/>
      <c r="IMF195" s="3"/>
      <c r="IMG195" s="3"/>
      <c r="IMH195" s="3"/>
      <c r="IMI195" s="3"/>
      <c r="IMJ195" s="3"/>
      <c r="IMK195" s="3"/>
      <c r="IML195" s="3"/>
      <c r="IMM195" s="3"/>
      <c r="IMN195" s="3"/>
      <c r="IMO195" s="3"/>
      <c r="IMP195" s="3"/>
      <c r="IMQ195" s="3"/>
      <c r="IMR195" s="3"/>
      <c r="IMS195" s="3"/>
      <c r="IMT195" s="3"/>
      <c r="IMU195" s="3"/>
      <c r="IMV195" s="3"/>
      <c r="IMW195" s="3"/>
      <c r="IMX195" s="3"/>
      <c r="IMY195" s="3"/>
      <c r="IMZ195" s="3"/>
      <c r="INA195" s="3"/>
      <c r="INB195" s="3"/>
      <c r="INC195" s="3"/>
      <c r="IND195" s="3"/>
      <c r="INE195" s="3"/>
      <c r="INF195" s="3"/>
      <c r="ING195" s="3"/>
      <c r="INH195" s="3"/>
      <c r="INI195" s="3"/>
      <c r="INJ195" s="3"/>
      <c r="INK195" s="3"/>
      <c r="INL195" s="3"/>
      <c r="INM195" s="3"/>
      <c r="INN195" s="3"/>
      <c r="INO195" s="3"/>
      <c r="INP195" s="3"/>
      <c r="INQ195" s="3"/>
      <c r="INR195" s="3"/>
      <c r="INS195" s="3"/>
      <c r="INT195" s="3"/>
      <c r="INU195" s="3"/>
      <c r="INV195" s="3"/>
      <c r="INW195" s="3"/>
      <c r="INX195" s="3"/>
      <c r="INY195" s="3"/>
      <c r="INZ195" s="3"/>
      <c r="IOA195" s="3"/>
      <c r="IOB195" s="3"/>
      <c r="IOC195" s="3"/>
      <c r="IOD195" s="3"/>
      <c r="IOE195" s="3"/>
      <c r="IOF195" s="3"/>
      <c r="IOG195" s="3"/>
      <c r="IOH195" s="3"/>
      <c r="IOI195" s="3"/>
      <c r="IOJ195" s="3"/>
      <c r="IOK195" s="3"/>
      <c r="IOL195" s="3"/>
      <c r="IOM195" s="3"/>
      <c r="ION195" s="3"/>
      <c r="IOO195" s="3"/>
      <c r="IOP195" s="3"/>
      <c r="IOQ195" s="3"/>
      <c r="IOR195" s="3"/>
      <c r="IOS195" s="3"/>
      <c r="IOT195" s="3"/>
      <c r="IOU195" s="3"/>
      <c r="IOV195" s="3"/>
      <c r="IOW195" s="3"/>
      <c r="IOX195" s="3"/>
      <c r="IOY195" s="3"/>
      <c r="IOZ195" s="3"/>
      <c r="IPA195" s="3"/>
      <c r="IPB195" s="3"/>
      <c r="IPC195" s="3"/>
      <c r="IPD195" s="3"/>
      <c r="IPE195" s="3"/>
      <c r="IPF195" s="3"/>
      <c r="IPG195" s="3"/>
      <c r="IPH195" s="3"/>
      <c r="IPI195" s="3"/>
      <c r="IPJ195" s="3"/>
      <c r="IPK195" s="3"/>
      <c r="IPL195" s="3"/>
      <c r="IPM195" s="3"/>
      <c r="IPN195" s="3"/>
      <c r="IPO195" s="3"/>
      <c r="IPP195" s="3"/>
      <c r="IPQ195" s="3"/>
      <c r="IPR195" s="3"/>
      <c r="IPS195" s="3"/>
      <c r="IPT195" s="3"/>
      <c r="IPU195" s="3"/>
      <c r="IPV195" s="3"/>
      <c r="IPW195" s="3"/>
      <c r="IPX195" s="3"/>
      <c r="IPY195" s="3"/>
      <c r="IPZ195" s="3"/>
      <c r="IQA195" s="3"/>
      <c r="IQB195" s="3"/>
      <c r="IQC195" s="3"/>
      <c r="IQD195" s="3"/>
      <c r="IQE195" s="3"/>
      <c r="IQF195" s="3"/>
      <c r="IQG195" s="3"/>
      <c r="IQH195" s="3"/>
      <c r="IQI195" s="3"/>
      <c r="IQJ195" s="3"/>
      <c r="IQK195" s="3"/>
      <c r="IQL195" s="3"/>
      <c r="IQM195" s="3"/>
      <c r="IQN195" s="3"/>
      <c r="IQO195" s="3"/>
      <c r="IQP195" s="3"/>
      <c r="IQQ195" s="3"/>
      <c r="IQR195" s="3"/>
      <c r="IQS195" s="3"/>
      <c r="IQT195" s="3"/>
      <c r="IQU195" s="3"/>
      <c r="IQV195" s="3"/>
      <c r="IQW195" s="3"/>
      <c r="IQX195" s="3"/>
      <c r="IQY195" s="3"/>
      <c r="IQZ195" s="3"/>
      <c r="IRA195" s="3"/>
      <c r="IRB195" s="3"/>
      <c r="IRC195" s="3"/>
      <c r="IRD195" s="3"/>
      <c r="IRE195" s="3"/>
      <c r="IRF195" s="3"/>
      <c r="IRG195" s="3"/>
      <c r="IRH195" s="3"/>
      <c r="IRI195" s="3"/>
      <c r="IRJ195" s="3"/>
      <c r="IRK195" s="3"/>
      <c r="IRL195" s="3"/>
      <c r="IRM195" s="3"/>
      <c r="IRN195" s="3"/>
      <c r="IRO195" s="3"/>
      <c r="IRP195" s="3"/>
      <c r="IRQ195" s="3"/>
      <c r="IRR195" s="3"/>
      <c r="IRS195" s="3"/>
      <c r="IRT195" s="3"/>
      <c r="IRU195" s="3"/>
      <c r="IRV195" s="3"/>
      <c r="IRW195" s="3"/>
      <c r="IRX195" s="3"/>
      <c r="IRY195" s="3"/>
      <c r="IRZ195" s="3"/>
      <c r="ISA195" s="3"/>
      <c r="ISB195" s="3"/>
      <c r="ISC195" s="3"/>
      <c r="ISD195" s="3"/>
      <c r="ISE195" s="3"/>
      <c r="ISF195" s="3"/>
      <c r="ISG195" s="3"/>
      <c r="ISH195" s="3"/>
      <c r="ISI195" s="3"/>
      <c r="ISJ195" s="3"/>
      <c r="ISK195" s="3"/>
      <c r="ISL195" s="3"/>
      <c r="ISM195" s="3"/>
      <c r="ISN195" s="3"/>
      <c r="ISO195" s="3"/>
      <c r="ISP195" s="3"/>
      <c r="ISQ195" s="3"/>
      <c r="ISR195" s="3"/>
      <c r="ISS195" s="3"/>
      <c r="IST195" s="3"/>
      <c r="ISU195" s="3"/>
      <c r="ISV195" s="3"/>
      <c r="ISW195" s="3"/>
      <c r="ISX195" s="3"/>
      <c r="ISY195" s="3"/>
      <c r="ISZ195" s="3"/>
      <c r="ITA195" s="3"/>
      <c r="ITB195" s="3"/>
      <c r="ITC195" s="3"/>
      <c r="ITD195" s="3"/>
      <c r="ITE195" s="3"/>
      <c r="ITF195" s="3"/>
      <c r="ITG195" s="3"/>
      <c r="ITH195" s="3"/>
      <c r="ITI195" s="3"/>
      <c r="ITJ195" s="3"/>
      <c r="ITK195" s="3"/>
      <c r="ITL195" s="3"/>
      <c r="ITM195" s="3"/>
      <c r="ITN195" s="3"/>
      <c r="ITO195" s="3"/>
      <c r="ITP195" s="3"/>
      <c r="ITQ195" s="3"/>
      <c r="ITR195" s="3"/>
      <c r="ITS195" s="3"/>
      <c r="ITT195" s="3"/>
      <c r="ITU195" s="3"/>
      <c r="ITV195" s="3"/>
      <c r="ITW195" s="3"/>
      <c r="ITX195" s="3"/>
      <c r="ITY195" s="3"/>
      <c r="ITZ195" s="3"/>
      <c r="IUA195" s="3"/>
      <c r="IUB195" s="3"/>
      <c r="IUC195" s="3"/>
      <c r="IUD195" s="3"/>
      <c r="IUE195" s="3"/>
      <c r="IUF195" s="3"/>
      <c r="IUG195" s="3"/>
      <c r="IUH195" s="3"/>
      <c r="IUI195" s="3"/>
      <c r="IUJ195" s="3"/>
      <c r="IUK195" s="3"/>
      <c r="IUL195" s="3"/>
      <c r="IUM195" s="3"/>
      <c r="IUN195" s="3"/>
      <c r="IUO195" s="3"/>
      <c r="IUP195" s="3"/>
      <c r="IUQ195" s="3"/>
      <c r="IUR195" s="3"/>
      <c r="IUS195" s="3"/>
      <c r="IUT195" s="3"/>
      <c r="IUU195" s="3"/>
      <c r="IUV195" s="3"/>
      <c r="IUW195" s="3"/>
      <c r="IUX195" s="3"/>
      <c r="IUY195" s="3"/>
      <c r="IUZ195" s="3"/>
      <c r="IVA195" s="3"/>
      <c r="IVB195" s="3"/>
      <c r="IVC195" s="3"/>
      <c r="IVD195" s="3"/>
      <c r="IVE195" s="3"/>
      <c r="IVF195" s="3"/>
      <c r="IVG195" s="3"/>
      <c r="IVH195" s="3"/>
      <c r="IVI195" s="3"/>
      <c r="IVJ195" s="3"/>
      <c r="IVK195" s="3"/>
      <c r="IVL195" s="3"/>
      <c r="IVM195" s="3"/>
      <c r="IVN195" s="3"/>
      <c r="IVO195" s="3"/>
      <c r="IVP195" s="3"/>
      <c r="IVQ195" s="3"/>
      <c r="IVR195" s="3"/>
      <c r="IVS195" s="3"/>
      <c r="IVT195" s="3"/>
      <c r="IVU195" s="3"/>
      <c r="IVV195" s="3"/>
      <c r="IVW195" s="3"/>
      <c r="IVX195" s="3"/>
      <c r="IVY195" s="3"/>
      <c r="IVZ195" s="3"/>
      <c r="IWA195" s="3"/>
      <c r="IWB195" s="3"/>
      <c r="IWC195" s="3"/>
      <c r="IWD195" s="3"/>
      <c r="IWE195" s="3"/>
      <c r="IWF195" s="3"/>
      <c r="IWG195" s="3"/>
      <c r="IWH195" s="3"/>
      <c r="IWI195" s="3"/>
      <c r="IWJ195" s="3"/>
      <c r="IWK195" s="3"/>
      <c r="IWL195" s="3"/>
      <c r="IWM195" s="3"/>
      <c r="IWN195" s="3"/>
      <c r="IWO195" s="3"/>
      <c r="IWP195" s="3"/>
      <c r="IWQ195" s="3"/>
      <c r="IWR195" s="3"/>
      <c r="IWS195" s="3"/>
      <c r="IWT195" s="3"/>
      <c r="IWU195" s="3"/>
      <c r="IWV195" s="3"/>
      <c r="IWW195" s="3"/>
      <c r="IWX195" s="3"/>
      <c r="IWY195" s="3"/>
      <c r="IWZ195" s="3"/>
      <c r="IXA195" s="3"/>
      <c r="IXB195" s="3"/>
      <c r="IXC195" s="3"/>
      <c r="IXD195" s="3"/>
      <c r="IXE195" s="3"/>
      <c r="IXF195" s="3"/>
      <c r="IXG195" s="3"/>
      <c r="IXH195" s="3"/>
      <c r="IXI195" s="3"/>
      <c r="IXJ195" s="3"/>
      <c r="IXK195" s="3"/>
      <c r="IXL195" s="3"/>
      <c r="IXM195" s="3"/>
      <c r="IXN195" s="3"/>
      <c r="IXO195" s="3"/>
      <c r="IXP195" s="3"/>
      <c r="IXQ195" s="3"/>
      <c r="IXR195" s="3"/>
      <c r="IXS195" s="3"/>
      <c r="IXT195" s="3"/>
      <c r="IXU195" s="3"/>
      <c r="IXV195" s="3"/>
      <c r="IXW195" s="3"/>
      <c r="IXX195" s="3"/>
      <c r="IXY195" s="3"/>
      <c r="IXZ195" s="3"/>
      <c r="IYA195" s="3"/>
      <c r="IYB195" s="3"/>
      <c r="IYC195" s="3"/>
      <c r="IYD195" s="3"/>
      <c r="IYE195" s="3"/>
      <c r="IYF195" s="3"/>
      <c r="IYG195" s="3"/>
      <c r="IYH195" s="3"/>
      <c r="IYI195" s="3"/>
      <c r="IYJ195" s="3"/>
      <c r="IYK195" s="3"/>
      <c r="IYL195" s="3"/>
      <c r="IYM195" s="3"/>
      <c r="IYN195" s="3"/>
      <c r="IYO195" s="3"/>
      <c r="IYP195" s="3"/>
      <c r="IYQ195" s="3"/>
      <c r="IYR195" s="3"/>
      <c r="IYS195" s="3"/>
      <c r="IYT195" s="3"/>
      <c r="IYU195" s="3"/>
      <c r="IYV195" s="3"/>
      <c r="IYW195" s="3"/>
      <c r="IYX195" s="3"/>
      <c r="IYY195" s="3"/>
      <c r="IYZ195" s="3"/>
      <c r="IZA195" s="3"/>
      <c r="IZB195" s="3"/>
      <c r="IZC195" s="3"/>
      <c r="IZD195" s="3"/>
      <c r="IZE195" s="3"/>
      <c r="IZF195" s="3"/>
      <c r="IZG195" s="3"/>
      <c r="IZH195" s="3"/>
      <c r="IZI195" s="3"/>
      <c r="IZJ195" s="3"/>
      <c r="IZK195" s="3"/>
      <c r="IZL195" s="3"/>
      <c r="IZM195" s="3"/>
      <c r="IZN195" s="3"/>
      <c r="IZO195" s="3"/>
      <c r="IZP195" s="3"/>
      <c r="IZQ195" s="3"/>
      <c r="IZR195" s="3"/>
      <c r="IZS195" s="3"/>
      <c r="IZT195" s="3"/>
      <c r="IZU195" s="3"/>
      <c r="IZV195" s="3"/>
      <c r="IZW195" s="3"/>
      <c r="IZX195" s="3"/>
      <c r="IZY195" s="3"/>
      <c r="IZZ195" s="3"/>
      <c r="JAA195" s="3"/>
      <c r="JAB195" s="3"/>
      <c r="JAC195" s="3"/>
      <c r="JAD195" s="3"/>
      <c r="JAE195" s="3"/>
      <c r="JAF195" s="3"/>
      <c r="JAG195" s="3"/>
      <c r="JAH195" s="3"/>
      <c r="JAI195" s="3"/>
      <c r="JAJ195" s="3"/>
      <c r="JAK195" s="3"/>
      <c r="JAL195" s="3"/>
      <c r="JAM195" s="3"/>
      <c r="JAN195" s="3"/>
      <c r="JAO195" s="3"/>
      <c r="JAP195" s="3"/>
      <c r="JAQ195" s="3"/>
      <c r="JAR195" s="3"/>
      <c r="JAS195" s="3"/>
      <c r="JAT195" s="3"/>
      <c r="JAU195" s="3"/>
      <c r="JAV195" s="3"/>
      <c r="JAW195" s="3"/>
      <c r="JAX195" s="3"/>
      <c r="JAY195" s="3"/>
      <c r="JAZ195" s="3"/>
      <c r="JBA195" s="3"/>
      <c r="JBB195" s="3"/>
      <c r="JBC195" s="3"/>
      <c r="JBD195" s="3"/>
      <c r="JBE195" s="3"/>
      <c r="JBF195" s="3"/>
      <c r="JBG195" s="3"/>
      <c r="JBH195" s="3"/>
      <c r="JBI195" s="3"/>
      <c r="JBJ195" s="3"/>
      <c r="JBK195" s="3"/>
      <c r="JBL195" s="3"/>
      <c r="JBM195" s="3"/>
      <c r="JBN195" s="3"/>
      <c r="JBO195" s="3"/>
      <c r="JBP195" s="3"/>
      <c r="JBQ195" s="3"/>
      <c r="JBR195" s="3"/>
      <c r="JBS195" s="3"/>
      <c r="JBT195" s="3"/>
      <c r="JBU195" s="3"/>
      <c r="JBV195" s="3"/>
      <c r="JBW195" s="3"/>
      <c r="JBX195" s="3"/>
      <c r="JBY195" s="3"/>
      <c r="JBZ195" s="3"/>
      <c r="JCA195" s="3"/>
      <c r="JCB195" s="3"/>
      <c r="JCC195" s="3"/>
      <c r="JCD195" s="3"/>
      <c r="JCE195" s="3"/>
      <c r="JCF195" s="3"/>
      <c r="JCG195" s="3"/>
      <c r="JCH195" s="3"/>
      <c r="JCI195" s="3"/>
      <c r="JCJ195" s="3"/>
      <c r="JCK195" s="3"/>
      <c r="JCL195" s="3"/>
      <c r="JCM195" s="3"/>
      <c r="JCN195" s="3"/>
      <c r="JCO195" s="3"/>
      <c r="JCP195" s="3"/>
      <c r="JCQ195" s="3"/>
      <c r="JCR195" s="3"/>
      <c r="JCS195" s="3"/>
      <c r="JCT195" s="3"/>
      <c r="JCU195" s="3"/>
      <c r="JCV195" s="3"/>
      <c r="JCW195" s="3"/>
      <c r="JCX195" s="3"/>
      <c r="JCY195" s="3"/>
      <c r="JCZ195" s="3"/>
      <c r="JDA195" s="3"/>
      <c r="JDB195" s="3"/>
      <c r="JDC195" s="3"/>
      <c r="JDD195" s="3"/>
      <c r="JDE195" s="3"/>
      <c r="JDF195" s="3"/>
      <c r="JDG195" s="3"/>
      <c r="JDH195" s="3"/>
      <c r="JDI195" s="3"/>
      <c r="JDJ195" s="3"/>
      <c r="JDK195" s="3"/>
      <c r="JDL195" s="3"/>
      <c r="JDM195" s="3"/>
      <c r="JDN195" s="3"/>
      <c r="JDO195" s="3"/>
      <c r="JDP195" s="3"/>
      <c r="JDQ195" s="3"/>
      <c r="JDR195" s="3"/>
      <c r="JDS195" s="3"/>
      <c r="JDT195" s="3"/>
      <c r="JDU195" s="3"/>
      <c r="JDV195" s="3"/>
      <c r="JDW195" s="3"/>
      <c r="JDX195" s="3"/>
      <c r="JDY195" s="3"/>
      <c r="JDZ195" s="3"/>
      <c r="JEA195" s="3"/>
      <c r="JEB195" s="3"/>
      <c r="JEC195" s="3"/>
      <c r="JED195" s="3"/>
      <c r="JEE195" s="3"/>
      <c r="JEF195" s="3"/>
      <c r="JEG195" s="3"/>
      <c r="JEH195" s="3"/>
      <c r="JEI195" s="3"/>
      <c r="JEJ195" s="3"/>
      <c r="JEK195" s="3"/>
      <c r="JEL195" s="3"/>
      <c r="JEM195" s="3"/>
      <c r="JEN195" s="3"/>
      <c r="JEO195" s="3"/>
      <c r="JEP195" s="3"/>
      <c r="JEQ195" s="3"/>
      <c r="JER195" s="3"/>
      <c r="JES195" s="3"/>
      <c r="JET195" s="3"/>
      <c r="JEU195" s="3"/>
      <c r="JEV195" s="3"/>
      <c r="JEW195" s="3"/>
      <c r="JEX195" s="3"/>
      <c r="JEY195" s="3"/>
      <c r="JEZ195" s="3"/>
      <c r="JFA195" s="3"/>
      <c r="JFB195" s="3"/>
      <c r="JFC195" s="3"/>
      <c r="JFD195" s="3"/>
      <c r="JFE195" s="3"/>
      <c r="JFF195" s="3"/>
      <c r="JFG195" s="3"/>
      <c r="JFH195" s="3"/>
      <c r="JFI195" s="3"/>
      <c r="JFJ195" s="3"/>
      <c r="JFK195" s="3"/>
      <c r="JFL195" s="3"/>
      <c r="JFM195" s="3"/>
      <c r="JFN195" s="3"/>
      <c r="JFO195" s="3"/>
      <c r="JFP195" s="3"/>
      <c r="JFQ195" s="3"/>
      <c r="JFR195" s="3"/>
      <c r="JFS195" s="3"/>
      <c r="JFT195" s="3"/>
      <c r="JFU195" s="3"/>
      <c r="JFV195" s="3"/>
      <c r="JFW195" s="3"/>
      <c r="JFX195" s="3"/>
      <c r="JFY195" s="3"/>
      <c r="JFZ195" s="3"/>
      <c r="JGA195" s="3"/>
      <c r="JGB195" s="3"/>
      <c r="JGC195" s="3"/>
      <c r="JGD195" s="3"/>
      <c r="JGE195" s="3"/>
      <c r="JGF195" s="3"/>
      <c r="JGG195" s="3"/>
      <c r="JGH195" s="3"/>
      <c r="JGI195" s="3"/>
      <c r="JGJ195" s="3"/>
      <c r="JGK195" s="3"/>
      <c r="JGL195" s="3"/>
      <c r="JGM195" s="3"/>
      <c r="JGN195" s="3"/>
      <c r="JGO195" s="3"/>
      <c r="JGP195" s="3"/>
      <c r="JGQ195" s="3"/>
      <c r="JGR195" s="3"/>
      <c r="JGS195" s="3"/>
      <c r="JGT195" s="3"/>
      <c r="JGU195" s="3"/>
      <c r="JGV195" s="3"/>
      <c r="JGW195" s="3"/>
      <c r="JGX195" s="3"/>
      <c r="JGY195" s="3"/>
      <c r="JGZ195" s="3"/>
      <c r="JHA195" s="3"/>
      <c r="JHB195" s="3"/>
      <c r="JHC195" s="3"/>
      <c r="JHD195" s="3"/>
      <c r="JHE195" s="3"/>
      <c r="JHF195" s="3"/>
      <c r="JHG195" s="3"/>
      <c r="JHH195" s="3"/>
      <c r="JHI195" s="3"/>
      <c r="JHJ195" s="3"/>
      <c r="JHK195" s="3"/>
      <c r="JHL195" s="3"/>
      <c r="JHM195" s="3"/>
      <c r="JHN195" s="3"/>
      <c r="JHO195" s="3"/>
      <c r="JHP195" s="3"/>
      <c r="JHQ195" s="3"/>
      <c r="JHR195" s="3"/>
      <c r="JHS195" s="3"/>
      <c r="JHT195" s="3"/>
      <c r="JHU195" s="3"/>
      <c r="JHV195" s="3"/>
      <c r="JHW195" s="3"/>
      <c r="JHX195" s="3"/>
      <c r="JHY195" s="3"/>
      <c r="JHZ195" s="3"/>
      <c r="JIA195" s="3"/>
      <c r="JIB195" s="3"/>
      <c r="JIC195" s="3"/>
      <c r="JID195" s="3"/>
      <c r="JIE195" s="3"/>
      <c r="JIF195" s="3"/>
      <c r="JIG195" s="3"/>
      <c r="JIH195" s="3"/>
      <c r="JII195" s="3"/>
      <c r="JIJ195" s="3"/>
      <c r="JIK195" s="3"/>
      <c r="JIL195" s="3"/>
      <c r="JIM195" s="3"/>
      <c r="JIN195" s="3"/>
      <c r="JIO195" s="3"/>
      <c r="JIP195" s="3"/>
      <c r="JIQ195" s="3"/>
      <c r="JIR195" s="3"/>
      <c r="JIS195" s="3"/>
      <c r="JIT195" s="3"/>
      <c r="JIU195" s="3"/>
      <c r="JIV195" s="3"/>
      <c r="JIW195" s="3"/>
      <c r="JIX195" s="3"/>
      <c r="JIY195" s="3"/>
      <c r="JIZ195" s="3"/>
      <c r="JJA195" s="3"/>
      <c r="JJB195" s="3"/>
      <c r="JJC195" s="3"/>
      <c r="JJD195" s="3"/>
      <c r="JJE195" s="3"/>
      <c r="JJF195" s="3"/>
      <c r="JJG195" s="3"/>
      <c r="JJH195" s="3"/>
      <c r="JJI195" s="3"/>
      <c r="JJJ195" s="3"/>
      <c r="JJK195" s="3"/>
      <c r="JJL195" s="3"/>
      <c r="JJM195" s="3"/>
      <c r="JJN195" s="3"/>
      <c r="JJO195" s="3"/>
      <c r="JJP195" s="3"/>
      <c r="JJQ195" s="3"/>
      <c r="JJR195" s="3"/>
      <c r="JJS195" s="3"/>
      <c r="JJT195" s="3"/>
      <c r="JJU195" s="3"/>
      <c r="JJV195" s="3"/>
      <c r="JJW195" s="3"/>
      <c r="JJX195" s="3"/>
      <c r="JJY195" s="3"/>
      <c r="JJZ195" s="3"/>
      <c r="JKA195" s="3"/>
      <c r="JKB195" s="3"/>
      <c r="JKC195" s="3"/>
      <c r="JKD195" s="3"/>
      <c r="JKE195" s="3"/>
      <c r="JKF195" s="3"/>
      <c r="JKG195" s="3"/>
      <c r="JKH195" s="3"/>
      <c r="JKI195" s="3"/>
      <c r="JKJ195" s="3"/>
      <c r="JKK195" s="3"/>
      <c r="JKL195" s="3"/>
      <c r="JKM195" s="3"/>
      <c r="JKN195" s="3"/>
      <c r="JKO195" s="3"/>
      <c r="JKP195" s="3"/>
      <c r="JKQ195" s="3"/>
      <c r="JKR195" s="3"/>
      <c r="JKS195" s="3"/>
      <c r="JKT195" s="3"/>
      <c r="JKU195" s="3"/>
      <c r="JKV195" s="3"/>
      <c r="JKW195" s="3"/>
      <c r="JKX195" s="3"/>
      <c r="JKY195" s="3"/>
      <c r="JKZ195" s="3"/>
      <c r="JLA195" s="3"/>
      <c r="JLB195" s="3"/>
      <c r="JLC195" s="3"/>
      <c r="JLD195" s="3"/>
      <c r="JLE195" s="3"/>
      <c r="JLF195" s="3"/>
      <c r="JLG195" s="3"/>
      <c r="JLH195" s="3"/>
      <c r="JLI195" s="3"/>
      <c r="JLJ195" s="3"/>
      <c r="JLK195" s="3"/>
      <c r="JLL195" s="3"/>
      <c r="JLM195" s="3"/>
      <c r="JLN195" s="3"/>
      <c r="JLO195" s="3"/>
      <c r="JLP195" s="3"/>
      <c r="JLQ195" s="3"/>
      <c r="JLR195" s="3"/>
      <c r="JLS195" s="3"/>
      <c r="JLT195" s="3"/>
      <c r="JLU195" s="3"/>
      <c r="JLV195" s="3"/>
      <c r="JLW195" s="3"/>
      <c r="JLX195" s="3"/>
      <c r="JLY195" s="3"/>
      <c r="JLZ195" s="3"/>
      <c r="JMA195" s="3"/>
      <c r="JMB195" s="3"/>
      <c r="JMC195" s="3"/>
      <c r="JMD195" s="3"/>
      <c r="JME195" s="3"/>
      <c r="JMF195" s="3"/>
      <c r="JMG195" s="3"/>
      <c r="JMH195" s="3"/>
      <c r="JMI195" s="3"/>
      <c r="JMJ195" s="3"/>
      <c r="JMK195" s="3"/>
      <c r="JML195" s="3"/>
      <c r="JMM195" s="3"/>
      <c r="JMN195" s="3"/>
      <c r="JMO195" s="3"/>
      <c r="JMP195" s="3"/>
      <c r="JMQ195" s="3"/>
      <c r="JMR195" s="3"/>
      <c r="JMS195" s="3"/>
      <c r="JMT195" s="3"/>
      <c r="JMU195" s="3"/>
      <c r="JMV195" s="3"/>
      <c r="JMW195" s="3"/>
      <c r="JMX195" s="3"/>
      <c r="JMY195" s="3"/>
      <c r="JMZ195" s="3"/>
      <c r="JNA195" s="3"/>
      <c r="JNB195" s="3"/>
      <c r="JNC195" s="3"/>
      <c r="JND195" s="3"/>
      <c r="JNE195" s="3"/>
      <c r="JNF195" s="3"/>
      <c r="JNG195" s="3"/>
      <c r="JNH195" s="3"/>
      <c r="JNI195" s="3"/>
      <c r="JNJ195" s="3"/>
      <c r="JNK195" s="3"/>
      <c r="JNL195" s="3"/>
      <c r="JNM195" s="3"/>
      <c r="JNN195" s="3"/>
      <c r="JNO195" s="3"/>
      <c r="JNP195" s="3"/>
      <c r="JNQ195" s="3"/>
      <c r="JNR195" s="3"/>
      <c r="JNS195" s="3"/>
      <c r="JNT195" s="3"/>
      <c r="JNU195" s="3"/>
      <c r="JNV195" s="3"/>
      <c r="JNW195" s="3"/>
      <c r="JNX195" s="3"/>
      <c r="JNY195" s="3"/>
      <c r="JNZ195" s="3"/>
      <c r="JOA195" s="3"/>
      <c r="JOB195" s="3"/>
      <c r="JOC195" s="3"/>
      <c r="JOD195" s="3"/>
      <c r="JOE195" s="3"/>
      <c r="JOF195" s="3"/>
      <c r="JOG195" s="3"/>
      <c r="JOH195" s="3"/>
      <c r="JOI195" s="3"/>
      <c r="JOJ195" s="3"/>
      <c r="JOK195" s="3"/>
      <c r="JOL195" s="3"/>
      <c r="JOM195" s="3"/>
      <c r="JON195" s="3"/>
      <c r="JOO195" s="3"/>
      <c r="JOP195" s="3"/>
      <c r="JOQ195" s="3"/>
      <c r="JOR195" s="3"/>
      <c r="JOS195" s="3"/>
      <c r="JOT195" s="3"/>
      <c r="JOU195" s="3"/>
      <c r="JOV195" s="3"/>
      <c r="JOW195" s="3"/>
      <c r="JOX195" s="3"/>
      <c r="JOY195" s="3"/>
      <c r="JOZ195" s="3"/>
      <c r="JPA195" s="3"/>
      <c r="JPB195" s="3"/>
      <c r="JPC195" s="3"/>
      <c r="JPD195" s="3"/>
      <c r="JPE195" s="3"/>
      <c r="JPF195" s="3"/>
      <c r="JPG195" s="3"/>
      <c r="JPH195" s="3"/>
      <c r="JPI195" s="3"/>
      <c r="JPJ195" s="3"/>
      <c r="JPK195" s="3"/>
      <c r="JPL195" s="3"/>
      <c r="JPM195" s="3"/>
      <c r="JPN195" s="3"/>
      <c r="JPO195" s="3"/>
      <c r="JPP195" s="3"/>
      <c r="JPQ195" s="3"/>
      <c r="JPR195" s="3"/>
      <c r="JPS195" s="3"/>
      <c r="JPT195" s="3"/>
      <c r="JPU195" s="3"/>
      <c r="JPV195" s="3"/>
      <c r="JPW195" s="3"/>
      <c r="JPX195" s="3"/>
      <c r="JPY195" s="3"/>
      <c r="JPZ195" s="3"/>
      <c r="JQA195" s="3"/>
      <c r="JQB195" s="3"/>
      <c r="JQC195" s="3"/>
      <c r="JQD195" s="3"/>
      <c r="JQE195" s="3"/>
      <c r="JQF195" s="3"/>
      <c r="JQG195" s="3"/>
      <c r="JQH195" s="3"/>
      <c r="JQI195" s="3"/>
      <c r="JQJ195" s="3"/>
      <c r="JQK195" s="3"/>
      <c r="JQL195" s="3"/>
      <c r="JQM195" s="3"/>
      <c r="JQN195" s="3"/>
      <c r="JQO195" s="3"/>
      <c r="JQP195" s="3"/>
      <c r="JQQ195" s="3"/>
      <c r="JQR195" s="3"/>
      <c r="JQS195" s="3"/>
      <c r="JQT195" s="3"/>
      <c r="JQU195" s="3"/>
      <c r="JQV195" s="3"/>
      <c r="JQW195" s="3"/>
      <c r="JQX195" s="3"/>
      <c r="JQY195" s="3"/>
      <c r="JQZ195" s="3"/>
      <c r="JRA195" s="3"/>
      <c r="JRB195" s="3"/>
      <c r="JRC195" s="3"/>
      <c r="JRD195" s="3"/>
      <c r="JRE195" s="3"/>
      <c r="JRF195" s="3"/>
      <c r="JRG195" s="3"/>
      <c r="JRH195" s="3"/>
      <c r="JRI195" s="3"/>
      <c r="JRJ195" s="3"/>
      <c r="JRK195" s="3"/>
      <c r="JRL195" s="3"/>
      <c r="JRM195" s="3"/>
      <c r="JRN195" s="3"/>
      <c r="JRO195" s="3"/>
      <c r="JRP195" s="3"/>
      <c r="JRQ195" s="3"/>
      <c r="JRR195" s="3"/>
      <c r="JRS195" s="3"/>
      <c r="JRT195" s="3"/>
      <c r="JRU195" s="3"/>
      <c r="JRV195" s="3"/>
      <c r="JRW195" s="3"/>
      <c r="JRX195" s="3"/>
      <c r="JRY195" s="3"/>
      <c r="JRZ195" s="3"/>
      <c r="JSA195" s="3"/>
      <c r="JSB195" s="3"/>
      <c r="JSC195" s="3"/>
      <c r="JSD195" s="3"/>
      <c r="JSE195" s="3"/>
      <c r="JSF195" s="3"/>
      <c r="JSG195" s="3"/>
      <c r="JSH195" s="3"/>
      <c r="JSI195" s="3"/>
      <c r="JSJ195" s="3"/>
      <c r="JSK195" s="3"/>
      <c r="JSL195" s="3"/>
      <c r="JSM195" s="3"/>
      <c r="JSN195" s="3"/>
      <c r="JSO195" s="3"/>
      <c r="JSP195" s="3"/>
      <c r="JSQ195" s="3"/>
      <c r="JSR195" s="3"/>
      <c r="JSS195" s="3"/>
      <c r="JST195" s="3"/>
      <c r="JSU195" s="3"/>
      <c r="JSV195" s="3"/>
      <c r="JSW195" s="3"/>
      <c r="JSX195" s="3"/>
      <c r="JSY195" s="3"/>
      <c r="JSZ195" s="3"/>
      <c r="JTA195" s="3"/>
      <c r="JTB195" s="3"/>
      <c r="JTC195" s="3"/>
      <c r="JTD195" s="3"/>
      <c r="JTE195" s="3"/>
      <c r="JTF195" s="3"/>
      <c r="JTG195" s="3"/>
      <c r="JTH195" s="3"/>
      <c r="JTI195" s="3"/>
      <c r="JTJ195" s="3"/>
      <c r="JTK195" s="3"/>
      <c r="JTL195" s="3"/>
      <c r="JTM195" s="3"/>
      <c r="JTN195" s="3"/>
      <c r="JTO195" s="3"/>
      <c r="JTP195" s="3"/>
      <c r="JTQ195" s="3"/>
      <c r="JTR195" s="3"/>
      <c r="JTS195" s="3"/>
      <c r="JTT195" s="3"/>
      <c r="JTU195" s="3"/>
      <c r="JTV195" s="3"/>
      <c r="JTW195" s="3"/>
      <c r="JTX195" s="3"/>
      <c r="JTY195" s="3"/>
      <c r="JTZ195" s="3"/>
      <c r="JUA195" s="3"/>
      <c r="JUB195" s="3"/>
      <c r="JUC195" s="3"/>
      <c r="JUD195" s="3"/>
      <c r="JUE195" s="3"/>
      <c r="JUF195" s="3"/>
      <c r="JUG195" s="3"/>
      <c r="JUH195" s="3"/>
      <c r="JUI195" s="3"/>
      <c r="JUJ195" s="3"/>
      <c r="JUK195" s="3"/>
      <c r="JUL195" s="3"/>
      <c r="JUM195" s="3"/>
      <c r="JUN195" s="3"/>
      <c r="JUO195" s="3"/>
      <c r="JUP195" s="3"/>
      <c r="JUQ195" s="3"/>
      <c r="JUR195" s="3"/>
      <c r="JUS195" s="3"/>
      <c r="JUT195" s="3"/>
      <c r="JUU195" s="3"/>
      <c r="JUV195" s="3"/>
      <c r="JUW195" s="3"/>
      <c r="JUX195" s="3"/>
      <c r="JUY195" s="3"/>
      <c r="JUZ195" s="3"/>
      <c r="JVA195" s="3"/>
      <c r="JVB195" s="3"/>
      <c r="JVC195" s="3"/>
      <c r="JVD195" s="3"/>
      <c r="JVE195" s="3"/>
      <c r="JVF195" s="3"/>
      <c r="JVG195" s="3"/>
      <c r="JVH195" s="3"/>
      <c r="JVI195" s="3"/>
      <c r="JVJ195" s="3"/>
      <c r="JVK195" s="3"/>
      <c r="JVL195" s="3"/>
      <c r="JVM195" s="3"/>
      <c r="JVN195" s="3"/>
      <c r="JVO195" s="3"/>
      <c r="JVP195" s="3"/>
      <c r="JVQ195" s="3"/>
      <c r="JVR195" s="3"/>
      <c r="JVS195" s="3"/>
      <c r="JVT195" s="3"/>
      <c r="JVU195" s="3"/>
      <c r="JVV195" s="3"/>
      <c r="JVW195" s="3"/>
      <c r="JVX195" s="3"/>
      <c r="JVY195" s="3"/>
      <c r="JVZ195" s="3"/>
      <c r="JWA195" s="3"/>
      <c r="JWB195" s="3"/>
      <c r="JWC195" s="3"/>
      <c r="JWD195" s="3"/>
      <c r="JWE195" s="3"/>
      <c r="JWF195" s="3"/>
      <c r="JWG195" s="3"/>
      <c r="JWH195" s="3"/>
      <c r="JWI195" s="3"/>
      <c r="JWJ195" s="3"/>
      <c r="JWK195" s="3"/>
      <c r="JWL195" s="3"/>
      <c r="JWM195" s="3"/>
      <c r="JWN195" s="3"/>
      <c r="JWO195" s="3"/>
      <c r="JWP195" s="3"/>
      <c r="JWQ195" s="3"/>
      <c r="JWR195" s="3"/>
      <c r="JWS195" s="3"/>
      <c r="JWT195" s="3"/>
      <c r="JWU195" s="3"/>
      <c r="JWV195" s="3"/>
      <c r="JWW195" s="3"/>
      <c r="JWX195" s="3"/>
      <c r="JWY195" s="3"/>
      <c r="JWZ195" s="3"/>
      <c r="JXA195" s="3"/>
      <c r="JXB195" s="3"/>
      <c r="JXC195" s="3"/>
      <c r="JXD195" s="3"/>
      <c r="JXE195" s="3"/>
      <c r="JXF195" s="3"/>
      <c r="JXG195" s="3"/>
      <c r="JXH195" s="3"/>
      <c r="JXI195" s="3"/>
      <c r="JXJ195" s="3"/>
      <c r="JXK195" s="3"/>
      <c r="JXL195" s="3"/>
      <c r="JXM195" s="3"/>
      <c r="JXN195" s="3"/>
      <c r="JXO195" s="3"/>
      <c r="JXP195" s="3"/>
      <c r="JXQ195" s="3"/>
      <c r="JXR195" s="3"/>
      <c r="JXS195" s="3"/>
      <c r="JXT195" s="3"/>
      <c r="JXU195" s="3"/>
      <c r="JXV195" s="3"/>
      <c r="JXW195" s="3"/>
      <c r="JXX195" s="3"/>
      <c r="JXY195" s="3"/>
      <c r="JXZ195" s="3"/>
      <c r="JYA195" s="3"/>
      <c r="JYB195" s="3"/>
      <c r="JYC195" s="3"/>
      <c r="JYD195" s="3"/>
      <c r="JYE195" s="3"/>
      <c r="JYF195" s="3"/>
      <c r="JYG195" s="3"/>
      <c r="JYH195" s="3"/>
      <c r="JYI195" s="3"/>
      <c r="JYJ195" s="3"/>
      <c r="JYK195" s="3"/>
      <c r="JYL195" s="3"/>
      <c r="JYM195" s="3"/>
      <c r="JYN195" s="3"/>
      <c r="JYO195" s="3"/>
      <c r="JYP195" s="3"/>
      <c r="JYQ195" s="3"/>
      <c r="JYR195" s="3"/>
      <c r="JYS195" s="3"/>
      <c r="JYT195" s="3"/>
      <c r="JYU195" s="3"/>
      <c r="JYV195" s="3"/>
      <c r="JYW195" s="3"/>
      <c r="JYX195" s="3"/>
      <c r="JYY195" s="3"/>
      <c r="JYZ195" s="3"/>
      <c r="JZA195" s="3"/>
      <c r="JZB195" s="3"/>
      <c r="JZC195" s="3"/>
      <c r="JZD195" s="3"/>
      <c r="JZE195" s="3"/>
      <c r="JZF195" s="3"/>
      <c r="JZG195" s="3"/>
      <c r="JZH195" s="3"/>
      <c r="JZI195" s="3"/>
      <c r="JZJ195" s="3"/>
      <c r="JZK195" s="3"/>
      <c r="JZL195" s="3"/>
      <c r="JZM195" s="3"/>
      <c r="JZN195" s="3"/>
      <c r="JZO195" s="3"/>
      <c r="JZP195" s="3"/>
      <c r="JZQ195" s="3"/>
      <c r="JZR195" s="3"/>
      <c r="JZS195" s="3"/>
      <c r="JZT195" s="3"/>
      <c r="JZU195" s="3"/>
      <c r="JZV195" s="3"/>
      <c r="JZW195" s="3"/>
      <c r="JZX195" s="3"/>
      <c r="JZY195" s="3"/>
      <c r="JZZ195" s="3"/>
      <c r="KAA195" s="3"/>
      <c r="KAB195" s="3"/>
      <c r="KAC195" s="3"/>
      <c r="KAD195" s="3"/>
      <c r="KAE195" s="3"/>
      <c r="KAF195" s="3"/>
      <c r="KAG195" s="3"/>
      <c r="KAH195" s="3"/>
      <c r="KAI195" s="3"/>
      <c r="KAJ195" s="3"/>
      <c r="KAK195" s="3"/>
      <c r="KAL195" s="3"/>
      <c r="KAM195" s="3"/>
      <c r="KAN195" s="3"/>
      <c r="KAO195" s="3"/>
      <c r="KAP195" s="3"/>
      <c r="KAQ195" s="3"/>
      <c r="KAR195" s="3"/>
      <c r="KAS195" s="3"/>
      <c r="KAT195" s="3"/>
      <c r="KAU195" s="3"/>
      <c r="KAV195" s="3"/>
      <c r="KAW195" s="3"/>
      <c r="KAX195" s="3"/>
      <c r="KAY195" s="3"/>
      <c r="KAZ195" s="3"/>
      <c r="KBA195" s="3"/>
      <c r="KBB195" s="3"/>
      <c r="KBC195" s="3"/>
      <c r="KBD195" s="3"/>
      <c r="KBE195" s="3"/>
      <c r="KBF195" s="3"/>
      <c r="KBG195" s="3"/>
      <c r="KBH195" s="3"/>
      <c r="KBI195" s="3"/>
      <c r="KBJ195" s="3"/>
      <c r="KBK195" s="3"/>
      <c r="KBL195" s="3"/>
      <c r="KBM195" s="3"/>
      <c r="KBN195" s="3"/>
      <c r="KBO195" s="3"/>
      <c r="KBP195" s="3"/>
      <c r="KBQ195" s="3"/>
      <c r="KBR195" s="3"/>
      <c r="KBS195" s="3"/>
      <c r="KBT195" s="3"/>
      <c r="KBU195" s="3"/>
      <c r="KBV195" s="3"/>
      <c r="KBW195" s="3"/>
      <c r="KBX195" s="3"/>
      <c r="KBY195" s="3"/>
      <c r="KBZ195" s="3"/>
      <c r="KCA195" s="3"/>
      <c r="KCB195" s="3"/>
      <c r="KCC195" s="3"/>
      <c r="KCD195" s="3"/>
      <c r="KCE195" s="3"/>
      <c r="KCF195" s="3"/>
      <c r="KCG195" s="3"/>
      <c r="KCH195" s="3"/>
      <c r="KCI195" s="3"/>
      <c r="KCJ195" s="3"/>
      <c r="KCK195" s="3"/>
      <c r="KCL195" s="3"/>
      <c r="KCM195" s="3"/>
      <c r="KCN195" s="3"/>
      <c r="KCO195" s="3"/>
      <c r="KCP195" s="3"/>
      <c r="KCQ195" s="3"/>
      <c r="KCR195" s="3"/>
      <c r="KCS195" s="3"/>
      <c r="KCT195" s="3"/>
      <c r="KCU195" s="3"/>
      <c r="KCV195" s="3"/>
      <c r="KCW195" s="3"/>
      <c r="KCX195" s="3"/>
      <c r="KCY195" s="3"/>
      <c r="KCZ195" s="3"/>
      <c r="KDA195" s="3"/>
      <c r="KDB195" s="3"/>
      <c r="KDC195" s="3"/>
      <c r="KDD195" s="3"/>
      <c r="KDE195" s="3"/>
      <c r="KDF195" s="3"/>
      <c r="KDG195" s="3"/>
      <c r="KDH195" s="3"/>
      <c r="KDI195" s="3"/>
      <c r="KDJ195" s="3"/>
      <c r="KDK195" s="3"/>
      <c r="KDL195" s="3"/>
      <c r="KDM195" s="3"/>
      <c r="KDN195" s="3"/>
      <c r="KDO195" s="3"/>
      <c r="KDP195" s="3"/>
      <c r="KDQ195" s="3"/>
      <c r="KDR195" s="3"/>
      <c r="KDS195" s="3"/>
      <c r="KDT195" s="3"/>
      <c r="KDU195" s="3"/>
      <c r="KDV195" s="3"/>
      <c r="KDW195" s="3"/>
      <c r="KDX195" s="3"/>
      <c r="KDY195" s="3"/>
      <c r="KDZ195" s="3"/>
      <c r="KEA195" s="3"/>
      <c r="KEB195" s="3"/>
      <c r="KEC195" s="3"/>
      <c r="KED195" s="3"/>
      <c r="KEE195" s="3"/>
      <c r="KEF195" s="3"/>
      <c r="KEG195" s="3"/>
      <c r="KEH195" s="3"/>
      <c r="KEI195" s="3"/>
      <c r="KEJ195" s="3"/>
      <c r="KEK195" s="3"/>
      <c r="KEL195" s="3"/>
      <c r="KEM195" s="3"/>
      <c r="KEN195" s="3"/>
      <c r="KEO195" s="3"/>
      <c r="KEP195" s="3"/>
      <c r="KEQ195" s="3"/>
      <c r="KER195" s="3"/>
      <c r="KES195" s="3"/>
      <c r="KET195" s="3"/>
      <c r="KEU195" s="3"/>
      <c r="KEV195" s="3"/>
      <c r="KEW195" s="3"/>
      <c r="KEX195" s="3"/>
      <c r="KEY195" s="3"/>
      <c r="KEZ195" s="3"/>
      <c r="KFA195" s="3"/>
      <c r="KFB195" s="3"/>
      <c r="KFC195" s="3"/>
      <c r="KFD195" s="3"/>
      <c r="KFE195" s="3"/>
      <c r="KFF195" s="3"/>
      <c r="KFG195" s="3"/>
      <c r="KFH195" s="3"/>
      <c r="KFI195" s="3"/>
      <c r="KFJ195" s="3"/>
      <c r="KFK195" s="3"/>
      <c r="KFL195" s="3"/>
      <c r="KFM195" s="3"/>
      <c r="KFN195" s="3"/>
      <c r="KFO195" s="3"/>
      <c r="KFP195" s="3"/>
      <c r="KFQ195" s="3"/>
      <c r="KFR195" s="3"/>
      <c r="KFS195" s="3"/>
      <c r="KFT195" s="3"/>
      <c r="KFU195" s="3"/>
      <c r="KFV195" s="3"/>
      <c r="KFW195" s="3"/>
      <c r="KFX195" s="3"/>
      <c r="KFY195" s="3"/>
      <c r="KFZ195" s="3"/>
      <c r="KGA195" s="3"/>
      <c r="KGB195" s="3"/>
      <c r="KGC195" s="3"/>
      <c r="KGD195" s="3"/>
      <c r="KGE195" s="3"/>
      <c r="KGF195" s="3"/>
      <c r="KGG195" s="3"/>
      <c r="KGH195" s="3"/>
      <c r="KGI195" s="3"/>
      <c r="KGJ195" s="3"/>
      <c r="KGK195" s="3"/>
      <c r="KGL195" s="3"/>
      <c r="KGM195" s="3"/>
      <c r="KGN195" s="3"/>
      <c r="KGO195" s="3"/>
      <c r="KGP195" s="3"/>
      <c r="KGQ195" s="3"/>
      <c r="KGR195" s="3"/>
      <c r="KGS195" s="3"/>
      <c r="KGT195" s="3"/>
      <c r="KGU195" s="3"/>
      <c r="KGV195" s="3"/>
      <c r="KGW195" s="3"/>
      <c r="KGX195" s="3"/>
      <c r="KGY195" s="3"/>
      <c r="KGZ195" s="3"/>
      <c r="KHA195" s="3"/>
      <c r="KHB195" s="3"/>
      <c r="KHC195" s="3"/>
      <c r="KHD195" s="3"/>
      <c r="KHE195" s="3"/>
      <c r="KHF195" s="3"/>
      <c r="KHG195" s="3"/>
      <c r="KHH195" s="3"/>
      <c r="KHI195" s="3"/>
      <c r="KHJ195" s="3"/>
      <c r="KHK195" s="3"/>
      <c r="KHL195" s="3"/>
      <c r="KHM195" s="3"/>
      <c r="KHN195" s="3"/>
      <c r="KHO195" s="3"/>
      <c r="KHP195" s="3"/>
      <c r="KHQ195" s="3"/>
      <c r="KHR195" s="3"/>
      <c r="KHS195" s="3"/>
      <c r="KHT195" s="3"/>
      <c r="KHU195" s="3"/>
      <c r="KHV195" s="3"/>
      <c r="KHW195" s="3"/>
      <c r="KHX195" s="3"/>
      <c r="KHY195" s="3"/>
      <c r="KHZ195" s="3"/>
      <c r="KIA195" s="3"/>
      <c r="KIB195" s="3"/>
      <c r="KIC195" s="3"/>
      <c r="KID195" s="3"/>
      <c r="KIE195" s="3"/>
      <c r="KIF195" s="3"/>
      <c r="KIG195" s="3"/>
      <c r="KIH195" s="3"/>
      <c r="KII195" s="3"/>
      <c r="KIJ195" s="3"/>
      <c r="KIK195" s="3"/>
      <c r="KIL195" s="3"/>
      <c r="KIM195" s="3"/>
      <c r="KIN195" s="3"/>
      <c r="KIO195" s="3"/>
      <c r="KIP195" s="3"/>
      <c r="KIQ195" s="3"/>
      <c r="KIR195" s="3"/>
      <c r="KIS195" s="3"/>
      <c r="KIT195" s="3"/>
      <c r="KIU195" s="3"/>
      <c r="KIV195" s="3"/>
      <c r="KIW195" s="3"/>
      <c r="KIX195" s="3"/>
      <c r="KIY195" s="3"/>
      <c r="KIZ195" s="3"/>
      <c r="KJA195" s="3"/>
      <c r="KJB195" s="3"/>
      <c r="KJC195" s="3"/>
      <c r="KJD195" s="3"/>
      <c r="KJE195" s="3"/>
      <c r="KJF195" s="3"/>
      <c r="KJG195" s="3"/>
      <c r="KJH195" s="3"/>
      <c r="KJI195" s="3"/>
      <c r="KJJ195" s="3"/>
      <c r="KJK195" s="3"/>
      <c r="KJL195" s="3"/>
      <c r="KJM195" s="3"/>
      <c r="KJN195" s="3"/>
      <c r="KJO195" s="3"/>
      <c r="KJP195" s="3"/>
      <c r="KJQ195" s="3"/>
      <c r="KJR195" s="3"/>
      <c r="KJS195" s="3"/>
      <c r="KJT195" s="3"/>
      <c r="KJU195" s="3"/>
      <c r="KJV195" s="3"/>
      <c r="KJW195" s="3"/>
      <c r="KJX195" s="3"/>
      <c r="KJY195" s="3"/>
      <c r="KJZ195" s="3"/>
      <c r="KKA195" s="3"/>
      <c r="KKB195" s="3"/>
      <c r="KKC195" s="3"/>
      <c r="KKD195" s="3"/>
      <c r="KKE195" s="3"/>
      <c r="KKF195" s="3"/>
      <c r="KKG195" s="3"/>
      <c r="KKH195" s="3"/>
      <c r="KKI195" s="3"/>
      <c r="KKJ195" s="3"/>
      <c r="KKK195" s="3"/>
      <c r="KKL195" s="3"/>
      <c r="KKM195" s="3"/>
      <c r="KKN195" s="3"/>
      <c r="KKO195" s="3"/>
      <c r="KKP195" s="3"/>
      <c r="KKQ195" s="3"/>
      <c r="KKR195" s="3"/>
      <c r="KKS195" s="3"/>
      <c r="KKT195" s="3"/>
      <c r="KKU195" s="3"/>
      <c r="KKV195" s="3"/>
      <c r="KKW195" s="3"/>
      <c r="KKX195" s="3"/>
      <c r="KKY195" s="3"/>
      <c r="KKZ195" s="3"/>
      <c r="KLA195" s="3"/>
      <c r="KLB195" s="3"/>
      <c r="KLC195" s="3"/>
      <c r="KLD195" s="3"/>
      <c r="KLE195" s="3"/>
      <c r="KLF195" s="3"/>
      <c r="KLG195" s="3"/>
      <c r="KLH195" s="3"/>
      <c r="KLI195" s="3"/>
      <c r="KLJ195" s="3"/>
      <c r="KLK195" s="3"/>
      <c r="KLL195" s="3"/>
      <c r="KLM195" s="3"/>
      <c r="KLN195" s="3"/>
      <c r="KLO195" s="3"/>
      <c r="KLP195" s="3"/>
      <c r="KLQ195" s="3"/>
      <c r="KLR195" s="3"/>
      <c r="KLS195" s="3"/>
      <c r="KLT195" s="3"/>
      <c r="KLU195" s="3"/>
      <c r="KLV195" s="3"/>
      <c r="KLW195" s="3"/>
      <c r="KLX195" s="3"/>
      <c r="KLY195" s="3"/>
      <c r="KLZ195" s="3"/>
      <c r="KMA195" s="3"/>
      <c r="KMB195" s="3"/>
      <c r="KMC195" s="3"/>
      <c r="KMD195" s="3"/>
      <c r="KME195" s="3"/>
      <c r="KMF195" s="3"/>
      <c r="KMG195" s="3"/>
      <c r="KMH195" s="3"/>
      <c r="KMI195" s="3"/>
      <c r="KMJ195" s="3"/>
      <c r="KMK195" s="3"/>
      <c r="KML195" s="3"/>
      <c r="KMM195" s="3"/>
      <c r="KMN195" s="3"/>
      <c r="KMO195" s="3"/>
      <c r="KMP195" s="3"/>
      <c r="KMQ195" s="3"/>
      <c r="KMR195" s="3"/>
      <c r="KMS195" s="3"/>
      <c r="KMT195" s="3"/>
      <c r="KMU195" s="3"/>
      <c r="KMV195" s="3"/>
      <c r="KMW195" s="3"/>
      <c r="KMX195" s="3"/>
      <c r="KMY195" s="3"/>
      <c r="KMZ195" s="3"/>
      <c r="KNA195" s="3"/>
      <c r="KNB195" s="3"/>
      <c r="KNC195" s="3"/>
      <c r="KND195" s="3"/>
      <c r="KNE195" s="3"/>
      <c r="KNF195" s="3"/>
      <c r="KNG195" s="3"/>
      <c r="KNH195" s="3"/>
      <c r="KNI195" s="3"/>
      <c r="KNJ195" s="3"/>
      <c r="KNK195" s="3"/>
      <c r="KNL195" s="3"/>
      <c r="KNM195" s="3"/>
      <c r="KNN195" s="3"/>
      <c r="KNO195" s="3"/>
      <c r="KNP195" s="3"/>
      <c r="KNQ195" s="3"/>
      <c r="KNR195" s="3"/>
      <c r="KNS195" s="3"/>
      <c r="KNT195" s="3"/>
      <c r="KNU195" s="3"/>
      <c r="KNV195" s="3"/>
      <c r="KNW195" s="3"/>
      <c r="KNX195" s="3"/>
      <c r="KNY195" s="3"/>
      <c r="KNZ195" s="3"/>
      <c r="KOA195" s="3"/>
      <c r="KOB195" s="3"/>
      <c r="KOC195" s="3"/>
      <c r="KOD195" s="3"/>
      <c r="KOE195" s="3"/>
      <c r="KOF195" s="3"/>
      <c r="KOG195" s="3"/>
      <c r="KOH195" s="3"/>
      <c r="KOI195" s="3"/>
      <c r="KOJ195" s="3"/>
      <c r="KOK195" s="3"/>
      <c r="KOL195" s="3"/>
      <c r="KOM195" s="3"/>
      <c r="KON195" s="3"/>
      <c r="KOO195" s="3"/>
      <c r="KOP195" s="3"/>
      <c r="KOQ195" s="3"/>
      <c r="KOR195" s="3"/>
      <c r="KOS195" s="3"/>
      <c r="KOT195" s="3"/>
      <c r="KOU195" s="3"/>
      <c r="KOV195" s="3"/>
      <c r="KOW195" s="3"/>
      <c r="KOX195" s="3"/>
      <c r="KOY195" s="3"/>
      <c r="KOZ195" s="3"/>
      <c r="KPA195" s="3"/>
      <c r="KPB195" s="3"/>
      <c r="KPC195" s="3"/>
      <c r="KPD195" s="3"/>
      <c r="KPE195" s="3"/>
      <c r="KPF195" s="3"/>
      <c r="KPG195" s="3"/>
      <c r="KPH195" s="3"/>
      <c r="KPI195" s="3"/>
      <c r="KPJ195" s="3"/>
      <c r="KPK195" s="3"/>
      <c r="KPL195" s="3"/>
      <c r="KPM195" s="3"/>
      <c r="KPN195" s="3"/>
      <c r="KPO195" s="3"/>
      <c r="KPP195" s="3"/>
      <c r="KPQ195" s="3"/>
      <c r="KPR195" s="3"/>
      <c r="KPS195" s="3"/>
      <c r="KPT195" s="3"/>
      <c r="KPU195" s="3"/>
      <c r="KPV195" s="3"/>
      <c r="KPW195" s="3"/>
      <c r="KPX195" s="3"/>
      <c r="KPY195" s="3"/>
      <c r="KPZ195" s="3"/>
      <c r="KQA195" s="3"/>
      <c r="KQB195" s="3"/>
      <c r="KQC195" s="3"/>
      <c r="KQD195" s="3"/>
      <c r="KQE195" s="3"/>
      <c r="KQF195" s="3"/>
      <c r="KQG195" s="3"/>
      <c r="KQH195" s="3"/>
      <c r="KQI195" s="3"/>
      <c r="KQJ195" s="3"/>
      <c r="KQK195" s="3"/>
      <c r="KQL195" s="3"/>
      <c r="KQM195" s="3"/>
      <c r="KQN195" s="3"/>
      <c r="KQO195" s="3"/>
      <c r="KQP195" s="3"/>
      <c r="KQQ195" s="3"/>
      <c r="KQR195" s="3"/>
      <c r="KQS195" s="3"/>
      <c r="KQT195" s="3"/>
      <c r="KQU195" s="3"/>
      <c r="KQV195" s="3"/>
      <c r="KQW195" s="3"/>
      <c r="KQX195" s="3"/>
      <c r="KQY195" s="3"/>
      <c r="KQZ195" s="3"/>
      <c r="KRA195" s="3"/>
      <c r="KRB195" s="3"/>
      <c r="KRC195" s="3"/>
      <c r="KRD195" s="3"/>
      <c r="KRE195" s="3"/>
      <c r="KRF195" s="3"/>
      <c r="KRG195" s="3"/>
      <c r="KRH195" s="3"/>
      <c r="KRI195" s="3"/>
      <c r="KRJ195" s="3"/>
      <c r="KRK195" s="3"/>
      <c r="KRL195" s="3"/>
      <c r="KRM195" s="3"/>
      <c r="KRN195" s="3"/>
      <c r="KRO195" s="3"/>
      <c r="KRP195" s="3"/>
      <c r="KRQ195" s="3"/>
      <c r="KRR195" s="3"/>
      <c r="KRS195" s="3"/>
      <c r="KRT195" s="3"/>
      <c r="KRU195" s="3"/>
      <c r="KRV195" s="3"/>
      <c r="KRW195" s="3"/>
      <c r="KRX195" s="3"/>
      <c r="KRY195" s="3"/>
      <c r="KRZ195" s="3"/>
      <c r="KSA195" s="3"/>
      <c r="KSB195" s="3"/>
      <c r="KSC195" s="3"/>
      <c r="KSD195" s="3"/>
      <c r="KSE195" s="3"/>
      <c r="KSF195" s="3"/>
      <c r="KSG195" s="3"/>
      <c r="KSH195" s="3"/>
      <c r="KSI195" s="3"/>
      <c r="KSJ195" s="3"/>
      <c r="KSK195" s="3"/>
      <c r="KSL195" s="3"/>
      <c r="KSM195" s="3"/>
      <c r="KSN195" s="3"/>
      <c r="KSO195" s="3"/>
      <c r="KSP195" s="3"/>
      <c r="KSQ195" s="3"/>
      <c r="KSR195" s="3"/>
      <c r="KSS195" s="3"/>
      <c r="KST195" s="3"/>
      <c r="KSU195" s="3"/>
      <c r="KSV195" s="3"/>
      <c r="KSW195" s="3"/>
      <c r="KSX195" s="3"/>
      <c r="KSY195" s="3"/>
      <c r="KSZ195" s="3"/>
      <c r="KTA195" s="3"/>
      <c r="KTB195" s="3"/>
      <c r="KTC195" s="3"/>
      <c r="KTD195" s="3"/>
      <c r="KTE195" s="3"/>
      <c r="KTF195" s="3"/>
      <c r="KTG195" s="3"/>
      <c r="KTH195" s="3"/>
      <c r="KTI195" s="3"/>
      <c r="KTJ195" s="3"/>
      <c r="KTK195" s="3"/>
      <c r="KTL195" s="3"/>
      <c r="KTM195" s="3"/>
      <c r="KTN195" s="3"/>
      <c r="KTO195" s="3"/>
      <c r="KTP195" s="3"/>
      <c r="KTQ195" s="3"/>
      <c r="KTR195" s="3"/>
      <c r="KTS195" s="3"/>
      <c r="KTT195" s="3"/>
      <c r="KTU195" s="3"/>
      <c r="KTV195" s="3"/>
      <c r="KTW195" s="3"/>
      <c r="KTX195" s="3"/>
      <c r="KTY195" s="3"/>
      <c r="KTZ195" s="3"/>
      <c r="KUA195" s="3"/>
      <c r="KUB195" s="3"/>
      <c r="KUC195" s="3"/>
      <c r="KUD195" s="3"/>
      <c r="KUE195" s="3"/>
      <c r="KUF195" s="3"/>
      <c r="KUG195" s="3"/>
      <c r="KUH195" s="3"/>
      <c r="KUI195" s="3"/>
      <c r="KUJ195" s="3"/>
      <c r="KUK195" s="3"/>
      <c r="KUL195" s="3"/>
      <c r="KUM195" s="3"/>
      <c r="KUN195" s="3"/>
      <c r="KUO195" s="3"/>
      <c r="KUP195" s="3"/>
      <c r="KUQ195" s="3"/>
      <c r="KUR195" s="3"/>
      <c r="KUS195" s="3"/>
      <c r="KUT195" s="3"/>
      <c r="KUU195" s="3"/>
      <c r="KUV195" s="3"/>
      <c r="KUW195" s="3"/>
      <c r="KUX195" s="3"/>
      <c r="KUY195" s="3"/>
      <c r="KUZ195" s="3"/>
      <c r="KVA195" s="3"/>
      <c r="KVB195" s="3"/>
      <c r="KVC195" s="3"/>
      <c r="KVD195" s="3"/>
      <c r="KVE195" s="3"/>
      <c r="KVF195" s="3"/>
      <c r="KVG195" s="3"/>
      <c r="KVH195" s="3"/>
      <c r="KVI195" s="3"/>
      <c r="KVJ195" s="3"/>
      <c r="KVK195" s="3"/>
      <c r="KVL195" s="3"/>
      <c r="KVM195" s="3"/>
      <c r="KVN195" s="3"/>
      <c r="KVO195" s="3"/>
      <c r="KVP195" s="3"/>
      <c r="KVQ195" s="3"/>
      <c r="KVR195" s="3"/>
      <c r="KVS195" s="3"/>
      <c r="KVT195" s="3"/>
      <c r="KVU195" s="3"/>
      <c r="KVV195" s="3"/>
      <c r="KVW195" s="3"/>
      <c r="KVX195" s="3"/>
      <c r="KVY195" s="3"/>
      <c r="KVZ195" s="3"/>
      <c r="KWA195" s="3"/>
      <c r="KWB195" s="3"/>
      <c r="KWC195" s="3"/>
      <c r="KWD195" s="3"/>
      <c r="KWE195" s="3"/>
      <c r="KWF195" s="3"/>
      <c r="KWG195" s="3"/>
      <c r="KWH195" s="3"/>
      <c r="KWI195" s="3"/>
      <c r="KWJ195" s="3"/>
      <c r="KWK195" s="3"/>
      <c r="KWL195" s="3"/>
      <c r="KWM195" s="3"/>
      <c r="KWN195" s="3"/>
      <c r="KWO195" s="3"/>
      <c r="KWP195" s="3"/>
      <c r="KWQ195" s="3"/>
      <c r="KWR195" s="3"/>
      <c r="KWS195" s="3"/>
      <c r="KWT195" s="3"/>
      <c r="KWU195" s="3"/>
      <c r="KWV195" s="3"/>
      <c r="KWW195" s="3"/>
      <c r="KWX195" s="3"/>
      <c r="KWY195" s="3"/>
      <c r="KWZ195" s="3"/>
      <c r="KXA195" s="3"/>
      <c r="KXB195" s="3"/>
      <c r="KXC195" s="3"/>
      <c r="KXD195" s="3"/>
      <c r="KXE195" s="3"/>
      <c r="KXF195" s="3"/>
      <c r="KXG195" s="3"/>
      <c r="KXH195" s="3"/>
      <c r="KXI195" s="3"/>
      <c r="KXJ195" s="3"/>
      <c r="KXK195" s="3"/>
      <c r="KXL195" s="3"/>
      <c r="KXM195" s="3"/>
      <c r="KXN195" s="3"/>
      <c r="KXO195" s="3"/>
      <c r="KXP195" s="3"/>
      <c r="KXQ195" s="3"/>
      <c r="KXR195" s="3"/>
      <c r="KXS195" s="3"/>
      <c r="KXT195" s="3"/>
      <c r="KXU195" s="3"/>
      <c r="KXV195" s="3"/>
      <c r="KXW195" s="3"/>
      <c r="KXX195" s="3"/>
      <c r="KXY195" s="3"/>
      <c r="KXZ195" s="3"/>
      <c r="KYA195" s="3"/>
      <c r="KYB195" s="3"/>
      <c r="KYC195" s="3"/>
      <c r="KYD195" s="3"/>
      <c r="KYE195" s="3"/>
      <c r="KYF195" s="3"/>
      <c r="KYG195" s="3"/>
      <c r="KYH195" s="3"/>
      <c r="KYI195" s="3"/>
      <c r="KYJ195" s="3"/>
      <c r="KYK195" s="3"/>
      <c r="KYL195" s="3"/>
      <c r="KYM195" s="3"/>
      <c r="KYN195" s="3"/>
      <c r="KYO195" s="3"/>
      <c r="KYP195" s="3"/>
      <c r="KYQ195" s="3"/>
      <c r="KYR195" s="3"/>
      <c r="KYS195" s="3"/>
      <c r="KYT195" s="3"/>
      <c r="KYU195" s="3"/>
      <c r="KYV195" s="3"/>
      <c r="KYW195" s="3"/>
      <c r="KYX195" s="3"/>
      <c r="KYY195" s="3"/>
      <c r="KYZ195" s="3"/>
      <c r="KZA195" s="3"/>
      <c r="KZB195" s="3"/>
      <c r="KZC195" s="3"/>
      <c r="KZD195" s="3"/>
      <c r="KZE195" s="3"/>
      <c r="KZF195" s="3"/>
      <c r="KZG195" s="3"/>
      <c r="KZH195" s="3"/>
      <c r="KZI195" s="3"/>
      <c r="KZJ195" s="3"/>
      <c r="KZK195" s="3"/>
      <c r="KZL195" s="3"/>
      <c r="KZM195" s="3"/>
      <c r="KZN195" s="3"/>
      <c r="KZO195" s="3"/>
      <c r="KZP195" s="3"/>
      <c r="KZQ195" s="3"/>
      <c r="KZR195" s="3"/>
      <c r="KZS195" s="3"/>
      <c r="KZT195" s="3"/>
      <c r="KZU195" s="3"/>
      <c r="KZV195" s="3"/>
      <c r="KZW195" s="3"/>
      <c r="KZX195" s="3"/>
      <c r="KZY195" s="3"/>
      <c r="KZZ195" s="3"/>
      <c r="LAA195" s="3"/>
      <c r="LAB195" s="3"/>
      <c r="LAC195" s="3"/>
      <c r="LAD195" s="3"/>
      <c r="LAE195" s="3"/>
      <c r="LAF195" s="3"/>
      <c r="LAG195" s="3"/>
      <c r="LAH195" s="3"/>
      <c r="LAI195" s="3"/>
      <c r="LAJ195" s="3"/>
      <c r="LAK195" s="3"/>
      <c r="LAL195" s="3"/>
      <c r="LAM195" s="3"/>
      <c r="LAN195" s="3"/>
      <c r="LAO195" s="3"/>
      <c r="LAP195" s="3"/>
      <c r="LAQ195" s="3"/>
      <c r="LAR195" s="3"/>
      <c r="LAS195" s="3"/>
      <c r="LAT195" s="3"/>
      <c r="LAU195" s="3"/>
      <c r="LAV195" s="3"/>
      <c r="LAW195" s="3"/>
      <c r="LAX195" s="3"/>
      <c r="LAY195" s="3"/>
      <c r="LAZ195" s="3"/>
      <c r="LBA195" s="3"/>
      <c r="LBB195" s="3"/>
      <c r="LBC195" s="3"/>
      <c r="LBD195" s="3"/>
      <c r="LBE195" s="3"/>
      <c r="LBF195" s="3"/>
      <c r="LBG195" s="3"/>
      <c r="LBH195" s="3"/>
      <c r="LBI195" s="3"/>
      <c r="LBJ195" s="3"/>
      <c r="LBK195" s="3"/>
      <c r="LBL195" s="3"/>
      <c r="LBM195" s="3"/>
      <c r="LBN195" s="3"/>
      <c r="LBO195" s="3"/>
      <c r="LBP195" s="3"/>
      <c r="LBQ195" s="3"/>
      <c r="LBR195" s="3"/>
      <c r="LBS195" s="3"/>
      <c r="LBT195" s="3"/>
      <c r="LBU195" s="3"/>
      <c r="LBV195" s="3"/>
      <c r="LBW195" s="3"/>
      <c r="LBX195" s="3"/>
      <c r="LBY195" s="3"/>
      <c r="LBZ195" s="3"/>
      <c r="LCA195" s="3"/>
      <c r="LCB195" s="3"/>
      <c r="LCC195" s="3"/>
      <c r="LCD195" s="3"/>
      <c r="LCE195" s="3"/>
      <c r="LCF195" s="3"/>
      <c r="LCG195" s="3"/>
      <c r="LCH195" s="3"/>
      <c r="LCI195" s="3"/>
      <c r="LCJ195" s="3"/>
      <c r="LCK195" s="3"/>
      <c r="LCL195" s="3"/>
      <c r="LCM195" s="3"/>
      <c r="LCN195" s="3"/>
      <c r="LCO195" s="3"/>
      <c r="LCP195" s="3"/>
      <c r="LCQ195" s="3"/>
      <c r="LCR195" s="3"/>
      <c r="LCS195" s="3"/>
      <c r="LCT195" s="3"/>
      <c r="LCU195" s="3"/>
      <c r="LCV195" s="3"/>
      <c r="LCW195" s="3"/>
      <c r="LCX195" s="3"/>
      <c r="LCY195" s="3"/>
      <c r="LCZ195" s="3"/>
      <c r="LDA195" s="3"/>
      <c r="LDB195" s="3"/>
      <c r="LDC195" s="3"/>
      <c r="LDD195" s="3"/>
      <c r="LDE195" s="3"/>
      <c r="LDF195" s="3"/>
      <c r="LDG195" s="3"/>
      <c r="LDH195" s="3"/>
      <c r="LDI195" s="3"/>
      <c r="LDJ195" s="3"/>
      <c r="LDK195" s="3"/>
      <c r="LDL195" s="3"/>
      <c r="LDM195" s="3"/>
      <c r="LDN195" s="3"/>
      <c r="LDO195" s="3"/>
      <c r="LDP195" s="3"/>
      <c r="LDQ195" s="3"/>
      <c r="LDR195" s="3"/>
      <c r="LDS195" s="3"/>
      <c r="LDT195" s="3"/>
      <c r="LDU195" s="3"/>
      <c r="LDV195" s="3"/>
      <c r="LDW195" s="3"/>
      <c r="LDX195" s="3"/>
      <c r="LDY195" s="3"/>
      <c r="LDZ195" s="3"/>
      <c r="LEA195" s="3"/>
      <c r="LEB195" s="3"/>
      <c r="LEC195" s="3"/>
      <c r="LED195" s="3"/>
      <c r="LEE195" s="3"/>
      <c r="LEF195" s="3"/>
      <c r="LEG195" s="3"/>
      <c r="LEH195" s="3"/>
      <c r="LEI195" s="3"/>
      <c r="LEJ195" s="3"/>
      <c r="LEK195" s="3"/>
      <c r="LEL195" s="3"/>
      <c r="LEM195" s="3"/>
      <c r="LEN195" s="3"/>
      <c r="LEO195" s="3"/>
      <c r="LEP195" s="3"/>
      <c r="LEQ195" s="3"/>
      <c r="LER195" s="3"/>
      <c r="LES195" s="3"/>
      <c r="LET195" s="3"/>
      <c r="LEU195" s="3"/>
      <c r="LEV195" s="3"/>
      <c r="LEW195" s="3"/>
      <c r="LEX195" s="3"/>
      <c r="LEY195" s="3"/>
      <c r="LEZ195" s="3"/>
      <c r="LFA195" s="3"/>
      <c r="LFB195" s="3"/>
      <c r="LFC195" s="3"/>
      <c r="LFD195" s="3"/>
      <c r="LFE195" s="3"/>
      <c r="LFF195" s="3"/>
      <c r="LFG195" s="3"/>
      <c r="LFH195" s="3"/>
      <c r="LFI195" s="3"/>
      <c r="LFJ195" s="3"/>
      <c r="LFK195" s="3"/>
      <c r="LFL195" s="3"/>
      <c r="LFM195" s="3"/>
      <c r="LFN195" s="3"/>
      <c r="LFO195" s="3"/>
      <c r="LFP195" s="3"/>
      <c r="LFQ195" s="3"/>
      <c r="LFR195" s="3"/>
      <c r="LFS195" s="3"/>
      <c r="LFT195" s="3"/>
      <c r="LFU195" s="3"/>
      <c r="LFV195" s="3"/>
      <c r="LFW195" s="3"/>
      <c r="LFX195" s="3"/>
      <c r="LFY195" s="3"/>
      <c r="LFZ195" s="3"/>
      <c r="LGA195" s="3"/>
      <c r="LGB195" s="3"/>
      <c r="LGC195" s="3"/>
      <c r="LGD195" s="3"/>
      <c r="LGE195" s="3"/>
      <c r="LGF195" s="3"/>
      <c r="LGG195" s="3"/>
      <c r="LGH195" s="3"/>
      <c r="LGI195" s="3"/>
      <c r="LGJ195" s="3"/>
      <c r="LGK195" s="3"/>
      <c r="LGL195" s="3"/>
      <c r="LGM195" s="3"/>
      <c r="LGN195" s="3"/>
      <c r="LGO195" s="3"/>
      <c r="LGP195" s="3"/>
      <c r="LGQ195" s="3"/>
      <c r="LGR195" s="3"/>
      <c r="LGS195" s="3"/>
      <c r="LGT195" s="3"/>
      <c r="LGU195" s="3"/>
      <c r="LGV195" s="3"/>
      <c r="LGW195" s="3"/>
      <c r="LGX195" s="3"/>
      <c r="LGY195" s="3"/>
      <c r="LGZ195" s="3"/>
      <c r="LHA195" s="3"/>
      <c r="LHB195" s="3"/>
      <c r="LHC195" s="3"/>
      <c r="LHD195" s="3"/>
      <c r="LHE195" s="3"/>
      <c r="LHF195" s="3"/>
      <c r="LHG195" s="3"/>
      <c r="LHH195" s="3"/>
      <c r="LHI195" s="3"/>
      <c r="LHJ195" s="3"/>
      <c r="LHK195" s="3"/>
      <c r="LHL195" s="3"/>
      <c r="LHM195" s="3"/>
      <c r="LHN195" s="3"/>
      <c r="LHO195" s="3"/>
      <c r="LHP195" s="3"/>
      <c r="LHQ195" s="3"/>
      <c r="LHR195" s="3"/>
      <c r="LHS195" s="3"/>
      <c r="LHT195" s="3"/>
      <c r="LHU195" s="3"/>
      <c r="LHV195" s="3"/>
      <c r="LHW195" s="3"/>
      <c r="LHX195" s="3"/>
      <c r="LHY195" s="3"/>
      <c r="LHZ195" s="3"/>
      <c r="LIA195" s="3"/>
      <c r="LIB195" s="3"/>
      <c r="LIC195" s="3"/>
      <c r="LID195" s="3"/>
      <c r="LIE195" s="3"/>
      <c r="LIF195" s="3"/>
      <c r="LIG195" s="3"/>
      <c r="LIH195" s="3"/>
      <c r="LII195" s="3"/>
      <c r="LIJ195" s="3"/>
      <c r="LIK195" s="3"/>
      <c r="LIL195" s="3"/>
      <c r="LIM195" s="3"/>
      <c r="LIN195" s="3"/>
      <c r="LIO195" s="3"/>
      <c r="LIP195" s="3"/>
      <c r="LIQ195" s="3"/>
      <c r="LIR195" s="3"/>
      <c r="LIS195" s="3"/>
      <c r="LIT195" s="3"/>
      <c r="LIU195" s="3"/>
      <c r="LIV195" s="3"/>
      <c r="LIW195" s="3"/>
      <c r="LIX195" s="3"/>
      <c r="LIY195" s="3"/>
      <c r="LIZ195" s="3"/>
      <c r="LJA195" s="3"/>
      <c r="LJB195" s="3"/>
      <c r="LJC195" s="3"/>
      <c r="LJD195" s="3"/>
      <c r="LJE195" s="3"/>
      <c r="LJF195" s="3"/>
      <c r="LJG195" s="3"/>
      <c r="LJH195" s="3"/>
      <c r="LJI195" s="3"/>
      <c r="LJJ195" s="3"/>
      <c r="LJK195" s="3"/>
      <c r="LJL195" s="3"/>
      <c r="LJM195" s="3"/>
      <c r="LJN195" s="3"/>
      <c r="LJO195" s="3"/>
      <c r="LJP195" s="3"/>
      <c r="LJQ195" s="3"/>
      <c r="LJR195" s="3"/>
      <c r="LJS195" s="3"/>
      <c r="LJT195" s="3"/>
      <c r="LJU195" s="3"/>
      <c r="LJV195" s="3"/>
      <c r="LJW195" s="3"/>
      <c r="LJX195" s="3"/>
      <c r="LJY195" s="3"/>
      <c r="LJZ195" s="3"/>
      <c r="LKA195" s="3"/>
      <c r="LKB195" s="3"/>
      <c r="LKC195" s="3"/>
      <c r="LKD195" s="3"/>
      <c r="LKE195" s="3"/>
      <c r="LKF195" s="3"/>
      <c r="LKG195" s="3"/>
      <c r="LKH195" s="3"/>
      <c r="LKI195" s="3"/>
      <c r="LKJ195" s="3"/>
      <c r="LKK195" s="3"/>
      <c r="LKL195" s="3"/>
      <c r="LKM195" s="3"/>
      <c r="LKN195" s="3"/>
      <c r="LKO195" s="3"/>
      <c r="LKP195" s="3"/>
      <c r="LKQ195" s="3"/>
      <c r="LKR195" s="3"/>
      <c r="LKS195" s="3"/>
      <c r="LKT195" s="3"/>
      <c r="LKU195" s="3"/>
      <c r="LKV195" s="3"/>
      <c r="LKW195" s="3"/>
      <c r="LKX195" s="3"/>
      <c r="LKY195" s="3"/>
      <c r="LKZ195" s="3"/>
      <c r="LLA195" s="3"/>
      <c r="LLB195" s="3"/>
      <c r="LLC195" s="3"/>
      <c r="LLD195" s="3"/>
      <c r="LLE195" s="3"/>
      <c r="LLF195" s="3"/>
      <c r="LLG195" s="3"/>
      <c r="LLH195" s="3"/>
      <c r="LLI195" s="3"/>
      <c r="LLJ195" s="3"/>
      <c r="LLK195" s="3"/>
      <c r="LLL195" s="3"/>
      <c r="LLM195" s="3"/>
      <c r="LLN195" s="3"/>
      <c r="LLO195" s="3"/>
      <c r="LLP195" s="3"/>
      <c r="LLQ195" s="3"/>
      <c r="LLR195" s="3"/>
      <c r="LLS195" s="3"/>
      <c r="LLT195" s="3"/>
      <c r="LLU195" s="3"/>
      <c r="LLV195" s="3"/>
      <c r="LLW195" s="3"/>
      <c r="LLX195" s="3"/>
      <c r="LLY195" s="3"/>
      <c r="LLZ195" s="3"/>
      <c r="LMA195" s="3"/>
      <c r="LMB195" s="3"/>
      <c r="LMC195" s="3"/>
      <c r="LMD195" s="3"/>
      <c r="LME195" s="3"/>
      <c r="LMF195" s="3"/>
      <c r="LMG195" s="3"/>
      <c r="LMH195" s="3"/>
      <c r="LMI195" s="3"/>
      <c r="LMJ195" s="3"/>
      <c r="LMK195" s="3"/>
      <c r="LML195" s="3"/>
      <c r="LMM195" s="3"/>
      <c r="LMN195" s="3"/>
      <c r="LMO195" s="3"/>
      <c r="LMP195" s="3"/>
      <c r="LMQ195" s="3"/>
      <c r="LMR195" s="3"/>
      <c r="LMS195" s="3"/>
      <c r="LMT195" s="3"/>
      <c r="LMU195" s="3"/>
      <c r="LMV195" s="3"/>
      <c r="LMW195" s="3"/>
      <c r="LMX195" s="3"/>
      <c r="LMY195" s="3"/>
      <c r="LMZ195" s="3"/>
      <c r="LNA195" s="3"/>
      <c r="LNB195" s="3"/>
      <c r="LNC195" s="3"/>
      <c r="LND195" s="3"/>
      <c r="LNE195" s="3"/>
      <c r="LNF195" s="3"/>
      <c r="LNG195" s="3"/>
      <c r="LNH195" s="3"/>
      <c r="LNI195" s="3"/>
      <c r="LNJ195" s="3"/>
      <c r="LNK195" s="3"/>
      <c r="LNL195" s="3"/>
      <c r="LNM195" s="3"/>
      <c r="LNN195" s="3"/>
      <c r="LNO195" s="3"/>
      <c r="LNP195" s="3"/>
      <c r="LNQ195" s="3"/>
      <c r="LNR195" s="3"/>
      <c r="LNS195" s="3"/>
      <c r="LNT195" s="3"/>
      <c r="LNU195" s="3"/>
      <c r="LNV195" s="3"/>
      <c r="LNW195" s="3"/>
      <c r="LNX195" s="3"/>
      <c r="LNY195" s="3"/>
      <c r="LNZ195" s="3"/>
      <c r="LOA195" s="3"/>
      <c r="LOB195" s="3"/>
      <c r="LOC195" s="3"/>
      <c r="LOD195" s="3"/>
      <c r="LOE195" s="3"/>
      <c r="LOF195" s="3"/>
      <c r="LOG195" s="3"/>
      <c r="LOH195" s="3"/>
      <c r="LOI195" s="3"/>
      <c r="LOJ195" s="3"/>
      <c r="LOK195" s="3"/>
      <c r="LOL195" s="3"/>
      <c r="LOM195" s="3"/>
      <c r="LON195" s="3"/>
      <c r="LOO195" s="3"/>
      <c r="LOP195" s="3"/>
      <c r="LOQ195" s="3"/>
      <c r="LOR195" s="3"/>
      <c r="LOS195" s="3"/>
      <c r="LOT195" s="3"/>
      <c r="LOU195" s="3"/>
      <c r="LOV195" s="3"/>
      <c r="LOW195" s="3"/>
      <c r="LOX195" s="3"/>
      <c r="LOY195" s="3"/>
      <c r="LOZ195" s="3"/>
      <c r="LPA195" s="3"/>
      <c r="LPB195" s="3"/>
      <c r="LPC195" s="3"/>
      <c r="LPD195" s="3"/>
      <c r="LPE195" s="3"/>
      <c r="LPF195" s="3"/>
      <c r="LPG195" s="3"/>
      <c r="LPH195" s="3"/>
      <c r="LPI195" s="3"/>
      <c r="LPJ195" s="3"/>
      <c r="LPK195" s="3"/>
      <c r="LPL195" s="3"/>
      <c r="LPM195" s="3"/>
      <c r="LPN195" s="3"/>
      <c r="LPO195" s="3"/>
      <c r="LPP195" s="3"/>
      <c r="LPQ195" s="3"/>
      <c r="LPR195" s="3"/>
      <c r="LPS195" s="3"/>
      <c r="LPT195" s="3"/>
      <c r="LPU195" s="3"/>
      <c r="LPV195" s="3"/>
      <c r="LPW195" s="3"/>
      <c r="LPX195" s="3"/>
      <c r="LPY195" s="3"/>
      <c r="LPZ195" s="3"/>
      <c r="LQA195" s="3"/>
      <c r="LQB195" s="3"/>
      <c r="LQC195" s="3"/>
      <c r="LQD195" s="3"/>
      <c r="LQE195" s="3"/>
      <c r="LQF195" s="3"/>
      <c r="LQG195" s="3"/>
      <c r="LQH195" s="3"/>
      <c r="LQI195" s="3"/>
      <c r="LQJ195" s="3"/>
      <c r="LQK195" s="3"/>
      <c r="LQL195" s="3"/>
      <c r="LQM195" s="3"/>
      <c r="LQN195" s="3"/>
      <c r="LQO195" s="3"/>
      <c r="LQP195" s="3"/>
      <c r="LQQ195" s="3"/>
      <c r="LQR195" s="3"/>
      <c r="LQS195" s="3"/>
      <c r="LQT195" s="3"/>
      <c r="LQU195" s="3"/>
      <c r="LQV195" s="3"/>
      <c r="LQW195" s="3"/>
      <c r="LQX195" s="3"/>
      <c r="LQY195" s="3"/>
      <c r="LQZ195" s="3"/>
      <c r="LRA195" s="3"/>
      <c r="LRB195" s="3"/>
      <c r="LRC195" s="3"/>
      <c r="LRD195" s="3"/>
      <c r="LRE195" s="3"/>
      <c r="LRF195" s="3"/>
      <c r="LRG195" s="3"/>
      <c r="LRH195" s="3"/>
      <c r="LRI195" s="3"/>
      <c r="LRJ195" s="3"/>
      <c r="LRK195" s="3"/>
      <c r="LRL195" s="3"/>
      <c r="LRM195" s="3"/>
      <c r="LRN195" s="3"/>
      <c r="LRO195" s="3"/>
      <c r="LRP195" s="3"/>
      <c r="LRQ195" s="3"/>
      <c r="LRR195" s="3"/>
      <c r="LRS195" s="3"/>
      <c r="LRT195" s="3"/>
      <c r="LRU195" s="3"/>
      <c r="LRV195" s="3"/>
      <c r="LRW195" s="3"/>
      <c r="LRX195" s="3"/>
      <c r="LRY195" s="3"/>
      <c r="LRZ195" s="3"/>
      <c r="LSA195" s="3"/>
      <c r="LSB195" s="3"/>
      <c r="LSC195" s="3"/>
      <c r="LSD195" s="3"/>
      <c r="LSE195" s="3"/>
      <c r="LSF195" s="3"/>
      <c r="LSG195" s="3"/>
      <c r="LSH195" s="3"/>
      <c r="LSI195" s="3"/>
      <c r="LSJ195" s="3"/>
      <c r="LSK195" s="3"/>
      <c r="LSL195" s="3"/>
      <c r="LSM195" s="3"/>
      <c r="LSN195" s="3"/>
      <c r="LSO195" s="3"/>
      <c r="LSP195" s="3"/>
      <c r="LSQ195" s="3"/>
      <c r="LSR195" s="3"/>
      <c r="LSS195" s="3"/>
      <c r="LST195" s="3"/>
      <c r="LSU195" s="3"/>
      <c r="LSV195" s="3"/>
      <c r="LSW195" s="3"/>
      <c r="LSX195" s="3"/>
      <c r="LSY195" s="3"/>
      <c r="LSZ195" s="3"/>
      <c r="LTA195" s="3"/>
      <c r="LTB195" s="3"/>
      <c r="LTC195" s="3"/>
      <c r="LTD195" s="3"/>
      <c r="LTE195" s="3"/>
      <c r="LTF195" s="3"/>
      <c r="LTG195" s="3"/>
      <c r="LTH195" s="3"/>
      <c r="LTI195" s="3"/>
      <c r="LTJ195" s="3"/>
      <c r="LTK195" s="3"/>
      <c r="LTL195" s="3"/>
      <c r="LTM195" s="3"/>
      <c r="LTN195" s="3"/>
      <c r="LTO195" s="3"/>
      <c r="LTP195" s="3"/>
      <c r="LTQ195" s="3"/>
      <c r="LTR195" s="3"/>
      <c r="LTS195" s="3"/>
      <c r="LTT195" s="3"/>
      <c r="LTU195" s="3"/>
      <c r="LTV195" s="3"/>
      <c r="LTW195" s="3"/>
      <c r="LTX195" s="3"/>
      <c r="LTY195" s="3"/>
      <c r="LTZ195" s="3"/>
      <c r="LUA195" s="3"/>
      <c r="LUB195" s="3"/>
      <c r="LUC195" s="3"/>
      <c r="LUD195" s="3"/>
      <c r="LUE195" s="3"/>
      <c r="LUF195" s="3"/>
      <c r="LUG195" s="3"/>
      <c r="LUH195" s="3"/>
      <c r="LUI195" s="3"/>
      <c r="LUJ195" s="3"/>
      <c r="LUK195" s="3"/>
      <c r="LUL195" s="3"/>
      <c r="LUM195" s="3"/>
      <c r="LUN195" s="3"/>
      <c r="LUO195" s="3"/>
      <c r="LUP195" s="3"/>
      <c r="LUQ195" s="3"/>
      <c r="LUR195" s="3"/>
      <c r="LUS195" s="3"/>
      <c r="LUT195" s="3"/>
      <c r="LUU195" s="3"/>
      <c r="LUV195" s="3"/>
      <c r="LUW195" s="3"/>
      <c r="LUX195" s="3"/>
      <c r="LUY195" s="3"/>
      <c r="LUZ195" s="3"/>
      <c r="LVA195" s="3"/>
      <c r="LVB195" s="3"/>
      <c r="LVC195" s="3"/>
      <c r="LVD195" s="3"/>
      <c r="LVE195" s="3"/>
      <c r="LVF195" s="3"/>
      <c r="LVG195" s="3"/>
      <c r="LVH195" s="3"/>
      <c r="LVI195" s="3"/>
      <c r="LVJ195" s="3"/>
      <c r="LVK195" s="3"/>
      <c r="LVL195" s="3"/>
      <c r="LVM195" s="3"/>
      <c r="LVN195" s="3"/>
      <c r="LVO195" s="3"/>
      <c r="LVP195" s="3"/>
      <c r="LVQ195" s="3"/>
      <c r="LVR195" s="3"/>
      <c r="LVS195" s="3"/>
      <c r="LVT195" s="3"/>
      <c r="LVU195" s="3"/>
      <c r="LVV195" s="3"/>
      <c r="LVW195" s="3"/>
      <c r="LVX195" s="3"/>
      <c r="LVY195" s="3"/>
      <c r="LVZ195" s="3"/>
      <c r="LWA195" s="3"/>
      <c r="LWB195" s="3"/>
      <c r="LWC195" s="3"/>
      <c r="LWD195" s="3"/>
      <c r="LWE195" s="3"/>
      <c r="LWF195" s="3"/>
      <c r="LWG195" s="3"/>
      <c r="LWH195" s="3"/>
      <c r="LWI195" s="3"/>
      <c r="LWJ195" s="3"/>
      <c r="LWK195" s="3"/>
      <c r="LWL195" s="3"/>
      <c r="LWM195" s="3"/>
      <c r="LWN195" s="3"/>
      <c r="LWO195" s="3"/>
      <c r="LWP195" s="3"/>
      <c r="LWQ195" s="3"/>
      <c r="LWR195" s="3"/>
      <c r="LWS195" s="3"/>
      <c r="LWT195" s="3"/>
      <c r="LWU195" s="3"/>
      <c r="LWV195" s="3"/>
      <c r="LWW195" s="3"/>
      <c r="LWX195" s="3"/>
      <c r="LWY195" s="3"/>
      <c r="LWZ195" s="3"/>
      <c r="LXA195" s="3"/>
      <c r="LXB195" s="3"/>
      <c r="LXC195" s="3"/>
      <c r="LXD195" s="3"/>
      <c r="LXE195" s="3"/>
      <c r="LXF195" s="3"/>
      <c r="LXG195" s="3"/>
      <c r="LXH195" s="3"/>
      <c r="LXI195" s="3"/>
      <c r="LXJ195" s="3"/>
      <c r="LXK195" s="3"/>
      <c r="LXL195" s="3"/>
      <c r="LXM195" s="3"/>
      <c r="LXN195" s="3"/>
      <c r="LXO195" s="3"/>
      <c r="LXP195" s="3"/>
      <c r="LXQ195" s="3"/>
      <c r="LXR195" s="3"/>
      <c r="LXS195" s="3"/>
      <c r="LXT195" s="3"/>
      <c r="LXU195" s="3"/>
      <c r="LXV195" s="3"/>
      <c r="LXW195" s="3"/>
      <c r="LXX195" s="3"/>
      <c r="LXY195" s="3"/>
      <c r="LXZ195" s="3"/>
      <c r="LYA195" s="3"/>
      <c r="LYB195" s="3"/>
      <c r="LYC195" s="3"/>
      <c r="LYD195" s="3"/>
      <c r="LYE195" s="3"/>
      <c r="LYF195" s="3"/>
      <c r="LYG195" s="3"/>
      <c r="LYH195" s="3"/>
      <c r="LYI195" s="3"/>
      <c r="LYJ195" s="3"/>
      <c r="LYK195" s="3"/>
      <c r="LYL195" s="3"/>
      <c r="LYM195" s="3"/>
      <c r="LYN195" s="3"/>
      <c r="LYO195" s="3"/>
      <c r="LYP195" s="3"/>
      <c r="LYQ195" s="3"/>
      <c r="LYR195" s="3"/>
      <c r="LYS195" s="3"/>
      <c r="LYT195" s="3"/>
      <c r="LYU195" s="3"/>
      <c r="LYV195" s="3"/>
      <c r="LYW195" s="3"/>
      <c r="LYX195" s="3"/>
      <c r="LYY195" s="3"/>
      <c r="LYZ195" s="3"/>
      <c r="LZA195" s="3"/>
      <c r="LZB195" s="3"/>
      <c r="LZC195" s="3"/>
      <c r="LZD195" s="3"/>
      <c r="LZE195" s="3"/>
      <c r="LZF195" s="3"/>
      <c r="LZG195" s="3"/>
      <c r="LZH195" s="3"/>
      <c r="LZI195" s="3"/>
      <c r="LZJ195" s="3"/>
      <c r="LZK195" s="3"/>
      <c r="LZL195" s="3"/>
      <c r="LZM195" s="3"/>
      <c r="LZN195" s="3"/>
      <c r="LZO195" s="3"/>
      <c r="LZP195" s="3"/>
      <c r="LZQ195" s="3"/>
      <c r="LZR195" s="3"/>
      <c r="LZS195" s="3"/>
      <c r="LZT195" s="3"/>
      <c r="LZU195" s="3"/>
      <c r="LZV195" s="3"/>
      <c r="LZW195" s="3"/>
      <c r="LZX195" s="3"/>
      <c r="LZY195" s="3"/>
      <c r="LZZ195" s="3"/>
      <c r="MAA195" s="3"/>
      <c r="MAB195" s="3"/>
      <c r="MAC195" s="3"/>
      <c r="MAD195" s="3"/>
      <c r="MAE195" s="3"/>
      <c r="MAF195" s="3"/>
      <c r="MAG195" s="3"/>
      <c r="MAH195" s="3"/>
      <c r="MAI195" s="3"/>
      <c r="MAJ195" s="3"/>
      <c r="MAK195" s="3"/>
      <c r="MAL195" s="3"/>
      <c r="MAM195" s="3"/>
      <c r="MAN195" s="3"/>
      <c r="MAO195" s="3"/>
      <c r="MAP195" s="3"/>
      <c r="MAQ195" s="3"/>
      <c r="MAR195" s="3"/>
      <c r="MAS195" s="3"/>
      <c r="MAT195" s="3"/>
      <c r="MAU195" s="3"/>
      <c r="MAV195" s="3"/>
      <c r="MAW195" s="3"/>
      <c r="MAX195" s="3"/>
      <c r="MAY195" s="3"/>
      <c r="MAZ195" s="3"/>
      <c r="MBA195" s="3"/>
      <c r="MBB195" s="3"/>
      <c r="MBC195" s="3"/>
      <c r="MBD195" s="3"/>
      <c r="MBE195" s="3"/>
      <c r="MBF195" s="3"/>
      <c r="MBG195" s="3"/>
      <c r="MBH195" s="3"/>
      <c r="MBI195" s="3"/>
      <c r="MBJ195" s="3"/>
      <c r="MBK195" s="3"/>
      <c r="MBL195" s="3"/>
      <c r="MBM195" s="3"/>
      <c r="MBN195" s="3"/>
      <c r="MBO195" s="3"/>
      <c r="MBP195" s="3"/>
      <c r="MBQ195" s="3"/>
      <c r="MBR195" s="3"/>
      <c r="MBS195" s="3"/>
      <c r="MBT195" s="3"/>
      <c r="MBU195" s="3"/>
      <c r="MBV195" s="3"/>
      <c r="MBW195" s="3"/>
      <c r="MBX195" s="3"/>
      <c r="MBY195" s="3"/>
      <c r="MBZ195" s="3"/>
      <c r="MCA195" s="3"/>
      <c r="MCB195" s="3"/>
      <c r="MCC195" s="3"/>
      <c r="MCD195" s="3"/>
      <c r="MCE195" s="3"/>
      <c r="MCF195" s="3"/>
      <c r="MCG195" s="3"/>
      <c r="MCH195" s="3"/>
      <c r="MCI195" s="3"/>
      <c r="MCJ195" s="3"/>
      <c r="MCK195" s="3"/>
      <c r="MCL195" s="3"/>
      <c r="MCM195" s="3"/>
      <c r="MCN195" s="3"/>
      <c r="MCO195" s="3"/>
      <c r="MCP195" s="3"/>
      <c r="MCQ195" s="3"/>
      <c r="MCR195" s="3"/>
      <c r="MCS195" s="3"/>
      <c r="MCT195" s="3"/>
      <c r="MCU195" s="3"/>
      <c r="MCV195" s="3"/>
      <c r="MCW195" s="3"/>
      <c r="MCX195" s="3"/>
      <c r="MCY195" s="3"/>
      <c r="MCZ195" s="3"/>
      <c r="MDA195" s="3"/>
      <c r="MDB195" s="3"/>
      <c r="MDC195" s="3"/>
      <c r="MDD195" s="3"/>
      <c r="MDE195" s="3"/>
      <c r="MDF195" s="3"/>
      <c r="MDG195" s="3"/>
      <c r="MDH195" s="3"/>
      <c r="MDI195" s="3"/>
      <c r="MDJ195" s="3"/>
      <c r="MDK195" s="3"/>
      <c r="MDL195" s="3"/>
      <c r="MDM195" s="3"/>
      <c r="MDN195" s="3"/>
      <c r="MDO195" s="3"/>
      <c r="MDP195" s="3"/>
      <c r="MDQ195" s="3"/>
      <c r="MDR195" s="3"/>
      <c r="MDS195" s="3"/>
      <c r="MDT195" s="3"/>
      <c r="MDU195" s="3"/>
      <c r="MDV195" s="3"/>
      <c r="MDW195" s="3"/>
      <c r="MDX195" s="3"/>
      <c r="MDY195" s="3"/>
      <c r="MDZ195" s="3"/>
      <c r="MEA195" s="3"/>
      <c r="MEB195" s="3"/>
      <c r="MEC195" s="3"/>
      <c r="MED195" s="3"/>
      <c r="MEE195" s="3"/>
      <c r="MEF195" s="3"/>
      <c r="MEG195" s="3"/>
      <c r="MEH195" s="3"/>
      <c r="MEI195" s="3"/>
      <c r="MEJ195" s="3"/>
      <c r="MEK195" s="3"/>
      <c r="MEL195" s="3"/>
      <c r="MEM195" s="3"/>
      <c r="MEN195" s="3"/>
      <c r="MEO195" s="3"/>
      <c r="MEP195" s="3"/>
      <c r="MEQ195" s="3"/>
      <c r="MER195" s="3"/>
      <c r="MES195" s="3"/>
      <c r="MET195" s="3"/>
      <c r="MEU195" s="3"/>
      <c r="MEV195" s="3"/>
      <c r="MEW195" s="3"/>
      <c r="MEX195" s="3"/>
      <c r="MEY195" s="3"/>
      <c r="MEZ195" s="3"/>
      <c r="MFA195" s="3"/>
      <c r="MFB195" s="3"/>
      <c r="MFC195" s="3"/>
      <c r="MFD195" s="3"/>
      <c r="MFE195" s="3"/>
      <c r="MFF195" s="3"/>
      <c r="MFG195" s="3"/>
      <c r="MFH195" s="3"/>
      <c r="MFI195" s="3"/>
      <c r="MFJ195" s="3"/>
      <c r="MFK195" s="3"/>
      <c r="MFL195" s="3"/>
      <c r="MFM195" s="3"/>
      <c r="MFN195" s="3"/>
      <c r="MFO195" s="3"/>
      <c r="MFP195" s="3"/>
      <c r="MFQ195" s="3"/>
      <c r="MFR195" s="3"/>
      <c r="MFS195" s="3"/>
      <c r="MFT195" s="3"/>
      <c r="MFU195" s="3"/>
      <c r="MFV195" s="3"/>
      <c r="MFW195" s="3"/>
      <c r="MFX195" s="3"/>
      <c r="MFY195" s="3"/>
      <c r="MFZ195" s="3"/>
      <c r="MGA195" s="3"/>
      <c r="MGB195" s="3"/>
      <c r="MGC195" s="3"/>
      <c r="MGD195" s="3"/>
      <c r="MGE195" s="3"/>
      <c r="MGF195" s="3"/>
      <c r="MGG195" s="3"/>
      <c r="MGH195" s="3"/>
      <c r="MGI195" s="3"/>
      <c r="MGJ195" s="3"/>
      <c r="MGK195" s="3"/>
      <c r="MGL195" s="3"/>
      <c r="MGM195" s="3"/>
      <c r="MGN195" s="3"/>
      <c r="MGO195" s="3"/>
      <c r="MGP195" s="3"/>
      <c r="MGQ195" s="3"/>
      <c r="MGR195" s="3"/>
      <c r="MGS195" s="3"/>
      <c r="MGT195" s="3"/>
      <c r="MGU195" s="3"/>
      <c r="MGV195" s="3"/>
      <c r="MGW195" s="3"/>
      <c r="MGX195" s="3"/>
      <c r="MGY195" s="3"/>
      <c r="MGZ195" s="3"/>
      <c r="MHA195" s="3"/>
      <c r="MHB195" s="3"/>
      <c r="MHC195" s="3"/>
      <c r="MHD195" s="3"/>
      <c r="MHE195" s="3"/>
      <c r="MHF195" s="3"/>
      <c r="MHG195" s="3"/>
      <c r="MHH195" s="3"/>
      <c r="MHI195" s="3"/>
      <c r="MHJ195" s="3"/>
      <c r="MHK195" s="3"/>
      <c r="MHL195" s="3"/>
      <c r="MHM195" s="3"/>
      <c r="MHN195" s="3"/>
      <c r="MHO195" s="3"/>
      <c r="MHP195" s="3"/>
      <c r="MHQ195" s="3"/>
      <c r="MHR195" s="3"/>
      <c r="MHS195" s="3"/>
      <c r="MHT195" s="3"/>
      <c r="MHU195" s="3"/>
      <c r="MHV195" s="3"/>
      <c r="MHW195" s="3"/>
      <c r="MHX195" s="3"/>
      <c r="MHY195" s="3"/>
      <c r="MHZ195" s="3"/>
      <c r="MIA195" s="3"/>
      <c r="MIB195" s="3"/>
      <c r="MIC195" s="3"/>
      <c r="MID195" s="3"/>
      <c r="MIE195" s="3"/>
      <c r="MIF195" s="3"/>
      <c r="MIG195" s="3"/>
      <c r="MIH195" s="3"/>
      <c r="MII195" s="3"/>
      <c r="MIJ195" s="3"/>
      <c r="MIK195" s="3"/>
      <c r="MIL195" s="3"/>
      <c r="MIM195" s="3"/>
      <c r="MIN195" s="3"/>
      <c r="MIO195" s="3"/>
      <c r="MIP195" s="3"/>
      <c r="MIQ195" s="3"/>
      <c r="MIR195" s="3"/>
      <c r="MIS195" s="3"/>
      <c r="MIT195" s="3"/>
      <c r="MIU195" s="3"/>
      <c r="MIV195" s="3"/>
      <c r="MIW195" s="3"/>
      <c r="MIX195" s="3"/>
      <c r="MIY195" s="3"/>
      <c r="MIZ195" s="3"/>
      <c r="MJA195" s="3"/>
      <c r="MJB195" s="3"/>
      <c r="MJC195" s="3"/>
      <c r="MJD195" s="3"/>
      <c r="MJE195" s="3"/>
      <c r="MJF195" s="3"/>
      <c r="MJG195" s="3"/>
      <c r="MJH195" s="3"/>
      <c r="MJI195" s="3"/>
      <c r="MJJ195" s="3"/>
      <c r="MJK195" s="3"/>
      <c r="MJL195" s="3"/>
      <c r="MJM195" s="3"/>
      <c r="MJN195" s="3"/>
      <c r="MJO195" s="3"/>
      <c r="MJP195" s="3"/>
      <c r="MJQ195" s="3"/>
      <c r="MJR195" s="3"/>
      <c r="MJS195" s="3"/>
      <c r="MJT195" s="3"/>
      <c r="MJU195" s="3"/>
      <c r="MJV195" s="3"/>
      <c r="MJW195" s="3"/>
      <c r="MJX195" s="3"/>
      <c r="MJY195" s="3"/>
      <c r="MJZ195" s="3"/>
      <c r="MKA195" s="3"/>
      <c r="MKB195" s="3"/>
      <c r="MKC195" s="3"/>
      <c r="MKD195" s="3"/>
      <c r="MKE195" s="3"/>
      <c r="MKF195" s="3"/>
      <c r="MKG195" s="3"/>
      <c r="MKH195" s="3"/>
      <c r="MKI195" s="3"/>
      <c r="MKJ195" s="3"/>
      <c r="MKK195" s="3"/>
      <c r="MKL195" s="3"/>
      <c r="MKM195" s="3"/>
      <c r="MKN195" s="3"/>
      <c r="MKO195" s="3"/>
      <c r="MKP195" s="3"/>
      <c r="MKQ195" s="3"/>
      <c r="MKR195" s="3"/>
      <c r="MKS195" s="3"/>
      <c r="MKT195" s="3"/>
      <c r="MKU195" s="3"/>
      <c r="MKV195" s="3"/>
      <c r="MKW195" s="3"/>
      <c r="MKX195" s="3"/>
      <c r="MKY195" s="3"/>
      <c r="MKZ195" s="3"/>
      <c r="MLA195" s="3"/>
      <c r="MLB195" s="3"/>
      <c r="MLC195" s="3"/>
      <c r="MLD195" s="3"/>
      <c r="MLE195" s="3"/>
      <c r="MLF195" s="3"/>
      <c r="MLG195" s="3"/>
      <c r="MLH195" s="3"/>
      <c r="MLI195" s="3"/>
      <c r="MLJ195" s="3"/>
      <c r="MLK195" s="3"/>
      <c r="MLL195" s="3"/>
      <c r="MLM195" s="3"/>
      <c r="MLN195" s="3"/>
      <c r="MLO195" s="3"/>
      <c r="MLP195" s="3"/>
      <c r="MLQ195" s="3"/>
      <c r="MLR195" s="3"/>
      <c r="MLS195" s="3"/>
      <c r="MLT195" s="3"/>
      <c r="MLU195" s="3"/>
      <c r="MLV195" s="3"/>
      <c r="MLW195" s="3"/>
      <c r="MLX195" s="3"/>
      <c r="MLY195" s="3"/>
      <c r="MLZ195" s="3"/>
      <c r="MMA195" s="3"/>
      <c r="MMB195" s="3"/>
      <c r="MMC195" s="3"/>
      <c r="MMD195" s="3"/>
      <c r="MME195" s="3"/>
      <c r="MMF195" s="3"/>
      <c r="MMG195" s="3"/>
      <c r="MMH195" s="3"/>
      <c r="MMI195" s="3"/>
      <c r="MMJ195" s="3"/>
      <c r="MMK195" s="3"/>
      <c r="MML195" s="3"/>
      <c r="MMM195" s="3"/>
      <c r="MMN195" s="3"/>
      <c r="MMO195" s="3"/>
      <c r="MMP195" s="3"/>
      <c r="MMQ195" s="3"/>
      <c r="MMR195" s="3"/>
      <c r="MMS195" s="3"/>
      <c r="MMT195" s="3"/>
      <c r="MMU195" s="3"/>
      <c r="MMV195" s="3"/>
      <c r="MMW195" s="3"/>
      <c r="MMX195" s="3"/>
      <c r="MMY195" s="3"/>
      <c r="MMZ195" s="3"/>
      <c r="MNA195" s="3"/>
      <c r="MNB195" s="3"/>
      <c r="MNC195" s="3"/>
      <c r="MND195" s="3"/>
      <c r="MNE195" s="3"/>
      <c r="MNF195" s="3"/>
      <c r="MNG195" s="3"/>
      <c r="MNH195" s="3"/>
      <c r="MNI195" s="3"/>
      <c r="MNJ195" s="3"/>
      <c r="MNK195" s="3"/>
      <c r="MNL195" s="3"/>
      <c r="MNM195" s="3"/>
      <c r="MNN195" s="3"/>
      <c r="MNO195" s="3"/>
      <c r="MNP195" s="3"/>
      <c r="MNQ195" s="3"/>
      <c r="MNR195" s="3"/>
      <c r="MNS195" s="3"/>
      <c r="MNT195" s="3"/>
      <c r="MNU195" s="3"/>
      <c r="MNV195" s="3"/>
      <c r="MNW195" s="3"/>
      <c r="MNX195" s="3"/>
      <c r="MNY195" s="3"/>
      <c r="MNZ195" s="3"/>
      <c r="MOA195" s="3"/>
      <c r="MOB195" s="3"/>
      <c r="MOC195" s="3"/>
      <c r="MOD195" s="3"/>
      <c r="MOE195" s="3"/>
      <c r="MOF195" s="3"/>
      <c r="MOG195" s="3"/>
      <c r="MOH195" s="3"/>
      <c r="MOI195" s="3"/>
      <c r="MOJ195" s="3"/>
      <c r="MOK195" s="3"/>
      <c r="MOL195" s="3"/>
      <c r="MOM195" s="3"/>
      <c r="MON195" s="3"/>
      <c r="MOO195" s="3"/>
      <c r="MOP195" s="3"/>
      <c r="MOQ195" s="3"/>
      <c r="MOR195" s="3"/>
      <c r="MOS195" s="3"/>
      <c r="MOT195" s="3"/>
      <c r="MOU195" s="3"/>
      <c r="MOV195" s="3"/>
      <c r="MOW195" s="3"/>
      <c r="MOX195" s="3"/>
      <c r="MOY195" s="3"/>
      <c r="MOZ195" s="3"/>
      <c r="MPA195" s="3"/>
      <c r="MPB195" s="3"/>
      <c r="MPC195" s="3"/>
      <c r="MPD195" s="3"/>
      <c r="MPE195" s="3"/>
      <c r="MPF195" s="3"/>
      <c r="MPG195" s="3"/>
      <c r="MPH195" s="3"/>
      <c r="MPI195" s="3"/>
      <c r="MPJ195" s="3"/>
      <c r="MPK195" s="3"/>
      <c r="MPL195" s="3"/>
      <c r="MPM195" s="3"/>
      <c r="MPN195" s="3"/>
      <c r="MPO195" s="3"/>
      <c r="MPP195" s="3"/>
      <c r="MPQ195" s="3"/>
      <c r="MPR195" s="3"/>
      <c r="MPS195" s="3"/>
      <c r="MPT195" s="3"/>
      <c r="MPU195" s="3"/>
      <c r="MPV195" s="3"/>
      <c r="MPW195" s="3"/>
      <c r="MPX195" s="3"/>
      <c r="MPY195" s="3"/>
      <c r="MPZ195" s="3"/>
      <c r="MQA195" s="3"/>
      <c r="MQB195" s="3"/>
      <c r="MQC195" s="3"/>
      <c r="MQD195" s="3"/>
      <c r="MQE195" s="3"/>
      <c r="MQF195" s="3"/>
      <c r="MQG195" s="3"/>
      <c r="MQH195" s="3"/>
      <c r="MQI195" s="3"/>
      <c r="MQJ195" s="3"/>
      <c r="MQK195" s="3"/>
      <c r="MQL195" s="3"/>
      <c r="MQM195" s="3"/>
      <c r="MQN195" s="3"/>
      <c r="MQO195" s="3"/>
      <c r="MQP195" s="3"/>
      <c r="MQQ195" s="3"/>
      <c r="MQR195" s="3"/>
      <c r="MQS195" s="3"/>
      <c r="MQT195" s="3"/>
      <c r="MQU195" s="3"/>
      <c r="MQV195" s="3"/>
      <c r="MQW195" s="3"/>
      <c r="MQX195" s="3"/>
      <c r="MQY195" s="3"/>
      <c r="MQZ195" s="3"/>
      <c r="MRA195" s="3"/>
      <c r="MRB195" s="3"/>
      <c r="MRC195" s="3"/>
      <c r="MRD195" s="3"/>
      <c r="MRE195" s="3"/>
      <c r="MRF195" s="3"/>
      <c r="MRG195" s="3"/>
      <c r="MRH195" s="3"/>
      <c r="MRI195" s="3"/>
      <c r="MRJ195" s="3"/>
      <c r="MRK195" s="3"/>
      <c r="MRL195" s="3"/>
      <c r="MRM195" s="3"/>
      <c r="MRN195" s="3"/>
      <c r="MRO195" s="3"/>
      <c r="MRP195" s="3"/>
      <c r="MRQ195" s="3"/>
      <c r="MRR195" s="3"/>
      <c r="MRS195" s="3"/>
      <c r="MRT195" s="3"/>
      <c r="MRU195" s="3"/>
      <c r="MRV195" s="3"/>
      <c r="MRW195" s="3"/>
      <c r="MRX195" s="3"/>
      <c r="MRY195" s="3"/>
      <c r="MRZ195" s="3"/>
      <c r="MSA195" s="3"/>
      <c r="MSB195" s="3"/>
      <c r="MSC195" s="3"/>
      <c r="MSD195" s="3"/>
      <c r="MSE195" s="3"/>
      <c r="MSF195" s="3"/>
      <c r="MSG195" s="3"/>
      <c r="MSH195" s="3"/>
      <c r="MSI195" s="3"/>
      <c r="MSJ195" s="3"/>
      <c r="MSK195" s="3"/>
      <c r="MSL195" s="3"/>
      <c r="MSM195" s="3"/>
      <c r="MSN195" s="3"/>
      <c r="MSO195" s="3"/>
      <c r="MSP195" s="3"/>
      <c r="MSQ195" s="3"/>
      <c r="MSR195" s="3"/>
      <c r="MSS195" s="3"/>
      <c r="MST195" s="3"/>
      <c r="MSU195" s="3"/>
      <c r="MSV195" s="3"/>
      <c r="MSW195" s="3"/>
      <c r="MSX195" s="3"/>
      <c r="MSY195" s="3"/>
      <c r="MSZ195" s="3"/>
      <c r="MTA195" s="3"/>
      <c r="MTB195" s="3"/>
      <c r="MTC195" s="3"/>
      <c r="MTD195" s="3"/>
      <c r="MTE195" s="3"/>
      <c r="MTF195" s="3"/>
      <c r="MTG195" s="3"/>
      <c r="MTH195" s="3"/>
      <c r="MTI195" s="3"/>
      <c r="MTJ195" s="3"/>
      <c r="MTK195" s="3"/>
      <c r="MTL195" s="3"/>
      <c r="MTM195" s="3"/>
      <c r="MTN195" s="3"/>
      <c r="MTO195" s="3"/>
      <c r="MTP195" s="3"/>
      <c r="MTQ195" s="3"/>
      <c r="MTR195" s="3"/>
      <c r="MTS195" s="3"/>
      <c r="MTT195" s="3"/>
      <c r="MTU195" s="3"/>
      <c r="MTV195" s="3"/>
      <c r="MTW195" s="3"/>
      <c r="MTX195" s="3"/>
      <c r="MTY195" s="3"/>
      <c r="MTZ195" s="3"/>
      <c r="MUA195" s="3"/>
      <c r="MUB195" s="3"/>
      <c r="MUC195" s="3"/>
      <c r="MUD195" s="3"/>
      <c r="MUE195" s="3"/>
      <c r="MUF195" s="3"/>
      <c r="MUG195" s="3"/>
      <c r="MUH195" s="3"/>
      <c r="MUI195" s="3"/>
      <c r="MUJ195" s="3"/>
      <c r="MUK195" s="3"/>
      <c r="MUL195" s="3"/>
      <c r="MUM195" s="3"/>
      <c r="MUN195" s="3"/>
      <c r="MUO195" s="3"/>
      <c r="MUP195" s="3"/>
      <c r="MUQ195" s="3"/>
      <c r="MUR195" s="3"/>
      <c r="MUS195" s="3"/>
      <c r="MUT195" s="3"/>
      <c r="MUU195" s="3"/>
      <c r="MUV195" s="3"/>
      <c r="MUW195" s="3"/>
      <c r="MUX195" s="3"/>
      <c r="MUY195" s="3"/>
      <c r="MUZ195" s="3"/>
      <c r="MVA195" s="3"/>
      <c r="MVB195" s="3"/>
      <c r="MVC195" s="3"/>
      <c r="MVD195" s="3"/>
      <c r="MVE195" s="3"/>
      <c r="MVF195" s="3"/>
      <c r="MVG195" s="3"/>
      <c r="MVH195" s="3"/>
      <c r="MVI195" s="3"/>
      <c r="MVJ195" s="3"/>
      <c r="MVK195" s="3"/>
      <c r="MVL195" s="3"/>
      <c r="MVM195" s="3"/>
      <c r="MVN195" s="3"/>
      <c r="MVO195" s="3"/>
      <c r="MVP195" s="3"/>
      <c r="MVQ195" s="3"/>
      <c r="MVR195" s="3"/>
      <c r="MVS195" s="3"/>
      <c r="MVT195" s="3"/>
      <c r="MVU195" s="3"/>
      <c r="MVV195" s="3"/>
      <c r="MVW195" s="3"/>
      <c r="MVX195" s="3"/>
      <c r="MVY195" s="3"/>
      <c r="MVZ195" s="3"/>
      <c r="MWA195" s="3"/>
      <c r="MWB195" s="3"/>
      <c r="MWC195" s="3"/>
      <c r="MWD195" s="3"/>
      <c r="MWE195" s="3"/>
      <c r="MWF195" s="3"/>
      <c r="MWG195" s="3"/>
      <c r="MWH195" s="3"/>
      <c r="MWI195" s="3"/>
      <c r="MWJ195" s="3"/>
      <c r="MWK195" s="3"/>
      <c r="MWL195" s="3"/>
      <c r="MWM195" s="3"/>
      <c r="MWN195" s="3"/>
      <c r="MWO195" s="3"/>
      <c r="MWP195" s="3"/>
      <c r="MWQ195" s="3"/>
      <c r="MWR195" s="3"/>
      <c r="MWS195" s="3"/>
      <c r="MWT195" s="3"/>
      <c r="MWU195" s="3"/>
      <c r="MWV195" s="3"/>
      <c r="MWW195" s="3"/>
      <c r="MWX195" s="3"/>
      <c r="MWY195" s="3"/>
      <c r="MWZ195" s="3"/>
      <c r="MXA195" s="3"/>
      <c r="MXB195" s="3"/>
      <c r="MXC195" s="3"/>
      <c r="MXD195" s="3"/>
      <c r="MXE195" s="3"/>
      <c r="MXF195" s="3"/>
      <c r="MXG195" s="3"/>
      <c r="MXH195" s="3"/>
      <c r="MXI195" s="3"/>
      <c r="MXJ195" s="3"/>
      <c r="MXK195" s="3"/>
      <c r="MXL195" s="3"/>
      <c r="MXM195" s="3"/>
      <c r="MXN195" s="3"/>
      <c r="MXO195" s="3"/>
      <c r="MXP195" s="3"/>
      <c r="MXQ195" s="3"/>
      <c r="MXR195" s="3"/>
      <c r="MXS195" s="3"/>
      <c r="MXT195" s="3"/>
      <c r="MXU195" s="3"/>
      <c r="MXV195" s="3"/>
      <c r="MXW195" s="3"/>
      <c r="MXX195" s="3"/>
      <c r="MXY195" s="3"/>
      <c r="MXZ195" s="3"/>
      <c r="MYA195" s="3"/>
      <c r="MYB195" s="3"/>
      <c r="MYC195" s="3"/>
      <c r="MYD195" s="3"/>
      <c r="MYE195" s="3"/>
      <c r="MYF195" s="3"/>
      <c r="MYG195" s="3"/>
      <c r="MYH195" s="3"/>
      <c r="MYI195" s="3"/>
      <c r="MYJ195" s="3"/>
      <c r="MYK195" s="3"/>
      <c r="MYL195" s="3"/>
      <c r="MYM195" s="3"/>
      <c r="MYN195" s="3"/>
      <c r="MYO195" s="3"/>
      <c r="MYP195" s="3"/>
      <c r="MYQ195" s="3"/>
      <c r="MYR195" s="3"/>
      <c r="MYS195" s="3"/>
      <c r="MYT195" s="3"/>
      <c r="MYU195" s="3"/>
      <c r="MYV195" s="3"/>
      <c r="MYW195" s="3"/>
      <c r="MYX195" s="3"/>
      <c r="MYY195" s="3"/>
      <c r="MYZ195" s="3"/>
      <c r="MZA195" s="3"/>
      <c r="MZB195" s="3"/>
      <c r="MZC195" s="3"/>
      <c r="MZD195" s="3"/>
      <c r="MZE195" s="3"/>
      <c r="MZF195" s="3"/>
      <c r="MZG195" s="3"/>
      <c r="MZH195" s="3"/>
      <c r="MZI195" s="3"/>
      <c r="MZJ195" s="3"/>
      <c r="MZK195" s="3"/>
      <c r="MZL195" s="3"/>
      <c r="MZM195" s="3"/>
      <c r="MZN195" s="3"/>
      <c r="MZO195" s="3"/>
      <c r="MZP195" s="3"/>
      <c r="MZQ195" s="3"/>
      <c r="MZR195" s="3"/>
      <c r="MZS195" s="3"/>
      <c r="MZT195" s="3"/>
      <c r="MZU195" s="3"/>
      <c r="MZV195" s="3"/>
      <c r="MZW195" s="3"/>
      <c r="MZX195" s="3"/>
      <c r="MZY195" s="3"/>
      <c r="MZZ195" s="3"/>
      <c r="NAA195" s="3"/>
      <c r="NAB195" s="3"/>
      <c r="NAC195" s="3"/>
      <c r="NAD195" s="3"/>
      <c r="NAE195" s="3"/>
      <c r="NAF195" s="3"/>
      <c r="NAG195" s="3"/>
      <c r="NAH195" s="3"/>
      <c r="NAI195" s="3"/>
      <c r="NAJ195" s="3"/>
      <c r="NAK195" s="3"/>
      <c r="NAL195" s="3"/>
      <c r="NAM195" s="3"/>
      <c r="NAN195" s="3"/>
      <c r="NAO195" s="3"/>
      <c r="NAP195" s="3"/>
      <c r="NAQ195" s="3"/>
      <c r="NAR195" s="3"/>
      <c r="NAS195" s="3"/>
      <c r="NAT195" s="3"/>
      <c r="NAU195" s="3"/>
      <c r="NAV195" s="3"/>
      <c r="NAW195" s="3"/>
      <c r="NAX195" s="3"/>
      <c r="NAY195" s="3"/>
      <c r="NAZ195" s="3"/>
      <c r="NBA195" s="3"/>
      <c r="NBB195" s="3"/>
      <c r="NBC195" s="3"/>
      <c r="NBD195" s="3"/>
      <c r="NBE195" s="3"/>
      <c r="NBF195" s="3"/>
      <c r="NBG195" s="3"/>
      <c r="NBH195" s="3"/>
      <c r="NBI195" s="3"/>
      <c r="NBJ195" s="3"/>
      <c r="NBK195" s="3"/>
      <c r="NBL195" s="3"/>
      <c r="NBM195" s="3"/>
      <c r="NBN195" s="3"/>
      <c r="NBO195" s="3"/>
      <c r="NBP195" s="3"/>
      <c r="NBQ195" s="3"/>
      <c r="NBR195" s="3"/>
      <c r="NBS195" s="3"/>
      <c r="NBT195" s="3"/>
      <c r="NBU195" s="3"/>
      <c r="NBV195" s="3"/>
      <c r="NBW195" s="3"/>
      <c r="NBX195" s="3"/>
      <c r="NBY195" s="3"/>
      <c r="NBZ195" s="3"/>
      <c r="NCA195" s="3"/>
      <c r="NCB195" s="3"/>
      <c r="NCC195" s="3"/>
      <c r="NCD195" s="3"/>
      <c r="NCE195" s="3"/>
      <c r="NCF195" s="3"/>
      <c r="NCG195" s="3"/>
      <c r="NCH195" s="3"/>
      <c r="NCI195" s="3"/>
      <c r="NCJ195" s="3"/>
      <c r="NCK195" s="3"/>
      <c r="NCL195" s="3"/>
      <c r="NCM195" s="3"/>
      <c r="NCN195" s="3"/>
      <c r="NCO195" s="3"/>
      <c r="NCP195" s="3"/>
      <c r="NCQ195" s="3"/>
      <c r="NCR195" s="3"/>
      <c r="NCS195" s="3"/>
      <c r="NCT195" s="3"/>
      <c r="NCU195" s="3"/>
      <c r="NCV195" s="3"/>
      <c r="NCW195" s="3"/>
      <c r="NCX195" s="3"/>
      <c r="NCY195" s="3"/>
      <c r="NCZ195" s="3"/>
      <c r="NDA195" s="3"/>
      <c r="NDB195" s="3"/>
      <c r="NDC195" s="3"/>
      <c r="NDD195" s="3"/>
      <c r="NDE195" s="3"/>
      <c r="NDF195" s="3"/>
      <c r="NDG195" s="3"/>
      <c r="NDH195" s="3"/>
      <c r="NDI195" s="3"/>
      <c r="NDJ195" s="3"/>
      <c r="NDK195" s="3"/>
      <c r="NDL195" s="3"/>
      <c r="NDM195" s="3"/>
      <c r="NDN195" s="3"/>
      <c r="NDO195" s="3"/>
      <c r="NDP195" s="3"/>
      <c r="NDQ195" s="3"/>
      <c r="NDR195" s="3"/>
      <c r="NDS195" s="3"/>
      <c r="NDT195" s="3"/>
      <c r="NDU195" s="3"/>
      <c r="NDV195" s="3"/>
      <c r="NDW195" s="3"/>
      <c r="NDX195" s="3"/>
      <c r="NDY195" s="3"/>
      <c r="NDZ195" s="3"/>
      <c r="NEA195" s="3"/>
      <c r="NEB195" s="3"/>
      <c r="NEC195" s="3"/>
      <c r="NED195" s="3"/>
      <c r="NEE195" s="3"/>
      <c r="NEF195" s="3"/>
      <c r="NEG195" s="3"/>
      <c r="NEH195" s="3"/>
      <c r="NEI195" s="3"/>
      <c r="NEJ195" s="3"/>
      <c r="NEK195" s="3"/>
      <c r="NEL195" s="3"/>
      <c r="NEM195" s="3"/>
      <c r="NEN195" s="3"/>
      <c r="NEO195" s="3"/>
      <c r="NEP195" s="3"/>
      <c r="NEQ195" s="3"/>
      <c r="NER195" s="3"/>
      <c r="NES195" s="3"/>
      <c r="NET195" s="3"/>
      <c r="NEU195" s="3"/>
      <c r="NEV195" s="3"/>
      <c r="NEW195" s="3"/>
      <c r="NEX195" s="3"/>
      <c r="NEY195" s="3"/>
      <c r="NEZ195" s="3"/>
      <c r="NFA195" s="3"/>
      <c r="NFB195" s="3"/>
      <c r="NFC195" s="3"/>
      <c r="NFD195" s="3"/>
      <c r="NFE195" s="3"/>
      <c r="NFF195" s="3"/>
      <c r="NFG195" s="3"/>
      <c r="NFH195" s="3"/>
      <c r="NFI195" s="3"/>
      <c r="NFJ195" s="3"/>
      <c r="NFK195" s="3"/>
      <c r="NFL195" s="3"/>
      <c r="NFM195" s="3"/>
      <c r="NFN195" s="3"/>
      <c r="NFO195" s="3"/>
      <c r="NFP195" s="3"/>
      <c r="NFQ195" s="3"/>
      <c r="NFR195" s="3"/>
      <c r="NFS195" s="3"/>
      <c r="NFT195" s="3"/>
      <c r="NFU195" s="3"/>
      <c r="NFV195" s="3"/>
      <c r="NFW195" s="3"/>
      <c r="NFX195" s="3"/>
      <c r="NFY195" s="3"/>
      <c r="NFZ195" s="3"/>
      <c r="NGA195" s="3"/>
      <c r="NGB195" s="3"/>
      <c r="NGC195" s="3"/>
      <c r="NGD195" s="3"/>
      <c r="NGE195" s="3"/>
      <c r="NGF195" s="3"/>
      <c r="NGG195" s="3"/>
      <c r="NGH195" s="3"/>
      <c r="NGI195" s="3"/>
      <c r="NGJ195" s="3"/>
      <c r="NGK195" s="3"/>
      <c r="NGL195" s="3"/>
      <c r="NGM195" s="3"/>
      <c r="NGN195" s="3"/>
      <c r="NGO195" s="3"/>
      <c r="NGP195" s="3"/>
      <c r="NGQ195" s="3"/>
      <c r="NGR195" s="3"/>
      <c r="NGS195" s="3"/>
      <c r="NGT195" s="3"/>
      <c r="NGU195" s="3"/>
      <c r="NGV195" s="3"/>
      <c r="NGW195" s="3"/>
      <c r="NGX195" s="3"/>
      <c r="NGY195" s="3"/>
      <c r="NGZ195" s="3"/>
      <c r="NHA195" s="3"/>
      <c r="NHB195" s="3"/>
      <c r="NHC195" s="3"/>
      <c r="NHD195" s="3"/>
      <c r="NHE195" s="3"/>
      <c r="NHF195" s="3"/>
      <c r="NHG195" s="3"/>
      <c r="NHH195" s="3"/>
      <c r="NHI195" s="3"/>
      <c r="NHJ195" s="3"/>
      <c r="NHK195" s="3"/>
      <c r="NHL195" s="3"/>
      <c r="NHM195" s="3"/>
      <c r="NHN195" s="3"/>
      <c r="NHO195" s="3"/>
      <c r="NHP195" s="3"/>
      <c r="NHQ195" s="3"/>
      <c r="NHR195" s="3"/>
      <c r="NHS195" s="3"/>
      <c r="NHT195" s="3"/>
      <c r="NHU195" s="3"/>
      <c r="NHV195" s="3"/>
      <c r="NHW195" s="3"/>
      <c r="NHX195" s="3"/>
      <c r="NHY195" s="3"/>
      <c r="NHZ195" s="3"/>
      <c r="NIA195" s="3"/>
      <c r="NIB195" s="3"/>
      <c r="NIC195" s="3"/>
      <c r="NID195" s="3"/>
      <c r="NIE195" s="3"/>
      <c r="NIF195" s="3"/>
      <c r="NIG195" s="3"/>
      <c r="NIH195" s="3"/>
      <c r="NII195" s="3"/>
      <c r="NIJ195" s="3"/>
      <c r="NIK195" s="3"/>
      <c r="NIL195" s="3"/>
      <c r="NIM195" s="3"/>
      <c r="NIN195" s="3"/>
      <c r="NIO195" s="3"/>
      <c r="NIP195" s="3"/>
      <c r="NIQ195" s="3"/>
      <c r="NIR195" s="3"/>
      <c r="NIS195" s="3"/>
      <c r="NIT195" s="3"/>
      <c r="NIU195" s="3"/>
      <c r="NIV195" s="3"/>
      <c r="NIW195" s="3"/>
      <c r="NIX195" s="3"/>
      <c r="NIY195" s="3"/>
      <c r="NIZ195" s="3"/>
      <c r="NJA195" s="3"/>
      <c r="NJB195" s="3"/>
      <c r="NJC195" s="3"/>
      <c r="NJD195" s="3"/>
      <c r="NJE195" s="3"/>
      <c r="NJF195" s="3"/>
      <c r="NJG195" s="3"/>
      <c r="NJH195" s="3"/>
      <c r="NJI195" s="3"/>
      <c r="NJJ195" s="3"/>
      <c r="NJK195" s="3"/>
      <c r="NJL195" s="3"/>
      <c r="NJM195" s="3"/>
      <c r="NJN195" s="3"/>
      <c r="NJO195" s="3"/>
      <c r="NJP195" s="3"/>
      <c r="NJQ195" s="3"/>
      <c r="NJR195" s="3"/>
      <c r="NJS195" s="3"/>
      <c r="NJT195" s="3"/>
      <c r="NJU195" s="3"/>
      <c r="NJV195" s="3"/>
      <c r="NJW195" s="3"/>
      <c r="NJX195" s="3"/>
      <c r="NJY195" s="3"/>
      <c r="NJZ195" s="3"/>
      <c r="NKA195" s="3"/>
      <c r="NKB195" s="3"/>
      <c r="NKC195" s="3"/>
      <c r="NKD195" s="3"/>
      <c r="NKE195" s="3"/>
      <c r="NKF195" s="3"/>
      <c r="NKG195" s="3"/>
      <c r="NKH195" s="3"/>
      <c r="NKI195" s="3"/>
      <c r="NKJ195" s="3"/>
      <c r="NKK195" s="3"/>
      <c r="NKL195" s="3"/>
      <c r="NKM195" s="3"/>
      <c r="NKN195" s="3"/>
      <c r="NKO195" s="3"/>
      <c r="NKP195" s="3"/>
      <c r="NKQ195" s="3"/>
      <c r="NKR195" s="3"/>
      <c r="NKS195" s="3"/>
      <c r="NKT195" s="3"/>
      <c r="NKU195" s="3"/>
      <c r="NKV195" s="3"/>
      <c r="NKW195" s="3"/>
      <c r="NKX195" s="3"/>
      <c r="NKY195" s="3"/>
      <c r="NKZ195" s="3"/>
      <c r="NLA195" s="3"/>
      <c r="NLB195" s="3"/>
      <c r="NLC195" s="3"/>
      <c r="NLD195" s="3"/>
      <c r="NLE195" s="3"/>
      <c r="NLF195" s="3"/>
      <c r="NLG195" s="3"/>
      <c r="NLH195" s="3"/>
      <c r="NLI195" s="3"/>
      <c r="NLJ195" s="3"/>
      <c r="NLK195" s="3"/>
      <c r="NLL195" s="3"/>
      <c r="NLM195" s="3"/>
      <c r="NLN195" s="3"/>
      <c r="NLO195" s="3"/>
      <c r="NLP195" s="3"/>
      <c r="NLQ195" s="3"/>
      <c r="NLR195" s="3"/>
      <c r="NLS195" s="3"/>
      <c r="NLT195" s="3"/>
      <c r="NLU195" s="3"/>
      <c r="NLV195" s="3"/>
      <c r="NLW195" s="3"/>
      <c r="NLX195" s="3"/>
      <c r="NLY195" s="3"/>
      <c r="NLZ195" s="3"/>
      <c r="NMA195" s="3"/>
      <c r="NMB195" s="3"/>
      <c r="NMC195" s="3"/>
      <c r="NMD195" s="3"/>
      <c r="NME195" s="3"/>
      <c r="NMF195" s="3"/>
      <c r="NMG195" s="3"/>
      <c r="NMH195" s="3"/>
      <c r="NMI195" s="3"/>
      <c r="NMJ195" s="3"/>
      <c r="NMK195" s="3"/>
      <c r="NML195" s="3"/>
      <c r="NMM195" s="3"/>
      <c r="NMN195" s="3"/>
      <c r="NMO195" s="3"/>
      <c r="NMP195" s="3"/>
      <c r="NMQ195" s="3"/>
      <c r="NMR195" s="3"/>
      <c r="NMS195" s="3"/>
      <c r="NMT195" s="3"/>
      <c r="NMU195" s="3"/>
      <c r="NMV195" s="3"/>
      <c r="NMW195" s="3"/>
      <c r="NMX195" s="3"/>
      <c r="NMY195" s="3"/>
      <c r="NMZ195" s="3"/>
      <c r="NNA195" s="3"/>
      <c r="NNB195" s="3"/>
      <c r="NNC195" s="3"/>
      <c r="NND195" s="3"/>
      <c r="NNE195" s="3"/>
      <c r="NNF195" s="3"/>
      <c r="NNG195" s="3"/>
      <c r="NNH195" s="3"/>
      <c r="NNI195" s="3"/>
      <c r="NNJ195" s="3"/>
      <c r="NNK195" s="3"/>
      <c r="NNL195" s="3"/>
      <c r="NNM195" s="3"/>
      <c r="NNN195" s="3"/>
      <c r="NNO195" s="3"/>
      <c r="NNP195" s="3"/>
      <c r="NNQ195" s="3"/>
      <c r="NNR195" s="3"/>
      <c r="NNS195" s="3"/>
      <c r="NNT195" s="3"/>
      <c r="NNU195" s="3"/>
      <c r="NNV195" s="3"/>
      <c r="NNW195" s="3"/>
      <c r="NNX195" s="3"/>
      <c r="NNY195" s="3"/>
      <c r="NNZ195" s="3"/>
      <c r="NOA195" s="3"/>
      <c r="NOB195" s="3"/>
      <c r="NOC195" s="3"/>
      <c r="NOD195" s="3"/>
      <c r="NOE195" s="3"/>
      <c r="NOF195" s="3"/>
      <c r="NOG195" s="3"/>
      <c r="NOH195" s="3"/>
      <c r="NOI195" s="3"/>
      <c r="NOJ195" s="3"/>
      <c r="NOK195" s="3"/>
      <c r="NOL195" s="3"/>
      <c r="NOM195" s="3"/>
      <c r="NON195" s="3"/>
      <c r="NOO195" s="3"/>
      <c r="NOP195" s="3"/>
      <c r="NOQ195" s="3"/>
      <c r="NOR195" s="3"/>
      <c r="NOS195" s="3"/>
      <c r="NOT195" s="3"/>
      <c r="NOU195" s="3"/>
      <c r="NOV195" s="3"/>
      <c r="NOW195" s="3"/>
      <c r="NOX195" s="3"/>
      <c r="NOY195" s="3"/>
      <c r="NOZ195" s="3"/>
      <c r="NPA195" s="3"/>
      <c r="NPB195" s="3"/>
      <c r="NPC195" s="3"/>
      <c r="NPD195" s="3"/>
      <c r="NPE195" s="3"/>
      <c r="NPF195" s="3"/>
      <c r="NPG195" s="3"/>
      <c r="NPH195" s="3"/>
      <c r="NPI195" s="3"/>
      <c r="NPJ195" s="3"/>
      <c r="NPK195" s="3"/>
      <c r="NPL195" s="3"/>
      <c r="NPM195" s="3"/>
      <c r="NPN195" s="3"/>
      <c r="NPO195" s="3"/>
      <c r="NPP195" s="3"/>
      <c r="NPQ195" s="3"/>
      <c r="NPR195" s="3"/>
      <c r="NPS195" s="3"/>
      <c r="NPT195" s="3"/>
      <c r="NPU195" s="3"/>
      <c r="NPV195" s="3"/>
      <c r="NPW195" s="3"/>
      <c r="NPX195" s="3"/>
      <c r="NPY195" s="3"/>
      <c r="NPZ195" s="3"/>
      <c r="NQA195" s="3"/>
      <c r="NQB195" s="3"/>
      <c r="NQC195" s="3"/>
      <c r="NQD195" s="3"/>
      <c r="NQE195" s="3"/>
      <c r="NQF195" s="3"/>
      <c r="NQG195" s="3"/>
      <c r="NQH195" s="3"/>
      <c r="NQI195" s="3"/>
      <c r="NQJ195" s="3"/>
      <c r="NQK195" s="3"/>
      <c r="NQL195" s="3"/>
      <c r="NQM195" s="3"/>
      <c r="NQN195" s="3"/>
      <c r="NQO195" s="3"/>
      <c r="NQP195" s="3"/>
      <c r="NQQ195" s="3"/>
      <c r="NQR195" s="3"/>
      <c r="NQS195" s="3"/>
      <c r="NQT195" s="3"/>
      <c r="NQU195" s="3"/>
      <c r="NQV195" s="3"/>
      <c r="NQW195" s="3"/>
      <c r="NQX195" s="3"/>
      <c r="NQY195" s="3"/>
      <c r="NQZ195" s="3"/>
      <c r="NRA195" s="3"/>
      <c r="NRB195" s="3"/>
      <c r="NRC195" s="3"/>
      <c r="NRD195" s="3"/>
      <c r="NRE195" s="3"/>
      <c r="NRF195" s="3"/>
      <c r="NRG195" s="3"/>
      <c r="NRH195" s="3"/>
      <c r="NRI195" s="3"/>
      <c r="NRJ195" s="3"/>
      <c r="NRK195" s="3"/>
      <c r="NRL195" s="3"/>
      <c r="NRM195" s="3"/>
      <c r="NRN195" s="3"/>
      <c r="NRO195" s="3"/>
      <c r="NRP195" s="3"/>
      <c r="NRQ195" s="3"/>
      <c r="NRR195" s="3"/>
      <c r="NRS195" s="3"/>
      <c r="NRT195" s="3"/>
      <c r="NRU195" s="3"/>
      <c r="NRV195" s="3"/>
      <c r="NRW195" s="3"/>
      <c r="NRX195" s="3"/>
      <c r="NRY195" s="3"/>
      <c r="NRZ195" s="3"/>
      <c r="NSA195" s="3"/>
      <c r="NSB195" s="3"/>
      <c r="NSC195" s="3"/>
      <c r="NSD195" s="3"/>
      <c r="NSE195" s="3"/>
      <c r="NSF195" s="3"/>
      <c r="NSG195" s="3"/>
      <c r="NSH195" s="3"/>
      <c r="NSI195" s="3"/>
      <c r="NSJ195" s="3"/>
      <c r="NSK195" s="3"/>
      <c r="NSL195" s="3"/>
      <c r="NSM195" s="3"/>
      <c r="NSN195" s="3"/>
      <c r="NSO195" s="3"/>
      <c r="NSP195" s="3"/>
      <c r="NSQ195" s="3"/>
      <c r="NSR195" s="3"/>
      <c r="NSS195" s="3"/>
      <c r="NST195" s="3"/>
      <c r="NSU195" s="3"/>
      <c r="NSV195" s="3"/>
      <c r="NSW195" s="3"/>
      <c r="NSX195" s="3"/>
      <c r="NSY195" s="3"/>
      <c r="NSZ195" s="3"/>
      <c r="NTA195" s="3"/>
      <c r="NTB195" s="3"/>
      <c r="NTC195" s="3"/>
      <c r="NTD195" s="3"/>
      <c r="NTE195" s="3"/>
      <c r="NTF195" s="3"/>
      <c r="NTG195" s="3"/>
      <c r="NTH195" s="3"/>
      <c r="NTI195" s="3"/>
      <c r="NTJ195" s="3"/>
      <c r="NTK195" s="3"/>
      <c r="NTL195" s="3"/>
      <c r="NTM195" s="3"/>
      <c r="NTN195" s="3"/>
      <c r="NTO195" s="3"/>
      <c r="NTP195" s="3"/>
      <c r="NTQ195" s="3"/>
      <c r="NTR195" s="3"/>
      <c r="NTS195" s="3"/>
      <c r="NTT195" s="3"/>
      <c r="NTU195" s="3"/>
      <c r="NTV195" s="3"/>
      <c r="NTW195" s="3"/>
      <c r="NTX195" s="3"/>
      <c r="NTY195" s="3"/>
      <c r="NTZ195" s="3"/>
      <c r="NUA195" s="3"/>
      <c r="NUB195" s="3"/>
      <c r="NUC195" s="3"/>
      <c r="NUD195" s="3"/>
      <c r="NUE195" s="3"/>
      <c r="NUF195" s="3"/>
      <c r="NUG195" s="3"/>
      <c r="NUH195" s="3"/>
      <c r="NUI195" s="3"/>
      <c r="NUJ195" s="3"/>
      <c r="NUK195" s="3"/>
      <c r="NUL195" s="3"/>
      <c r="NUM195" s="3"/>
      <c r="NUN195" s="3"/>
      <c r="NUO195" s="3"/>
      <c r="NUP195" s="3"/>
      <c r="NUQ195" s="3"/>
      <c r="NUR195" s="3"/>
      <c r="NUS195" s="3"/>
      <c r="NUT195" s="3"/>
      <c r="NUU195" s="3"/>
      <c r="NUV195" s="3"/>
      <c r="NUW195" s="3"/>
      <c r="NUX195" s="3"/>
      <c r="NUY195" s="3"/>
      <c r="NUZ195" s="3"/>
      <c r="NVA195" s="3"/>
      <c r="NVB195" s="3"/>
      <c r="NVC195" s="3"/>
      <c r="NVD195" s="3"/>
      <c r="NVE195" s="3"/>
      <c r="NVF195" s="3"/>
      <c r="NVG195" s="3"/>
      <c r="NVH195" s="3"/>
      <c r="NVI195" s="3"/>
      <c r="NVJ195" s="3"/>
      <c r="NVK195" s="3"/>
      <c r="NVL195" s="3"/>
      <c r="NVM195" s="3"/>
      <c r="NVN195" s="3"/>
      <c r="NVO195" s="3"/>
      <c r="NVP195" s="3"/>
      <c r="NVQ195" s="3"/>
      <c r="NVR195" s="3"/>
      <c r="NVS195" s="3"/>
      <c r="NVT195" s="3"/>
      <c r="NVU195" s="3"/>
      <c r="NVV195" s="3"/>
      <c r="NVW195" s="3"/>
      <c r="NVX195" s="3"/>
      <c r="NVY195" s="3"/>
      <c r="NVZ195" s="3"/>
      <c r="NWA195" s="3"/>
      <c r="NWB195" s="3"/>
      <c r="NWC195" s="3"/>
      <c r="NWD195" s="3"/>
      <c r="NWE195" s="3"/>
      <c r="NWF195" s="3"/>
      <c r="NWG195" s="3"/>
      <c r="NWH195" s="3"/>
      <c r="NWI195" s="3"/>
      <c r="NWJ195" s="3"/>
      <c r="NWK195" s="3"/>
      <c r="NWL195" s="3"/>
      <c r="NWM195" s="3"/>
      <c r="NWN195" s="3"/>
      <c r="NWO195" s="3"/>
      <c r="NWP195" s="3"/>
      <c r="NWQ195" s="3"/>
      <c r="NWR195" s="3"/>
      <c r="NWS195" s="3"/>
      <c r="NWT195" s="3"/>
      <c r="NWU195" s="3"/>
      <c r="NWV195" s="3"/>
      <c r="NWW195" s="3"/>
      <c r="NWX195" s="3"/>
      <c r="NWY195" s="3"/>
      <c r="NWZ195" s="3"/>
      <c r="NXA195" s="3"/>
      <c r="NXB195" s="3"/>
      <c r="NXC195" s="3"/>
      <c r="NXD195" s="3"/>
      <c r="NXE195" s="3"/>
      <c r="NXF195" s="3"/>
      <c r="NXG195" s="3"/>
      <c r="NXH195" s="3"/>
      <c r="NXI195" s="3"/>
      <c r="NXJ195" s="3"/>
      <c r="NXK195" s="3"/>
      <c r="NXL195" s="3"/>
      <c r="NXM195" s="3"/>
      <c r="NXN195" s="3"/>
      <c r="NXO195" s="3"/>
      <c r="NXP195" s="3"/>
      <c r="NXQ195" s="3"/>
      <c r="NXR195" s="3"/>
      <c r="NXS195" s="3"/>
      <c r="NXT195" s="3"/>
      <c r="NXU195" s="3"/>
      <c r="NXV195" s="3"/>
      <c r="NXW195" s="3"/>
      <c r="NXX195" s="3"/>
      <c r="NXY195" s="3"/>
      <c r="NXZ195" s="3"/>
      <c r="NYA195" s="3"/>
      <c r="NYB195" s="3"/>
      <c r="NYC195" s="3"/>
      <c r="NYD195" s="3"/>
      <c r="NYE195" s="3"/>
      <c r="NYF195" s="3"/>
      <c r="NYG195" s="3"/>
      <c r="NYH195" s="3"/>
      <c r="NYI195" s="3"/>
      <c r="NYJ195" s="3"/>
      <c r="NYK195" s="3"/>
      <c r="NYL195" s="3"/>
      <c r="NYM195" s="3"/>
      <c r="NYN195" s="3"/>
      <c r="NYO195" s="3"/>
      <c r="NYP195" s="3"/>
      <c r="NYQ195" s="3"/>
      <c r="NYR195" s="3"/>
      <c r="NYS195" s="3"/>
      <c r="NYT195" s="3"/>
      <c r="NYU195" s="3"/>
      <c r="NYV195" s="3"/>
      <c r="NYW195" s="3"/>
      <c r="NYX195" s="3"/>
      <c r="NYY195" s="3"/>
      <c r="NYZ195" s="3"/>
      <c r="NZA195" s="3"/>
      <c r="NZB195" s="3"/>
      <c r="NZC195" s="3"/>
      <c r="NZD195" s="3"/>
      <c r="NZE195" s="3"/>
      <c r="NZF195" s="3"/>
      <c r="NZG195" s="3"/>
      <c r="NZH195" s="3"/>
      <c r="NZI195" s="3"/>
      <c r="NZJ195" s="3"/>
      <c r="NZK195" s="3"/>
      <c r="NZL195" s="3"/>
      <c r="NZM195" s="3"/>
      <c r="NZN195" s="3"/>
      <c r="NZO195" s="3"/>
      <c r="NZP195" s="3"/>
      <c r="NZQ195" s="3"/>
      <c r="NZR195" s="3"/>
      <c r="NZS195" s="3"/>
      <c r="NZT195" s="3"/>
      <c r="NZU195" s="3"/>
      <c r="NZV195" s="3"/>
      <c r="NZW195" s="3"/>
      <c r="NZX195" s="3"/>
      <c r="NZY195" s="3"/>
      <c r="NZZ195" s="3"/>
      <c r="OAA195" s="3"/>
      <c r="OAB195" s="3"/>
      <c r="OAC195" s="3"/>
      <c r="OAD195" s="3"/>
      <c r="OAE195" s="3"/>
      <c r="OAF195" s="3"/>
      <c r="OAG195" s="3"/>
      <c r="OAH195" s="3"/>
      <c r="OAI195" s="3"/>
      <c r="OAJ195" s="3"/>
      <c r="OAK195" s="3"/>
      <c r="OAL195" s="3"/>
      <c r="OAM195" s="3"/>
      <c r="OAN195" s="3"/>
      <c r="OAO195" s="3"/>
      <c r="OAP195" s="3"/>
      <c r="OAQ195" s="3"/>
      <c r="OAR195" s="3"/>
      <c r="OAS195" s="3"/>
      <c r="OAT195" s="3"/>
      <c r="OAU195" s="3"/>
      <c r="OAV195" s="3"/>
      <c r="OAW195" s="3"/>
      <c r="OAX195" s="3"/>
      <c r="OAY195" s="3"/>
      <c r="OAZ195" s="3"/>
      <c r="OBA195" s="3"/>
      <c r="OBB195" s="3"/>
      <c r="OBC195" s="3"/>
      <c r="OBD195" s="3"/>
      <c r="OBE195" s="3"/>
      <c r="OBF195" s="3"/>
      <c r="OBG195" s="3"/>
      <c r="OBH195" s="3"/>
      <c r="OBI195" s="3"/>
      <c r="OBJ195" s="3"/>
      <c r="OBK195" s="3"/>
      <c r="OBL195" s="3"/>
      <c r="OBM195" s="3"/>
      <c r="OBN195" s="3"/>
      <c r="OBO195" s="3"/>
      <c r="OBP195" s="3"/>
      <c r="OBQ195" s="3"/>
      <c r="OBR195" s="3"/>
      <c r="OBS195" s="3"/>
      <c r="OBT195" s="3"/>
      <c r="OBU195" s="3"/>
      <c r="OBV195" s="3"/>
      <c r="OBW195" s="3"/>
      <c r="OBX195" s="3"/>
      <c r="OBY195" s="3"/>
      <c r="OBZ195" s="3"/>
      <c r="OCA195" s="3"/>
      <c r="OCB195" s="3"/>
      <c r="OCC195" s="3"/>
      <c r="OCD195" s="3"/>
      <c r="OCE195" s="3"/>
      <c r="OCF195" s="3"/>
      <c r="OCG195" s="3"/>
      <c r="OCH195" s="3"/>
      <c r="OCI195" s="3"/>
      <c r="OCJ195" s="3"/>
      <c r="OCK195" s="3"/>
      <c r="OCL195" s="3"/>
      <c r="OCM195" s="3"/>
      <c r="OCN195" s="3"/>
      <c r="OCO195" s="3"/>
      <c r="OCP195" s="3"/>
      <c r="OCQ195" s="3"/>
      <c r="OCR195" s="3"/>
      <c r="OCS195" s="3"/>
      <c r="OCT195" s="3"/>
      <c r="OCU195" s="3"/>
      <c r="OCV195" s="3"/>
      <c r="OCW195" s="3"/>
      <c r="OCX195" s="3"/>
      <c r="OCY195" s="3"/>
      <c r="OCZ195" s="3"/>
      <c r="ODA195" s="3"/>
      <c r="ODB195" s="3"/>
      <c r="ODC195" s="3"/>
      <c r="ODD195" s="3"/>
      <c r="ODE195" s="3"/>
      <c r="ODF195" s="3"/>
      <c r="ODG195" s="3"/>
      <c r="ODH195" s="3"/>
      <c r="ODI195" s="3"/>
      <c r="ODJ195" s="3"/>
      <c r="ODK195" s="3"/>
      <c r="ODL195" s="3"/>
      <c r="ODM195" s="3"/>
      <c r="ODN195" s="3"/>
      <c r="ODO195" s="3"/>
      <c r="ODP195" s="3"/>
      <c r="ODQ195" s="3"/>
      <c r="ODR195" s="3"/>
      <c r="ODS195" s="3"/>
      <c r="ODT195" s="3"/>
      <c r="ODU195" s="3"/>
      <c r="ODV195" s="3"/>
      <c r="ODW195" s="3"/>
      <c r="ODX195" s="3"/>
      <c r="ODY195" s="3"/>
      <c r="ODZ195" s="3"/>
      <c r="OEA195" s="3"/>
      <c r="OEB195" s="3"/>
      <c r="OEC195" s="3"/>
      <c r="OED195" s="3"/>
      <c r="OEE195" s="3"/>
      <c r="OEF195" s="3"/>
      <c r="OEG195" s="3"/>
      <c r="OEH195" s="3"/>
      <c r="OEI195" s="3"/>
      <c r="OEJ195" s="3"/>
      <c r="OEK195" s="3"/>
      <c r="OEL195" s="3"/>
      <c r="OEM195" s="3"/>
      <c r="OEN195" s="3"/>
      <c r="OEO195" s="3"/>
      <c r="OEP195" s="3"/>
      <c r="OEQ195" s="3"/>
      <c r="OER195" s="3"/>
      <c r="OES195" s="3"/>
      <c r="OET195" s="3"/>
      <c r="OEU195" s="3"/>
      <c r="OEV195" s="3"/>
      <c r="OEW195" s="3"/>
      <c r="OEX195" s="3"/>
      <c r="OEY195" s="3"/>
      <c r="OEZ195" s="3"/>
      <c r="OFA195" s="3"/>
      <c r="OFB195" s="3"/>
      <c r="OFC195" s="3"/>
      <c r="OFD195" s="3"/>
      <c r="OFE195" s="3"/>
      <c r="OFF195" s="3"/>
      <c r="OFG195" s="3"/>
      <c r="OFH195" s="3"/>
      <c r="OFI195" s="3"/>
      <c r="OFJ195" s="3"/>
      <c r="OFK195" s="3"/>
      <c r="OFL195" s="3"/>
      <c r="OFM195" s="3"/>
      <c r="OFN195" s="3"/>
      <c r="OFO195" s="3"/>
      <c r="OFP195" s="3"/>
      <c r="OFQ195" s="3"/>
      <c r="OFR195" s="3"/>
      <c r="OFS195" s="3"/>
      <c r="OFT195" s="3"/>
      <c r="OFU195" s="3"/>
      <c r="OFV195" s="3"/>
      <c r="OFW195" s="3"/>
      <c r="OFX195" s="3"/>
      <c r="OFY195" s="3"/>
      <c r="OFZ195" s="3"/>
      <c r="OGA195" s="3"/>
      <c r="OGB195" s="3"/>
      <c r="OGC195" s="3"/>
      <c r="OGD195" s="3"/>
      <c r="OGE195" s="3"/>
      <c r="OGF195" s="3"/>
      <c r="OGG195" s="3"/>
      <c r="OGH195" s="3"/>
      <c r="OGI195" s="3"/>
      <c r="OGJ195" s="3"/>
      <c r="OGK195" s="3"/>
      <c r="OGL195" s="3"/>
      <c r="OGM195" s="3"/>
      <c r="OGN195" s="3"/>
      <c r="OGO195" s="3"/>
      <c r="OGP195" s="3"/>
      <c r="OGQ195" s="3"/>
      <c r="OGR195" s="3"/>
      <c r="OGS195" s="3"/>
      <c r="OGT195" s="3"/>
      <c r="OGU195" s="3"/>
      <c r="OGV195" s="3"/>
      <c r="OGW195" s="3"/>
      <c r="OGX195" s="3"/>
      <c r="OGY195" s="3"/>
      <c r="OGZ195" s="3"/>
      <c r="OHA195" s="3"/>
      <c r="OHB195" s="3"/>
      <c r="OHC195" s="3"/>
      <c r="OHD195" s="3"/>
      <c r="OHE195" s="3"/>
      <c r="OHF195" s="3"/>
      <c r="OHG195" s="3"/>
      <c r="OHH195" s="3"/>
      <c r="OHI195" s="3"/>
      <c r="OHJ195" s="3"/>
      <c r="OHK195" s="3"/>
      <c r="OHL195" s="3"/>
      <c r="OHM195" s="3"/>
      <c r="OHN195" s="3"/>
      <c r="OHO195" s="3"/>
      <c r="OHP195" s="3"/>
      <c r="OHQ195" s="3"/>
      <c r="OHR195" s="3"/>
      <c r="OHS195" s="3"/>
      <c r="OHT195" s="3"/>
      <c r="OHU195" s="3"/>
      <c r="OHV195" s="3"/>
      <c r="OHW195" s="3"/>
      <c r="OHX195" s="3"/>
      <c r="OHY195" s="3"/>
      <c r="OHZ195" s="3"/>
      <c r="OIA195" s="3"/>
      <c r="OIB195" s="3"/>
      <c r="OIC195" s="3"/>
      <c r="OID195" s="3"/>
      <c r="OIE195" s="3"/>
      <c r="OIF195" s="3"/>
      <c r="OIG195" s="3"/>
      <c r="OIH195" s="3"/>
      <c r="OII195" s="3"/>
      <c r="OIJ195" s="3"/>
      <c r="OIK195" s="3"/>
      <c r="OIL195" s="3"/>
      <c r="OIM195" s="3"/>
      <c r="OIN195" s="3"/>
      <c r="OIO195" s="3"/>
      <c r="OIP195" s="3"/>
      <c r="OIQ195" s="3"/>
      <c r="OIR195" s="3"/>
      <c r="OIS195" s="3"/>
      <c r="OIT195" s="3"/>
      <c r="OIU195" s="3"/>
      <c r="OIV195" s="3"/>
      <c r="OIW195" s="3"/>
      <c r="OIX195" s="3"/>
      <c r="OIY195" s="3"/>
      <c r="OIZ195" s="3"/>
      <c r="OJA195" s="3"/>
      <c r="OJB195" s="3"/>
      <c r="OJC195" s="3"/>
      <c r="OJD195" s="3"/>
      <c r="OJE195" s="3"/>
      <c r="OJF195" s="3"/>
      <c r="OJG195" s="3"/>
      <c r="OJH195" s="3"/>
      <c r="OJI195" s="3"/>
      <c r="OJJ195" s="3"/>
      <c r="OJK195" s="3"/>
      <c r="OJL195" s="3"/>
      <c r="OJM195" s="3"/>
      <c r="OJN195" s="3"/>
      <c r="OJO195" s="3"/>
      <c r="OJP195" s="3"/>
      <c r="OJQ195" s="3"/>
      <c r="OJR195" s="3"/>
      <c r="OJS195" s="3"/>
      <c r="OJT195" s="3"/>
      <c r="OJU195" s="3"/>
      <c r="OJV195" s="3"/>
      <c r="OJW195" s="3"/>
      <c r="OJX195" s="3"/>
      <c r="OJY195" s="3"/>
      <c r="OJZ195" s="3"/>
      <c r="OKA195" s="3"/>
      <c r="OKB195" s="3"/>
      <c r="OKC195" s="3"/>
      <c r="OKD195" s="3"/>
      <c r="OKE195" s="3"/>
      <c r="OKF195" s="3"/>
      <c r="OKG195" s="3"/>
      <c r="OKH195" s="3"/>
      <c r="OKI195" s="3"/>
      <c r="OKJ195" s="3"/>
      <c r="OKK195" s="3"/>
      <c r="OKL195" s="3"/>
      <c r="OKM195" s="3"/>
      <c r="OKN195" s="3"/>
      <c r="OKO195" s="3"/>
      <c r="OKP195" s="3"/>
      <c r="OKQ195" s="3"/>
      <c r="OKR195" s="3"/>
      <c r="OKS195" s="3"/>
      <c r="OKT195" s="3"/>
      <c r="OKU195" s="3"/>
      <c r="OKV195" s="3"/>
      <c r="OKW195" s="3"/>
      <c r="OKX195" s="3"/>
      <c r="OKY195" s="3"/>
      <c r="OKZ195" s="3"/>
      <c r="OLA195" s="3"/>
      <c r="OLB195" s="3"/>
      <c r="OLC195" s="3"/>
      <c r="OLD195" s="3"/>
      <c r="OLE195" s="3"/>
      <c r="OLF195" s="3"/>
      <c r="OLG195" s="3"/>
      <c r="OLH195" s="3"/>
      <c r="OLI195" s="3"/>
      <c r="OLJ195" s="3"/>
      <c r="OLK195" s="3"/>
      <c r="OLL195" s="3"/>
      <c r="OLM195" s="3"/>
      <c r="OLN195" s="3"/>
      <c r="OLO195" s="3"/>
      <c r="OLP195" s="3"/>
      <c r="OLQ195" s="3"/>
      <c r="OLR195" s="3"/>
      <c r="OLS195" s="3"/>
      <c r="OLT195" s="3"/>
      <c r="OLU195" s="3"/>
      <c r="OLV195" s="3"/>
      <c r="OLW195" s="3"/>
      <c r="OLX195" s="3"/>
      <c r="OLY195" s="3"/>
      <c r="OLZ195" s="3"/>
      <c r="OMA195" s="3"/>
      <c r="OMB195" s="3"/>
      <c r="OMC195" s="3"/>
      <c r="OMD195" s="3"/>
      <c r="OME195" s="3"/>
      <c r="OMF195" s="3"/>
      <c r="OMG195" s="3"/>
      <c r="OMH195" s="3"/>
      <c r="OMI195" s="3"/>
      <c r="OMJ195" s="3"/>
      <c r="OMK195" s="3"/>
      <c r="OML195" s="3"/>
      <c r="OMM195" s="3"/>
      <c r="OMN195" s="3"/>
      <c r="OMO195" s="3"/>
      <c r="OMP195" s="3"/>
      <c r="OMQ195" s="3"/>
      <c r="OMR195" s="3"/>
      <c r="OMS195" s="3"/>
      <c r="OMT195" s="3"/>
      <c r="OMU195" s="3"/>
      <c r="OMV195" s="3"/>
      <c r="OMW195" s="3"/>
      <c r="OMX195" s="3"/>
      <c r="OMY195" s="3"/>
      <c r="OMZ195" s="3"/>
      <c r="ONA195" s="3"/>
      <c r="ONB195" s="3"/>
      <c r="ONC195" s="3"/>
      <c r="OND195" s="3"/>
      <c r="ONE195" s="3"/>
      <c r="ONF195" s="3"/>
      <c r="ONG195" s="3"/>
      <c r="ONH195" s="3"/>
      <c r="ONI195" s="3"/>
      <c r="ONJ195" s="3"/>
      <c r="ONK195" s="3"/>
      <c r="ONL195" s="3"/>
      <c r="ONM195" s="3"/>
      <c r="ONN195" s="3"/>
      <c r="ONO195" s="3"/>
      <c r="ONP195" s="3"/>
      <c r="ONQ195" s="3"/>
      <c r="ONR195" s="3"/>
      <c r="ONS195" s="3"/>
      <c r="ONT195" s="3"/>
      <c r="ONU195" s="3"/>
      <c r="ONV195" s="3"/>
      <c r="ONW195" s="3"/>
      <c r="ONX195" s="3"/>
      <c r="ONY195" s="3"/>
      <c r="ONZ195" s="3"/>
      <c r="OOA195" s="3"/>
      <c r="OOB195" s="3"/>
      <c r="OOC195" s="3"/>
      <c r="OOD195" s="3"/>
      <c r="OOE195" s="3"/>
      <c r="OOF195" s="3"/>
      <c r="OOG195" s="3"/>
      <c r="OOH195" s="3"/>
      <c r="OOI195" s="3"/>
      <c r="OOJ195" s="3"/>
      <c r="OOK195" s="3"/>
      <c r="OOL195" s="3"/>
      <c r="OOM195" s="3"/>
      <c r="OON195" s="3"/>
      <c r="OOO195" s="3"/>
      <c r="OOP195" s="3"/>
      <c r="OOQ195" s="3"/>
      <c r="OOR195" s="3"/>
      <c r="OOS195" s="3"/>
      <c r="OOT195" s="3"/>
      <c r="OOU195" s="3"/>
      <c r="OOV195" s="3"/>
      <c r="OOW195" s="3"/>
      <c r="OOX195" s="3"/>
      <c r="OOY195" s="3"/>
      <c r="OOZ195" s="3"/>
      <c r="OPA195" s="3"/>
      <c r="OPB195" s="3"/>
      <c r="OPC195" s="3"/>
      <c r="OPD195" s="3"/>
      <c r="OPE195" s="3"/>
      <c r="OPF195" s="3"/>
      <c r="OPG195" s="3"/>
      <c r="OPH195" s="3"/>
      <c r="OPI195" s="3"/>
      <c r="OPJ195" s="3"/>
      <c r="OPK195" s="3"/>
      <c r="OPL195" s="3"/>
      <c r="OPM195" s="3"/>
      <c r="OPN195" s="3"/>
      <c r="OPO195" s="3"/>
      <c r="OPP195" s="3"/>
      <c r="OPQ195" s="3"/>
      <c r="OPR195" s="3"/>
      <c r="OPS195" s="3"/>
      <c r="OPT195" s="3"/>
      <c r="OPU195" s="3"/>
      <c r="OPV195" s="3"/>
      <c r="OPW195" s="3"/>
      <c r="OPX195" s="3"/>
      <c r="OPY195" s="3"/>
      <c r="OPZ195" s="3"/>
      <c r="OQA195" s="3"/>
      <c r="OQB195" s="3"/>
      <c r="OQC195" s="3"/>
      <c r="OQD195" s="3"/>
      <c r="OQE195" s="3"/>
      <c r="OQF195" s="3"/>
      <c r="OQG195" s="3"/>
      <c r="OQH195" s="3"/>
      <c r="OQI195" s="3"/>
      <c r="OQJ195" s="3"/>
      <c r="OQK195" s="3"/>
      <c r="OQL195" s="3"/>
      <c r="OQM195" s="3"/>
      <c r="OQN195" s="3"/>
      <c r="OQO195" s="3"/>
      <c r="OQP195" s="3"/>
      <c r="OQQ195" s="3"/>
      <c r="OQR195" s="3"/>
      <c r="OQS195" s="3"/>
      <c r="OQT195" s="3"/>
      <c r="OQU195" s="3"/>
      <c r="OQV195" s="3"/>
      <c r="OQW195" s="3"/>
      <c r="OQX195" s="3"/>
      <c r="OQY195" s="3"/>
      <c r="OQZ195" s="3"/>
      <c r="ORA195" s="3"/>
      <c r="ORB195" s="3"/>
      <c r="ORC195" s="3"/>
      <c r="ORD195" s="3"/>
      <c r="ORE195" s="3"/>
      <c r="ORF195" s="3"/>
      <c r="ORG195" s="3"/>
      <c r="ORH195" s="3"/>
      <c r="ORI195" s="3"/>
      <c r="ORJ195" s="3"/>
      <c r="ORK195" s="3"/>
      <c r="ORL195" s="3"/>
      <c r="ORM195" s="3"/>
      <c r="ORN195" s="3"/>
      <c r="ORO195" s="3"/>
      <c r="ORP195" s="3"/>
      <c r="ORQ195" s="3"/>
      <c r="ORR195" s="3"/>
      <c r="ORS195" s="3"/>
      <c r="ORT195" s="3"/>
      <c r="ORU195" s="3"/>
      <c r="ORV195" s="3"/>
      <c r="ORW195" s="3"/>
      <c r="ORX195" s="3"/>
      <c r="ORY195" s="3"/>
      <c r="ORZ195" s="3"/>
      <c r="OSA195" s="3"/>
      <c r="OSB195" s="3"/>
      <c r="OSC195" s="3"/>
      <c r="OSD195" s="3"/>
      <c r="OSE195" s="3"/>
      <c r="OSF195" s="3"/>
      <c r="OSG195" s="3"/>
      <c r="OSH195" s="3"/>
      <c r="OSI195" s="3"/>
      <c r="OSJ195" s="3"/>
      <c r="OSK195" s="3"/>
      <c r="OSL195" s="3"/>
      <c r="OSM195" s="3"/>
      <c r="OSN195" s="3"/>
      <c r="OSO195" s="3"/>
      <c r="OSP195" s="3"/>
      <c r="OSQ195" s="3"/>
      <c r="OSR195" s="3"/>
      <c r="OSS195" s="3"/>
      <c r="OST195" s="3"/>
      <c r="OSU195" s="3"/>
      <c r="OSV195" s="3"/>
      <c r="OSW195" s="3"/>
      <c r="OSX195" s="3"/>
      <c r="OSY195" s="3"/>
      <c r="OSZ195" s="3"/>
      <c r="OTA195" s="3"/>
      <c r="OTB195" s="3"/>
      <c r="OTC195" s="3"/>
      <c r="OTD195" s="3"/>
      <c r="OTE195" s="3"/>
      <c r="OTF195" s="3"/>
      <c r="OTG195" s="3"/>
      <c r="OTH195" s="3"/>
      <c r="OTI195" s="3"/>
      <c r="OTJ195" s="3"/>
      <c r="OTK195" s="3"/>
      <c r="OTL195" s="3"/>
      <c r="OTM195" s="3"/>
      <c r="OTN195" s="3"/>
      <c r="OTO195" s="3"/>
      <c r="OTP195" s="3"/>
      <c r="OTQ195" s="3"/>
      <c r="OTR195" s="3"/>
      <c r="OTS195" s="3"/>
      <c r="OTT195" s="3"/>
      <c r="OTU195" s="3"/>
      <c r="OTV195" s="3"/>
      <c r="OTW195" s="3"/>
      <c r="OTX195" s="3"/>
      <c r="OTY195" s="3"/>
      <c r="OTZ195" s="3"/>
      <c r="OUA195" s="3"/>
      <c r="OUB195" s="3"/>
      <c r="OUC195" s="3"/>
      <c r="OUD195" s="3"/>
      <c r="OUE195" s="3"/>
      <c r="OUF195" s="3"/>
      <c r="OUG195" s="3"/>
      <c r="OUH195" s="3"/>
      <c r="OUI195" s="3"/>
      <c r="OUJ195" s="3"/>
      <c r="OUK195" s="3"/>
      <c r="OUL195" s="3"/>
      <c r="OUM195" s="3"/>
      <c r="OUN195" s="3"/>
      <c r="OUO195" s="3"/>
      <c r="OUP195" s="3"/>
      <c r="OUQ195" s="3"/>
      <c r="OUR195" s="3"/>
      <c r="OUS195" s="3"/>
      <c r="OUT195" s="3"/>
      <c r="OUU195" s="3"/>
      <c r="OUV195" s="3"/>
      <c r="OUW195" s="3"/>
      <c r="OUX195" s="3"/>
      <c r="OUY195" s="3"/>
      <c r="OUZ195" s="3"/>
      <c r="OVA195" s="3"/>
      <c r="OVB195" s="3"/>
      <c r="OVC195" s="3"/>
      <c r="OVD195" s="3"/>
      <c r="OVE195" s="3"/>
      <c r="OVF195" s="3"/>
      <c r="OVG195" s="3"/>
      <c r="OVH195" s="3"/>
      <c r="OVI195" s="3"/>
      <c r="OVJ195" s="3"/>
      <c r="OVK195" s="3"/>
      <c r="OVL195" s="3"/>
      <c r="OVM195" s="3"/>
      <c r="OVN195" s="3"/>
      <c r="OVO195" s="3"/>
      <c r="OVP195" s="3"/>
      <c r="OVQ195" s="3"/>
      <c r="OVR195" s="3"/>
      <c r="OVS195" s="3"/>
      <c r="OVT195" s="3"/>
      <c r="OVU195" s="3"/>
      <c r="OVV195" s="3"/>
      <c r="OVW195" s="3"/>
      <c r="OVX195" s="3"/>
      <c r="OVY195" s="3"/>
      <c r="OVZ195" s="3"/>
      <c r="OWA195" s="3"/>
      <c r="OWB195" s="3"/>
      <c r="OWC195" s="3"/>
      <c r="OWD195" s="3"/>
      <c r="OWE195" s="3"/>
      <c r="OWF195" s="3"/>
      <c r="OWG195" s="3"/>
      <c r="OWH195" s="3"/>
      <c r="OWI195" s="3"/>
      <c r="OWJ195" s="3"/>
      <c r="OWK195" s="3"/>
      <c r="OWL195" s="3"/>
      <c r="OWM195" s="3"/>
      <c r="OWN195" s="3"/>
      <c r="OWO195" s="3"/>
      <c r="OWP195" s="3"/>
      <c r="OWQ195" s="3"/>
      <c r="OWR195" s="3"/>
      <c r="OWS195" s="3"/>
      <c r="OWT195" s="3"/>
      <c r="OWU195" s="3"/>
      <c r="OWV195" s="3"/>
      <c r="OWW195" s="3"/>
      <c r="OWX195" s="3"/>
      <c r="OWY195" s="3"/>
      <c r="OWZ195" s="3"/>
      <c r="OXA195" s="3"/>
      <c r="OXB195" s="3"/>
      <c r="OXC195" s="3"/>
      <c r="OXD195" s="3"/>
      <c r="OXE195" s="3"/>
      <c r="OXF195" s="3"/>
      <c r="OXG195" s="3"/>
      <c r="OXH195" s="3"/>
      <c r="OXI195" s="3"/>
      <c r="OXJ195" s="3"/>
      <c r="OXK195" s="3"/>
      <c r="OXL195" s="3"/>
      <c r="OXM195" s="3"/>
      <c r="OXN195" s="3"/>
      <c r="OXO195" s="3"/>
      <c r="OXP195" s="3"/>
      <c r="OXQ195" s="3"/>
      <c r="OXR195" s="3"/>
      <c r="OXS195" s="3"/>
      <c r="OXT195" s="3"/>
      <c r="OXU195" s="3"/>
      <c r="OXV195" s="3"/>
      <c r="OXW195" s="3"/>
      <c r="OXX195" s="3"/>
      <c r="OXY195" s="3"/>
      <c r="OXZ195" s="3"/>
      <c r="OYA195" s="3"/>
      <c r="OYB195" s="3"/>
      <c r="OYC195" s="3"/>
      <c r="OYD195" s="3"/>
      <c r="OYE195" s="3"/>
      <c r="OYF195" s="3"/>
      <c r="OYG195" s="3"/>
      <c r="OYH195" s="3"/>
      <c r="OYI195" s="3"/>
      <c r="OYJ195" s="3"/>
      <c r="OYK195" s="3"/>
      <c r="OYL195" s="3"/>
      <c r="OYM195" s="3"/>
      <c r="OYN195" s="3"/>
      <c r="OYO195" s="3"/>
      <c r="OYP195" s="3"/>
      <c r="OYQ195" s="3"/>
      <c r="OYR195" s="3"/>
      <c r="OYS195" s="3"/>
      <c r="OYT195" s="3"/>
      <c r="OYU195" s="3"/>
      <c r="OYV195" s="3"/>
      <c r="OYW195" s="3"/>
      <c r="OYX195" s="3"/>
      <c r="OYY195" s="3"/>
      <c r="OYZ195" s="3"/>
      <c r="OZA195" s="3"/>
      <c r="OZB195" s="3"/>
      <c r="OZC195" s="3"/>
      <c r="OZD195" s="3"/>
      <c r="OZE195" s="3"/>
      <c r="OZF195" s="3"/>
      <c r="OZG195" s="3"/>
      <c r="OZH195" s="3"/>
      <c r="OZI195" s="3"/>
      <c r="OZJ195" s="3"/>
      <c r="OZK195" s="3"/>
      <c r="OZL195" s="3"/>
      <c r="OZM195" s="3"/>
      <c r="OZN195" s="3"/>
      <c r="OZO195" s="3"/>
      <c r="OZP195" s="3"/>
      <c r="OZQ195" s="3"/>
      <c r="OZR195" s="3"/>
      <c r="OZS195" s="3"/>
      <c r="OZT195" s="3"/>
      <c r="OZU195" s="3"/>
      <c r="OZV195" s="3"/>
      <c r="OZW195" s="3"/>
      <c r="OZX195" s="3"/>
      <c r="OZY195" s="3"/>
      <c r="OZZ195" s="3"/>
      <c r="PAA195" s="3"/>
      <c r="PAB195" s="3"/>
      <c r="PAC195" s="3"/>
      <c r="PAD195" s="3"/>
      <c r="PAE195" s="3"/>
      <c r="PAF195" s="3"/>
      <c r="PAG195" s="3"/>
      <c r="PAH195" s="3"/>
      <c r="PAI195" s="3"/>
      <c r="PAJ195" s="3"/>
      <c r="PAK195" s="3"/>
      <c r="PAL195" s="3"/>
      <c r="PAM195" s="3"/>
      <c r="PAN195" s="3"/>
      <c r="PAO195" s="3"/>
      <c r="PAP195" s="3"/>
      <c r="PAQ195" s="3"/>
      <c r="PAR195" s="3"/>
      <c r="PAS195" s="3"/>
      <c r="PAT195" s="3"/>
      <c r="PAU195" s="3"/>
      <c r="PAV195" s="3"/>
      <c r="PAW195" s="3"/>
      <c r="PAX195" s="3"/>
      <c r="PAY195" s="3"/>
      <c r="PAZ195" s="3"/>
      <c r="PBA195" s="3"/>
      <c r="PBB195" s="3"/>
      <c r="PBC195" s="3"/>
      <c r="PBD195" s="3"/>
      <c r="PBE195" s="3"/>
      <c r="PBF195" s="3"/>
      <c r="PBG195" s="3"/>
      <c r="PBH195" s="3"/>
      <c r="PBI195" s="3"/>
      <c r="PBJ195" s="3"/>
      <c r="PBK195" s="3"/>
      <c r="PBL195" s="3"/>
      <c r="PBM195" s="3"/>
      <c r="PBN195" s="3"/>
      <c r="PBO195" s="3"/>
      <c r="PBP195" s="3"/>
      <c r="PBQ195" s="3"/>
      <c r="PBR195" s="3"/>
      <c r="PBS195" s="3"/>
      <c r="PBT195" s="3"/>
      <c r="PBU195" s="3"/>
      <c r="PBV195" s="3"/>
      <c r="PBW195" s="3"/>
      <c r="PBX195" s="3"/>
      <c r="PBY195" s="3"/>
      <c r="PBZ195" s="3"/>
      <c r="PCA195" s="3"/>
      <c r="PCB195" s="3"/>
      <c r="PCC195" s="3"/>
      <c r="PCD195" s="3"/>
      <c r="PCE195" s="3"/>
      <c r="PCF195" s="3"/>
      <c r="PCG195" s="3"/>
      <c r="PCH195" s="3"/>
      <c r="PCI195" s="3"/>
      <c r="PCJ195" s="3"/>
      <c r="PCK195" s="3"/>
      <c r="PCL195" s="3"/>
      <c r="PCM195" s="3"/>
      <c r="PCN195" s="3"/>
      <c r="PCO195" s="3"/>
      <c r="PCP195" s="3"/>
      <c r="PCQ195" s="3"/>
      <c r="PCR195" s="3"/>
      <c r="PCS195" s="3"/>
      <c r="PCT195" s="3"/>
      <c r="PCU195" s="3"/>
      <c r="PCV195" s="3"/>
      <c r="PCW195" s="3"/>
      <c r="PCX195" s="3"/>
      <c r="PCY195" s="3"/>
      <c r="PCZ195" s="3"/>
      <c r="PDA195" s="3"/>
      <c r="PDB195" s="3"/>
      <c r="PDC195" s="3"/>
      <c r="PDD195" s="3"/>
      <c r="PDE195" s="3"/>
      <c r="PDF195" s="3"/>
      <c r="PDG195" s="3"/>
      <c r="PDH195" s="3"/>
      <c r="PDI195" s="3"/>
      <c r="PDJ195" s="3"/>
      <c r="PDK195" s="3"/>
      <c r="PDL195" s="3"/>
      <c r="PDM195" s="3"/>
      <c r="PDN195" s="3"/>
      <c r="PDO195" s="3"/>
      <c r="PDP195" s="3"/>
      <c r="PDQ195" s="3"/>
      <c r="PDR195" s="3"/>
      <c r="PDS195" s="3"/>
      <c r="PDT195" s="3"/>
      <c r="PDU195" s="3"/>
      <c r="PDV195" s="3"/>
      <c r="PDW195" s="3"/>
      <c r="PDX195" s="3"/>
      <c r="PDY195" s="3"/>
      <c r="PDZ195" s="3"/>
      <c r="PEA195" s="3"/>
      <c r="PEB195" s="3"/>
      <c r="PEC195" s="3"/>
      <c r="PED195" s="3"/>
      <c r="PEE195" s="3"/>
      <c r="PEF195" s="3"/>
      <c r="PEG195" s="3"/>
      <c r="PEH195" s="3"/>
      <c r="PEI195" s="3"/>
      <c r="PEJ195" s="3"/>
      <c r="PEK195" s="3"/>
      <c r="PEL195" s="3"/>
      <c r="PEM195" s="3"/>
      <c r="PEN195" s="3"/>
      <c r="PEO195" s="3"/>
      <c r="PEP195" s="3"/>
      <c r="PEQ195" s="3"/>
      <c r="PER195" s="3"/>
      <c r="PES195" s="3"/>
      <c r="PET195" s="3"/>
      <c r="PEU195" s="3"/>
      <c r="PEV195" s="3"/>
      <c r="PEW195" s="3"/>
      <c r="PEX195" s="3"/>
      <c r="PEY195" s="3"/>
      <c r="PEZ195" s="3"/>
      <c r="PFA195" s="3"/>
      <c r="PFB195" s="3"/>
      <c r="PFC195" s="3"/>
      <c r="PFD195" s="3"/>
      <c r="PFE195" s="3"/>
      <c r="PFF195" s="3"/>
      <c r="PFG195" s="3"/>
      <c r="PFH195" s="3"/>
      <c r="PFI195" s="3"/>
      <c r="PFJ195" s="3"/>
      <c r="PFK195" s="3"/>
      <c r="PFL195" s="3"/>
      <c r="PFM195" s="3"/>
      <c r="PFN195" s="3"/>
      <c r="PFO195" s="3"/>
      <c r="PFP195" s="3"/>
      <c r="PFQ195" s="3"/>
      <c r="PFR195" s="3"/>
      <c r="PFS195" s="3"/>
      <c r="PFT195" s="3"/>
      <c r="PFU195" s="3"/>
      <c r="PFV195" s="3"/>
      <c r="PFW195" s="3"/>
      <c r="PFX195" s="3"/>
      <c r="PFY195" s="3"/>
      <c r="PFZ195" s="3"/>
      <c r="PGA195" s="3"/>
      <c r="PGB195" s="3"/>
      <c r="PGC195" s="3"/>
      <c r="PGD195" s="3"/>
      <c r="PGE195" s="3"/>
      <c r="PGF195" s="3"/>
      <c r="PGG195" s="3"/>
      <c r="PGH195" s="3"/>
      <c r="PGI195" s="3"/>
      <c r="PGJ195" s="3"/>
      <c r="PGK195" s="3"/>
      <c r="PGL195" s="3"/>
      <c r="PGM195" s="3"/>
      <c r="PGN195" s="3"/>
      <c r="PGO195" s="3"/>
      <c r="PGP195" s="3"/>
      <c r="PGQ195" s="3"/>
      <c r="PGR195" s="3"/>
      <c r="PGS195" s="3"/>
      <c r="PGT195" s="3"/>
      <c r="PGU195" s="3"/>
      <c r="PGV195" s="3"/>
      <c r="PGW195" s="3"/>
      <c r="PGX195" s="3"/>
      <c r="PGY195" s="3"/>
      <c r="PGZ195" s="3"/>
      <c r="PHA195" s="3"/>
      <c r="PHB195" s="3"/>
      <c r="PHC195" s="3"/>
      <c r="PHD195" s="3"/>
      <c r="PHE195" s="3"/>
      <c r="PHF195" s="3"/>
      <c r="PHG195" s="3"/>
      <c r="PHH195" s="3"/>
      <c r="PHI195" s="3"/>
      <c r="PHJ195" s="3"/>
      <c r="PHK195" s="3"/>
      <c r="PHL195" s="3"/>
      <c r="PHM195" s="3"/>
      <c r="PHN195" s="3"/>
      <c r="PHO195" s="3"/>
      <c r="PHP195" s="3"/>
      <c r="PHQ195" s="3"/>
      <c r="PHR195" s="3"/>
      <c r="PHS195" s="3"/>
      <c r="PHT195" s="3"/>
      <c r="PHU195" s="3"/>
      <c r="PHV195" s="3"/>
      <c r="PHW195" s="3"/>
      <c r="PHX195" s="3"/>
      <c r="PHY195" s="3"/>
      <c r="PHZ195" s="3"/>
      <c r="PIA195" s="3"/>
      <c r="PIB195" s="3"/>
      <c r="PIC195" s="3"/>
      <c r="PID195" s="3"/>
      <c r="PIE195" s="3"/>
      <c r="PIF195" s="3"/>
      <c r="PIG195" s="3"/>
      <c r="PIH195" s="3"/>
      <c r="PII195" s="3"/>
      <c r="PIJ195" s="3"/>
      <c r="PIK195" s="3"/>
      <c r="PIL195" s="3"/>
      <c r="PIM195" s="3"/>
      <c r="PIN195" s="3"/>
      <c r="PIO195" s="3"/>
      <c r="PIP195" s="3"/>
      <c r="PIQ195" s="3"/>
      <c r="PIR195" s="3"/>
      <c r="PIS195" s="3"/>
      <c r="PIT195" s="3"/>
      <c r="PIU195" s="3"/>
      <c r="PIV195" s="3"/>
      <c r="PIW195" s="3"/>
      <c r="PIX195" s="3"/>
      <c r="PIY195" s="3"/>
      <c r="PIZ195" s="3"/>
      <c r="PJA195" s="3"/>
      <c r="PJB195" s="3"/>
      <c r="PJC195" s="3"/>
      <c r="PJD195" s="3"/>
      <c r="PJE195" s="3"/>
      <c r="PJF195" s="3"/>
      <c r="PJG195" s="3"/>
      <c r="PJH195" s="3"/>
      <c r="PJI195" s="3"/>
      <c r="PJJ195" s="3"/>
      <c r="PJK195" s="3"/>
      <c r="PJL195" s="3"/>
      <c r="PJM195" s="3"/>
      <c r="PJN195" s="3"/>
      <c r="PJO195" s="3"/>
      <c r="PJP195" s="3"/>
      <c r="PJQ195" s="3"/>
      <c r="PJR195" s="3"/>
      <c r="PJS195" s="3"/>
      <c r="PJT195" s="3"/>
      <c r="PJU195" s="3"/>
      <c r="PJV195" s="3"/>
      <c r="PJW195" s="3"/>
      <c r="PJX195" s="3"/>
      <c r="PJY195" s="3"/>
      <c r="PJZ195" s="3"/>
      <c r="PKA195" s="3"/>
      <c r="PKB195" s="3"/>
      <c r="PKC195" s="3"/>
      <c r="PKD195" s="3"/>
      <c r="PKE195" s="3"/>
      <c r="PKF195" s="3"/>
      <c r="PKG195" s="3"/>
      <c r="PKH195" s="3"/>
      <c r="PKI195" s="3"/>
      <c r="PKJ195" s="3"/>
      <c r="PKK195" s="3"/>
      <c r="PKL195" s="3"/>
      <c r="PKM195" s="3"/>
      <c r="PKN195" s="3"/>
      <c r="PKO195" s="3"/>
      <c r="PKP195" s="3"/>
      <c r="PKQ195" s="3"/>
      <c r="PKR195" s="3"/>
      <c r="PKS195" s="3"/>
      <c r="PKT195" s="3"/>
      <c r="PKU195" s="3"/>
      <c r="PKV195" s="3"/>
      <c r="PKW195" s="3"/>
      <c r="PKX195" s="3"/>
      <c r="PKY195" s="3"/>
      <c r="PKZ195" s="3"/>
      <c r="PLA195" s="3"/>
      <c r="PLB195" s="3"/>
      <c r="PLC195" s="3"/>
      <c r="PLD195" s="3"/>
      <c r="PLE195" s="3"/>
      <c r="PLF195" s="3"/>
      <c r="PLG195" s="3"/>
      <c r="PLH195" s="3"/>
      <c r="PLI195" s="3"/>
      <c r="PLJ195" s="3"/>
      <c r="PLK195" s="3"/>
      <c r="PLL195" s="3"/>
      <c r="PLM195" s="3"/>
      <c r="PLN195" s="3"/>
      <c r="PLO195" s="3"/>
      <c r="PLP195" s="3"/>
      <c r="PLQ195" s="3"/>
      <c r="PLR195" s="3"/>
      <c r="PLS195" s="3"/>
      <c r="PLT195" s="3"/>
      <c r="PLU195" s="3"/>
      <c r="PLV195" s="3"/>
      <c r="PLW195" s="3"/>
      <c r="PLX195" s="3"/>
      <c r="PLY195" s="3"/>
      <c r="PLZ195" s="3"/>
      <c r="PMA195" s="3"/>
      <c r="PMB195" s="3"/>
      <c r="PMC195" s="3"/>
      <c r="PMD195" s="3"/>
      <c r="PME195" s="3"/>
      <c r="PMF195" s="3"/>
      <c r="PMG195" s="3"/>
      <c r="PMH195" s="3"/>
      <c r="PMI195" s="3"/>
      <c r="PMJ195" s="3"/>
      <c r="PMK195" s="3"/>
      <c r="PML195" s="3"/>
      <c r="PMM195" s="3"/>
      <c r="PMN195" s="3"/>
      <c r="PMO195" s="3"/>
      <c r="PMP195" s="3"/>
      <c r="PMQ195" s="3"/>
      <c r="PMR195" s="3"/>
      <c r="PMS195" s="3"/>
      <c r="PMT195" s="3"/>
      <c r="PMU195" s="3"/>
      <c r="PMV195" s="3"/>
      <c r="PMW195" s="3"/>
      <c r="PMX195" s="3"/>
      <c r="PMY195" s="3"/>
      <c r="PMZ195" s="3"/>
      <c r="PNA195" s="3"/>
      <c r="PNB195" s="3"/>
      <c r="PNC195" s="3"/>
      <c r="PND195" s="3"/>
      <c r="PNE195" s="3"/>
      <c r="PNF195" s="3"/>
      <c r="PNG195" s="3"/>
      <c r="PNH195" s="3"/>
      <c r="PNI195" s="3"/>
      <c r="PNJ195" s="3"/>
      <c r="PNK195" s="3"/>
      <c r="PNL195" s="3"/>
      <c r="PNM195" s="3"/>
      <c r="PNN195" s="3"/>
      <c r="PNO195" s="3"/>
      <c r="PNP195" s="3"/>
      <c r="PNQ195" s="3"/>
      <c r="PNR195" s="3"/>
      <c r="PNS195" s="3"/>
      <c r="PNT195" s="3"/>
      <c r="PNU195" s="3"/>
      <c r="PNV195" s="3"/>
      <c r="PNW195" s="3"/>
      <c r="PNX195" s="3"/>
      <c r="PNY195" s="3"/>
      <c r="PNZ195" s="3"/>
      <c r="POA195" s="3"/>
      <c r="POB195" s="3"/>
      <c r="POC195" s="3"/>
      <c r="POD195" s="3"/>
      <c r="POE195" s="3"/>
      <c r="POF195" s="3"/>
      <c r="POG195" s="3"/>
      <c r="POH195" s="3"/>
      <c r="POI195" s="3"/>
      <c r="POJ195" s="3"/>
      <c r="POK195" s="3"/>
      <c r="POL195" s="3"/>
      <c r="POM195" s="3"/>
      <c r="PON195" s="3"/>
      <c r="POO195" s="3"/>
      <c r="POP195" s="3"/>
      <c r="POQ195" s="3"/>
      <c r="POR195" s="3"/>
      <c r="POS195" s="3"/>
      <c r="POT195" s="3"/>
      <c r="POU195" s="3"/>
      <c r="POV195" s="3"/>
      <c r="POW195" s="3"/>
      <c r="POX195" s="3"/>
      <c r="POY195" s="3"/>
      <c r="POZ195" s="3"/>
      <c r="PPA195" s="3"/>
      <c r="PPB195" s="3"/>
      <c r="PPC195" s="3"/>
      <c r="PPD195" s="3"/>
      <c r="PPE195" s="3"/>
      <c r="PPF195" s="3"/>
      <c r="PPG195" s="3"/>
      <c r="PPH195" s="3"/>
      <c r="PPI195" s="3"/>
      <c r="PPJ195" s="3"/>
      <c r="PPK195" s="3"/>
      <c r="PPL195" s="3"/>
      <c r="PPM195" s="3"/>
      <c r="PPN195" s="3"/>
      <c r="PPO195" s="3"/>
      <c r="PPP195" s="3"/>
      <c r="PPQ195" s="3"/>
      <c r="PPR195" s="3"/>
      <c r="PPS195" s="3"/>
      <c r="PPT195" s="3"/>
      <c r="PPU195" s="3"/>
      <c r="PPV195" s="3"/>
      <c r="PPW195" s="3"/>
      <c r="PPX195" s="3"/>
      <c r="PPY195" s="3"/>
      <c r="PPZ195" s="3"/>
      <c r="PQA195" s="3"/>
      <c r="PQB195" s="3"/>
      <c r="PQC195" s="3"/>
      <c r="PQD195" s="3"/>
      <c r="PQE195" s="3"/>
      <c r="PQF195" s="3"/>
      <c r="PQG195" s="3"/>
      <c r="PQH195" s="3"/>
      <c r="PQI195" s="3"/>
      <c r="PQJ195" s="3"/>
      <c r="PQK195" s="3"/>
      <c r="PQL195" s="3"/>
      <c r="PQM195" s="3"/>
      <c r="PQN195" s="3"/>
      <c r="PQO195" s="3"/>
      <c r="PQP195" s="3"/>
      <c r="PQQ195" s="3"/>
      <c r="PQR195" s="3"/>
      <c r="PQS195" s="3"/>
      <c r="PQT195" s="3"/>
      <c r="PQU195" s="3"/>
      <c r="PQV195" s="3"/>
      <c r="PQW195" s="3"/>
      <c r="PQX195" s="3"/>
      <c r="PQY195" s="3"/>
      <c r="PQZ195" s="3"/>
      <c r="PRA195" s="3"/>
      <c r="PRB195" s="3"/>
      <c r="PRC195" s="3"/>
      <c r="PRD195" s="3"/>
      <c r="PRE195" s="3"/>
      <c r="PRF195" s="3"/>
      <c r="PRG195" s="3"/>
      <c r="PRH195" s="3"/>
      <c r="PRI195" s="3"/>
      <c r="PRJ195" s="3"/>
      <c r="PRK195" s="3"/>
      <c r="PRL195" s="3"/>
      <c r="PRM195" s="3"/>
      <c r="PRN195" s="3"/>
      <c r="PRO195" s="3"/>
      <c r="PRP195" s="3"/>
      <c r="PRQ195" s="3"/>
      <c r="PRR195" s="3"/>
      <c r="PRS195" s="3"/>
      <c r="PRT195" s="3"/>
      <c r="PRU195" s="3"/>
      <c r="PRV195" s="3"/>
      <c r="PRW195" s="3"/>
      <c r="PRX195" s="3"/>
      <c r="PRY195" s="3"/>
      <c r="PRZ195" s="3"/>
      <c r="PSA195" s="3"/>
      <c r="PSB195" s="3"/>
      <c r="PSC195" s="3"/>
      <c r="PSD195" s="3"/>
      <c r="PSE195" s="3"/>
      <c r="PSF195" s="3"/>
      <c r="PSG195" s="3"/>
      <c r="PSH195" s="3"/>
      <c r="PSI195" s="3"/>
      <c r="PSJ195" s="3"/>
      <c r="PSK195" s="3"/>
      <c r="PSL195" s="3"/>
      <c r="PSM195" s="3"/>
      <c r="PSN195" s="3"/>
      <c r="PSO195" s="3"/>
      <c r="PSP195" s="3"/>
      <c r="PSQ195" s="3"/>
      <c r="PSR195" s="3"/>
      <c r="PSS195" s="3"/>
      <c r="PST195" s="3"/>
      <c r="PSU195" s="3"/>
      <c r="PSV195" s="3"/>
      <c r="PSW195" s="3"/>
      <c r="PSX195" s="3"/>
      <c r="PSY195" s="3"/>
      <c r="PSZ195" s="3"/>
      <c r="PTA195" s="3"/>
      <c r="PTB195" s="3"/>
      <c r="PTC195" s="3"/>
      <c r="PTD195" s="3"/>
      <c r="PTE195" s="3"/>
      <c r="PTF195" s="3"/>
      <c r="PTG195" s="3"/>
      <c r="PTH195" s="3"/>
      <c r="PTI195" s="3"/>
      <c r="PTJ195" s="3"/>
      <c r="PTK195" s="3"/>
      <c r="PTL195" s="3"/>
      <c r="PTM195" s="3"/>
      <c r="PTN195" s="3"/>
      <c r="PTO195" s="3"/>
      <c r="PTP195" s="3"/>
      <c r="PTQ195" s="3"/>
      <c r="PTR195" s="3"/>
      <c r="PTS195" s="3"/>
      <c r="PTT195" s="3"/>
      <c r="PTU195" s="3"/>
      <c r="PTV195" s="3"/>
      <c r="PTW195" s="3"/>
      <c r="PTX195" s="3"/>
      <c r="PTY195" s="3"/>
      <c r="PTZ195" s="3"/>
      <c r="PUA195" s="3"/>
      <c r="PUB195" s="3"/>
      <c r="PUC195" s="3"/>
      <c r="PUD195" s="3"/>
      <c r="PUE195" s="3"/>
      <c r="PUF195" s="3"/>
      <c r="PUG195" s="3"/>
      <c r="PUH195" s="3"/>
      <c r="PUI195" s="3"/>
      <c r="PUJ195" s="3"/>
      <c r="PUK195" s="3"/>
      <c r="PUL195" s="3"/>
      <c r="PUM195" s="3"/>
      <c r="PUN195" s="3"/>
      <c r="PUO195" s="3"/>
      <c r="PUP195" s="3"/>
      <c r="PUQ195" s="3"/>
      <c r="PUR195" s="3"/>
      <c r="PUS195" s="3"/>
      <c r="PUT195" s="3"/>
      <c r="PUU195" s="3"/>
      <c r="PUV195" s="3"/>
      <c r="PUW195" s="3"/>
      <c r="PUX195" s="3"/>
      <c r="PUY195" s="3"/>
      <c r="PUZ195" s="3"/>
      <c r="PVA195" s="3"/>
      <c r="PVB195" s="3"/>
      <c r="PVC195" s="3"/>
      <c r="PVD195" s="3"/>
      <c r="PVE195" s="3"/>
      <c r="PVF195" s="3"/>
      <c r="PVG195" s="3"/>
      <c r="PVH195" s="3"/>
      <c r="PVI195" s="3"/>
      <c r="PVJ195" s="3"/>
      <c r="PVK195" s="3"/>
      <c r="PVL195" s="3"/>
      <c r="PVM195" s="3"/>
      <c r="PVN195" s="3"/>
      <c r="PVO195" s="3"/>
      <c r="PVP195" s="3"/>
      <c r="PVQ195" s="3"/>
      <c r="PVR195" s="3"/>
      <c r="PVS195" s="3"/>
      <c r="PVT195" s="3"/>
      <c r="PVU195" s="3"/>
      <c r="PVV195" s="3"/>
      <c r="PVW195" s="3"/>
      <c r="PVX195" s="3"/>
      <c r="PVY195" s="3"/>
      <c r="PVZ195" s="3"/>
      <c r="PWA195" s="3"/>
      <c r="PWB195" s="3"/>
      <c r="PWC195" s="3"/>
      <c r="PWD195" s="3"/>
      <c r="PWE195" s="3"/>
      <c r="PWF195" s="3"/>
      <c r="PWG195" s="3"/>
      <c r="PWH195" s="3"/>
      <c r="PWI195" s="3"/>
      <c r="PWJ195" s="3"/>
      <c r="PWK195" s="3"/>
      <c r="PWL195" s="3"/>
      <c r="PWM195" s="3"/>
      <c r="PWN195" s="3"/>
      <c r="PWO195" s="3"/>
      <c r="PWP195" s="3"/>
      <c r="PWQ195" s="3"/>
      <c r="PWR195" s="3"/>
      <c r="PWS195" s="3"/>
      <c r="PWT195" s="3"/>
      <c r="PWU195" s="3"/>
      <c r="PWV195" s="3"/>
      <c r="PWW195" s="3"/>
      <c r="PWX195" s="3"/>
      <c r="PWY195" s="3"/>
      <c r="PWZ195" s="3"/>
      <c r="PXA195" s="3"/>
      <c r="PXB195" s="3"/>
      <c r="PXC195" s="3"/>
      <c r="PXD195" s="3"/>
      <c r="PXE195" s="3"/>
      <c r="PXF195" s="3"/>
      <c r="PXG195" s="3"/>
      <c r="PXH195" s="3"/>
      <c r="PXI195" s="3"/>
      <c r="PXJ195" s="3"/>
      <c r="PXK195" s="3"/>
      <c r="PXL195" s="3"/>
      <c r="PXM195" s="3"/>
      <c r="PXN195" s="3"/>
      <c r="PXO195" s="3"/>
      <c r="PXP195" s="3"/>
      <c r="PXQ195" s="3"/>
      <c r="PXR195" s="3"/>
      <c r="PXS195" s="3"/>
      <c r="PXT195" s="3"/>
      <c r="PXU195" s="3"/>
      <c r="PXV195" s="3"/>
      <c r="PXW195" s="3"/>
      <c r="PXX195" s="3"/>
      <c r="PXY195" s="3"/>
      <c r="PXZ195" s="3"/>
      <c r="PYA195" s="3"/>
      <c r="PYB195" s="3"/>
      <c r="PYC195" s="3"/>
      <c r="PYD195" s="3"/>
      <c r="PYE195" s="3"/>
      <c r="PYF195" s="3"/>
      <c r="PYG195" s="3"/>
      <c r="PYH195" s="3"/>
      <c r="PYI195" s="3"/>
      <c r="PYJ195" s="3"/>
      <c r="PYK195" s="3"/>
      <c r="PYL195" s="3"/>
      <c r="PYM195" s="3"/>
      <c r="PYN195" s="3"/>
      <c r="PYO195" s="3"/>
      <c r="PYP195" s="3"/>
      <c r="PYQ195" s="3"/>
      <c r="PYR195" s="3"/>
      <c r="PYS195" s="3"/>
      <c r="PYT195" s="3"/>
      <c r="PYU195" s="3"/>
      <c r="PYV195" s="3"/>
      <c r="PYW195" s="3"/>
      <c r="PYX195" s="3"/>
      <c r="PYY195" s="3"/>
      <c r="PYZ195" s="3"/>
      <c r="PZA195" s="3"/>
      <c r="PZB195" s="3"/>
      <c r="PZC195" s="3"/>
      <c r="PZD195" s="3"/>
      <c r="PZE195" s="3"/>
      <c r="PZF195" s="3"/>
      <c r="PZG195" s="3"/>
      <c r="PZH195" s="3"/>
      <c r="PZI195" s="3"/>
      <c r="PZJ195" s="3"/>
      <c r="PZK195" s="3"/>
      <c r="PZL195" s="3"/>
      <c r="PZM195" s="3"/>
      <c r="PZN195" s="3"/>
      <c r="PZO195" s="3"/>
      <c r="PZP195" s="3"/>
      <c r="PZQ195" s="3"/>
      <c r="PZR195" s="3"/>
      <c r="PZS195" s="3"/>
      <c r="PZT195" s="3"/>
      <c r="PZU195" s="3"/>
      <c r="PZV195" s="3"/>
      <c r="PZW195" s="3"/>
      <c r="PZX195" s="3"/>
      <c r="PZY195" s="3"/>
      <c r="PZZ195" s="3"/>
      <c r="QAA195" s="3"/>
      <c r="QAB195" s="3"/>
      <c r="QAC195" s="3"/>
      <c r="QAD195" s="3"/>
      <c r="QAE195" s="3"/>
      <c r="QAF195" s="3"/>
      <c r="QAG195" s="3"/>
      <c r="QAH195" s="3"/>
      <c r="QAI195" s="3"/>
      <c r="QAJ195" s="3"/>
      <c r="QAK195" s="3"/>
      <c r="QAL195" s="3"/>
      <c r="QAM195" s="3"/>
      <c r="QAN195" s="3"/>
      <c r="QAO195" s="3"/>
      <c r="QAP195" s="3"/>
      <c r="QAQ195" s="3"/>
      <c r="QAR195" s="3"/>
      <c r="QAS195" s="3"/>
      <c r="QAT195" s="3"/>
      <c r="QAU195" s="3"/>
      <c r="QAV195" s="3"/>
      <c r="QAW195" s="3"/>
      <c r="QAX195" s="3"/>
      <c r="QAY195" s="3"/>
      <c r="QAZ195" s="3"/>
      <c r="QBA195" s="3"/>
      <c r="QBB195" s="3"/>
      <c r="QBC195" s="3"/>
      <c r="QBD195" s="3"/>
      <c r="QBE195" s="3"/>
      <c r="QBF195" s="3"/>
      <c r="QBG195" s="3"/>
      <c r="QBH195" s="3"/>
      <c r="QBI195" s="3"/>
      <c r="QBJ195" s="3"/>
      <c r="QBK195" s="3"/>
      <c r="QBL195" s="3"/>
      <c r="QBM195" s="3"/>
      <c r="QBN195" s="3"/>
      <c r="QBO195" s="3"/>
      <c r="QBP195" s="3"/>
      <c r="QBQ195" s="3"/>
      <c r="QBR195" s="3"/>
      <c r="QBS195" s="3"/>
      <c r="QBT195" s="3"/>
      <c r="QBU195" s="3"/>
      <c r="QBV195" s="3"/>
      <c r="QBW195" s="3"/>
      <c r="QBX195" s="3"/>
      <c r="QBY195" s="3"/>
      <c r="QBZ195" s="3"/>
      <c r="QCA195" s="3"/>
      <c r="QCB195" s="3"/>
      <c r="QCC195" s="3"/>
      <c r="QCD195" s="3"/>
      <c r="QCE195" s="3"/>
      <c r="QCF195" s="3"/>
      <c r="QCG195" s="3"/>
      <c r="QCH195" s="3"/>
      <c r="QCI195" s="3"/>
      <c r="QCJ195" s="3"/>
      <c r="QCK195" s="3"/>
      <c r="QCL195" s="3"/>
      <c r="QCM195" s="3"/>
      <c r="QCN195" s="3"/>
      <c r="QCO195" s="3"/>
      <c r="QCP195" s="3"/>
      <c r="QCQ195" s="3"/>
      <c r="QCR195" s="3"/>
      <c r="QCS195" s="3"/>
      <c r="QCT195" s="3"/>
      <c r="QCU195" s="3"/>
      <c r="QCV195" s="3"/>
      <c r="QCW195" s="3"/>
      <c r="QCX195" s="3"/>
      <c r="QCY195" s="3"/>
      <c r="QCZ195" s="3"/>
      <c r="QDA195" s="3"/>
      <c r="QDB195" s="3"/>
      <c r="QDC195" s="3"/>
      <c r="QDD195" s="3"/>
      <c r="QDE195" s="3"/>
      <c r="QDF195" s="3"/>
      <c r="QDG195" s="3"/>
      <c r="QDH195" s="3"/>
      <c r="QDI195" s="3"/>
      <c r="QDJ195" s="3"/>
      <c r="QDK195" s="3"/>
      <c r="QDL195" s="3"/>
      <c r="QDM195" s="3"/>
      <c r="QDN195" s="3"/>
      <c r="QDO195" s="3"/>
      <c r="QDP195" s="3"/>
      <c r="QDQ195" s="3"/>
      <c r="QDR195" s="3"/>
      <c r="QDS195" s="3"/>
      <c r="QDT195" s="3"/>
      <c r="QDU195" s="3"/>
      <c r="QDV195" s="3"/>
      <c r="QDW195" s="3"/>
      <c r="QDX195" s="3"/>
      <c r="QDY195" s="3"/>
      <c r="QDZ195" s="3"/>
      <c r="QEA195" s="3"/>
      <c r="QEB195" s="3"/>
      <c r="QEC195" s="3"/>
      <c r="QED195" s="3"/>
      <c r="QEE195" s="3"/>
      <c r="QEF195" s="3"/>
      <c r="QEG195" s="3"/>
      <c r="QEH195" s="3"/>
      <c r="QEI195" s="3"/>
      <c r="QEJ195" s="3"/>
      <c r="QEK195" s="3"/>
      <c r="QEL195" s="3"/>
      <c r="QEM195" s="3"/>
      <c r="QEN195" s="3"/>
      <c r="QEO195" s="3"/>
      <c r="QEP195" s="3"/>
      <c r="QEQ195" s="3"/>
      <c r="QER195" s="3"/>
      <c r="QES195" s="3"/>
      <c r="QET195" s="3"/>
      <c r="QEU195" s="3"/>
      <c r="QEV195" s="3"/>
      <c r="QEW195" s="3"/>
      <c r="QEX195" s="3"/>
      <c r="QEY195" s="3"/>
      <c r="QEZ195" s="3"/>
      <c r="QFA195" s="3"/>
      <c r="QFB195" s="3"/>
      <c r="QFC195" s="3"/>
      <c r="QFD195" s="3"/>
      <c r="QFE195" s="3"/>
      <c r="QFF195" s="3"/>
      <c r="QFG195" s="3"/>
      <c r="QFH195" s="3"/>
      <c r="QFI195" s="3"/>
      <c r="QFJ195" s="3"/>
      <c r="QFK195" s="3"/>
      <c r="QFL195" s="3"/>
      <c r="QFM195" s="3"/>
      <c r="QFN195" s="3"/>
      <c r="QFO195" s="3"/>
      <c r="QFP195" s="3"/>
      <c r="QFQ195" s="3"/>
      <c r="QFR195" s="3"/>
      <c r="QFS195" s="3"/>
      <c r="QFT195" s="3"/>
      <c r="QFU195" s="3"/>
      <c r="QFV195" s="3"/>
      <c r="QFW195" s="3"/>
      <c r="QFX195" s="3"/>
      <c r="QFY195" s="3"/>
      <c r="QFZ195" s="3"/>
      <c r="QGA195" s="3"/>
      <c r="QGB195" s="3"/>
      <c r="QGC195" s="3"/>
      <c r="QGD195" s="3"/>
      <c r="QGE195" s="3"/>
      <c r="QGF195" s="3"/>
      <c r="QGG195" s="3"/>
      <c r="QGH195" s="3"/>
      <c r="QGI195" s="3"/>
      <c r="QGJ195" s="3"/>
      <c r="QGK195" s="3"/>
      <c r="QGL195" s="3"/>
      <c r="QGM195" s="3"/>
      <c r="QGN195" s="3"/>
      <c r="QGO195" s="3"/>
      <c r="QGP195" s="3"/>
      <c r="QGQ195" s="3"/>
      <c r="QGR195" s="3"/>
      <c r="QGS195" s="3"/>
      <c r="QGT195" s="3"/>
      <c r="QGU195" s="3"/>
      <c r="QGV195" s="3"/>
      <c r="QGW195" s="3"/>
      <c r="QGX195" s="3"/>
      <c r="QGY195" s="3"/>
      <c r="QGZ195" s="3"/>
      <c r="QHA195" s="3"/>
      <c r="QHB195" s="3"/>
      <c r="QHC195" s="3"/>
      <c r="QHD195" s="3"/>
      <c r="QHE195" s="3"/>
      <c r="QHF195" s="3"/>
      <c r="QHG195" s="3"/>
      <c r="QHH195" s="3"/>
      <c r="QHI195" s="3"/>
      <c r="QHJ195" s="3"/>
      <c r="QHK195" s="3"/>
      <c r="QHL195" s="3"/>
      <c r="QHM195" s="3"/>
      <c r="QHN195" s="3"/>
      <c r="QHO195" s="3"/>
      <c r="QHP195" s="3"/>
      <c r="QHQ195" s="3"/>
      <c r="QHR195" s="3"/>
      <c r="QHS195" s="3"/>
      <c r="QHT195" s="3"/>
      <c r="QHU195" s="3"/>
      <c r="QHV195" s="3"/>
      <c r="QHW195" s="3"/>
      <c r="QHX195" s="3"/>
      <c r="QHY195" s="3"/>
      <c r="QHZ195" s="3"/>
      <c r="QIA195" s="3"/>
      <c r="QIB195" s="3"/>
      <c r="QIC195" s="3"/>
      <c r="QID195" s="3"/>
      <c r="QIE195" s="3"/>
      <c r="QIF195" s="3"/>
      <c r="QIG195" s="3"/>
      <c r="QIH195" s="3"/>
      <c r="QII195" s="3"/>
      <c r="QIJ195" s="3"/>
      <c r="QIK195" s="3"/>
      <c r="QIL195" s="3"/>
      <c r="QIM195" s="3"/>
      <c r="QIN195" s="3"/>
      <c r="QIO195" s="3"/>
      <c r="QIP195" s="3"/>
      <c r="QIQ195" s="3"/>
      <c r="QIR195" s="3"/>
      <c r="QIS195" s="3"/>
      <c r="QIT195" s="3"/>
      <c r="QIU195" s="3"/>
      <c r="QIV195" s="3"/>
      <c r="QIW195" s="3"/>
      <c r="QIX195" s="3"/>
      <c r="QIY195" s="3"/>
      <c r="QIZ195" s="3"/>
      <c r="QJA195" s="3"/>
      <c r="QJB195" s="3"/>
      <c r="QJC195" s="3"/>
      <c r="QJD195" s="3"/>
      <c r="QJE195" s="3"/>
      <c r="QJF195" s="3"/>
      <c r="QJG195" s="3"/>
      <c r="QJH195" s="3"/>
      <c r="QJI195" s="3"/>
      <c r="QJJ195" s="3"/>
      <c r="QJK195" s="3"/>
      <c r="QJL195" s="3"/>
      <c r="QJM195" s="3"/>
      <c r="QJN195" s="3"/>
      <c r="QJO195" s="3"/>
      <c r="QJP195" s="3"/>
      <c r="QJQ195" s="3"/>
      <c r="QJR195" s="3"/>
      <c r="QJS195" s="3"/>
      <c r="QJT195" s="3"/>
      <c r="QJU195" s="3"/>
      <c r="QJV195" s="3"/>
      <c r="QJW195" s="3"/>
      <c r="QJX195" s="3"/>
      <c r="QJY195" s="3"/>
      <c r="QJZ195" s="3"/>
      <c r="QKA195" s="3"/>
      <c r="QKB195" s="3"/>
      <c r="QKC195" s="3"/>
      <c r="QKD195" s="3"/>
      <c r="QKE195" s="3"/>
      <c r="QKF195" s="3"/>
      <c r="QKG195" s="3"/>
      <c r="QKH195" s="3"/>
      <c r="QKI195" s="3"/>
      <c r="QKJ195" s="3"/>
      <c r="QKK195" s="3"/>
      <c r="QKL195" s="3"/>
      <c r="QKM195" s="3"/>
      <c r="QKN195" s="3"/>
      <c r="QKO195" s="3"/>
      <c r="QKP195" s="3"/>
      <c r="QKQ195" s="3"/>
      <c r="QKR195" s="3"/>
      <c r="QKS195" s="3"/>
      <c r="QKT195" s="3"/>
      <c r="QKU195" s="3"/>
      <c r="QKV195" s="3"/>
      <c r="QKW195" s="3"/>
      <c r="QKX195" s="3"/>
      <c r="QKY195" s="3"/>
      <c r="QKZ195" s="3"/>
      <c r="QLA195" s="3"/>
      <c r="QLB195" s="3"/>
      <c r="QLC195" s="3"/>
      <c r="QLD195" s="3"/>
      <c r="QLE195" s="3"/>
      <c r="QLF195" s="3"/>
      <c r="QLG195" s="3"/>
      <c r="QLH195" s="3"/>
      <c r="QLI195" s="3"/>
      <c r="QLJ195" s="3"/>
      <c r="QLK195" s="3"/>
      <c r="QLL195" s="3"/>
      <c r="QLM195" s="3"/>
      <c r="QLN195" s="3"/>
      <c r="QLO195" s="3"/>
      <c r="QLP195" s="3"/>
      <c r="QLQ195" s="3"/>
      <c r="QLR195" s="3"/>
      <c r="QLS195" s="3"/>
      <c r="QLT195" s="3"/>
      <c r="QLU195" s="3"/>
      <c r="QLV195" s="3"/>
      <c r="QLW195" s="3"/>
      <c r="QLX195" s="3"/>
      <c r="QLY195" s="3"/>
      <c r="QLZ195" s="3"/>
      <c r="QMA195" s="3"/>
      <c r="QMB195" s="3"/>
      <c r="QMC195" s="3"/>
      <c r="QMD195" s="3"/>
      <c r="QME195" s="3"/>
      <c r="QMF195" s="3"/>
      <c r="QMG195" s="3"/>
      <c r="QMH195" s="3"/>
      <c r="QMI195" s="3"/>
      <c r="QMJ195" s="3"/>
      <c r="QMK195" s="3"/>
      <c r="QML195" s="3"/>
      <c r="QMM195" s="3"/>
      <c r="QMN195" s="3"/>
      <c r="QMO195" s="3"/>
      <c r="QMP195" s="3"/>
      <c r="QMQ195" s="3"/>
      <c r="QMR195" s="3"/>
      <c r="QMS195" s="3"/>
      <c r="QMT195" s="3"/>
      <c r="QMU195" s="3"/>
      <c r="QMV195" s="3"/>
      <c r="QMW195" s="3"/>
      <c r="QMX195" s="3"/>
      <c r="QMY195" s="3"/>
      <c r="QMZ195" s="3"/>
      <c r="QNA195" s="3"/>
      <c r="QNB195" s="3"/>
      <c r="QNC195" s="3"/>
      <c r="QND195" s="3"/>
      <c r="QNE195" s="3"/>
      <c r="QNF195" s="3"/>
      <c r="QNG195" s="3"/>
      <c r="QNH195" s="3"/>
      <c r="QNI195" s="3"/>
      <c r="QNJ195" s="3"/>
      <c r="QNK195" s="3"/>
      <c r="QNL195" s="3"/>
      <c r="QNM195" s="3"/>
      <c r="QNN195" s="3"/>
      <c r="QNO195" s="3"/>
      <c r="QNP195" s="3"/>
      <c r="QNQ195" s="3"/>
      <c r="QNR195" s="3"/>
      <c r="QNS195" s="3"/>
      <c r="QNT195" s="3"/>
      <c r="QNU195" s="3"/>
      <c r="QNV195" s="3"/>
      <c r="QNW195" s="3"/>
      <c r="QNX195" s="3"/>
      <c r="QNY195" s="3"/>
      <c r="QNZ195" s="3"/>
      <c r="QOA195" s="3"/>
      <c r="QOB195" s="3"/>
      <c r="QOC195" s="3"/>
      <c r="QOD195" s="3"/>
      <c r="QOE195" s="3"/>
      <c r="QOF195" s="3"/>
      <c r="QOG195" s="3"/>
      <c r="QOH195" s="3"/>
      <c r="QOI195" s="3"/>
      <c r="QOJ195" s="3"/>
      <c r="QOK195" s="3"/>
      <c r="QOL195" s="3"/>
      <c r="QOM195" s="3"/>
      <c r="QON195" s="3"/>
      <c r="QOO195" s="3"/>
      <c r="QOP195" s="3"/>
      <c r="QOQ195" s="3"/>
      <c r="QOR195" s="3"/>
      <c r="QOS195" s="3"/>
      <c r="QOT195" s="3"/>
      <c r="QOU195" s="3"/>
      <c r="QOV195" s="3"/>
      <c r="QOW195" s="3"/>
      <c r="QOX195" s="3"/>
      <c r="QOY195" s="3"/>
      <c r="QOZ195" s="3"/>
      <c r="QPA195" s="3"/>
      <c r="QPB195" s="3"/>
      <c r="QPC195" s="3"/>
      <c r="QPD195" s="3"/>
      <c r="QPE195" s="3"/>
      <c r="QPF195" s="3"/>
      <c r="QPG195" s="3"/>
      <c r="QPH195" s="3"/>
      <c r="QPI195" s="3"/>
      <c r="QPJ195" s="3"/>
      <c r="QPK195" s="3"/>
      <c r="QPL195" s="3"/>
      <c r="QPM195" s="3"/>
      <c r="QPN195" s="3"/>
      <c r="QPO195" s="3"/>
      <c r="QPP195" s="3"/>
      <c r="QPQ195" s="3"/>
      <c r="QPR195" s="3"/>
      <c r="QPS195" s="3"/>
      <c r="QPT195" s="3"/>
      <c r="QPU195" s="3"/>
      <c r="QPV195" s="3"/>
      <c r="QPW195" s="3"/>
      <c r="QPX195" s="3"/>
      <c r="QPY195" s="3"/>
      <c r="QPZ195" s="3"/>
      <c r="QQA195" s="3"/>
      <c r="QQB195" s="3"/>
      <c r="QQC195" s="3"/>
      <c r="QQD195" s="3"/>
      <c r="QQE195" s="3"/>
      <c r="QQF195" s="3"/>
      <c r="QQG195" s="3"/>
      <c r="QQH195" s="3"/>
      <c r="QQI195" s="3"/>
      <c r="QQJ195" s="3"/>
      <c r="QQK195" s="3"/>
      <c r="QQL195" s="3"/>
      <c r="QQM195" s="3"/>
      <c r="QQN195" s="3"/>
      <c r="QQO195" s="3"/>
      <c r="QQP195" s="3"/>
      <c r="QQQ195" s="3"/>
      <c r="QQR195" s="3"/>
      <c r="QQS195" s="3"/>
      <c r="QQT195" s="3"/>
      <c r="QQU195" s="3"/>
      <c r="QQV195" s="3"/>
      <c r="QQW195" s="3"/>
      <c r="QQX195" s="3"/>
      <c r="QQY195" s="3"/>
      <c r="QQZ195" s="3"/>
      <c r="QRA195" s="3"/>
      <c r="QRB195" s="3"/>
      <c r="QRC195" s="3"/>
      <c r="QRD195" s="3"/>
      <c r="QRE195" s="3"/>
      <c r="QRF195" s="3"/>
      <c r="QRG195" s="3"/>
      <c r="QRH195" s="3"/>
      <c r="QRI195" s="3"/>
      <c r="QRJ195" s="3"/>
      <c r="QRK195" s="3"/>
      <c r="QRL195" s="3"/>
      <c r="QRM195" s="3"/>
      <c r="QRN195" s="3"/>
      <c r="QRO195" s="3"/>
      <c r="QRP195" s="3"/>
      <c r="QRQ195" s="3"/>
      <c r="QRR195" s="3"/>
      <c r="QRS195" s="3"/>
      <c r="QRT195" s="3"/>
      <c r="QRU195" s="3"/>
      <c r="QRV195" s="3"/>
      <c r="QRW195" s="3"/>
      <c r="QRX195" s="3"/>
      <c r="QRY195" s="3"/>
      <c r="QRZ195" s="3"/>
      <c r="QSA195" s="3"/>
      <c r="QSB195" s="3"/>
      <c r="QSC195" s="3"/>
      <c r="QSD195" s="3"/>
      <c r="QSE195" s="3"/>
      <c r="QSF195" s="3"/>
      <c r="QSG195" s="3"/>
      <c r="QSH195" s="3"/>
      <c r="QSI195" s="3"/>
      <c r="QSJ195" s="3"/>
      <c r="QSK195" s="3"/>
      <c r="QSL195" s="3"/>
      <c r="QSM195" s="3"/>
      <c r="QSN195" s="3"/>
      <c r="QSO195" s="3"/>
      <c r="QSP195" s="3"/>
      <c r="QSQ195" s="3"/>
      <c r="QSR195" s="3"/>
      <c r="QSS195" s="3"/>
      <c r="QST195" s="3"/>
      <c r="QSU195" s="3"/>
      <c r="QSV195" s="3"/>
      <c r="QSW195" s="3"/>
      <c r="QSX195" s="3"/>
      <c r="QSY195" s="3"/>
      <c r="QSZ195" s="3"/>
      <c r="QTA195" s="3"/>
      <c r="QTB195" s="3"/>
      <c r="QTC195" s="3"/>
      <c r="QTD195" s="3"/>
      <c r="QTE195" s="3"/>
      <c r="QTF195" s="3"/>
      <c r="QTG195" s="3"/>
      <c r="QTH195" s="3"/>
      <c r="QTI195" s="3"/>
      <c r="QTJ195" s="3"/>
      <c r="QTK195" s="3"/>
      <c r="QTL195" s="3"/>
      <c r="QTM195" s="3"/>
      <c r="QTN195" s="3"/>
      <c r="QTO195" s="3"/>
      <c r="QTP195" s="3"/>
      <c r="QTQ195" s="3"/>
      <c r="QTR195" s="3"/>
      <c r="QTS195" s="3"/>
      <c r="QTT195" s="3"/>
      <c r="QTU195" s="3"/>
      <c r="QTV195" s="3"/>
      <c r="QTW195" s="3"/>
      <c r="QTX195" s="3"/>
      <c r="QTY195" s="3"/>
      <c r="QTZ195" s="3"/>
      <c r="QUA195" s="3"/>
      <c r="QUB195" s="3"/>
      <c r="QUC195" s="3"/>
      <c r="QUD195" s="3"/>
      <c r="QUE195" s="3"/>
      <c r="QUF195" s="3"/>
      <c r="QUG195" s="3"/>
      <c r="QUH195" s="3"/>
      <c r="QUI195" s="3"/>
      <c r="QUJ195" s="3"/>
      <c r="QUK195" s="3"/>
      <c r="QUL195" s="3"/>
      <c r="QUM195" s="3"/>
      <c r="QUN195" s="3"/>
      <c r="QUO195" s="3"/>
      <c r="QUP195" s="3"/>
      <c r="QUQ195" s="3"/>
      <c r="QUR195" s="3"/>
      <c r="QUS195" s="3"/>
      <c r="QUT195" s="3"/>
      <c r="QUU195" s="3"/>
      <c r="QUV195" s="3"/>
      <c r="QUW195" s="3"/>
      <c r="QUX195" s="3"/>
      <c r="QUY195" s="3"/>
      <c r="QUZ195" s="3"/>
      <c r="QVA195" s="3"/>
      <c r="QVB195" s="3"/>
      <c r="QVC195" s="3"/>
      <c r="QVD195" s="3"/>
      <c r="QVE195" s="3"/>
      <c r="QVF195" s="3"/>
      <c r="QVG195" s="3"/>
      <c r="QVH195" s="3"/>
      <c r="QVI195" s="3"/>
      <c r="QVJ195" s="3"/>
      <c r="QVK195" s="3"/>
      <c r="QVL195" s="3"/>
      <c r="QVM195" s="3"/>
      <c r="QVN195" s="3"/>
      <c r="QVO195" s="3"/>
      <c r="QVP195" s="3"/>
      <c r="QVQ195" s="3"/>
      <c r="QVR195" s="3"/>
      <c r="QVS195" s="3"/>
      <c r="QVT195" s="3"/>
      <c r="QVU195" s="3"/>
      <c r="QVV195" s="3"/>
      <c r="QVW195" s="3"/>
      <c r="QVX195" s="3"/>
      <c r="QVY195" s="3"/>
      <c r="QVZ195" s="3"/>
      <c r="QWA195" s="3"/>
      <c r="QWB195" s="3"/>
      <c r="QWC195" s="3"/>
      <c r="QWD195" s="3"/>
      <c r="QWE195" s="3"/>
      <c r="QWF195" s="3"/>
      <c r="QWG195" s="3"/>
      <c r="QWH195" s="3"/>
      <c r="QWI195" s="3"/>
      <c r="QWJ195" s="3"/>
      <c r="QWK195" s="3"/>
      <c r="QWL195" s="3"/>
      <c r="QWM195" s="3"/>
      <c r="QWN195" s="3"/>
      <c r="QWO195" s="3"/>
      <c r="QWP195" s="3"/>
      <c r="QWQ195" s="3"/>
      <c r="QWR195" s="3"/>
      <c r="QWS195" s="3"/>
      <c r="QWT195" s="3"/>
      <c r="QWU195" s="3"/>
      <c r="QWV195" s="3"/>
      <c r="QWW195" s="3"/>
      <c r="QWX195" s="3"/>
      <c r="QWY195" s="3"/>
      <c r="QWZ195" s="3"/>
      <c r="QXA195" s="3"/>
      <c r="QXB195" s="3"/>
      <c r="QXC195" s="3"/>
      <c r="QXD195" s="3"/>
      <c r="QXE195" s="3"/>
      <c r="QXF195" s="3"/>
      <c r="QXG195" s="3"/>
      <c r="QXH195" s="3"/>
      <c r="QXI195" s="3"/>
      <c r="QXJ195" s="3"/>
      <c r="QXK195" s="3"/>
      <c r="QXL195" s="3"/>
      <c r="QXM195" s="3"/>
      <c r="QXN195" s="3"/>
      <c r="QXO195" s="3"/>
      <c r="QXP195" s="3"/>
      <c r="QXQ195" s="3"/>
      <c r="QXR195" s="3"/>
      <c r="QXS195" s="3"/>
      <c r="QXT195" s="3"/>
      <c r="QXU195" s="3"/>
      <c r="QXV195" s="3"/>
      <c r="QXW195" s="3"/>
      <c r="QXX195" s="3"/>
      <c r="QXY195" s="3"/>
      <c r="QXZ195" s="3"/>
      <c r="QYA195" s="3"/>
      <c r="QYB195" s="3"/>
      <c r="QYC195" s="3"/>
      <c r="QYD195" s="3"/>
      <c r="QYE195" s="3"/>
      <c r="QYF195" s="3"/>
      <c r="QYG195" s="3"/>
      <c r="QYH195" s="3"/>
      <c r="QYI195" s="3"/>
      <c r="QYJ195" s="3"/>
      <c r="QYK195" s="3"/>
      <c r="QYL195" s="3"/>
      <c r="QYM195" s="3"/>
      <c r="QYN195" s="3"/>
      <c r="QYO195" s="3"/>
      <c r="QYP195" s="3"/>
      <c r="QYQ195" s="3"/>
      <c r="QYR195" s="3"/>
      <c r="QYS195" s="3"/>
      <c r="QYT195" s="3"/>
      <c r="QYU195" s="3"/>
      <c r="QYV195" s="3"/>
      <c r="QYW195" s="3"/>
      <c r="QYX195" s="3"/>
      <c r="QYY195" s="3"/>
      <c r="QYZ195" s="3"/>
      <c r="QZA195" s="3"/>
      <c r="QZB195" s="3"/>
      <c r="QZC195" s="3"/>
      <c r="QZD195" s="3"/>
      <c r="QZE195" s="3"/>
      <c r="QZF195" s="3"/>
      <c r="QZG195" s="3"/>
      <c r="QZH195" s="3"/>
      <c r="QZI195" s="3"/>
      <c r="QZJ195" s="3"/>
      <c r="QZK195" s="3"/>
      <c r="QZL195" s="3"/>
      <c r="QZM195" s="3"/>
      <c r="QZN195" s="3"/>
      <c r="QZO195" s="3"/>
      <c r="QZP195" s="3"/>
      <c r="QZQ195" s="3"/>
      <c r="QZR195" s="3"/>
      <c r="QZS195" s="3"/>
      <c r="QZT195" s="3"/>
      <c r="QZU195" s="3"/>
      <c r="QZV195" s="3"/>
      <c r="QZW195" s="3"/>
      <c r="QZX195" s="3"/>
      <c r="QZY195" s="3"/>
      <c r="QZZ195" s="3"/>
      <c r="RAA195" s="3"/>
      <c r="RAB195" s="3"/>
      <c r="RAC195" s="3"/>
      <c r="RAD195" s="3"/>
      <c r="RAE195" s="3"/>
      <c r="RAF195" s="3"/>
      <c r="RAG195" s="3"/>
      <c r="RAH195" s="3"/>
      <c r="RAI195" s="3"/>
      <c r="RAJ195" s="3"/>
      <c r="RAK195" s="3"/>
      <c r="RAL195" s="3"/>
      <c r="RAM195" s="3"/>
      <c r="RAN195" s="3"/>
      <c r="RAO195" s="3"/>
      <c r="RAP195" s="3"/>
      <c r="RAQ195" s="3"/>
      <c r="RAR195" s="3"/>
      <c r="RAS195" s="3"/>
      <c r="RAT195" s="3"/>
      <c r="RAU195" s="3"/>
      <c r="RAV195" s="3"/>
      <c r="RAW195" s="3"/>
      <c r="RAX195" s="3"/>
      <c r="RAY195" s="3"/>
      <c r="RAZ195" s="3"/>
      <c r="RBA195" s="3"/>
      <c r="RBB195" s="3"/>
      <c r="RBC195" s="3"/>
      <c r="RBD195" s="3"/>
      <c r="RBE195" s="3"/>
      <c r="RBF195" s="3"/>
      <c r="RBG195" s="3"/>
      <c r="RBH195" s="3"/>
      <c r="RBI195" s="3"/>
      <c r="RBJ195" s="3"/>
      <c r="RBK195" s="3"/>
      <c r="RBL195" s="3"/>
      <c r="RBM195" s="3"/>
      <c r="RBN195" s="3"/>
      <c r="RBO195" s="3"/>
      <c r="RBP195" s="3"/>
      <c r="RBQ195" s="3"/>
      <c r="RBR195" s="3"/>
      <c r="RBS195" s="3"/>
      <c r="RBT195" s="3"/>
      <c r="RBU195" s="3"/>
      <c r="RBV195" s="3"/>
      <c r="RBW195" s="3"/>
      <c r="RBX195" s="3"/>
      <c r="RBY195" s="3"/>
      <c r="RBZ195" s="3"/>
      <c r="RCA195" s="3"/>
      <c r="RCB195" s="3"/>
      <c r="RCC195" s="3"/>
      <c r="RCD195" s="3"/>
      <c r="RCE195" s="3"/>
      <c r="RCF195" s="3"/>
      <c r="RCG195" s="3"/>
      <c r="RCH195" s="3"/>
      <c r="RCI195" s="3"/>
      <c r="RCJ195" s="3"/>
      <c r="RCK195" s="3"/>
      <c r="RCL195" s="3"/>
      <c r="RCM195" s="3"/>
      <c r="RCN195" s="3"/>
      <c r="RCO195" s="3"/>
      <c r="RCP195" s="3"/>
      <c r="RCQ195" s="3"/>
      <c r="RCR195" s="3"/>
      <c r="RCS195" s="3"/>
      <c r="RCT195" s="3"/>
      <c r="RCU195" s="3"/>
      <c r="RCV195" s="3"/>
      <c r="RCW195" s="3"/>
      <c r="RCX195" s="3"/>
      <c r="RCY195" s="3"/>
      <c r="RCZ195" s="3"/>
      <c r="RDA195" s="3"/>
      <c r="RDB195" s="3"/>
      <c r="RDC195" s="3"/>
      <c r="RDD195" s="3"/>
      <c r="RDE195" s="3"/>
      <c r="RDF195" s="3"/>
      <c r="RDG195" s="3"/>
      <c r="RDH195" s="3"/>
      <c r="RDI195" s="3"/>
      <c r="RDJ195" s="3"/>
      <c r="RDK195" s="3"/>
      <c r="RDL195" s="3"/>
      <c r="RDM195" s="3"/>
      <c r="RDN195" s="3"/>
      <c r="RDO195" s="3"/>
      <c r="RDP195" s="3"/>
      <c r="RDQ195" s="3"/>
      <c r="RDR195" s="3"/>
      <c r="RDS195" s="3"/>
      <c r="RDT195" s="3"/>
      <c r="RDU195" s="3"/>
      <c r="RDV195" s="3"/>
      <c r="RDW195" s="3"/>
      <c r="RDX195" s="3"/>
      <c r="RDY195" s="3"/>
      <c r="RDZ195" s="3"/>
      <c r="REA195" s="3"/>
      <c r="REB195" s="3"/>
      <c r="REC195" s="3"/>
      <c r="RED195" s="3"/>
      <c r="REE195" s="3"/>
      <c r="REF195" s="3"/>
      <c r="REG195" s="3"/>
      <c r="REH195" s="3"/>
      <c r="REI195" s="3"/>
      <c r="REJ195" s="3"/>
      <c r="REK195" s="3"/>
      <c r="REL195" s="3"/>
      <c r="REM195" s="3"/>
      <c r="REN195" s="3"/>
      <c r="REO195" s="3"/>
      <c r="REP195" s="3"/>
      <c r="REQ195" s="3"/>
      <c r="RER195" s="3"/>
      <c r="RES195" s="3"/>
      <c r="RET195" s="3"/>
      <c r="REU195" s="3"/>
      <c r="REV195" s="3"/>
      <c r="REW195" s="3"/>
      <c r="REX195" s="3"/>
      <c r="REY195" s="3"/>
      <c r="REZ195" s="3"/>
      <c r="RFA195" s="3"/>
      <c r="RFB195" s="3"/>
      <c r="RFC195" s="3"/>
      <c r="RFD195" s="3"/>
      <c r="RFE195" s="3"/>
      <c r="RFF195" s="3"/>
      <c r="RFG195" s="3"/>
      <c r="RFH195" s="3"/>
      <c r="RFI195" s="3"/>
      <c r="RFJ195" s="3"/>
      <c r="RFK195" s="3"/>
      <c r="RFL195" s="3"/>
      <c r="RFM195" s="3"/>
      <c r="RFN195" s="3"/>
      <c r="RFO195" s="3"/>
      <c r="RFP195" s="3"/>
      <c r="RFQ195" s="3"/>
      <c r="RFR195" s="3"/>
      <c r="RFS195" s="3"/>
      <c r="RFT195" s="3"/>
      <c r="RFU195" s="3"/>
      <c r="RFV195" s="3"/>
      <c r="RFW195" s="3"/>
      <c r="RFX195" s="3"/>
      <c r="RFY195" s="3"/>
      <c r="RFZ195" s="3"/>
      <c r="RGA195" s="3"/>
      <c r="RGB195" s="3"/>
      <c r="RGC195" s="3"/>
      <c r="RGD195" s="3"/>
      <c r="RGE195" s="3"/>
      <c r="RGF195" s="3"/>
      <c r="RGG195" s="3"/>
      <c r="RGH195" s="3"/>
      <c r="RGI195" s="3"/>
      <c r="RGJ195" s="3"/>
      <c r="RGK195" s="3"/>
      <c r="RGL195" s="3"/>
      <c r="RGM195" s="3"/>
      <c r="RGN195" s="3"/>
      <c r="RGO195" s="3"/>
      <c r="RGP195" s="3"/>
      <c r="RGQ195" s="3"/>
      <c r="RGR195" s="3"/>
      <c r="RGS195" s="3"/>
      <c r="RGT195" s="3"/>
      <c r="RGU195" s="3"/>
      <c r="RGV195" s="3"/>
      <c r="RGW195" s="3"/>
      <c r="RGX195" s="3"/>
      <c r="RGY195" s="3"/>
      <c r="RGZ195" s="3"/>
      <c r="RHA195" s="3"/>
      <c r="RHB195" s="3"/>
      <c r="RHC195" s="3"/>
      <c r="RHD195" s="3"/>
      <c r="RHE195" s="3"/>
      <c r="RHF195" s="3"/>
      <c r="RHG195" s="3"/>
      <c r="RHH195" s="3"/>
      <c r="RHI195" s="3"/>
      <c r="RHJ195" s="3"/>
      <c r="RHK195" s="3"/>
      <c r="RHL195" s="3"/>
      <c r="RHM195" s="3"/>
      <c r="RHN195" s="3"/>
      <c r="RHO195" s="3"/>
      <c r="RHP195" s="3"/>
      <c r="RHQ195" s="3"/>
      <c r="RHR195" s="3"/>
      <c r="RHS195" s="3"/>
      <c r="RHT195" s="3"/>
      <c r="RHU195" s="3"/>
      <c r="RHV195" s="3"/>
      <c r="RHW195" s="3"/>
      <c r="RHX195" s="3"/>
      <c r="RHY195" s="3"/>
      <c r="RHZ195" s="3"/>
      <c r="RIA195" s="3"/>
      <c r="RIB195" s="3"/>
      <c r="RIC195" s="3"/>
      <c r="RID195" s="3"/>
      <c r="RIE195" s="3"/>
      <c r="RIF195" s="3"/>
      <c r="RIG195" s="3"/>
      <c r="RIH195" s="3"/>
      <c r="RII195" s="3"/>
      <c r="RIJ195" s="3"/>
      <c r="RIK195" s="3"/>
      <c r="RIL195" s="3"/>
      <c r="RIM195" s="3"/>
      <c r="RIN195" s="3"/>
      <c r="RIO195" s="3"/>
      <c r="RIP195" s="3"/>
      <c r="RIQ195" s="3"/>
      <c r="RIR195" s="3"/>
      <c r="RIS195" s="3"/>
      <c r="RIT195" s="3"/>
      <c r="RIU195" s="3"/>
      <c r="RIV195" s="3"/>
      <c r="RIW195" s="3"/>
      <c r="RIX195" s="3"/>
      <c r="RIY195" s="3"/>
      <c r="RIZ195" s="3"/>
      <c r="RJA195" s="3"/>
      <c r="RJB195" s="3"/>
      <c r="RJC195" s="3"/>
      <c r="RJD195" s="3"/>
      <c r="RJE195" s="3"/>
      <c r="RJF195" s="3"/>
      <c r="RJG195" s="3"/>
      <c r="RJH195" s="3"/>
      <c r="RJI195" s="3"/>
      <c r="RJJ195" s="3"/>
      <c r="RJK195" s="3"/>
      <c r="RJL195" s="3"/>
      <c r="RJM195" s="3"/>
      <c r="RJN195" s="3"/>
      <c r="RJO195" s="3"/>
      <c r="RJP195" s="3"/>
      <c r="RJQ195" s="3"/>
      <c r="RJR195" s="3"/>
      <c r="RJS195" s="3"/>
      <c r="RJT195" s="3"/>
      <c r="RJU195" s="3"/>
      <c r="RJV195" s="3"/>
      <c r="RJW195" s="3"/>
      <c r="RJX195" s="3"/>
      <c r="RJY195" s="3"/>
      <c r="RJZ195" s="3"/>
      <c r="RKA195" s="3"/>
      <c r="RKB195" s="3"/>
      <c r="RKC195" s="3"/>
      <c r="RKD195" s="3"/>
      <c r="RKE195" s="3"/>
      <c r="RKF195" s="3"/>
      <c r="RKG195" s="3"/>
      <c r="RKH195" s="3"/>
      <c r="RKI195" s="3"/>
      <c r="RKJ195" s="3"/>
      <c r="RKK195" s="3"/>
      <c r="RKL195" s="3"/>
      <c r="RKM195" s="3"/>
      <c r="RKN195" s="3"/>
      <c r="RKO195" s="3"/>
      <c r="RKP195" s="3"/>
      <c r="RKQ195" s="3"/>
      <c r="RKR195" s="3"/>
      <c r="RKS195" s="3"/>
      <c r="RKT195" s="3"/>
      <c r="RKU195" s="3"/>
      <c r="RKV195" s="3"/>
      <c r="RKW195" s="3"/>
      <c r="RKX195" s="3"/>
      <c r="RKY195" s="3"/>
      <c r="RKZ195" s="3"/>
      <c r="RLA195" s="3"/>
      <c r="RLB195" s="3"/>
      <c r="RLC195" s="3"/>
      <c r="RLD195" s="3"/>
      <c r="RLE195" s="3"/>
      <c r="RLF195" s="3"/>
      <c r="RLG195" s="3"/>
      <c r="RLH195" s="3"/>
      <c r="RLI195" s="3"/>
      <c r="RLJ195" s="3"/>
      <c r="RLK195" s="3"/>
      <c r="RLL195" s="3"/>
      <c r="RLM195" s="3"/>
      <c r="RLN195" s="3"/>
      <c r="RLO195" s="3"/>
      <c r="RLP195" s="3"/>
      <c r="RLQ195" s="3"/>
      <c r="RLR195" s="3"/>
      <c r="RLS195" s="3"/>
      <c r="RLT195" s="3"/>
      <c r="RLU195" s="3"/>
      <c r="RLV195" s="3"/>
      <c r="RLW195" s="3"/>
      <c r="RLX195" s="3"/>
      <c r="RLY195" s="3"/>
      <c r="RLZ195" s="3"/>
      <c r="RMA195" s="3"/>
      <c r="RMB195" s="3"/>
      <c r="RMC195" s="3"/>
      <c r="RMD195" s="3"/>
      <c r="RME195" s="3"/>
      <c r="RMF195" s="3"/>
      <c r="RMG195" s="3"/>
      <c r="RMH195" s="3"/>
      <c r="RMI195" s="3"/>
      <c r="RMJ195" s="3"/>
      <c r="RMK195" s="3"/>
      <c r="RML195" s="3"/>
      <c r="RMM195" s="3"/>
      <c r="RMN195" s="3"/>
      <c r="RMO195" s="3"/>
      <c r="RMP195" s="3"/>
      <c r="RMQ195" s="3"/>
      <c r="RMR195" s="3"/>
      <c r="RMS195" s="3"/>
      <c r="RMT195" s="3"/>
      <c r="RMU195" s="3"/>
      <c r="RMV195" s="3"/>
      <c r="RMW195" s="3"/>
      <c r="RMX195" s="3"/>
      <c r="RMY195" s="3"/>
      <c r="RMZ195" s="3"/>
      <c r="RNA195" s="3"/>
      <c r="RNB195" s="3"/>
      <c r="RNC195" s="3"/>
      <c r="RND195" s="3"/>
      <c r="RNE195" s="3"/>
      <c r="RNF195" s="3"/>
      <c r="RNG195" s="3"/>
      <c r="RNH195" s="3"/>
      <c r="RNI195" s="3"/>
      <c r="RNJ195" s="3"/>
      <c r="RNK195" s="3"/>
      <c r="RNL195" s="3"/>
      <c r="RNM195" s="3"/>
      <c r="RNN195" s="3"/>
      <c r="RNO195" s="3"/>
      <c r="RNP195" s="3"/>
      <c r="RNQ195" s="3"/>
      <c r="RNR195" s="3"/>
      <c r="RNS195" s="3"/>
      <c r="RNT195" s="3"/>
      <c r="RNU195" s="3"/>
      <c r="RNV195" s="3"/>
      <c r="RNW195" s="3"/>
      <c r="RNX195" s="3"/>
      <c r="RNY195" s="3"/>
      <c r="RNZ195" s="3"/>
      <c r="ROA195" s="3"/>
      <c r="ROB195" s="3"/>
      <c r="ROC195" s="3"/>
      <c r="ROD195" s="3"/>
      <c r="ROE195" s="3"/>
      <c r="ROF195" s="3"/>
      <c r="ROG195" s="3"/>
      <c r="ROH195" s="3"/>
      <c r="ROI195" s="3"/>
      <c r="ROJ195" s="3"/>
      <c r="ROK195" s="3"/>
      <c r="ROL195" s="3"/>
      <c r="ROM195" s="3"/>
      <c r="RON195" s="3"/>
      <c r="ROO195" s="3"/>
      <c r="ROP195" s="3"/>
      <c r="ROQ195" s="3"/>
      <c r="ROR195" s="3"/>
      <c r="ROS195" s="3"/>
      <c r="ROT195" s="3"/>
      <c r="ROU195" s="3"/>
      <c r="ROV195" s="3"/>
      <c r="ROW195" s="3"/>
      <c r="ROX195" s="3"/>
      <c r="ROY195" s="3"/>
      <c r="ROZ195" s="3"/>
      <c r="RPA195" s="3"/>
      <c r="RPB195" s="3"/>
      <c r="RPC195" s="3"/>
      <c r="RPD195" s="3"/>
      <c r="RPE195" s="3"/>
      <c r="RPF195" s="3"/>
      <c r="RPG195" s="3"/>
      <c r="RPH195" s="3"/>
      <c r="RPI195" s="3"/>
      <c r="RPJ195" s="3"/>
      <c r="RPK195" s="3"/>
      <c r="RPL195" s="3"/>
      <c r="RPM195" s="3"/>
      <c r="RPN195" s="3"/>
      <c r="RPO195" s="3"/>
      <c r="RPP195" s="3"/>
      <c r="RPQ195" s="3"/>
      <c r="RPR195" s="3"/>
      <c r="RPS195" s="3"/>
      <c r="RPT195" s="3"/>
      <c r="RPU195" s="3"/>
      <c r="RPV195" s="3"/>
      <c r="RPW195" s="3"/>
      <c r="RPX195" s="3"/>
      <c r="RPY195" s="3"/>
      <c r="RPZ195" s="3"/>
      <c r="RQA195" s="3"/>
      <c r="RQB195" s="3"/>
      <c r="RQC195" s="3"/>
      <c r="RQD195" s="3"/>
      <c r="RQE195" s="3"/>
      <c r="RQF195" s="3"/>
      <c r="RQG195" s="3"/>
      <c r="RQH195" s="3"/>
      <c r="RQI195" s="3"/>
      <c r="RQJ195" s="3"/>
      <c r="RQK195" s="3"/>
      <c r="RQL195" s="3"/>
      <c r="RQM195" s="3"/>
      <c r="RQN195" s="3"/>
      <c r="RQO195" s="3"/>
      <c r="RQP195" s="3"/>
      <c r="RQQ195" s="3"/>
      <c r="RQR195" s="3"/>
      <c r="RQS195" s="3"/>
      <c r="RQT195" s="3"/>
      <c r="RQU195" s="3"/>
      <c r="RQV195" s="3"/>
      <c r="RQW195" s="3"/>
      <c r="RQX195" s="3"/>
      <c r="RQY195" s="3"/>
      <c r="RQZ195" s="3"/>
      <c r="RRA195" s="3"/>
      <c r="RRB195" s="3"/>
      <c r="RRC195" s="3"/>
      <c r="RRD195" s="3"/>
      <c r="RRE195" s="3"/>
      <c r="RRF195" s="3"/>
      <c r="RRG195" s="3"/>
      <c r="RRH195" s="3"/>
      <c r="RRI195" s="3"/>
      <c r="RRJ195" s="3"/>
      <c r="RRK195" s="3"/>
      <c r="RRL195" s="3"/>
      <c r="RRM195" s="3"/>
      <c r="RRN195" s="3"/>
      <c r="RRO195" s="3"/>
      <c r="RRP195" s="3"/>
      <c r="RRQ195" s="3"/>
      <c r="RRR195" s="3"/>
      <c r="RRS195" s="3"/>
      <c r="RRT195" s="3"/>
      <c r="RRU195" s="3"/>
      <c r="RRV195" s="3"/>
      <c r="RRW195" s="3"/>
      <c r="RRX195" s="3"/>
      <c r="RRY195" s="3"/>
      <c r="RRZ195" s="3"/>
      <c r="RSA195" s="3"/>
      <c r="RSB195" s="3"/>
      <c r="RSC195" s="3"/>
      <c r="RSD195" s="3"/>
      <c r="RSE195" s="3"/>
      <c r="RSF195" s="3"/>
      <c r="RSG195" s="3"/>
      <c r="RSH195" s="3"/>
      <c r="RSI195" s="3"/>
      <c r="RSJ195" s="3"/>
      <c r="RSK195" s="3"/>
      <c r="RSL195" s="3"/>
      <c r="RSM195" s="3"/>
      <c r="RSN195" s="3"/>
      <c r="RSO195" s="3"/>
      <c r="RSP195" s="3"/>
      <c r="RSQ195" s="3"/>
      <c r="RSR195" s="3"/>
      <c r="RSS195" s="3"/>
      <c r="RST195" s="3"/>
      <c r="RSU195" s="3"/>
      <c r="RSV195" s="3"/>
      <c r="RSW195" s="3"/>
      <c r="RSX195" s="3"/>
      <c r="RSY195" s="3"/>
      <c r="RSZ195" s="3"/>
      <c r="RTA195" s="3"/>
      <c r="RTB195" s="3"/>
      <c r="RTC195" s="3"/>
      <c r="RTD195" s="3"/>
      <c r="RTE195" s="3"/>
      <c r="RTF195" s="3"/>
      <c r="RTG195" s="3"/>
      <c r="RTH195" s="3"/>
      <c r="RTI195" s="3"/>
      <c r="RTJ195" s="3"/>
      <c r="RTK195" s="3"/>
      <c r="RTL195" s="3"/>
      <c r="RTM195" s="3"/>
      <c r="RTN195" s="3"/>
      <c r="RTO195" s="3"/>
      <c r="RTP195" s="3"/>
      <c r="RTQ195" s="3"/>
      <c r="RTR195" s="3"/>
      <c r="RTS195" s="3"/>
      <c r="RTT195" s="3"/>
      <c r="RTU195" s="3"/>
      <c r="RTV195" s="3"/>
      <c r="RTW195" s="3"/>
      <c r="RTX195" s="3"/>
      <c r="RTY195" s="3"/>
      <c r="RTZ195" s="3"/>
      <c r="RUA195" s="3"/>
      <c r="RUB195" s="3"/>
      <c r="RUC195" s="3"/>
      <c r="RUD195" s="3"/>
      <c r="RUE195" s="3"/>
      <c r="RUF195" s="3"/>
      <c r="RUG195" s="3"/>
      <c r="RUH195" s="3"/>
      <c r="RUI195" s="3"/>
      <c r="RUJ195" s="3"/>
      <c r="RUK195" s="3"/>
      <c r="RUL195" s="3"/>
      <c r="RUM195" s="3"/>
      <c r="RUN195" s="3"/>
      <c r="RUO195" s="3"/>
      <c r="RUP195" s="3"/>
      <c r="RUQ195" s="3"/>
      <c r="RUR195" s="3"/>
      <c r="RUS195" s="3"/>
      <c r="RUT195" s="3"/>
      <c r="RUU195" s="3"/>
      <c r="RUV195" s="3"/>
      <c r="RUW195" s="3"/>
      <c r="RUX195" s="3"/>
      <c r="RUY195" s="3"/>
      <c r="RUZ195" s="3"/>
      <c r="RVA195" s="3"/>
      <c r="RVB195" s="3"/>
      <c r="RVC195" s="3"/>
      <c r="RVD195" s="3"/>
      <c r="RVE195" s="3"/>
      <c r="RVF195" s="3"/>
      <c r="RVG195" s="3"/>
      <c r="RVH195" s="3"/>
      <c r="RVI195" s="3"/>
      <c r="RVJ195" s="3"/>
      <c r="RVK195" s="3"/>
      <c r="RVL195" s="3"/>
      <c r="RVM195" s="3"/>
      <c r="RVN195" s="3"/>
      <c r="RVO195" s="3"/>
      <c r="RVP195" s="3"/>
      <c r="RVQ195" s="3"/>
      <c r="RVR195" s="3"/>
      <c r="RVS195" s="3"/>
      <c r="RVT195" s="3"/>
      <c r="RVU195" s="3"/>
      <c r="RVV195" s="3"/>
      <c r="RVW195" s="3"/>
      <c r="RVX195" s="3"/>
      <c r="RVY195" s="3"/>
      <c r="RVZ195" s="3"/>
      <c r="RWA195" s="3"/>
      <c r="RWB195" s="3"/>
      <c r="RWC195" s="3"/>
      <c r="RWD195" s="3"/>
      <c r="RWE195" s="3"/>
      <c r="RWF195" s="3"/>
      <c r="RWG195" s="3"/>
      <c r="RWH195" s="3"/>
      <c r="RWI195" s="3"/>
      <c r="RWJ195" s="3"/>
      <c r="RWK195" s="3"/>
      <c r="RWL195" s="3"/>
      <c r="RWM195" s="3"/>
      <c r="RWN195" s="3"/>
      <c r="RWO195" s="3"/>
      <c r="RWP195" s="3"/>
      <c r="RWQ195" s="3"/>
      <c r="RWR195" s="3"/>
      <c r="RWS195" s="3"/>
      <c r="RWT195" s="3"/>
      <c r="RWU195" s="3"/>
      <c r="RWV195" s="3"/>
      <c r="RWW195" s="3"/>
      <c r="RWX195" s="3"/>
      <c r="RWY195" s="3"/>
      <c r="RWZ195" s="3"/>
      <c r="RXA195" s="3"/>
      <c r="RXB195" s="3"/>
      <c r="RXC195" s="3"/>
      <c r="RXD195" s="3"/>
      <c r="RXE195" s="3"/>
      <c r="RXF195" s="3"/>
      <c r="RXG195" s="3"/>
      <c r="RXH195" s="3"/>
      <c r="RXI195" s="3"/>
      <c r="RXJ195" s="3"/>
      <c r="RXK195" s="3"/>
      <c r="RXL195" s="3"/>
      <c r="RXM195" s="3"/>
      <c r="RXN195" s="3"/>
      <c r="RXO195" s="3"/>
      <c r="RXP195" s="3"/>
      <c r="RXQ195" s="3"/>
      <c r="RXR195" s="3"/>
      <c r="RXS195" s="3"/>
      <c r="RXT195" s="3"/>
      <c r="RXU195" s="3"/>
      <c r="RXV195" s="3"/>
      <c r="RXW195" s="3"/>
      <c r="RXX195" s="3"/>
      <c r="RXY195" s="3"/>
      <c r="RXZ195" s="3"/>
      <c r="RYA195" s="3"/>
      <c r="RYB195" s="3"/>
      <c r="RYC195" s="3"/>
      <c r="RYD195" s="3"/>
      <c r="RYE195" s="3"/>
      <c r="RYF195" s="3"/>
      <c r="RYG195" s="3"/>
      <c r="RYH195" s="3"/>
      <c r="RYI195" s="3"/>
      <c r="RYJ195" s="3"/>
      <c r="RYK195" s="3"/>
      <c r="RYL195" s="3"/>
      <c r="RYM195" s="3"/>
      <c r="RYN195" s="3"/>
      <c r="RYO195" s="3"/>
      <c r="RYP195" s="3"/>
      <c r="RYQ195" s="3"/>
      <c r="RYR195" s="3"/>
      <c r="RYS195" s="3"/>
      <c r="RYT195" s="3"/>
      <c r="RYU195" s="3"/>
      <c r="RYV195" s="3"/>
      <c r="RYW195" s="3"/>
      <c r="RYX195" s="3"/>
      <c r="RYY195" s="3"/>
      <c r="RYZ195" s="3"/>
      <c r="RZA195" s="3"/>
      <c r="RZB195" s="3"/>
      <c r="RZC195" s="3"/>
      <c r="RZD195" s="3"/>
      <c r="RZE195" s="3"/>
      <c r="RZF195" s="3"/>
      <c r="RZG195" s="3"/>
      <c r="RZH195" s="3"/>
      <c r="RZI195" s="3"/>
      <c r="RZJ195" s="3"/>
      <c r="RZK195" s="3"/>
      <c r="RZL195" s="3"/>
      <c r="RZM195" s="3"/>
      <c r="RZN195" s="3"/>
      <c r="RZO195" s="3"/>
      <c r="RZP195" s="3"/>
      <c r="RZQ195" s="3"/>
      <c r="RZR195" s="3"/>
      <c r="RZS195" s="3"/>
      <c r="RZT195" s="3"/>
      <c r="RZU195" s="3"/>
      <c r="RZV195" s="3"/>
      <c r="RZW195" s="3"/>
      <c r="RZX195" s="3"/>
      <c r="RZY195" s="3"/>
      <c r="RZZ195" s="3"/>
      <c r="SAA195" s="3"/>
      <c r="SAB195" s="3"/>
      <c r="SAC195" s="3"/>
      <c r="SAD195" s="3"/>
      <c r="SAE195" s="3"/>
      <c r="SAF195" s="3"/>
      <c r="SAG195" s="3"/>
      <c r="SAH195" s="3"/>
      <c r="SAI195" s="3"/>
      <c r="SAJ195" s="3"/>
      <c r="SAK195" s="3"/>
      <c r="SAL195" s="3"/>
      <c r="SAM195" s="3"/>
      <c r="SAN195" s="3"/>
      <c r="SAO195" s="3"/>
      <c r="SAP195" s="3"/>
      <c r="SAQ195" s="3"/>
      <c r="SAR195" s="3"/>
      <c r="SAS195" s="3"/>
      <c r="SAT195" s="3"/>
      <c r="SAU195" s="3"/>
      <c r="SAV195" s="3"/>
      <c r="SAW195" s="3"/>
      <c r="SAX195" s="3"/>
      <c r="SAY195" s="3"/>
      <c r="SAZ195" s="3"/>
      <c r="SBA195" s="3"/>
      <c r="SBB195" s="3"/>
      <c r="SBC195" s="3"/>
      <c r="SBD195" s="3"/>
      <c r="SBE195" s="3"/>
      <c r="SBF195" s="3"/>
      <c r="SBG195" s="3"/>
      <c r="SBH195" s="3"/>
      <c r="SBI195" s="3"/>
      <c r="SBJ195" s="3"/>
      <c r="SBK195" s="3"/>
      <c r="SBL195" s="3"/>
      <c r="SBM195" s="3"/>
      <c r="SBN195" s="3"/>
      <c r="SBO195" s="3"/>
      <c r="SBP195" s="3"/>
      <c r="SBQ195" s="3"/>
      <c r="SBR195" s="3"/>
      <c r="SBS195" s="3"/>
      <c r="SBT195" s="3"/>
      <c r="SBU195" s="3"/>
      <c r="SBV195" s="3"/>
      <c r="SBW195" s="3"/>
      <c r="SBX195" s="3"/>
      <c r="SBY195" s="3"/>
      <c r="SBZ195" s="3"/>
      <c r="SCA195" s="3"/>
      <c r="SCB195" s="3"/>
      <c r="SCC195" s="3"/>
      <c r="SCD195" s="3"/>
      <c r="SCE195" s="3"/>
      <c r="SCF195" s="3"/>
      <c r="SCG195" s="3"/>
      <c r="SCH195" s="3"/>
      <c r="SCI195" s="3"/>
      <c r="SCJ195" s="3"/>
      <c r="SCK195" s="3"/>
      <c r="SCL195" s="3"/>
      <c r="SCM195" s="3"/>
      <c r="SCN195" s="3"/>
      <c r="SCO195" s="3"/>
      <c r="SCP195" s="3"/>
      <c r="SCQ195" s="3"/>
      <c r="SCR195" s="3"/>
      <c r="SCS195" s="3"/>
      <c r="SCT195" s="3"/>
      <c r="SCU195" s="3"/>
      <c r="SCV195" s="3"/>
      <c r="SCW195" s="3"/>
      <c r="SCX195" s="3"/>
      <c r="SCY195" s="3"/>
      <c r="SCZ195" s="3"/>
      <c r="SDA195" s="3"/>
      <c r="SDB195" s="3"/>
      <c r="SDC195" s="3"/>
      <c r="SDD195" s="3"/>
      <c r="SDE195" s="3"/>
      <c r="SDF195" s="3"/>
      <c r="SDG195" s="3"/>
      <c r="SDH195" s="3"/>
      <c r="SDI195" s="3"/>
      <c r="SDJ195" s="3"/>
      <c r="SDK195" s="3"/>
      <c r="SDL195" s="3"/>
      <c r="SDM195" s="3"/>
      <c r="SDN195" s="3"/>
      <c r="SDO195" s="3"/>
      <c r="SDP195" s="3"/>
      <c r="SDQ195" s="3"/>
      <c r="SDR195" s="3"/>
      <c r="SDS195" s="3"/>
      <c r="SDT195" s="3"/>
      <c r="SDU195" s="3"/>
      <c r="SDV195" s="3"/>
      <c r="SDW195" s="3"/>
      <c r="SDX195" s="3"/>
      <c r="SDY195" s="3"/>
      <c r="SDZ195" s="3"/>
      <c r="SEA195" s="3"/>
      <c r="SEB195" s="3"/>
      <c r="SEC195" s="3"/>
      <c r="SED195" s="3"/>
      <c r="SEE195" s="3"/>
      <c r="SEF195" s="3"/>
      <c r="SEG195" s="3"/>
      <c r="SEH195" s="3"/>
      <c r="SEI195" s="3"/>
      <c r="SEJ195" s="3"/>
      <c r="SEK195" s="3"/>
      <c r="SEL195" s="3"/>
      <c r="SEM195" s="3"/>
      <c r="SEN195" s="3"/>
      <c r="SEO195" s="3"/>
      <c r="SEP195" s="3"/>
      <c r="SEQ195" s="3"/>
      <c r="SER195" s="3"/>
      <c r="SES195" s="3"/>
      <c r="SET195" s="3"/>
      <c r="SEU195" s="3"/>
      <c r="SEV195" s="3"/>
      <c r="SEW195" s="3"/>
      <c r="SEX195" s="3"/>
      <c r="SEY195" s="3"/>
      <c r="SEZ195" s="3"/>
      <c r="SFA195" s="3"/>
      <c r="SFB195" s="3"/>
      <c r="SFC195" s="3"/>
      <c r="SFD195" s="3"/>
      <c r="SFE195" s="3"/>
      <c r="SFF195" s="3"/>
      <c r="SFG195" s="3"/>
      <c r="SFH195" s="3"/>
      <c r="SFI195" s="3"/>
      <c r="SFJ195" s="3"/>
      <c r="SFK195" s="3"/>
      <c r="SFL195" s="3"/>
      <c r="SFM195" s="3"/>
      <c r="SFN195" s="3"/>
      <c r="SFO195" s="3"/>
      <c r="SFP195" s="3"/>
      <c r="SFQ195" s="3"/>
      <c r="SFR195" s="3"/>
      <c r="SFS195" s="3"/>
      <c r="SFT195" s="3"/>
      <c r="SFU195" s="3"/>
      <c r="SFV195" s="3"/>
      <c r="SFW195" s="3"/>
      <c r="SFX195" s="3"/>
      <c r="SFY195" s="3"/>
      <c r="SFZ195" s="3"/>
      <c r="SGA195" s="3"/>
      <c r="SGB195" s="3"/>
      <c r="SGC195" s="3"/>
      <c r="SGD195" s="3"/>
      <c r="SGE195" s="3"/>
      <c r="SGF195" s="3"/>
      <c r="SGG195" s="3"/>
      <c r="SGH195" s="3"/>
      <c r="SGI195" s="3"/>
      <c r="SGJ195" s="3"/>
      <c r="SGK195" s="3"/>
      <c r="SGL195" s="3"/>
      <c r="SGM195" s="3"/>
      <c r="SGN195" s="3"/>
      <c r="SGO195" s="3"/>
      <c r="SGP195" s="3"/>
      <c r="SGQ195" s="3"/>
      <c r="SGR195" s="3"/>
      <c r="SGS195" s="3"/>
      <c r="SGT195" s="3"/>
      <c r="SGU195" s="3"/>
      <c r="SGV195" s="3"/>
      <c r="SGW195" s="3"/>
      <c r="SGX195" s="3"/>
      <c r="SGY195" s="3"/>
      <c r="SGZ195" s="3"/>
      <c r="SHA195" s="3"/>
      <c r="SHB195" s="3"/>
      <c r="SHC195" s="3"/>
      <c r="SHD195" s="3"/>
      <c r="SHE195" s="3"/>
      <c r="SHF195" s="3"/>
      <c r="SHG195" s="3"/>
      <c r="SHH195" s="3"/>
      <c r="SHI195" s="3"/>
      <c r="SHJ195" s="3"/>
      <c r="SHK195" s="3"/>
      <c r="SHL195" s="3"/>
      <c r="SHM195" s="3"/>
      <c r="SHN195" s="3"/>
      <c r="SHO195" s="3"/>
      <c r="SHP195" s="3"/>
      <c r="SHQ195" s="3"/>
      <c r="SHR195" s="3"/>
      <c r="SHS195" s="3"/>
      <c r="SHT195" s="3"/>
      <c r="SHU195" s="3"/>
      <c r="SHV195" s="3"/>
      <c r="SHW195" s="3"/>
      <c r="SHX195" s="3"/>
      <c r="SHY195" s="3"/>
      <c r="SHZ195" s="3"/>
      <c r="SIA195" s="3"/>
      <c r="SIB195" s="3"/>
      <c r="SIC195" s="3"/>
      <c r="SID195" s="3"/>
      <c r="SIE195" s="3"/>
      <c r="SIF195" s="3"/>
      <c r="SIG195" s="3"/>
      <c r="SIH195" s="3"/>
      <c r="SII195" s="3"/>
      <c r="SIJ195" s="3"/>
      <c r="SIK195" s="3"/>
      <c r="SIL195" s="3"/>
      <c r="SIM195" s="3"/>
      <c r="SIN195" s="3"/>
      <c r="SIO195" s="3"/>
      <c r="SIP195" s="3"/>
      <c r="SIQ195" s="3"/>
      <c r="SIR195" s="3"/>
      <c r="SIS195" s="3"/>
      <c r="SIT195" s="3"/>
      <c r="SIU195" s="3"/>
      <c r="SIV195" s="3"/>
      <c r="SIW195" s="3"/>
      <c r="SIX195" s="3"/>
      <c r="SIY195" s="3"/>
      <c r="SIZ195" s="3"/>
      <c r="SJA195" s="3"/>
      <c r="SJB195" s="3"/>
      <c r="SJC195" s="3"/>
      <c r="SJD195" s="3"/>
      <c r="SJE195" s="3"/>
      <c r="SJF195" s="3"/>
      <c r="SJG195" s="3"/>
      <c r="SJH195" s="3"/>
      <c r="SJI195" s="3"/>
      <c r="SJJ195" s="3"/>
      <c r="SJK195" s="3"/>
      <c r="SJL195" s="3"/>
      <c r="SJM195" s="3"/>
      <c r="SJN195" s="3"/>
      <c r="SJO195" s="3"/>
      <c r="SJP195" s="3"/>
      <c r="SJQ195" s="3"/>
      <c r="SJR195" s="3"/>
      <c r="SJS195" s="3"/>
      <c r="SJT195" s="3"/>
      <c r="SJU195" s="3"/>
      <c r="SJV195" s="3"/>
      <c r="SJW195" s="3"/>
      <c r="SJX195" s="3"/>
      <c r="SJY195" s="3"/>
      <c r="SJZ195" s="3"/>
      <c r="SKA195" s="3"/>
      <c r="SKB195" s="3"/>
      <c r="SKC195" s="3"/>
      <c r="SKD195" s="3"/>
      <c r="SKE195" s="3"/>
      <c r="SKF195" s="3"/>
      <c r="SKG195" s="3"/>
      <c r="SKH195" s="3"/>
      <c r="SKI195" s="3"/>
      <c r="SKJ195" s="3"/>
      <c r="SKK195" s="3"/>
      <c r="SKL195" s="3"/>
      <c r="SKM195" s="3"/>
      <c r="SKN195" s="3"/>
      <c r="SKO195" s="3"/>
      <c r="SKP195" s="3"/>
      <c r="SKQ195" s="3"/>
      <c r="SKR195" s="3"/>
      <c r="SKS195" s="3"/>
      <c r="SKT195" s="3"/>
      <c r="SKU195" s="3"/>
      <c r="SKV195" s="3"/>
      <c r="SKW195" s="3"/>
      <c r="SKX195" s="3"/>
      <c r="SKY195" s="3"/>
      <c r="SKZ195" s="3"/>
      <c r="SLA195" s="3"/>
      <c r="SLB195" s="3"/>
      <c r="SLC195" s="3"/>
      <c r="SLD195" s="3"/>
      <c r="SLE195" s="3"/>
      <c r="SLF195" s="3"/>
      <c r="SLG195" s="3"/>
      <c r="SLH195" s="3"/>
      <c r="SLI195" s="3"/>
      <c r="SLJ195" s="3"/>
      <c r="SLK195" s="3"/>
      <c r="SLL195" s="3"/>
      <c r="SLM195" s="3"/>
      <c r="SLN195" s="3"/>
      <c r="SLO195" s="3"/>
      <c r="SLP195" s="3"/>
      <c r="SLQ195" s="3"/>
      <c r="SLR195" s="3"/>
      <c r="SLS195" s="3"/>
      <c r="SLT195" s="3"/>
      <c r="SLU195" s="3"/>
      <c r="SLV195" s="3"/>
      <c r="SLW195" s="3"/>
      <c r="SLX195" s="3"/>
      <c r="SLY195" s="3"/>
      <c r="SLZ195" s="3"/>
      <c r="SMA195" s="3"/>
      <c r="SMB195" s="3"/>
      <c r="SMC195" s="3"/>
      <c r="SMD195" s="3"/>
      <c r="SME195" s="3"/>
      <c r="SMF195" s="3"/>
      <c r="SMG195" s="3"/>
      <c r="SMH195" s="3"/>
      <c r="SMI195" s="3"/>
      <c r="SMJ195" s="3"/>
      <c r="SMK195" s="3"/>
      <c r="SML195" s="3"/>
      <c r="SMM195" s="3"/>
      <c r="SMN195" s="3"/>
      <c r="SMO195" s="3"/>
      <c r="SMP195" s="3"/>
      <c r="SMQ195" s="3"/>
      <c r="SMR195" s="3"/>
      <c r="SMS195" s="3"/>
      <c r="SMT195" s="3"/>
      <c r="SMU195" s="3"/>
      <c r="SMV195" s="3"/>
      <c r="SMW195" s="3"/>
      <c r="SMX195" s="3"/>
      <c r="SMY195" s="3"/>
      <c r="SMZ195" s="3"/>
      <c r="SNA195" s="3"/>
      <c r="SNB195" s="3"/>
      <c r="SNC195" s="3"/>
      <c r="SND195" s="3"/>
      <c r="SNE195" s="3"/>
      <c r="SNF195" s="3"/>
      <c r="SNG195" s="3"/>
      <c r="SNH195" s="3"/>
      <c r="SNI195" s="3"/>
      <c r="SNJ195" s="3"/>
      <c r="SNK195" s="3"/>
      <c r="SNL195" s="3"/>
      <c r="SNM195" s="3"/>
      <c r="SNN195" s="3"/>
      <c r="SNO195" s="3"/>
      <c r="SNP195" s="3"/>
      <c r="SNQ195" s="3"/>
      <c r="SNR195" s="3"/>
      <c r="SNS195" s="3"/>
      <c r="SNT195" s="3"/>
      <c r="SNU195" s="3"/>
      <c r="SNV195" s="3"/>
      <c r="SNW195" s="3"/>
      <c r="SNX195" s="3"/>
      <c r="SNY195" s="3"/>
      <c r="SNZ195" s="3"/>
      <c r="SOA195" s="3"/>
      <c r="SOB195" s="3"/>
      <c r="SOC195" s="3"/>
      <c r="SOD195" s="3"/>
      <c r="SOE195" s="3"/>
      <c r="SOF195" s="3"/>
      <c r="SOG195" s="3"/>
      <c r="SOH195" s="3"/>
      <c r="SOI195" s="3"/>
      <c r="SOJ195" s="3"/>
      <c r="SOK195" s="3"/>
      <c r="SOL195" s="3"/>
      <c r="SOM195" s="3"/>
      <c r="SON195" s="3"/>
      <c r="SOO195" s="3"/>
      <c r="SOP195" s="3"/>
      <c r="SOQ195" s="3"/>
      <c r="SOR195" s="3"/>
      <c r="SOS195" s="3"/>
      <c r="SOT195" s="3"/>
      <c r="SOU195" s="3"/>
      <c r="SOV195" s="3"/>
      <c r="SOW195" s="3"/>
      <c r="SOX195" s="3"/>
      <c r="SOY195" s="3"/>
      <c r="SOZ195" s="3"/>
      <c r="SPA195" s="3"/>
      <c r="SPB195" s="3"/>
      <c r="SPC195" s="3"/>
      <c r="SPD195" s="3"/>
      <c r="SPE195" s="3"/>
      <c r="SPF195" s="3"/>
      <c r="SPG195" s="3"/>
      <c r="SPH195" s="3"/>
      <c r="SPI195" s="3"/>
      <c r="SPJ195" s="3"/>
      <c r="SPK195" s="3"/>
      <c r="SPL195" s="3"/>
      <c r="SPM195" s="3"/>
      <c r="SPN195" s="3"/>
      <c r="SPO195" s="3"/>
      <c r="SPP195" s="3"/>
      <c r="SPQ195" s="3"/>
      <c r="SPR195" s="3"/>
      <c r="SPS195" s="3"/>
      <c r="SPT195" s="3"/>
      <c r="SPU195" s="3"/>
      <c r="SPV195" s="3"/>
      <c r="SPW195" s="3"/>
      <c r="SPX195" s="3"/>
      <c r="SPY195" s="3"/>
      <c r="SPZ195" s="3"/>
      <c r="SQA195" s="3"/>
      <c r="SQB195" s="3"/>
      <c r="SQC195" s="3"/>
      <c r="SQD195" s="3"/>
      <c r="SQE195" s="3"/>
      <c r="SQF195" s="3"/>
      <c r="SQG195" s="3"/>
      <c r="SQH195" s="3"/>
      <c r="SQI195" s="3"/>
      <c r="SQJ195" s="3"/>
      <c r="SQK195" s="3"/>
      <c r="SQL195" s="3"/>
      <c r="SQM195" s="3"/>
      <c r="SQN195" s="3"/>
      <c r="SQO195" s="3"/>
      <c r="SQP195" s="3"/>
      <c r="SQQ195" s="3"/>
      <c r="SQR195" s="3"/>
      <c r="SQS195" s="3"/>
      <c r="SQT195" s="3"/>
      <c r="SQU195" s="3"/>
      <c r="SQV195" s="3"/>
      <c r="SQW195" s="3"/>
      <c r="SQX195" s="3"/>
      <c r="SQY195" s="3"/>
      <c r="SQZ195" s="3"/>
      <c r="SRA195" s="3"/>
      <c r="SRB195" s="3"/>
      <c r="SRC195" s="3"/>
      <c r="SRD195" s="3"/>
      <c r="SRE195" s="3"/>
      <c r="SRF195" s="3"/>
      <c r="SRG195" s="3"/>
      <c r="SRH195" s="3"/>
      <c r="SRI195" s="3"/>
      <c r="SRJ195" s="3"/>
      <c r="SRK195" s="3"/>
      <c r="SRL195" s="3"/>
      <c r="SRM195" s="3"/>
      <c r="SRN195" s="3"/>
      <c r="SRO195" s="3"/>
      <c r="SRP195" s="3"/>
      <c r="SRQ195" s="3"/>
      <c r="SRR195" s="3"/>
      <c r="SRS195" s="3"/>
      <c r="SRT195" s="3"/>
      <c r="SRU195" s="3"/>
      <c r="SRV195" s="3"/>
      <c r="SRW195" s="3"/>
      <c r="SRX195" s="3"/>
      <c r="SRY195" s="3"/>
      <c r="SRZ195" s="3"/>
      <c r="SSA195" s="3"/>
      <c r="SSB195" s="3"/>
      <c r="SSC195" s="3"/>
      <c r="SSD195" s="3"/>
      <c r="SSE195" s="3"/>
      <c r="SSF195" s="3"/>
      <c r="SSG195" s="3"/>
      <c r="SSH195" s="3"/>
      <c r="SSI195" s="3"/>
      <c r="SSJ195" s="3"/>
      <c r="SSK195" s="3"/>
      <c r="SSL195" s="3"/>
      <c r="SSM195" s="3"/>
      <c r="SSN195" s="3"/>
      <c r="SSO195" s="3"/>
      <c r="SSP195" s="3"/>
      <c r="SSQ195" s="3"/>
      <c r="SSR195" s="3"/>
      <c r="SSS195" s="3"/>
      <c r="SST195" s="3"/>
      <c r="SSU195" s="3"/>
      <c r="SSV195" s="3"/>
      <c r="SSW195" s="3"/>
      <c r="SSX195" s="3"/>
      <c r="SSY195" s="3"/>
      <c r="SSZ195" s="3"/>
      <c r="STA195" s="3"/>
      <c r="STB195" s="3"/>
      <c r="STC195" s="3"/>
      <c r="STD195" s="3"/>
      <c r="STE195" s="3"/>
      <c r="STF195" s="3"/>
      <c r="STG195" s="3"/>
      <c r="STH195" s="3"/>
      <c r="STI195" s="3"/>
      <c r="STJ195" s="3"/>
      <c r="STK195" s="3"/>
      <c r="STL195" s="3"/>
      <c r="STM195" s="3"/>
      <c r="STN195" s="3"/>
      <c r="STO195" s="3"/>
      <c r="STP195" s="3"/>
      <c r="STQ195" s="3"/>
      <c r="STR195" s="3"/>
      <c r="STS195" s="3"/>
      <c r="STT195" s="3"/>
      <c r="STU195" s="3"/>
      <c r="STV195" s="3"/>
      <c r="STW195" s="3"/>
      <c r="STX195" s="3"/>
      <c r="STY195" s="3"/>
      <c r="STZ195" s="3"/>
      <c r="SUA195" s="3"/>
      <c r="SUB195" s="3"/>
      <c r="SUC195" s="3"/>
      <c r="SUD195" s="3"/>
      <c r="SUE195" s="3"/>
      <c r="SUF195" s="3"/>
      <c r="SUG195" s="3"/>
      <c r="SUH195" s="3"/>
      <c r="SUI195" s="3"/>
      <c r="SUJ195" s="3"/>
      <c r="SUK195" s="3"/>
      <c r="SUL195" s="3"/>
      <c r="SUM195" s="3"/>
      <c r="SUN195" s="3"/>
      <c r="SUO195" s="3"/>
      <c r="SUP195" s="3"/>
      <c r="SUQ195" s="3"/>
      <c r="SUR195" s="3"/>
      <c r="SUS195" s="3"/>
      <c r="SUT195" s="3"/>
      <c r="SUU195" s="3"/>
      <c r="SUV195" s="3"/>
      <c r="SUW195" s="3"/>
      <c r="SUX195" s="3"/>
      <c r="SUY195" s="3"/>
      <c r="SUZ195" s="3"/>
      <c r="SVA195" s="3"/>
      <c r="SVB195" s="3"/>
      <c r="SVC195" s="3"/>
      <c r="SVD195" s="3"/>
      <c r="SVE195" s="3"/>
      <c r="SVF195" s="3"/>
      <c r="SVG195" s="3"/>
      <c r="SVH195" s="3"/>
      <c r="SVI195" s="3"/>
      <c r="SVJ195" s="3"/>
      <c r="SVK195" s="3"/>
      <c r="SVL195" s="3"/>
      <c r="SVM195" s="3"/>
      <c r="SVN195" s="3"/>
      <c r="SVO195" s="3"/>
      <c r="SVP195" s="3"/>
      <c r="SVQ195" s="3"/>
      <c r="SVR195" s="3"/>
      <c r="SVS195" s="3"/>
      <c r="SVT195" s="3"/>
      <c r="SVU195" s="3"/>
      <c r="SVV195" s="3"/>
      <c r="SVW195" s="3"/>
      <c r="SVX195" s="3"/>
      <c r="SVY195" s="3"/>
      <c r="SVZ195" s="3"/>
      <c r="SWA195" s="3"/>
      <c r="SWB195" s="3"/>
      <c r="SWC195" s="3"/>
      <c r="SWD195" s="3"/>
      <c r="SWE195" s="3"/>
      <c r="SWF195" s="3"/>
      <c r="SWG195" s="3"/>
      <c r="SWH195" s="3"/>
      <c r="SWI195" s="3"/>
      <c r="SWJ195" s="3"/>
      <c r="SWK195" s="3"/>
      <c r="SWL195" s="3"/>
      <c r="SWM195" s="3"/>
      <c r="SWN195" s="3"/>
      <c r="SWO195" s="3"/>
      <c r="SWP195" s="3"/>
      <c r="SWQ195" s="3"/>
      <c r="SWR195" s="3"/>
      <c r="SWS195" s="3"/>
      <c r="SWT195" s="3"/>
      <c r="SWU195" s="3"/>
      <c r="SWV195" s="3"/>
      <c r="SWW195" s="3"/>
      <c r="SWX195" s="3"/>
      <c r="SWY195" s="3"/>
      <c r="SWZ195" s="3"/>
      <c r="SXA195" s="3"/>
      <c r="SXB195" s="3"/>
      <c r="SXC195" s="3"/>
      <c r="SXD195" s="3"/>
      <c r="SXE195" s="3"/>
      <c r="SXF195" s="3"/>
      <c r="SXG195" s="3"/>
      <c r="SXH195" s="3"/>
      <c r="SXI195" s="3"/>
      <c r="SXJ195" s="3"/>
      <c r="SXK195" s="3"/>
      <c r="SXL195" s="3"/>
      <c r="SXM195" s="3"/>
      <c r="SXN195" s="3"/>
      <c r="SXO195" s="3"/>
      <c r="SXP195" s="3"/>
      <c r="SXQ195" s="3"/>
      <c r="SXR195" s="3"/>
      <c r="SXS195" s="3"/>
      <c r="SXT195" s="3"/>
      <c r="SXU195" s="3"/>
      <c r="SXV195" s="3"/>
      <c r="SXW195" s="3"/>
      <c r="SXX195" s="3"/>
      <c r="SXY195" s="3"/>
      <c r="SXZ195" s="3"/>
      <c r="SYA195" s="3"/>
      <c r="SYB195" s="3"/>
      <c r="SYC195" s="3"/>
      <c r="SYD195" s="3"/>
      <c r="SYE195" s="3"/>
      <c r="SYF195" s="3"/>
      <c r="SYG195" s="3"/>
      <c r="SYH195" s="3"/>
      <c r="SYI195" s="3"/>
      <c r="SYJ195" s="3"/>
      <c r="SYK195" s="3"/>
      <c r="SYL195" s="3"/>
      <c r="SYM195" s="3"/>
      <c r="SYN195" s="3"/>
      <c r="SYO195" s="3"/>
      <c r="SYP195" s="3"/>
      <c r="SYQ195" s="3"/>
      <c r="SYR195" s="3"/>
      <c r="SYS195" s="3"/>
      <c r="SYT195" s="3"/>
      <c r="SYU195" s="3"/>
      <c r="SYV195" s="3"/>
      <c r="SYW195" s="3"/>
      <c r="SYX195" s="3"/>
      <c r="SYY195" s="3"/>
      <c r="SYZ195" s="3"/>
      <c r="SZA195" s="3"/>
      <c r="SZB195" s="3"/>
      <c r="SZC195" s="3"/>
      <c r="SZD195" s="3"/>
      <c r="SZE195" s="3"/>
      <c r="SZF195" s="3"/>
      <c r="SZG195" s="3"/>
      <c r="SZH195" s="3"/>
      <c r="SZI195" s="3"/>
      <c r="SZJ195" s="3"/>
      <c r="SZK195" s="3"/>
      <c r="SZL195" s="3"/>
      <c r="SZM195" s="3"/>
      <c r="SZN195" s="3"/>
      <c r="SZO195" s="3"/>
      <c r="SZP195" s="3"/>
      <c r="SZQ195" s="3"/>
      <c r="SZR195" s="3"/>
      <c r="SZS195" s="3"/>
      <c r="SZT195" s="3"/>
      <c r="SZU195" s="3"/>
      <c r="SZV195" s="3"/>
      <c r="SZW195" s="3"/>
      <c r="SZX195" s="3"/>
      <c r="SZY195" s="3"/>
      <c r="SZZ195" s="3"/>
      <c r="TAA195" s="3"/>
      <c r="TAB195" s="3"/>
      <c r="TAC195" s="3"/>
      <c r="TAD195" s="3"/>
      <c r="TAE195" s="3"/>
      <c r="TAF195" s="3"/>
      <c r="TAG195" s="3"/>
      <c r="TAH195" s="3"/>
      <c r="TAI195" s="3"/>
      <c r="TAJ195" s="3"/>
      <c r="TAK195" s="3"/>
      <c r="TAL195" s="3"/>
      <c r="TAM195" s="3"/>
      <c r="TAN195" s="3"/>
      <c r="TAO195" s="3"/>
      <c r="TAP195" s="3"/>
      <c r="TAQ195" s="3"/>
      <c r="TAR195" s="3"/>
      <c r="TAS195" s="3"/>
      <c r="TAT195" s="3"/>
      <c r="TAU195" s="3"/>
      <c r="TAV195" s="3"/>
      <c r="TAW195" s="3"/>
      <c r="TAX195" s="3"/>
      <c r="TAY195" s="3"/>
      <c r="TAZ195" s="3"/>
      <c r="TBA195" s="3"/>
      <c r="TBB195" s="3"/>
      <c r="TBC195" s="3"/>
      <c r="TBD195" s="3"/>
      <c r="TBE195" s="3"/>
      <c r="TBF195" s="3"/>
      <c r="TBG195" s="3"/>
      <c r="TBH195" s="3"/>
      <c r="TBI195" s="3"/>
      <c r="TBJ195" s="3"/>
      <c r="TBK195" s="3"/>
      <c r="TBL195" s="3"/>
      <c r="TBM195" s="3"/>
      <c r="TBN195" s="3"/>
      <c r="TBO195" s="3"/>
      <c r="TBP195" s="3"/>
      <c r="TBQ195" s="3"/>
      <c r="TBR195" s="3"/>
      <c r="TBS195" s="3"/>
      <c r="TBT195" s="3"/>
      <c r="TBU195" s="3"/>
      <c r="TBV195" s="3"/>
      <c r="TBW195" s="3"/>
      <c r="TBX195" s="3"/>
      <c r="TBY195" s="3"/>
      <c r="TBZ195" s="3"/>
      <c r="TCA195" s="3"/>
      <c r="TCB195" s="3"/>
      <c r="TCC195" s="3"/>
      <c r="TCD195" s="3"/>
      <c r="TCE195" s="3"/>
      <c r="TCF195" s="3"/>
      <c r="TCG195" s="3"/>
      <c r="TCH195" s="3"/>
      <c r="TCI195" s="3"/>
      <c r="TCJ195" s="3"/>
      <c r="TCK195" s="3"/>
      <c r="TCL195" s="3"/>
      <c r="TCM195" s="3"/>
      <c r="TCN195" s="3"/>
      <c r="TCO195" s="3"/>
      <c r="TCP195" s="3"/>
      <c r="TCQ195" s="3"/>
      <c r="TCR195" s="3"/>
      <c r="TCS195" s="3"/>
      <c r="TCT195" s="3"/>
      <c r="TCU195" s="3"/>
      <c r="TCV195" s="3"/>
      <c r="TCW195" s="3"/>
      <c r="TCX195" s="3"/>
      <c r="TCY195" s="3"/>
      <c r="TCZ195" s="3"/>
      <c r="TDA195" s="3"/>
      <c r="TDB195" s="3"/>
      <c r="TDC195" s="3"/>
      <c r="TDD195" s="3"/>
      <c r="TDE195" s="3"/>
      <c r="TDF195" s="3"/>
      <c r="TDG195" s="3"/>
      <c r="TDH195" s="3"/>
      <c r="TDI195" s="3"/>
      <c r="TDJ195" s="3"/>
      <c r="TDK195" s="3"/>
      <c r="TDL195" s="3"/>
      <c r="TDM195" s="3"/>
      <c r="TDN195" s="3"/>
      <c r="TDO195" s="3"/>
      <c r="TDP195" s="3"/>
      <c r="TDQ195" s="3"/>
      <c r="TDR195" s="3"/>
      <c r="TDS195" s="3"/>
      <c r="TDT195" s="3"/>
      <c r="TDU195" s="3"/>
      <c r="TDV195" s="3"/>
      <c r="TDW195" s="3"/>
      <c r="TDX195" s="3"/>
      <c r="TDY195" s="3"/>
      <c r="TDZ195" s="3"/>
      <c r="TEA195" s="3"/>
      <c r="TEB195" s="3"/>
      <c r="TEC195" s="3"/>
      <c r="TED195" s="3"/>
      <c r="TEE195" s="3"/>
      <c r="TEF195" s="3"/>
      <c r="TEG195" s="3"/>
      <c r="TEH195" s="3"/>
      <c r="TEI195" s="3"/>
      <c r="TEJ195" s="3"/>
      <c r="TEK195" s="3"/>
      <c r="TEL195" s="3"/>
      <c r="TEM195" s="3"/>
      <c r="TEN195" s="3"/>
      <c r="TEO195" s="3"/>
      <c r="TEP195" s="3"/>
      <c r="TEQ195" s="3"/>
      <c r="TER195" s="3"/>
      <c r="TES195" s="3"/>
      <c r="TET195" s="3"/>
      <c r="TEU195" s="3"/>
      <c r="TEV195" s="3"/>
      <c r="TEW195" s="3"/>
      <c r="TEX195" s="3"/>
      <c r="TEY195" s="3"/>
      <c r="TEZ195" s="3"/>
      <c r="TFA195" s="3"/>
      <c r="TFB195" s="3"/>
      <c r="TFC195" s="3"/>
      <c r="TFD195" s="3"/>
      <c r="TFE195" s="3"/>
      <c r="TFF195" s="3"/>
      <c r="TFG195" s="3"/>
      <c r="TFH195" s="3"/>
      <c r="TFI195" s="3"/>
      <c r="TFJ195" s="3"/>
      <c r="TFK195" s="3"/>
      <c r="TFL195" s="3"/>
      <c r="TFM195" s="3"/>
      <c r="TFN195" s="3"/>
      <c r="TFO195" s="3"/>
      <c r="TFP195" s="3"/>
      <c r="TFQ195" s="3"/>
      <c r="TFR195" s="3"/>
      <c r="TFS195" s="3"/>
      <c r="TFT195" s="3"/>
      <c r="TFU195" s="3"/>
      <c r="TFV195" s="3"/>
      <c r="TFW195" s="3"/>
      <c r="TFX195" s="3"/>
      <c r="TFY195" s="3"/>
      <c r="TFZ195" s="3"/>
      <c r="TGA195" s="3"/>
      <c r="TGB195" s="3"/>
      <c r="TGC195" s="3"/>
      <c r="TGD195" s="3"/>
      <c r="TGE195" s="3"/>
      <c r="TGF195" s="3"/>
      <c r="TGG195" s="3"/>
      <c r="TGH195" s="3"/>
      <c r="TGI195" s="3"/>
      <c r="TGJ195" s="3"/>
      <c r="TGK195" s="3"/>
      <c r="TGL195" s="3"/>
      <c r="TGM195" s="3"/>
      <c r="TGN195" s="3"/>
      <c r="TGO195" s="3"/>
      <c r="TGP195" s="3"/>
      <c r="TGQ195" s="3"/>
      <c r="TGR195" s="3"/>
      <c r="TGS195" s="3"/>
      <c r="TGT195" s="3"/>
      <c r="TGU195" s="3"/>
      <c r="TGV195" s="3"/>
      <c r="TGW195" s="3"/>
      <c r="TGX195" s="3"/>
      <c r="TGY195" s="3"/>
      <c r="TGZ195" s="3"/>
      <c r="THA195" s="3"/>
      <c r="THB195" s="3"/>
      <c r="THC195" s="3"/>
      <c r="THD195" s="3"/>
      <c r="THE195" s="3"/>
      <c r="THF195" s="3"/>
      <c r="THG195" s="3"/>
      <c r="THH195" s="3"/>
      <c r="THI195" s="3"/>
      <c r="THJ195" s="3"/>
      <c r="THK195" s="3"/>
      <c r="THL195" s="3"/>
      <c r="THM195" s="3"/>
      <c r="THN195" s="3"/>
      <c r="THO195" s="3"/>
      <c r="THP195" s="3"/>
      <c r="THQ195" s="3"/>
      <c r="THR195" s="3"/>
      <c r="THS195" s="3"/>
      <c r="THT195" s="3"/>
      <c r="THU195" s="3"/>
      <c r="THV195" s="3"/>
      <c r="THW195" s="3"/>
      <c r="THX195" s="3"/>
      <c r="THY195" s="3"/>
      <c r="THZ195" s="3"/>
      <c r="TIA195" s="3"/>
      <c r="TIB195" s="3"/>
      <c r="TIC195" s="3"/>
      <c r="TID195" s="3"/>
      <c r="TIE195" s="3"/>
      <c r="TIF195" s="3"/>
      <c r="TIG195" s="3"/>
      <c r="TIH195" s="3"/>
      <c r="TII195" s="3"/>
      <c r="TIJ195" s="3"/>
      <c r="TIK195" s="3"/>
      <c r="TIL195" s="3"/>
      <c r="TIM195" s="3"/>
      <c r="TIN195" s="3"/>
      <c r="TIO195" s="3"/>
      <c r="TIP195" s="3"/>
      <c r="TIQ195" s="3"/>
      <c r="TIR195" s="3"/>
      <c r="TIS195" s="3"/>
      <c r="TIT195" s="3"/>
      <c r="TIU195" s="3"/>
      <c r="TIV195" s="3"/>
      <c r="TIW195" s="3"/>
      <c r="TIX195" s="3"/>
      <c r="TIY195" s="3"/>
      <c r="TIZ195" s="3"/>
      <c r="TJA195" s="3"/>
      <c r="TJB195" s="3"/>
      <c r="TJC195" s="3"/>
      <c r="TJD195" s="3"/>
      <c r="TJE195" s="3"/>
      <c r="TJF195" s="3"/>
      <c r="TJG195" s="3"/>
      <c r="TJH195" s="3"/>
      <c r="TJI195" s="3"/>
      <c r="TJJ195" s="3"/>
      <c r="TJK195" s="3"/>
      <c r="TJL195" s="3"/>
      <c r="TJM195" s="3"/>
      <c r="TJN195" s="3"/>
      <c r="TJO195" s="3"/>
      <c r="TJP195" s="3"/>
      <c r="TJQ195" s="3"/>
      <c r="TJR195" s="3"/>
      <c r="TJS195" s="3"/>
      <c r="TJT195" s="3"/>
      <c r="TJU195" s="3"/>
      <c r="TJV195" s="3"/>
      <c r="TJW195" s="3"/>
      <c r="TJX195" s="3"/>
      <c r="TJY195" s="3"/>
      <c r="TJZ195" s="3"/>
      <c r="TKA195" s="3"/>
      <c r="TKB195" s="3"/>
      <c r="TKC195" s="3"/>
      <c r="TKD195" s="3"/>
      <c r="TKE195" s="3"/>
      <c r="TKF195" s="3"/>
      <c r="TKG195" s="3"/>
      <c r="TKH195" s="3"/>
      <c r="TKI195" s="3"/>
      <c r="TKJ195" s="3"/>
      <c r="TKK195" s="3"/>
      <c r="TKL195" s="3"/>
      <c r="TKM195" s="3"/>
      <c r="TKN195" s="3"/>
      <c r="TKO195" s="3"/>
      <c r="TKP195" s="3"/>
      <c r="TKQ195" s="3"/>
      <c r="TKR195" s="3"/>
      <c r="TKS195" s="3"/>
      <c r="TKT195" s="3"/>
      <c r="TKU195" s="3"/>
      <c r="TKV195" s="3"/>
      <c r="TKW195" s="3"/>
      <c r="TKX195" s="3"/>
      <c r="TKY195" s="3"/>
      <c r="TKZ195" s="3"/>
      <c r="TLA195" s="3"/>
      <c r="TLB195" s="3"/>
      <c r="TLC195" s="3"/>
      <c r="TLD195" s="3"/>
      <c r="TLE195" s="3"/>
      <c r="TLF195" s="3"/>
      <c r="TLG195" s="3"/>
      <c r="TLH195" s="3"/>
      <c r="TLI195" s="3"/>
      <c r="TLJ195" s="3"/>
      <c r="TLK195" s="3"/>
      <c r="TLL195" s="3"/>
      <c r="TLM195" s="3"/>
      <c r="TLN195" s="3"/>
      <c r="TLO195" s="3"/>
      <c r="TLP195" s="3"/>
      <c r="TLQ195" s="3"/>
      <c r="TLR195" s="3"/>
      <c r="TLS195" s="3"/>
      <c r="TLT195" s="3"/>
      <c r="TLU195" s="3"/>
      <c r="TLV195" s="3"/>
      <c r="TLW195" s="3"/>
      <c r="TLX195" s="3"/>
      <c r="TLY195" s="3"/>
      <c r="TLZ195" s="3"/>
      <c r="TMA195" s="3"/>
      <c r="TMB195" s="3"/>
      <c r="TMC195" s="3"/>
      <c r="TMD195" s="3"/>
      <c r="TME195" s="3"/>
      <c r="TMF195" s="3"/>
      <c r="TMG195" s="3"/>
      <c r="TMH195" s="3"/>
      <c r="TMI195" s="3"/>
      <c r="TMJ195" s="3"/>
      <c r="TMK195" s="3"/>
      <c r="TML195" s="3"/>
      <c r="TMM195" s="3"/>
      <c r="TMN195" s="3"/>
      <c r="TMO195" s="3"/>
      <c r="TMP195" s="3"/>
      <c r="TMQ195" s="3"/>
      <c r="TMR195" s="3"/>
      <c r="TMS195" s="3"/>
      <c r="TMT195" s="3"/>
      <c r="TMU195" s="3"/>
      <c r="TMV195" s="3"/>
      <c r="TMW195" s="3"/>
      <c r="TMX195" s="3"/>
      <c r="TMY195" s="3"/>
      <c r="TMZ195" s="3"/>
      <c r="TNA195" s="3"/>
      <c r="TNB195" s="3"/>
      <c r="TNC195" s="3"/>
      <c r="TND195" s="3"/>
      <c r="TNE195" s="3"/>
      <c r="TNF195" s="3"/>
      <c r="TNG195" s="3"/>
      <c r="TNH195" s="3"/>
      <c r="TNI195" s="3"/>
      <c r="TNJ195" s="3"/>
      <c r="TNK195" s="3"/>
      <c r="TNL195" s="3"/>
      <c r="TNM195" s="3"/>
      <c r="TNN195" s="3"/>
      <c r="TNO195" s="3"/>
      <c r="TNP195" s="3"/>
      <c r="TNQ195" s="3"/>
      <c r="TNR195" s="3"/>
      <c r="TNS195" s="3"/>
      <c r="TNT195" s="3"/>
      <c r="TNU195" s="3"/>
      <c r="TNV195" s="3"/>
      <c r="TNW195" s="3"/>
      <c r="TNX195" s="3"/>
      <c r="TNY195" s="3"/>
      <c r="TNZ195" s="3"/>
      <c r="TOA195" s="3"/>
      <c r="TOB195" s="3"/>
      <c r="TOC195" s="3"/>
      <c r="TOD195" s="3"/>
      <c r="TOE195" s="3"/>
      <c r="TOF195" s="3"/>
      <c r="TOG195" s="3"/>
      <c r="TOH195" s="3"/>
      <c r="TOI195" s="3"/>
      <c r="TOJ195" s="3"/>
      <c r="TOK195" s="3"/>
      <c r="TOL195" s="3"/>
      <c r="TOM195" s="3"/>
      <c r="TON195" s="3"/>
      <c r="TOO195" s="3"/>
      <c r="TOP195" s="3"/>
      <c r="TOQ195" s="3"/>
      <c r="TOR195" s="3"/>
      <c r="TOS195" s="3"/>
      <c r="TOT195" s="3"/>
      <c r="TOU195" s="3"/>
      <c r="TOV195" s="3"/>
      <c r="TOW195" s="3"/>
      <c r="TOX195" s="3"/>
      <c r="TOY195" s="3"/>
      <c r="TOZ195" s="3"/>
      <c r="TPA195" s="3"/>
      <c r="TPB195" s="3"/>
      <c r="TPC195" s="3"/>
      <c r="TPD195" s="3"/>
      <c r="TPE195" s="3"/>
      <c r="TPF195" s="3"/>
      <c r="TPG195" s="3"/>
      <c r="TPH195" s="3"/>
      <c r="TPI195" s="3"/>
      <c r="TPJ195" s="3"/>
      <c r="TPK195" s="3"/>
      <c r="TPL195" s="3"/>
      <c r="TPM195" s="3"/>
      <c r="TPN195" s="3"/>
      <c r="TPO195" s="3"/>
      <c r="TPP195" s="3"/>
      <c r="TPQ195" s="3"/>
      <c r="TPR195" s="3"/>
      <c r="TPS195" s="3"/>
      <c r="TPT195" s="3"/>
      <c r="TPU195" s="3"/>
      <c r="TPV195" s="3"/>
      <c r="TPW195" s="3"/>
      <c r="TPX195" s="3"/>
      <c r="TPY195" s="3"/>
      <c r="TPZ195" s="3"/>
      <c r="TQA195" s="3"/>
      <c r="TQB195" s="3"/>
      <c r="TQC195" s="3"/>
      <c r="TQD195" s="3"/>
      <c r="TQE195" s="3"/>
      <c r="TQF195" s="3"/>
      <c r="TQG195" s="3"/>
      <c r="TQH195" s="3"/>
      <c r="TQI195" s="3"/>
      <c r="TQJ195" s="3"/>
      <c r="TQK195" s="3"/>
      <c r="TQL195" s="3"/>
      <c r="TQM195" s="3"/>
      <c r="TQN195" s="3"/>
      <c r="TQO195" s="3"/>
      <c r="TQP195" s="3"/>
      <c r="TQQ195" s="3"/>
      <c r="TQR195" s="3"/>
      <c r="TQS195" s="3"/>
      <c r="TQT195" s="3"/>
      <c r="TQU195" s="3"/>
      <c r="TQV195" s="3"/>
      <c r="TQW195" s="3"/>
      <c r="TQX195" s="3"/>
      <c r="TQY195" s="3"/>
      <c r="TQZ195" s="3"/>
      <c r="TRA195" s="3"/>
      <c r="TRB195" s="3"/>
      <c r="TRC195" s="3"/>
      <c r="TRD195" s="3"/>
      <c r="TRE195" s="3"/>
      <c r="TRF195" s="3"/>
      <c r="TRG195" s="3"/>
      <c r="TRH195" s="3"/>
      <c r="TRI195" s="3"/>
      <c r="TRJ195" s="3"/>
      <c r="TRK195" s="3"/>
      <c r="TRL195" s="3"/>
      <c r="TRM195" s="3"/>
      <c r="TRN195" s="3"/>
      <c r="TRO195" s="3"/>
      <c r="TRP195" s="3"/>
      <c r="TRQ195" s="3"/>
      <c r="TRR195" s="3"/>
      <c r="TRS195" s="3"/>
      <c r="TRT195" s="3"/>
      <c r="TRU195" s="3"/>
      <c r="TRV195" s="3"/>
      <c r="TRW195" s="3"/>
      <c r="TRX195" s="3"/>
      <c r="TRY195" s="3"/>
      <c r="TRZ195" s="3"/>
      <c r="TSA195" s="3"/>
      <c r="TSB195" s="3"/>
      <c r="TSC195" s="3"/>
      <c r="TSD195" s="3"/>
      <c r="TSE195" s="3"/>
      <c r="TSF195" s="3"/>
      <c r="TSG195" s="3"/>
      <c r="TSH195" s="3"/>
      <c r="TSI195" s="3"/>
      <c r="TSJ195" s="3"/>
      <c r="TSK195" s="3"/>
      <c r="TSL195" s="3"/>
      <c r="TSM195" s="3"/>
      <c r="TSN195" s="3"/>
      <c r="TSO195" s="3"/>
      <c r="TSP195" s="3"/>
      <c r="TSQ195" s="3"/>
      <c r="TSR195" s="3"/>
      <c r="TSS195" s="3"/>
      <c r="TST195" s="3"/>
      <c r="TSU195" s="3"/>
      <c r="TSV195" s="3"/>
      <c r="TSW195" s="3"/>
      <c r="TSX195" s="3"/>
      <c r="TSY195" s="3"/>
      <c r="TSZ195" s="3"/>
      <c r="TTA195" s="3"/>
      <c r="TTB195" s="3"/>
      <c r="TTC195" s="3"/>
      <c r="TTD195" s="3"/>
      <c r="TTE195" s="3"/>
      <c r="TTF195" s="3"/>
      <c r="TTG195" s="3"/>
      <c r="TTH195" s="3"/>
      <c r="TTI195" s="3"/>
      <c r="TTJ195" s="3"/>
      <c r="TTK195" s="3"/>
      <c r="TTL195" s="3"/>
      <c r="TTM195" s="3"/>
      <c r="TTN195" s="3"/>
      <c r="TTO195" s="3"/>
      <c r="TTP195" s="3"/>
      <c r="TTQ195" s="3"/>
      <c r="TTR195" s="3"/>
      <c r="TTS195" s="3"/>
      <c r="TTT195" s="3"/>
      <c r="TTU195" s="3"/>
      <c r="TTV195" s="3"/>
      <c r="TTW195" s="3"/>
      <c r="TTX195" s="3"/>
      <c r="TTY195" s="3"/>
      <c r="TTZ195" s="3"/>
      <c r="TUA195" s="3"/>
      <c r="TUB195" s="3"/>
      <c r="TUC195" s="3"/>
      <c r="TUD195" s="3"/>
      <c r="TUE195" s="3"/>
      <c r="TUF195" s="3"/>
      <c r="TUG195" s="3"/>
      <c r="TUH195" s="3"/>
      <c r="TUI195" s="3"/>
      <c r="TUJ195" s="3"/>
      <c r="TUK195" s="3"/>
      <c r="TUL195" s="3"/>
      <c r="TUM195" s="3"/>
      <c r="TUN195" s="3"/>
      <c r="TUO195" s="3"/>
      <c r="TUP195" s="3"/>
      <c r="TUQ195" s="3"/>
      <c r="TUR195" s="3"/>
      <c r="TUS195" s="3"/>
      <c r="TUT195" s="3"/>
      <c r="TUU195" s="3"/>
      <c r="TUV195" s="3"/>
      <c r="TUW195" s="3"/>
      <c r="TUX195" s="3"/>
      <c r="TUY195" s="3"/>
      <c r="TUZ195" s="3"/>
      <c r="TVA195" s="3"/>
      <c r="TVB195" s="3"/>
      <c r="TVC195" s="3"/>
      <c r="TVD195" s="3"/>
      <c r="TVE195" s="3"/>
      <c r="TVF195" s="3"/>
      <c r="TVG195" s="3"/>
      <c r="TVH195" s="3"/>
      <c r="TVI195" s="3"/>
      <c r="TVJ195" s="3"/>
      <c r="TVK195" s="3"/>
      <c r="TVL195" s="3"/>
      <c r="TVM195" s="3"/>
      <c r="TVN195" s="3"/>
      <c r="TVO195" s="3"/>
      <c r="TVP195" s="3"/>
      <c r="TVQ195" s="3"/>
      <c r="TVR195" s="3"/>
      <c r="TVS195" s="3"/>
      <c r="TVT195" s="3"/>
      <c r="TVU195" s="3"/>
      <c r="TVV195" s="3"/>
      <c r="TVW195" s="3"/>
      <c r="TVX195" s="3"/>
      <c r="TVY195" s="3"/>
      <c r="TVZ195" s="3"/>
      <c r="TWA195" s="3"/>
      <c r="TWB195" s="3"/>
      <c r="TWC195" s="3"/>
      <c r="TWD195" s="3"/>
      <c r="TWE195" s="3"/>
      <c r="TWF195" s="3"/>
      <c r="TWG195" s="3"/>
      <c r="TWH195" s="3"/>
      <c r="TWI195" s="3"/>
      <c r="TWJ195" s="3"/>
      <c r="TWK195" s="3"/>
      <c r="TWL195" s="3"/>
      <c r="TWM195" s="3"/>
      <c r="TWN195" s="3"/>
      <c r="TWO195" s="3"/>
      <c r="TWP195" s="3"/>
      <c r="TWQ195" s="3"/>
      <c r="TWR195" s="3"/>
      <c r="TWS195" s="3"/>
      <c r="TWT195" s="3"/>
      <c r="TWU195" s="3"/>
      <c r="TWV195" s="3"/>
      <c r="TWW195" s="3"/>
      <c r="TWX195" s="3"/>
      <c r="TWY195" s="3"/>
      <c r="TWZ195" s="3"/>
      <c r="TXA195" s="3"/>
      <c r="TXB195" s="3"/>
      <c r="TXC195" s="3"/>
      <c r="TXD195" s="3"/>
      <c r="TXE195" s="3"/>
      <c r="TXF195" s="3"/>
      <c r="TXG195" s="3"/>
      <c r="TXH195" s="3"/>
      <c r="TXI195" s="3"/>
      <c r="TXJ195" s="3"/>
      <c r="TXK195" s="3"/>
      <c r="TXL195" s="3"/>
      <c r="TXM195" s="3"/>
      <c r="TXN195" s="3"/>
      <c r="TXO195" s="3"/>
      <c r="TXP195" s="3"/>
      <c r="TXQ195" s="3"/>
      <c r="TXR195" s="3"/>
      <c r="TXS195" s="3"/>
      <c r="TXT195" s="3"/>
      <c r="TXU195" s="3"/>
      <c r="TXV195" s="3"/>
      <c r="TXW195" s="3"/>
      <c r="TXX195" s="3"/>
      <c r="TXY195" s="3"/>
      <c r="TXZ195" s="3"/>
      <c r="TYA195" s="3"/>
      <c r="TYB195" s="3"/>
      <c r="TYC195" s="3"/>
      <c r="TYD195" s="3"/>
      <c r="TYE195" s="3"/>
      <c r="TYF195" s="3"/>
      <c r="TYG195" s="3"/>
      <c r="TYH195" s="3"/>
      <c r="TYI195" s="3"/>
      <c r="TYJ195" s="3"/>
      <c r="TYK195" s="3"/>
      <c r="TYL195" s="3"/>
      <c r="TYM195" s="3"/>
      <c r="TYN195" s="3"/>
      <c r="TYO195" s="3"/>
      <c r="TYP195" s="3"/>
      <c r="TYQ195" s="3"/>
      <c r="TYR195" s="3"/>
      <c r="TYS195" s="3"/>
      <c r="TYT195" s="3"/>
      <c r="TYU195" s="3"/>
      <c r="TYV195" s="3"/>
      <c r="TYW195" s="3"/>
      <c r="TYX195" s="3"/>
      <c r="TYY195" s="3"/>
      <c r="TYZ195" s="3"/>
      <c r="TZA195" s="3"/>
      <c r="TZB195" s="3"/>
      <c r="TZC195" s="3"/>
      <c r="TZD195" s="3"/>
      <c r="TZE195" s="3"/>
      <c r="TZF195" s="3"/>
      <c r="TZG195" s="3"/>
      <c r="TZH195" s="3"/>
      <c r="TZI195" s="3"/>
      <c r="TZJ195" s="3"/>
      <c r="TZK195" s="3"/>
      <c r="TZL195" s="3"/>
      <c r="TZM195" s="3"/>
      <c r="TZN195" s="3"/>
      <c r="TZO195" s="3"/>
      <c r="TZP195" s="3"/>
      <c r="TZQ195" s="3"/>
      <c r="TZR195" s="3"/>
      <c r="TZS195" s="3"/>
      <c r="TZT195" s="3"/>
      <c r="TZU195" s="3"/>
      <c r="TZV195" s="3"/>
      <c r="TZW195" s="3"/>
      <c r="TZX195" s="3"/>
      <c r="TZY195" s="3"/>
      <c r="TZZ195" s="3"/>
      <c r="UAA195" s="3"/>
      <c r="UAB195" s="3"/>
      <c r="UAC195" s="3"/>
      <c r="UAD195" s="3"/>
      <c r="UAE195" s="3"/>
      <c r="UAF195" s="3"/>
      <c r="UAG195" s="3"/>
      <c r="UAH195" s="3"/>
      <c r="UAI195" s="3"/>
      <c r="UAJ195" s="3"/>
      <c r="UAK195" s="3"/>
      <c r="UAL195" s="3"/>
      <c r="UAM195" s="3"/>
      <c r="UAN195" s="3"/>
      <c r="UAO195" s="3"/>
      <c r="UAP195" s="3"/>
      <c r="UAQ195" s="3"/>
      <c r="UAR195" s="3"/>
      <c r="UAS195" s="3"/>
      <c r="UAT195" s="3"/>
      <c r="UAU195" s="3"/>
      <c r="UAV195" s="3"/>
      <c r="UAW195" s="3"/>
      <c r="UAX195" s="3"/>
      <c r="UAY195" s="3"/>
      <c r="UAZ195" s="3"/>
      <c r="UBA195" s="3"/>
      <c r="UBB195" s="3"/>
      <c r="UBC195" s="3"/>
      <c r="UBD195" s="3"/>
      <c r="UBE195" s="3"/>
      <c r="UBF195" s="3"/>
      <c r="UBG195" s="3"/>
      <c r="UBH195" s="3"/>
      <c r="UBI195" s="3"/>
      <c r="UBJ195" s="3"/>
      <c r="UBK195" s="3"/>
      <c r="UBL195" s="3"/>
      <c r="UBM195" s="3"/>
      <c r="UBN195" s="3"/>
      <c r="UBO195" s="3"/>
      <c r="UBP195" s="3"/>
      <c r="UBQ195" s="3"/>
      <c r="UBR195" s="3"/>
      <c r="UBS195" s="3"/>
      <c r="UBT195" s="3"/>
      <c r="UBU195" s="3"/>
      <c r="UBV195" s="3"/>
      <c r="UBW195" s="3"/>
      <c r="UBX195" s="3"/>
      <c r="UBY195" s="3"/>
      <c r="UBZ195" s="3"/>
      <c r="UCA195" s="3"/>
      <c r="UCB195" s="3"/>
      <c r="UCC195" s="3"/>
      <c r="UCD195" s="3"/>
      <c r="UCE195" s="3"/>
      <c r="UCF195" s="3"/>
      <c r="UCG195" s="3"/>
      <c r="UCH195" s="3"/>
      <c r="UCI195" s="3"/>
      <c r="UCJ195" s="3"/>
      <c r="UCK195" s="3"/>
      <c r="UCL195" s="3"/>
      <c r="UCM195" s="3"/>
      <c r="UCN195" s="3"/>
      <c r="UCO195" s="3"/>
      <c r="UCP195" s="3"/>
      <c r="UCQ195" s="3"/>
      <c r="UCR195" s="3"/>
      <c r="UCS195" s="3"/>
      <c r="UCT195" s="3"/>
      <c r="UCU195" s="3"/>
      <c r="UCV195" s="3"/>
      <c r="UCW195" s="3"/>
      <c r="UCX195" s="3"/>
      <c r="UCY195" s="3"/>
      <c r="UCZ195" s="3"/>
      <c r="UDA195" s="3"/>
      <c r="UDB195" s="3"/>
      <c r="UDC195" s="3"/>
      <c r="UDD195" s="3"/>
      <c r="UDE195" s="3"/>
      <c r="UDF195" s="3"/>
      <c r="UDG195" s="3"/>
      <c r="UDH195" s="3"/>
      <c r="UDI195" s="3"/>
      <c r="UDJ195" s="3"/>
      <c r="UDK195" s="3"/>
      <c r="UDL195" s="3"/>
      <c r="UDM195" s="3"/>
      <c r="UDN195" s="3"/>
      <c r="UDO195" s="3"/>
      <c r="UDP195" s="3"/>
      <c r="UDQ195" s="3"/>
      <c r="UDR195" s="3"/>
      <c r="UDS195" s="3"/>
      <c r="UDT195" s="3"/>
      <c r="UDU195" s="3"/>
      <c r="UDV195" s="3"/>
      <c r="UDW195" s="3"/>
      <c r="UDX195" s="3"/>
      <c r="UDY195" s="3"/>
      <c r="UDZ195" s="3"/>
      <c r="UEA195" s="3"/>
      <c r="UEB195" s="3"/>
      <c r="UEC195" s="3"/>
      <c r="UED195" s="3"/>
      <c r="UEE195" s="3"/>
      <c r="UEF195" s="3"/>
      <c r="UEG195" s="3"/>
      <c r="UEH195" s="3"/>
      <c r="UEI195" s="3"/>
      <c r="UEJ195" s="3"/>
      <c r="UEK195" s="3"/>
      <c r="UEL195" s="3"/>
      <c r="UEM195" s="3"/>
      <c r="UEN195" s="3"/>
      <c r="UEO195" s="3"/>
      <c r="UEP195" s="3"/>
      <c r="UEQ195" s="3"/>
      <c r="UER195" s="3"/>
      <c r="UES195" s="3"/>
      <c r="UET195" s="3"/>
      <c r="UEU195" s="3"/>
      <c r="UEV195" s="3"/>
      <c r="UEW195" s="3"/>
      <c r="UEX195" s="3"/>
      <c r="UEY195" s="3"/>
      <c r="UEZ195" s="3"/>
      <c r="UFA195" s="3"/>
      <c r="UFB195" s="3"/>
      <c r="UFC195" s="3"/>
      <c r="UFD195" s="3"/>
      <c r="UFE195" s="3"/>
      <c r="UFF195" s="3"/>
      <c r="UFG195" s="3"/>
      <c r="UFH195" s="3"/>
      <c r="UFI195" s="3"/>
      <c r="UFJ195" s="3"/>
      <c r="UFK195" s="3"/>
      <c r="UFL195" s="3"/>
      <c r="UFM195" s="3"/>
      <c r="UFN195" s="3"/>
      <c r="UFO195" s="3"/>
      <c r="UFP195" s="3"/>
      <c r="UFQ195" s="3"/>
      <c r="UFR195" s="3"/>
      <c r="UFS195" s="3"/>
      <c r="UFT195" s="3"/>
      <c r="UFU195" s="3"/>
      <c r="UFV195" s="3"/>
      <c r="UFW195" s="3"/>
      <c r="UFX195" s="3"/>
      <c r="UFY195" s="3"/>
      <c r="UFZ195" s="3"/>
      <c r="UGA195" s="3"/>
      <c r="UGB195" s="3"/>
      <c r="UGC195" s="3"/>
      <c r="UGD195" s="3"/>
      <c r="UGE195" s="3"/>
      <c r="UGF195" s="3"/>
      <c r="UGG195" s="3"/>
      <c r="UGH195" s="3"/>
      <c r="UGI195" s="3"/>
      <c r="UGJ195" s="3"/>
      <c r="UGK195" s="3"/>
      <c r="UGL195" s="3"/>
      <c r="UGM195" s="3"/>
      <c r="UGN195" s="3"/>
      <c r="UGO195" s="3"/>
      <c r="UGP195" s="3"/>
      <c r="UGQ195" s="3"/>
      <c r="UGR195" s="3"/>
      <c r="UGS195" s="3"/>
      <c r="UGT195" s="3"/>
      <c r="UGU195" s="3"/>
      <c r="UGV195" s="3"/>
      <c r="UGW195" s="3"/>
      <c r="UGX195" s="3"/>
      <c r="UGY195" s="3"/>
      <c r="UGZ195" s="3"/>
      <c r="UHA195" s="3"/>
      <c r="UHB195" s="3"/>
      <c r="UHC195" s="3"/>
      <c r="UHD195" s="3"/>
      <c r="UHE195" s="3"/>
      <c r="UHF195" s="3"/>
      <c r="UHG195" s="3"/>
      <c r="UHH195" s="3"/>
      <c r="UHI195" s="3"/>
      <c r="UHJ195" s="3"/>
      <c r="UHK195" s="3"/>
      <c r="UHL195" s="3"/>
      <c r="UHM195" s="3"/>
      <c r="UHN195" s="3"/>
      <c r="UHO195" s="3"/>
      <c r="UHP195" s="3"/>
      <c r="UHQ195" s="3"/>
      <c r="UHR195" s="3"/>
      <c r="UHS195" s="3"/>
      <c r="UHT195" s="3"/>
      <c r="UHU195" s="3"/>
      <c r="UHV195" s="3"/>
      <c r="UHW195" s="3"/>
      <c r="UHX195" s="3"/>
      <c r="UHY195" s="3"/>
      <c r="UHZ195" s="3"/>
      <c r="UIA195" s="3"/>
      <c r="UIB195" s="3"/>
      <c r="UIC195" s="3"/>
      <c r="UID195" s="3"/>
      <c r="UIE195" s="3"/>
      <c r="UIF195" s="3"/>
      <c r="UIG195" s="3"/>
      <c r="UIH195" s="3"/>
      <c r="UII195" s="3"/>
      <c r="UIJ195" s="3"/>
      <c r="UIK195" s="3"/>
      <c r="UIL195" s="3"/>
      <c r="UIM195" s="3"/>
      <c r="UIN195" s="3"/>
      <c r="UIO195" s="3"/>
      <c r="UIP195" s="3"/>
      <c r="UIQ195" s="3"/>
      <c r="UIR195" s="3"/>
      <c r="UIS195" s="3"/>
      <c r="UIT195" s="3"/>
      <c r="UIU195" s="3"/>
      <c r="UIV195" s="3"/>
      <c r="UIW195" s="3"/>
      <c r="UIX195" s="3"/>
      <c r="UIY195" s="3"/>
      <c r="UIZ195" s="3"/>
      <c r="UJA195" s="3"/>
      <c r="UJB195" s="3"/>
      <c r="UJC195" s="3"/>
      <c r="UJD195" s="3"/>
      <c r="UJE195" s="3"/>
      <c r="UJF195" s="3"/>
      <c r="UJG195" s="3"/>
      <c r="UJH195" s="3"/>
      <c r="UJI195" s="3"/>
      <c r="UJJ195" s="3"/>
      <c r="UJK195" s="3"/>
      <c r="UJL195" s="3"/>
      <c r="UJM195" s="3"/>
      <c r="UJN195" s="3"/>
      <c r="UJO195" s="3"/>
      <c r="UJP195" s="3"/>
      <c r="UJQ195" s="3"/>
      <c r="UJR195" s="3"/>
      <c r="UJS195" s="3"/>
      <c r="UJT195" s="3"/>
      <c r="UJU195" s="3"/>
      <c r="UJV195" s="3"/>
      <c r="UJW195" s="3"/>
      <c r="UJX195" s="3"/>
      <c r="UJY195" s="3"/>
      <c r="UJZ195" s="3"/>
      <c r="UKA195" s="3"/>
      <c r="UKB195" s="3"/>
      <c r="UKC195" s="3"/>
      <c r="UKD195" s="3"/>
      <c r="UKE195" s="3"/>
      <c r="UKF195" s="3"/>
      <c r="UKG195" s="3"/>
      <c r="UKH195" s="3"/>
      <c r="UKI195" s="3"/>
      <c r="UKJ195" s="3"/>
      <c r="UKK195" s="3"/>
      <c r="UKL195" s="3"/>
      <c r="UKM195" s="3"/>
      <c r="UKN195" s="3"/>
      <c r="UKO195" s="3"/>
      <c r="UKP195" s="3"/>
      <c r="UKQ195" s="3"/>
      <c r="UKR195" s="3"/>
      <c r="UKS195" s="3"/>
      <c r="UKT195" s="3"/>
      <c r="UKU195" s="3"/>
      <c r="UKV195" s="3"/>
      <c r="UKW195" s="3"/>
      <c r="UKX195" s="3"/>
      <c r="UKY195" s="3"/>
      <c r="UKZ195" s="3"/>
      <c r="ULA195" s="3"/>
      <c r="ULB195" s="3"/>
      <c r="ULC195" s="3"/>
      <c r="ULD195" s="3"/>
      <c r="ULE195" s="3"/>
      <c r="ULF195" s="3"/>
      <c r="ULG195" s="3"/>
      <c r="ULH195" s="3"/>
      <c r="ULI195" s="3"/>
      <c r="ULJ195" s="3"/>
      <c r="ULK195" s="3"/>
      <c r="ULL195" s="3"/>
      <c r="ULM195" s="3"/>
      <c r="ULN195" s="3"/>
      <c r="ULO195" s="3"/>
      <c r="ULP195" s="3"/>
      <c r="ULQ195" s="3"/>
      <c r="ULR195" s="3"/>
      <c r="ULS195" s="3"/>
      <c r="ULT195" s="3"/>
      <c r="ULU195" s="3"/>
      <c r="ULV195" s="3"/>
      <c r="ULW195" s="3"/>
      <c r="ULX195" s="3"/>
      <c r="ULY195" s="3"/>
      <c r="ULZ195" s="3"/>
      <c r="UMA195" s="3"/>
      <c r="UMB195" s="3"/>
      <c r="UMC195" s="3"/>
      <c r="UMD195" s="3"/>
      <c r="UME195" s="3"/>
      <c r="UMF195" s="3"/>
      <c r="UMG195" s="3"/>
      <c r="UMH195" s="3"/>
      <c r="UMI195" s="3"/>
      <c r="UMJ195" s="3"/>
      <c r="UMK195" s="3"/>
      <c r="UML195" s="3"/>
      <c r="UMM195" s="3"/>
      <c r="UMN195" s="3"/>
      <c r="UMO195" s="3"/>
      <c r="UMP195" s="3"/>
      <c r="UMQ195" s="3"/>
      <c r="UMR195" s="3"/>
      <c r="UMS195" s="3"/>
      <c r="UMT195" s="3"/>
      <c r="UMU195" s="3"/>
      <c r="UMV195" s="3"/>
      <c r="UMW195" s="3"/>
      <c r="UMX195" s="3"/>
      <c r="UMY195" s="3"/>
      <c r="UMZ195" s="3"/>
      <c r="UNA195" s="3"/>
      <c r="UNB195" s="3"/>
      <c r="UNC195" s="3"/>
      <c r="UND195" s="3"/>
      <c r="UNE195" s="3"/>
      <c r="UNF195" s="3"/>
      <c r="UNG195" s="3"/>
      <c r="UNH195" s="3"/>
      <c r="UNI195" s="3"/>
      <c r="UNJ195" s="3"/>
      <c r="UNK195" s="3"/>
      <c r="UNL195" s="3"/>
      <c r="UNM195" s="3"/>
      <c r="UNN195" s="3"/>
      <c r="UNO195" s="3"/>
      <c r="UNP195" s="3"/>
      <c r="UNQ195" s="3"/>
      <c r="UNR195" s="3"/>
      <c r="UNS195" s="3"/>
      <c r="UNT195" s="3"/>
      <c r="UNU195" s="3"/>
      <c r="UNV195" s="3"/>
      <c r="UNW195" s="3"/>
      <c r="UNX195" s="3"/>
      <c r="UNY195" s="3"/>
      <c r="UNZ195" s="3"/>
      <c r="UOA195" s="3"/>
      <c r="UOB195" s="3"/>
      <c r="UOC195" s="3"/>
      <c r="UOD195" s="3"/>
      <c r="UOE195" s="3"/>
      <c r="UOF195" s="3"/>
      <c r="UOG195" s="3"/>
      <c r="UOH195" s="3"/>
      <c r="UOI195" s="3"/>
      <c r="UOJ195" s="3"/>
      <c r="UOK195" s="3"/>
      <c r="UOL195" s="3"/>
      <c r="UOM195" s="3"/>
      <c r="UON195" s="3"/>
      <c r="UOO195" s="3"/>
      <c r="UOP195" s="3"/>
      <c r="UOQ195" s="3"/>
      <c r="UOR195" s="3"/>
      <c r="UOS195" s="3"/>
      <c r="UOT195" s="3"/>
      <c r="UOU195" s="3"/>
      <c r="UOV195" s="3"/>
      <c r="UOW195" s="3"/>
      <c r="UOX195" s="3"/>
      <c r="UOY195" s="3"/>
      <c r="UOZ195" s="3"/>
      <c r="UPA195" s="3"/>
      <c r="UPB195" s="3"/>
      <c r="UPC195" s="3"/>
      <c r="UPD195" s="3"/>
      <c r="UPE195" s="3"/>
      <c r="UPF195" s="3"/>
      <c r="UPG195" s="3"/>
      <c r="UPH195" s="3"/>
      <c r="UPI195" s="3"/>
      <c r="UPJ195" s="3"/>
      <c r="UPK195" s="3"/>
      <c r="UPL195" s="3"/>
      <c r="UPM195" s="3"/>
      <c r="UPN195" s="3"/>
      <c r="UPO195" s="3"/>
      <c r="UPP195" s="3"/>
      <c r="UPQ195" s="3"/>
      <c r="UPR195" s="3"/>
      <c r="UPS195" s="3"/>
      <c r="UPT195" s="3"/>
      <c r="UPU195" s="3"/>
      <c r="UPV195" s="3"/>
      <c r="UPW195" s="3"/>
      <c r="UPX195" s="3"/>
      <c r="UPY195" s="3"/>
      <c r="UPZ195" s="3"/>
      <c r="UQA195" s="3"/>
      <c r="UQB195" s="3"/>
      <c r="UQC195" s="3"/>
      <c r="UQD195" s="3"/>
      <c r="UQE195" s="3"/>
      <c r="UQF195" s="3"/>
      <c r="UQG195" s="3"/>
      <c r="UQH195" s="3"/>
      <c r="UQI195" s="3"/>
      <c r="UQJ195" s="3"/>
      <c r="UQK195" s="3"/>
      <c r="UQL195" s="3"/>
      <c r="UQM195" s="3"/>
      <c r="UQN195" s="3"/>
      <c r="UQO195" s="3"/>
      <c r="UQP195" s="3"/>
      <c r="UQQ195" s="3"/>
      <c r="UQR195" s="3"/>
      <c r="UQS195" s="3"/>
      <c r="UQT195" s="3"/>
      <c r="UQU195" s="3"/>
      <c r="UQV195" s="3"/>
      <c r="UQW195" s="3"/>
      <c r="UQX195" s="3"/>
      <c r="UQY195" s="3"/>
      <c r="UQZ195" s="3"/>
      <c r="URA195" s="3"/>
      <c r="URB195" s="3"/>
      <c r="URC195" s="3"/>
      <c r="URD195" s="3"/>
      <c r="URE195" s="3"/>
      <c r="URF195" s="3"/>
      <c r="URG195" s="3"/>
      <c r="URH195" s="3"/>
      <c r="URI195" s="3"/>
      <c r="URJ195" s="3"/>
      <c r="URK195" s="3"/>
      <c r="URL195" s="3"/>
      <c r="URM195" s="3"/>
      <c r="URN195" s="3"/>
      <c r="URO195" s="3"/>
      <c r="URP195" s="3"/>
      <c r="URQ195" s="3"/>
      <c r="URR195" s="3"/>
      <c r="URS195" s="3"/>
      <c r="URT195" s="3"/>
      <c r="URU195" s="3"/>
      <c r="URV195" s="3"/>
      <c r="URW195" s="3"/>
      <c r="URX195" s="3"/>
      <c r="URY195" s="3"/>
      <c r="URZ195" s="3"/>
      <c r="USA195" s="3"/>
      <c r="USB195" s="3"/>
      <c r="USC195" s="3"/>
      <c r="USD195" s="3"/>
      <c r="USE195" s="3"/>
      <c r="USF195" s="3"/>
      <c r="USG195" s="3"/>
      <c r="USH195" s="3"/>
      <c r="USI195" s="3"/>
      <c r="USJ195" s="3"/>
      <c r="USK195" s="3"/>
      <c r="USL195" s="3"/>
      <c r="USM195" s="3"/>
      <c r="USN195" s="3"/>
      <c r="USO195" s="3"/>
      <c r="USP195" s="3"/>
      <c r="USQ195" s="3"/>
      <c r="USR195" s="3"/>
      <c r="USS195" s="3"/>
      <c r="UST195" s="3"/>
      <c r="USU195" s="3"/>
      <c r="USV195" s="3"/>
      <c r="USW195" s="3"/>
      <c r="USX195" s="3"/>
      <c r="USY195" s="3"/>
      <c r="USZ195" s="3"/>
      <c r="UTA195" s="3"/>
      <c r="UTB195" s="3"/>
      <c r="UTC195" s="3"/>
      <c r="UTD195" s="3"/>
      <c r="UTE195" s="3"/>
      <c r="UTF195" s="3"/>
      <c r="UTG195" s="3"/>
      <c r="UTH195" s="3"/>
      <c r="UTI195" s="3"/>
      <c r="UTJ195" s="3"/>
      <c r="UTK195" s="3"/>
      <c r="UTL195" s="3"/>
      <c r="UTM195" s="3"/>
      <c r="UTN195" s="3"/>
      <c r="UTO195" s="3"/>
      <c r="UTP195" s="3"/>
      <c r="UTQ195" s="3"/>
      <c r="UTR195" s="3"/>
      <c r="UTS195" s="3"/>
      <c r="UTT195" s="3"/>
      <c r="UTU195" s="3"/>
      <c r="UTV195" s="3"/>
      <c r="UTW195" s="3"/>
      <c r="UTX195" s="3"/>
      <c r="UTY195" s="3"/>
      <c r="UTZ195" s="3"/>
      <c r="UUA195" s="3"/>
      <c r="UUB195" s="3"/>
      <c r="UUC195" s="3"/>
      <c r="UUD195" s="3"/>
      <c r="UUE195" s="3"/>
      <c r="UUF195" s="3"/>
      <c r="UUG195" s="3"/>
      <c r="UUH195" s="3"/>
      <c r="UUI195" s="3"/>
      <c r="UUJ195" s="3"/>
      <c r="UUK195" s="3"/>
      <c r="UUL195" s="3"/>
      <c r="UUM195" s="3"/>
      <c r="UUN195" s="3"/>
      <c r="UUO195" s="3"/>
      <c r="UUP195" s="3"/>
      <c r="UUQ195" s="3"/>
      <c r="UUR195" s="3"/>
      <c r="UUS195" s="3"/>
      <c r="UUT195" s="3"/>
      <c r="UUU195" s="3"/>
      <c r="UUV195" s="3"/>
      <c r="UUW195" s="3"/>
      <c r="UUX195" s="3"/>
      <c r="UUY195" s="3"/>
      <c r="UUZ195" s="3"/>
      <c r="UVA195" s="3"/>
      <c r="UVB195" s="3"/>
      <c r="UVC195" s="3"/>
      <c r="UVD195" s="3"/>
      <c r="UVE195" s="3"/>
      <c r="UVF195" s="3"/>
      <c r="UVG195" s="3"/>
      <c r="UVH195" s="3"/>
      <c r="UVI195" s="3"/>
      <c r="UVJ195" s="3"/>
      <c r="UVK195" s="3"/>
      <c r="UVL195" s="3"/>
      <c r="UVM195" s="3"/>
      <c r="UVN195" s="3"/>
      <c r="UVO195" s="3"/>
      <c r="UVP195" s="3"/>
      <c r="UVQ195" s="3"/>
      <c r="UVR195" s="3"/>
      <c r="UVS195" s="3"/>
      <c r="UVT195" s="3"/>
      <c r="UVU195" s="3"/>
      <c r="UVV195" s="3"/>
      <c r="UVW195" s="3"/>
      <c r="UVX195" s="3"/>
      <c r="UVY195" s="3"/>
      <c r="UVZ195" s="3"/>
      <c r="UWA195" s="3"/>
      <c r="UWB195" s="3"/>
      <c r="UWC195" s="3"/>
      <c r="UWD195" s="3"/>
      <c r="UWE195" s="3"/>
      <c r="UWF195" s="3"/>
      <c r="UWG195" s="3"/>
      <c r="UWH195" s="3"/>
      <c r="UWI195" s="3"/>
      <c r="UWJ195" s="3"/>
      <c r="UWK195" s="3"/>
      <c r="UWL195" s="3"/>
      <c r="UWM195" s="3"/>
      <c r="UWN195" s="3"/>
      <c r="UWO195" s="3"/>
      <c r="UWP195" s="3"/>
      <c r="UWQ195" s="3"/>
      <c r="UWR195" s="3"/>
      <c r="UWS195" s="3"/>
      <c r="UWT195" s="3"/>
      <c r="UWU195" s="3"/>
      <c r="UWV195" s="3"/>
      <c r="UWW195" s="3"/>
      <c r="UWX195" s="3"/>
      <c r="UWY195" s="3"/>
      <c r="UWZ195" s="3"/>
      <c r="UXA195" s="3"/>
      <c r="UXB195" s="3"/>
      <c r="UXC195" s="3"/>
      <c r="UXD195" s="3"/>
      <c r="UXE195" s="3"/>
      <c r="UXF195" s="3"/>
      <c r="UXG195" s="3"/>
      <c r="UXH195" s="3"/>
      <c r="UXI195" s="3"/>
      <c r="UXJ195" s="3"/>
      <c r="UXK195" s="3"/>
      <c r="UXL195" s="3"/>
      <c r="UXM195" s="3"/>
      <c r="UXN195" s="3"/>
      <c r="UXO195" s="3"/>
      <c r="UXP195" s="3"/>
      <c r="UXQ195" s="3"/>
      <c r="UXR195" s="3"/>
      <c r="UXS195" s="3"/>
      <c r="UXT195" s="3"/>
      <c r="UXU195" s="3"/>
      <c r="UXV195" s="3"/>
      <c r="UXW195" s="3"/>
      <c r="UXX195" s="3"/>
      <c r="UXY195" s="3"/>
      <c r="UXZ195" s="3"/>
      <c r="UYA195" s="3"/>
      <c r="UYB195" s="3"/>
      <c r="UYC195" s="3"/>
      <c r="UYD195" s="3"/>
      <c r="UYE195" s="3"/>
      <c r="UYF195" s="3"/>
      <c r="UYG195" s="3"/>
      <c r="UYH195" s="3"/>
      <c r="UYI195" s="3"/>
      <c r="UYJ195" s="3"/>
      <c r="UYK195" s="3"/>
      <c r="UYL195" s="3"/>
      <c r="UYM195" s="3"/>
      <c r="UYN195" s="3"/>
      <c r="UYO195" s="3"/>
      <c r="UYP195" s="3"/>
      <c r="UYQ195" s="3"/>
      <c r="UYR195" s="3"/>
      <c r="UYS195" s="3"/>
      <c r="UYT195" s="3"/>
      <c r="UYU195" s="3"/>
      <c r="UYV195" s="3"/>
      <c r="UYW195" s="3"/>
      <c r="UYX195" s="3"/>
      <c r="UYY195" s="3"/>
      <c r="UYZ195" s="3"/>
      <c r="UZA195" s="3"/>
      <c r="UZB195" s="3"/>
      <c r="UZC195" s="3"/>
      <c r="UZD195" s="3"/>
      <c r="UZE195" s="3"/>
      <c r="UZF195" s="3"/>
      <c r="UZG195" s="3"/>
      <c r="UZH195" s="3"/>
      <c r="UZI195" s="3"/>
      <c r="UZJ195" s="3"/>
      <c r="UZK195" s="3"/>
      <c r="UZL195" s="3"/>
      <c r="UZM195" s="3"/>
      <c r="UZN195" s="3"/>
      <c r="UZO195" s="3"/>
      <c r="UZP195" s="3"/>
      <c r="UZQ195" s="3"/>
      <c r="UZR195" s="3"/>
      <c r="UZS195" s="3"/>
      <c r="UZT195" s="3"/>
      <c r="UZU195" s="3"/>
      <c r="UZV195" s="3"/>
      <c r="UZW195" s="3"/>
      <c r="UZX195" s="3"/>
      <c r="UZY195" s="3"/>
      <c r="UZZ195" s="3"/>
      <c r="VAA195" s="3"/>
      <c r="VAB195" s="3"/>
      <c r="VAC195" s="3"/>
      <c r="VAD195" s="3"/>
      <c r="VAE195" s="3"/>
      <c r="VAF195" s="3"/>
      <c r="VAG195" s="3"/>
      <c r="VAH195" s="3"/>
      <c r="VAI195" s="3"/>
      <c r="VAJ195" s="3"/>
      <c r="VAK195" s="3"/>
      <c r="VAL195" s="3"/>
      <c r="VAM195" s="3"/>
      <c r="VAN195" s="3"/>
      <c r="VAO195" s="3"/>
      <c r="VAP195" s="3"/>
      <c r="VAQ195" s="3"/>
      <c r="VAR195" s="3"/>
      <c r="VAS195" s="3"/>
      <c r="VAT195" s="3"/>
      <c r="VAU195" s="3"/>
      <c r="VAV195" s="3"/>
      <c r="VAW195" s="3"/>
      <c r="VAX195" s="3"/>
      <c r="VAY195" s="3"/>
      <c r="VAZ195" s="3"/>
      <c r="VBA195" s="3"/>
      <c r="VBB195" s="3"/>
      <c r="VBC195" s="3"/>
      <c r="VBD195" s="3"/>
      <c r="VBE195" s="3"/>
      <c r="VBF195" s="3"/>
      <c r="VBG195" s="3"/>
      <c r="VBH195" s="3"/>
      <c r="VBI195" s="3"/>
      <c r="VBJ195" s="3"/>
      <c r="VBK195" s="3"/>
      <c r="VBL195" s="3"/>
      <c r="VBM195" s="3"/>
      <c r="VBN195" s="3"/>
      <c r="VBO195" s="3"/>
      <c r="VBP195" s="3"/>
      <c r="VBQ195" s="3"/>
      <c r="VBR195" s="3"/>
      <c r="VBS195" s="3"/>
      <c r="VBT195" s="3"/>
      <c r="VBU195" s="3"/>
      <c r="VBV195" s="3"/>
      <c r="VBW195" s="3"/>
      <c r="VBX195" s="3"/>
      <c r="VBY195" s="3"/>
      <c r="VBZ195" s="3"/>
      <c r="VCA195" s="3"/>
      <c r="VCB195" s="3"/>
      <c r="VCC195" s="3"/>
      <c r="VCD195" s="3"/>
      <c r="VCE195" s="3"/>
      <c r="VCF195" s="3"/>
      <c r="VCG195" s="3"/>
      <c r="VCH195" s="3"/>
      <c r="VCI195" s="3"/>
      <c r="VCJ195" s="3"/>
      <c r="VCK195" s="3"/>
      <c r="VCL195" s="3"/>
      <c r="VCM195" s="3"/>
      <c r="VCN195" s="3"/>
      <c r="VCO195" s="3"/>
      <c r="VCP195" s="3"/>
      <c r="VCQ195" s="3"/>
      <c r="VCR195" s="3"/>
      <c r="VCS195" s="3"/>
      <c r="VCT195" s="3"/>
      <c r="VCU195" s="3"/>
      <c r="VCV195" s="3"/>
      <c r="VCW195" s="3"/>
      <c r="VCX195" s="3"/>
      <c r="VCY195" s="3"/>
      <c r="VCZ195" s="3"/>
      <c r="VDA195" s="3"/>
      <c r="VDB195" s="3"/>
      <c r="VDC195" s="3"/>
      <c r="VDD195" s="3"/>
      <c r="VDE195" s="3"/>
      <c r="VDF195" s="3"/>
      <c r="VDG195" s="3"/>
      <c r="VDH195" s="3"/>
      <c r="VDI195" s="3"/>
      <c r="VDJ195" s="3"/>
      <c r="VDK195" s="3"/>
      <c r="VDL195" s="3"/>
      <c r="VDM195" s="3"/>
      <c r="VDN195" s="3"/>
      <c r="VDO195" s="3"/>
      <c r="VDP195" s="3"/>
      <c r="VDQ195" s="3"/>
      <c r="VDR195" s="3"/>
      <c r="VDS195" s="3"/>
      <c r="VDT195" s="3"/>
      <c r="VDU195" s="3"/>
      <c r="VDV195" s="3"/>
      <c r="VDW195" s="3"/>
      <c r="VDX195" s="3"/>
      <c r="VDY195" s="3"/>
      <c r="VDZ195" s="3"/>
      <c r="VEA195" s="3"/>
      <c r="VEB195" s="3"/>
      <c r="VEC195" s="3"/>
      <c r="VED195" s="3"/>
      <c r="VEE195" s="3"/>
      <c r="VEF195" s="3"/>
      <c r="VEG195" s="3"/>
      <c r="VEH195" s="3"/>
      <c r="VEI195" s="3"/>
      <c r="VEJ195" s="3"/>
      <c r="VEK195" s="3"/>
      <c r="VEL195" s="3"/>
      <c r="VEM195" s="3"/>
      <c r="VEN195" s="3"/>
      <c r="VEO195" s="3"/>
      <c r="VEP195" s="3"/>
      <c r="VEQ195" s="3"/>
      <c r="VER195" s="3"/>
      <c r="VES195" s="3"/>
      <c r="VET195" s="3"/>
      <c r="VEU195" s="3"/>
      <c r="VEV195" s="3"/>
      <c r="VEW195" s="3"/>
      <c r="VEX195" s="3"/>
      <c r="VEY195" s="3"/>
      <c r="VEZ195" s="3"/>
      <c r="VFA195" s="3"/>
      <c r="VFB195" s="3"/>
      <c r="VFC195" s="3"/>
      <c r="VFD195" s="3"/>
      <c r="VFE195" s="3"/>
      <c r="VFF195" s="3"/>
      <c r="VFG195" s="3"/>
      <c r="VFH195" s="3"/>
      <c r="VFI195" s="3"/>
      <c r="VFJ195" s="3"/>
      <c r="VFK195" s="3"/>
      <c r="VFL195" s="3"/>
      <c r="VFM195" s="3"/>
      <c r="VFN195" s="3"/>
      <c r="VFO195" s="3"/>
      <c r="VFP195" s="3"/>
      <c r="VFQ195" s="3"/>
      <c r="VFR195" s="3"/>
      <c r="VFS195" s="3"/>
      <c r="VFT195" s="3"/>
      <c r="VFU195" s="3"/>
      <c r="VFV195" s="3"/>
      <c r="VFW195" s="3"/>
      <c r="VFX195" s="3"/>
      <c r="VFY195" s="3"/>
      <c r="VFZ195" s="3"/>
      <c r="VGA195" s="3"/>
      <c r="VGB195" s="3"/>
      <c r="VGC195" s="3"/>
      <c r="VGD195" s="3"/>
      <c r="VGE195" s="3"/>
      <c r="VGF195" s="3"/>
      <c r="VGG195" s="3"/>
      <c r="VGH195" s="3"/>
      <c r="VGI195" s="3"/>
      <c r="VGJ195" s="3"/>
      <c r="VGK195" s="3"/>
      <c r="VGL195" s="3"/>
      <c r="VGM195" s="3"/>
      <c r="VGN195" s="3"/>
      <c r="VGO195" s="3"/>
      <c r="VGP195" s="3"/>
      <c r="VGQ195" s="3"/>
      <c r="VGR195" s="3"/>
      <c r="VGS195" s="3"/>
      <c r="VGT195" s="3"/>
      <c r="VGU195" s="3"/>
      <c r="VGV195" s="3"/>
      <c r="VGW195" s="3"/>
      <c r="VGX195" s="3"/>
      <c r="VGY195" s="3"/>
      <c r="VGZ195" s="3"/>
      <c r="VHA195" s="3"/>
      <c r="VHB195" s="3"/>
      <c r="VHC195" s="3"/>
      <c r="VHD195" s="3"/>
      <c r="VHE195" s="3"/>
      <c r="VHF195" s="3"/>
      <c r="VHG195" s="3"/>
      <c r="VHH195" s="3"/>
      <c r="VHI195" s="3"/>
      <c r="VHJ195" s="3"/>
      <c r="VHK195" s="3"/>
      <c r="VHL195" s="3"/>
      <c r="VHM195" s="3"/>
      <c r="VHN195" s="3"/>
      <c r="VHO195" s="3"/>
      <c r="VHP195" s="3"/>
      <c r="VHQ195" s="3"/>
      <c r="VHR195" s="3"/>
      <c r="VHS195" s="3"/>
      <c r="VHT195" s="3"/>
      <c r="VHU195" s="3"/>
      <c r="VHV195" s="3"/>
      <c r="VHW195" s="3"/>
      <c r="VHX195" s="3"/>
      <c r="VHY195" s="3"/>
      <c r="VHZ195" s="3"/>
      <c r="VIA195" s="3"/>
      <c r="VIB195" s="3"/>
      <c r="VIC195" s="3"/>
      <c r="VID195" s="3"/>
      <c r="VIE195" s="3"/>
      <c r="VIF195" s="3"/>
      <c r="VIG195" s="3"/>
      <c r="VIH195" s="3"/>
      <c r="VII195" s="3"/>
      <c r="VIJ195" s="3"/>
      <c r="VIK195" s="3"/>
      <c r="VIL195" s="3"/>
      <c r="VIM195" s="3"/>
      <c r="VIN195" s="3"/>
      <c r="VIO195" s="3"/>
      <c r="VIP195" s="3"/>
      <c r="VIQ195" s="3"/>
      <c r="VIR195" s="3"/>
      <c r="VIS195" s="3"/>
      <c r="VIT195" s="3"/>
      <c r="VIU195" s="3"/>
      <c r="VIV195" s="3"/>
      <c r="VIW195" s="3"/>
      <c r="VIX195" s="3"/>
      <c r="VIY195" s="3"/>
      <c r="VIZ195" s="3"/>
      <c r="VJA195" s="3"/>
      <c r="VJB195" s="3"/>
      <c r="VJC195" s="3"/>
      <c r="VJD195" s="3"/>
      <c r="VJE195" s="3"/>
      <c r="VJF195" s="3"/>
      <c r="VJG195" s="3"/>
      <c r="VJH195" s="3"/>
      <c r="VJI195" s="3"/>
      <c r="VJJ195" s="3"/>
      <c r="VJK195" s="3"/>
      <c r="VJL195" s="3"/>
      <c r="VJM195" s="3"/>
      <c r="VJN195" s="3"/>
      <c r="VJO195" s="3"/>
      <c r="VJP195" s="3"/>
      <c r="VJQ195" s="3"/>
      <c r="VJR195" s="3"/>
      <c r="VJS195" s="3"/>
      <c r="VJT195" s="3"/>
      <c r="VJU195" s="3"/>
      <c r="VJV195" s="3"/>
      <c r="VJW195" s="3"/>
      <c r="VJX195" s="3"/>
      <c r="VJY195" s="3"/>
      <c r="VJZ195" s="3"/>
      <c r="VKA195" s="3"/>
      <c r="VKB195" s="3"/>
      <c r="VKC195" s="3"/>
      <c r="VKD195" s="3"/>
      <c r="VKE195" s="3"/>
      <c r="VKF195" s="3"/>
      <c r="VKG195" s="3"/>
      <c r="VKH195" s="3"/>
      <c r="VKI195" s="3"/>
      <c r="VKJ195" s="3"/>
      <c r="VKK195" s="3"/>
      <c r="VKL195" s="3"/>
      <c r="VKM195" s="3"/>
      <c r="VKN195" s="3"/>
      <c r="VKO195" s="3"/>
      <c r="VKP195" s="3"/>
      <c r="VKQ195" s="3"/>
      <c r="VKR195" s="3"/>
      <c r="VKS195" s="3"/>
      <c r="VKT195" s="3"/>
      <c r="VKU195" s="3"/>
      <c r="VKV195" s="3"/>
      <c r="VKW195" s="3"/>
      <c r="VKX195" s="3"/>
      <c r="VKY195" s="3"/>
      <c r="VKZ195" s="3"/>
      <c r="VLA195" s="3"/>
      <c r="VLB195" s="3"/>
      <c r="VLC195" s="3"/>
      <c r="VLD195" s="3"/>
      <c r="VLE195" s="3"/>
      <c r="VLF195" s="3"/>
      <c r="VLG195" s="3"/>
      <c r="VLH195" s="3"/>
      <c r="VLI195" s="3"/>
      <c r="VLJ195" s="3"/>
      <c r="VLK195" s="3"/>
      <c r="VLL195" s="3"/>
      <c r="VLM195" s="3"/>
      <c r="VLN195" s="3"/>
      <c r="VLO195" s="3"/>
      <c r="VLP195" s="3"/>
      <c r="VLQ195" s="3"/>
      <c r="VLR195" s="3"/>
      <c r="VLS195" s="3"/>
      <c r="VLT195" s="3"/>
      <c r="VLU195" s="3"/>
      <c r="VLV195" s="3"/>
      <c r="VLW195" s="3"/>
      <c r="VLX195" s="3"/>
      <c r="VLY195" s="3"/>
      <c r="VLZ195" s="3"/>
      <c r="VMA195" s="3"/>
      <c r="VMB195" s="3"/>
      <c r="VMC195" s="3"/>
      <c r="VMD195" s="3"/>
      <c r="VME195" s="3"/>
      <c r="VMF195" s="3"/>
      <c r="VMG195" s="3"/>
      <c r="VMH195" s="3"/>
      <c r="VMI195" s="3"/>
      <c r="VMJ195" s="3"/>
      <c r="VMK195" s="3"/>
      <c r="VML195" s="3"/>
      <c r="VMM195" s="3"/>
      <c r="VMN195" s="3"/>
      <c r="VMO195" s="3"/>
      <c r="VMP195" s="3"/>
      <c r="VMQ195" s="3"/>
      <c r="VMR195" s="3"/>
      <c r="VMS195" s="3"/>
      <c r="VMT195" s="3"/>
      <c r="VMU195" s="3"/>
      <c r="VMV195" s="3"/>
      <c r="VMW195" s="3"/>
      <c r="VMX195" s="3"/>
      <c r="VMY195" s="3"/>
      <c r="VMZ195" s="3"/>
      <c r="VNA195" s="3"/>
      <c r="VNB195" s="3"/>
      <c r="VNC195" s="3"/>
      <c r="VND195" s="3"/>
      <c r="VNE195" s="3"/>
      <c r="VNF195" s="3"/>
      <c r="VNG195" s="3"/>
      <c r="VNH195" s="3"/>
      <c r="VNI195" s="3"/>
      <c r="VNJ195" s="3"/>
      <c r="VNK195" s="3"/>
      <c r="VNL195" s="3"/>
      <c r="VNM195" s="3"/>
      <c r="VNN195" s="3"/>
      <c r="VNO195" s="3"/>
      <c r="VNP195" s="3"/>
      <c r="VNQ195" s="3"/>
      <c r="VNR195" s="3"/>
      <c r="VNS195" s="3"/>
      <c r="VNT195" s="3"/>
      <c r="VNU195" s="3"/>
      <c r="VNV195" s="3"/>
      <c r="VNW195" s="3"/>
      <c r="VNX195" s="3"/>
      <c r="VNY195" s="3"/>
      <c r="VNZ195" s="3"/>
      <c r="VOA195" s="3"/>
      <c r="VOB195" s="3"/>
      <c r="VOC195" s="3"/>
      <c r="VOD195" s="3"/>
      <c r="VOE195" s="3"/>
      <c r="VOF195" s="3"/>
      <c r="VOG195" s="3"/>
      <c r="VOH195" s="3"/>
      <c r="VOI195" s="3"/>
      <c r="VOJ195" s="3"/>
      <c r="VOK195" s="3"/>
      <c r="VOL195" s="3"/>
      <c r="VOM195" s="3"/>
      <c r="VON195" s="3"/>
      <c r="VOO195" s="3"/>
      <c r="VOP195" s="3"/>
      <c r="VOQ195" s="3"/>
      <c r="VOR195" s="3"/>
      <c r="VOS195" s="3"/>
      <c r="VOT195" s="3"/>
      <c r="VOU195" s="3"/>
      <c r="VOV195" s="3"/>
      <c r="VOW195" s="3"/>
      <c r="VOX195" s="3"/>
      <c r="VOY195" s="3"/>
      <c r="VOZ195" s="3"/>
      <c r="VPA195" s="3"/>
      <c r="VPB195" s="3"/>
      <c r="VPC195" s="3"/>
      <c r="VPD195" s="3"/>
      <c r="VPE195" s="3"/>
      <c r="VPF195" s="3"/>
      <c r="VPG195" s="3"/>
      <c r="VPH195" s="3"/>
      <c r="VPI195" s="3"/>
      <c r="VPJ195" s="3"/>
      <c r="VPK195" s="3"/>
      <c r="VPL195" s="3"/>
      <c r="VPM195" s="3"/>
      <c r="VPN195" s="3"/>
      <c r="VPO195" s="3"/>
      <c r="VPP195" s="3"/>
      <c r="VPQ195" s="3"/>
      <c r="VPR195" s="3"/>
      <c r="VPS195" s="3"/>
      <c r="VPT195" s="3"/>
      <c r="VPU195" s="3"/>
      <c r="VPV195" s="3"/>
      <c r="VPW195" s="3"/>
      <c r="VPX195" s="3"/>
      <c r="VPY195" s="3"/>
      <c r="VPZ195" s="3"/>
      <c r="VQA195" s="3"/>
      <c r="VQB195" s="3"/>
      <c r="VQC195" s="3"/>
      <c r="VQD195" s="3"/>
      <c r="VQE195" s="3"/>
      <c r="VQF195" s="3"/>
      <c r="VQG195" s="3"/>
      <c r="VQH195" s="3"/>
      <c r="VQI195" s="3"/>
      <c r="VQJ195" s="3"/>
      <c r="VQK195" s="3"/>
      <c r="VQL195" s="3"/>
      <c r="VQM195" s="3"/>
      <c r="VQN195" s="3"/>
      <c r="VQO195" s="3"/>
      <c r="VQP195" s="3"/>
      <c r="VQQ195" s="3"/>
      <c r="VQR195" s="3"/>
      <c r="VQS195" s="3"/>
      <c r="VQT195" s="3"/>
      <c r="VQU195" s="3"/>
      <c r="VQV195" s="3"/>
      <c r="VQW195" s="3"/>
      <c r="VQX195" s="3"/>
      <c r="VQY195" s="3"/>
      <c r="VQZ195" s="3"/>
      <c r="VRA195" s="3"/>
      <c r="VRB195" s="3"/>
      <c r="VRC195" s="3"/>
      <c r="VRD195" s="3"/>
      <c r="VRE195" s="3"/>
      <c r="VRF195" s="3"/>
      <c r="VRG195" s="3"/>
      <c r="VRH195" s="3"/>
      <c r="VRI195" s="3"/>
      <c r="VRJ195" s="3"/>
      <c r="VRK195" s="3"/>
      <c r="VRL195" s="3"/>
      <c r="VRM195" s="3"/>
      <c r="VRN195" s="3"/>
      <c r="VRO195" s="3"/>
      <c r="VRP195" s="3"/>
      <c r="VRQ195" s="3"/>
      <c r="VRR195" s="3"/>
      <c r="VRS195" s="3"/>
      <c r="VRT195" s="3"/>
      <c r="VRU195" s="3"/>
      <c r="VRV195" s="3"/>
      <c r="VRW195" s="3"/>
      <c r="VRX195" s="3"/>
      <c r="VRY195" s="3"/>
      <c r="VRZ195" s="3"/>
      <c r="VSA195" s="3"/>
      <c r="VSB195" s="3"/>
      <c r="VSC195" s="3"/>
      <c r="VSD195" s="3"/>
      <c r="VSE195" s="3"/>
      <c r="VSF195" s="3"/>
      <c r="VSG195" s="3"/>
      <c r="VSH195" s="3"/>
      <c r="VSI195" s="3"/>
      <c r="VSJ195" s="3"/>
      <c r="VSK195" s="3"/>
      <c r="VSL195" s="3"/>
      <c r="VSM195" s="3"/>
      <c r="VSN195" s="3"/>
      <c r="VSO195" s="3"/>
      <c r="VSP195" s="3"/>
      <c r="VSQ195" s="3"/>
      <c r="VSR195" s="3"/>
      <c r="VSS195" s="3"/>
      <c r="VST195" s="3"/>
      <c r="VSU195" s="3"/>
      <c r="VSV195" s="3"/>
      <c r="VSW195" s="3"/>
      <c r="VSX195" s="3"/>
      <c r="VSY195" s="3"/>
      <c r="VSZ195" s="3"/>
      <c r="VTA195" s="3"/>
      <c r="VTB195" s="3"/>
      <c r="VTC195" s="3"/>
      <c r="VTD195" s="3"/>
      <c r="VTE195" s="3"/>
      <c r="VTF195" s="3"/>
      <c r="VTG195" s="3"/>
      <c r="VTH195" s="3"/>
      <c r="VTI195" s="3"/>
      <c r="VTJ195" s="3"/>
      <c r="VTK195" s="3"/>
      <c r="VTL195" s="3"/>
      <c r="VTM195" s="3"/>
      <c r="VTN195" s="3"/>
      <c r="VTO195" s="3"/>
      <c r="VTP195" s="3"/>
      <c r="VTQ195" s="3"/>
      <c r="VTR195" s="3"/>
      <c r="VTS195" s="3"/>
      <c r="VTT195" s="3"/>
      <c r="VTU195" s="3"/>
      <c r="VTV195" s="3"/>
      <c r="VTW195" s="3"/>
      <c r="VTX195" s="3"/>
      <c r="VTY195" s="3"/>
      <c r="VTZ195" s="3"/>
      <c r="VUA195" s="3"/>
      <c r="VUB195" s="3"/>
      <c r="VUC195" s="3"/>
      <c r="VUD195" s="3"/>
      <c r="VUE195" s="3"/>
      <c r="VUF195" s="3"/>
      <c r="VUG195" s="3"/>
      <c r="VUH195" s="3"/>
      <c r="VUI195" s="3"/>
      <c r="VUJ195" s="3"/>
      <c r="VUK195" s="3"/>
      <c r="VUL195" s="3"/>
      <c r="VUM195" s="3"/>
      <c r="VUN195" s="3"/>
      <c r="VUO195" s="3"/>
      <c r="VUP195" s="3"/>
      <c r="VUQ195" s="3"/>
      <c r="VUR195" s="3"/>
      <c r="VUS195" s="3"/>
      <c r="VUT195" s="3"/>
      <c r="VUU195" s="3"/>
      <c r="VUV195" s="3"/>
      <c r="VUW195" s="3"/>
      <c r="VUX195" s="3"/>
      <c r="VUY195" s="3"/>
      <c r="VUZ195" s="3"/>
      <c r="VVA195" s="3"/>
      <c r="VVB195" s="3"/>
      <c r="VVC195" s="3"/>
      <c r="VVD195" s="3"/>
      <c r="VVE195" s="3"/>
      <c r="VVF195" s="3"/>
      <c r="VVG195" s="3"/>
      <c r="VVH195" s="3"/>
      <c r="VVI195" s="3"/>
      <c r="VVJ195" s="3"/>
      <c r="VVK195" s="3"/>
      <c r="VVL195" s="3"/>
      <c r="VVM195" s="3"/>
      <c r="VVN195" s="3"/>
      <c r="VVO195" s="3"/>
      <c r="VVP195" s="3"/>
      <c r="VVQ195" s="3"/>
      <c r="VVR195" s="3"/>
      <c r="VVS195" s="3"/>
      <c r="VVT195" s="3"/>
      <c r="VVU195" s="3"/>
      <c r="VVV195" s="3"/>
      <c r="VVW195" s="3"/>
      <c r="VVX195" s="3"/>
      <c r="VVY195" s="3"/>
      <c r="VVZ195" s="3"/>
      <c r="VWA195" s="3"/>
      <c r="VWB195" s="3"/>
      <c r="VWC195" s="3"/>
      <c r="VWD195" s="3"/>
      <c r="VWE195" s="3"/>
      <c r="VWF195" s="3"/>
      <c r="VWG195" s="3"/>
      <c r="VWH195" s="3"/>
      <c r="VWI195" s="3"/>
      <c r="VWJ195" s="3"/>
      <c r="VWK195" s="3"/>
      <c r="VWL195" s="3"/>
      <c r="VWM195" s="3"/>
      <c r="VWN195" s="3"/>
      <c r="VWO195" s="3"/>
      <c r="VWP195" s="3"/>
      <c r="VWQ195" s="3"/>
      <c r="VWR195" s="3"/>
      <c r="VWS195" s="3"/>
      <c r="VWT195" s="3"/>
      <c r="VWU195" s="3"/>
      <c r="VWV195" s="3"/>
      <c r="VWW195" s="3"/>
      <c r="VWX195" s="3"/>
      <c r="VWY195" s="3"/>
      <c r="VWZ195" s="3"/>
      <c r="VXA195" s="3"/>
      <c r="VXB195" s="3"/>
      <c r="VXC195" s="3"/>
      <c r="VXD195" s="3"/>
      <c r="VXE195" s="3"/>
      <c r="VXF195" s="3"/>
      <c r="VXG195" s="3"/>
      <c r="VXH195" s="3"/>
      <c r="VXI195" s="3"/>
      <c r="VXJ195" s="3"/>
      <c r="VXK195" s="3"/>
      <c r="VXL195" s="3"/>
      <c r="VXM195" s="3"/>
      <c r="VXN195" s="3"/>
      <c r="VXO195" s="3"/>
      <c r="VXP195" s="3"/>
      <c r="VXQ195" s="3"/>
      <c r="VXR195" s="3"/>
      <c r="VXS195" s="3"/>
      <c r="VXT195" s="3"/>
      <c r="VXU195" s="3"/>
      <c r="VXV195" s="3"/>
      <c r="VXW195" s="3"/>
      <c r="VXX195" s="3"/>
      <c r="VXY195" s="3"/>
      <c r="VXZ195" s="3"/>
      <c r="VYA195" s="3"/>
      <c r="VYB195" s="3"/>
      <c r="VYC195" s="3"/>
      <c r="VYD195" s="3"/>
      <c r="VYE195" s="3"/>
      <c r="VYF195" s="3"/>
      <c r="VYG195" s="3"/>
      <c r="VYH195" s="3"/>
      <c r="VYI195" s="3"/>
      <c r="VYJ195" s="3"/>
      <c r="VYK195" s="3"/>
      <c r="VYL195" s="3"/>
      <c r="VYM195" s="3"/>
      <c r="VYN195" s="3"/>
      <c r="VYO195" s="3"/>
      <c r="VYP195" s="3"/>
      <c r="VYQ195" s="3"/>
      <c r="VYR195" s="3"/>
      <c r="VYS195" s="3"/>
      <c r="VYT195" s="3"/>
      <c r="VYU195" s="3"/>
      <c r="VYV195" s="3"/>
      <c r="VYW195" s="3"/>
      <c r="VYX195" s="3"/>
      <c r="VYY195" s="3"/>
      <c r="VYZ195" s="3"/>
      <c r="VZA195" s="3"/>
      <c r="VZB195" s="3"/>
      <c r="VZC195" s="3"/>
      <c r="VZD195" s="3"/>
      <c r="VZE195" s="3"/>
      <c r="VZF195" s="3"/>
      <c r="VZG195" s="3"/>
      <c r="VZH195" s="3"/>
      <c r="VZI195" s="3"/>
      <c r="VZJ195" s="3"/>
      <c r="VZK195" s="3"/>
      <c r="VZL195" s="3"/>
      <c r="VZM195" s="3"/>
      <c r="VZN195" s="3"/>
      <c r="VZO195" s="3"/>
      <c r="VZP195" s="3"/>
      <c r="VZQ195" s="3"/>
      <c r="VZR195" s="3"/>
      <c r="VZS195" s="3"/>
      <c r="VZT195" s="3"/>
      <c r="VZU195" s="3"/>
      <c r="VZV195" s="3"/>
      <c r="VZW195" s="3"/>
      <c r="VZX195" s="3"/>
      <c r="VZY195" s="3"/>
      <c r="VZZ195" s="3"/>
      <c r="WAA195" s="3"/>
      <c r="WAB195" s="3"/>
      <c r="WAC195" s="3"/>
      <c r="WAD195" s="3"/>
      <c r="WAE195" s="3"/>
      <c r="WAF195" s="3"/>
      <c r="WAG195" s="3"/>
      <c r="WAH195" s="3"/>
      <c r="WAI195" s="3"/>
      <c r="WAJ195" s="3"/>
      <c r="WAK195" s="3"/>
      <c r="WAL195" s="3"/>
      <c r="WAM195" s="3"/>
      <c r="WAN195" s="3"/>
      <c r="WAO195" s="3"/>
      <c r="WAP195" s="3"/>
      <c r="WAQ195" s="3"/>
      <c r="WAR195" s="3"/>
      <c r="WAS195" s="3"/>
      <c r="WAT195" s="3"/>
      <c r="WAU195" s="3"/>
      <c r="WAV195" s="3"/>
      <c r="WAW195" s="3"/>
      <c r="WAX195" s="3"/>
      <c r="WAY195" s="3"/>
      <c r="WAZ195" s="3"/>
      <c r="WBA195" s="3"/>
      <c r="WBB195" s="3"/>
      <c r="WBC195" s="3"/>
      <c r="WBD195" s="3"/>
      <c r="WBE195" s="3"/>
      <c r="WBF195" s="3"/>
      <c r="WBG195" s="3"/>
      <c r="WBH195" s="3"/>
      <c r="WBI195" s="3"/>
      <c r="WBJ195" s="3"/>
      <c r="WBK195" s="3"/>
      <c r="WBL195" s="3"/>
      <c r="WBM195" s="3"/>
      <c r="WBN195" s="3"/>
      <c r="WBO195" s="3"/>
      <c r="WBP195" s="3"/>
      <c r="WBQ195" s="3"/>
      <c r="WBR195" s="3"/>
      <c r="WBS195" s="3"/>
      <c r="WBT195" s="3"/>
      <c r="WBU195" s="3"/>
      <c r="WBV195" s="3"/>
      <c r="WBW195" s="3"/>
      <c r="WBX195" s="3"/>
      <c r="WBY195" s="3"/>
      <c r="WBZ195" s="3"/>
      <c r="WCA195" s="3"/>
      <c r="WCB195" s="3"/>
      <c r="WCC195" s="3"/>
      <c r="WCD195" s="3"/>
      <c r="WCE195" s="3"/>
      <c r="WCF195" s="3"/>
      <c r="WCG195" s="3"/>
      <c r="WCH195" s="3"/>
      <c r="WCI195" s="3"/>
      <c r="WCJ195" s="3"/>
      <c r="WCK195" s="3"/>
      <c r="WCL195" s="3"/>
      <c r="WCM195" s="3"/>
      <c r="WCN195" s="3"/>
      <c r="WCO195" s="3"/>
      <c r="WCP195" s="3"/>
      <c r="WCQ195" s="3"/>
      <c r="WCR195" s="3"/>
      <c r="WCS195" s="3"/>
      <c r="WCT195" s="3"/>
      <c r="WCU195" s="3"/>
      <c r="WCV195" s="3"/>
      <c r="WCW195" s="3"/>
      <c r="WCX195" s="3"/>
      <c r="WCY195" s="3"/>
      <c r="WCZ195" s="3"/>
      <c r="WDA195" s="3"/>
      <c r="WDB195" s="3"/>
      <c r="WDC195" s="3"/>
      <c r="WDD195" s="3"/>
      <c r="WDE195" s="3"/>
      <c r="WDF195" s="3"/>
      <c r="WDG195" s="3"/>
      <c r="WDH195" s="3"/>
      <c r="WDI195" s="3"/>
      <c r="WDJ195" s="3"/>
      <c r="WDK195" s="3"/>
      <c r="WDL195" s="3"/>
      <c r="WDM195" s="3"/>
      <c r="WDN195" s="3"/>
      <c r="WDO195" s="3"/>
      <c r="WDP195" s="3"/>
      <c r="WDQ195" s="3"/>
      <c r="WDR195" s="3"/>
      <c r="WDS195" s="3"/>
      <c r="WDT195" s="3"/>
      <c r="WDU195" s="3"/>
      <c r="WDV195" s="3"/>
      <c r="WDW195" s="3"/>
      <c r="WDX195" s="3"/>
      <c r="WDY195" s="3"/>
      <c r="WDZ195" s="3"/>
      <c r="WEA195" s="3"/>
      <c r="WEB195" s="3"/>
      <c r="WEC195" s="3"/>
      <c r="WED195" s="3"/>
      <c r="WEE195" s="3"/>
      <c r="WEF195" s="3"/>
      <c r="WEG195" s="3"/>
      <c r="WEH195" s="3"/>
      <c r="WEI195" s="3"/>
      <c r="WEJ195" s="3"/>
      <c r="WEK195" s="3"/>
      <c r="WEL195" s="3"/>
      <c r="WEM195" s="3"/>
      <c r="WEN195" s="3"/>
      <c r="WEO195" s="3"/>
      <c r="WEP195" s="3"/>
      <c r="WEQ195" s="3"/>
      <c r="WER195" s="3"/>
      <c r="WES195" s="3"/>
      <c r="WET195" s="3"/>
      <c r="WEU195" s="3"/>
      <c r="WEV195" s="3"/>
      <c r="WEW195" s="3"/>
      <c r="WEX195" s="3"/>
      <c r="WEY195" s="3"/>
      <c r="WEZ195" s="3"/>
      <c r="WFA195" s="3"/>
      <c r="WFB195" s="3"/>
      <c r="WFC195" s="3"/>
      <c r="WFD195" s="3"/>
      <c r="WFE195" s="3"/>
      <c r="WFF195" s="3"/>
      <c r="WFG195" s="3"/>
      <c r="WFH195" s="3"/>
      <c r="WFI195" s="3"/>
      <c r="WFJ195" s="3"/>
      <c r="WFK195" s="3"/>
      <c r="WFL195" s="3"/>
      <c r="WFM195" s="3"/>
      <c r="WFN195" s="3"/>
      <c r="WFO195" s="3"/>
      <c r="WFP195" s="3"/>
      <c r="WFQ195" s="3"/>
      <c r="WFR195" s="3"/>
      <c r="WFS195" s="3"/>
      <c r="WFT195" s="3"/>
      <c r="WFU195" s="3"/>
      <c r="WFV195" s="3"/>
      <c r="WFW195" s="3"/>
      <c r="WFX195" s="3"/>
      <c r="WFY195" s="3"/>
      <c r="WFZ195" s="3"/>
      <c r="WGA195" s="3"/>
      <c r="WGB195" s="3"/>
      <c r="WGC195" s="3"/>
      <c r="WGD195" s="3"/>
      <c r="WGE195" s="3"/>
      <c r="WGF195" s="3"/>
      <c r="WGG195" s="3"/>
      <c r="WGH195" s="3"/>
      <c r="WGI195" s="3"/>
      <c r="WGJ195" s="3"/>
      <c r="WGK195" s="3"/>
      <c r="WGL195" s="3"/>
      <c r="WGM195" s="3"/>
      <c r="WGN195" s="3"/>
      <c r="WGO195" s="3"/>
      <c r="WGP195" s="3"/>
      <c r="WGQ195" s="3"/>
      <c r="WGR195" s="3"/>
      <c r="WGS195" s="3"/>
      <c r="WGT195" s="3"/>
      <c r="WGU195" s="3"/>
      <c r="WGV195" s="3"/>
      <c r="WGW195" s="3"/>
      <c r="WGX195" s="3"/>
      <c r="WGY195" s="3"/>
      <c r="WGZ195" s="3"/>
      <c r="WHA195" s="3"/>
      <c r="WHB195" s="3"/>
      <c r="WHC195" s="3"/>
      <c r="WHD195" s="3"/>
      <c r="WHE195" s="3"/>
      <c r="WHF195" s="3"/>
      <c r="WHG195" s="3"/>
      <c r="WHH195" s="3"/>
      <c r="WHI195" s="3"/>
      <c r="WHJ195" s="3"/>
      <c r="WHK195" s="3"/>
      <c r="WHL195" s="3"/>
      <c r="WHM195" s="3"/>
      <c r="WHN195" s="3"/>
      <c r="WHO195" s="3"/>
      <c r="WHP195" s="3"/>
      <c r="WHQ195" s="3"/>
      <c r="WHR195" s="3"/>
      <c r="WHS195" s="3"/>
      <c r="WHT195" s="3"/>
      <c r="WHU195" s="3"/>
      <c r="WHV195" s="3"/>
      <c r="WHW195" s="3"/>
      <c r="WHX195" s="3"/>
      <c r="WHY195" s="3"/>
      <c r="WHZ195" s="3"/>
      <c r="WIA195" s="3"/>
      <c r="WIB195" s="3"/>
      <c r="WIC195" s="3"/>
      <c r="WID195" s="3"/>
      <c r="WIE195" s="3"/>
      <c r="WIF195" s="3"/>
      <c r="WIG195" s="3"/>
      <c r="WIH195" s="3"/>
      <c r="WII195" s="3"/>
      <c r="WIJ195" s="3"/>
      <c r="WIK195" s="3"/>
      <c r="WIL195" s="3"/>
      <c r="WIM195" s="3"/>
      <c r="WIN195" s="3"/>
      <c r="WIO195" s="3"/>
      <c r="WIP195" s="3"/>
      <c r="WIQ195" s="3"/>
      <c r="WIR195" s="3"/>
      <c r="WIS195" s="3"/>
      <c r="WIT195" s="3"/>
      <c r="WIU195" s="3"/>
      <c r="WIV195" s="3"/>
      <c r="WIW195" s="3"/>
      <c r="WIX195" s="3"/>
      <c r="WIY195" s="3"/>
      <c r="WIZ195" s="3"/>
      <c r="WJA195" s="3"/>
      <c r="WJB195" s="3"/>
      <c r="WJC195" s="3"/>
      <c r="WJD195" s="3"/>
      <c r="WJE195" s="3"/>
      <c r="WJF195" s="3"/>
      <c r="WJG195" s="3"/>
      <c r="WJH195" s="3"/>
      <c r="WJI195" s="3"/>
      <c r="WJJ195" s="3"/>
      <c r="WJK195" s="3"/>
      <c r="WJL195" s="3"/>
      <c r="WJM195" s="3"/>
      <c r="WJN195" s="3"/>
      <c r="WJO195" s="3"/>
      <c r="WJP195" s="3"/>
      <c r="WJQ195" s="3"/>
      <c r="WJR195" s="3"/>
      <c r="WJS195" s="3"/>
      <c r="WJT195" s="3"/>
      <c r="WJU195" s="3"/>
      <c r="WJV195" s="3"/>
      <c r="WJW195" s="3"/>
      <c r="WJX195" s="3"/>
      <c r="WJY195" s="3"/>
      <c r="WJZ195" s="3"/>
      <c r="WKA195" s="3"/>
      <c r="WKB195" s="3"/>
      <c r="WKC195" s="3"/>
      <c r="WKD195" s="3"/>
      <c r="WKE195" s="3"/>
      <c r="WKF195" s="3"/>
      <c r="WKG195" s="3"/>
      <c r="WKH195" s="3"/>
      <c r="WKI195" s="3"/>
      <c r="WKJ195" s="3"/>
      <c r="WKK195" s="3"/>
      <c r="WKL195" s="3"/>
      <c r="WKM195" s="3"/>
      <c r="WKN195" s="3"/>
      <c r="WKO195" s="3"/>
      <c r="WKP195" s="3"/>
      <c r="WKQ195" s="3"/>
      <c r="WKR195" s="3"/>
      <c r="WKS195" s="3"/>
      <c r="WKT195" s="3"/>
      <c r="WKU195" s="3"/>
      <c r="WKV195" s="3"/>
      <c r="WKW195" s="3"/>
      <c r="WKX195" s="3"/>
      <c r="WKY195" s="3"/>
      <c r="WKZ195" s="3"/>
      <c r="WLA195" s="3"/>
      <c r="WLB195" s="3"/>
      <c r="WLC195" s="3"/>
      <c r="WLD195" s="3"/>
      <c r="WLE195" s="3"/>
      <c r="WLF195" s="3"/>
      <c r="WLG195" s="3"/>
      <c r="WLH195" s="3"/>
      <c r="WLI195" s="3"/>
      <c r="WLJ195" s="3"/>
      <c r="WLK195" s="3"/>
      <c r="WLL195" s="3"/>
      <c r="WLM195" s="3"/>
      <c r="WLN195" s="3"/>
      <c r="WLO195" s="3"/>
      <c r="WLP195" s="3"/>
      <c r="WLQ195" s="3"/>
      <c r="WLR195" s="3"/>
      <c r="WLS195" s="3"/>
      <c r="WLT195" s="3"/>
      <c r="WLU195" s="3"/>
      <c r="WLV195" s="3"/>
      <c r="WLW195" s="3"/>
      <c r="WLX195" s="3"/>
      <c r="WLY195" s="3"/>
      <c r="WLZ195" s="3"/>
      <c r="WMA195" s="3"/>
      <c r="WMB195" s="3"/>
      <c r="WMC195" s="3"/>
      <c r="WMD195" s="3"/>
      <c r="WME195" s="3"/>
      <c r="WMF195" s="3"/>
      <c r="WMG195" s="3"/>
      <c r="WMH195" s="3"/>
      <c r="WMI195" s="3"/>
      <c r="WMJ195" s="3"/>
      <c r="WMK195" s="3"/>
      <c r="WML195" s="3"/>
      <c r="WMM195" s="3"/>
      <c r="WMN195" s="3"/>
      <c r="WMO195" s="3"/>
      <c r="WMP195" s="3"/>
      <c r="WMQ195" s="3"/>
      <c r="WMR195" s="3"/>
      <c r="WMS195" s="3"/>
      <c r="WMT195" s="3"/>
      <c r="WMU195" s="3"/>
      <c r="WMV195" s="3"/>
      <c r="WMW195" s="3"/>
      <c r="WMX195" s="3"/>
      <c r="WMY195" s="3"/>
      <c r="WMZ195" s="3"/>
      <c r="WNA195" s="3"/>
      <c r="WNB195" s="3"/>
      <c r="WNC195" s="3"/>
      <c r="WND195" s="3"/>
      <c r="WNE195" s="3"/>
      <c r="WNF195" s="3"/>
      <c r="WNG195" s="3"/>
      <c r="WNH195" s="3"/>
      <c r="WNI195" s="3"/>
      <c r="WNJ195" s="3"/>
      <c r="WNK195" s="3"/>
      <c r="WNL195" s="3"/>
      <c r="WNM195" s="3"/>
      <c r="WNN195" s="3"/>
      <c r="WNO195" s="3"/>
      <c r="WNP195" s="3"/>
      <c r="WNQ195" s="3"/>
      <c r="WNR195" s="3"/>
      <c r="WNS195" s="3"/>
      <c r="WNT195" s="3"/>
      <c r="WNU195" s="3"/>
      <c r="WNV195" s="3"/>
      <c r="WNW195" s="3"/>
      <c r="WNX195" s="3"/>
      <c r="WNY195" s="3"/>
      <c r="WNZ195" s="3"/>
      <c r="WOA195" s="3"/>
      <c r="WOB195" s="3"/>
      <c r="WOC195" s="3"/>
      <c r="WOD195" s="3"/>
      <c r="WOE195" s="3"/>
      <c r="WOF195" s="3"/>
      <c r="WOG195" s="3"/>
      <c r="WOH195" s="3"/>
      <c r="WOI195" s="3"/>
      <c r="WOJ195" s="3"/>
      <c r="WOK195" s="3"/>
      <c r="WOL195" s="3"/>
      <c r="WOM195" s="3"/>
      <c r="WON195" s="3"/>
      <c r="WOO195" s="3"/>
      <c r="WOP195" s="3"/>
      <c r="WOQ195" s="3"/>
      <c r="WOR195" s="3"/>
      <c r="WOS195" s="3"/>
      <c r="WOT195" s="3"/>
      <c r="WOU195" s="3"/>
      <c r="WOV195" s="3"/>
      <c r="WOW195" s="3"/>
      <c r="WOX195" s="3"/>
      <c r="WOY195" s="3"/>
      <c r="WOZ195" s="3"/>
      <c r="WPA195" s="3"/>
      <c r="WPB195" s="3"/>
      <c r="WPC195" s="3"/>
      <c r="WPD195" s="3"/>
      <c r="WPE195" s="3"/>
      <c r="WPF195" s="3"/>
      <c r="WPG195" s="3"/>
      <c r="WPH195" s="3"/>
      <c r="WPI195" s="3"/>
      <c r="WPJ195" s="3"/>
      <c r="WPK195" s="3"/>
      <c r="WPL195" s="3"/>
      <c r="WPM195" s="3"/>
      <c r="WPN195" s="3"/>
      <c r="WPO195" s="3"/>
      <c r="WPP195" s="3"/>
      <c r="WPQ195" s="3"/>
      <c r="WPR195" s="3"/>
      <c r="WPS195" s="3"/>
      <c r="WPT195" s="3"/>
      <c r="WPU195" s="3"/>
      <c r="WPV195" s="3"/>
      <c r="WPW195" s="3"/>
      <c r="WPX195" s="3"/>
      <c r="WPY195" s="3"/>
      <c r="WPZ195" s="3"/>
      <c r="WQA195" s="3"/>
      <c r="WQB195" s="3"/>
      <c r="WQC195" s="3"/>
      <c r="WQD195" s="3"/>
      <c r="WQE195" s="3"/>
      <c r="WQF195" s="3"/>
      <c r="WQG195" s="3"/>
      <c r="WQH195" s="3"/>
      <c r="WQI195" s="3"/>
      <c r="WQJ195" s="3"/>
      <c r="WQK195" s="3"/>
      <c r="WQL195" s="3"/>
      <c r="WQM195" s="3"/>
      <c r="WQN195" s="3"/>
      <c r="WQO195" s="3"/>
      <c r="WQP195" s="3"/>
      <c r="WQQ195" s="3"/>
      <c r="WQR195" s="3"/>
      <c r="WQS195" s="3"/>
      <c r="WQT195" s="3"/>
      <c r="WQU195" s="3"/>
      <c r="WQV195" s="3"/>
      <c r="WQW195" s="3"/>
      <c r="WQX195" s="3"/>
      <c r="WQY195" s="3"/>
      <c r="WQZ195" s="3"/>
      <c r="WRA195" s="3"/>
      <c r="WRB195" s="3"/>
      <c r="WRC195" s="3"/>
      <c r="WRD195" s="3"/>
      <c r="WRE195" s="3"/>
      <c r="WRF195" s="3"/>
      <c r="WRG195" s="3"/>
      <c r="WRH195" s="3"/>
      <c r="WRI195" s="3"/>
      <c r="WRJ195" s="3"/>
      <c r="WRK195" s="3"/>
      <c r="WRL195" s="3"/>
      <c r="WRM195" s="3"/>
      <c r="WRN195" s="3"/>
      <c r="WRO195" s="3"/>
      <c r="WRP195" s="3"/>
      <c r="WRQ195" s="3"/>
      <c r="WRR195" s="3"/>
      <c r="WRS195" s="3"/>
      <c r="WRT195" s="3"/>
      <c r="WRU195" s="3"/>
      <c r="WRV195" s="3"/>
      <c r="WRW195" s="3"/>
      <c r="WRX195" s="3"/>
      <c r="WRY195" s="3"/>
      <c r="WRZ195" s="3"/>
      <c r="WSA195" s="3"/>
      <c r="WSB195" s="3"/>
      <c r="WSC195" s="3"/>
      <c r="WSD195" s="3"/>
      <c r="WSE195" s="3"/>
      <c r="WSF195" s="3"/>
      <c r="WSG195" s="3"/>
      <c r="WSH195" s="3"/>
      <c r="WSI195" s="3"/>
      <c r="WSJ195" s="3"/>
      <c r="WSK195" s="3"/>
      <c r="WSL195" s="3"/>
      <c r="WSM195" s="3"/>
      <c r="WSN195" s="3"/>
      <c r="WSO195" s="3"/>
      <c r="WSP195" s="3"/>
      <c r="WSQ195" s="3"/>
      <c r="WSR195" s="3"/>
      <c r="WSS195" s="3"/>
      <c r="WST195" s="3"/>
      <c r="WSU195" s="3"/>
      <c r="WSV195" s="3"/>
      <c r="WSW195" s="3"/>
      <c r="WSX195" s="3"/>
      <c r="WSY195" s="3"/>
      <c r="WSZ195" s="3"/>
      <c r="WTA195" s="3"/>
      <c r="WTB195" s="3"/>
      <c r="WTC195" s="3"/>
      <c r="WTD195" s="3"/>
      <c r="WTE195" s="3"/>
      <c r="WTF195" s="3"/>
      <c r="WTG195" s="3"/>
      <c r="WTH195" s="3"/>
      <c r="WTI195" s="3"/>
      <c r="WTJ195" s="3"/>
      <c r="WTK195" s="3"/>
      <c r="WTL195" s="3"/>
      <c r="WTM195" s="3"/>
      <c r="WTN195" s="3"/>
      <c r="WTO195" s="3"/>
      <c r="WTP195" s="3"/>
      <c r="WTQ195" s="3"/>
      <c r="WTR195" s="3"/>
      <c r="WTS195" s="3"/>
      <c r="WTT195" s="3"/>
      <c r="WTU195" s="3"/>
      <c r="WTV195" s="3"/>
      <c r="WTW195" s="3"/>
      <c r="WTX195" s="3"/>
      <c r="WTY195" s="3"/>
      <c r="WTZ195" s="3"/>
      <c r="WUA195" s="3"/>
      <c r="WUB195" s="3"/>
      <c r="WUC195" s="3"/>
      <c r="WUD195" s="3"/>
      <c r="WUE195" s="3"/>
      <c r="WUF195" s="3"/>
      <c r="WUG195" s="3"/>
      <c r="WUH195" s="3"/>
      <c r="WUI195" s="3"/>
      <c r="WUJ195" s="3"/>
      <c r="WUK195" s="3"/>
      <c r="WUL195" s="3"/>
      <c r="WUM195" s="3"/>
      <c r="WUN195" s="3"/>
      <c r="WUO195" s="3"/>
      <c r="WUP195" s="3"/>
      <c r="WUQ195" s="3"/>
      <c r="WUR195" s="3"/>
      <c r="WUS195" s="3"/>
      <c r="WUT195" s="3"/>
      <c r="WUU195" s="3"/>
      <c r="WUV195" s="3"/>
      <c r="WUW195" s="3"/>
      <c r="WUX195" s="3"/>
      <c r="WUY195" s="3"/>
      <c r="WUZ195" s="3"/>
      <c r="WVA195" s="3"/>
      <c r="WVB195" s="3"/>
      <c r="WVC195" s="3"/>
      <c r="WVD195" s="3"/>
      <c r="WVE195" s="3"/>
      <c r="WVF195" s="3"/>
      <c r="WVG195" s="3"/>
      <c r="WVH195" s="3"/>
      <c r="WVI195" s="3"/>
      <c r="WVJ195" s="3"/>
      <c r="WVK195" s="3"/>
      <c r="WVL195" s="3"/>
      <c r="WVM195" s="3"/>
      <c r="WVN195" s="3"/>
      <c r="WVO195" s="3"/>
      <c r="WVP195" s="3"/>
      <c r="WVQ195" s="3"/>
      <c r="WVR195" s="3"/>
      <c r="WVS195" s="3"/>
      <c r="WVT195" s="3"/>
      <c r="WVU195" s="3"/>
      <c r="WVV195" s="3"/>
      <c r="WVW195" s="3"/>
      <c r="WVX195" s="3"/>
      <c r="WVY195" s="3"/>
      <c r="WVZ195" s="3"/>
      <c r="WWA195" s="3"/>
      <c r="WWB195" s="3"/>
      <c r="WWC195" s="3"/>
      <c r="WWD195" s="3"/>
      <c r="WWE195" s="3"/>
      <c r="WWF195" s="3"/>
      <c r="WWG195" s="3"/>
      <c r="WWH195" s="3"/>
      <c r="WWI195" s="3"/>
      <c r="WWJ195" s="3"/>
      <c r="WWK195" s="3"/>
      <c r="WWL195" s="3"/>
      <c r="WWM195" s="3"/>
      <c r="WWN195" s="3"/>
      <c r="WWO195" s="3"/>
      <c r="WWP195" s="3"/>
      <c r="WWQ195" s="3"/>
      <c r="WWR195" s="3"/>
      <c r="WWS195" s="3"/>
      <c r="WWT195" s="3"/>
      <c r="WWU195" s="3"/>
      <c r="WWV195" s="3"/>
      <c r="WWW195" s="3"/>
      <c r="WWX195" s="3"/>
      <c r="WWY195" s="3"/>
      <c r="WWZ195" s="3"/>
      <c r="WXA195" s="3"/>
      <c r="WXB195" s="3"/>
      <c r="WXC195" s="3"/>
      <c r="WXD195" s="3"/>
      <c r="WXE195" s="3"/>
      <c r="WXF195" s="3"/>
      <c r="WXG195" s="3"/>
      <c r="WXH195" s="3"/>
      <c r="WXI195" s="3"/>
      <c r="WXJ195" s="3"/>
      <c r="WXK195" s="3"/>
      <c r="WXL195" s="3"/>
      <c r="WXM195" s="3"/>
      <c r="WXN195" s="3"/>
      <c r="WXO195" s="3"/>
      <c r="WXP195" s="3"/>
      <c r="WXQ195" s="3"/>
      <c r="WXR195" s="3"/>
      <c r="WXS195" s="3"/>
      <c r="WXT195" s="3"/>
      <c r="WXU195" s="3"/>
      <c r="WXV195" s="3"/>
      <c r="WXW195" s="3"/>
      <c r="WXX195" s="3"/>
      <c r="WXY195" s="3"/>
      <c r="WXZ195" s="3"/>
      <c r="WYA195" s="3"/>
      <c r="WYB195" s="3"/>
      <c r="WYC195" s="3"/>
      <c r="WYD195" s="3"/>
      <c r="WYE195" s="3"/>
      <c r="WYF195" s="3"/>
      <c r="WYG195" s="3"/>
      <c r="WYH195" s="3"/>
      <c r="WYI195" s="3"/>
      <c r="WYJ195" s="3"/>
      <c r="WYK195" s="3"/>
      <c r="WYL195" s="3"/>
      <c r="WYM195" s="3"/>
      <c r="WYN195" s="3"/>
      <c r="WYO195" s="3"/>
      <c r="WYP195" s="3"/>
      <c r="WYQ195" s="3"/>
      <c r="WYR195" s="3"/>
      <c r="WYS195" s="3"/>
      <c r="WYT195" s="3"/>
      <c r="WYU195" s="3"/>
      <c r="WYV195" s="3"/>
      <c r="WYW195" s="3"/>
      <c r="WYX195" s="3"/>
      <c r="WYY195" s="3"/>
      <c r="WYZ195" s="3"/>
      <c r="WZA195" s="3"/>
      <c r="WZB195" s="3"/>
      <c r="WZC195" s="3"/>
      <c r="WZD195" s="3"/>
      <c r="WZE195" s="3"/>
      <c r="WZF195" s="3"/>
      <c r="WZG195" s="3"/>
      <c r="WZH195" s="3"/>
      <c r="WZI195" s="3"/>
      <c r="WZJ195" s="3"/>
      <c r="WZK195" s="3"/>
      <c r="WZL195" s="3"/>
      <c r="WZM195" s="3"/>
      <c r="WZN195" s="3"/>
      <c r="WZO195" s="3"/>
      <c r="WZP195" s="3"/>
      <c r="WZQ195" s="3"/>
      <c r="WZR195" s="3"/>
      <c r="WZS195" s="3"/>
      <c r="WZT195" s="3"/>
      <c r="WZU195" s="3"/>
      <c r="WZV195" s="3"/>
      <c r="WZW195" s="3"/>
      <c r="WZX195" s="3"/>
      <c r="WZY195" s="3"/>
      <c r="WZZ195" s="3"/>
      <c r="XAA195" s="3"/>
      <c r="XAB195" s="3"/>
      <c r="XAC195" s="3"/>
      <c r="XAD195" s="3"/>
      <c r="XAE195" s="3"/>
      <c r="XAF195" s="3"/>
      <c r="XAG195" s="3"/>
      <c r="XAH195" s="3"/>
      <c r="XAI195" s="3"/>
      <c r="XAJ195" s="3"/>
      <c r="XAK195" s="3"/>
      <c r="XAL195" s="3"/>
      <c r="XAM195" s="3"/>
      <c r="XAN195" s="3"/>
      <c r="XAO195" s="3"/>
      <c r="XAP195" s="3"/>
      <c r="XAQ195" s="3"/>
      <c r="XAR195" s="3"/>
      <c r="XAS195" s="3"/>
      <c r="XAT195" s="3"/>
      <c r="XAU195" s="3"/>
      <c r="XAV195" s="3"/>
      <c r="XAW195" s="3"/>
      <c r="XAX195" s="3"/>
      <c r="XAY195" s="3"/>
      <c r="XAZ195" s="3"/>
      <c r="XBA195" s="3"/>
      <c r="XBB195" s="3"/>
      <c r="XBC195" s="3"/>
      <c r="XBD195" s="3"/>
      <c r="XBE195" s="3"/>
      <c r="XBF195" s="3"/>
      <c r="XBG195" s="3"/>
      <c r="XBH195" s="3"/>
      <c r="XBI195" s="3"/>
      <c r="XBJ195" s="3"/>
      <c r="XBK195" s="3"/>
      <c r="XBL195" s="3"/>
      <c r="XBM195" s="3"/>
      <c r="XBN195" s="3"/>
      <c r="XBO195" s="3"/>
      <c r="XBP195" s="3"/>
      <c r="XBQ195" s="3"/>
      <c r="XBR195" s="3"/>
      <c r="XBS195" s="3"/>
      <c r="XBT195" s="3"/>
      <c r="XBU195" s="3"/>
      <c r="XBV195" s="3"/>
      <c r="XBW195" s="3"/>
      <c r="XBX195" s="3"/>
      <c r="XBY195" s="3"/>
      <c r="XBZ195" s="3"/>
      <c r="XCA195" s="3"/>
      <c r="XCB195" s="3"/>
      <c r="XCC195" s="3"/>
      <c r="XCD195" s="3"/>
      <c r="XCE195" s="3"/>
      <c r="XCF195" s="3"/>
      <c r="XCG195" s="3"/>
      <c r="XCH195" s="3"/>
      <c r="XCI195" s="3"/>
      <c r="XCJ195" s="3"/>
      <c r="XCK195" s="3"/>
      <c r="XCL195" s="3"/>
      <c r="XCM195" s="3"/>
      <c r="XCN195" s="3"/>
      <c r="XCO195" s="3"/>
      <c r="XCP195" s="3"/>
      <c r="XCQ195" s="3"/>
      <c r="XCR195" s="3"/>
      <c r="XCS195" s="3"/>
      <c r="XCT195" s="3"/>
      <c r="XCU195" s="3"/>
      <c r="XCV195" s="3"/>
      <c r="XCW195" s="3"/>
      <c r="XCX195" s="3"/>
      <c r="XCY195" s="3"/>
      <c r="XCZ195" s="3"/>
      <c r="XDA195" s="3"/>
      <c r="XDB195" s="3"/>
      <c r="XDC195" s="3"/>
      <c r="XDD195" s="3"/>
      <c r="XDE195" s="3"/>
      <c r="XDF195" s="3"/>
      <c r="XDG195" s="3"/>
      <c r="XDH195" s="3"/>
      <c r="XDI195" s="3"/>
      <c r="XDJ195" s="3"/>
      <c r="XDK195" s="3"/>
      <c r="XDL195" s="3"/>
      <c r="XDM195" s="3"/>
      <c r="XDN195" s="3"/>
      <c r="XDO195" s="3"/>
      <c r="XDP195" s="3"/>
      <c r="XDQ195" s="3"/>
      <c r="XDR195" s="3"/>
      <c r="XDS195" s="3"/>
      <c r="XDT195" s="3"/>
      <c r="XDU195" s="3"/>
      <c r="XDV195" s="3"/>
      <c r="XDW195" s="3"/>
      <c r="XDX195" s="3"/>
    </row>
    <row r="196" spans="1:16352" x14ac:dyDescent="0.3">
      <c r="A196" s="122"/>
      <c r="B196" s="123"/>
      <c r="C196" s="124"/>
      <c r="D196" s="72" t="s">
        <v>214</v>
      </c>
      <c r="E196" s="73"/>
      <c r="F196" s="73"/>
      <c r="G196" s="73"/>
      <c r="H196" s="73">
        <f>COUNTIFS(H4:H195,"Public")</f>
        <v>0</v>
      </c>
      <c r="I196" s="73">
        <f t="shared" ref="I196:K196" si="4">COUNTIFS(I4:I195,"Public")</f>
        <v>0</v>
      </c>
      <c r="J196" s="73">
        <f t="shared" si="4"/>
        <v>0</v>
      </c>
      <c r="K196" s="73">
        <f t="shared" si="4"/>
        <v>0</v>
      </c>
      <c r="L196" s="73">
        <f t="shared" ref="L196:AI196" si="5">COUNTIFS(L4:L195,"Public")</f>
        <v>0</v>
      </c>
      <c r="M196" s="73">
        <f t="shared" si="5"/>
        <v>0</v>
      </c>
      <c r="N196" s="73">
        <f t="shared" si="5"/>
        <v>0</v>
      </c>
      <c r="O196" s="73">
        <f t="shared" si="5"/>
        <v>0</v>
      </c>
      <c r="P196" s="73">
        <f t="shared" si="5"/>
        <v>0</v>
      </c>
      <c r="Q196" s="73">
        <f t="shared" si="5"/>
        <v>0</v>
      </c>
      <c r="R196" s="73">
        <f t="shared" si="5"/>
        <v>0</v>
      </c>
      <c r="S196" s="73">
        <f t="shared" si="5"/>
        <v>0</v>
      </c>
      <c r="T196" s="73">
        <f t="shared" si="5"/>
        <v>0</v>
      </c>
      <c r="U196" s="73">
        <f t="shared" si="5"/>
        <v>0</v>
      </c>
      <c r="V196" s="73">
        <f t="shared" si="5"/>
        <v>0</v>
      </c>
      <c r="W196" s="73">
        <f t="shared" si="5"/>
        <v>0</v>
      </c>
      <c r="X196" s="73">
        <f t="shared" si="5"/>
        <v>0</v>
      </c>
      <c r="Y196" s="73">
        <f t="shared" si="5"/>
        <v>0</v>
      </c>
      <c r="Z196" s="73">
        <f t="shared" si="5"/>
        <v>0</v>
      </c>
      <c r="AA196" s="73">
        <f t="shared" si="5"/>
        <v>0</v>
      </c>
      <c r="AB196" s="73">
        <f t="shared" si="5"/>
        <v>0</v>
      </c>
      <c r="AC196" s="73">
        <f t="shared" si="5"/>
        <v>0</v>
      </c>
      <c r="AD196" s="73">
        <f t="shared" si="5"/>
        <v>0</v>
      </c>
      <c r="AE196" s="73">
        <f t="shared" si="5"/>
        <v>0</v>
      </c>
      <c r="AF196" s="73">
        <f t="shared" si="5"/>
        <v>0</v>
      </c>
      <c r="AG196" s="73">
        <f t="shared" si="5"/>
        <v>0</v>
      </c>
      <c r="AH196" s="73">
        <f t="shared" si="5"/>
        <v>0</v>
      </c>
      <c r="AI196" s="73">
        <f t="shared" si="5"/>
        <v>0</v>
      </c>
    </row>
    <row r="197" spans="1:16352" x14ac:dyDescent="0.3">
      <c r="A197" s="122"/>
      <c r="B197" s="123"/>
      <c r="C197" s="124"/>
      <c r="D197" s="72" t="s">
        <v>215</v>
      </c>
      <c r="E197" s="73"/>
      <c r="F197" s="73"/>
      <c r="G197" s="73"/>
      <c r="H197" s="73">
        <f>COUNTIFS(H5:H196,"Optional")</f>
        <v>8</v>
      </c>
      <c r="I197" s="73">
        <f t="shared" ref="I197:K197" si="6">COUNTIFS(I5:I196,"Optional")</f>
        <v>0</v>
      </c>
      <c r="J197" s="73">
        <f t="shared" si="6"/>
        <v>13</v>
      </c>
      <c r="K197" s="73">
        <f t="shared" si="6"/>
        <v>0</v>
      </c>
      <c r="L197" s="73">
        <f t="shared" ref="L197:AI197" si="7">COUNTIFS(L5:L196,"Optional")</f>
        <v>0</v>
      </c>
      <c r="M197" s="73">
        <f t="shared" si="7"/>
        <v>0</v>
      </c>
      <c r="N197" s="73">
        <f t="shared" si="7"/>
        <v>0</v>
      </c>
      <c r="O197" s="73">
        <f t="shared" si="7"/>
        <v>0</v>
      </c>
      <c r="P197" s="73">
        <f t="shared" si="7"/>
        <v>0</v>
      </c>
      <c r="Q197" s="73">
        <f t="shared" si="7"/>
        <v>0</v>
      </c>
      <c r="R197" s="73">
        <f t="shared" si="7"/>
        <v>0</v>
      </c>
      <c r="S197" s="73">
        <f t="shared" si="7"/>
        <v>0</v>
      </c>
      <c r="T197" s="73">
        <f t="shared" si="7"/>
        <v>0</v>
      </c>
      <c r="U197" s="73">
        <f t="shared" si="7"/>
        <v>0</v>
      </c>
      <c r="V197" s="73">
        <f t="shared" si="7"/>
        <v>0</v>
      </c>
      <c r="W197" s="73">
        <f t="shared" si="7"/>
        <v>0</v>
      </c>
      <c r="X197" s="73">
        <f t="shared" si="7"/>
        <v>0</v>
      </c>
      <c r="Y197" s="73">
        <f t="shared" si="7"/>
        <v>0</v>
      </c>
      <c r="Z197" s="73">
        <f t="shared" si="7"/>
        <v>0</v>
      </c>
      <c r="AA197" s="73">
        <f t="shared" si="7"/>
        <v>1</v>
      </c>
      <c r="AB197" s="73">
        <f t="shared" si="7"/>
        <v>0</v>
      </c>
      <c r="AC197" s="73">
        <f t="shared" si="7"/>
        <v>0</v>
      </c>
      <c r="AD197" s="73">
        <f t="shared" si="7"/>
        <v>0</v>
      </c>
      <c r="AE197" s="73">
        <f t="shared" si="7"/>
        <v>0</v>
      </c>
      <c r="AF197" s="73">
        <f t="shared" si="7"/>
        <v>0</v>
      </c>
      <c r="AG197" s="73">
        <f t="shared" si="7"/>
        <v>0</v>
      </c>
      <c r="AH197" s="73">
        <f t="shared" si="7"/>
        <v>0</v>
      </c>
      <c r="AI197" s="73">
        <f t="shared" si="7"/>
        <v>1</v>
      </c>
    </row>
    <row r="198" spans="1:16352" x14ac:dyDescent="0.3">
      <c r="A198" s="122"/>
      <c r="B198" s="123"/>
      <c r="C198" s="124"/>
      <c r="D198" s="72" t="s">
        <v>218</v>
      </c>
      <c r="E198" s="73"/>
      <c r="F198" s="73"/>
      <c r="G198" s="73"/>
      <c r="H198" s="73">
        <f>COUNTIFS(H6:H197,"National-WE")</f>
        <v>1</v>
      </c>
      <c r="I198" s="73">
        <f t="shared" ref="I198:K198" si="8">COUNTIFS(I6:I197,"National-WE")</f>
        <v>0</v>
      </c>
      <c r="J198" s="73">
        <f t="shared" si="8"/>
        <v>1</v>
      </c>
      <c r="K198" s="73">
        <f t="shared" si="8"/>
        <v>0</v>
      </c>
      <c r="L198" s="73">
        <f t="shared" ref="L198:AI198" si="9">COUNTIFS(L6:L197,"National-WE")</f>
        <v>1</v>
      </c>
      <c r="M198" s="73">
        <f t="shared" si="9"/>
        <v>0</v>
      </c>
      <c r="N198" s="73">
        <f t="shared" si="9"/>
        <v>1</v>
      </c>
      <c r="O198" s="73">
        <f t="shared" si="9"/>
        <v>1</v>
      </c>
      <c r="P198" s="73">
        <f t="shared" si="9"/>
        <v>0</v>
      </c>
      <c r="Q198" s="73">
        <f t="shared" si="9"/>
        <v>1</v>
      </c>
      <c r="R198" s="73">
        <f t="shared" si="9"/>
        <v>0</v>
      </c>
      <c r="S198" s="73">
        <f t="shared" si="9"/>
        <v>0</v>
      </c>
      <c r="T198" s="73">
        <f t="shared" si="9"/>
        <v>1</v>
      </c>
      <c r="U198" s="73">
        <f t="shared" si="9"/>
        <v>0</v>
      </c>
      <c r="V198" s="73">
        <f t="shared" si="9"/>
        <v>0</v>
      </c>
      <c r="W198" s="73">
        <f t="shared" si="9"/>
        <v>0</v>
      </c>
      <c r="X198" s="73">
        <f t="shared" si="9"/>
        <v>0</v>
      </c>
      <c r="Y198" s="73">
        <f t="shared" si="9"/>
        <v>0</v>
      </c>
      <c r="Z198" s="73">
        <f t="shared" si="9"/>
        <v>0</v>
      </c>
      <c r="AA198" s="73">
        <f t="shared" si="9"/>
        <v>0</v>
      </c>
      <c r="AB198" s="73">
        <f t="shared" si="9"/>
        <v>0</v>
      </c>
      <c r="AC198" s="73">
        <f t="shared" si="9"/>
        <v>0</v>
      </c>
      <c r="AD198" s="73">
        <f t="shared" si="9"/>
        <v>1</v>
      </c>
      <c r="AE198" s="73">
        <f t="shared" si="9"/>
        <v>1</v>
      </c>
      <c r="AF198" s="73">
        <f t="shared" si="9"/>
        <v>1</v>
      </c>
      <c r="AG198" s="73">
        <f t="shared" si="9"/>
        <v>1</v>
      </c>
      <c r="AH198" s="73">
        <f t="shared" si="9"/>
        <v>0</v>
      </c>
      <c r="AI198" s="73">
        <f t="shared" si="9"/>
        <v>1</v>
      </c>
    </row>
    <row r="199" spans="1:16352" x14ac:dyDescent="0.3">
      <c r="A199" s="122"/>
      <c r="B199" s="123"/>
      <c r="C199" s="124"/>
      <c r="D199" s="72" t="s">
        <v>219</v>
      </c>
      <c r="E199" s="73"/>
      <c r="F199" s="73"/>
      <c r="G199" s="73"/>
      <c r="H199" s="73">
        <f>COUNTIFS(H8:H198,"Regional-WE")</f>
        <v>6</v>
      </c>
      <c r="I199" s="73">
        <f t="shared" ref="I199:K199" si="10">COUNTIFS(I8:I198,"Regional-WE")</f>
        <v>0</v>
      </c>
      <c r="J199" s="73">
        <f t="shared" si="10"/>
        <v>3</v>
      </c>
      <c r="K199" s="73">
        <f t="shared" si="10"/>
        <v>0</v>
      </c>
      <c r="L199" s="73">
        <f t="shared" ref="L199:AI199" si="11">COUNTIFS(L8:L198,"Regional-WE")</f>
        <v>8</v>
      </c>
      <c r="M199" s="73">
        <f t="shared" si="11"/>
        <v>0</v>
      </c>
      <c r="N199" s="73">
        <f t="shared" si="11"/>
        <v>13</v>
      </c>
      <c r="O199" s="73">
        <f t="shared" si="11"/>
        <v>5</v>
      </c>
      <c r="P199" s="73">
        <f t="shared" si="11"/>
        <v>0</v>
      </c>
      <c r="Q199" s="73">
        <f t="shared" si="11"/>
        <v>12</v>
      </c>
      <c r="R199" s="73">
        <f t="shared" si="11"/>
        <v>0</v>
      </c>
      <c r="S199" s="73">
        <f t="shared" si="11"/>
        <v>4</v>
      </c>
      <c r="T199" s="73">
        <f t="shared" si="11"/>
        <v>9</v>
      </c>
      <c r="U199" s="73">
        <f t="shared" si="11"/>
        <v>0</v>
      </c>
      <c r="V199" s="73">
        <f t="shared" si="11"/>
        <v>8</v>
      </c>
      <c r="W199" s="73">
        <f t="shared" si="11"/>
        <v>5</v>
      </c>
      <c r="X199" s="73">
        <f t="shared" si="11"/>
        <v>4</v>
      </c>
      <c r="Y199" s="73">
        <f t="shared" si="11"/>
        <v>3</v>
      </c>
      <c r="Z199" s="73">
        <f t="shared" si="11"/>
        <v>0</v>
      </c>
      <c r="AA199" s="73">
        <f t="shared" si="11"/>
        <v>2</v>
      </c>
      <c r="AB199" s="73">
        <f t="shared" si="11"/>
        <v>0</v>
      </c>
      <c r="AC199" s="73">
        <f t="shared" si="11"/>
        <v>0</v>
      </c>
      <c r="AD199" s="73">
        <f t="shared" si="11"/>
        <v>2</v>
      </c>
      <c r="AE199" s="73">
        <f t="shared" si="11"/>
        <v>6</v>
      </c>
      <c r="AF199" s="73">
        <f t="shared" si="11"/>
        <v>2</v>
      </c>
      <c r="AG199" s="73">
        <f t="shared" si="11"/>
        <v>4</v>
      </c>
      <c r="AH199" s="73">
        <f t="shared" si="11"/>
        <v>0</v>
      </c>
      <c r="AI199" s="73">
        <f t="shared" si="11"/>
        <v>4</v>
      </c>
    </row>
    <row r="200" spans="1:16352" x14ac:dyDescent="0.3">
      <c r="A200" s="122"/>
      <c r="B200" s="123"/>
      <c r="C200" s="124"/>
      <c r="D200" s="72" t="s">
        <v>220</v>
      </c>
      <c r="E200" s="73"/>
      <c r="F200" s="73"/>
      <c r="G200" s="73"/>
      <c r="H200" s="73">
        <f>COUNTIFS(H9:H199,"Public-WE")</f>
        <v>0</v>
      </c>
      <c r="I200" s="73">
        <f t="shared" ref="I200:K200" si="12">COUNTIFS(I9:I199,"Public-WE")</f>
        <v>0</v>
      </c>
      <c r="J200" s="73">
        <f t="shared" si="12"/>
        <v>0</v>
      </c>
      <c r="K200" s="73">
        <f t="shared" si="12"/>
        <v>0</v>
      </c>
      <c r="L200" s="73">
        <f t="shared" ref="L200:AI200" si="13">COUNTIFS(L9:L199,"Public-WE")</f>
        <v>0</v>
      </c>
      <c r="M200" s="73">
        <f t="shared" si="13"/>
        <v>0</v>
      </c>
      <c r="N200" s="73">
        <f t="shared" si="13"/>
        <v>0</v>
      </c>
      <c r="O200" s="73">
        <f t="shared" si="13"/>
        <v>0</v>
      </c>
      <c r="P200" s="73">
        <f t="shared" si="13"/>
        <v>0</v>
      </c>
      <c r="Q200" s="73">
        <f t="shared" si="13"/>
        <v>0</v>
      </c>
      <c r="R200" s="73">
        <f t="shared" si="13"/>
        <v>0</v>
      </c>
      <c r="S200" s="73">
        <f t="shared" si="13"/>
        <v>0</v>
      </c>
      <c r="T200" s="73">
        <f t="shared" si="13"/>
        <v>0</v>
      </c>
      <c r="U200" s="73">
        <f t="shared" si="13"/>
        <v>0</v>
      </c>
      <c r="V200" s="73">
        <f t="shared" si="13"/>
        <v>0</v>
      </c>
      <c r="W200" s="73">
        <f t="shared" si="13"/>
        <v>0</v>
      </c>
      <c r="X200" s="73">
        <f t="shared" si="13"/>
        <v>0</v>
      </c>
      <c r="Y200" s="73">
        <f t="shared" si="13"/>
        <v>0</v>
      </c>
      <c r="Z200" s="73">
        <f t="shared" si="13"/>
        <v>0</v>
      </c>
      <c r="AA200" s="73">
        <f t="shared" si="13"/>
        <v>0</v>
      </c>
      <c r="AB200" s="73">
        <f t="shared" si="13"/>
        <v>0</v>
      </c>
      <c r="AC200" s="73">
        <f t="shared" si="13"/>
        <v>0</v>
      </c>
      <c r="AD200" s="73">
        <f t="shared" si="13"/>
        <v>0</v>
      </c>
      <c r="AE200" s="73">
        <f t="shared" si="13"/>
        <v>0</v>
      </c>
      <c r="AF200" s="73">
        <f t="shared" si="13"/>
        <v>0</v>
      </c>
      <c r="AG200" s="73">
        <f t="shared" si="13"/>
        <v>0</v>
      </c>
      <c r="AH200" s="73">
        <f t="shared" si="13"/>
        <v>0</v>
      </c>
      <c r="AI200" s="73">
        <f t="shared" si="13"/>
        <v>0</v>
      </c>
    </row>
    <row r="201" spans="1:16352" x14ac:dyDescent="0.3">
      <c r="A201" s="125"/>
      <c r="B201" s="126"/>
      <c r="C201" s="127"/>
      <c r="D201" s="72" t="s">
        <v>221</v>
      </c>
      <c r="E201" s="73"/>
      <c r="F201" s="73"/>
      <c r="G201" s="73"/>
      <c r="H201" s="73">
        <f>COUNTIFS(H10:H200,"Optional-WE")</f>
        <v>2</v>
      </c>
      <c r="I201" s="73">
        <f t="shared" ref="I201:K201" si="14">COUNTIFS(I10:I200,"Optional-WE")</f>
        <v>0</v>
      </c>
      <c r="J201" s="73">
        <f t="shared" si="14"/>
        <v>2</v>
      </c>
      <c r="K201" s="73">
        <f t="shared" si="14"/>
        <v>0</v>
      </c>
      <c r="L201" s="73">
        <f>COUNTIFS(L10:L200,"Optional-WE")</f>
        <v>0</v>
      </c>
      <c r="M201" s="73">
        <f t="shared" ref="M201:AI201" si="15">COUNTIFS(M10:M200,"Optional-WE")</f>
        <v>0</v>
      </c>
      <c r="N201" s="73">
        <f t="shared" si="15"/>
        <v>0</v>
      </c>
      <c r="O201" s="73">
        <f t="shared" si="15"/>
        <v>0</v>
      </c>
      <c r="P201" s="73">
        <f t="shared" si="15"/>
        <v>0</v>
      </c>
      <c r="Q201" s="73">
        <f t="shared" si="15"/>
        <v>0</v>
      </c>
      <c r="R201" s="73">
        <f t="shared" si="15"/>
        <v>0</v>
      </c>
      <c r="S201" s="73">
        <f t="shared" si="15"/>
        <v>0</v>
      </c>
      <c r="T201" s="73">
        <f t="shared" si="15"/>
        <v>0</v>
      </c>
      <c r="U201" s="73">
        <f t="shared" si="15"/>
        <v>0</v>
      </c>
      <c r="V201" s="73">
        <f t="shared" si="15"/>
        <v>0</v>
      </c>
      <c r="W201" s="73">
        <f t="shared" si="15"/>
        <v>0</v>
      </c>
      <c r="X201" s="73">
        <f t="shared" si="15"/>
        <v>0</v>
      </c>
      <c r="Y201" s="73">
        <f t="shared" si="15"/>
        <v>0</v>
      </c>
      <c r="Z201" s="73">
        <f t="shared" si="15"/>
        <v>0</v>
      </c>
      <c r="AA201" s="73">
        <f t="shared" si="15"/>
        <v>0</v>
      </c>
      <c r="AB201" s="73">
        <f t="shared" si="15"/>
        <v>0</v>
      </c>
      <c r="AC201" s="73">
        <f t="shared" si="15"/>
        <v>0</v>
      </c>
      <c r="AD201" s="73">
        <f t="shared" si="15"/>
        <v>0</v>
      </c>
      <c r="AE201" s="73">
        <f t="shared" si="15"/>
        <v>0</v>
      </c>
      <c r="AF201" s="73">
        <f t="shared" si="15"/>
        <v>0</v>
      </c>
      <c r="AG201" s="73">
        <f t="shared" si="15"/>
        <v>0</v>
      </c>
      <c r="AH201" s="73">
        <f t="shared" si="15"/>
        <v>0</v>
      </c>
      <c r="AI201" s="73">
        <f t="shared" si="15"/>
        <v>0</v>
      </c>
    </row>
    <row r="202" spans="1:16352" ht="14.5" x14ac:dyDescent="0.35">
      <c r="D202"/>
    </row>
    <row r="203" spans="1:16352" ht="14.5" x14ac:dyDescent="0.35">
      <c r="D203"/>
    </row>
  </sheetData>
  <autoFilter ref="A1:XDX187" xr:uid="{DB32E296-00AE-4395-896C-9C8011B8C3B4}"/>
  <mergeCells count="1">
    <mergeCell ref="A189:C201"/>
  </mergeCell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B824C96-9D8E-4DF2-952E-EF8240B521BD}">
          <x14:formula1>
            <xm:f>Sheet2!$A$1:$A$8</xm:f>
          </x14:formula1>
          <xm:sqref>E2:G187 U2:U187 L2:M187 O2:R187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1696-FDE1-46DC-8747-91DB2590844D}">
  <sheetPr>
    <tabColor theme="6" tint="-0.499984740745262"/>
  </sheetPr>
  <dimension ref="A1:XDX217"/>
  <sheetViews>
    <sheetView zoomScale="90" zoomScaleNormal="9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A13" sqref="A13:XFD13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58.26953125" style="25" customWidth="1"/>
    <col min="4" max="4" width="17.90625" style="25" customWidth="1"/>
    <col min="5" max="5" width="9.453125" style="3" customWidth="1"/>
    <col min="6" max="6" width="10.36328125" style="3" customWidth="1"/>
    <col min="7" max="10" width="9.453125" style="3" customWidth="1"/>
    <col min="11" max="11" width="12.26953125" style="3" customWidth="1"/>
    <col min="12" max="13" width="11.26953125" style="3" customWidth="1"/>
    <col min="14" max="14" width="12.26953125" style="3" customWidth="1"/>
    <col min="15" max="15" width="11.36328125" style="3" customWidth="1"/>
    <col min="16" max="16" width="14.90625" style="3" customWidth="1"/>
    <col min="17" max="19" width="9.453125" style="3" customWidth="1"/>
    <col min="20" max="20" width="11.08984375" style="3" customWidth="1"/>
    <col min="21" max="21" width="16.54296875" style="3" customWidth="1"/>
    <col min="22" max="23" width="9.453125" style="3" customWidth="1"/>
    <col min="24" max="24" width="12.1796875" style="3" customWidth="1"/>
    <col min="25" max="27" width="9.453125" style="3" customWidth="1"/>
    <col min="28" max="28" width="9.1796875" style="3" customWidth="1"/>
    <col min="29" max="29" width="9.26953125" style="3" customWidth="1"/>
    <col min="30" max="30" width="10.36328125" style="3" customWidth="1"/>
    <col min="31" max="31" width="9.6328125" style="3" customWidth="1"/>
    <col min="32" max="32" width="15.1796875" style="3" customWidth="1"/>
    <col min="33" max="36" width="9.453125" style="3" customWidth="1"/>
    <col min="37" max="37" width="11.6328125" style="3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8 16352:16352" ht="14.5" x14ac:dyDescent="0.35">
      <c r="A1" s="71" t="s">
        <v>318</v>
      </c>
      <c r="B1" s="71" t="s">
        <v>6</v>
      </c>
      <c r="C1" s="71" t="s">
        <v>7</v>
      </c>
      <c r="D1" s="71" t="s">
        <v>8</v>
      </c>
      <c r="E1" s="39" t="s">
        <v>22</v>
      </c>
      <c r="F1" s="39" t="s">
        <v>70</v>
      </c>
      <c r="G1" s="39" t="s">
        <v>23</v>
      </c>
      <c r="H1" s="39" t="s">
        <v>69</v>
      </c>
      <c r="I1" s="39" t="s">
        <v>85</v>
      </c>
      <c r="J1" s="39" t="s">
        <v>86</v>
      </c>
      <c r="K1" s="39" t="s">
        <v>24</v>
      </c>
      <c r="L1" s="39" t="s">
        <v>67</v>
      </c>
      <c r="M1" s="39" t="s">
        <v>66</v>
      </c>
      <c r="N1" s="39" t="s">
        <v>25</v>
      </c>
      <c r="O1" s="39" t="s">
        <v>71</v>
      </c>
      <c r="P1" s="39" t="s">
        <v>14</v>
      </c>
      <c r="Q1" s="39" t="s">
        <v>72</v>
      </c>
      <c r="R1" s="39" t="s">
        <v>13</v>
      </c>
      <c r="S1" s="39" t="s">
        <v>18</v>
      </c>
      <c r="T1" s="39" t="s">
        <v>19</v>
      </c>
      <c r="U1" s="39" t="s">
        <v>80</v>
      </c>
      <c r="V1" s="39" t="s">
        <v>17</v>
      </c>
      <c r="W1" s="39" t="s">
        <v>79</v>
      </c>
      <c r="X1" s="39" t="s">
        <v>16</v>
      </c>
      <c r="Y1" s="39" t="s">
        <v>90</v>
      </c>
      <c r="Z1" s="39" t="s">
        <v>91</v>
      </c>
      <c r="AA1" s="39" t="s">
        <v>92</v>
      </c>
      <c r="AB1" s="39" t="s">
        <v>15</v>
      </c>
      <c r="AC1" s="39" t="s">
        <v>73</v>
      </c>
      <c r="AD1" s="39" t="s">
        <v>11</v>
      </c>
      <c r="AE1" s="39" t="s">
        <v>10</v>
      </c>
      <c r="AF1" s="39" t="s">
        <v>94</v>
      </c>
      <c r="AG1" s="39" t="s">
        <v>12</v>
      </c>
      <c r="AH1" s="39" t="s">
        <v>9</v>
      </c>
      <c r="AI1" s="39" t="s">
        <v>78</v>
      </c>
      <c r="AJ1" s="39" t="s">
        <v>20</v>
      </c>
      <c r="AK1" s="39" t="s">
        <v>65</v>
      </c>
      <c r="XDX1" s="3" t="s">
        <v>26</v>
      </c>
    </row>
    <row r="2" spans="1:38 16352:16352" x14ac:dyDescent="0.3">
      <c r="A2" s="65">
        <v>1</v>
      </c>
      <c r="B2" s="63">
        <v>46023</v>
      </c>
      <c r="C2" s="66" t="s">
        <v>121</v>
      </c>
      <c r="D2" s="66" t="s">
        <v>96</v>
      </c>
      <c r="E2" s="92" t="s">
        <v>358</v>
      </c>
      <c r="F2" s="92" t="s">
        <v>358</v>
      </c>
      <c r="G2" s="92" t="s">
        <v>358</v>
      </c>
      <c r="H2" s="92" t="s">
        <v>358</v>
      </c>
      <c r="I2" s="92" t="s">
        <v>358</v>
      </c>
      <c r="J2" s="67"/>
      <c r="K2" s="92" t="s">
        <v>358</v>
      </c>
      <c r="L2" s="67"/>
      <c r="M2" s="92" t="s">
        <v>358</v>
      </c>
      <c r="N2" s="92" t="s">
        <v>358</v>
      </c>
      <c r="O2" s="92" t="s">
        <v>358</v>
      </c>
      <c r="P2" s="92" t="s">
        <v>358</v>
      </c>
      <c r="Q2" s="92" t="s">
        <v>358</v>
      </c>
      <c r="R2" s="92" t="s">
        <v>358</v>
      </c>
      <c r="S2" s="92" t="s">
        <v>358</v>
      </c>
      <c r="T2" s="92" t="s">
        <v>358</v>
      </c>
      <c r="U2" s="92" t="s">
        <v>358</v>
      </c>
      <c r="V2" s="67"/>
      <c r="W2" s="92" t="s">
        <v>358</v>
      </c>
      <c r="X2" s="92" t="s">
        <v>358</v>
      </c>
      <c r="Y2" s="92" t="s">
        <v>358</v>
      </c>
      <c r="Z2" s="92" t="s">
        <v>358</v>
      </c>
      <c r="AA2" s="92" t="s">
        <v>358</v>
      </c>
      <c r="AB2" s="92" t="s">
        <v>358</v>
      </c>
      <c r="AC2" s="92" t="s">
        <v>358</v>
      </c>
      <c r="AD2" s="92" t="s">
        <v>358</v>
      </c>
      <c r="AE2" s="92" t="s">
        <v>358</v>
      </c>
      <c r="AF2" s="92" t="s">
        <v>358</v>
      </c>
      <c r="AG2" s="92" t="s">
        <v>358</v>
      </c>
      <c r="AH2" s="92" t="s">
        <v>358</v>
      </c>
      <c r="AI2" s="92" t="s">
        <v>358</v>
      </c>
      <c r="AJ2" s="92" t="s">
        <v>358</v>
      </c>
      <c r="AK2" s="94" t="s">
        <v>358</v>
      </c>
    </row>
    <row r="3" spans="1:38 16352:16352" x14ac:dyDescent="0.3">
      <c r="A3" s="65">
        <v>2</v>
      </c>
      <c r="B3" s="63">
        <v>46024</v>
      </c>
      <c r="C3" s="66" t="s">
        <v>128</v>
      </c>
      <c r="D3" s="66" t="s">
        <v>127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75"/>
      <c r="T3" s="67"/>
      <c r="U3" s="67"/>
      <c r="V3" s="67"/>
      <c r="W3" s="67"/>
      <c r="X3" s="67"/>
      <c r="Y3" s="75"/>
      <c r="Z3" s="67"/>
      <c r="AA3" s="67"/>
      <c r="AB3" s="67"/>
      <c r="AC3" s="67"/>
      <c r="AD3" s="67"/>
      <c r="AE3" s="67"/>
      <c r="AF3" s="75"/>
      <c r="AG3" s="67"/>
      <c r="AH3" s="67"/>
      <c r="AI3" s="67"/>
      <c r="AJ3" s="62"/>
      <c r="AK3" s="62"/>
    </row>
    <row r="4" spans="1:38 16352:16352" x14ac:dyDescent="0.3">
      <c r="A4" s="65">
        <v>3</v>
      </c>
      <c r="B4" s="63">
        <v>46025</v>
      </c>
      <c r="C4" s="66" t="s">
        <v>237</v>
      </c>
      <c r="D4" s="66" t="s">
        <v>64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75"/>
      <c r="T4" s="67"/>
      <c r="U4" s="67"/>
      <c r="V4" s="67"/>
      <c r="W4" s="67"/>
      <c r="X4" s="67"/>
      <c r="Y4" s="76"/>
      <c r="Z4" s="67"/>
      <c r="AA4" s="67"/>
      <c r="AB4" s="67"/>
      <c r="AC4" s="67"/>
      <c r="AD4" s="67"/>
      <c r="AE4" s="67"/>
      <c r="AF4" s="75"/>
      <c r="AG4" s="67"/>
      <c r="AH4" s="67"/>
      <c r="AI4" s="67"/>
      <c r="AJ4" s="62"/>
      <c r="AK4" s="62"/>
    </row>
    <row r="5" spans="1:38 16352:16352" x14ac:dyDescent="0.3">
      <c r="A5" s="65">
        <v>4</v>
      </c>
      <c r="B5" s="63">
        <v>46027</v>
      </c>
      <c r="C5" s="66" t="s">
        <v>176</v>
      </c>
      <c r="D5" s="66" t="s">
        <v>101</v>
      </c>
      <c r="E5" s="67"/>
      <c r="F5" s="67"/>
      <c r="G5" s="67"/>
      <c r="H5" s="67"/>
      <c r="I5" s="67"/>
      <c r="J5" s="92" t="s">
        <v>358</v>
      </c>
      <c r="K5" s="67"/>
      <c r="L5" s="67"/>
      <c r="M5" s="67"/>
      <c r="N5" s="67"/>
      <c r="O5" s="67"/>
      <c r="P5" s="67"/>
      <c r="Q5" s="67"/>
      <c r="R5" s="67"/>
      <c r="S5" s="75"/>
      <c r="T5" s="67"/>
      <c r="U5" s="67"/>
      <c r="V5" s="67"/>
      <c r="W5" s="67"/>
      <c r="X5" s="67"/>
      <c r="Y5" s="76"/>
      <c r="Z5" s="67"/>
      <c r="AA5" s="67"/>
      <c r="AB5" s="67"/>
      <c r="AC5" s="67"/>
      <c r="AD5" s="67"/>
      <c r="AE5" s="67"/>
      <c r="AF5" s="75"/>
      <c r="AG5" s="67"/>
      <c r="AH5" s="67"/>
      <c r="AI5" s="67"/>
      <c r="AJ5" s="62"/>
      <c r="AK5" s="62"/>
    </row>
    <row r="6" spans="1:38 16352:16352" x14ac:dyDescent="0.3">
      <c r="A6" s="65">
        <v>5</v>
      </c>
      <c r="B6" s="63">
        <v>46029</v>
      </c>
      <c r="C6" s="66" t="s">
        <v>238</v>
      </c>
      <c r="D6" s="66" t="s">
        <v>97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75"/>
      <c r="T6" s="67"/>
      <c r="U6" s="67"/>
      <c r="V6" s="67"/>
      <c r="W6" s="67"/>
      <c r="X6" s="67"/>
      <c r="Y6" s="76"/>
      <c r="Z6" s="67"/>
      <c r="AA6" s="67"/>
      <c r="AB6" s="67"/>
      <c r="AC6" s="67"/>
      <c r="AD6" s="67"/>
      <c r="AE6" s="67"/>
      <c r="AF6" s="75"/>
      <c r="AG6" s="67"/>
      <c r="AH6" s="67"/>
      <c r="AI6" s="67"/>
      <c r="AJ6" s="62"/>
      <c r="AK6" s="62"/>
    </row>
    <row r="7" spans="1:38 16352:16352" x14ac:dyDescent="0.3">
      <c r="A7" s="65">
        <v>6</v>
      </c>
      <c r="B7" s="63">
        <v>46031</v>
      </c>
      <c r="C7" s="66" t="s">
        <v>344</v>
      </c>
      <c r="D7" s="66" t="s">
        <v>127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75"/>
      <c r="T7" s="67"/>
      <c r="U7" s="67"/>
      <c r="V7" s="67"/>
      <c r="W7" s="67"/>
      <c r="X7" s="67"/>
      <c r="Y7" s="76"/>
      <c r="Z7" s="67"/>
      <c r="AA7" s="67"/>
      <c r="AB7" s="67"/>
      <c r="AC7" s="67"/>
      <c r="AD7" s="67"/>
      <c r="AE7" s="67"/>
      <c r="AF7" s="75"/>
      <c r="AG7" s="67"/>
      <c r="AH7" s="67"/>
      <c r="AI7" s="67"/>
      <c r="AJ7" s="62"/>
      <c r="AK7" s="62"/>
    </row>
    <row r="8" spans="1:38 16352:16352" x14ac:dyDescent="0.3">
      <c r="A8" s="65">
        <v>7</v>
      </c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75"/>
      <c r="T8" s="67"/>
      <c r="U8" s="67"/>
      <c r="V8" s="67"/>
      <c r="W8" s="67"/>
      <c r="X8" s="67"/>
      <c r="Y8" s="76"/>
      <c r="Z8" s="67"/>
      <c r="AA8" s="67"/>
      <c r="AB8" s="67"/>
      <c r="AC8" s="67"/>
      <c r="AD8" s="67"/>
      <c r="AE8" s="67"/>
      <c r="AF8" s="75"/>
      <c r="AG8" s="67"/>
      <c r="AH8" s="67"/>
      <c r="AI8" s="67"/>
      <c r="AJ8" s="62"/>
      <c r="AK8" s="62"/>
    </row>
    <row r="9" spans="1:38 16352:16352" x14ac:dyDescent="0.3">
      <c r="A9" s="65">
        <v>8</v>
      </c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/>
      <c r="T9" s="67"/>
      <c r="U9" s="67"/>
      <c r="V9" s="67"/>
      <c r="W9" s="67"/>
      <c r="X9" s="67"/>
      <c r="Y9" s="75"/>
      <c r="Z9" s="67"/>
      <c r="AA9" s="67"/>
      <c r="AB9" s="67"/>
      <c r="AC9" s="67"/>
      <c r="AD9" s="67"/>
      <c r="AE9" s="67"/>
      <c r="AF9" s="75"/>
      <c r="AG9" s="67"/>
      <c r="AH9" s="67"/>
      <c r="AI9" s="67"/>
      <c r="AJ9" s="62"/>
      <c r="AK9" s="62"/>
    </row>
    <row r="10" spans="1:38 16352:16352" x14ac:dyDescent="0.3">
      <c r="A10" s="65">
        <v>9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5"/>
      <c r="T10" s="67"/>
      <c r="U10" s="67"/>
      <c r="V10" s="67"/>
      <c r="W10" s="67"/>
      <c r="X10" s="67"/>
      <c r="Y10" s="76"/>
      <c r="Z10" s="67"/>
      <c r="AA10" s="67"/>
      <c r="AB10" s="67"/>
      <c r="AC10" s="67"/>
      <c r="AD10" s="67"/>
      <c r="AE10" s="67"/>
      <c r="AF10" s="75"/>
      <c r="AG10" s="67"/>
      <c r="AH10" s="67"/>
      <c r="AI10" s="67"/>
      <c r="AJ10" s="62"/>
      <c r="AK10" s="62"/>
    </row>
    <row r="11" spans="1:38 16352:16352" x14ac:dyDescent="0.3">
      <c r="A11" s="65">
        <v>10</v>
      </c>
      <c r="B11" s="63">
        <v>46035</v>
      </c>
      <c r="C11" s="66" t="s">
        <v>168</v>
      </c>
      <c r="D11" s="66" t="s">
        <v>101</v>
      </c>
      <c r="E11" s="67"/>
      <c r="F11" s="67"/>
      <c r="G11" s="92" t="s">
        <v>358</v>
      </c>
      <c r="H11" s="67"/>
      <c r="I11" s="92" t="s">
        <v>358</v>
      </c>
      <c r="J11" s="67"/>
      <c r="K11" s="92" t="s">
        <v>358</v>
      </c>
      <c r="L11" s="67"/>
      <c r="M11" s="67"/>
      <c r="N11" s="67"/>
      <c r="O11" s="67"/>
      <c r="P11" s="67"/>
      <c r="Q11" s="67"/>
      <c r="R11" s="67"/>
      <c r="S11" s="75"/>
      <c r="T11" s="67"/>
      <c r="U11" s="67"/>
      <c r="V11" s="67"/>
      <c r="W11" s="67"/>
      <c r="X11" s="67"/>
      <c r="Y11" s="76"/>
      <c r="Z11" s="67"/>
      <c r="AA11" s="67"/>
      <c r="AB11" s="67"/>
      <c r="AC11" s="67"/>
      <c r="AD11" s="67"/>
      <c r="AE11" s="67"/>
      <c r="AF11" s="75"/>
      <c r="AG11" s="67"/>
      <c r="AH11" s="67"/>
      <c r="AI11" s="67"/>
      <c r="AJ11" s="62"/>
      <c r="AK11" s="62"/>
    </row>
    <row r="12" spans="1:38 16352:16352" x14ac:dyDescent="0.3">
      <c r="A12" s="65">
        <v>11</v>
      </c>
      <c r="B12" s="63">
        <v>46036</v>
      </c>
      <c r="C12" s="66" t="s">
        <v>186</v>
      </c>
      <c r="D12" s="66" t="s">
        <v>97</v>
      </c>
      <c r="E12" s="67"/>
      <c r="F12" s="92" t="s">
        <v>358</v>
      </c>
      <c r="G12" s="67"/>
      <c r="H12" s="69"/>
      <c r="I12" s="67"/>
      <c r="J12" s="67"/>
      <c r="K12" s="67"/>
      <c r="L12" s="67"/>
      <c r="M12" s="92" t="s">
        <v>358</v>
      </c>
      <c r="N12" s="67"/>
      <c r="O12" s="92" t="s">
        <v>358</v>
      </c>
      <c r="P12" s="92" t="s">
        <v>358</v>
      </c>
      <c r="Q12" s="92" t="s">
        <v>358</v>
      </c>
      <c r="R12" s="92" t="s">
        <v>358</v>
      </c>
      <c r="T12" s="67"/>
      <c r="W12" s="67"/>
      <c r="X12" s="67"/>
      <c r="Y12" s="76"/>
      <c r="Z12" s="92" t="s">
        <v>358</v>
      </c>
      <c r="AA12" s="67"/>
      <c r="AB12" s="92" t="s">
        <v>358</v>
      </c>
      <c r="AC12" s="92" t="s">
        <v>358</v>
      </c>
      <c r="AE12" s="67"/>
      <c r="AF12" s="75"/>
      <c r="AG12" s="67"/>
      <c r="AI12" s="67"/>
      <c r="AJ12" s="94" t="s">
        <v>358</v>
      </c>
      <c r="AK12" s="62"/>
    </row>
    <row r="13" spans="1:38 16352:16352" x14ac:dyDescent="0.3">
      <c r="A13" s="65">
        <v>12</v>
      </c>
      <c r="B13" s="63">
        <v>46037</v>
      </c>
      <c r="C13" s="66" t="s">
        <v>142</v>
      </c>
      <c r="D13" s="66" t="s">
        <v>96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5"/>
      <c r="T13" s="67"/>
      <c r="U13" s="67"/>
      <c r="V13" s="75"/>
      <c r="W13" s="67"/>
      <c r="X13" s="67"/>
      <c r="Y13" s="76"/>
      <c r="Z13" s="67"/>
      <c r="AA13" s="92" t="s">
        <v>358</v>
      </c>
      <c r="AB13" s="67"/>
      <c r="AC13" s="92" t="s">
        <v>358</v>
      </c>
      <c r="AD13" s="92" t="s">
        <v>358</v>
      </c>
      <c r="AE13" s="92" t="s">
        <v>358</v>
      </c>
      <c r="AF13" s="75"/>
      <c r="AG13" s="92" t="s">
        <v>358</v>
      </c>
      <c r="AH13" s="92" t="s">
        <v>358</v>
      </c>
      <c r="AI13" s="67"/>
      <c r="AJ13" s="62"/>
      <c r="AK13" s="62"/>
    </row>
    <row r="14" spans="1:38 16352:16352" x14ac:dyDescent="0.3">
      <c r="A14" s="65">
        <v>13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5"/>
      <c r="T14" s="67"/>
      <c r="U14" s="67"/>
      <c r="V14" s="67"/>
      <c r="W14" s="67"/>
      <c r="X14" s="67"/>
      <c r="Y14" s="76"/>
      <c r="Z14" s="67"/>
      <c r="AA14" s="67"/>
      <c r="AB14" s="67"/>
      <c r="AC14" s="92" t="s">
        <v>358</v>
      </c>
      <c r="AD14" s="67"/>
      <c r="AE14" s="92" t="s">
        <v>358</v>
      </c>
      <c r="AF14" s="92" t="s">
        <v>358</v>
      </c>
      <c r="AG14" s="92" t="s">
        <v>358</v>
      </c>
      <c r="AI14" s="67"/>
      <c r="AJ14" s="62"/>
      <c r="AK14" s="62"/>
    </row>
    <row r="15" spans="1:38 16352:16352" x14ac:dyDescent="0.3">
      <c r="A15" s="65">
        <v>14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5"/>
      <c r="T15" s="67"/>
      <c r="U15" s="67"/>
      <c r="V15" s="67"/>
      <c r="W15" s="67"/>
      <c r="X15" s="67"/>
      <c r="Y15" s="76"/>
      <c r="Z15" s="67"/>
      <c r="AA15" s="67"/>
      <c r="AB15" s="67"/>
      <c r="AC15" s="67"/>
      <c r="AD15" s="67"/>
      <c r="AE15" s="67"/>
      <c r="AF15" s="75"/>
      <c r="AG15" s="67"/>
      <c r="AH15" s="67"/>
      <c r="AI15" s="67"/>
      <c r="AJ15" s="62"/>
      <c r="AK15" s="62"/>
    </row>
    <row r="16" spans="1:38 16352:16352" s="48" customFormat="1" x14ac:dyDescent="0.3">
      <c r="A16" s="65">
        <v>15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5"/>
      <c r="T16" s="67"/>
      <c r="U16" s="67"/>
      <c r="V16" s="67"/>
      <c r="W16" s="67"/>
      <c r="X16" s="67"/>
      <c r="Y16" s="76"/>
      <c r="Z16" s="67"/>
      <c r="AA16" s="67"/>
      <c r="AB16" s="67"/>
      <c r="AC16" s="67"/>
      <c r="AD16" s="67"/>
      <c r="AE16" s="67"/>
      <c r="AF16" s="75"/>
      <c r="AG16" s="67"/>
      <c r="AH16" s="67"/>
      <c r="AI16" s="67"/>
      <c r="AJ16" s="62"/>
      <c r="AK16" s="62"/>
      <c r="AL16" s="3"/>
    </row>
    <row r="17" spans="1:38" s="48" customFormat="1" x14ac:dyDescent="0.3">
      <c r="A17" s="65">
        <v>16</v>
      </c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75"/>
      <c r="T17" s="67"/>
      <c r="U17" s="67"/>
      <c r="V17" s="67"/>
      <c r="W17" s="67"/>
      <c r="X17" s="67"/>
      <c r="Y17" s="76"/>
      <c r="Z17" s="67"/>
      <c r="AA17" s="67"/>
      <c r="AB17" s="67"/>
      <c r="AC17" s="67"/>
      <c r="AD17" s="67"/>
      <c r="AE17" s="67"/>
      <c r="AF17" s="75"/>
      <c r="AG17" s="67"/>
      <c r="AH17" s="67"/>
      <c r="AI17" s="67"/>
      <c r="AJ17" s="62"/>
      <c r="AK17" s="62"/>
      <c r="AL17" s="3"/>
    </row>
    <row r="18" spans="1:38" x14ac:dyDescent="0.3">
      <c r="A18" s="65">
        <v>17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9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75"/>
      <c r="U18" s="67"/>
      <c r="V18" s="67"/>
      <c r="W18" s="67"/>
      <c r="X18" s="67"/>
      <c r="Y18" s="76"/>
      <c r="Z18" s="67"/>
      <c r="AA18" s="67"/>
      <c r="AB18" s="67"/>
      <c r="AC18" s="67"/>
      <c r="AD18" s="67"/>
      <c r="AE18" s="67"/>
      <c r="AF18" s="75"/>
      <c r="AG18" s="67"/>
      <c r="AH18" s="67"/>
      <c r="AI18" s="67"/>
      <c r="AJ18" s="62"/>
      <c r="AK18" s="62"/>
    </row>
    <row r="19" spans="1:38" x14ac:dyDescent="0.3">
      <c r="A19" s="65">
        <v>18</v>
      </c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75"/>
      <c r="T19" s="67"/>
      <c r="U19" s="67"/>
      <c r="V19" s="67"/>
      <c r="W19" s="67"/>
      <c r="X19" s="67"/>
      <c r="Y19" s="76"/>
      <c r="Z19" s="67"/>
      <c r="AA19" s="67"/>
      <c r="AB19" s="67"/>
      <c r="AC19" s="67"/>
      <c r="AD19" s="67"/>
      <c r="AE19" s="67"/>
      <c r="AF19" s="75"/>
      <c r="AG19" s="67"/>
      <c r="AH19" s="67"/>
      <c r="AI19" s="67"/>
      <c r="AJ19" s="62"/>
      <c r="AK19" s="62"/>
    </row>
    <row r="20" spans="1:38" x14ac:dyDescent="0.3">
      <c r="A20" s="65">
        <v>19</v>
      </c>
      <c r="B20" s="63">
        <v>46047</v>
      </c>
      <c r="C20" s="66" t="s">
        <v>231</v>
      </c>
      <c r="D20" s="66" t="s">
        <v>63</v>
      </c>
      <c r="E20" s="67"/>
      <c r="F20" s="67"/>
      <c r="G20" s="67"/>
      <c r="H20" s="69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75"/>
      <c r="T20" s="67"/>
      <c r="U20" s="67"/>
      <c r="V20" s="67"/>
      <c r="W20" s="67"/>
      <c r="X20" s="67"/>
      <c r="Y20" s="76"/>
      <c r="Z20" s="67"/>
      <c r="AA20" s="67"/>
      <c r="AB20" s="67"/>
      <c r="AC20" s="67"/>
      <c r="AD20" s="67"/>
      <c r="AE20" s="67"/>
      <c r="AF20" s="75"/>
      <c r="AG20" s="67"/>
      <c r="AH20" s="67"/>
      <c r="AI20" s="67"/>
      <c r="AJ20" s="62"/>
      <c r="AK20" s="62"/>
    </row>
    <row r="21" spans="1:38" x14ac:dyDescent="0.3">
      <c r="A21" s="65">
        <v>20</v>
      </c>
      <c r="B21" s="63">
        <v>46048</v>
      </c>
      <c r="C21" s="66" t="s">
        <v>30</v>
      </c>
      <c r="D21" s="66" t="s">
        <v>98</v>
      </c>
      <c r="E21" s="92" t="s">
        <v>357</v>
      </c>
      <c r="F21" s="92" t="s">
        <v>357</v>
      </c>
      <c r="G21" s="92" t="s">
        <v>357</v>
      </c>
      <c r="H21" s="92" t="s">
        <v>357</v>
      </c>
      <c r="I21" s="92" t="s">
        <v>357</v>
      </c>
      <c r="J21" s="92" t="s">
        <v>357</v>
      </c>
      <c r="K21" s="92" t="s">
        <v>357</v>
      </c>
      <c r="L21" s="92" t="s">
        <v>357</v>
      </c>
      <c r="M21" s="92" t="s">
        <v>357</v>
      </c>
      <c r="N21" s="92" t="s">
        <v>357</v>
      </c>
      <c r="O21" s="92" t="s">
        <v>357</v>
      </c>
      <c r="P21" s="92" t="s">
        <v>357</v>
      </c>
      <c r="Q21" s="92" t="s">
        <v>357</v>
      </c>
      <c r="R21" s="92" t="s">
        <v>357</v>
      </c>
      <c r="S21" s="92" t="s">
        <v>357</v>
      </c>
      <c r="T21" s="92" t="s">
        <v>357</v>
      </c>
      <c r="U21" s="92" t="s">
        <v>357</v>
      </c>
      <c r="V21" s="92" t="s">
        <v>357</v>
      </c>
      <c r="W21" s="92" t="s">
        <v>357</v>
      </c>
      <c r="X21" s="92" t="s">
        <v>357</v>
      </c>
      <c r="Y21" s="92" t="s">
        <v>357</v>
      </c>
      <c r="Z21" s="92" t="s">
        <v>357</v>
      </c>
      <c r="AA21" s="92" t="s">
        <v>357</v>
      </c>
      <c r="AB21" s="92" t="s">
        <v>357</v>
      </c>
      <c r="AC21" s="92" t="s">
        <v>357</v>
      </c>
      <c r="AD21" s="92" t="s">
        <v>357</v>
      </c>
      <c r="AE21" s="92" t="s">
        <v>357</v>
      </c>
      <c r="AF21" s="92" t="s">
        <v>357</v>
      </c>
      <c r="AG21" s="92" t="s">
        <v>357</v>
      </c>
      <c r="AH21" s="92" t="s">
        <v>357</v>
      </c>
      <c r="AI21" s="92" t="s">
        <v>357</v>
      </c>
      <c r="AJ21" s="92" t="s">
        <v>357</v>
      </c>
      <c r="AK21" s="92" t="s">
        <v>357</v>
      </c>
    </row>
    <row r="22" spans="1:38" x14ac:dyDescent="0.3">
      <c r="A22" s="65">
        <v>21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5"/>
      <c r="T22" s="67"/>
      <c r="U22" s="67"/>
      <c r="V22" s="92" t="s">
        <v>358</v>
      </c>
      <c r="W22" s="67"/>
      <c r="X22" s="67"/>
      <c r="Y22" s="76"/>
      <c r="Z22" s="67"/>
      <c r="AA22" s="67"/>
      <c r="AB22" s="67"/>
      <c r="AC22" s="67"/>
      <c r="AD22" s="67"/>
      <c r="AE22" s="67"/>
      <c r="AF22" s="75"/>
      <c r="AG22" s="67"/>
      <c r="AH22" s="67"/>
      <c r="AI22" s="67"/>
      <c r="AJ22" s="62"/>
      <c r="AK22" s="62"/>
    </row>
    <row r="23" spans="1:38" x14ac:dyDescent="0.3">
      <c r="A23" s="65">
        <v>22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5"/>
      <c r="T23" s="67"/>
      <c r="U23" s="67"/>
      <c r="V23" s="67"/>
      <c r="W23" s="67"/>
      <c r="X23" s="67"/>
      <c r="Y23" s="76"/>
      <c r="Z23" s="67"/>
      <c r="AA23" s="67"/>
      <c r="AB23" s="67"/>
      <c r="AC23" s="67"/>
      <c r="AD23" s="67"/>
      <c r="AE23" s="67"/>
      <c r="AF23" s="75"/>
      <c r="AG23" s="67"/>
      <c r="AH23" s="67"/>
      <c r="AI23" s="67"/>
      <c r="AJ23" s="62"/>
      <c r="AK23" s="62"/>
    </row>
    <row r="24" spans="1:38" x14ac:dyDescent="0.3">
      <c r="A24" s="65">
        <v>23</v>
      </c>
      <c r="B24" s="63">
        <v>46053</v>
      </c>
      <c r="C24" s="66" t="s">
        <v>330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5"/>
      <c r="T24" s="67"/>
      <c r="U24" s="67"/>
      <c r="V24" s="67"/>
      <c r="W24" s="67"/>
      <c r="X24" s="67"/>
      <c r="Y24" s="76"/>
      <c r="Z24" s="67"/>
      <c r="AA24" s="67"/>
      <c r="AB24" s="67"/>
      <c r="AC24" s="67"/>
      <c r="AD24" s="67"/>
      <c r="AE24" s="67"/>
      <c r="AF24" s="75"/>
      <c r="AG24" s="67"/>
      <c r="AH24" s="67"/>
      <c r="AI24" s="67"/>
      <c r="AJ24" s="62"/>
      <c r="AK24" s="62"/>
    </row>
    <row r="25" spans="1:38" x14ac:dyDescent="0.3">
      <c r="A25" s="65">
        <v>24</v>
      </c>
      <c r="B25" s="63">
        <v>46054</v>
      </c>
      <c r="C25" s="66" t="s">
        <v>277</v>
      </c>
      <c r="D25" s="66" t="s">
        <v>63</v>
      </c>
      <c r="E25" s="67"/>
      <c r="F25" s="67"/>
      <c r="G25" s="67"/>
      <c r="H25" s="69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75"/>
      <c r="T25" s="67"/>
      <c r="U25" s="67"/>
      <c r="V25" s="67"/>
      <c r="W25" s="67"/>
      <c r="X25" s="67"/>
      <c r="Y25" s="76"/>
      <c r="Z25" s="67"/>
      <c r="AA25" s="67"/>
      <c r="AB25" s="67"/>
      <c r="AC25" s="67"/>
      <c r="AD25" s="67"/>
      <c r="AE25" s="67"/>
      <c r="AF25" s="75"/>
      <c r="AG25" s="67"/>
      <c r="AH25" s="67"/>
      <c r="AI25" s="67"/>
      <c r="AJ25" s="62"/>
      <c r="AK25" s="62"/>
    </row>
    <row r="26" spans="1:38" x14ac:dyDescent="0.3">
      <c r="A26" s="65">
        <v>25</v>
      </c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75"/>
      <c r="T26" s="67"/>
      <c r="U26" s="67"/>
      <c r="V26" s="67"/>
      <c r="W26" s="67"/>
      <c r="X26" s="67"/>
      <c r="Y26" s="76"/>
      <c r="Z26" s="67"/>
      <c r="AA26" s="67"/>
      <c r="AB26" s="67"/>
      <c r="AC26" s="67"/>
      <c r="AD26" s="67"/>
      <c r="AE26" s="67"/>
      <c r="AF26" s="75"/>
      <c r="AG26" s="67"/>
      <c r="AH26" s="67"/>
      <c r="AI26" s="67"/>
      <c r="AJ26" s="62"/>
      <c r="AK26" s="62"/>
    </row>
    <row r="27" spans="1:38" x14ac:dyDescent="0.3">
      <c r="A27" s="65">
        <v>26</v>
      </c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75"/>
      <c r="T27" s="67"/>
      <c r="U27" s="67"/>
      <c r="V27" s="67"/>
      <c r="W27" s="67"/>
      <c r="X27" s="67"/>
      <c r="Y27" s="76"/>
      <c r="Z27" s="67"/>
      <c r="AA27" s="67"/>
      <c r="AB27" s="67"/>
      <c r="AC27" s="67"/>
      <c r="AD27" s="67"/>
      <c r="AE27" s="67"/>
      <c r="AF27" s="75"/>
      <c r="AG27" s="67"/>
      <c r="AH27" s="67"/>
      <c r="AI27" s="67"/>
      <c r="AJ27" s="62"/>
      <c r="AK27" s="62"/>
    </row>
    <row r="28" spans="1:38" x14ac:dyDescent="0.3">
      <c r="A28" s="65">
        <v>27</v>
      </c>
      <c r="B28" s="63">
        <v>46065</v>
      </c>
      <c r="C28" s="66" t="s">
        <v>242</v>
      </c>
      <c r="D28" s="66" t="s">
        <v>96</v>
      </c>
      <c r="E28" s="67"/>
      <c r="F28" s="67"/>
      <c r="G28" s="67"/>
      <c r="H28" s="6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75"/>
      <c r="T28" s="67"/>
      <c r="U28" s="67"/>
      <c r="V28" s="67"/>
      <c r="W28" s="67"/>
      <c r="X28" s="67"/>
      <c r="Y28" s="76"/>
      <c r="Z28" s="67"/>
      <c r="AA28" s="67"/>
      <c r="AB28" s="67"/>
      <c r="AC28" s="67"/>
      <c r="AD28" s="67"/>
      <c r="AE28" s="67"/>
      <c r="AF28" s="75"/>
      <c r="AG28" s="67"/>
      <c r="AH28" s="67"/>
      <c r="AI28" s="67"/>
      <c r="AJ28" s="62"/>
      <c r="AK28" s="62"/>
    </row>
    <row r="29" spans="1:38" x14ac:dyDescent="0.3">
      <c r="A29" s="65">
        <v>28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9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76"/>
      <c r="Z29" s="67"/>
      <c r="AA29" s="67"/>
      <c r="AB29" s="67"/>
      <c r="AC29" s="67"/>
      <c r="AD29" s="67"/>
      <c r="AE29" s="67"/>
      <c r="AF29" s="75"/>
      <c r="AG29" s="67"/>
      <c r="AH29" s="67"/>
      <c r="AI29" s="67"/>
      <c r="AJ29" s="62"/>
      <c r="AK29" s="62"/>
    </row>
    <row r="30" spans="1:38" x14ac:dyDescent="0.3">
      <c r="A30" s="65">
        <v>29</v>
      </c>
      <c r="B30" s="63">
        <v>46069</v>
      </c>
      <c r="C30" s="66" t="s">
        <v>341</v>
      </c>
      <c r="D30" s="69" t="s">
        <v>98</v>
      </c>
      <c r="E30" s="67"/>
      <c r="F30" s="67"/>
      <c r="G30" s="67"/>
      <c r="H30" s="67"/>
      <c r="I30" s="67"/>
      <c r="J30" s="75"/>
      <c r="K30" s="67"/>
      <c r="L30" s="67"/>
      <c r="M30" s="67"/>
      <c r="N30" s="67"/>
      <c r="O30" s="67"/>
      <c r="P30" s="67"/>
      <c r="Q30" s="75"/>
      <c r="R30" s="67"/>
      <c r="S30" s="75"/>
      <c r="T30" s="67"/>
      <c r="U30" s="67"/>
      <c r="V30" s="67"/>
      <c r="W30" s="67"/>
      <c r="X30" s="67"/>
      <c r="Y30" s="76"/>
      <c r="Z30" s="67"/>
      <c r="AA30" s="67"/>
      <c r="AB30" s="67"/>
      <c r="AC30" s="67"/>
      <c r="AD30" s="67"/>
      <c r="AE30" s="67"/>
      <c r="AF30" s="75"/>
      <c r="AG30" s="67"/>
      <c r="AH30" s="67"/>
      <c r="AI30" s="67"/>
      <c r="AJ30" s="62"/>
      <c r="AK30" s="62"/>
    </row>
    <row r="31" spans="1:38" s="48" customFormat="1" x14ac:dyDescent="0.3">
      <c r="A31" s="65">
        <v>30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5"/>
      <c r="T31" s="67"/>
      <c r="U31" s="67"/>
      <c r="V31" s="67"/>
      <c r="W31" s="67"/>
      <c r="X31" s="67"/>
      <c r="Y31" s="76"/>
      <c r="Z31" s="67"/>
      <c r="AA31" s="92" t="s">
        <v>358</v>
      </c>
      <c r="AB31" s="67"/>
      <c r="AC31" s="67"/>
      <c r="AD31" s="67"/>
      <c r="AE31" s="67"/>
      <c r="AF31" s="75"/>
      <c r="AG31" s="67"/>
      <c r="AH31" s="67"/>
      <c r="AI31" s="67"/>
      <c r="AJ31" s="62"/>
      <c r="AK31" s="62"/>
      <c r="AL31" s="3"/>
    </row>
    <row r="32" spans="1:38" s="48" customFormat="1" x14ac:dyDescent="0.3">
      <c r="A32" s="65">
        <v>31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75"/>
      <c r="T32" s="67"/>
      <c r="U32" s="67"/>
      <c r="V32" s="67"/>
      <c r="W32" s="67"/>
      <c r="X32" s="67"/>
      <c r="Y32" s="76"/>
      <c r="Z32" s="67"/>
      <c r="AA32" s="67"/>
      <c r="AB32" s="67"/>
      <c r="AC32" s="67"/>
      <c r="AD32" s="67"/>
      <c r="AE32" s="67"/>
      <c r="AF32" s="75"/>
      <c r="AG32" s="67"/>
      <c r="AH32" s="67"/>
      <c r="AI32" s="67"/>
      <c r="AJ32" s="62"/>
      <c r="AK32" s="58"/>
      <c r="AL32" s="3"/>
    </row>
    <row r="33" spans="1:37" x14ac:dyDescent="0.3">
      <c r="A33" s="65">
        <v>32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5"/>
      <c r="T33" s="67"/>
      <c r="U33" s="92" t="s">
        <v>357</v>
      </c>
      <c r="V33" s="67"/>
      <c r="W33" s="67"/>
      <c r="X33" s="67"/>
      <c r="Y33" s="92" t="s">
        <v>358</v>
      </c>
      <c r="Z33" s="67"/>
      <c r="AA33" s="67"/>
      <c r="AB33" s="67"/>
      <c r="AC33" s="67"/>
      <c r="AD33" s="67"/>
      <c r="AE33" s="67"/>
      <c r="AF33" s="75"/>
      <c r="AG33" s="67"/>
      <c r="AH33" s="67"/>
      <c r="AI33" s="67"/>
      <c r="AJ33" s="62"/>
      <c r="AK33" s="62"/>
    </row>
    <row r="34" spans="1:37" x14ac:dyDescent="0.3">
      <c r="A34" s="65">
        <v>33</v>
      </c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5"/>
      <c r="T34" s="67"/>
      <c r="U34" s="67"/>
      <c r="V34" s="67"/>
      <c r="W34" s="67"/>
      <c r="X34" s="67"/>
      <c r="Y34" s="76"/>
      <c r="Z34" s="67"/>
      <c r="AA34" s="92" t="s">
        <v>358</v>
      </c>
      <c r="AB34" s="67"/>
      <c r="AC34" s="67"/>
      <c r="AD34" s="67"/>
      <c r="AE34" s="67"/>
      <c r="AF34" s="75"/>
      <c r="AG34" s="67"/>
      <c r="AH34" s="67"/>
      <c r="AI34" s="67"/>
      <c r="AJ34" s="62"/>
      <c r="AK34" s="62"/>
    </row>
    <row r="35" spans="1:37" x14ac:dyDescent="0.3">
      <c r="A35" s="65">
        <v>34</v>
      </c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92" t="s">
        <v>358</v>
      </c>
      <c r="M35" s="67"/>
      <c r="N35" s="67"/>
      <c r="O35" s="67"/>
      <c r="P35" s="67"/>
      <c r="Q35" s="67"/>
      <c r="R35" s="67"/>
      <c r="S35" s="75"/>
      <c r="T35" s="67"/>
      <c r="U35" s="67"/>
      <c r="V35" s="67"/>
      <c r="W35" s="67"/>
      <c r="X35" s="67"/>
      <c r="Y35" s="76"/>
      <c r="Z35" s="67"/>
      <c r="AA35" s="67"/>
      <c r="AB35" s="67"/>
      <c r="AC35" s="67"/>
      <c r="AD35" s="75"/>
      <c r="AE35" s="67"/>
      <c r="AF35" s="75"/>
      <c r="AG35" s="67"/>
      <c r="AH35" s="67"/>
      <c r="AI35" s="67"/>
      <c r="AJ35" s="62"/>
      <c r="AK35" s="62"/>
    </row>
    <row r="36" spans="1:37" x14ac:dyDescent="0.3">
      <c r="A36" s="65">
        <v>35</v>
      </c>
      <c r="B36" s="63">
        <v>46084</v>
      </c>
      <c r="C36" s="66" t="s">
        <v>342</v>
      </c>
      <c r="D36" s="66" t="s">
        <v>101</v>
      </c>
      <c r="E36" s="67"/>
      <c r="F36" s="67"/>
      <c r="G36" s="67"/>
      <c r="H36" s="67"/>
      <c r="I36" s="67"/>
      <c r="J36" s="67"/>
      <c r="K36" s="67"/>
      <c r="L36" s="92" t="s">
        <v>358</v>
      </c>
      <c r="M36" s="67"/>
      <c r="N36" s="67"/>
      <c r="O36" s="67"/>
      <c r="P36" s="67"/>
      <c r="Q36" s="92" t="s">
        <v>358</v>
      </c>
      <c r="R36" s="67"/>
      <c r="S36" s="75"/>
      <c r="T36" s="92" t="s">
        <v>358</v>
      </c>
      <c r="U36" s="67"/>
      <c r="V36" s="92" t="s">
        <v>358</v>
      </c>
      <c r="W36" s="92" t="s">
        <v>358</v>
      </c>
      <c r="X36" s="67"/>
      <c r="Y36" s="76"/>
      <c r="Z36" s="67"/>
      <c r="AA36" s="92" t="s">
        <v>358</v>
      </c>
      <c r="AB36" s="67"/>
      <c r="AC36" s="92" t="s">
        <v>358</v>
      </c>
      <c r="AD36" s="67"/>
      <c r="AE36" s="67"/>
      <c r="AF36" s="75"/>
      <c r="AG36" s="67"/>
      <c r="AH36" s="92" t="s">
        <v>358</v>
      </c>
      <c r="AI36" s="92" t="s">
        <v>358</v>
      </c>
      <c r="AJ36" s="62"/>
      <c r="AK36" s="58"/>
    </row>
    <row r="37" spans="1:37" x14ac:dyDescent="0.3">
      <c r="A37" s="65">
        <v>36</v>
      </c>
      <c r="B37" s="63">
        <v>46085</v>
      </c>
      <c r="C37" s="66" t="s">
        <v>99</v>
      </c>
      <c r="D37" s="66" t="s">
        <v>97</v>
      </c>
      <c r="E37" s="92" t="s">
        <v>358</v>
      </c>
      <c r="F37" s="92" t="s">
        <v>358</v>
      </c>
      <c r="G37" s="92" t="s">
        <v>358</v>
      </c>
      <c r="H37" s="92" t="s">
        <v>358</v>
      </c>
      <c r="I37" s="92" t="s">
        <v>358</v>
      </c>
      <c r="J37" s="75"/>
      <c r="K37" s="92" t="s">
        <v>358</v>
      </c>
      <c r="L37" s="67"/>
      <c r="M37" s="92" t="s">
        <v>358</v>
      </c>
      <c r="N37" s="92" t="s">
        <v>358</v>
      </c>
      <c r="O37" s="92" t="s">
        <v>358</v>
      </c>
      <c r="P37" s="92" t="s">
        <v>358</v>
      </c>
      <c r="Q37" s="67"/>
      <c r="R37" s="92" t="s">
        <v>358</v>
      </c>
      <c r="S37" s="92" t="s">
        <v>358</v>
      </c>
      <c r="T37" s="67"/>
      <c r="U37" s="92" t="s">
        <v>358</v>
      </c>
      <c r="V37" s="67"/>
      <c r="W37" s="67"/>
      <c r="X37" s="92" t="s">
        <v>358</v>
      </c>
      <c r="Y37" s="92" t="s">
        <v>358</v>
      </c>
      <c r="Z37" s="92" t="s">
        <v>358</v>
      </c>
      <c r="AA37" s="67"/>
      <c r="AB37" s="92" t="s">
        <v>358</v>
      </c>
      <c r="AC37" s="67"/>
      <c r="AD37" s="67"/>
      <c r="AE37" s="67"/>
      <c r="AF37" s="75"/>
      <c r="AG37" s="67"/>
      <c r="AH37" s="67"/>
      <c r="AI37" s="67"/>
      <c r="AJ37" s="94" t="s">
        <v>358</v>
      </c>
      <c r="AK37" s="94" t="s">
        <v>358</v>
      </c>
    </row>
    <row r="38" spans="1:37" x14ac:dyDescent="0.3">
      <c r="A38" s="65">
        <v>37</v>
      </c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75"/>
      <c r="T38" s="67"/>
      <c r="U38" s="67"/>
      <c r="V38" s="67"/>
      <c r="W38" s="67"/>
      <c r="X38" s="67"/>
      <c r="Y38" s="76"/>
      <c r="Z38" s="67"/>
      <c r="AA38" s="67"/>
      <c r="AB38" s="67"/>
      <c r="AC38" s="67"/>
      <c r="AD38" s="67"/>
      <c r="AE38" s="67"/>
      <c r="AF38" s="75"/>
      <c r="AG38" s="67"/>
      <c r="AH38" s="67"/>
      <c r="AI38" s="67"/>
      <c r="AJ38" s="62"/>
      <c r="AK38" s="62"/>
    </row>
    <row r="39" spans="1:37" x14ac:dyDescent="0.3">
      <c r="A39" s="65">
        <v>38</v>
      </c>
      <c r="B39" s="63">
        <v>46091</v>
      </c>
      <c r="C39" s="66" t="s">
        <v>367</v>
      </c>
      <c r="D39" s="66" t="s">
        <v>101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5"/>
      <c r="T39" s="67"/>
      <c r="U39" s="67"/>
      <c r="V39" s="67"/>
      <c r="W39" s="67"/>
      <c r="X39" s="67"/>
      <c r="Y39" s="76"/>
      <c r="Z39" s="67"/>
      <c r="AA39" s="67"/>
      <c r="AB39" s="67"/>
      <c r="AC39" s="67"/>
      <c r="AD39" s="67"/>
      <c r="AE39" s="67"/>
      <c r="AF39" s="75"/>
      <c r="AG39" s="67"/>
      <c r="AH39" s="67"/>
      <c r="AI39" s="67"/>
      <c r="AJ39" s="62"/>
      <c r="AK39" s="62"/>
    </row>
    <row r="40" spans="1:37" x14ac:dyDescent="0.3">
      <c r="A40" s="65">
        <v>39</v>
      </c>
      <c r="B40" s="63">
        <v>46092</v>
      </c>
      <c r="C40" s="66" t="s">
        <v>331</v>
      </c>
      <c r="D40" s="66" t="s">
        <v>97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75"/>
      <c r="T40" s="67"/>
      <c r="U40" s="67"/>
      <c r="V40" s="67"/>
      <c r="W40" s="67"/>
      <c r="X40" s="67"/>
      <c r="Y40" s="76"/>
      <c r="Z40" s="67"/>
      <c r="AA40" s="67"/>
      <c r="AB40" s="67"/>
      <c r="AC40" s="67"/>
      <c r="AD40" s="67"/>
      <c r="AE40" s="67"/>
      <c r="AF40" s="75"/>
      <c r="AG40" s="67"/>
      <c r="AH40" s="67"/>
      <c r="AI40" s="67"/>
      <c r="AJ40" s="62"/>
      <c r="AK40" s="62"/>
    </row>
    <row r="41" spans="1:37" x14ac:dyDescent="0.3">
      <c r="A41" s="65">
        <v>40</v>
      </c>
      <c r="B41" s="63">
        <v>46094</v>
      </c>
      <c r="C41" s="66" t="s">
        <v>163</v>
      </c>
      <c r="D41" s="66" t="s">
        <v>127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5"/>
      <c r="T41" s="67"/>
      <c r="U41" s="67"/>
      <c r="V41" s="67"/>
      <c r="W41" s="67"/>
      <c r="X41" s="67"/>
      <c r="Y41" s="75"/>
      <c r="Z41" s="67"/>
      <c r="AA41" s="67"/>
      <c r="AB41" s="67"/>
      <c r="AC41" s="67"/>
      <c r="AD41" s="67"/>
      <c r="AE41" s="67"/>
      <c r="AF41" s="75"/>
      <c r="AG41" s="67"/>
      <c r="AH41" s="67"/>
      <c r="AI41" s="67"/>
      <c r="AJ41" s="62"/>
      <c r="AK41" s="62"/>
    </row>
    <row r="42" spans="1:37" x14ac:dyDescent="0.3">
      <c r="A42" s="65">
        <v>41</v>
      </c>
      <c r="B42" s="63">
        <v>46098</v>
      </c>
      <c r="C42" s="66" t="s">
        <v>174</v>
      </c>
      <c r="D42" s="66" t="s">
        <v>101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75"/>
      <c r="T42" s="67"/>
      <c r="U42" s="67"/>
      <c r="V42" s="67"/>
      <c r="W42" s="67"/>
      <c r="X42" s="67"/>
      <c r="Y42" s="76"/>
      <c r="Z42" s="67"/>
      <c r="AA42" s="67"/>
      <c r="AB42" s="67"/>
      <c r="AC42" s="67"/>
      <c r="AD42" s="67"/>
      <c r="AE42" s="67"/>
      <c r="AF42" s="75"/>
      <c r="AG42" s="67"/>
      <c r="AH42" s="67"/>
      <c r="AI42" s="67"/>
      <c r="AJ42" s="62"/>
      <c r="AK42" s="62"/>
    </row>
    <row r="43" spans="1:37" x14ac:dyDescent="0.3">
      <c r="A43" s="65">
        <v>42</v>
      </c>
      <c r="B43" s="63">
        <v>46100</v>
      </c>
      <c r="C43" s="66" t="s">
        <v>328</v>
      </c>
      <c r="D43" s="66" t="s">
        <v>96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75"/>
      <c r="T43" s="67"/>
      <c r="U43" s="67"/>
      <c r="V43" s="67"/>
      <c r="W43" s="67"/>
      <c r="X43" s="67"/>
      <c r="Y43" s="76"/>
      <c r="Z43" s="67"/>
      <c r="AA43" s="67"/>
      <c r="AB43" s="67"/>
      <c r="AC43" s="92" t="s">
        <v>358</v>
      </c>
      <c r="AD43" s="92" t="s">
        <v>358</v>
      </c>
      <c r="AE43" s="92" t="s">
        <v>358</v>
      </c>
      <c r="AF43" s="75"/>
      <c r="AG43" s="92" t="s">
        <v>358</v>
      </c>
      <c r="AH43" s="92" t="s">
        <v>358</v>
      </c>
      <c r="AI43" s="92" t="s">
        <v>358</v>
      </c>
      <c r="AJ43" s="62"/>
      <c r="AK43" s="94" t="s">
        <v>358</v>
      </c>
    </row>
    <row r="44" spans="1:37" x14ac:dyDescent="0.3">
      <c r="A44" s="65">
        <v>43</v>
      </c>
      <c r="B44" s="63">
        <v>46101</v>
      </c>
      <c r="C44" s="66" t="s">
        <v>245</v>
      </c>
      <c r="D44" s="66" t="s">
        <v>127</v>
      </c>
      <c r="E44" s="67"/>
      <c r="F44" s="67"/>
      <c r="G44" s="67"/>
      <c r="H44" s="67"/>
      <c r="I44" s="92" t="s">
        <v>358</v>
      </c>
      <c r="J44" s="67"/>
      <c r="K44" s="67"/>
      <c r="L44" s="92" t="s">
        <v>358</v>
      </c>
      <c r="M44" s="67"/>
      <c r="N44" s="67"/>
      <c r="O44" s="92" t="s">
        <v>358</v>
      </c>
      <c r="P44" s="67"/>
      <c r="Q44" s="67"/>
      <c r="R44" s="67"/>
      <c r="S44" s="75"/>
      <c r="T44" s="67"/>
      <c r="U44" s="67"/>
      <c r="V44" s="67"/>
      <c r="W44" s="67"/>
      <c r="X44" s="67"/>
      <c r="Y44" s="76"/>
      <c r="Z44" s="67"/>
      <c r="AA44" s="67"/>
      <c r="AB44" s="67"/>
      <c r="AC44" s="67"/>
      <c r="AE44" s="67"/>
      <c r="AF44" s="75"/>
      <c r="AG44" s="67"/>
      <c r="AH44" s="67"/>
      <c r="AI44" s="67"/>
      <c r="AJ44" s="62"/>
      <c r="AK44" s="62"/>
    </row>
    <row r="45" spans="1:37" s="104" customFormat="1" x14ac:dyDescent="0.3">
      <c r="A45" s="98">
        <v>44</v>
      </c>
      <c r="B45" s="99">
        <v>46102</v>
      </c>
      <c r="C45" s="100" t="s">
        <v>141</v>
      </c>
      <c r="D45" s="101" t="s">
        <v>64</v>
      </c>
      <c r="E45" s="102" t="s">
        <v>358</v>
      </c>
      <c r="F45" s="101"/>
      <c r="G45" s="101"/>
      <c r="H45" s="102"/>
      <c r="I45" s="101"/>
      <c r="J45" s="101"/>
      <c r="K45" s="101"/>
      <c r="L45" s="101"/>
      <c r="M45" s="101"/>
      <c r="N45" s="101"/>
      <c r="O45" s="101"/>
      <c r="P45" s="101"/>
      <c r="Q45" s="92" t="s">
        <v>358</v>
      </c>
      <c r="R45" s="92" t="s">
        <v>358</v>
      </c>
      <c r="S45" s="92" t="s">
        <v>358</v>
      </c>
      <c r="T45" s="92" t="s">
        <v>358</v>
      </c>
      <c r="U45" s="92" t="s">
        <v>358</v>
      </c>
      <c r="V45" s="92" t="s">
        <v>358</v>
      </c>
      <c r="W45" s="92" t="s">
        <v>358</v>
      </c>
      <c r="X45" s="92" t="s">
        <v>358</v>
      </c>
      <c r="Y45" s="92" t="s">
        <v>358</v>
      </c>
      <c r="Z45" s="92" t="s">
        <v>358</v>
      </c>
      <c r="AA45" s="92" t="s">
        <v>358</v>
      </c>
      <c r="AB45" s="92" t="s">
        <v>358</v>
      </c>
      <c r="AC45" s="101"/>
      <c r="AD45" s="101"/>
      <c r="AE45" s="101"/>
      <c r="AF45" s="101"/>
      <c r="AG45" s="101"/>
      <c r="AH45" s="101"/>
      <c r="AI45" s="101"/>
      <c r="AJ45" s="103"/>
      <c r="AK45" s="103"/>
    </row>
    <row r="46" spans="1:37" x14ac:dyDescent="0.3">
      <c r="A46" s="65">
        <v>45</v>
      </c>
      <c r="B46" s="63">
        <v>46103</v>
      </c>
      <c r="C46" s="66" t="s">
        <v>280</v>
      </c>
      <c r="D46" s="66" t="s">
        <v>63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75"/>
      <c r="T46" s="67"/>
      <c r="U46" s="67"/>
      <c r="V46" s="67"/>
      <c r="W46" s="67"/>
      <c r="X46" s="67"/>
      <c r="Y46" s="76"/>
      <c r="Z46" s="67"/>
      <c r="AA46" s="67"/>
      <c r="AB46" s="67"/>
      <c r="AC46" s="67"/>
      <c r="AD46" s="67"/>
      <c r="AE46" s="67"/>
      <c r="AF46" s="75"/>
      <c r="AG46" s="67"/>
      <c r="AH46" s="67"/>
      <c r="AI46" s="67"/>
      <c r="AJ46" s="62"/>
      <c r="AK46" s="62"/>
    </row>
    <row r="47" spans="1:37" x14ac:dyDescent="0.3">
      <c r="A47" s="65">
        <v>46</v>
      </c>
      <c r="B47" s="63">
        <v>46104</v>
      </c>
      <c r="C47" s="66" t="s">
        <v>246</v>
      </c>
      <c r="D47" s="66" t="s">
        <v>98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75"/>
      <c r="T47" s="67"/>
      <c r="U47" s="67"/>
      <c r="V47" s="67"/>
      <c r="W47" s="67"/>
      <c r="X47" s="67"/>
      <c r="Y47" s="76"/>
      <c r="Z47" s="67"/>
      <c r="AA47" s="67"/>
      <c r="AB47" s="67"/>
      <c r="AC47" s="67"/>
      <c r="AD47" s="67"/>
      <c r="AE47" s="67"/>
      <c r="AF47" s="75"/>
      <c r="AG47" s="67"/>
      <c r="AH47" s="67"/>
      <c r="AI47" s="67"/>
      <c r="AJ47" s="62"/>
      <c r="AK47" s="62"/>
    </row>
    <row r="48" spans="1:37" x14ac:dyDescent="0.3">
      <c r="A48" s="65">
        <v>47</v>
      </c>
      <c r="B48" s="63">
        <v>46107</v>
      </c>
      <c r="C48" s="66" t="s">
        <v>281</v>
      </c>
      <c r="D48" s="66" t="s">
        <v>96</v>
      </c>
      <c r="F48" s="92" t="s">
        <v>358</v>
      </c>
      <c r="G48" s="92" t="s">
        <v>358</v>
      </c>
      <c r="H48" s="69"/>
      <c r="I48" s="67"/>
      <c r="J48" s="67"/>
      <c r="K48" s="67"/>
      <c r="L48" s="67"/>
      <c r="M48" s="92" t="s">
        <v>358</v>
      </c>
      <c r="N48" s="92" t="s">
        <v>358</v>
      </c>
      <c r="O48" s="67"/>
      <c r="P48" s="92" t="s">
        <v>358</v>
      </c>
      <c r="Q48" s="67"/>
      <c r="R48" s="67"/>
      <c r="S48" s="75"/>
      <c r="T48" s="67"/>
      <c r="U48" s="96"/>
      <c r="V48" s="67"/>
      <c r="W48" s="67"/>
      <c r="X48" s="67"/>
      <c r="Y48" s="75"/>
      <c r="Z48" s="92" t="s">
        <v>358</v>
      </c>
      <c r="AA48" s="67"/>
      <c r="AB48" s="92" t="s">
        <v>358</v>
      </c>
      <c r="AC48" s="67"/>
      <c r="AD48" s="67"/>
      <c r="AE48" s="67"/>
      <c r="AF48" s="75"/>
      <c r="AG48" s="67"/>
      <c r="AH48" s="67"/>
      <c r="AI48" s="67"/>
      <c r="AJ48" s="62"/>
    </row>
    <row r="49" spans="1:37" x14ac:dyDescent="0.3">
      <c r="A49" s="65">
        <v>48</v>
      </c>
      <c r="B49" s="63">
        <v>46108</v>
      </c>
      <c r="C49" s="66" t="s">
        <v>149</v>
      </c>
      <c r="D49" s="66" t="s">
        <v>127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75"/>
      <c r="T49" s="67"/>
      <c r="U49" s="67"/>
      <c r="V49" s="67"/>
      <c r="W49" s="67"/>
      <c r="X49" s="67"/>
      <c r="Y49" s="76"/>
      <c r="Z49" s="67"/>
      <c r="AA49" s="67"/>
      <c r="AB49" s="67"/>
      <c r="AC49" s="67"/>
      <c r="AD49" s="67"/>
      <c r="AE49" s="67"/>
      <c r="AF49" s="75"/>
      <c r="AG49" s="67"/>
      <c r="AH49" s="69"/>
      <c r="AI49" s="67"/>
      <c r="AJ49" s="62"/>
      <c r="AK49" s="62"/>
    </row>
    <row r="50" spans="1:37" x14ac:dyDescent="0.3">
      <c r="A50" s="65">
        <v>49</v>
      </c>
      <c r="B50" s="63">
        <v>46112</v>
      </c>
      <c r="C50" s="66" t="s">
        <v>35</v>
      </c>
      <c r="D50" s="66" t="s">
        <v>101</v>
      </c>
      <c r="E50" s="67"/>
      <c r="F50" s="67"/>
      <c r="G50" s="67"/>
      <c r="H50" s="69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75"/>
      <c r="T50" s="67"/>
      <c r="U50" s="67"/>
      <c r="V50" s="67"/>
      <c r="W50" s="67"/>
      <c r="X50" s="67"/>
      <c r="Y50" s="75"/>
      <c r="Z50" s="67"/>
      <c r="AA50" s="67"/>
      <c r="AB50" s="67"/>
      <c r="AC50" s="67"/>
      <c r="AD50" s="67"/>
      <c r="AE50" s="67"/>
      <c r="AF50" s="75"/>
      <c r="AG50" s="67"/>
      <c r="AH50" s="67"/>
      <c r="AI50" s="67"/>
      <c r="AJ50" s="62"/>
      <c r="AK50" s="62"/>
    </row>
    <row r="51" spans="1:37" x14ac:dyDescent="0.3">
      <c r="A51" s="65">
        <v>50</v>
      </c>
      <c r="B51" s="63">
        <v>46113</v>
      </c>
      <c r="C51" s="66" t="s">
        <v>247</v>
      </c>
      <c r="D51" s="66" t="s">
        <v>97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75"/>
      <c r="T51" s="67"/>
      <c r="U51" s="67"/>
      <c r="V51" s="67"/>
      <c r="W51" s="67"/>
      <c r="X51" s="67"/>
      <c r="Y51" s="76"/>
      <c r="Z51" s="67"/>
      <c r="AA51" s="67"/>
      <c r="AB51" s="67"/>
      <c r="AC51" s="67"/>
      <c r="AD51" s="67"/>
      <c r="AE51" s="67"/>
      <c r="AF51" s="75"/>
      <c r="AG51" s="67"/>
      <c r="AH51" s="67"/>
      <c r="AI51" s="67"/>
      <c r="AJ51" s="62"/>
      <c r="AK51" s="62"/>
    </row>
    <row r="52" spans="1:37" x14ac:dyDescent="0.3">
      <c r="A52" s="65">
        <v>51</v>
      </c>
      <c r="B52" s="63">
        <v>46114</v>
      </c>
      <c r="C52" s="66" t="s">
        <v>248</v>
      </c>
      <c r="D52" s="66" t="s">
        <v>96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75"/>
      <c r="T52" s="67"/>
      <c r="U52" s="67"/>
      <c r="V52" s="67"/>
      <c r="W52" s="67"/>
      <c r="X52" s="67"/>
      <c r="Y52" s="76"/>
      <c r="Z52" s="67"/>
      <c r="AA52" s="67"/>
      <c r="AB52" s="67"/>
      <c r="AC52" s="67"/>
      <c r="AD52" s="67"/>
      <c r="AE52" s="67"/>
      <c r="AF52" s="75"/>
      <c r="AG52" s="67"/>
      <c r="AH52" s="67"/>
      <c r="AI52" s="67"/>
      <c r="AJ52" s="62"/>
      <c r="AK52" s="62"/>
    </row>
    <row r="53" spans="1:37" x14ac:dyDescent="0.3">
      <c r="A53" s="65">
        <v>52</v>
      </c>
      <c r="B53" s="63">
        <v>46115</v>
      </c>
      <c r="C53" s="66" t="s">
        <v>38</v>
      </c>
      <c r="D53" s="66" t="s">
        <v>127</v>
      </c>
      <c r="E53" s="92" t="s">
        <v>358</v>
      </c>
      <c r="F53" s="92" t="s">
        <v>358</v>
      </c>
      <c r="G53" s="92" t="s">
        <v>358</v>
      </c>
      <c r="H53" s="92" t="s">
        <v>358</v>
      </c>
      <c r="I53" s="92" t="s">
        <v>358</v>
      </c>
      <c r="J53" s="67"/>
      <c r="K53" s="92" t="s">
        <v>358</v>
      </c>
      <c r="L53" s="92" t="s">
        <v>358</v>
      </c>
      <c r="M53" s="92" t="s">
        <v>358</v>
      </c>
      <c r="N53" s="92" t="s">
        <v>358</v>
      </c>
      <c r="O53" s="92" t="s">
        <v>358</v>
      </c>
      <c r="P53" s="92" t="s">
        <v>358</v>
      </c>
      <c r="Q53" s="92" t="s">
        <v>358</v>
      </c>
      <c r="R53" s="92" t="s">
        <v>358</v>
      </c>
      <c r="S53" s="92" t="s">
        <v>358</v>
      </c>
      <c r="T53" s="92" t="s">
        <v>358</v>
      </c>
      <c r="U53" s="92" t="s">
        <v>358</v>
      </c>
      <c r="V53" s="92" t="s">
        <v>358</v>
      </c>
      <c r="W53" s="92" t="s">
        <v>358</v>
      </c>
      <c r="X53" s="92" t="s">
        <v>358</v>
      </c>
      <c r="Y53" s="92" t="s">
        <v>358</v>
      </c>
      <c r="Z53" s="92" t="s">
        <v>358</v>
      </c>
      <c r="AA53" s="92" t="s">
        <v>358</v>
      </c>
      <c r="AB53" s="92" t="s">
        <v>358</v>
      </c>
      <c r="AC53" s="92" t="s">
        <v>358</v>
      </c>
      <c r="AD53" s="92" t="s">
        <v>358</v>
      </c>
      <c r="AE53" s="92" t="s">
        <v>358</v>
      </c>
      <c r="AF53" s="92" t="s">
        <v>358</v>
      </c>
      <c r="AG53" s="92" t="s">
        <v>358</v>
      </c>
      <c r="AH53" s="92" t="s">
        <v>358</v>
      </c>
      <c r="AI53" s="92" t="s">
        <v>358</v>
      </c>
      <c r="AJ53" s="94" t="s">
        <v>358</v>
      </c>
      <c r="AK53" s="94" t="s">
        <v>358</v>
      </c>
    </row>
    <row r="54" spans="1:37" x14ac:dyDescent="0.3">
      <c r="A54" s="65">
        <v>53</v>
      </c>
      <c r="B54" s="63">
        <v>46116</v>
      </c>
      <c r="C54" s="66" t="s">
        <v>222</v>
      </c>
      <c r="D54" s="66" t="s">
        <v>64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75"/>
      <c r="T54" s="67"/>
      <c r="U54" s="67"/>
      <c r="V54" s="67"/>
      <c r="W54" s="67"/>
      <c r="X54" s="67"/>
      <c r="Y54" s="76"/>
      <c r="Z54" s="67"/>
      <c r="AA54" s="67"/>
      <c r="AB54" s="67"/>
      <c r="AC54" s="67"/>
      <c r="AD54" s="67"/>
      <c r="AE54" s="67"/>
      <c r="AF54" s="75"/>
      <c r="AG54" s="67"/>
      <c r="AH54" s="67"/>
      <c r="AI54" s="67"/>
      <c r="AJ54" s="62"/>
      <c r="AK54" s="62"/>
    </row>
    <row r="55" spans="1:37" x14ac:dyDescent="0.3">
      <c r="A55" s="65">
        <v>54</v>
      </c>
      <c r="B55" s="63">
        <v>46117</v>
      </c>
      <c r="C55" s="66" t="s">
        <v>135</v>
      </c>
      <c r="D55" s="66" t="s">
        <v>63</v>
      </c>
      <c r="E55" s="67"/>
      <c r="F55" s="67"/>
      <c r="G55" s="67"/>
      <c r="H55" s="69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75"/>
      <c r="T55" s="67"/>
      <c r="U55" s="67"/>
      <c r="V55" s="67"/>
      <c r="W55" s="67"/>
      <c r="X55" s="67"/>
      <c r="Y55" s="76"/>
      <c r="Z55" s="67"/>
      <c r="AA55" s="67"/>
      <c r="AB55" s="67"/>
      <c r="AC55" s="67"/>
      <c r="AD55" s="67"/>
      <c r="AE55" s="67"/>
      <c r="AF55" s="75"/>
      <c r="AG55" s="67"/>
      <c r="AH55" s="67"/>
      <c r="AI55" s="67"/>
      <c r="AJ55" s="62"/>
      <c r="AK55" s="62"/>
    </row>
    <row r="56" spans="1:37" x14ac:dyDescent="0.3">
      <c r="A56" s="65">
        <v>55</v>
      </c>
      <c r="B56" s="63">
        <v>46118</v>
      </c>
      <c r="C56" s="66" t="s">
        <v>346</v>
      </c>
      <c r="D56" s="66" t="s">
        <v>98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75"/>
      <c r="T56" s="67"/>
      <c r="U56" s="67"/>
      <c r="V56" s="67"/>
      <c r="W56" s="67"/>
      <c r="X56" s="67"/>
      <c r="Y56" s="76"/>
      <c r="Z56" s="67"/>
      <c r="AA56" s="67"/>
      <c r="AB56" s="67"/>
      <c r="AC56" s="67"/>
      <c r="AD56" s="67"/>
      <c r="AE56" s="67"/>
      <c r="AF56" s="75"/>
      <c r="AG56" s="67"/>
      <c r="AH56" s="67"/>
      <c r="AI56" s="67"/>
      <c r="AJ56" s="62"/>
      <c r="AK56" s="62"/>
    </row>
    <row r="57" spans="1:37" x14ac:dyDescent="0.3">
      <c r="A57" s="65">
        <v>56</v>
      </c>
      <c r="B57" s="63">
        <v>46123</v>
      </c>
      <c r="C57" s="66" t="s">
        <v>232</v>
      </c>
      <c r="D57" s="66" t="s">
        <v>64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75"/>
      <c r="T57" s="67"/>
      <c r="U57" s="67"/>
      <c r="V57" s="67"/>
      <c r="W57" s="67"/>
      <c r="X57" s="67"/>
      <c r="Y57" s="76"/>
      <c r="Z57" s="67"/>
      <c r="AA57" s="67"/>
      <c r="AB57" s="67"/>
      <c r="AC57" s="67"/>
      <c r="AD57" s="67"/>
      <c r="AE57" s="67"/>
      <c r="AF57" s="75"/>
      <c r="AG57" s="67"/>
      <c r="AH57" s="67"/>
      <c r="AI57" s="67"/>
      <c r="AJ57" s="62"/>
      <c r="AK57" s="62"/>
    </row>
    <row r="58" spans="1:37" x14ac:dyDescent="0.3">
      <c r="A58" s="65">
        <v>57</v>
      </c>
      <c r="B58" s="63">
        <v>46125</v>
      </c>
      <c r="C58" s="66" t="s">
        <v>372</v>
      </c>
      <c r="D58" s="66" t="s">
        <v>98</v>
      </c>
      <c r="E58" s="67"/>
      <c r="F58" s="67"/>
      <c r="G58" s="67"/>
      <c r="H58" s="67"/>
      <c r="I58" s="67"/>
      <c r="J58" s="67"/>
      <c r="K58" s="92" t="s">
        <v>358</v>
      </c>
      <c r="L58" s="67"/>
      <c r="M58" s="67"/>
      <c r="N58" s="67"/>
      <c r="O58" s="67"/>
      <c r="P58" s="67"/>
      <c r="Q58" s="67"/>
      <c r="R58" s="67"/>
      <c r="S58" s="75"/>
      <c r="T58" s="67"/>
      <c r="U58" s="67"/>
      <c r="V58" s="67"/>
      <c r="W58" s="67"/>
      <c r="X58" s="67"/>
      <c r="Y58" s="76"/>
      <c r="Z58" s="67"/>
      <c r="AA58" s="67"/>
      <c r="AB58" s="67"/>
      <c r="AC58" s="67"/>
      <c r="AD58" s="67"/>
      <c r="AE58" s="67"/>
      <c r="AF58" s="75"/>
      <c r="AG58" s="67"/>
      <c r="AH58" s="67"/>
      <c r="AI58" s="67"/>
      <c r="AJ58" s="62"/>
      <c r="AK58" s="62"/>
    </row>
    <row r="59" spans="1:37" ht="21.5" customHeight="1" x14ac:dyDescent="0.3">
      <c r="A59" s="65">
        <v>58</v>
      </c>
      <c r="B59" s="63">
        <v>46126</v>
      </c>
      <c r="C59" s="79" t="s">
        <v>250</v>
      </c>
      <c r="D59" s="66" t="s">
        <v>101</v>
      </c>
      <c r="E59" s="67"/>
      <c r="F59" s="67"/>
      <c r="G59" s="67"/>
      <c r="H59" s="92" t="s">
        <v>358</v>
      </c>
      <c r="I59" s="67"/>
      <c r="J59" s="92" t="s">
        <v>358</v>
      </c>
      <c r="K59" s="97"/>
      <c r="L59" s="92" t="s">
        <v>357</v>
      </c>
      <c r="M59" s="67"/>
      <c r="N59" s="67"/>
      <c r="O59" s="67"/>
      <c r="P59" s="67"/>
      <c r="Q59" s="67"/>
      <c r="R59" s="67"/>
      <c r="S59" s="92" t="s">
        <v>358</v>
      </c>
      <c r="T59" s="67"/>
      <c r="U59" s="67"/>
      <c r="V59" s="92" t="s">
        <v>358</v>
      </c>
      <c r="W59" s="92" t="s">
        <v>358</v>
      </c>
      <c r="X59" s="67"/>
      <c r="Y59" s="76"/>
      <c r="Z59" s="67"/>
      <c r="AA59" s="67"/>
      <c r="AB59" s="67"/>
      <c r="AC59" s="67"/>
      <c r="AD59" s="67"/>
      <c r="AE59" s="75"/>
      <c r="AF59" s="75"/>
      <c r="AG59" s="92" t="s">
        <v>358</v>
      </c>
      <c r="AH59" s="69"/>
      <c r="AI59" s="67"/>
      <c r="AJ59" s="62"/>
      <c r="AK59" s="62"/>
    </row>
    <row r="60" spans="1:37" x14ac:dyDescent="0.3">
      <c r="A60" s="65">
        <v>59</v>
      </c>
      <c r="B60" s="63">
        <v>46127</v>
      </c>
      <c r="C60" s="66" t="s">
        <v>327</v>
      </c>
      <c r="D60" s="66" t="s">
        <v>97</v>
      </c>
      <c r="E60" s="67"/>
      <c r="F60" s="67"/>
      <c r="G60" s="67"/>
      <c r="H60" s="92" t="s">
        <v>358</v>
      </c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75"/>
      <c r="T60" s="67"/>
      <c r="U60" s="67"/>
      <c r="V60" s="92" t="s">
        <v>358</v>
      </c>
      <c r="W60" s="67"/>
      <c r="X60" s="67"/>
      <c r="Y60" s="76"/>
      <c r="Z60" s="67"/>
      <c r="AA60" s="67"/>
      <c r="AB60" s="67"/>
      <c r="AC60" s="67"/>
      <c r="AD60" s="67"/>
      <c r="AE60" s="67"/>
      <c r="AF60" s="75"/>
      <c r="AG60" s="67"/>
      <c r="AH60" s="67"/>
      <c r="AI60" s="67"/>
      <c r="AJ60" s="62"/>
      <c r="AK60" s="62"/>
    </row>
    <row r="61" spans="1:37" x14ac:dyDescent="0.3">
      <c r="A61" s="65">
        <v>60</v>
      </c>
      <c r="B61" s="63">
        <v>46128</v>
      </c>
      <c r="C61" s="66" t="s">
        <v>188</v>
      </c>
      <c r="D61" s="66" t="s">
        <v>96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75"/>
      <c r="T61" s="67"/>
      <c r="U61" s="67"/>
      <c r="V61" s="67"/>
      <c r="W61" s="67"/>
      <c r="X61" s="67"/>
      <c r="Y61" s="76"/>
      <c r="Z61" s="67"/>
      <c r="AA61" s="67"/>
      <c r="AB61" s="67"/>
      <c r="AC61" s="67"/>
      <c r="AD61" s="67"/>
      <c r="AE61" s="67"/>
      <c r="AF61" s="75"/>
      <c r="AG61" s="67"/>
      <c r="AH61" s="67"/>
      <c r="AI61" s="67"/>
      <c r="AJ61" s="62"/>
      <c r="AK61" s="62"/>
    </row>
    <row r="62" spans="1:37" x14ac:dyDescent="0.3">
      <c r="A62" s="65">
        <v>61</v>
      </c>
      <c r="B62" s="63">
        <v>46129</v>
      </c>
      <c r="C62" s="66" t="s">
        <v>347</v>
      </c>
      <c r="D62" s="66" t="s">
        <v>127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5"/>
      <c r="T62" s="67"/>
      <c r="U62" s="67"/>
      <c r="V62" s="67"/>
      <c r="W62" s="67"/>
      <c r="X62" s="67"/>
      <c r="Y62" s="76"/>
      <c r="Z62" s="67"/>
      <c r="AA62" s="67"/>
      <c r="AB62" s="67"/>
      <c r="AC62" s="67"/>
      <c r="AD62" s="67"/>
      <c r="AE62" s="67"/>
      <c r="AF62" s="75"/>
      <c r="AG62" s="67"/>
      <c r="AH62" s="67"/>
      <c r="AI62" s="67"/>
      <c r="AJ62" s="62"/>
      <c r="AK62" s="62"/>
    </row>
    <row r="63" spans="1:37" x14ac:dyDescent="0.3">
      <c r="A63" s="65">
        <v>62</v>
      </c>
      <c r="B63" s="63">
        <v>46130</v>
      </c>
      <c r="C63" s="66" t="s">
        <v>297</v>
      </c>
      <c r="D63" s="66" t="s">
        <v>64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75"/>
      <c r="T63" s="67"/>
      <c r="U63" s="67"/>
      <c r="V63" s="67"/>
      <c r="W63" s="67"/>
      <c r="X63" s="67"/>
      <c r="Y63" s="76"/>
      <c r="Z63" s="67"/>
      <c r="AA63" s="67"/>
      <c r="AB63" s="67"/>
      <c r="AC63" s="67"/>
      <c r="AD63" s="67"/>
      <c r="AE63" s="67"/>
      <c r="AF63" s="75"/>
      <c r="AG63" s="67"/>
      <c r="AH63" s="67"/>
      <c r="AI63" s="67"/>
      <c r="AJ63" s="62"/>
      <c r="AK63" s="62"/>
    </row>
    <row r="64" spans="1:37" x14ac:dyDescent="0.3">
      <c r="A64" s="65">
        <v>63</v>
      </c>
      <c r="B64" s="63">
        <v>46131</v>
      </c>
      <c r="C64" s="66" t="s">
        <v>233</v>
      </c>
      <c r="D64" s="66" t="s">
        <v>63</v>
      </c>
      <c r="E64" s="67"/>
      <c r="F64" s="67"/>
      <c r="G64" s="67"/>
      <c r="H64" s="69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75"/>
      <c r="T64" s="67"/>
      <c r="U64" s="67"/>
      <c r="V64" s="67"/>
      <c r="W64" s="67"/>
      <c r="X64" s="67"/>
      <c r="Y64" s="76"/>
      <c r="Z64" s="67"/>
      <c r="AA64" s="67"/>
      <c r="AB64" s="67"/>
      <c r="AC64" s="67"/>
      <c r="AD64" s="67"/>
      <c r="AE64" s="67"/>
      <c r="AF64" s="75"/>
      <c r="AG64" s="67"/>
      <c r="AH64" s="67"/>
      <c r="AI64" s="67"/>
      <c r="AJ64" s="62"/>
      <c r="AK64" s="62"/>
    </row>
    <row r="65" spans="1:37" x14ac:dyDescent="0.3">
      <c r="A65" s="65">
        <v>64</v>
      </c>
      <c r="B65" s="63">
        <v>46132</v>
      </c>
      <c r="C65" s="66" t="s">
        <v>251</v>
      </c>
      <c r="D65" s="66" t="s">
        <v>98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75"/>
      <c r="T65" s="67"/>
      <c r="U65" s="67"/>
      <c r="V65" s="67"/>
      <c r="W65" s="67"/>
      <c r="X65" s="67"/>
      <c r="Y65" s="76"/>
      <c r="Z65" s="67"/>
      <c r="AA65" s="67"/>
      <c r="AB65" s="67"/>
      <c r="AC65" s="67"/>
      <c r="AD65" s="67"/>
      <c r="AE65" s="67"/>
      <c r="AF65" s="75"/>
      <c r="AG65" s="67"/>
      <c r="AH65" s="67"/>
      <c r="AI65" s="67"/>
      <c r="AJ65" s="62"/>
      <c r="AK65" s="62"/>
    </row>
    <row r="66" spans="1:37" x14ac:dyDescent="0.3">
      <c r="A66" s="65">
        <v>65</v>
      </c>
      <c r="B66" s="63">
        <v>46133</v>
      </c>
      <c r="C66" s="66" t="s">
        <v>223</v>
      </c>
      <c r="D66" s="66" t="s">
        <v>101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75"/>
      <c r="T66" s="67"/>
      <c r="U66" s="67"/>
      <c r="V66" s="67"/>
      <c r="W66" s="67"/>
      <c r="X66" s="67"/>
      <c r="Y66" s="76"/>
      <c r="Z66" s="67"/>
      <c r="AA66" s="67"/>
      <c r="AB66" s="67"/>
      <c r="AC66" s="67"/>
      <c r="AD66" s="67"/>
      <c r="AE66" s="67"/>
      <c r="AF66" s="75"/>
      <c r="AG66" s="67"/>
      <c r="AH66" s="67"/>
      <c r="AI66" s="67"/>
      <c r="AJ66" s="62"/>
      <c r="AK66" s="62"/>
    </row>
    <row r="67" spans="1:37" x14ac:dyDescent="0.3">
      <c r="A67" s="65">
        <v>66</v>
      </c>
      <c r="B67" s="63">
        <v>46134</v>
      </c>
      <c r="C67" s="66" t="s">
        <v>252</v>
      </c>
      <c r="D67" s="66" t="s">
        <v>97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75"/>
      <c r="T67" s="67"/>
      <c r="U67" s="67"/>
      <c r="V67" s="67"/>
      <c r="W67" s="67"/>
      <c r="X67" s="67"/>
      <c r="Y67" s="76"/>
      <c r="Z67" s="67"/>
      <c r="AA67" s="67"/>
      <c r="AB67" s="67"/>
      <c r="AC67" s="67"/>
      <c r="AD67" s="67"/>
      <c r="AE67" s="67"/>
      <c r="AF67" s="75"/>
      <c r="AG67" s="67"/>
      <c r="AH67" s="67"/>
      <c r="AI67" s="67"/>
      <c r="AJ67" s="62"/>
      <c r="AK67" s="62"/>
    </row>
    <row r="68" spans="1:37" x14ac:dyDescent="0.3">
      <c r="A68" s="65">
        <v>67</v>
      </c>
      <c r="B68" s="63">
        <v>46135</v>
      </c>
      <c r="C68" s="66" t="s">
        <v>282</v>
      </c>
      <c r="D68" s="66" t="s">
        <v>96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75"/>
      <c r="T68" s="67"/>
      <c r="U68" s="67"/>
      <c r="V68" s="67"/>
      <c r="W68" s="67"/>
      <c r="X68" s="67"/>
      <c r="Y68" s="76"/>
      <c r="Z68" s="67"/>
      <c r="AA68" s="67"/>
      <c r="AB68" s="67"/>
      <c r="AC68" s="67"/>
      <c r="AD68" s="67"/>
      <c r="AE68" s="67"/>
      <c r="AF68" s="75"/>
      <c r="AG68" s="67"/>
      <c r="AH68" s="67"/>
      <c r="AI68" s="67"/>
      <c r="AJ68" s="62"/>
      <c r="AK68" s="62"/>
    </row>
    <row r="69" spans="1:37" x14ac:dyDescent="0.3">
      <c r="A69" s="65">
        <v>68</v>
      </c>
      <c r="B69" s="63">
        <v>46137</v>
      </c>
      <c r="C69" s="66" t="s">
        <v>283</v>
      </c>
      <c r="D69" s="66" t="s">
        <v>64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75"/>
      <c r="T69" s="67"/>
      <c r="U69" s="67"/>
      <c r="V69" s="67"/>
      <c r="W69" s="67"/>
      <c r="X69" s="67"/>
      <c r="Y69" s="76"/>
      <c r="Z69" s="67"/>
      <c r="AA69" s="67"/>
      <c r="AB69" s="67"/>
      <c r="AC69" s="67"/>
      <c r="AD69" s="67"/>
      <c r="AE69" s="67"/>
      <c r="AF69" s="75"/>
      <c r="AG69" s="67"/>
      <c r="AH69" s="67"/>
      <c r="AI69" s="67"/>
      <c r="AJ69" s="62"/>
      <c r="AK69" s="62"/>
    </row>
    <row r="70" spans="1:37" x14ac:dyDescent="0.3">
      <c r="A70" s="65">
        <v>69</v>
      </c>
      <c r="B70" s="63">
        <v>46139</v>
      </c>
      <c r="C70" s="66" t="s">
        <v>284</v>
      </c>
      <c r="D70" s="66" t="s">
        <v>98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75"/>
      <c r="T70" s="67"/>
      <c r="U70" s="67"/>
      <c r="V70" s="67"/>
      <c r="W70" s="67"/>
      <c r="X70" s="67"/>
      <c r="Y70" s="76"/>
      <c r="Z70" s="67"/>
      <c r="AA70" s="67"/>
      <c r="AB70" s="67"/>
      <c r="AC70" s="67"/>
      <c r="AD70" s="67"/>
      <c r="AE70" s="67"/>
      <c r="AF70" s="75"/>
      <c r="AG70" s="67"/>
      <c r="AH70" s="67"/>
      <c r="AI70" s="67"/>
      <c r="AJ70" s="62"/>
      <c r="AK70" s="62"/>
    </row>
    <row r="71" spans="1:37" x14ac:dyDescent="0.3">
      <c r="A71" s="65">
        <v>70</v>
      </c>
      <c r="B71" s="63">
        <v>46143</v>
      </c>
      <c r="C71" s="66" t="s">
        <v>207</v>
      </c>
      <c r="D71" s="66" t="s">
        <v>127</v>
      </c>
      <c r="E71" s="92" t="s">
        <v>358</v>
      </c>
      <c r="F71" s="92" t="s">
        <v>358</v>
      </c>
      <c r="G71" s="92" t="s">
        <v>358</v>
      </c>
      <c r="H71" s="92" t="s">
        <v>358</v>
      </c>
      <c r="I71" s="92" t="s">
        <v>358</v>
      </c>
      <c r="J71" s="92" t="s">
        <v>358</v>
      </c>
      <c r="K71" s="92" t="s">
        <v>358</v>
      </c>
      <c r="L71" s="67"/>
      <c r="M71" s="92" t="s">
        <v>357</v>
      </c>
      <c r="N71" s="92" t="s">
        <v>358</v>
      </c>
      <c r="O71" s="92" t="s">
        <v>358</v>
      </c>
      <c r="P71" s="92" t="s">
        <v>358</v>
      </c>
      <c r="Q71" s="92" t="s">
        <v>358</v>
      </c>
      <c r="R71" s="92" t="s">
        <v>358</v>
      </c>
      <c r="S71" s="92" t="s">
        <v>357</v>
      </c>
      <c r="T71" s="92" t="s">
        <v>358</v>
      </c>
      <c r="U71" s="92" t="s">
        <v>357</v>
      </c>
      <c r="V71" s="92" t="s">
        <v>357</v>
      </c>
      <c r="W71" s="92" t="s">
        <v>358</v>
      </c>
      <c r="X71" s="92" t="s">
        <v>357</v>
      </c>
      <c r="Y71" s="92" t="s">
        <v>358</v>
      </c>
      <c r="Z71" s="92" t="s">
        <v>358</v>
      </c>
      <c r="AA71" s="67"/>
      <c r="AB71" s="92" t="s">
        <v>358</v>
      </c>
      <c r="AC71" s="92" t="s">
        <v>357</v>
      </c>
      <c r="AD71" s="92" t="s">
        <v>357</v>
      </c>
      <c r="AE71" s="92" t="s">
        <v>357</v>
      </c>
      <c r="AF71" s="92" t="s">
        <v>357</v>
      </c>
      <c r="AG71" s="92" t="s">
        <v>357</v>
      </c>
      <c r="AH71" s="92" t="s">
        <v>357</v>
      </c>
      <c r="AI71" s="92" t="s">
        <v>357</v>
      </c>
      <c r="AJ71" s="94" t="s">
        <v>358</v>
      </c>
      <c r="AK71" s="92" t="s">
        <v>357</v>
      </c>
    </row>
    <row r="72" spans="1:37" x14ac:dyDescent="0.3">
      <c r="A72" s="65">
        <v>71</v>
      </c>
      <c r="B72" s="63">
        <v>46149</v>
      </c>
      <c r="C72" s="66" t="s">
        <v>203</v>
      </c>
      <c r="D72" s="66" t="s">
        <v>96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75"/>
      <c r="T72" s="67"/>
      <c r="U72" s="67"/>
      <c r="V72" s="67"/>
      <c r="W72" s="67"/>
      <c r="X72" s="67"/>
      <c r="Y72" s="76"/>
      <c r="Z72" s="67"/>
      <c r="AA72" s="67"/>
      <c r="AB72" s="67"/>
      <c r="AC72" s="67"/>
      <c r="AD72" s="67"/>
      <c r="AE72" s="67"/>
      <c r="AF72" s="75"/>
      <c r="AG72" s="67"/>
      <c r="AH72" s="67"/>
      <c r="AI72" s="67"/>
      <c r="AJ72" s="62"/>
      <c r="AK72" s="62"/>
    </row>
    <row r="73" spans="1:37" x14ac:dyDescent="0.3">
      <c r="A73" s="65">
        <v>72</v>
      </c>
      <c r="B73" s="63">
        <v>46150</v>
      </c>
      <c r="C73" s="66" t="s">
        <v>183</v>
      </c>
      <c r="D73" s="66" t="s">
        <v>127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75"/>
      <c r="T73" s="67"/>
      <c r="U73" s="67"/>
      <c r="V73" s="67"/>
      <c r="W73" s="67"/>
      <c r="X73" s="67"/>
      <c r="Y73" s="76"/>
      <c r="Z73" s="67"/>
      <c r="AA73" s="67"/>
      <c r="AB73" s="67"/>
      <c r="AC73" s="67"/>
      <c r="AD73" s="67"/>
      <c r="AE73" s="67"/>
      <c r="AF73" s="75"/>
      <c r="AG73" s="67"/>
      <c r="AH73" s="67"/>
      <c r="AI73" s="67"/>
      <c r="AJ73" s="62"/>
      <c r="AK73" s="62"/>
    </row>
    <row r="74" spans="1:37" x14ac:dyDescent="0.3">
      <c r="A74" s="65">
        <v>73</v>
      </c>
      <c r="B74" s="63">
        <v>46151</v>
      </c>
      <c r="C74" s="66" t="s">
        <v>183</v>
      </c>
      <c r="D74" s="66" t="s">
        <v>64</v>
      </c>
      <c r="E74" s="67"/>
      <c r="F74" s="67"/>
      <c r="G74" s="67"/>
      <c r="H74" s="69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75"/>
      <c r="T74" s="67"/>
      <c r="U74" s="67"/>
      <c r="V74" s="67"/>
      <c r="W74" s="67"/>
      <c r="X74" s="67"/>
      <c r="Y74" s="76"/>
      <c r="Z74" s="67"/>
      <c r="AA74" s="67"/>
      <c r="AB74" s="67"/>
      <c r="AC74" s="67"/>
      <c r="AD74" s="67"/>
      <c r="AE74" s="67"/>
      <c r="AF74" s="75"/>
      <c r="AG74" s="67"/>
      <c r="AH74" s="67"/>
      <c r="AI74" s="67"/>
      <c r="AJ74" s="62"/>
      <c r="AK74" s="62"/>
    </row>
    <row r="75" spans="1:37" x14ac:dyDescent="0.3">
      <c r="A75" s="65">
        <v>74</v>
      </c>
      <c r="B75" s="63">
        <v>46158</v>
      </c>
      <c r="C75" s="66" t="s">
        <v>196</v>
      </c>
      <c r="D75" s="66" t="s">
        <v>64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75"/>
      <c r="T75" s="67"/>
      <c r="U75" s="67"/>
      <c r="V75" s="67"/>
      <c r="W75" s="67"/>
      <c r="X75" s="67"/>
      <c r="Y75" s="76"/>
      <c r="Z75" s="67"/>
      <c r="AA75" s="67"/>
      <c r="AB75" s="67"/>
      <c r="AC75" s="67"/>
      <c r="AD75" s="67"/>
      <c r="AE75" s="67"/>
      <c r="AF75" s="75"/>
      <c r="AG75" s="67"/>
      <c r="AH75" s="67"/>
      <c r="AI75" s="67"/>
      <c r="AJ75" s="62"/>
      <c r="AK75" s="62"/>
    </row>
    <row r="76" spans="1:37" x14ac:dyDescent="0.3">
      <c r="A76" s="65">
        <v>75</v>
      </c>
      <c r="B76" s="63">
        <v>46164</v>
      </c>
      <c r="C76" s="66" t="s">
        <v>332</v>
      </c>
      <c r="D76" s="66" t="s">
        <v>127</v>
      </c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75"/>
      <c r="T76" s="67"/>
      <c r="U76" s="67"/>
      <c r="V76" s="67"/>
      <c r="W76" s="67"/>
      <c r="X76" s="67"/>
      <c r="Y76" s="76"/>
      <c r="Z76" s="67"/>
      <c r="AA76" s="67"/>
      <c r="AB76" s="67"/>
      <c r="AC76" s="67"/>
      <c r="AD76" s="67"/>
      <c r="AE76" s="67"/>
      <c r="AF76" s="75"/>
      <c r="AG76" s="67"/>
      <c r="AH76" s="67"/>
      <c r="AI76" s="67"/>
      <c r="AJ76" s="94" t="s">
        <v>358</v>
      </c>
      <c r="AK76" s="62"/>
    </row>
    <row r="77" spans="1:37" x14ac:dyDescent="0.3">
      <c r="A77" s="65">
        <v>76</v>
      </c>
      <c r="B77" s="63">
        <v>46169</v>
      </c>
      <c r="C77" s="66" t="s">
        <v>193</v>
      </c>
      <c r="D77" s="66" t="s">
        <v>97</v>
      </c>
      <c r="E77" s="92" t="s">
        <v>358</v>
      </c>
      <c r="F77" s="92" t="s">
        <v>358</v>
      </c>
      <c r="G77" s="92" t="s">
        <v>358</v>
      </c>
      <c r="H77" s="92" t="s">
        <v>358</v>
      </c>
      <c r="I77" s="92" t="s">
        <v>358</v>
      </c>
      <c r="J77" s="92" t="s">
        <v>358</v>
      </c>
      <c r="K77" s="92" t="s">
        <v>358</v>
      </c>
      <c r="L77" s="67"/>
      <c r="M77" s="92" t="s">
        <v>358</v>
      </c>
      <c r="N77" s="67"/>
      <c r="O77" s="67"/>
      <c r="P77" s="92" t="s">
        <v>358</v>
      </c>
      <c r="Q77" s="67"/>
      <c r="S77" s="75"/>
      <c r="T77" s="67"/>
      <c r="U77" s="92" t="s">
        <v>358</v>
      </c>
      <c r="V77" s="75"/>
      <c r="AA77" s="67"/>
      <c r="AC77" s="67"/>
      <c r="AD77" s="67"/>
      <c r="AE77" s="67"/>
      <c r="AF77" s="92" t="s">
        <v>358</v>
      </c>
      <c r="AG77" s="67"/>
      <c r="AH77" s="92" t="s">
        <v>358</v>
      </c>
      <c r="AI77" s="67"/>
      <c r="AJ77" s="62"/>
      <c r="AK77" s="62"/>
    </row>
    <row r="78" spans="1:37" x14ac:dyDescent="0.3">
      <c r="A78" s="65">
        <v>77</v>
      </c>
      <c r="B78" s="63">
        <v>46170</v>
      </c>
      <c r="C78" s="66" t="s">
        <v>138</v>
      </c>
      <c r="D78" s="66" t="s">
        <v>96</v>
      </c>
      <c r="E78" s="67"/>
      <c r="F78" s="67"/>
      <c r="G78" s="67"/>
      <c r="H78" s="67"/>
      <c r="I78" s="67"/>
      <c r="J78" s="67"/>
      <c r="K78" s="67"/>
      <c r="L78" s="92" t="s">
        <v>358</v>
      </c>
      <c r="M78" s="67"/>
      <c r="N78" s="67"/>
      <c r="O78" s="67"/>
      <c r="P78" s="67"/>
      <c r="R78" s="67"/>
      <c r="S78" s="75"/>
      <c r="T78" s="67"/>
      <c r="U78" s="67"/>
      <c r="V78" s="67"/>
      <c r="W78" s="67"/>
      <c r="X78" s="67"/>
      <c r="Y78" s="76"/>
      <c r="Z78" s="67"/>
      <c r="AB78" s="67"/>
      <c r="AC78" s="67"/>
      <c r="AD78" s="92" t="s">
        <v>358</v>
      </c>
      <c r="AE78" s="92" t="s">
        <v>358</v>
      </c>
      <c r="AF78" s="75"/>
      <c r="AG78" s="92" t="s">
        <v>358</v>
      </c>
      <c r="AH78" s="67"/>
      <c r="AI78" s="92" t="s">
        <v>358</v>
      </c>
      <c r="AJ78" s="62"/>
      <c r="AK78" s="62"/>
    </row>
    <row r="79" spans="1:37" ht="13" thickBot="1" x14ac:dyDescent="0.35">
      <c r="A79" s="65">
        <v>78</v>
      </c>
      <c r="B79" s="63">
        <v>46174</v>
      </c>
      <c r="C79" s="66" t="s">
        <v>298</v>
      </c>
      <c r="D79" s="66" t="s">
        <v>98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75"/>
      <c r="T79" s="67"/>
      <c r="U79" s="67"/>
      <c r="V79" s="67"/>
      <c r="W79" s="67"/>
      <c r="X79" s="67"/>
      <c r="Y79" s="76"/>
      <c r="Z79" s="67"/>
      <c r="AA79" s="67"/>
      <c r="AB79" s="67"/>
      <c r="AC79" s="67"/>
      <c r="AD79" s="67"/>
      <c r="AE79" s="67"/>
      <c r="AF79" s="75"/>
      <c r="AG79" s="67"/>
      <c r="AH79" s="67"/>
      <c r="AI79" s="67"/>
      <c r="AJ79" s="62"/>
      <c r="AK79" s="62"/>
    </row>
    <row r="80" spans="1:37" ht="13" thickBot="1" x14ac:dyDescent="0.35">
      <c r="A80" s="65">
        <v>79</v>
      </c>
      <c r="B80" s="63">
        <v>46176</v>
      </c>
      <c r="C80" s="95" t="s">
        <v>363</v>
      </c>
      <c r="D80" s="66" t="s">
        <v>97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75"/>
      <c r="T80" s="67"/>
      <c r="U80" s="67"/>
      <c r="V80" s="67"/>
      <c r="W80" s="67"/>
      <c r="X80" s="67"/>
      <c r="Y80" s="76"/>
      <c r="Z80" s="67"/>
      <c r="AA80" s="67"/>
      <c r="AB80" s="67"/>
      <c r="AC80" s="67"/>
      <c r="AD80" s="67"/>
      <c r="AE80" s="67"/>
      <c r="AF80" s="75"/>
      <c r="AG80" s="67"/>
      <c r="AH80" s="67"/>
      <c r="AI80" s="67"/>
      <c r="AJ80" s="62"/>
      <c r="AK80" s="62"/>
    </row>
    <row r="81" spans="1:37" x14ac:dyDescent="0.3">
      <c r="A81" s="65">
        <v>80</v>
      </c>
      <c r="B81" s="63">
        <v>46177</v>
      </c>
      <c r="C81" s="66" t="s">
        <v>307</v>
      </c>
      <c r="D81" s="66" t="s">
        <v>96</v>
      </c>
      <c r="E81" s="67"/>
      <c r="F81" s="67"/>
      <c r="G81" s="67"/>
      <c r="H81" s="67"/>
      <c r="I81" s="67"/>
      <c r="J81" s="92" t="s">
        <v>358</v>
      </c>
      <c r="K81" s="67"/>
      <c r="L81" s="67"/>
      <c r="M81" s="67"/>
      <c r="N81" s="67"/>
      <c r="O81" s="67"/>
      <c r="P81" s="67"/>
      <c r="Q81" s="67"/>
      <c r="R81" s="67"/>
      <c r="S81" s="75"/>
      <c r="T81" s="67"/>
      <c r="U81" s="67"/>
      <c r="V81" s="67"/>
      <c r="W81" s="67"/>
      <c r="X81" s="67"/>
      <c r="Y81" s="76"/>
      <c r="Z81" s="67"/>
      <c r="AA81" s="67"/>
      <c r="AB81" s="67"/>
      <c r="AC81" s="67"/>
      <c r="AD81" s="67"/>
      <c r="AE81" s="67"/>
      <c r="AF81" s="75"/>
      <c r="AG81" s="67"/>
      <c r="AH81" s="67"/>
      <c r="AI81" s="67"/>
      <c r="AJ81" s="62"/>
      <c r="AK81" s="62"/>
    </row>
    <row r="82" spans="1:37" x14ac:dyDescent="0.3">
      <c r="A82" s="65">
        <v>81</v>
      </c>
      <c r="B82" s="63">
        <v>46188</v>
      </c>
      <c r="C82" s="66" t="s">
        <v>164</v>
      </c>
      <c r="D82" s="66" t="s">
        <v>98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75"/>
      <c r="T82" s="67"/>
      <c r="U82" s="67"/>
      <c r="V82" s="67"/>
      <c r="W82" s="67"/>
      <c r="X82" s="67"/>
      <c r="Y82" s="75"/>
      <c r="Z82" s="67"/>
      <c r="AA82" s="67"/>
      <c r="AB82" s="67"/>
      <c r="AC82" s="67"/>
      <c r="AD82" s="67"/>
      <c r="AE82" s="67"/>
      <c r="AF82" s="75"/>
      <c r="AG82" s="67"/>
      <c r="AH82" s="67"/>
      <c r="AI82" s="67"/>
      <c r="AJ82" s="62"/>
      <c r="AK82" s="62"/>
    </row>
    <row r="83" spans="1:37" x14ac:dyDescent="0.3">
      <c r="A83" s="65">
        <v>82</v>
      </c>
      <c r="B83" s="63">
        <v>46189</v>
      </c>
      <c r="C83" s="66" t="s">
        <v>364</v>
      </c>
      <c r="D83" s="66" t="s">
        <v>101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75"/>
      <c r="T83" s="67"/>
      <c r="U83" s="67"/>
      <c r="V83" s="67"/>
      <c r="W83" s="67"/>
      <c r="X83" s="67"/>
      <c r="Y83" s="75"/>
      <c r="Z83" s="67"/>
      <c r="AA83" s="67"/>
      <c r="AB83" s="67"/>
      <c r="AC83" s="67"/>
      <c r="AD83" s="67"/>
      <c r="AE83" s="67"/>
      <c r="AF83" s="75"/>
      <c r="AG83" s="67"/>
      <c r="AH83" s="67"/>
      <c r="AI83" s="67"/>
      <c r="AJ83" s="62"/>
      <c r="AK83" s="62"/>
    </row>
    <row r="84" spans="1:37" x14ac:dyDescent="0.3">
      <c r="A84" s="65">
        <v>83</v>
      </c>
      <c r="B84" s="63">
        <v>46190</v>
      </c>
      <c r="C84" s="66" t="s">
        <v>253</v>
      </c>
      <c r="D84" s="66" t="s">
        <v>97</v>
      </c>
      <c r="E84" s="67"/>
      <c r="F84" s="67"/>
      <c r="G84" s="67"/>
      <c r="H84" s="69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75"/>
      <c r="T84" s="67"/>
      <c r="U84" s="67"/>
      <c r="V84" s="67"/>
      <c r="W84" s="67"/>
      <c r="X84" s="67"/>
      <c r="Y84" s="76"/>
      <c r="Z84" s="67"/>
      <c r="AA84" s="67"/>
      <c r="AB84" s="67"/>
      <c r="AC84" s="67"/>
      <c r="AD84" s="67"/>
      <c r="AE84" s="67"/>
      <c r="AF84" s="75"/>
      <c r="AG84" s="67"/>
      <c r="AH84" s="67"/>
      <c r="AI84" s="67"/>
      <c r="AJ84" s="62"/>
      <c r="AK84" s="62"/>
    </row>
    <row r="85" spans="1:37" x14ac:dyDescent="0.3">
      <c r="A85" s="65">
        <v>84</v>
      </c>
      <c r="B85" s="63">
        <v>46191</v>
      </c>
      <c r="C85" s="66" t="s">
        <v>285</v>
      </c>
      <c r="D85" s="66" t="s">
        <v>96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75"/>
      <c r="T85" s="67"/>
      <c r="U85" s="67"/>
      <c r="V85" s="67"/>
      <c r="W85" s="67"/>
      <c r="X85" s="67"/>
      <c r="Y85" s="76"/>
      <c r="Z85" s="67"/>
      <c r="AA85" s="67"/>
      <c r="AB85" s="67"/>
      <c r="AC85" s="67"/>
      <c r="AD85" s="67"/>
      <c r="AE85" s="67"/>
      <c r="AF85" s="75"/>
      <c r="AG85" s="67"/>
      <c r="AH85" s="67"/>
      <c r="AI85" s="67"/>
      <c r="AJ85" s="62"/>
      <c r="AK85" s="62"/>
    </row>
    <row r="86" spans="1:37" x14ac:dyDescent="0.3">
      <c r="A86" s="65">
        <v>85</v>
      </c>
      <c r="B86" s="63">
        <v>46195</v>
      </c>
      <c r="C86" s="66" t="s">
        <v>303</v>
      </c>
      <c r="D86" s="66" t="s">
        <v>98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75"/>
      <c r="T86" s="67"/>
      <c r="U86" s="67"/>
      <c r="V86" s="67"/>
      <c r="W86" s="67"/>
      <c r="X86" s="75"/>
      <c r="Y86" s="76"/>
      <c r="Z86" s="67"/>
      <c r="AA86" s="67"/>
      <c r="AB86" s="67"/>
      <c r="AC86" s="67"/>
      <c r="AD86" s="67"/>
      <c r="AE86" s="67"/>
      <c r="AF86" s="75"/>
      <c r="AG86" s="67"/>
      <c r="AH86" s="67"/>
      <c r="AI86" s="67"/>
      <c r="AJ86" s="62"/>
      <c r="AK86" s="62"/>
    </row>
    <row r="87" spans="1:37" x14ac:dyDescent="0.3">
      <c r="A87" s="65">
        <v>86</v>
      </c>
      <c r="B87" s="63">
        <v>46196</v>
      </c>
      <c r="C87" s="66" t="s">
        <v>254</v>
      </c>
      <c r="D87" s="66" t="s">
        <v>101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75"/>
      <c r="T87" s="67"/>
      <c r="U87" s="67"/>
      <c r="V87" s="67"/>
      <c r="W87" s="67"/>
      <c r="X87" s="67"/>
      <c r="Y87" s="76"/>
      <c r="Z87" s="67"/>
      <c r="AA87" s="67"/>
      <c r="AB87" s="67"/>
      <c r="AC87" s="67"/>
      <c r="AD87" s="67"/>
      <c r="AE87" s="67"/>
      <c r="AF87" s="75"/>
      <c r="AG87" s="67"/>
      <c r="AH87" s="67"/>
      <c r="AI87" s="67"/>
      <c r="AJ87" s="62"/>
      <c r="AK87" s="62"/>
    </row>
    <row r="88" spans="1:37" x14ac:dyDescent="0.3">
      <c r="A88" s="65">
        <v>87</v>
      </c>
      <c r="B88" s="63">
        <v>46197</v>
      </c>
      <c r="C88" s="66" t="s">
        <v>255</v>
      </c>
      <c r="D88" s="66" t="s">
        <v>97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75"/>
      <c r="T88" s="67"/>
      <c r="U88" s="67"/>
      <c r="V88" s="67"/>
      <c r="W88" s="67"/>
      <c r="X88" s="67"/>
      <c r="Y88" s="76"/>
      <c r="Z88" s="67"/>
      <c r="AA88" s="67"/>
      <c r="AB88" s="67"/>
      <c r="AC88" s="67"/>
      <c r="AD88" s="67"/>
      <c r="AE88" s="67"/>
      <c r="AF88" s="75"/>
      <c r="AG88" s="67"/>
      <c r="AH88" s="67"/>
      <c r="AI88" s="67"/>
      <c r="AJ88" s="62"/>
      <c r="AK88" s="62"/>
    </row>
    <row r="89" spans="1:37" x14ac:dyDescent="0.3">
      <c r="A89" s="65">
        <v>88</v>
      </c>
      <c r="B89" s="63">
        <v>46198</v>
      </c>
      <c r="C89" s="66" t="s">
        <v>122</v>
      </c>
      <c r="D89" s="66" t="s">
        <v>96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75"/>
      <c r="T89" s="67"/>
      <c r="U89" s="67"/>
      <c r="V89" s="67"/>
      <c r="W89" s="67"/>
      <c r="X89" s="67"/>
      <c r="Y89" s="76"/>
      <c r="Z89" s="67"/>
      <c r="AA89" s="67"/>
      <c r="AB89" s="67"/>
      <c r="AC89" s="67"/>
      <c r="AD89" s="67"/>
      <c r="AE89" s="67"/>
      <c r="AF89" s="75"/>
      <c r="AG89" s="67"/>
      <c r="AH89" s="67"/>
      <c r="AI89" s="67"/>
      <c r="AJ89" s="62"/>
      <c r="AK89" s="62"/>
    </row>
    <row r="90" spans="1:37" x14ac:dyDescent="0.3">
      <c r="A90" s="65">
        <v>89</v>
      </c>
      <c r="B90" s="63">
        <v>46199</v>
      </c>
      <c r="C90" s="66" t="s">
        <v>122</v>
      </c>
      <c r="D90" s="66" t="s">
        <v>127</v>
      </c>
      <c r="E90" s="92" t="s">
        <v>358</v>
      </c>
      <c r="F90" s="67"/>
      <c r="G90" s="67"/>
      <c r="H90" s="69"/>
      <c r="I90" s="67"/>
      <c r="J90" s="92" t="s">
        <v>358</v>
      </c>
      <c r="K90" s="67"/>
      <c r="L90" s="92" t="s">
        <v>358</v>
      </c>
      <c r="M90" s="67"/>
      <c r="N90" s="67"/>
      <c r="O90" s="92" t="s">
        <v>358</v>
      </c>
      <c r="P90" s="67"/>
      <c r="Q90" s="92" t="s">
        <v>358</v>
      </c>
      <c r="R90" s="67"/>
      <c r="S90" s="75"/>
      <c r="T90" s="92" t="s">
        <v>358</v>
      </c>
      <c r="U90" s="67"/>
      <c r="V90" s="67"/>
      <c r="W90" s="67"/>
      <c r="X90" s="67"/>
      <c r="Y90" s="75"/>
      <c r="Z90" s="67"/>
      <c r="AA90" s="67"/>
      <c r="AB90" s="67"/>
      <c r="AC90" s="67"/>
      <c r="AD90" s="92" t="s">
        <v>358</v>
      </c>
      <c r="AE90" s="92" t="s">
        <v>358</v>
      </c>
      <c r="AF90" s="92" t="s">
        <v>358</v>
      </c>
      <c r="AG90" s="75"/>
      <c r="AH90" s="69"/>
      <c r="AI90" s="67"/>
      <c r="AJ90" s="94" t="s">
        <v>358</v>
      </c>
      <c r="AK90" s="94" t="s">
        <v>358</v>
      </c>
    </row>
    <row r="91" spans="1:37" x14ac:dyDescent="0.3">
      <c r="A91" s="65">
        <v>90</v>
      </c>
      <c r="B91" s="63">
        <v>46200</v>
      </c>
      <c r="C91" s="66" t="s">
        <v>122</v>
      </c>
      <c r="D91" s="66" t="s">
        <v>64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75"/>
      <c r="T91" s="67"/>
      <c r="U91" s="67"/>
      <c r="V91" s="67"/>
      <c r="W91" s="67"/>
      <c r="X91" s="67"/>
      <c r="Y91" s="76"/>
      <c r="Z91" s="67"/>
      <c r="AA91" s="67"/>
      <c r="AB91" s="67"/>
      <c r="AC91" s="67"/>
      <c r="AD91" s="67"/>
      <c r="AE91" s="67"/>
      <c r="AF91" s="75"/>
      <c r="AG91" s="67"/>
      <c r="AH91" s="67"/>
      <c r="AI91" s="67"/>
      <c r="AJ91" s="62"/>
      <c r="AK91" s="62"/>
    </row>
    <row r="92" spans="1:37" x14ac:dyDescent="0.3">
      <c r="A92" s="65">
        <v>91</v>
      </c>
      <c r="B92" s="63">
        <v>46202</v>
      </c>
      <c r="C92" s="66" t="s">
        <v>173</v>
      </c>
      <c r="D92" s="66" t="s">
        <v>98</v>
      </c>
      <c r="E92" s="67"/>
      <c r="F92" s="67"/>
      <c r="G92" s="67"/>
      <c r="H92" s="69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75"/>
      <c r="T92" s="67"/>
      <c r="U92" s="67"/>
      <c r="V92" s="67"/>
      <c r="W92" s="67"/>
      <c r="X92" s="67"/>
      <c r="Y92" s="76"/>
      <c r="Z92" s="67"/>
      <c r="AA92" s="67"/>
      <c r="AB92" s="67"/>
      <c r="AC92" s="67"/>
      <c r="AD92" s="67"/>
      <c r="AE92" s="67"/>
      <c r="AF92" s="75"/>
      <c r="AG92" s="67"/>
      <c r="AH92" s="67"/>
      <c r="AI92" s="67"/>
      <c r="AJ92" s="62"/>
      <c r="AK92" s="62"/>
    </row>
    <row r="93" spans="1:37" x14ac:dyDescent="0.3">
      <c r="A93" s="65">
        <v>92</v>
      </c>
      <c r="B93" s="63">
        <v>46203</v>
      </c>
      <c r="C93" s="66" t="s">
        <v>165</v>
      </c>
      <c r="D93" s="66" t="s">
        <v>101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75"/>
      <c r="T93" s="67"/>
      <c r="U93" s="67"/>
      <c r="V93" s="67"/>
      <c r="W93" s="67"/>
      <c r="X93" s="67"/>
      <c r="Y93" s="75"/>
      <c r="Z93" s="67"/>
      <c r="AA93" s="67"/>
      <c r="AB93" s="67"/>
      <c r="AC93" s="67"/>
      <c r="AD93" s="67"/>
      <c r="AE93" s="67"/>
      <c r="AF93" s="75"/>
      <c r="AG93" s="67"/>
      <c r="AH93" s="67"/>
      <c r="AI93" s="67"/>
      <c r="AJ93" s="62"/>
      <c r="AK93" s="62"/>
    </row>
    <row r="94" spans="1:37" x14ac:dyDescent="0.3">
      <c r="A94" s="65">
        <v>93</v>
      </c>
      <c r="B94" s="63">
        <v>46204</v>
      </c>
      <c r="C94" s="66" t="s">
        <v>175</v>
      </c>
      <c r="D94" s="66" t="s">
        <v>97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75"/>
      <c r="T94" s="67"/>
      <c r="U94" s="67"/>
      <c r="V94" s="67"/>
      <c r="W94" s="67"/>
      <c r="X94" s="67"/>
      <c r="Y94" s="76"/>
      <c r="Z94" s="67"/>
      <c r="AA94" s="67"/>
      <c r="AB94" s="67"/>
      <c r="AC94" s="67"/>
      <c r="AD94" s="67"/>
      <c r="AE94" s="67"/>
      <c r="AF94" s="75"/>
      <c r="AG94" s="67"/>
      <c r="AH94" s="67"/>
      <c r="AI94" s="67"/>
      <c r="AJ94" s="62"/>
      <c r="AK94" s="62"/>
    </row>
    <row r="95" spans="1:37" x14ac:dyDescent="0.3">
      <c r="A95" s="65">
        <v>94</v>
      </c>
      <c r="B95" s="63">
        <v>46208</v>
      </c>
      <c r="C95" s="66" t="s">
        <v>175</v>
      </c>
      <c r="D95" s="66" t="s">
        <v>63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75"/>
      <c r="T95" s="67"/>
      <c r="U95" s="67"/>
      <c r="V95" s="67"/>
      <c r="W95" s="67"/>
      <c r="X95" s="67"/>
      <c r="Y95" s="76"/>
      <c r="Z95" s="67"/>
      <c r="AA95" s="67"/>
      <c r="AB95" s="67"/>
      <c r="AC95" s="67"/>
      <c r="AD95" s="67"/>
      <c r="AE95" s="67"/>
      <c r="AF95" s="75"/>
      <c r="AG95" s="67"/>
      <c r="AH95" s="67"/>
      <c r="AI95" s="67"/>
      <c r="AJ95" s="62"/>
      <c r="AK95" s="62"/>
    </row>
    <row r="96" spans="1:37" x14ac:dyDescent="0.3">
      <c r="A96" s="65">
        <v>95</v>
      </c>
      <c r="B96" s="63">
        <v>46209</v>
      </c>
      <c r="C96" s="66" t="s">
        <v>166</v>
      </c>
      <c r="D96" s="66" t="s">
        <v>98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75"/>
      <c r="T96" s="67"/>
      <c r="U96" s="67"/>
      <c r="V96" s="67"/>
      <c r="W96" s="67"/>
      <c r="X96" s="67"/>
      <c r="Y96" s="75"/>
      <c r="Z96" s="67"/>
      <c r="AA96" s="67"/>
      <c r="AB96" s="67"/>
      <c r="AC96" s="67"/>
      <c r="AD96" s="67"/>
      <c r="AE96" s="67"/>
      <c r="AF96" s="75"/>
      <c r="AG96" s="67"/>
      <c r="AH96" s="67"/>
      <c r="AI96" s="67"/>
      <c r="AJ96" s="62"/>
      <c r="AK96" s="62"/>
    </row>
    <row r="97" spans="1:37" x14ac:dyDescent="0.3">
      <c r="A97" s="65">
        <v>96</v>
      </c>
      <c r="B97" s="63">
        <v>46212</v>
      </c>
      <c r="C97" s="66" t="s">
        <v>155</v>
      </c>
      <c r="D97" s="66" t="s">
        <v>96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75"/>
      <c r="T97" s="67"/>
      <c r="U97" s="67"/>
      <c r="V97" s="67"/>
      <c r="W97" s="67"/>
      <c r="X97" s="75"/>
      <c r="Y97" s="76"/>
      <c r="Z97" s="67"/>
      <c r="AA97" s="67"/>
      <c r="AB97" s="67"/>
      <c r="AC97" s="67"/>
      <c r="AD97" s="67"/>
      <c r="AE97" s="67"/>
      <c r="AF97" s="75"/>
      <c r="AG97" s="67"/>
      <c r="AH97" s="67"/>
      <c r="AI97" s="67"/>
      <c r="AJ97" s="62"/>
      <c r="AK97" s="62"/>
    </row>
    <row r="98" spans="1:37" x14ac:dyDescent="0.3">
      <c r="A98" s="65">
        <v>97</v>
      </c>
      <c r="B98" s="63">
        <v>46216</v>
      </c>
      <c r="C98" s="66" t="s">
        <v>359</v>
      </c>
      <c r="D98" s="66" t="s">
        <v>98</v>
      </c>
      <c r="E98" s="67"/>
      <c r="F98" s="67"/>
      <c r="G98" s="67"/>
      <c r="H98" s="67"/>
      <c r="I98" s="67"/>
      <c r="J98" s="92" t="s">
        <v>357</v>
      </c>
      <c r="K98" s="67"/>
      <c r="L98" s="67"/>
      <c r="M98" s="67"/>
      <c r="N98" s="67"/>
      <c r="O98" s="67"/>
      <c r="P98" s="67"/>
      <c r="Q98" s="67"/>
      <c r="R98" s="67"/>
      <c r="S98" s="75"/>
      <c r="T98" s="67"/>
      <c r="U98" s="67"/>
      <c r="V98" s="67"/>
      <c r="W98" s="67"/>
      <c r="X98" s="75"/>
      <c r="Y98" s="76"/>
      <c r="Z98" s="67"/>
      <c r="AA98" s="67"/>
      <c r="AB98" s="67"/>
      <c r="AC98" s="67"/>
      <c r="AD98" s="67"/>
      <c r="AE98" s="67"/>
      <c r="AF98" s="75"/>
      <c r="AG98" s="67"/>
      <c r="AH98" s="67"/>
      <c r="AI98" s="67"/>
      <c r="AJ98" s="62"/>
      <c r="AK98" s="62"/>
    </row>
    <row r="99" spans="1:37" x14ac:dyDescent="0.3">
      <c r="A99" s="65">
        <v>98</v>
      </c>
      <c r="B99" s="63">
        <v>46218</v>
      </c>
      <c r="C99" s="66" t="s">
        <v>334</v>
      </c>
      <c r="D99" s="66" t="s">
        <v>97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75"/>
      <c r="T99" s="67"/>
      <c r="U99" s="67"/>
      <c r="V99" s="67"/>
      <c r="W99" s="67"/>
      <c r="X99" s="75"/>
      <c r="Y99" s="76"/>
      <c r="Z99" s="67"/>
      <c r="AA99" s="67"/>
      <c r="AB99" s="67"/>
      <c r="AC99" s="67"/>
      <c r="AD99" s="67"/>
      <c r="AE99" s="67"/>
      <c r="AF99" s="75"/>
      <c r="AG99" s="67"/>
      <c r="AH99" s="67"/>
      <c r="AI99" s="67"/>
      <c r="AJ99" s="62"/>
      <c r="AK99" s="62"/>
    </row>
    <row r="100" spans="1:37" x14ac:dyDescent="0.3">
      <c r="A100" s="65">
        <v>99</v>
      </c>
      <c r="B100" s="63">
        <v>46219</v>
      </c>
      <c r="C100" s="66" t="s">
        <v>257</v>
      </c>
      <c r="D100" s="66" t="s">
        <v>96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92" t="s">
        <v>358</v>
      </c>
      <c r="T100" s="67"/>
      <c r="U100" s="67"/>
      <c r="V100" s="67"/>
      <c r="W100" s="92" t="s">
        <v>358</v>
      </c>
      <c r="X100" s="67"/>
      <c r="Y100" s="76"/>
      <c r="Z100" s="67"/>
      <c r="AA100" s="67"/>
      <c r="AB100" s="67"/>
      <c r="AC100" s="67"/>
      <c r="AD100" s="67"/>
      <c r="AE100" s="67"/>
      <c r="AF100" s="75"/>
      <c r="AG100" s="67"/>
      <c r="AH100" s="67"/>
      <c r="AI100" s="67"/>
      <c r="AJ100" s="62"/>
      <c r="AK100" s="62"/>
    </row>
    <row r="101" spans="1:37" x14ac:dyDescent="0.3">
      <c r="A101" s="65">
        <v>100</v>
      </c>
      <c r="B101" s="63">
        <v>46220</v>
      </c>
      <c r="C101" s="66" t="s">
        <v>156</v>
      </c>
      <c r="D101" s="66" t="s">
        <v>127</v>
      </c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75"/>
      <c r="T101" s="67"/>
      <c r="U101" s="67"/>
      <c r="V101" s="67"/>
      <c r="W101" s="67"/>
      <c r="X101" s="67"/>
      <c r="Y101" s="76"/>
      <c r="Z101" s="67"/>
      <c r="AA101" s="67"/>
      <c r="AB101" s="67"/>
      <c r="AC101" s="67"/>
      <c r="AD101" s="67"/>
      <c r="AE101" s="67"/>
      <c r="AF101" s="75"/>
      <c r="AG101" s="67"/>
      <c r="AH101" s="67"/>
      <c r="AI101" s="67"/>
      <c r="AJ101" s="62"/>
      <c r="AK101" s="62"/>
    </row>
    <row r="102" spans="1:37" x14ac:dyDescent="0.3">
      <c r="A102" s="65">
        <v>101</v>
      </c>
      <c r="B102" s="63">
        <v>46224</v>
      </c>
      <c r="C102" s="66" t="s">
        <v>335</v>
      </c>
      <c r="D102" s="66" t="s">
        <v>101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75"/>
      <c r="T102" s="67"/>
      <c r="U102" s="67"/>
      <c r="V102" s="67"/>
      <c r="W102" s="67"/>
      <c r="X102" s="67"/>
      <c r="Y102" s="76"/>
      <c r="Z102" s="67"/>
      <c r="AA102" s="67"/>
      <c r="AB102" s="67"/>
      <c r="AC102" s="67"/>
      <c r="AD102" s="67"/>
      <c r="AE102" s="67"/>
      <c r="AF102" s="75"/>
      <c r="AG102" s="67"/>
      <c r="AH102" s="67"/>
      <c r="AI102" s="67"/>
      <c r="AJ102" s="62"/>
      <c r="AK102" s="62"/>
    </row>
    <row r="103" spans="1:37" x14ac:dyDescent="0.3">
      <c r="A103" s="65">
        <v>102</v>
      </c>
      <c r="B103" s="63">
        <v>46226</v>
      </c>
      <c r="C103" s="66" t="s">
        <v>339</v>
      </c>
      <c r="D103" s="66" t="s">
        <v>96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75"/>
      <c r="T103" s="67"/>
      <c r="U103" s="67"/>
      <c r="V103" s="67"/>
      <c r="W103" s="67"/>
      <c r="X103" s="67"/>
      <c r="Y103" s="76"/>
      <c r="Z103" s="67"/>
      <c r="AA103" s="67"/>
      <c r="AB103" s="67"/>
      <c r="AC103" s="67"/>
      <c r="AD103" s="67"/>
      <c r="AE103" s="67"/>
      <c r="AF103" s="75"/>
      <c r="AG103" s="67"/>
      <c r="AH103" s="67"/>
      <c r="AI103" s="67"/>
      <c r="AJ103" s="62"/>
      <c r="AK103" s="62"/>
    </row>
    <row r="104" spans="1:37" x14ac:dyDescent="0.3">
      <c r="A104" s="65">
        <v>103</v>
      </c>
      <c r="B104" s="63">
        <v>46238</v>
      </c>
      <c r="C104" s="66" t="s">
        <v>286</v>
      </c>
      <c r="D104" s="66" t="s">
        <v>101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75"/>
      <c r="T104" s="67"/>
      <c r="U104" s="67"/>
      <c r="V104" s="67"/>
      <c r="W104" s="67"/>
      <c r="X104" s="67"/>
      <c r="Y104" s="76"/>
      <c r="Z104" s="67"/>
      <c r="AA104" s="67"/>
      <c r="AB104" s="67"/>
      <c r="AC104" s="67"/>
      <c r="AD104" s="67"/>
      <c r="AE104" s="67"/>
      <c r="AF104" s="75"/>
      <c r="AG104" s="67"/>
      <c r="AH104" s="67"/>
      <c r="AI104" s="67"/>
      <c r="AJ104" s="62"/>
      <c r="AK104" s="62"/>
    </row>
    <row r="105" spans="1:37" x14ac:dyDescent="0.3">
      <c r="A105" s="65">
        <v>104</v>
      </c>
      <c r="B105" s="63">
        <v>46243</v>
      </c>
      <c r="C105" s="66" t="s">
        <v>234</v>
      </c>
      <c r="D105" s="66" t="s">
        <v>63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75"/>
      <c r="T105" s="67"/>
      <c r="U105" s="67"/>
      <c r="V105" s="67"/>
      <c r="W105" s="67"/>
      <c r="X105" s="67"/>
      <c r="Y105" s="76"/>
      <c r="Z105" s="67"/>
      <c r="AA105" s="67"/>
      <c r="AB105" s="67"/>
      <c r="AC105" s="67"/>
      <c r="AD105" s="67"/>
      <c r="AE105" s="67"/>
      <c r="AF105" s="75"/>
      <c r="AG105" s="67"/>
      <c r="AH105" s="67"/>
      <c r="AI105" s="67"/>
      <c r="AJ105" s="62"/>
      <c r="AK105" s="62"/>
    </row>
    <row r="106" spans="1:37" x14ac:dyDescent="0.3">
      <c r="A106" s="65">
        <v>105</v>
      </c>
      <c r="B106" s="63">
        <v>46244</v>
      </c>
      <c r="C106" s="66" t="s">
        <v>368</v>
      </c>
      <c r="D106" s="66" t="s">
        <v>98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75"/>
      <c r="T106" s="67"/>
      <c r="U106" s="67"/>
      <c r="V106" s="67"/>
      <c r="W106" s="67"/>
      <c r="X106" s="67"/>
      <c r="Y106" s="76"/>
      <c r="Z106" s="67"/>
      <c r="AA106" s="67"/>
      <c r="AB106" s="67"/>
      <c r="AC106" s="67"/>
      <c r="AD106" s="67"/>
      <c r="AE106" s="67"/>
      <c r="AF106" s="75"/>
      <c r="AG106" s="67"/>
      <c r="AH106" s="67"/>
      <c r="AI106" s="67"/>
      <c r="AJ106" s="62"/>
      <c r="AK106" s="62"/>
    </row>
    <row r="107" spans="1:37" x14ac:dyDescent="0.3">
      <c r="A107" s="65">
        <v>106</v>
      </c>
      <c r="B107" s="63">
        <v>46246</v>
      </c>
      <c r="C107" s="66" t="s">
        <v>256</v>
      </c>
      <c r="D107" s="66" t="s">
        <v>97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75"/>
      <c r="T107" s="67"/>
      <c r="U107" s="67"/>
      <c r="V107" s="67"/>
      <c r="W107" s="67"/>
      <c r="X107" s="67"/>
      <c r="Y107" s="76"/>
      <c r="Z107" s="67"/>
      <c r="AA107" s="67"/>
      <c r="AB107" s="67"/>
      <c r="AC107" s="67"/>
      <c r="AD107" s="67"/>
      <c r="AE107" s="67"/>
      <c r="AF107" s="75"/>
      <c r="AG107" s="67"/>
      <c r="AH107" s="67"/>
      <c r="AI107" s="67"/>
      <c r="AJ107" s="62"/>
      <c r="AK107" s="62"/>
    </row>
    <row r="108" spans="1:37" x14ac:dyDescent="0.3">
      <c r="A108" s="65">
        <v>107</v>
      </c>
      <c r="B108" s="63">
        <v>46247</v>
      </c>
      <c r="C108" s="66" t="s">
        <v>343</v>
      </c>
      <c r="D108" s="66" t="s">
        <v>96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75"/>
      <c r="T108" s="67"/>
      <c r="U108" s="67"/>
      <c r="V108" s="67"/>
      <c r="W108" s="92" t="s">
        <v>358</v>
      </c>
      <c r="X108" s="67"/>
      <c r="Y108" s="76"/>
      <c r="Z108" s="67"/>
      <c r="AA108" s="67"/>
      <c r="AB108" s="67"/>
      <c r="AC108" s="67"/>
      <c r="AD108" s="67"/>
      <c r="AE108" s="67"/>
      <c r="AF108" s="75"/>
      <c r="AG108" s="67"/>
      <c r="AH108" s="67"/>
      <c r="AI108" s="67"/>
      <c r="AJ108" s="62"/>
      <c r="AK108" s="62"/>
    </row>
    <row r="109" spans="1:37" x14ac:dyDescent="0.3">
      <c r="A109" s="65">
        <v>108</v>
      </c>
      <c r="B109" s="63">
        <v>46248</v>
      </c>
      <c r="C109" s="66" t="s">
        <v>336</v>
      </c>
      <c r="D109" s="66" t="s">
        <v>127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75"/>
      <c r="T109" s="67"/>
      <c r="U109" s="67"/>
      <c r="V109" s="67"/>
      <c r="W109" s="67"/>
      <c r="X109" s="67"/>
      <c r="Y109" s="76"/>
      <c r="Z109" s="67"/>
      <c r="AA109" s="67"/>
      <c r="AB109" s="67"/>
      <c r="AC109" s="67"/>
      <c r="AD109" s="67"/>
      <c r="AE109" s="67"/>
      <c r="AF109" s="75"/>
      <c r="AG109" s="67"/>
      <c r="AH109" s="67"/>
      <c r="AI109" s="67"/>
      <c r="AJ109" s="62"/>
      <c r="AK109" s="62"/>
    </row>
    <row r="110" spans="1:37" x14ac:dyDescent="0.3">
      <c r="A110" s="65">
        <v>109</v>
      </c>
      <c r="B110" s="63">
        <v>46249</v>
      </c>
      <c r="C110" s="66" t="s">
        <v>46</v>
      </c>
      <c r="D110" s="67" t="s">
        <v>64</v>
      </c>
      <c r="E110" s="69"/>
      <c r="F110" s="67"/>
      <c r="G110" s="67"/>
      <c r="H110" s="69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2"/>
      <c r="AK110" s="62"/>
    </row>
    <row r="111" spans="1:37" x14ac:dyDescent="0.3">
      <c r="A111" s="65">
        <v>110</v>
      </c>
      <c r="B111" s="63">
        <v>46250</v>
      </c>
      <c r="C111" s="93" t="s">
        <v>361</v>
      </c>
      <c r="D111" s="67" t="s">
        <v>63</v>
      </c>
      <c r="E111" s="67"/>
      <c r="F111" s="67"/>
      <c r="G111" s="67"/>
      <c r="H111" s="69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2"/>
      <c r="AK111" s="62"/>
    </row>
    <row r="112" spans="1:37" x14ac:dyDescent="0.3">
      <c r="A112" s="65">
        <v>111</v>
      </c>
      <c r="B112" s="63">
        <v>46251</v>
      </c>
      <c r="C112" s="66" t="s">
        <v>258</v>
      </c>
      <c r="D112" s="69" t="s">
        <v>98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75"/>
      <c r="T112" s="67"/>
      <c r="U112" s="67"/>
      <c r="V112" s="67"/>
      <c r="W112" s="67"/>
      <c r="X112" s="67"/>
      <c r="Y112" s="76"/>
      <c r="Z112" s="67"/>
      <c r="AA112" s="67"/>
      <c r="AB112" s="67"/>
      <c r="AC112" s="67"/>
      <c r="AD112" s="67"/>
      <c r="AE112" s="67"/>
      <c r="AF112" s="75"/>
      <c r="AG112" s="67"/>
      <c r="AH112" s="67"/>
      <c r="AI112" s="67"/>
      <c r="AJ112" s="62"/>
      <c r="AK112" s="62"/>
    </row>
    <row r="113" spans="1:37" x14ac:dyDescent="0.3">
      <c r="A113" s="65">
        <v>112</v>
      </c>
      <c r="B113" s="63">
        <v>46255</v>
      </c>
      <c r="C113" s="66" t="s">
        <v>224</v>
      </c>
      <c r="D113" s="69" t="s">
        <v>127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75"/>
      <c r="T113" s="67"/>
      <c r="U113" s="67"/>
      <c r="V113" s="67"/>
      <c r="W113" s="67"/>
      <c r="X113" s="67"/>
      <c r="Y113" s="76"/>
      <c r="Z113" s="67"/>
      <c r="AA113" s="67"/>
      <c r="AB113" s="67"/>
      <c r="AC113" s="67"/>
      <c r="AD113" s="92" t="s">
        <v>358</v>
      </c>
      <c r="AE113" s="67"/>
      <c r="AF113" s="75"/>
      <c r="AG113" s="67"/>
      <c r="AH113" s="67"/>
      <c r="AI113" s="67"/>
      <c r="AJ113" s="62"/>
      <c r="AK113" s="62"/>
    </row>
    <row r="114" spans="1:37" x14ac:dyDescent="0.3">
      <c r="A114" s="65">
        <v>113</v>
      </c>
      <c r="B114" s="63">
        <v>46258</v>
      </c>
      <c r="C114" s="66" t="s">
        <v>287</v>
      </c>
      <c r="D114" s="69" t="s">
        <v>98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75"/>
      <c r="T114" s="67"/>
      <c r="U114" s="67"/>
      <c r="V114" s="67"/>
      <c r="W114" s="67"/>
      <c r="X114" s="67"/>
      <c r="Y114" s="76"/>
      <c r="Z114" s="67"/>
      <c r="AA114" s="67"/>
      <c r="AB114" s="67"/>
      <c r="AC114" s="67"/>
      <c r="AD114" s="67"/>
      <c r="AE114" s="67"/>
      <c r="AF114" s="75"/>
      <c r="AG114" s="67"/>
      <c r="AH114" s="67"/>
      <c r="AI114" s="67"/>
      <c r="AJ114" s="62"/>
      <c r="AK114" s="62"/>
    </row>
    <row r="115" spans="1:37" x14ac:dyDescent="0.3">
      <c r="A115" s="65">
        <v>114</v>
      </c>
      <c r="B115" s="63">
        <v>46259</v>
      </c>
      <c r="C115" s="66" t="s">
        <v>131</v>
      </c>
      <c r="D115" s="66" t="s">
        <v>101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75"/>
      <c r="T115" s="67"/>
      <c r="U115" s="67"/>
      <c r="V115" s="67"/>
      <c r="W115" s="67"/>
      <c r="X115" s="67"/>
      <c r="Y115" s="76"/>
      <c r="Z115" s="67"/>
      <c r="AA115" s="67"/>
      <c r="AB115" s="67"/>
      <c r="AC115" s="67"/>
      <c r="AD115" s="67"/>
      <c r="AE115" s="67"/>
      <c r="AF115" s="75"/>
      <c r="AG115" s="67"/>
      <c r="AH115" s="67"/>
      <c r="AI115" s="67"/>
      <c r="AJ115" s="62"/>
      <c r="AK115" s="62"/>
    </row>
    <row r="116" spans="1:37" x14ac:dyDescent="0.3">
      <c r="A116" s="65">
        <v>115</v>
      </c>
      <c r="B116" s="63">
        <v>46260</v>
      </c>
      <c r="C116" s="66" t="s">
        <v>259</v>
      </c>
      <c r="D116" s="66" t="s">
        <v>97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75"/>
      <c r="T116" s="67"/>
      <c r="U116" s="67"/>
      <c r="V116" s="67"/>
      <c r="W116" s="92" t="s">
        <v>358</v>
      </c>
      <c r="X116" s="67"/>
      <c r="Y116" s="75"/>
      <c r="Z116" s="67"/>
      <c r="AA116" s="67"/>
      <c r="AB116" s="67"/>
      <c r="AC116" s="67"/>
      <c r="AD116" s="67"/>
      <c r="AE116" s="92" t="s">
        <v>358</v>
      </c>
      <c r="AF116" s="75"/>
      <c r="AG116" s="67"/>
      <c r="AH116" s="67"/>
      <c r="AI116" s="67"/>
      <c r="AJ116" s="62"/>
      <c r="AK116" s="62"/>
    </row>
    <row r="117" spans="1:37" x14ac:dyDescent="0.3">
      <c r="A117" s="65">
        <v>116</v>
      </c>
      <c r="B117" s="63">
        <v>46261</v>
      </c>
      <c r="C117" s="66" t="s">
        <v>225</v>
      </c>
      <c r="D117" s="66" t="s">
        <v>96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75"/>
      <c r="T117" s="67"/>
      <c r="U117" s="67"/>
      <c r="V117" s="67"/>
      <c r="W117" s="67"/>
      <c r="X117" s="67"/>
      <c r="Y117" s="76"/>
      <c r="Z117" s="67"/>
      <c r="AA117" s="67"/>
      <c r="AB117" s="67"/>
      <c r="AC117" s="67"/>
      <c r="AD117" s="67"/>
      <c r="AE117" s="67"/>
      <c r="AF117" s="75"/>
      <c r="AG117" s="67"/>
      <c r="AH117" s="67"/>
      <c r="AI117" s="67"/>
      <c r="AJ117" s="62"/>
      <c r="AK117" s="62"/>
    </row>
    <row r="118" spans="1:37" x14ac:dyDescent="0.3">
      <c r="A118" s="65">
        <v>117</v>
      </c>
      <c r="B118" s="63">
        <v>46262</v>
      </c>
      <c r="C118" s="66" t="s">
        <v>288</v>
      </c>
      <c r="D118" s="66" t="s">
        <v>127</v>
      </c>
      <c r="E118" s="67"/>
      <c r="F118" s="67"/>
      <c r="G118" s="67"/>
      <c r="H118" s="92" t="s">
        <v>358</v>
      </c>
      <c r="I118" s="67"/>
      <c r="J118" s="67"/>
      <c r="K118" s="67"/>
      <c r="L118" s="92" t="s">
        <v>358</v>
      </c>
      <c r="M118" s="67"/>
      <c r="N118" s="92" t="s">
        <v>358</v>
      </c>
      <c r="O118" s="75"/>
      <c r="P118" s="67"/>
      <c r="Q118" s="75"/>
      <c r="R118" s="67"/>
      <c r="S118" s="75"/>
      <c r="T118" s="67"/>
      <c r="U118" s="67"/>
      <c r="V118" s="67"/>
      <c r="W118" s="67"/>
      <c r="X118" s="67"/>
      <c r="Y118" s="76"/>
      <c r="Z118" s="67"/>
      <c r="AA118" s="67"/>
      <c r="AB118" s="67"/>
      <c r="AC118" s="67"/>
      <c r="AD118" s="67"/>
      <c r="AE118" s="67"/>
      <c r="AF118" s="75"/>
      <c r="AG118" s="67"/>
      <c r="AH118" s="67"/>
      <c r="AI118" s="67"/>
      <c r="AJ118" s="62"/>
      <c r="AK118" s="62"/>
    </row>
    <row r="119" spans="1:37" x14ac:dyDescent="0.3">
      <c r="A119" s="65">
        <v>118</v>
      </c>
      <c r="B119" s="63">
        <v>46265</v>
      </c>
      <c r="C119" s="66" t="s">
        <v>337</v>
      </c>
      <c r="D119" s="66" t="s">
        <v>98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75"/>
      <c r="R119" s="67"/>
      <c r="S119" s="75"/>
      <c r="T119" s="67"/>
      <c r="U119" s="67"/>
      <c r="V119" s="67"/>
      <c r="W119" s="67"/>
      <c r="X119" s="67"/>
      <c r="Y119" s="76"/>
      <c r="Z119" s="67"/>
      <c r="AA119" s="67"/>
      <c r="AB119" s="67"/>
      <c r="AC119" s="67"/>
      <c r="AD119" s="67"/>
      <c r="AE119" s="67"/>
      <c r="AF119" s="75"/>
      <c r="AG119" s="67"/>
      <c r="AH119" s="67"/>
      <c r="AI119" s="67"/>
      <c r="AJ119" s="62"/>
      <c r="AK119" s="62"/>
    </row>
    <row r="120" spans="1:37" x14ac:dyDescent="0.3">
      <c r="A120" s="65">
        <v>119</v>
      </c>
      <c r="B120" s="63">
        <v>46266</v>
      </c>
      <c r="C120" s="66" t="s">
        <v>299</v>
      </c>
      <c r="D120" s="66" t="s">
        <v>101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75"/>
      <c r="T120" s="67"/>
      <c r="U120" s="67"/>
      <c r="V120" s="67"/>
      <c r="W120" s="67"/>
      <c r="X120" s="67"/>
      <c r="Y120" s="76"/>
      <c r="Z120" s="67"/>
      <c r="AA120" s="67"/>
      <c r="AB120" s="67"/>
      <c r="AC120" s="67"/>
      <c r="AD120" s="67"/>
      <c r="AE120" s="67"/>
      <c r="AF120" s="75"/>
      <c r="AG120" s="67"/>
      <c r="AH120" s="67"/>
      <c r="AI120" s="67"/>
      <c r="AJ120" s="62"/>
      <c r="AK120" s="62"/>
    </row>
    <row r="121" spans="1:37" x14ac:dyDescent="0.3">
      <c r="A121" s="65">
        <v>120</v>
      </c>
      <c r="B121" s="63">
        <v>46267</v>
      </c>
      <c r="C121" s="66" t="s">
        <v>260</v>
      </c>
      <c r="D121" s="66" t="s">
        <v>97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75"/>
      <c r="T121" s="67"/>
      <c r="U121" s="67"/>
      <c r="V121" s="67"/>
      <c r="W121" s="67"/>
      <c r="X121" s="67"/>
      <c r="Y121" s="76"/>
      <c r="Z121" s="67"/>
      <c r="AA121" s="67"/>
      <c r="AB121" s="67"/>
      <c r="AC121" s="67"/>
      <c r="AD121" s="67"/>
      <c r="AE121" s="67"/>
      <c r="AF121" s="75"/>
      <c r="AG121" s="67"/>
      <c r="AH121" s="67"/>
      <c r="AI121" s="67"/>
      <c r="AJ121" s="62"/>
      <c r="AK121" s="62"/>
    </row>
    <row r="122" spans="1:37" x14ac:dyDescent="0.3">
      <c r="A122" s="65">
        <v>121</v>
      </c>
      <c r="B122" s="63">
        <v>46269</v>
      </c>
      <c r="C122" s="66" t="s">
        <v>123</v>
      </c>
      <c r="D122" s="66" t="s">
        <v>127</v>
      </c>
      <c r="E122" s="92" t="s">
        <v>358</v>
      </c>
      <c r="F122" s="67"/>
      <c r="G122" s="67"/>
      <c r="H122" s="69"/>
      <c r="I122" s="92" t="s">
        <v>358</v>
      </c>
      <c r="J122" s="75"/>
      <c r="K122" s="67"/>
      <c r="L122" s="75"/>
      <c r="M122" s="67"/>
      <c r="N122" s="92" t="s">
        <v>358</v>
      </c>
      <c r="O122" s="67"/>
      <c r="P122" s="67"/>
      <c r="Q122" s="75"/>
      <c r="R122" s="92" t="s">
        <v>358</v>
      </c>
      <c r="S122" s="92" t="s">
        <v>358</v>
      </c>
      <c r="T122" s="67"/>
      <c r="U122" s="67"/>
      <c r="V122" s="67"/>
      <c r="W122" s="67"/>
      <c r="X122" s="92" t="s">
        <v>358</v>
      </c>
      <c r="Y122" s="92" t="s">
        <v>358</v>
      </c>
      <c r="Z122" s="67"/>
      <c r="AA122" s="67"/>
      <c r="AB122" s="67"/>
      <c r="AC122" s="67"/>
      <c r="AD122" s="67"/>
      <c r="AE122" s="67"/>
      <c r="AF122" s="75"/>
      <c r="AG122" s="67"/>
      <c r="AH122" s="67"/>
      <c r="AI122" s="67"/>
      <c r="AJ122" s="94" t="s">
        <v>358</v>
      </c>
      <c r="AK122" s="94" t="s">
        <v>358</v>
      </c>
    </row>
    <row r="123" spans="1:37" x14ac:dyDescent="0.3">
      <c r="A123" s="65">
        <v>122</v>
      </c>
      <c r="B123" s="63">
        <v>46270</v>
      </c>
      <c r="C123" s="66" t="s">
        <v>338</v>
      </c>
      <c r="D123" s="66" t="s">
        <v>64</v>
      </c>
      <c r="E123" s="67"/>
      <c r="F123" s="67"/>
      <c r="G123" s="67"/>
      <c r="H123" s="67"/>
      <c r="I123" s="67"/>
      <c r="J123" s="67"/>
      <c r="K123" s="67"/>
      <c r="L123" s="75"/>
      <c r="M123" s="67"/>
      <c r="N123" s="67"/>
      <c r="O123" s="75"/>
      <c r="P123" s="67"/>
      <c r="Q123" s="75"/>
      <c r="R123" s="67"/>
      <c r="S123" s="75"/>
      <c r="T123" s="67"/>
      <c r="U123" s="67"/>
      <c r="V123" s="67"/>
      <c r="W123" s="67"/>
      <c r="X123" s="75"/>
      <c r="Y123" s="75"/>
      <c r="Z123" s="67"/>
      <c r="AA123" s="67"/>
      <c r="AB123" s="67"/>
      <c r="AC123" s="67"/>
      <c r="AD123" s="67"/>
      <c r="AE123" s="67"/>
      <c r="AF123" s="75"/>
      <c r="AG123" s="67"/>
      <c r="AH123" s="67"/>
      <c r="AI123" s="67"/>
      <c r="AJ123" s="62"/>
      <c r="AK123" s="62"/>
    </row>
    <row r="124" spans="1:37" x14ac:dyDescent="0.3">
      <c r="A124" s="65">
        <v>123</v>
      </c>
      <c r="B124" s="63">
        <v>46273</v>
      </c>
      <c r="C124" s="66" t="s">
        <v>226</v>
      </c>
      <c r="D124" s="66" t="s">
        <v>101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75"/>
      <c r="T124" s="67"/>
      <c r="U124" s="67"/>
      <c r="V124" s="67"/>
      <c r="W124" s="67"/>
      <c r="X124" s="67"/>
      <c r="Y124" s="76"/>
      <c r="Z124" s="67"/>
      <c r="AA124" s="67"/>
      <c r="AB124" s="67"/>
      <c r="AC124" s="67"/>
      <c r="AD124" s="67"/>
      <c r="AE124" s="67"/>
      <c r="AF124" s="75"/>
      <c r="AG124" s="67"/>
      <c r="AH124" s="67"/>
      <c r="AI124" s="67"/>
      <c r="AJ124" s="62"/>
      <c r="AK124" s="62"/>
    </row>
    <row r="125" spans="1:37" x14ac:dyDescent="0.3">
      <c r="A125" s="65">
        <v>124</v>
      </c>
      <c r="B125" s="63">
        <v>46275</v>
      </c>
      <c r="C125" s="66" t="s">
        <v>261</v>
      </c>
      <c r="D125" s="66" t="s">
        <v>96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75"/>
      <c r="T125" s="67"/>
      <c r="U125" s="67"/>
      <c r="V125" s="67"/>
      <c r="W125" s="67"/>
      <c r="X125" s="67"/>
      <c r="Y125" s="76"/>
      <c r="Z125" s="67"/>
      <c r="AA125" s="67"/>
      <c r="AB125" s="67"/>
      <c r="AC125" s="67"/>
      <c r="AD125" s="67"/>
      <c r="AE125" s="67"/>
      <c r="AF125" s="75"/>
      <c r="AG125" s="67"/>
      <c r="AH125" s="67"/>
      <c r="AI125" s="67"/>
      <c r="AJ125" s="62"/>
      <c r="AK125" s="62"/>
    </row>
    <row r="126" spans="1:37" x14ac:dyDescent="0.3">
      <c r="A126" s="65">
        <v>125</v>
      </c>
      <c r="B126" s="63">
        <v>46277</v>
      </c>
      <c r="C126" s="66" t="s">
        <v>300</v>
      </c>
      <c r="D126" s="66" t="s">
        <v>64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75"/>
      <c r="T126" s="67"/>
      <c r="U126" s="67"/>
      <c r="V126" s="67"/>
      <c r="W126" s="67"/>
      <c r="X126" s="67"/>
      <c r="Y126" s="76"/>
      <c r="Z126" s="67"/>
      <c r="AA126" s="67"/>
      <c r="AB126" s="67"/>
      <c r="AC126" s="67"/>
      <c r="AD126" s="67"/>
      <c r="AE126" s="67"/>
      <c r="AF126" s="75"/>
      <c r="AG126" s="67"/>
      <c r="AH126" s="67"/>
      <c r="AI126" s="67"/>
      <c r="AJ126" s="62"/>
      <c r="AK126" s="62"/>
    </row>
    <row r="127" spans="1:37" x14ac:dyDescent="0.3">
      <c r="A127" s="65">
        <v>126</v>
      </c>
      <c r="B127" s="63">
        <v>46279</v>
      </c>
      <c r="C127" s="66" t="s">
        <v>262</v>
      </c>
      <c r="D127" s="66" t="s">
        <v>98</v>
      </c>
      <c r="E127" s="67"/>
      <c r="F127" s="92" t="s">
        <v>358</v>
      </c>
      <c r="G127" s="92" t="s">
        <v>358</v>
      </c>
      <c r="H127" s="69"/>
      <c r="I127" s="67"/>
      <c r="J127" s="67"/>
      <c r="K127" s="67"/>
      <c r="L127" s="67"/>
      <c r="M127" s="92" t="s">
        <v>358</v>
      </c>
      <c r="N127" s="67"/>
      <c r="O127" s="67"/>
      <c r="P127" s="92" t="s">
        <v>358</v>
      </c>
      <c r="Q127" s="75"/>
      <c r="R127" s="67"/>
      <c r="S127" s="75"/>
      <c r="T127" s="67"/>
      <c r="U127" s="92" t="s">
        <v>358</v>
      </c>
      <c r="V127" s="67"/>
      <c r="W127" s="67"/>
      <c r="X127" s="67"/>
      <c r="Y127" s="76"/>
      <c r="Z127" s="92" t="s">
        <v>358</v>
      </c>
      <c r="AA127" s="67"/>
      <c r="AB127" s="92" t="s">
        <v>358</v>
      </c>
      <c r="AC127" s="67"/>
      <c r="AD127" s="92" t="s">
        <v>358</v>
      </c>
      <c r="AE127" s="92" t="s">
        <v>358</v>
      </c>
      <c r="AF127" s="75"/>
      <c r="AG127" s="92" t="s">
        <v>358</v>
      </c>
      <c r="AH127" s="92" t="s">
        <v>358</v>
      </c>
      <c r="AI127" s="92" t="s">
        <v>358</v>
      </c>
      <c r="AJ127" s="62"/>
      <c r="AK127" s="94" t="s">
        <v>358</v>
      </c>
    </row>
    <row r="128" spans="1:37" x14ac:dyDescent="0.3">
      <c r="A128" s="65">
        <v>127</v>
      </c>
      <c r="B128" s="63">
        <v>46280</v>
      </c>
      <c r="C128" s="66" t="s">
        <v>150</v>
      </c>
      <c r="D128" s="66" t="s">
        <v>101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75"/>
      <c r="T128" s="67"/>
      <c r="U128" s="67"/>
      <c r="V128" s="67"/>
      <c r="W128" s="67"/>
      <c r="X128" s="67"/>
      <c r="Y128" s="76"/>
      <c r="Z128" s="67"/>
      <c r="AA128" s="67"/>
      <c r="AB128" s="67"/>
      <c r="AC128" s="67"/>
      <c r="AD128" s="67"/>
      <c r="AE128" s="67"/>
      <c r="AF128" s="75"/>
      <c r="AG128" s="67"/>
      <c r="AH128" s="67"/>
      <c r="AI128" s="92" t="s">
        <v>358</v>
      </c>
      <c r="AJ128" s="62"/>
      <c r="AK128" s="62"/>
    </row>
    <row r="129" spans="1:37" x14ac:dyDescent="0.3">
      <c r="A129" s="65">
        <v>128</v>
      </c>
      <c r="B129" s="63">
        <v>46282</v>
      </c>
      <c r="C129" s="66" t="s">
        <v>227</v>
      </c>
      <c r="D129" s="66" t="s">
        <v>96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75"/>
      <c r="T129" s="67"/>
      <c r="U129" s="67"/>
      <c r="V129" s="67"/>
      <c r="W129" s="67"/>
      <c r="X129" s="67"/>
      <c r="Y129" s="76"/>
      <c r="Z129" s="67"/>
      <c r="AA129" s="67"/>
      <c r="AB129" s="67"/>
      <c r="AC129" s="67"/>
      <c r="AD129" s="67"/>
      <c r="AE129" s="67"/>
      <c r="AF129" s="75"/>
      <c r="AG129" s="67"/>
      <c r="AH129" s="67"/>
      <c r="AI129" s="67"/>
      <c r="AJ129" s="62"/>
      <c r="AK129" s="62"/>
    </row>
    <row r="130" spans="1:37" x14ac:dyDescent="0.3">
      <c r="A130" s="65">
        <v>129</v>
      </c>
      <c r="B130" s="63">
        <v>46283</v>
      </c>
      <c r="C130" s="66" t="s">
        <v>263</v>
      </c>
      <c r="D130" s="66" t="s">
        <v>127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75"/>
      <c r="T130" s="67"/>
      <c r="U130" s="67"/>
      <c r="V130" s="67"/>
      <c r="W130" s="67"/>
      <c r="X130" s="67"/>
      <c r="Y130" s="76"/>
      <c r="Z130" s="67"/>
      <c r="AA130" s="67"/>
      <c r="AB130" s="67"/>
      <c r="AC130" s="67"/>
      <c r="AD130" s="67"/>
      <c r="AE130" s="67"/>
      <c r="AF130" s="75"/>
      <c r="AG130" s="67"/>
      <c r="AH130" s="67"/>
      <c r="AI130" s="67"/>
      <c r="AJ130" s="62"/>
      <c r="AK130" s="62"/>
    </row>
    <row r="131" spans="1:37" x14ac:dyDescent="0.3">
      <c r="A131" s="65">
        <v>130</v>
      </c>
      <c r="B131" s="63">
        <v>46286</v>
      </c>
      <c r="C131" s="66" t="s">
        <v>235</v>
      </c>
      <c r="D131" s="66" t="s">
        <v>98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75"/>
      <c r="T131" s="67"/>
      <c r="U131" s="67"/>
      <c r="V131" s="67"/>
      <c r="W131" s="67"/>
      <c r="X131" s="67"/>
      <c r="Y131" s="76"/>
      <c r="Z131" s="67"/>
      <c r="AA131" s="67"/>
      <c r="AB131" s="67"/>
      <c r="AC131" s="67"/>
      <c r="AD131" s="67"/>
      <c r="AE131" s="67"/>
      <c r="AF131" s="75"/>
      <c r="AG131" s="67"/>
      <c r="AH131" s="67"/>
      <c r="AI131" s="67"/>
      <c r="AJ131" s="62"/>
      <c r="AK131" s="62"/>
    </row>
    <row r="132" spans="1:37" x14ac:dyDescent="0.3">
      <c r="A132" s="65">
        <v>131</v>
      </c>
      <c r="B132" s="63">
        <v>46287</v>
      </c>
      <c r="C132" s="66" t="s">
        <v>264</v>
      </c>
      <c r="D132" s="66" t="s">
        <v>101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75"/>
      <c r="T132" s="67"/>
      <c r="U132" s="67"/>
      <c r="V132" s="67"/>
      <c r="W132" s="67"/>
      <c r="X132" s="67"/>
      <c r="Y132" s="76"/>
      <c r="Z132" s="67"/>
      <c r="AA132" s="67"/>
      <c r="AB132" s="67"/>
      <c r="AC132" s="67"/>
      <c r="AD132" s="67"/>
      <c r="AE132" s="67"/>
      <c r="AF132" s="75"/>
      <c r="AG132" s="67"/>
      <c r="AH132" s="67"/>
      <c r="AI132" s="67"/>
      <c r="AJ132" s="62"/>
      <c r="AK132" s="62"/>
    </row>
    <row r="133" spans="1:37" x14ac:dyDescent="0.3">
      <c r="A133" s="65">
        <v>132</v>
      </c>
      <c r="B133" s="63">
        <v>46288</v>
      </c>
      <c r="C133" s="66" t="s">
        <v>369</v>
      </c>
      <c r="D133" s="66" t="s">
        <v>97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75"/>
      <c r="T133" s="67"/>
      <c r="U133" s="67"/>
      <c r="V133" s="67"/>
      <c r="W133" s="67"/>
      <c r="X133" s="67"/>
      <c r="Y133" s="76"/>
      <c r="Z133" s="67"/>
      <c r="AA133" s="67"/>
      <c r="AB133" s="67"/>
      <c r="AC133" s="67"/>
      <c r="AD133" s="67"/>
      <c r="AE133" s="67"/>
      <c r="AF133" s="75"/>
      <c r="AG133" s="67"/>
      <c r="AH133" s="67"/>
      <c r="AI133" s="67"/>
      <c r="AJ133" s="62"/>
      <c r="AK133" s="62"/>
    </row>
    <row r="134" spans="1:37" x14ac:dyDescent="0.3">
      <c r="A134" s="65">
        <v>133</v>
      </c>
      <c r="B134" s="63">
        <v>46290</v>
      </c>
      <c r="C134" s="66" t="s">
        <v>228</v>
      </c>
      <c r="D134" s="66" t="s">
        <v>127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75"/>
      <c r="T134" s="67"/>
      <c r="U134" s="67"/>
      <c r="V134" s="67"/>
      <c r="W134" s="67"/>
      <c r="X134" s="67"/>
      <c r="Y134" s="76"/>
      <c r="Z134" s="67"/>
      <c r="AA134" s="67"/>
      <c r="AB134" s="67"/>
      <c r="AC134" s="67"/>
      <c r="AD134" s="75"/>
      <c r="AE134" s="67"/>
      <c r="AF134" s="75"/>
      <c r="AG134" s="67"/>
      <c r="AH134" s="67"/>
      <c r="AI134" s="67"/>
      <c r="AJ134" s="62"/>
      <c r="AK134" s="62"/>
    </row>
    <row r="135" spans="1:37" x14ac:dyDescent="0.3">
      <c r="A135" s="65">
        <v>134</v>
      </c>
      <c r="B135" s="63">
        <v>46291</v>
      </c>
      <c r="C135" s="66" t="s">
        <v>308</v>
      </c>
      <c r="D135" s="66" t="s">
        <v>64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75"/>
      <c r="T135" s="67"/>
      <c r="U135" s="67"/>
      <c r="V135" s="67"/>
      <c r="W135" s="67"/>
      <c r="X135" s="67"/>
      <c r="Y135" s="76"/>
      <c r="Z135" s="67"/>
      <c r="AA135" s="67"/>
      <c r="AB135" s="67"/>
      <c r="AC135" s="67"/>
      <c r="AD135" s="67"/>
      <c r="AE135" s="67"/>
      <c r="AF135" s="75"/>
      <c r="AG135" s="67"/>
      <c r="AH135" s="67"/>
      <c r="AI135" s="67"/>
      <c r="AJ135" s="62"/>
      <c r="AK135" s="62"/>
    </row>
    <row r="136" spans="1:37" x14ac:dyDescent="0.3">
      <c r="A136" s="65">
        <v>135</v>
      </c>
      <c r="B136" s="63">
        <v>46292</v>
      </c>
      <c r="C136" s="66" t="s">
        <v>308</v>
      </c>
      <c r="D136" s="66" t="s">
        <v>63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75"/>
      <c r="T136" s="67"/>
      <c r="U136" s="67"/>
      <c r="V136" s="67"/>
      <c r="W136" s="67"/>
      <c r="X136" s="67"/>
      <c r="Y136" s="76"/>
      <c r="Z136" s="67"/>
      <c r="AA136" s="67"/>
      <c r="AB136" s="67"/>
      <c r="AC136" s="67"/>
      <c r="AD136" s="67"/>
      <c r="AE136" s="67"/>
      <c r="AF136" s="75"/>
      <c r="AG136" s="67"/>
      <c r="AH136" s="67"/>
      <c r="AI136" s="67"/>
      <c r="AJ136" s="62"/>
      <c r="AK136" s="62"/>
    </row>
    <row r="137" spans="1:37" x14ac:dyDescent="0.3">
      <c r="A137" s="65">
        <v>136</v>
      </c>
      <c r="B137" s="63">
        <v>46293</v>
      </c>
      <c r="C137" s="66" t="s">
        <v>308</v>
      </c>
      <c r="D137" s="66" t="s">
        <v>98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75"/>
      <c r="T137" s="67"/>
      <c r="U137" s="67"/>
      <c r="V137" s="67"/>
      <c r="W137" s="67"/>
      <c r="X137" s="67"/>
      <c r="Y137" s="76"/>
      <c r="Z137" s="67"/>
      <c r="AA137" s="67"/>
      <c r="AB137" s="67"/>
      <c r="AC137" s="67"/>
      <c r="AD137" s="67"/>
      <c r="AE137" s="67"/>
      <c r="AF137" s="75"/>
      <c r="AG137" s="67"/>
      <c r="AH137" s="67"/>
      <c r="AI137" s="67"/>
      <c r="AJ137" s="62"/>
      <c r="AK137" s="62"/>
    </row>
    <row r="138" spans="1:37" x14ac:dyDescent="0.3">
      <c r="A138" s="65">
        <v>137</v>
      </c>
      <c r="B138" s="63">
        <v>46295</v>
      </c>
      <c r="C138" s="66" t="s">
        <v>345</v>
      </c>
      <c r="D138" s="66" t="s">
        <v>97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75"/>
      <c r="T138" s="67"/>
      <c r="U138" s="67"/>
      <c r="V138" s="67"/>
      <c r="W138" s="67"/>
      <c r="X138" s="67"/>
      <c r="Y138" s="76"/>
      <c r="Z138" s="67"/>
      <c r="AA138" s="67"/>
      <c r="AB138" s="67"/>
      <c r="AC138" s="67"/>
      <c r="AD138" s="67"/>
      <c r="AE138" s="67"/>
      <c r="AF138" s="75"/>
      <c r="AG138" s="67"/>
      <c r="AH138" s="67"/>
      <c r="AI138" s="67"/>
      <c r="AJ138" s="62"/>
      <c r="AK138" s="62"/>
    </row>
    <row r="139" spans="1:37" x14ac:dyDescent="0.3">
      <c r="A139" s="65">
        <v>138</v>
      </c>
      <c r="B139" s="63">
        <v>46296</v>
      </c>
      <c r="C139" s="66" t="s">
        <v>265</v>
      </c>
      <c r="D139" s="66" t="s">
        <v>96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75"/>
      <c r="T139" s="67"/>
      <c r="U139" s="67"/>
      <c r="V139" s="67"/>
      <c r="W139" s="67"/>
      <c r="X139" s="67"/>
      <c r="Y139" s="76"/>
      <c r="Z139" s="67"/>
      <c r="AA139" s="67"/>
      <c r="AB139" s="67"/>
      <c r="AC139" s="67"/>
      <c r="AD139" s="67"/>
      <c r="AE139" s="67"/>
      <c r="AF139" s="75"/>
      <c r="AG139" s="67"/>
      <c r="AH139" s="67"/>
      <c r="AI139" s="67"/>
      <c r="AJ139" s="62"/>
      <c r="AK139" s="62"/>
    </row>
    <row r="140" spans="1:37" x14ac:dyDescent="0.3">
      <c r="A140" s="65">
        <v>139</v>
      </c>
      <c r="B140" s="63">
        <v>46297</v>
      </c>
      <c r="C140" s="66" t="s">
        <v>124</v>
      </c>
      <c r="D140" s="66" t="s">
        <v>127</v>
      </c>
      <c r="E140" s="92" t="s">
        <v>357</v>
      </c>
      <c r="F140" s="92" t="s">
        <v>357</v>
      </c>
      <c r="G140" s="92" t="s">
        <v>357</v>
      </c>
      <c r="H140" s="92" t="s">
        <v>357</v>
      </c>
      <c r="I140" s="92" t="s">
        <v>357</v>
      </c>
      <c r="J140" s="92" t="s">
        <v>357</v>
      </c>
      <c r="K140" s="92" t="s">
        <v>357</v>
      </c>
      <c r="L140" s="92" t="s">
        <v>357</v>
      </c>
      <c r="M140" s="92" t="s">
        <v>357</v>
      </c>
      <c r="N140" s="92" t="s">
        <v>357</v>
      </c>
      <c r="O140" s="92" t="s">
        <v>357</v>
      </c>
      <c r="P140" s="92" t="s">
        <v>357</v>
      </c>
      <c r="Q140" s="92" t="s">
        <v>357</v>
      </c>
      <c r="R140" s="92" t="s">
        <v>357</v>
      </c>
      <c r="S140" s="92" t="s">
        <v>357</v>
      </c>
      <c r="T140" s="92" t="s">
        <v>357</v>
      </c>
      <c r="U140" s="92" t="s">
        <v>357</v>
      </c>
      <c r="V140" s="92" t="s">
        <v>357</v>
      </c>
      <c r="W140" s="92" t="s">
        <v>357</v>
      </c>
      <c r="X140" s="92" t="s">
        <v>357</v>
      </c>
      <c r="Y140" s="92" t="s">
        <v>357</v>
      </c>
      <c r="Z140" s="92" t="s">
        <v>357</v>
      </c>
      <c r="AA140" s="92" t="s">
        <v>357</v>
      </c>
      <c r="AB140" s="92" t="s">
        <v>357</v>
      </c>
      <c r="AC140" s="92" t="s">
        <v>357</v>
      </c>
      <c r="AD140" s="92" t="s">
        <v>357</v>
      </c>
      <c r="AE140" s="92" t="s">
        <v>357</v>
      </c>
      <c r="AF140" s="92" t="s">
        <v>357</v>
      </c>
      <c r="AG140" s="92" t="s">
        <v>357</v>
      </c>
      <c r="AH140" s="92" t="s">
        <v>357</v>
      </c>
      <c r="AI140" s="92" t="s">
        <v>357</v>
      </c>
      <c r="AJ140" s="92" t="s">
        <v>357</v>
      </c>
      <c r="AK140" s="92" t="s">
        <v>357</v>
      </c>
    </row>
    <row r="141" spans="1:37" x14ac:dyDescent="0.3">
      <c r="A141" s="65">
        <v>140</v>
      </c>
      <c r="B141" s="63">
        <v>46299</v>
      </c>
      <c r="C141" s="66" t="s">
        <v>289</v>
      </c>
      <c r="D141" s="66" t="s">
        <v>63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75"/>
      <c r="T141" s="67"/>
      <c r="U141" s="67"/>
      <c r="V141" s="67"/>
      <c r="W141" s="67"/>
      <c r="X141" s="67"/>
      <c r="Y141" s="76"/>
      <c r="Z141" s="67"/>
      <c r="AA141" s="67"/>
      <c r="AB141" s="67"/>
      <c r="AC141" s="67"/>
      <c r="AD141" s="67"/>
      <c r="AE141" s="67"/>
      <c r="AF141" s="75"/>
      <c r="AG141" s="67"/>
      <c r="AH141" s="67"/>
      <c r="AI141" s="67"/>
      <c r="AJ141" s="62"/>
      <c r="AK141" s="62"/>
    </row>
    <row r="142" spans="1:37" x14ac:dyDescent="0.3">
      <c r="A142" s="65">
        <v>141</v>
      </c>
      <c r="B142" s="63">
        <v>46304</v>
      </c>
      <c r="C142" s="66" t="s">
        <v>266</v>
      </c>
      <c r="D142" s="66" t="s">
        <v>127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75"/>
      <c r="T142" s="67"/>
      <c r="U142" s="67"/>
      <c r="V142" s="67"/>
      <c r="W142" s="67"/>
      <c r="X142" s="67"/>
      <c r="Y142" s="76"/>
      <c r="Z142" s="67"/>
      <c r="AA142" s="67"/>
      <c r="AB142" s="67"/>
      <c r="AC142" s="67"/>
      <c r="AD142" s="67"/>
      <c r="AE142" s="67"/>
      <c r="AF142" s="75"/>
      <c r="AG142" s="67"/>
      <c r="AH142" s="67"/>
      <c r="AI142" s="67"/>
      <c r="AJ142" s="62"/>
      <c r="AK142" s="62"/>
    </row>
    <row r="143" spans="1:37" x14ac:dyDescent="0.3">
      <c r="A143" s="65">
        <v>142</v>
      </c>
      <c r="B143" s="63">
        <v>46305</v>
      </c>
      <c r="C143" s="66" t="s">
        <v>267</v>
      </c>
      <c r="D143" s="66" t="s">
        <v>64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75"/>
      <c r="T143" s="67"/>
      <c r="U143" s="67"/>
      <c r="V143" s="67"/>
      <c r="W143" s="67"/>
      <c r="X143" s="67"/>
      <c r="Y143" s="76"/>
      <c r="Z143" s="67"/>
      <c r="AA143" s="67"/>
      <c r="AB143" s="67"/>
      <c r="AC143" s="67"/>
      <c r="AD143" s="67"/>
      <c r="AE143" s="67"/>
      <c r="AF143" s="75"/>
      <c r="AG143" s="67"/>
      <c r="AH143" s="67"/>
      <c r="AI143" s="67"/>
      <c r="AJ143" s="62"/>
      <c r="AK143" s="62"/>
    </row>
    <row r="144" spans="1:37" x14ac:dyDescent="0.3">
      <c r="A144" s="65">
        <v>143</v>
      </c>
      <c r="B144" s="63">
        <v>46306</v>
      </c>
      <c r="C144" s="66" t="s">
        <v>290</v>
      </c>
      <c r="D144" s="66" t="s">
        <v>63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75"/>
      <c r="T144" s="67"/>
      <c r="U144" s="67"/>
      <c r="V144" s="67"/>
      <c r="W144" s="67"/>
      <c r="X144" s="67"/>
      <c r="Y144" s="76"/>
      <c r="Z144" s="67"/>
      <c r="AA144" s="67"/>
      <c r="AB144" s="67"/>
      <c r="AC144" s="67"/>
      <c r="AD144" s="67"/>
      <c r="AE144" s="67"/>
      <c r="AF144" s="75"/>
      <c r="AG144" s="67"/>
      <c r="AH144" s="67"/>
      <c r="AI144" s="67"/>
      <c r="AJ144" s="62"/>
      <c r="AK144" s="62"/>
    </row>
    <row r="145" spans="1:37" x14ac:dyDescent="0.3">
      <c r="A145" s="65">
        <v>144</v>
      </c>
      <c r="B145" s="63">
        <v>46308</v>
      </c>
      <c r="C145" s="66" t="s">
        <v>309</v>
      </c>
      <c r="D145" s="66" t="s">
        <v>101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75"/>
      <c r="T145" s="67"/>
      <c r="U145" s="67"/>
      <c r="V145" s="67"/>
      <c r="W145" s="67"/>
      <c r="X145" s="67"/>
      <c r="Y145" s="76"/>
      <c r="Z145" s="67"/>
      <c r="AA145" s="92" t="s">
        <v>358</v>
      </c>
      <c r="AB145" s="67"/>
      <c r="AC145" s="67"/>
      <c r="AD145" s="67"/>
      <c r="AE145" s="67"/>
      <c r="AF145" s="75"/>
      <c r="AG145" s="67"/>
      <c r="AH145" s="67"/>
      <c r="AI145" s="67"/>
      <c r="AJ145" s="62"/>
      <c r="AK145" s="62"/>
    </row>
    <row r="146" spans="1:37" x14ac:dyDescent="0.3">
      <c r="A146" s="65">
        <v>145</v>
      </c>
      <c r="B146" s="63">
        <v>46309</v>
      </c>
      <c r="C146" s="66" t="s">
        <v>291</v>
      </c>
      <c r="D146" s="66" t="s">
        <v>97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75"/>
      <c r="R146" s="67"/>
      <c r="S146" s="75"/>
      <c r="T146" s="67"/>
      <c r="U146" s="67"/>
      <c r="V146" s="67"/>
      <c r="W146" s="67"/>
      <c r="X146" s="67"/>
      <c r="Y146" s="76"/>
      <c r="Z146" s="67"/>
      <c r="AA146" s="67"/>
      <c r="AB146" s="67"/>
      <c r="AC146" s="67"/>
      <c r="AD146" s="67"/>
      <c r="AE146" s="67"/>
      <c r="AF146" s="75"/>
      <c r="AG146" s="67"/>
      <c r="AH146" s="67"/>
      <c r="AI146" s="67"/>
      <c r="AJ146" s="62"/>
      <c r="AK146" s="62"/>
    </row>
    <row r="147" spans="1:37" x14ac:dyDescent="0.3">
      <c r="A147" s="65">
        <v>146</v>
      </c>
      <c r="B147" s="63">
        <v>46310</v>
      </c>
      <c r="C147" s="66" t="s">
        <v>316</v>
      </c>
      <c r="D147" s="66" t="s">
        <v>96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75"/>
      <c r="T147" s="67"/>
      <c r="U147" s="67"/>
      <c r="V147" s="67"/>
      <c r="W147" s="67"/>
      <c r="X147" s="67"/>
      <c r="Y147" s="76"/>
      <c r="Z147" s="67"/>
      <c r="AA147" s="67"/>
      <c r="AB147" s="67"/>
      <c r="AC147" s="67"/>
      <c r="AD147" s="67"/>
      <c r="AE147" s="67"/>
      <c r="AF147" s="75"/>
      <c r="AG147" s="67"/>
      <c r="AH147" s="67"/>
      <c r="AI147" s="67"/>
      <c r="AJ147" s="62"/>
      <c r="AK147" s="62"/>
    </row>
    <row r="148" spans="1:37" x14ac:dyDescent="0.3">
      <c r="A148" s="65">
        <v>147</v>
      </c>
      <c r="B148" s="63">
        <v>46311</v>
      </c>
      <c r="C148" s="66" t="s">
        <v>310</v>
      </c>
      <c r="D148" s="66" t="s">
        <v>127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75"/>
      <c r="T148" s="67"/>
      <c r="U148" s="67"/>
      <c r="V148" s="67"/>
      <c r="W148" s="67"/>
      <c r="X148" s="67"/>
      <c r="Y148" s="76"/>
      <c r="Z148" s="67"/>
      <c r="AA148" s="92" t="s">
        <v>358</v>
      </c>
      <c r="AB148" s="67"/>
      <c r="AC148" s="67"/>
      <c r="AD148" s="67"/>
      <c r="AE148" s="67"/>
      <c r="AF148" s="75"/>
      <c r="AG148" s="67"/>
      <c r="AH148" s="67"/>
      <c r="AI148" s="67"/>
      <c r="AJ148" s="62"/>
      <c r="AK148" s="62"/>
    </row>
    <row r="149" spans="1:37" x14ac:dyDescent="0.3">
      <c r="A149" s="65">
        <v>148</v>
      </c>
      <c r="B149" s="63">
        <v>46312</v>
      </c>
      <c r="C149" s="66" t="s">
        <v>292</v>
      </c>
      <c r="D149" s="66" t="s">
        <v>64</v>
      </c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75"/>
      <c r="T149" s="67"/>
      <c r="U149" s="67"/>
      <c r="V149" s="67"/>
      <c r="W149" s="67"/>
      <c r="X149" s="67"/>
      <c r="Y149" s="76"/>
      <c r="Z149" s="67"/>
      <c r="AA149" s="67"/>
      <c r="AB149" s="67"/>
      <c r="AC149" s="67"/>
      <c r="AD149" s="67"/>
      <c r="AE149" s="67"/>
      <c r="AF149" s="75"/>
      <c r="AG149" s="67"/>
      <c r="AH149" s="67"/>
      <c r="AI149" s="67"/>
      <c r="AJ149" s="62"/>
      <c r="AK149" s="62"/>
    </row>
    <row r="150" spans="1:37" x14ac:dyDescent="0.3">
      <c r="A150" s="65">
        <v>149</v>
      </c>
      <c r="B150" s="63">
        <v>46313</v>
      </c>
      <c r="C150" s="66" t="s">
        <v>153</v>
      </c>
      <c r="D150" s="67" t="s">
        <v>63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76"/>
      <c r="Z150" s="67"/>
      <c r="AA150" s="67"/>
      <c r="AB150" s="67"/>
      <c r="AC150" s="67"/>
      <c r="AD150" s="67"/>
      <c r="AE150" s="67"/>
      <c r="AF150" s="75"/>
      <c r="AG150" s="67"/>
      <c r="AH150" s="67"/>
      <c r="AI150" s="67"/>
      <c r="AJ150" s="62"/>
      <c r="AK150" s="62"/>
    </row>
    <row r="151" spans="1:37" x14ac:dyDescent="0.3">
      <c r="A151" s="65">
        <v>150</v>
      </c>
      <c r="B151" s="63">
        <v>46314</v>
      </c>
      <c r="C151" s="66" t="s">
        <v>236</v>
      </c>
      <c r="D151" s="66" t="s">
        <v>98</v>
      </c>
      <c r="E151" s="67"/>
      <c r="F151" s="67"/>
      <c r="G151" s="67"/>
      <c r="H151" s="69"/>
      <c r="I151" s="67"/>
      <c r="J151" s="67"/>
      <c r="K151" s="67"/>
      <c r="L151" s="92" t="s">
        <v>358</v>
      </c>
      <c r="M151" s="67"/>
      <c r="N151" s="92" t="s">
        <v>358</v>
      </c>
      <c r="O151" s="92" t="s">
        <v>358</v>
      </c>
      <c r="P151" s="67"/>
      <c r="Q151" s="92" t="s">
        <v>358</v>
      </c>
      <c r="R151" s="92" t="s">
        <v>358</v>
      </c>
      <c r="S151" s="92" t="s">
        <v>358</v>
      </c>
      <c r="T151" s="92" t="s">
        <v>358</v>
      </c>
      <c r="U151" s="67"/>
      <c r="V151" s="92" t="s">
        <v>358</v>
      </c>
      <c r="W151" s="92" t="s">
        <v>358</v>
      </c>
      <c r="X151" s="92" t="s">
        <v>358</v>
      </c>
      <c r="Y151" s="76"/>
      <c r="Z151" s="67"/>
      <c r="AA151" s="67"/>
      <c r="AB151" s="67"/>
      <c r="AC151" s="67"/>
      <c r="AD151" s="67"/>
      <c r="AE151" s="92" t="s">
        <v>358</v>
      </c>
      <c r="AF151" s="92" t="s">
        <v>358</v>
      </c>
      <c r="AG151" s="92" t="s">
        <v>358</v>
      </c>
      <c r="AH151" s="92" t="s">
        <v>358</v>
      </c>
      <c r="AI151" s="67"/>
      <c r="AJ151" s="62"/>
      <c r="AK151" s="62"/>
    </row>
    <row r="152" spans="1:37" x14ac:dyDescent="0.3">
      <c r="A152" s="65">
        <v>151</v>
      </c>
      <c r="B152" s="63">
        <v>46315</v>
      </c>
      <c r="C152" s="66" t="s">
        <v>169</v>
      </c>
      <c r="D152" s="66" t="s">
        <v>101</v>
      </c>
      <c r="E152" s="92" t="s">
        <v>358</v>
      </c>
      <c r="F152" s="92" t="s">
        <v>358</v>
      </c>
      <c r="G152" s="92" t="s">
        <v>358</v>
      </c>
      <c r="H152" s="92" t="s">
        <v>358</v>
      </c>
      <c r="I152" s="92" t="s">
        <v>358</v>
      </c>
      <c r="J152" s="92" t="s">
        <v>358</v>
      </c>
      <c r="K152" s="92" t="s">
        <v>358</v>
      </c>
      <c r="L152" s="75"/>
      <c r="M152" s="92" t="s">
        <v>358</v>
      </c>
      <c r="N152" s="92" t="s">
        <v>358</v>
      </c>
      <c r="O152" s="92" t="s">
        <v>358</v>
      </c>
      <c r="P152" s="92" t="s">
        <v>358</v>
      </c>
      <c r="Q152" s="67"/>
      <c r="R152" s="67"/>
      <c r="S152" s="92" t="s">
        <v>358</v>
      </c>
      <c r="T152" s="92" t="s">
        <v>358</v>
      </c>
      <c r="U152" s="92" t="s">
        <v>358</v>
      </c>
      <c r="V152" s="92" t="s">
        <v>358</v>
      </c>
      <c r="W152" s="67"/>
      <c r="X152" s="92" t="s">
        <v>358</v>
      </c>
      <c r="Y152" s="92" t="s">
        <v>358</v>
      </c>
      <c r="Z152" s="92" t="s">
        <v>358</v>
      </c>
      <c r="AA152" s="67"/>
      <c r="AB152" s="92" t="s">
        <v>358</v>
      </c>
      <c r="AC152" s="92" t="s">
        <v>358</v>
      </c>
      <c r="AD152" s="92" t="s">
        <v>358</v>
      </c>
      <c r="AE152" s="67"/>
      <c r="AF152" s="92" t="s">
        <v>358</v>
      </c>
      <c r="AG152" s="75"/>
      <c r="AH152" s="92" t="s">
        <v>358</v>
      </c>
      <c r="AI152" s="92" t="s">
        <v>358</v>
      </c>
      <c r="AJ152" s="94" t="s">
        <v>358</v>
      </c>
      <c r="AK152" s="94" t="s">
        <v>358</v>
      </c>
    </row>
    <row r="153" spans="1:37" x14ac:dyDescent="0.3">
      <c r="A153" s="65">
        <v>152</v>
      </c>
      <c r="B153" s="63">
        <v>46316</v>
      </c>
      <c r="C153" s="66" t="s">
        <v>293</v>
      </c>
      <c r="D153" s="66" t="s">
        <v>97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75"/>
      <c r="T153" s="92" t="s">
        <v>358</v>
      </c>
      <c r="U153" s="67"/>
      <c r="V153" s="67"/>
      <c r="W153" s="67"/>
      <c r="X153" s="67"/>
      <c r="Y153" s="76"/>
      <c r="Z153" s="67"/>
      <c r="AA153" s="67"/>
      <c r="AB153" s="67"/>
      <c r="AC153" s="67"/>
      <c r="AD153" s="67"/>
      <c r="AE153" s="67"/>
      <c r="AF153" s="92" t="s">
        <v>358</v>
      </c>
      <c r="AG153" s="67"/>
      <c r="AH153" s="67"/>
      <c r="AI153" s="67"/>
      <c r="AJ153" s="62"/>
      <c r="AK153" s="62"/>
    </row>
    <row r="154" spans="1:37" x14ac:dyDescent="0.3">
      <c r="A154" s="65">
        <v>153</v>
      </c>
      <c r="B154" s="63">
        <v>46320</v>
      </c>
      <c r="C154" s="66" t="s">
        <v>325</v>
      </c>
      <c r="D154" s="66" t="s">
        <v>63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75"/>
      <c r="T154" s="67"/>
      <c r="U154" s="67"/>
      <c r="V154" s="67"/>
      <c r="W154" s="67"/>
      <c r="X154" s="67"/>
      <c r="Y154" s="76"/>
      <c r="Z154" s="67"/>
      <c r="AA154" s="67"/>
      <c r="AB154" s="67"/>
      <c r="AC154" s="67"/>
      <c r="AD154" s="67"/>
      <c r="AE154" s="67"/>
      <c r="AF154" s="75"/>
      <c r="AG154" s="67"/>
      <c r="AH154" s="67"/>
      <c r="AI154" s="67"/>
      <c r="AJ154" s="62"/>
      <c r="AK154" s="62"/>
    </row>
    <row r="155" spans="1:37" x14ac:dyDescent="0.3">
      <c r="A155" s="65">
        <v>154</v>
      </c>
      <c r="B155" s="63">
        <v>46321</v>
      </c>
      <c r="C155" s="66" t="s">
        <v>317</v>
      </c>
      <c r="D155" s="66" t="s">
        <v>98</v>
      </c>
      <c r="E155" s="67"/>
      <c r="F155" s="67"/>
      <c r="G155" s="67"/>
      <c r="H155" s="69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75"/>
      <c r="T155" s="67"/>
      <c r="U155" s="67"/>
      <c r="V155" s="67"/>
      <c r="W155" s="67"/>
      <c r="X155" s="67"/>
      <c r="Y155" s="76"/>
      <c r="Z155" s="67"/>
      <c r="AA155" s="67"/>
      <c r="AB155" s="67"/>
      <c r="AC155" s="67"/>
      <c r="AD155" s="67"/>
      <c r="AE155" s="67"/>
      <c r="AF155" s="75"/>
      <c r="AG155" s="67"/>
      <c r="AH155" s="67"/>
      <c r="AI155" s="67"/>
      <c r="AJ155" s="62"/>
      <c r="AK155" s="62"/>
    </row>
    <row r="156" spans="1:37" x14ac:dyDescent="0.3">
      <c r="A156" s="65">
        <v>155</v>
      </c>
      <c r="B156" s="63">
        <v>46322</v>
      </c>
      <c r="C156" s="66" t="s">
        <v>365</v>
      </c>
      <c r="D156" s="66" t="s">
        <v>101</v>
      </c>
      <c r="E156" s="67"/>
      <c r="F156" s="67"/>
      <c r="G156" s="67"/>
      <c r="H156" s="69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75"/>
      <c r="T156" s="67"/>
      <c r="U156" s="67"/>
      <c r="V156" s="67"/>
      <c r="W156" s="67"/>
      <c r="X156" s="67"/>
      <c r="Y156" s="76"/>
      <c r="Z156" s="67"/>
      <c r="AA156" s="67"/>
      <c r="AB156" s="67"/>
      <c r="AC156" s="67"/>
      <c r="AD156" s="67"/>
      <c r="AE156" s="67"/>
      <c r="AF156" s="75"/>
      <c r="AG156" s="67"/>
      <c r="AH156" s="67"/>
      <c r="AI156" s="67"/>
      <c r="AJ156" s="62"/>
      <c r="AK156" s="62"/>
    </row>
    <row r="157" spans="1:37" x14ac:dyDescent="0.3">
      <c r="A157" s="65">
        <v>156</v>
      </c>
      <c r="B157" s="63">
        <v>46324</v>
      </c>
      <c r="C157" s="66" t="s">
        <v>268</v>
      </c>
      <c r="D157" s="66" t="s">
        <v>96</v>
      </c>
      <c r="E157" s="67"/>
      <c r="F157" s="67"/>
      <c r="G157" s="67"/>
      <c r="H157" s="69"/>
      <c r="I157" s="67"/>
      <c r="J157" s="67"/>
      <c r="K157" s="92" t="s">
        <v>358</v>
      </c>
      <c r="L157" s="67"/>
      <c r="M157" s="67"/>
      <c r="N157" s="67"/>
      <c r="O157" s="67"/>
      <c r="P157" s="67"/>
      <c r="Q157" s="67"/>
      <c r="R157" s="67"/>
      <c r="S157" s="75"/>
      <c r="T157" s="67"/>
      <c r="U157" s="67"/>
      <c r="V157" s="67"/>
      <c r="W157" s="67"/>
      <c r="X157" s="67"/>
      <c r="Y157" s="76"/>
      <c r="Z157" s="67"/>
      <c r="AA157" s="67"/>
      <c r="AB157" s="67"/>
      <c r="AC157" s="67"/>
      <c r="AD157" s="67"/>
      <c r="AE157" s="67"/>
      <c r="AF157" s="75"/>
      <c r="AG157" s="67"/>
      <c r="AH157" s="67"/>
      <c r="AI157" s="67"/>
      <c r="AJ157" s="62"/>
      <c r="AK157" s="62"/>
    </row>
    <row r="158" spans="1:37" x14ac:dyDescent="0.3">
      <c r="A158" s="65">
        <v>157</v>
      </c>
      <c r="B158" s="63">
        <v>46326</v>
      </c>
      <c r="C158" s="66" t="s">
        <v>329</v>
      </c>
      <c r="D158" s="66" t="s">
        <v>64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75"/>
      <c r="T158" s="67"/>
      <c r="U158" s="67"/>
      <c r="V158" s="67"/>
      <c r="W158" s="67"/>
      <c r="X158" s="67"/>
      <c r="Y158" s="76"/>
      <c r="Z158" s="67"/>
      <c r="AA158" s="67"/>
      <c r="AB158" s="67"/>
      <c r="AC158" s="67"/>
      <c r="AD158" s="67"/>
      <c r="AE158" s="67"/>
      <c r="AF158" s="75"/>
      <c r="AG158" s="67"/>
      <c r="AH158" s="67"/>
      <c r="AI158" s="67"/>
      <c r="AJ158" s="62"/>
      <c r="AK158" s="62"/>
    </row>
    <row r="159" spans="1:37" x14ac:dyDescent="0.3">
      <c r="A159" s="65">
        <v>158</v>
      </c>
      <c r="B159" s="63">
        <v>46327</v>
      </c>
      <c r="C159" s="66" t="s">
        <v>366</v>
      </c>
      <c r="D159" s="66" t="s">
        <v>63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75"/>
      <c r="T159" s="67"/>
      <c r="U159" s="67"/>
      <c r="V159" s="67"/>
      <c r="W159" s="67"/>
      <c r="X159" s="67"/>
      <c r="Y159" s="76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2"/>
      <c r="AK159" s="62"/>
    </row>
    <row r="160" spans="1:37" x14ac:dyDescent="0.3">
      <c r="A160" s="65">
        <v>159</v>
      </c>
      <c r="B160" s="63">
        <v>46328</v>
      </c>
      <c r="C160" s="66" t="s">
        <v>311</v>
      </c>
      <c r="D160" s="66" t="s">
        <v>98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75"/>
      <c r="T160" s="67"/>
      <c r="U160" s="67"/>
      <c r="V160" s="67"/>
      <c r="W160" s="67"/>
      <c r="X160" s="67"/>
      <c r="Y160" s="76"/>
      <c r="Z160" s="67"/>
      <c r="AA160" s="67"/>
      <c r="AB160" s="67"/>
      <c r="AC160" s="67"/>
      <c r="AD160" s="67"/>
      <c r="AE160" s="67"/>
      <c r="AF160" s="75"/>
      <c r="AG160" s="67"/>
      <c r="AH160" s="67"/>
      <c r="AI160" s="67"/>
      <c r="AJ160" s="62"/>
      <c r="AK160" s="62"/>
    </row>
    <row r="161" spans="1:37" x14ac:dyDescent="0.3">
      <c r="A161" s="65">
        <v>160</v>
      </c>
      <c r="B161" s="63">
        <v>46330</v>
      </c>
      <c r="C161" s="66" t="s">
        <v>370</v>
      </c>
      <c r="D161" s="66" t="s">
        <v>97</v>
      </c>
      <c r="E161" s="67"/>
      <c r="F161" s="67"/>
      <c r="G161" s="67"/>
      <c r="H161" s="67"/>
      <c r="I161" s="67"/>
      <c r="J161" s="67"/>
      <c r="K161" s="96"/>
      <c r="L161" s="67"/>
      <c r="M161" s="67"/>
      <c r="N161" s="67"/>
      <c r="O161" s="67"/>
      <c r="P161" s="67"/>
      <c r="Q161" s="67"/>
      <c r="R161" s="67"/>
      <c r="S161" s="75"/>
      <c r="T161" s="67"/>
      <c r="U161" s="67"/>
      <c r="V161" s="67"/>
      <c r="W161" s="67"/>
      <c r="X161" s="67"/>
      <c r="Y161" s="76"/>
      <c r="Z161" s="67"/>
      <c r="AA161" s="67"/>
      <c r="AB161" s="67"/>
      <c r="AC161" s="67"/>
      <c r="AD161" s="67"/>
      <c r="AE161" s="67"/>
      <c r="AF161" s="75"/>
      <c r="AG161" s="67"/>
      <c r="AH161" s="67"/>
      <c r="AI161" s="67"/>
      <c r="AJ161" s="62"/>
      <c r="AK161" s="62"/>
    </row>
    <row r="162" spans="1:37" x14ac:dyDescent="0.3">
      <c r="A162" s="65">
        <v>161</v>
      </c>
      <c r="B162" s="63">
        <v>46333</v>
      </c>
      <c r="C162" s="66" t="s">
        <v>269</v>
      </c>
      <c r="D162" s="66" t="s">
        <v>64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75"/>
      <c r="T162" s="67"/>
      <c r="U162" s="67"/>
      <c r="V162" s="67"/>
      <c r="W162" s="67"/>
      <c r="X162" s="67"/>
      <c r="Y162" s="76"/>
      <c r="Z162" s="67"/>
      <c r="AA162" s="67"/>
      <c r="AB162" s="67"/>
      <c r="AC162" s="67"/>
      <c r="AD162" s="67"/>
      <c r="AE162" s="67"/>
      <c r="AF162" s="75"/>
      <c r="AG162" s="67"/>
      <c r="AH162" s="67"/>
      <c r="AI162" s="67"/>
      <c r="AJ162" s="62"/>
      <c r="AK162" s="62"/>
    </row>
    <row r="163" spans="1:37" ht="20" customHeight="1" x14ac:dyDescent="0.3">
      <c r="A163" s="65">
        <v>162</v>
      </c>
      <c r="B163" s="63">
        <v>46334</v>
      </c>
      <c r="C163" s="66" t="s">
        <v>184</v>
      </c>
      <c r="D163" s="67" t="s">
        <v>63</v>
      </c>
      <c r="E163" s="69"/>
      <c r="F163" s="67"/>
      <c r="G163" s="67"/>
      <c r="H163" s="69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75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2"/>
      <c r="AK163" s="62"/>
    </row>
    <row r="164" spans="1:37" ht="20" customHeight="1" x14ac:dyDescent="0.3">
      <c r="A164" s="65">
        <v>163</v>
      </c>
      <c r="B164" s="63">
        <v>46335</v>
      </c>
      <c r="C164" s="66" t="s">
        <v>205</v>
      </c>
      <c r="D164" s="66" t="s">
        <v>98</v>
      </c>
      <c r="E164" s="67"/>
      <c r="F164" s="67"/>
      <c r="G164" s="67"/>
      <c r="H164" s="69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75"/>
      <c r="T164" s="67"/>
      <c r="U164" s="67"/>
      <c r="V164" s="67"/>
      <c r="W164" s="75"/>
      <c r="X164" s="67"/>
      <c r="Y164" s="76"/>
      <c r="Z164" s="67"/>
      <c r="AA164" s="67"/>
      <c r="AB164" s="67"/>
      <c r="AC164" s="67"/>
      <c r="AD164" s="67"/>
      <c r="AE164" s="67"/>
      <c r="AF164" s="75"/>
      <c r="AG164" s="67"/>
      <c r="AH164" s="67"/>
      <c r="AI164" s="67"/>
      <c r="AJ164" s="62"/>
      <c r="AK164" s="62"/>
    </row>
    <row r="165" spans="1:37" x14ac:dyDescent="0.3">
      <c r="A165" s="65">
        <v>164</v>
      </c>
      <c r="B165" s="63">
        <v>46336</v>
      </c>
      <c r="C165" s="66" t="s">
        <v>171</v>
      </c>
      <c r="D165" s="66" t="s">
        <v>101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92" t="s">
        <v>358</v>
      </c>
      <c r="R165" s="92" t="s">
        <v>358</v>
      </c>
      <c r="S165" s="75"/>
      <c r="T165" s="67"/>
      <c r="U165" s="67"/>
      <c r="V165" s="67"/>
      <c r="W165" s="67"/>
      <c r="X165" s="67"/>
      <c r="Y165" s="76"/>
      <c r="Z165" s="67"/>
      <c r="AA165" s="67"/>
      <c r="AB165" s="67"/>
      <c r="AC165" s="67"/>
      <c r="AD165" s="67"/>
      <c r="AE165" s="67"/>
      <c r="AF165" s="75"/>
      <c r="AG165" s="67"/>
      <c r="AH165" s="67"/>
      <c r="AI165" s="67"/>
      <c r="AJ165" s="62"/>
      <c r="AK165" s="94" t="s">
        <v>358</v>
      </c>
    </row>
    <row r="166" spans="1:37" x14ac:dyDescent="0.3">
      <c r="A166" s="65">
        <v>165</v>
      </c>
      <c r="B166" s="63">
        <v>46337</v>
      </c>
      <c r="C166" s="66" t="s">
        <v>197</v>
      </c>
      <c r="D166" s="66" t="s">
        <v>97</v>
      </c>
      <c r="E166" s="67"/>
      <c r="F166" s="67"/>
      <c r="G166" s="67"/>
      <c r="H166" s="69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75"/>
      <c r="T166" s="67"/>
      <c r="U166" s="67"/>
      <c r="V166" s="67"/>
      <c r="W166" s="67"/>
      <c r="X166" s="67"/>
      <c r="Y166" s="76"/>
      <c r="Z166" s="67"/>
      <c r="AA166" s="67"/>
      <c r="AB166" s="67"/>
      <c r="AC166" s="67"/>
      <c r="AD166" s="67"/>
      <c r="AE166" s="67"/>
      <c r="AF166" s="75"/>
      <c r="AG166" s="67"/>
      <c r="AH166" s="67"/>
      <c r="AI166" s="67"/>
      <c r="AJ166" s="62"/>
      <c r="AK166" s="62"/>
    </row>
    <row r="167" spans="1:37" x14ac:dyDescent="0.3">
      <c r="A167" s="65">
        <v>166</v>
      </c>
      <c r="B167" s="63">
        <v>46338</v>
      </c>
      <c r="C167" s="66" t="s">
        <v>190</v>
      </c>
      <c r="D167" s="66" t="s">
        <v>191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75"/>
      <c r="T167" s="67"/>
      <c r="U167" s="67"/>
      <c r="V167" s="67"/>
      <c r="W167" s="67"/>
      <c r="X167" s="67"/>
      <c r="Y167" s="76"/>
      <c r="Z167" s="67"/>
      <c r="AA167" s="67"/>
      <c r="AB167" s="67"/>
      <c r="AC167" s="67"/>
      <c r="AD167" s="67"/>
      <c r="AE167" s="67"/>
      <c r="AF167" s="75"/>
      <c r="AG167" s="67"/>
      <c r="AH167" s="67"/>
      <c r="AI167" s="67"/>
      <c r="AJ167" s="62"/>
      <c r="AK167" s="62"/>
    </row>
    <row r="168" spans="1:37" x14ac:dyDescent="0.3">
      <c r="A168" s="65">
        <v>167</v>
      </c>
      <c r="B168" s="63">
        <v>46339</v>
      </c>
      <c r="C168" s="66" t="s">
        <v>157</v>
      </c>
      <c r="D168" s="66" t="s">
        <v>127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75"/>
      <c r="T168" s="67"/>
      <c r="U168" s="67"/>
      <c r="V168" s="67"/>
      <c r="W168" s="67"/>
      <c r="X168" s="92" t="s">
        <v>358</v>
      </c>
      <c r="Y168" s="76"/>
      <c r="Z168" s="67"/>
      <c r="AA168" s="67"/>
      <c r="AB168" s="67"/>
      <c r="AC168" s="67"/>
      <c r="AD168" s="67"/>
      <c r="AE168" s="67"/>
      <c r="AF168" s="75"/>
      <c r="AG168" s="67"/>
      <c r="AH168" s="67"/>
      <c r="AI168" s="67"/>
      <c r="AJ168" s="62"/>
      <c r="AK168" s="62"/>
    </row>
    <row r="169" spans="1:37" x14ac:dyDescent="0.3">
      <c r="A169" s="65">
        <v>168</v>
      </c>
      <c r="B169" s="63">
        <v>46341</v>
      </c>
      <c r="C169" s="66" t="s">
        <v>154</v>
      </c>
      <c r="D169" s="66" t="s">
        <v>63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75"/>
      <c r="T169" s="67"/>
      <c r="U169" s="67"/>
      <c r="V169" s="67"/>
      <c r="W169" s="67"/>
      <c r="X169" s="67"/>
      <c r="Y169" s="76"/>
      <c r="Z169" s="67"/>
      <c r="AA169" s="67"/>
      <c r="AB169" s="67"/>
      <c r="AC169" s="67"/>
      <c r="AD169" s="67"/>
      <c r="AE169" s="67"/>
      <c r="AF169" s="75"/>
      <c r="AG169" s="67"/>
      <c r="AH169" s="67"/>
      <c r="AI169" s="67"/>
      <c r="AJ169" s="62"/>
      <c r="AK169" s="62"/>
    </row>
    <row r="170" spans="1:37" x14ac:dyDescent="0.3">
      <c r="A170" s="65">
        <v>169</v>
      </c>
      <c r="B170" s="63">
        <v>46342</v>
      </c>
      <c r="C170" s="66" t="s">
        <v>270</v>
      </c>
      <c r="D170" s="66" t="s">
        <v>98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92" t="s">
        <v>358</v>
      </c>
      <c r="R170" s="92" t="s">
        <v>358</v>
      </c>
      <c r="S170" s="75"/>
      <c r="T170" s="67"/>
      <c r="U170" s="67"/>
      <c r="V170" s="67"/>
      <c r="W170" s="67"/>
      <c r="X170" s="67"/>
      <c r="Y170" s="76"/>
      <c r="Z170" s="67"/>
      <c r="AA170" s="67"/>
      <c r="AB170" s="67"/>
      <c r="AC170" s="67"/>
      <c r="AD170" s="67"/>
      <c r="AE170" s="67"/>
      <c r="AF170" s="75"/>
      <c r="AG170" s="67"/>
      <c r="AH170" s="67"/>
      <c r="AI170" s="67"/>
      <c r="AJ170" s="62"/>
      <c r="AK170" s="62"/>
    </row>
    <row r="171" spans="1:37" x14ac:dyDescent="0.3">
      <c r="A171" s="65">
        <v>170</v>
      </c>
      <c r="B171" s="63">
        <v>46346</v>
      </c>
      <c r="C171" s="66" t="s">
        <v>271</v>
      </c>
      <c r="D171" s="66" t="s">
        <v>127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75"/>
      <c r="T171" s="67"/>
      <c r="U171" s="67"/>
      <c r="V171" s="67"/>
      <c r="W171" s="67"/>
      <c r="X171" s="67"/>
      <c r="Y171" s="76"/>
      <c r="Z171" s="67"/>
      <c r="AA171" s="67"/>
      <c r="AB171" s="67"/>
      <c r="AC171" s="67"/>
      <c r="AD171" s="67"/>
      <c r="AE171" s="67"/>
      <c r="AF171" s="75"/>
      <c r="AG171" s="67"/>
      <c r="AH171" s="67"/>
      <c r="AI171" s="67"/>
      <c r="AJ171" s="62"/>
      <c r="AK171" s="62"/>
    </row>
    <row r="172" spans="1:37" x14ac:dyDescent="0.3">
      <c r="A172" s="65">
        <v>171</v>
      </c>
      <c r="B172" s="63">
        <v>46349</v>
      </c>
      <c r="C172" s="66" t="s">
        <v>158</v>
      </c>
      <c r="D172" s="66" t="s">
        <v>98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75"/>
      <c r="T172" s="67"/>
      <c r="U172" s="67"/>
      <c r="V172" s="67"/>
      <c r="W172" s="67"/>
      <c r="X172" s="67"/>
      <c r="Y172" s="76"/>
      <c r="Z172" s="67"/>
      <c r="AA172" s="67"/>
      <c r="AB172" s="67"/>
      <c r="AC172" s="67"/>
      <c r="AD172" s="67"/>
      <c r="AE172" s="67"/>
      <c r="AF172" s="75"/>
      <c r="AG172" s="67"/>
      <c r="AH172" s="67"/>
      <c r="AI172" s="67"/>
      <c r="AJ172" s="62"/>
      <c r="AK172" s="62"/>
    </row>
    <row r="173" spans="1:37" x14ac:dyDescent="0.3">
      <c r="A173" s="65">
        <v>172</v>
      </c>
      <c r="B173" s="63">
        <v>46350</v>
      </c>
      <c r="C173" s="66" t="s">
        <v>295</v>
      </c>
      <c r="D173" s="66" t="s">
        <v>101</v>
      </c>
      <c r="E173" s="92" t="s">
        <v>358</v>
      </c>
      <c r="F173" s="92" t="s">
        <v>358</v>
      </c>
      <c r="G173" s="92" t="s">
        <v>358</v>
      </c>
      <c r="H173" s="92" t="s">
        <v>358</v>
      </c>
      <c r="I173" s="92" t="s">
        <v>358</v>
      </c>
      <c r="J173" s="92" t="s">
        <v>358</v>
      </c>
      <c r="K173" s="92" t="s">
        <v>358</v>
      </c>
      <c r="L173" s="92" t="s">
        <v>358</v>
      </c>
      <c r="M173" s="92" t="s">
        <v>358</v>
      </c>
      <c r="N173" s="92" t="s">
        <v>358</v>
      </c>
      <c r="O173" s="92" t="s">
        <v>358</v>
      </c>
      <c r="P173" s="92" t="s">
        <v>358</v>
      </c>
      <c r="Q173" s="67"/>
      <c r="R173" s="67"/>
      <c r="S173" s="69"/>
      <c r="T173" s="92" t="s">
        <v>358</v>
      </c>
      <c r="U173" s="92" t="s">
        <v>358</v>
      </c>
      <c r="V173" s="92" t="s">
        <v>358</v>
      </c>
      <c r="W173" s="67"/>
      <c r="X173" s="67"/>
      <c r="Y173" s="92" t="s">
        <v>358</v>
      </c>
      <c r="Z173" s="92" t="s">
        <v>358</v>
      </c>
      <c r="AA173" s="92" t="s">
        <v>358</v>
      </c>
      <c r="AB173" s="92" t="s">
        <v>358</v>
      </c>
      <c r="AC173" s="92" t="s">
        <v>358</v>
      </c>
      <c r="AD173" s="67"/>
      <c r="AE173" s="67"/>
      <c r="AF173" s="92" t="s">
        <v>358</v>
      </c>
      <c r="AG173" s="67"/>
      <c r="AH173" s="67"/>
      <c r="AI173" s="67"/>
      <c r="AJ173" s="94" t="s">
        <v>358</v>
      </c>
      <c r="AK173" s="58"/>
    </row>
    <row r="174" spans="1:37" x14ac:dyDescent="0.3">
      <c r="A174" s="65">
        <v>173</v>
      </c>
      <c r="B174" s="63">
        <v>46352</v>
      </c>
      <c r="C174" s="66" t="s">
        <v>229</v>
      </c>
      <c r="D174" s="66" t="s">
        <v>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75"/>
      <c r="T174" s="67"/>
      <c r="U174" s="67"/>
      <c r="V174" s="67"/>
      <c r="W174" s="67"/>
      <c r="X174" s="67"/>
      <c r="Y174" s="76"/>
      <c r="Z174" s="67"/>
      <c r="AA174" s="67"/>
      <c r="AB174" s="67"/>
      <c r="AC174" s="67"/>
      <c r="AD174" s="67"/>
      <c r="AE174" s="67"/>
      <c r="AF174" s="75"/>
      <c r="AG174" s="67"/>
      <c r="AH174" s="67"/>
      <c r="AI174" s="67"/>
      <c r="AJ174" s="62"/>
      <c r="AK174" s="62"/>
    </row>
    <row r="175" spans="1:37" x14ac:dyDescent="0.3">
      <c r="A175" s="65">
        <v>174</v>
      </c>
      <c r="B175" s="63">
        <v>46353</v>
      </c>
      <c r="C175" s="66" t="s">
        <v>140</v>
      </c>
      <c r="D175" s="66" t="s">
        <v>127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75"/>
      <c r="T175" s="67"/>
      <c r="U175" s="67"/>
      <c r="V175" s="67"/>
      <c r="W175" s="67"/>
      <c r="X175" s="67"/>
      <c r="Y175" s="76"/>
      <c r="Z175" s="67"/>
      <c r="AA175" s="67"/>
      <c r="AB175" s="67"/>
      <c r="AC175" s="67"/>
      <c r="AD175" s="67"/>
      <c r="AE175" s="67"/>
      <c r="AF175" s="75"/>
      <c r="AG175" s="67"/>
      <c r="AH175" s="67"/>
      <c r="AI175" s="67"/>
      <c r="AJ175" s="62"/>
      <c r="AK175" s="62"/>
    </row>
    <row r="176" spans="1:37" x14ac:dyDescent="0.3">
      <c r="A176" s="65">
        <v>175</v>
      </c>
      <c r="B176" s="63">
        <v>46358</v>
      </c>
      <c r="C176" s="66" t="s">
        <v>301</v>
      </c>
      <c r="D176" s="66" t="s">
        <v>97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75"/>
      <c r="T176" s="67"/>
      <c r="U176" s="67"/>
      <c r="V176" s="67"/>
      <c r="W176" s="67"/>
      <c r="X176" s="67"/>
      <c r="Y176" s="76"/>
      <c r="Z176" s="67"/>
      <c r="AA176" s="67"/>
      <c r="AB176" s="67"/>
      <c r="AC176" s="67"/>
      <c r="AD176" s="67"/>
      <c r="AE176" s="67"/>
      <c r="AF176" s="75"/>
      <c r="AG176" s="67"/>
      <c r="AH176" s="67"/>
      <c r="AI176" s="67"/>
      <c r="AJ176" s="62"/>
      <c r="AK176" s="62"/>
    </row>
    <row r="177" spans="1:37" x14ac:dyDescent="0.3">
      <c r="A177" s="65">
        <v>176</v>
      </c>
      <c r="B177" s="63">
        <v>46359</v>
      </c>
      <c r="C177" s="66" t="s">
        <v>147</v>
      </c>
      <c r="D177" s="66" t="s">
        <v>96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75"/>
      <c r="T177" s="67"/>
      <c r="U177" s="67"/>
      <c r="V177" s="67"/>
      <c r="W177" s="67"/>
      <c r="X177" s="67"/>
      <c r="Y177" s="76"/>
      <c r="Z177" s="67"/>
      <c r="AA177" s="67"/>
      <c r="AB177" s="67"/>
      <c r="AC177" s="67"/>
      <c r="AD177" s="67"/>
      <c r="AE177" s="67"/>
      <c r="AF177" s="75"/>
      <c r="AG177" s="67"/>
      <c r="AH177" s="67"/>
      <c r="AI177" s="92" t="s">
        <v>358</v>
      </c>
      <c r="AJ177" s="62"/>
      <c r="AK177" s="62"/>
    </row>
    <row r="178" spans="1:37" x14ac:dyDescent="0.3">
      <c r="A178" s="65">
        <v>177</v>
      </c>
      <c r="B178" s="63">
        <v>46365</v>
      </c>
      <c r="C178" s="66" t="s">
        <v>195</v>
      </c>
      <c r="D178" s="66" t="s">
        <v>97</v>
      </c>
      <c r="E178" s="67"/>
      <c r="F178" s="67"/>
      <c r="G178" s="67"/>
      <c r="H178" s="67"/>
      <c r="I178" s="67"/>
      <c r="J178" s="92" t="s">
        <v>358</v>
      </c>
      <c r="K178" s="67"/>
      <c r="L178" s="67"/>
      <c r="M178" s="67"/>
      <c r="N178" s="67"/>
      <c r="O178" s="67"/>
      <c r="P178" s="67"/>
      <c r="Q178" s="67"/>
      <c r="R178" s="67"/>
      <c r="S178" s="75"/>
      <c r="T178" s="67"/>
      <c r="U178" s="67"/>
      <c r="V178" s="67"/>
      <c r="W178" s="67"/>
      <c r="X178" s="67"/>
      <c r="Y178" s="76"/>
      <c r="Z178" s="67"/>
      <c r="AA178" s="67"/>
      <c r="AB178" s="67"/>
      <c r="AC178" s="67"/>
      <c r="AD178" s="67"/>
      <c r="AE178" s="67"/>
      <c r="AF178" s="75"/>
      <c r="AG178" s="67"/>
      <c r="AH178" s="67"/>
      <c r="AI178" s="75"/>
      <c r="AJ178" s="62"/>
      <c r="AK178" s="62"/>
    </row>
    <row r="179" spans="1:37" x14ac:dyDescent="0.3">
      <c r="A179" s="65">
        <v>178</v>
      </c>
      <c r="B179" s="63">
        <v>46366</v>
      </c>
      <c r="C179" s="66" t="s">
        <v>319</v>
      </c>
      <c r="D179" s="66" t="s">
        <v>96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75"/>
      <c r="T179" s="67"/>
      <c r="U179" s="67"/>
      <c r="V179" s="67"/>
      <c r="W179" s="67"/>
      <c r="X179" s="67"/>
      <c r="Y179" s="76"/>
      <c r="Z179" s="67"/>
      <c r="AA179" s="75"/>
      <c r="AB179" s="67"/>
      <c r="AC179" s="67"/>
      <c r="AD179" s="67"/>
      <c r="AE179" s="67"/>
      <c r="AF179" s="75"/>
      <c r="AG179" s="67"/>
      <c r="AH179" s="67"/>
      <c r="AI179" s="67"/>
      <c r="AJ179" s="62"/>
      <c r="AK179" s="62"/>
    </row>
    <row r="180" spans="1:37" x14ac:dyDescent="0.3">
      <c r="A180" s="65">
        <v>179</v>
      </c>
      <c r="B180" s="63">
        <v>46367</v>
      </c>
      <c r="C180" s="66" t="s">
        <v>312</v>
      </c>
      <c r="D180" s="66" t="s">
        <v>127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75"/>
      <c r="T180" s="67"/>
      <c r="U180" s="67"/>
      <c r="V180" s="67"/>
      <c r="W180" s="67"/>
      <c r="X180" s="67"/>
      <c r="Y180" s="76"/>
      <c r="Z180" s="67"/>
      <c r="AA180" s="75"/>
      <c r="AB180" s="67"/>
      <c r="AC180" s="67"/>
      <c r="AD180" s="67"/>
      <c r="AE180" s="67"/>
      <c r="AF180" s="75"/>
      <c r="AG180" s="67"/>
      <c r="AH180" s="67"/>
      <c r="AI180" s="67"/>
      <c r="AJ180" s="62"/>
      <c r="AK180" s="62"/>
    </row>
    <row r="181" spans="1:37" x14ac:dyDescent="0.3">
      <c r="A181" s="65">
        <v>180</v>
      </c>
      <c r="B181" s="63">
        <v>46368</v>
      </c>
      <c r="C181" s="66" t="s">
        <v>159</v>
      </c>
      <c r="D181" s="66" t="s">
        <v>64</v>
      </c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75"/>
      <c r="T181" s="67"/>
      <c r="U181" s="67"/>
      <c r="V181" s="67"/>
      <c r="W181" s="67"/>
      <c r="X181" s="67"/>
      <c r="Y181" s="76"/>
      <c r="Z181" s="67"/>
      <c r="AA181" s="67"/>
      <c r="AB181" s="67"/>
      <c r="AC181" s="67"/>
      <c r="AD181" s="67"/>
      <c r="AE181" s="67"/>
      <c r="AF181" s="75"/>
      <c r="AG181" s="67"/>
      <c r="AH181" s="67"/>
      <c r="AI181" s="67"/>
      <c r="AJ181" s="62"/>
      <c r="AK181" s="62"/>
    </row>
    <row r="182" spans="1:37" x14ac:dyDescent="0.3">
      <c r="A182" s="65">
        <v>181</v>
      </c>
      <c r="B182" s="63">
        <v>46369</v>
      </c>
      <c r="C182" s="66" t="s">
        <v>294</v>
      </c>
      <c r="D182" s="66" t="s">
        <v>96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75"/>
      <c r="T182" s="67"/>
      <c r="U182" s="67"/>
      <c r="V182" s="67"/>
      <c r="W182" s="67"/>
      <c r="X182" s="67"/>
      <c r="Y182" s="76"/>
      <c r="Z182" s="67"/>
      <c r="AA182" s="67"/>
      <c r="AB182" s="67"/>
      <c r="AC182" s="67"/>
      <c r="AD182" s="67"/>
      <c r="AE182" s="67"/>
      <c r="AF182" s="75"/>
      <c r="AG182" s="67"/>
      <c r="AH182" s="67"/>
      <c r="AI182" s="67"/>
      <c r="AJ182" s="62"/>
      <c r="AK182" s="62"/>
    </row>
    <row r="183" spans="1:37" x14ac:dyDescent="0.3">
      <c r="A183" s="65">
        <v>182</v>
      </c>
      <c r="B183" s="63">
        <v>46370</v>
      </c>
      <c r="C183" s="66" t="s">
        <v>273</v>
      </c>
      <c r="D183" s="66" t="s">
        <v>98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75"/>
      <c r="T183" s="67"/>
      <c r="U183" s="67"/>
      <c r="V183" s="67"/>
      <c r="W183" s="67"/>
      <c r="X183" s="67"/>
      <c r="Y183" s="76"/>
      <c r="Z183" s="67"/>
      <c r="AA183" s="67"/>
      <c r="AB183" s="67"/>
      <c r="AC183" s="67"/>
      <c r="AD183" s="67"/>
      <c r="AE183" s="67"/>
      <c r="AF183" s="75"/>
      <c r="AG183" s="67"/>
      <c r="AH183" s="67"/>
      <c r="AI183" s="67"/>
      <c r="AJ183" s="62"/>
      <c r="AK183" s="62"/>
    </row>
    <row r="184" spans="1:37" x14ac:dyDescent="0.3">
      <c r="A184" s="65">
        <v>183</v>
      </c>
      <c r="B184" s="63">
        <v>46371</v>
      </c>
      <c r="C184" s="66" t="s">
        <v>313</v>
      </c>
      <c r="D184" s="66" t="s">
        <v>101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75"/>
      <c r="T184" s="67"/>
      <c r="U184" s="67"/>
      <c r="V184" s="67"/>
      <c r="W184" s="67"/>
      <c r="X184" s="67"/>
      <c r="Y184" s="76"/>
      <c r="Z184" s="67"/>
      <c r="AA184" s="67"/>
      <c r="AB184" s="67"/>
      <c r="AC184" s="67"/>
      <c r="AD184" s="67"/>
      <c r="AE184" s="67"/>
      <c r="AF184" s="75"/>
      <c r="AG184" s="67"/>
      <c r="AH184" s="67"/>
      <c r="AI184" s="67"/>
      <c r="AJ184" s="62"/>
      <c r="AK184" s="62"/>
    </row>
    <row r="185" spans="1:37" x14ac:dyDescent="0.3">
      <c r="A185" s="65">
        <v>184</v>
      </c>
      <c r="B185" s="63">
        <v>46372</v>
      </c>
      <c r="C185" s="66" t="s">
        <v>314</v>
      </c>
      <c r="D185" s="66" t="s">
        <v>97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75"/>
      <c r="T185" s="67"/>
      <c r="U185" s="67"/>
      <c r="V185" s="67"/>
      <c r="W185" s="67"/>
      <c r="X185" s="67"/>
      <c r="Y185" s="76"/>
      <c r="Z185" s="67"/>
      <c r="AA185" s="67"/>
      <c r="AB185" s="67"/>
      <c r="AC185" s="67"/>
      <c r="AD185" s="67"/>
      <c r="AE185" s="67"/>
      <c r="AF185" s="75"/>
      <c r="AG185" s="67"/>
      <c r="AH185" s="67"/>
      <c r="AI185" s="67"/>
      <c r="AJ185" s="62"/>
      <c r="AK185" s="62"/>
    </row>
    <row r="186" spans="1:37" x14ac:dyDescent="0.3">
      <c r="A186" s="65">
        <v>185</v>
      </c>
      <c r="B186" s="63">
        <v>46374</v>
      </c>
      <c r="C186" s="66" t="s">
        <v>274</v>
      </c>
      <c r="D186" s="66" t="s">
        <v>127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75"/>
      <c r="T186" s="67"/>
      <c r="U186" s="67"/>
      <c r="V186" s="67"/>
      <c r="W186" s="67"/>
      <c r="X186" s="67"/>
      <c r="Y186" s="76"/>
      <c r="Z186" s="67"/>
      <c r="AA186" s="67"/>
      <c r="AB186" s="67"/>
      <c r="AC186" s="67"/>
      <c r="AD186" s="67"/>
      <c r="AE186" s="67"/>
      <c r="AF186" s="75"/>
      <c r="AG186" s="67"/>
      <c r="AH186" s="67"/>
      <c r="AI186" s="67"/>
      <c r="AJ186" s="62"/>
      <c r="AK186" s="62"/>
    </row>
    <row r="187" spans="1:37" x14ac:dyDescent="0.3">
      <c r="A187" s="65">
        <v>186</v>
      </c>
      <c r="B187" s="63">
        <v>46375</v>
      </c>
      <c r="C187" s="66" t="s">
        <v>148</v>
      </c>
      <c r="D187" s="66" t="s">
        <v>64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75"/>
      <c r="T187" s="67"/>
      <c r="U187" s="67"/>
      <c r="V187" s="67"/>
      <c r="W187" s="67"/>
      <c r="X187" s="67"/>
      <c r="Y187" s="76"/>
      <c r="Z187" s="67"/>
      <c r="AA187" s="67"/>
      <c r="AB187" s="67"/>
      <c r="AC187" s="67"/>
      <c r="AD187" s="67"/>
      <c r="AE187" s="67"/>
      <c r="AF187" s="75"/>
      <c r="AG187" s="67"/>
      <c r="AH187" s="67"/>
      <c r="AI187" s="67"/>
      <c r="AJ187" s="62"/>
      <c r="AK187" s="62"/>
    </row>
    <row r="188" spans="1:37" x14ac:dyDescent="0.3">
      <c r="A188" s="65">
        <v>187</v>
      </c>
      <c r="B188" s="63">
        <v>46379</v>
      </c>
      <c r="C188" s="66" t="s">
        <v>275</v>
      </c>
      <c r="D188" s="66" t="s">
        <v>97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75"/>
      <c r="T188" s="67"/>
      <c r="U188" s="67"/>
      <c r="V188" s="67"/>
      <c r="W188" s="67"/>
      <c r="X188" s="67"/>
      <c r="Y188" s="76"/>
      <c r="Z188" s="67"/>
      <c r="AA188" s="67"/>
      <c r="AB188" s="67"/>
      <c r="AC188" s="67"/>
      <c r="AD188" s="67"/>
      <c r="AE188" s="67"/>
      <c r="AF188" s="75"/>
      <c r="AG188" s="67"/>
      <c r="AH188" s="67"/>
      <c r="AI188" s="67"/>
      <c r="AJ188" s="62"/>
      <c r="AK188" s="62"/>
    </row>
    <row r="189" spans="1:37" x14ac:dyDescent="0.3">
      <c r="A189" s="65">
        <v>188</v>
      </c>
      <c r="B189" s="63">
        <v>46380</v>
      </c>
      <c r="C189" s="66" t="s">
        <v>230</v>
      </c>
      <c r="D189" s="66" t="s">
        <v>96</v>
      </c>
      <c r="E189" s="67"/>
      <c r="F189" s="67"/>
      <c r="G189" s="67"/>
      <c r="H189" s="69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75"/>
      <c r="T189" s="67"/>
      <c r="U189" s="67"/>
      <c r="V189" s="67"/>
      <c r="W189" s="67"/>
      <c r="X189" s="92" t="s">
        <v>358</v>
      </c>
      <c r="Y189" s="75"/>
      <c r="Z189" s="67"/>
      <c r="AA189" s="67"/>
      <c r="AB189" s="67"/>
      <c r="AC189" s="67"/>
      <c r="AD189" s="67"/>
      <c r="AE189" s="67"/>
      <c r="AF189" s="75"/>
      <c r="AG189" s="67"/>
      <c r="AH189" s="67"/>
      <c r="AI189" s="67"/>
      <c r="AJ189" s="62"/>
      <c r="AK189" s="62"/>
    </row>
    <row r="190" spans="1:37" x14ac:dyDescent="0.3">
      <c r="A190" s="65">
        <v>189</v>
      </c>
      <c r="B190" s="63">
        <v>46381</v>
      </c>
      <c r="C190" s="66" t="s">
        <v>126</v>
      </c>
      <c r="D190" s="66" t="s">
        <v>127</v>
      </c>
      <c r="E190" s="92" t="s">
        <v>358</v>
      </c>
      <c r="F190" s="92" t="s">
        <v>358</v>
      </c>
      <c r="G190" s="92" t="s">
        <v>358</v>
      </c>
      <c r="H190" s="92" t="s">
        <v>358</v>
      </c>
      <c r="I190" s="92" t="s">
        <v>358</v>
      </c>
      <c r="J190" s="92" t="s">
        <v>358</v>
      </c>
      <c r="K190" s="92" t="s">
        <v>358</v>
      </c>
      <c r="L190" s="92" t="s">
        <v>358</v>
      </c>
      <c r="M190" s="92" t="s">
        <v>358</v>
      </c>
      <c r="N190" s="92" t="s">
        <v>358</v>
      </c>
      <c r="O190" s="92" t="s">
        <v>358</v>
      </c>
      <c r="P190" s="92" t="s">
        <v>358</v>
      </c>
      <c r="Q190" s="92" t="s">
        <v>358</v>
      </c>
      <c r="R190" s="92" t="s">
        <v>358</v>
      </c>
      <c r="S190" s="92" t="s">
        <v>358</v>
      </c>
      <c r="T190" s="92" t="s">
        <v>358</v>
      </c>
      <c r="U190" s="92" t="s">
        <v>358</v>
      </c>
      <c r="V190" s="92" t="s">
        <v>358</v>
      </c>
      <c r="W190" s="92" t="s">
        <v>358</v>
      </c>
      <c r="X190" s="92" t="s">
        <v>358</v>
      </c>
      <c r="Y190" s="92" t="s">
        <v>358</v>
      </c>
      <c r="Z190" s="92" t="s">
        <v>358</v>
      </c>
      <c r="AA190" s="92" t="s">
        <v>358</v>
      </c>
      <c r="AB190" s="92" t="s">
        <v>358</v>
      </c>
      <c r="AC190" s="92" t="s">
        <v>358</v>
      </c>
      <c r="AD190" s="92" t="s">
        <v>358</v>
      </c>
      <c r="AE190" s="67"/>
      <c r="AF190" s="92" t="s">
        <v>358</v>
      </c>
      <c r="AG190" s="92" t="s">
        <v>358</v>
      </c>
      <c r="AH190" s="92" t="s">
        <v>358</v>
      </c>
      <c r="AI190" s="92" t="s">
        <v>358</v>
      </c>
      <c r="AJ190" s="94" t="s">
        <v>358</v>
      </c>
      <c r="AK190" s="94" t="s">
        <v>358</v>
      </c>
    </row>
    <row r="191" spans="1:37" x14ac:dyDescent="0.3">
      <c r="A191" s="65">
        <v>190</v>
      </c>
      <c r="B191" s="63">
        <v>46382</v>
      </c>
      <c r="C191" s="66" t="s">
        <v>304</v>
      </c>
      <c r="D191" s="66" t="s">
        <v>64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75"/>
      <c r="T191" s="67"/>
      <c r="U191" s="67"/>
      <c r="V191" s="67"/>
      <c r="W191" s="67"/>
      <c r="X191" s="67"/>
      <c r="Y191" s="75"/>
      <c r="Z191" s="67"/>
      <c r="AA191" s="67"/>
      <c r="AB191" s="67"/>
      <c r="AC191" s="67"/>
      <c r="AD191" s="67"/>
      <c r="AE191" s="67"/>
      <c r="AF191" s="75"/>
      <c r="AG191" s="67"/>
      <c r="AH191" s="67"/>
      <c r="AI191" s="67"/>
      <c r="AJ191" s="62"/>
      <c r="AK191" s="62"/>
    </row>
    <row r="192" spans="1:37" x14ac:dyDescent="0.3">
      <c r="A192" s="65">
        <v>191</v>
      </c>
      <c r="B192" s="63">
        <v>46383</v>
      </c>
      <c r="C192" s="66" t="s">
        <v>304</v>
      </c>
      <c r="D192" s="66" t="s">
        <v>63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75"/>
      <c r="T192" s="67"/>
      <c r="U192" s="67"/>
      <c r="V192" s="67"/>
      <c r="W192" s="67"/>
      <c r="X192" s="67"/>
      <c r="Y192" s="76"/>
      <c r="Z192" s="67"/>
      <c r="AA192" s="67"/>
      <c r="AB192" s="67"/>
      <c r="AC192" s="67"/>
      <c r="AD192" s="67"/>
      <c r="AE192" s="67"/>
      <c r="AF192" s="75"/>
      <c r="AG192" s="67"/>
      <c r="AH192" s="67"/>
      <c r="AI192" s="67"/>
      <c r="AJ192" s="62"/>
      <c r="AK192" s="62"/>
    </row>
    <row r="193" spans="1:16352" x14ac:dyDescent="0.3">
      <c r="A193" s="65">
        <v>192</v>
      </c>
      <c r="B193" s="63">
        <v>46384</v>
      </c>
      <c r="C193" s="66" t="s">
        <v>315</v>
      </c>
      <c r="D193" s="66" t="s">
        <v>98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75"/>
      <c r="T193" s="67"/>
      <c r="U193" s="67"/>
      <c r="V193" s="67"/>
      <c r="W193" s="67"/>
      <c r="X193" s="67"/>
      <c r="Y193" s="76"/>
      <c r="Z193" s="67"/>
      <c r="AA193" s="67"/>
      <c r="AB193" s="67"/>
      <c r="AC193" s="67"/>
      <c r="AD193" s="67"/>
      <c r="AE193" s="67"/>
      <c r="AF193" s="75"/>
      <c r="AG193" s="67"/>
      <c r="AH193" s="67"/>
      <c r="AI193" s="67"/>
      <c r="AJ193" s="62"/>
      <c r="AK193" s="62"/>
    </row>
    <row r="194" spans="1:16352" x14ac:dyDescent="0.3">
      <c r="A194" s="65">
        <v>193</v>
      </c>
      <c r="B194" s="64">
        <v>46386</v>
      </c>
      <c r="C194" s="65" t="s">
        <v>161</v>
      </c>
      <c r="D194" s="65" t="s">
        <v>97</v>
      </c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75"/>
      <c r="T194" s="67"/>
      <c r="U194" s="67"/>
      <c r="V194" s="67"/>
      <c r="W194" s="67"/>
      <c r="X194" s="67"/>
      <c r="Y194" s="76"/>
      <c r="Z194" s="67"/>
      <c r="AA194" s="67"/>
      <c r="AB194" s="67"/>
      <c r="AC194" s="67"/>
      <c r="AD194" s="67"/>
      <c r="AE194" s="67"/>
      <c r="AF194" s="75"/>
      <c r="AG194" s="67"/>
      <c r="AH194" s="67"/>
      <c r="AI194" s="67"/>
      <c r="AJ194" s="62"/>
      <c r="AK194" s="62"/>
    </row>
    <row r="195" spans="1:16352" x14ac:dyDescent="0.3">
      <c r="A195" s="65">
        <v>194</v>
      </c>
      <c r="B195" s="64">
        <v>46387</v>
      </c>
      <c r="C195" s="65" t="s">
        <v>167</v>
      </c>
      <c r="D195" s="65" t="s">
        <v>96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75"/>
      <c r="T195" s="67"/>
      <c r="U195" s="67"/>
      <c r="V195" s="67"/>
      <c r="W195" s="67"/>
      <c r="X195" s="67"/>
      <c r="Y195" s="92" t="s">
        <v>358</v>
      </c>
      <c r="Z195" s="67"/>
      <c r="AA195" s="67"/>
      <c r="AB195" s="67"/>
      <c r="AC195" s="67"/>
      <c r="AD195" s="67"/>
      <c r="AE195" s="67"/>
      <c r="AF195" s="75"/>
      <c r="AG195" s="67"/>
      <c r="AH195" s="67"/>
      <c r="AI195" s="67"/>
      <c r="AJ195" s="62"/>
      <c r="AK195" s="62"/>
    </row>
    <row r="196" spans="1:16352" s="85" customFormat="1" ht="12.5" customHeight="1" x14ac:dyDescent="0.35">
      <c r="A196" s="83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  <c r="FU196" s="84"/>
      <c r="FV196" s="84"/>
      <c r="FW196" s="84"/>
      <c r="FX196" s="84"/>
      <c r="FY196" s="84"/>
      <c r="FZ196" s="84"/>
      <c r="GA196" s="84"/>
      <c r="GB196" s="84"/>
      <c r="GC196" s="84"/>
      <c r="GD196" s="84"/>
      <c r="GE196" s="84"/>
      <c r="GF196" s="84"/>
      <c r="GG196" s="84"/>
      <c r="GH196" s="84"/>
      <c r="GI196" s="84"/>
      <c r="GJ196" s="84"/>
      <c r="GK196" s="84"/>
      <c r="GL196" s="84"/>
      <c r="GM196" s="84"/>
      <c r="GN196" s="84"/>
      <c r="GO196" s="84"/>
      <c r="GP196" s="84"/>
      <c r="GQ196" s="84"/>
      <c r="GR196" s="84"/>
      <c r="GS196" s="84"/>
      <c r="GT196" s="84"/>
      <c r="GU196" s="84"/>
      <c r="GV196" s="84"/>
      <c r="GW196" s="84"/>
      <c r="GX196" s="84"/>
      <c r="GY196" s="84"/>
      <c r="GZ196" s="84"/>
      <c r="HA196" s="84"/>
      <c r="HB196" s="84"/>
      <c r="HC196" s="84"/>
      <c r="HD196" s="84"/>
      <c r="HE196" s="84"/>
      <c r="HF196" s="84"/>
      <c r="HG196" s="84"/>
      <c r="HH196" s="84"/>
      <c r="HI196" s="84"/>
      <c r="HJ196" s="84"/>
      <c r="HK196" s="84"/>
      <c r="HL196" s="84"/>
      <c r="HM196" s="84"/>
      <c r="HN196" s="84"/>
      <c r="HO196" s="84"/>
      <c r="HP196" s="84"/>
      <c r="HQ196" s="84"/>
      <c r="HR196" s="84"/>
      <c r="HS196" s="84"/>
      <c r="HT196" s="84"/>
      <c r="HU196" s="84"/>
      <c r="HV196" s="84"/>
      <c r="HW196" s="84"/>
      <c r="HX196" s="84"/>
      <c r="HY196" s="84"/>
      <c r="HZ196" s="84"/>
      <c r="IA196" s="84"/>
      <c r="IB196" s="84"/>
      <c r="IC196" s="84"/>
      <c r="ID196" s="84"/>
      <c r="IE196" s="84"/>
      <c r="IF196" s="84"/>
      <c r="IG196" s="84"/>
      <c r="IH196" s="84"/>
      <c r="II196" s="84"/>
      <c r="IJ196" s="84"/>
      <c r="IK196" s="84"/>
      <c r="IL196" s="84"/>
      <c r="IM196" s="84"/>
      <c r="IN196" s="84"/>
      <c r="IO196" s="84"/>
      <c r="IP196" s="84"/>
      <c r="IQ196" s="84"/>
      <c r="IR196" s="84"/>
      <c r="IS196" s="84"/>
      <c r="IT196" s="84"/>
      <c r="IU196" s="84"/>
      <c r="IV196" s="84"/>
      <c r="IW196" s="84"/>
      <c r="IX196" s="84"/>
      <c r="IY196" s="84"/>
      <c r="IZ196" s="84"/>
      <c r="JA196" s="84"/>
      <c r="JB196" s="84"/>
      <c r="JC196" s="84"/>
      <c r="JD196" s="84"/>
      <c r="JE196" s="84"/>
      <c r="JF196" s="84"/>
      <c r="JG196" s="84"/>
      <c r="JH196" s="84"/>
      <c r="JI196" s="84"/>
      <c r="JJ196" s="84"/>
      <c r="JK196" s="84"/>
      <c r="JL196" s="84"/>
      <c r="JM196" s="84"/>
      <c r="JN196" s="84"/>
      <c r="JO196" s="84"/>
      <c r="JP196" s="84"/>
      <c r="JQ196" s="84"/>
      <c r="JR196" s="84"/>
      <c r="JS196" s="84"/>
      <c r="JT196" s="84"/>
      <c r="JU196" s="84"/>
      <c r="JV196" s="84"/>
      <c r="JW196" s="84"/>
      <c r="JX196" s="84"/>
      <c r="JY196" s="84"/>
      <c r="JZ196" s="84"/>
      <c r="KA196" s="84"/>
      <c r="KB196" s="84"/>
      <c r="KC196" s="84"/>
      <c r="KD196" s="84"/>
      <c r="KE196" s="84"/>
      <c r="KF196" s="84"/>
      <c r="KG196" s="84"/>
      <c r="KH196" s="84"/>
      <c r="KI196" s="84"/>
      <c r="KJ196" s="84"/>
      <c r="KK196" s="84"/>
      <c r="KL196" s="84"/>
      <c r="KM196" s="84"/>
      <c r="KN196" s="84"/>
      <c r="KO196" s="84"/>
      <c r="KP196" s="84"/>
      <c r="KQ196" s="84"/>
      <c r="KR196" s="84"/>
      <c r="KS196" s="84"/>
      <c r="KT196" s="84"/>
      <c r="KU196" s="84"/>
      <c r="KV196" s="84"/>
      <c r="KW196" s="84"/>
      <c r="KX196" s="84"/>
      <c r="KY196" s="84"/>
      <c r="KZ196" s="84"/>
      <c r="LA196" s="84"/>
      <c r="LB196" s="84"/>
      <c r="LC196" s="84"/>
      <c r="LD196" s="84"/>
      <c r="LE196" s="84"/>
      <c r="LF196" s="84"/>
      <c r="LG196" s="84"/>
      <c r="LH196" s="84"/>
      <c r="LI196" s="84"/>
      <c r="LJ196" s="84"/>
      <c r="LK196" s="84"/>
      <c r="LL196" s="84"/>
      <c r="LM196" s="84"/>
      <c r="LN196" s="84"/>
      <c r="LO196" s="84"/>
      <c r="LP196" s="84"/>
      <c r="LQ196" s="84"/>
      <c r="LR196" s="84"/>
      <c r="LS196" s="84"/>
      <c r="LT196" s="84"/>
      <c r="LU196" s="84"/>
      <c r="LV196" s="84"/>
      <c r="LW196" s="84"/>
      <c r="LX196" s="84"/>
      <c r="LY196" s="84"/>
      <c r="LZ196" s="84"/>
      <c r="MA196" s="84"/>
      <c r="MB196" s="84"/>
      <c r="MC196" s="84"/>
      <c r="MD196" s="84"/>
      <c r="ME196" s="84"/>
      <c r="MF196" s="84"/>
      <c r="MG196" s="84"/>
      <c r="MH196" s="84"/>
      <c r="MI196" s="84"/>
      <c r="MJ196" s="84"/>
      <c r="MK196" s="84"/>
      <c r="ML196" s="84"/>
      <c r="MM196" s="84"/>
      <c r="MN196" s="84"/>
      <c r="MO196" s="84"/>
      <c r="MP196" s="84"/>
      <c r="MQ196" s="84"/>
      <c r="MR196" s="84"/>
      <c r="MS196" s="84"/>
      <c r="MT196" s="84"/>
      <c r="MU196" s="84"/>
      <c r="MV196" s="84"/>
      <c r="MW196" s="84"/>
      <c r="MX196" s="84"/>
      <c r="MY196" s="84"/>
      <c r="MZ196" s="84"/>
      <c r="NA196" s="84"/>
      <c r="NB196" s="84"/>
      <c r="NC196" s="84"/>
      <c r="ND196" s="84"/>
      <c r="NE196" s="84"/>
      <c r="NF196" s="84"/>
      <c r="NG196" s="84"/>
      <c r="NH196" s="84"/>
      <c r="NI196" s="84"/>
      <c r="NJ196" s="84"/>
      <c r="NK196" s="84"/>
      <c r="NL196" s="84"/>
      <c r="NM196" s="84"/>
      <c r="NN196" s="84"/>
      <c r="NO196" s="84"/>
      <c r="NP196" s="84"/>
      <c r="NQ196" s="84"/>
      <c r="NR196" s="84"/>
      <c r="NS196" s="84"/>
      <c r="NT196" s="84"/>
      <c r="NU196" s="84"/>
      <c r="NV196" s="84"/>
      <c r="NW196" s="84"/>
      <c r="NX196" s="84"/>
      <c r="NY196" s="84"/>
      <c r="NZ196" s="84"/>
      <c r="OA196" s="84"/>
      <c r="OB196" s="84"/>
      <c r="OC196" s="84"/>
      <c r="OD196" s="84"/>
      <c r="OE196" s="84"/>
      <c r="OF196" s="84"/>
      <c r="OG196" s="84"/>
      <c r="OH196" s="84"/>
      <c r="OI196" s="84"/>
      <c r="OJ196" s="84"/>
      <c r="OK196" s="84"/>
      <c r="OL196" s="84"/>
      <c r="OM196" s="84"/>
      <c r="ON196" s="84"/>
      <c r="OO196" s="84"/>
      <c r="OP196" s="84"/>
      <c r="OQ196" s="84"/>
      <c r="OR196" s="84"/>
      <c r="OS196" s="84"/>
      <c r="OT196" s="84"/>
      <c r="OU196" s="84"/>
      <c r="OV196" s="84"/>
      <c r="OW196" s="84"/>
      <c r="OX196" s="84"/>
      <c r="OY196" s="84"/>
      <c r="OZ196" s="84"/>
      <c r="PA196" s="84"/>
      <c r="PB196" s="84"/>
      <c r="PC196" s="84"/>
      <c r="PD196" s="84"/>
      <c r="PE196" s="84"/>
      <c r="PF196" s="84"/>
      <c r="PG196" s="84"/>
      <c r="PH196" s="84"/>
      <c r="PI196" s="84"/>
      <c r="PJ196" s="84"/>
      <c r="PK196" s="84"/>
      <c r="PL196" s="84"/>
      <c r="PM196" s="84"/>
      <c r="PN196" s="84"/>
      <c r="PO196" s="84"/>
      <c r="PP196" s="84"/>
      <c r="PQ196" s="84"/>
      <c r="PR196" s="84"/>
      <c r="PS196" s="84"/>
      <c r="PT196" s="84"/>
      <c r="PU196" s="84"/>
      <c r="PV196" s="84"/>
      <c r="PW196" s="84"/>
      <c r="PX196" s="84"/>
      <c r="PY196" s="84"/>
      <c r="PZ196" s="84"/>
      <c r="QA196" s="84"/>
      <c r="QB196" s="84"/>
      <c r="QC196" s="84"/>
      <c r="QD196" s="84"/>
      <c r="QE196" s="84"/>
      <c r="QF196" s="84"/>
      <c r="QG196" s="84"/>
      <c r="QH196" s="84"/>
      <c r="QI196" s="84"/>
      <c r="QJ196" s="84"/>
      <c r="QK196" s="84"/>
      <c r="QL196" s="84"/>
      <c r="QM196" s="84"/>
      <c r="QN196" s="84"/>
      <c r="QO196" s="84"/>
      <c r="QP196" s="84"/>
      <c r="QQ196" s="84"/>
      <c r="QR196" s="84"/>
      <c r="QS196" s="84"/>
      <c r="QT196" s="84"/>
      <c r="QU196" s="84"/>
      <c r="QV196" s="84"/>
      <c r="QW196" s="84"/>
      <c r="QX196" s="84"/>
      <c r="QY196" s="84"/>
      <c r="QZ196" s="84"/>
      <c r="RA196" s="84"/>
      <c r="RB196" s="84"/>
      <c r="RC196" s="84"/>
      <c r="RD196" s="84"/>
      <c r="RE196" s="84"/>
      <c r="RF196" s="84"/>
      <c r="RG196" s="84"/>
      <c r="RH196" s="84"/>
      <c r="RI196" s="84"/>
      <c r="RJ196" s="84"/>
      <c r="RK196" s="84"/>
      <c r="RL196" s="84"/>
      <c r="RM196" s="84"/>
      <c r="RN196" s="84"/>
      <c r="RO196" s="84"/>
      <c r="RP196" s="84"/>
      <c r="RQ196" s="84"/>
      <c r="RR196" s="84"/>
      <c r="RS196" s="84"/>
      <c r="RT196" s="84"/>
      <c r="RU196" s="84"/>
      <c r="RV196" s="84"/>
      <c r="RW196" s="84"/>
      <c r="RX196" s="84"/>
      <c r="RY196" s="84"/>
      <c r="RZ196" s="84"/>
      <c r="SA196" s="84"/>
      <c r="SB196" s="84"/>
      <c r="SC196" s="84"/>
      <c r="SD196" s="84"/>
      <c r="SE196" s="84"/>
      <c r="SF196" s="84"/>
      <c r="SG196" s="84"/>
      <c r="SH196" s="84"/>
      <c r="SI196" s="84"/>
      <c r="SJ196" s="84"/>
      <c r="SK196" s="84"/>
      <c r="SL196" s="84"/>
      <c r="SM196" s="84"/>
      <c r="SN196" s="84"/>
      <c r="SO196" s="84"/>
      <c r="SP196" s="84"/>
      <c r="SQ196" s="84"/>
      <c r="SR196" s="84"/>
      <c r="SS196" s="84"/>
      <c r="ST196" s="84"/>
      <c r="SU196" s="84"/>
      <c r="SV196" s="84"/>
      <c r="SW196" s="84"/>
      <c r="SX196" s="84"/>
      <c r="SY196" s="84"/>
      <c r="SZ196" s="84"/>
      <c r="TA196" s="84"/>
      <c r="TB196" s="84"/>
      <c r="TC196" s="84"/>
      <c r="TD196" s="84"/>
      <c r="TE196" s="84"/>
      <c r="TF196" s="84"/>
      <c r="TG196" s="84"/>
      <c r="TH196" s="84"/>
      <c r="TI196" s="84"/>
      <c r="TJ196" s="84"/>
      <c r="TK196" s="84"/>
      <c r="TL196" s="84"/>
      <c r="TM196" s="84"/>
      <c r="TN196" s="84"/>
      <c r="TO196" s="84"/>
      <c r="TP196" s="84"/>
      <c r="TQ196" s="84"/>
      <c r="TR196" s="84"/>
      <c r="TS196" s="84"/>
      <c r="TT196" s="84"/>
      <c r="TU196" s="84"/>
      <c r="TV196" s="84"/>
      <c r="TW196" s="84"/>
      <c r="TX196" s="84"/>
      <c r="TY196" s="84"/>
      <c r="TZ196" s="84"/>
      <c r="UA196" s="84"/>
      <c r="UB196" s="84"/>
      <c r="UC196" s="84"/>
      <c r="UD196" s="84"/>
      <c r="UE196" s="84"/>
      <c r="UF196" s="84"/>
      <c r="UG196" s="84"/>
      <c r="UH196" s="84"/>
      <c r="UI196" s="84"/>
      <c r="UJ196" s="84"/>
      <c r="UK196" s="84"/>
      <c r="UL196" s="84"/>
      <c r="UM196" s="84"/>
      <c r="UN196" s="84"/>
      <c r="UO196" s="84"/>
      <c r="UP196" s="84"/>
      <c r="UQ196" s="84"/>
      <c r="UR196" s="84"/>
      <c r="US196" s="84"/>
      <c r="UT196" s="84"/>
      <c r="UU196" s="84"/>
      <c r="UV196" s="84"/>
      <c r="UW196" s="84"/>
      <c r="UX196" s="84"/>
      <c r="UY196" s="84"/>
      <c r="UZ196" s="84"/>
      <c r="VA196" s="84"/>
      <c r="VB196" s="84"/>
      <c r="VC196" s="84"/>
      <c r="VD196" s="84"/>
      <c r="VE196" s="84"/>
      <c r="VF196" s="84"/>
      <c r="VG196" s="84"/>
      <c r="VH196" s="84"/>
      <c r="VI196" s="84"/>
      <c r="VJ196" s="84"/>
      <c r="VK196" s="84"/>
      <c r="VL196" s="84"/>
      <c r="VM196" s="84"/>
      <c r="VN196" s="84"/>
      <c r="VO196" s="84"/>
      <c r="VP196" s="84"/>
      <c r="VQ196" s="84"/>
      <c r="VR196" s="84"/>
      <c r="VS196" s="84"/>
      <c r="VT196" s="84"/>
      <c r="VU196" s="84"/>
      <c r="VV196" s="84"/>
      <c r="VW196" s="84"/>
      <c r="VX196" s="84"/>
      <c r="VY196" s="84"/>
      <c r="VZ196" s="84"/>
      <c r="WA196" s="84"/>
      <c r="WB196" s="84"/>
      <c r="WC196" s="84"/>
      <c r="WD196" s="84"/>
      <c r="WE196" s="84"/>
      <c r="WF196" s="84"/>
      <c r="WG196" s="84"/>
      <c r="WH196" s="84"/>
      <c r="WI196" s="84"/>
      <c r="WJ196" s="84"/>
      <c r="WK196" s="84"/>
      <c r="WL196" s="84"/>
      <c r="WM196" s="84"/>
      <c r="WN196" s="84"/>
      <c r="WO196" s="84"/>
      <c r="WP196" s="84"/>
      <c r="WQ196" s="84"/>
      <c r="WR196" s="84"/>
      <c r="WS196" s="84"/>
      <c r="WT196" s="84"/>
      <c r="WU196" s="84"/>
      <c r="WV196" s="84"/>
      <c r="WW196" s="84"/>
      <c r="WX196" s="84"/>
      <c r="WY196" s="84"/>
      <c r="WZ196" s="84"/>
      <c r="XA196" s="84"/>
      <c r="XB196" s="84"/>
      <c r="XC196" s="84"/>
      <c r="XD196" s="84"/>
      <c r="XE196" s="84"/>
      <c r="XF196" s="84"/>
      <c r="XG196" s="84"/>
      <c r="XH196" s="84"/>
      <c r="XI196" s="84"/>
      <c r="XJ196" s="84"/>
      <c r="XK196" s="84"/>
      <c r="XL196" s="84"/>
      <c r="XM196" s="84"/>
      <c r="XN196" s="84"/>
      <c r="XO196" s="84"/>
      <c r="XP196" s="84"/>
      <c r="XQ196" s="84"/>
      <c r="XR196" s="84"/>
      <c r="XS196" s="84"/>
      <c r="XT196" s="84"/>
      <c r="XU196" s="84"/>
      <c r="XV196" s="84"/>
      <c r="XW196" s="84"/>
      <c r="XX196" s="84"/>
      <c r="XY196" s="84"/>
      <c r="XZ196" s="84"/>
      <c r="YA196" s="84"/>
      <c r="YB196" s="84"/>
      <c r="YC196" s="84"/>
      <c r="YD196" s="84"/>
      <c r="YE196" s="84"/>
      <c r="YF196" s="84"/>
      <c r="YG196" s="84"/>
      <c r="YH196" s="84"/>
      <c r="YI196" s="84"/>
      <c r="YJ196" s="84"/>
      <c r="YK196" s="84"/>
      <c r="YL196" s="84"/>
      <c r="YM196" s="84"/>
      <c r="YN196" s="84"/>
      <c r="YO196" s="84"/>
      <c r="YP196" s="84"/>
      <c r="YQ196" s="84"/>
      <c r="YR196" s="84"/>
      <c r="YS196" s="84"/>
      <c r="YT196" s="84"/>
      <c r="YU196" s="84"/>
      <c r="YV196" s="84"/>
      <c r="YW196" s="84"/>
      <c r="YX196" s="84"/>
      <c r="YY196" s="84"/>
      <c r="YZ196" s="84"/>
      <c r="ZA196" s="84"/>
      <c r="ZB196" s="84"/>
      <c r="ZC196" s="84"/>
      <c r="ZD196" s="84"/>
      <c r="ZE196" s="84"/>
      <c r="ZF196" s="84"/>
      <c r="ZG196" s="84"/>
      <c r="ZH196" s="84"/>
      <c r="ZI196" s="84"/>
      <c r="ZJ196" s="84"/>
      <c r="ZK196" s="84"/>
      <c r="ZL196" s="84"/>
      <c r="ZM196" s="84"/>
      <c r="ZN196" s="84"/>
      <c r="ZO196" s="84"/>
      <c r="ZP196" s="84"/>
      <c r="ZQ196" s="84"/>
      <c r="ZR196" s="84"/>
      <c r="ZS196" s="84"/>
      <c r="ZT196" s="84"/>
      <c r="ZU196" s="84"/>
      <c r="ZV196" s="84"/>
      <c r="ZW196" s="84"/>
      <c r="ZX196" s="84"/>
      <c r="ZY196" s="84"/>
      <c r="ZZ196" s="84"/>
      <c r="AAA196" s="84"/>
      <c r="AAB196" s="84"/>
      <c r="AAC196" s="84"/>
      <c r="AAD196" s="84"/>
      <c r="AAE196" s="84"/>
      <c r="AAF196" s="84"/>
      <c r="AAG196" s="84"/>
      <c r="AAH196" s="84"/>
      <c r="AAI196" s="84"/>
      <c r="AAJ196" s="84"/>
      <c r="AAK196" s="84"/>
      <c r="AAL196" s="84"/>
      <c r="AAM196" s="84"/>
      <c r="AAN196" s="84"/>
      <c r="AAO196" s="84"/>
      <c r="AAP196" s="84"/>
      <c r="AAQ196" s="84"/>
      <c r="AAR196" s="84"/>
      <c r="AAS196" s="84"/>
      <c r="AAT196" s="84"/>
      <c r="AAU196" s="84"/>
      <c r="AAV196" s="84"/>
      <c r="AAW196" s="84"/>
      <c r="AAX196" s="84"/>
      <c r="AAY196" s="84"/>
      <c r="AAZ196" s="84"/>
      <c r="ABA196" s="84"/>
      <c r="ABB196" s="84"/>
      <c r="ABC196" s="84"/>
      <c r="ABD196" s="84"/>
      <c r="ABE196" s="84"/>
      <c r="ABF196" s="84"/>
      <c r="ABG196" s="84"/>
      <c r="ABH196" s="84"/>
      <c r="ABI196" s="84"/>
      <c r="ABJ196" s="84"/>
      <c r="ABK196" s="84"/>
      <c r="ABL196" s="84"/>
      <c r="ABM196" s="84"/>
      <c r="ABN196" s="84"/>
      <c r="ABO196" s="84"/>
      <c r="ABP196" s="84"/>
      <c r="ABQ196" s="84"/>
      <c r="ABR196" s="84"/>
      <c r="ABS196" s="84"/>
      <c r="ABT196" s="84"/>
      <c r="ABU196" s="84"/>
      <c r="ABV196" s="84"/>
      <c r="ABW196" s="84"/>
      <c r="ABX196" s="84"/>
      <c r="ABY196" s="84"/>
      <c r="ABZ196" s="84"/>
      <c r="ACA196" s="84"/>
      <c r="ACB196" s="84"/>
      <c r="ACC196" s="84"/>
      <c r="ACD196" s="84"/>
      <c r="ACE196" s="84"/>
      <c r="ACF196" s="84"/>
      <c r="ACG196" s="84"/>
      <c r="ACH196" s="84"/>
      <c r="ACI196" s="84"/>
      <c r="ACJ196" s="84"/>
      <c r="ACK196" s="84"/>
      <c r="ACL196" s="84"/>
      <c r="ACM196" s="84"/>
      <c r="ACN196" s="84"/>
      <c r="ACO196" s="84"/>
      <c r="ACP196" s="84"/>
      <c r="ACQ196" s="84"/>
      <c r="ACR196" s="84"/>
      <c r="ACS196" s="84"/>
      <c r="ACT196" s="84"/>
      <c r="ACU196" s="84"/>
      <c r="ACV196" s="84"/>
      <c r="ACW196" s="84"/>
      <c r="ACX196" s="84"/>
      <c r="ACY196" s="84"/>
      <c r="ACZ196" s="84"/>
      <c r="ADA196" s="84"/>
      <c r="ADB196" s="84"/>
      <c r="ADC196" s="84"/>
      <c r="ADD196" s="84"/>
      <c r="ADE196" s="84"/>
      <c r="ADF196" s="84"/>
      <c r="ADG196" s="84"/>
      <c r="ADH196" s="84"/>
      <c r="ADI196" s="84"/>
      <c r="ADJ196" s="84"/>
      <c r="ADK196" s="84"/>
      <c r="ADL196" s="84"/>
      <c r="ADM196" s="84"/>
      <c r="ADN196" s="84"/>
      <c r="ADO196" s="84"/>
      <c r="ADP196" s="84"/>
      <c r="ADQ196" s="84"/>
      <c r="ADR196" s="84"/>
      <c r="ADS196" s="84"/>
      <c r="ADT196" s="84"/>
      <c r="ADU196" s="84"/>
      <c r="ADV196" s="84"/>
      <c r="ADW196" s="84"/>
      <c r="ADX196" s="84"/>
      <c r="ADY196" s="84"/>
      <c r="ADZ196" s="84"/>
      <c r="AEA196" s="84"/>
      <c r="AEB196" s="84"/>
      <c r="AEC196" s="84"/>
      <c r="AED196" s="84"/>
      <c r="AEE196" s="84"/>
      <c r="AEF196" s="84"/>
      <c r="AEG196" s="84"/>
      <c r="AEH196" s="84"/>
      <c r="AEI196" s="84"/>
      <c r="AEJ196" s="84"/>
      <c r="AEK196" s="84"/>
      <c r="AEL196" s="84"/>
      <c r="AEM196" s="84"/>
      <c r="AEN196" s="84"/>
      <c r="AEO196" s="84"/>
      <c r="AEP196" s="84"/>
      <c r="AEQ196" s="84"/>
      <c r="AER196" s="84"/>
      <c r="AES196" s="84"/>
      <c r="AET196" s="84"/>
      <c r="AEU196" s="84"/>
      <c r="AEV196" s="84"/>
      <c r="AEW196" s="84"/>
      <c r="AEX196" s="84"/>
      <c r="AEY196" s="84"/>
      <c r="AEZ196" s="84"/>
      <c r="AFA196" s="84"/>
      <c r="AFB196" s="84"/>
      <c r="AFC196" s="84"/>
      <c r="AFD196" s="84"/>
      <c r="AFE196" s="84"/>
      <c r="AFF196" s="84"/>
      <c r="AFG196" s="84"/>
      <c r="AFH196" s="84"/>
      <c r="AFI196" s="84"/>
      <c r="AFJ196" s="84"/>
      <c r="AFK196" s="84"/>
      <c r="AFL196" s="84"/>
      <c r="AFM196" s="84"/>
      <c r="AFN196" s="84"/>
      <c r="AFO196" s="84"/>
      <c r="AFP196" s="84"/>
      <c r="AFQ196" s="84"/>
      <c r="AFR196" s="84"/>
      <c r="AFS196" s="84"/>
      <c r="AFT196" s="84"/>
      <c r="AFU196" s="84"/>
      <c r="AFV196" s="84"/>
      <c r="AFW196" s="84"/>
      <c r="AFX196" s="84"/>
      <c r="AFY196" s="84"/>
      <c r="AFZ196" s="84"/>
      <c r="AGA196" s="84"/>
      <c r="AGB196" s="84"/>
      <c r="AGC196" s="84"/>
      <c r="AGD196" s="84"/>
      <c r="AGE196" s="84"/>
      <c r="AGF196" s="84"/>
      <c r="AGG196" s="84"/>
      <c r="AGH196" s="84"/>
      <c r="AGI196" s="84"/>
      <c r="AGJ196" s="84"/>
      <c r="AGK196" s="84"/>
      <c r="AGL196" s="84"/>
      <c r="AGM196" s="84"/>
      <c r="AGN196" s="84"/>
      <c r="AGO196" s="84"/>
      <c r="AGP196" s="84"/>
      <c r="AGQ196" s="84"/>
      <c r="AGR196" s="84"/>
      <c r="AGS196" s="84"/>
      <c r="AGT196" s="84"/>
      <c r="AGU196" s="84"/>
      <c r="AGV196" s="84"/>
      <c r="AGW196" s="84"/>
      <c r="AGX196" s="84"/>
      <c r="AGY196" s="84"/>
      <c r="AGZ196" s="84"/>
      <c r="AHA196" s="84"/>
      <c r="AHB196" s="84"/>
      <c r="AHC196" s="84"/>
      <c r="AHD196" s="84"/>
      <c r="AHE196" s="84"/>
      <c r="AHF196" s="84"/>
      <c r="AHG196" s="84"/>
      <c r="AHH196" s="84"/>
      <c r="AHI196" s="84"/>
      <c r="AHJ196" s="84"/>
      <c r="AHK196" s="84"/>
      <c r="AHL196" s="84"/>
      <c r="AHM196" s="84"/>
      <c r="AHN196" s="84"/>
      <c r="AHO196" s="84"/>
      <c r="AHP196" s="84"/>
      <c r="AHQ196" s="84"/>
      <c r="AHR196" s="84"/>
      <c r="AHS196" s="84"/>
      <c r="AHT196" s="84"/>
      <c r="AHU196" s="84"/>
      <c r="AHV196" s="84"/>
      <c r="AHW196" s="84"/>
      <c r="AHX196" s="84"/>
      <c r="AHY196" s="84"/>
      <c r="AHZ196" s="84"/>
      <c r="AIA196" s="84"/>
      <c r="AIB196" s="84"/>
      <c r="AIC196" s="84"/>
      <c r="AID196" s="84"/>
      <c r="AIE196" s="84"/>
      <c r="AIF196" s="84"/>
      <c r="AIG196" s="84"/>
      <c r="AIH196" s="84"/>
      <c r="AII196" s="84"/>
      <c r="AIJ196" s="84"/>
      <c r="AIK196" s="84"/>
      <c r="AIL196" s="84"/>
      <c r="AIM196" s="84"/>
      <c r="AIN196" s="84"/>
      <c r="AIO196" s="84"/>
      <c r="AIP196" s="84"/>
      <c r="AIQ196" s="84"/>
      <c r="AIR196" s="84"/>
      <c r="AIS196" s="84"/>
      <c r="AIT196" s="84"/>
      <c r="AIU196" s="84"/>
      <c r="AIV196" s="84"/>
      <c r="AIW196" s="84"/>
      <c r="AIX196" s="84"/>
      <c r="AIY196" s="84"/>
      <c r="AIZ196" s="84"/>
      <c r="AJA196" s="84"/>
      <c r="AJB196" s="84"/>
      <c r="AJC196" s="84"/>
      <c r="AJD196" s="84"/>
      <c r="AJE196" s="84"/>
      <c r="AJF196" s="84"/>
      <c r="AJG196" s="84"/>
      <c r="AJH196" s="84"/>
      <c r="AJI196" s="84"/>
      <c r="AJJ196" s="84"/>
      <c r="AJK196" s="84"/>
      <c r="AJL196" s="84"/>
      <c r="AJM196" s="84"/>
      <c r="AJN196" s="84"/>
      <c r="AJO196" s="84"/>
      <c r="AJP196" s="84"/>
      <c r="AJQ196" s="84"/>
      <c r="AJR196" s="84"/>
      <c r="AJS196" s="84"/>
      <c r="AJT196" s="84"/>
      <c r="AJU196" s="84"/>
      <c r="AJV196" s="84"/>
      <c r="AJW196" s="84"/>
      <c r="AJX196" s="84"/>
      <c r="AJY196" s="84"/>
      <c r="AJZ196" s="84"/>
      <c r="AKA196" s="84"/>
      <c r="AKB196" s="84"/>
      <c r="AKC196" s="84"/>
      <c r="AKD196" s="84"/>
      <c r="AKE196" s="84"/>
      <c r="AKF196" s="84"/>
      <c r="AKG196" s="84"/>
      <c r="AKH196" s="84"/>
      <c r="AKI196" s="84"/>
      <c r="AKJ196" s="84"/>
      <c r="AKK196" s="84"/>
      <c r="AKL196" s="84"/>
      <c r="AKM196" s="84"/>
      <c r="AKN196" s="84"/>
      <c r="AKO196" s="84"/>
      <c r="AKP196" s="84"/>
      <c r="AKQ196" s="84"/>
      <c r="AKR196" s="84"/>
      <c r="AKS196" s="84"/>
      <c r="AKT196" s="84"/>
      <c r="AKU196" s="84"/>
      <c r="AKV196" s="84"/>
      <c r="AKW196" s="84"/>
      <c r="AKX196" s="84"/>
      <c r="AKY196" s="84"/>
      <c r="AKZ196" s="84"/>
      <c r="ALA196" s="84"/>
      <c r="ALB196" s="84"/>
      <c r="ALC196" s="84"/>
      <c r="ALD196" s="84"/>
      <c r="ALE196" s="84"/>
      <c r="ALF196" s="84"/>
      <c r="ALG196" s="84"/>
      <c r="ALH196" s="84"/>
      <c r="ALI196" s="84"/>
      <c r="ALJ196" s="84"/>
      <c r="ALK196" s="84"/>
      <c r="ALL196" s="84"/>
      <c r="ALM196" s="84"/>
      <c r="ALN196" s="84"/>
      <c r="ALO196" s="84"/>
      <c r="ALP196" s="84"/>
      <c r="ALQ196" s="84"/>
      <c r="ALR196" s="84"/>
      <c r="ALS196" s="84"/>
      <c r="ALT196" s="84"/>
      <c r="ALU196" s="84"/>
      <c r="ALV196" s="84"/>
      <c r="ALW196" s="84"/>
      <c r="ALX196" s="84"/>
      <c r="ALY196" s="84"/>
      <c r="ALZ196" s="84"/>
      <c r="AMA196" s="84"/>
      <c r="AMB196" s="84"/>
      <c r="AMC196" s="84"/>
      <c r="AMD196" s="84"/>
      <c r="AME196" s="84"/>
      <c r="AMF196" s="84"/>
      <c r="AMG196" s="84"/>
      <c r="AMH196" s="84"/>
      <c r="AMI196" s="84"/>
      <c r="AMJ196" s="84"/>
      <c r="AMK196" s="84"/>
      <c r="AML196" s="84"/>
      <c r="AMM196" s="84"/>
      <c r="AMN196" s="84"/>
      <c r="AMO196" s="84"/>
      <c r="AMP196" s="84"/>
      <c r="AMQ196" s="84"/>
      <c r="AMR196" s="84"/>
      <c r="AMS196" s="84"/>
      <c r="AMT196" s="84"/>
      <c r="AMU196" s="84"/>
      <c r="AMV196" s="84"/>
      <c r="AMW196" s="84"/>
      <c r="AMX196" s="84"/>
      <c r="AMY196" s="84"/>
      <c r="AMZ196" s="84"/>
      <c r="ANA196" s="84"/>
      <c r="ANB196" s="84"/>
      <c r="ANC196" s="84"/>
      <c r="AND196" s="84"/>
      <c r="ANE196" s="84"/>
      <c r="ANF196" s="84"/>
      <c r="ANG196" s="84"/>
      <c r="ANH196" s="84"/>
      <c r="ANI196" s="84"/>
      <c r="ANJ196" s="84"/>
      <c r="ANK196" s="84"/>
      <c r="ANL196" s="84"/>
      <c r="ANM196" s="84"/>
      <c r="ANN196" s="84"/>
      <c r="ANO196" s="84"/>
      <c r="ANP196" s="84"/>
      <c r="ANQ196" s="84"/>
      <c r="ANR196" s="84"/>
      <c r="ANS196" s="84"/>
      <c r="ANT196" s="84"/>
      <c r="ANU196" s="84"/>
      <c r="ANV196" s="84"/>
      <c r="ANW196" s="84"/>
      <c r="ANX196" s="84"/>
      <c r="ANY196" s="84"/>
      <c r="ANZ196" s="84"/>
      <c r="AOA196" s="84"/>
      <c r="AOB196" s="84"/>
      <c r="AOC196" s="84"/>
      <c r="AOD196" s="84"/>
      <c r="AOE196" s="84"/>
      <c r="AOF196" s="84"/>
      <c r="AOG196" s="84"/>
      <c r="AOH196" s="84"/>
      <c r="AOI196" s="84"/>
      <c r="AOJ196" s="84"/>
      <c r="AOK196" s="84"/>
      <c r="AOL196" s="84"/>
      <c r="AOM196" s="84"/>
      <c r="AON196" s="84"/>
      <c r="AOO196" s="84"/>
      <c r="AOP196" s="84"/>
      <c r="AOQ196" s="84"/>
      <c r="AOR196" s="84"/>
      <c r="AOS196" s="84"/>
      <c r="AOT196" s="84"/>
      <c r="AOU196" s="84"/>
      <c r="AOV196" s="84"/>
      <c r="AOW196" s="84"/>
      <c r="AOX196" s="84"/>
      <c r="AOY196" s="84"/>
      <c r="AOZ196" s="84"/>
      <c r="APA196" s="84"/>
      <c r="APB196" s="84"/>
      <c r="APC196" s="84"/>
      <c r="APD196" s="84"/>
      <c r="APE196" s="84"/>
      <c r="APF196" s="84"/>
      <c r="APG196" s="84"/>
      <c r="APH196" s="84"/>
      <c r="API196" s="84"/>
      <c r="APJ196" s="84"/>
      <c r="APK196" s="84"/>
      <c r="APL196" s="84"/>
      <c r="APM196" s="84"/>
      <c r="APN196" s="84"/>
      <c r="APO196" s="84"/>
      <c r="APP196" s="84"/>
      <c r="APQ196" s="84"/>
      <c r="APR196" s="84"/>
      <c r="APS196" s="84"/>
      <c r="APT196" s="84"/>
      <c r="APU196" s="84"/>
      <c r="APV196" s="84"/>
      <c r="APW196" s="84"/>
      <c r="APX196" s="84"/>
      <c r="APY196" s="84"/>
      <c r="APZ196" s="84"/>
      <c r="AQA196" s="84"/>
      <c r="AQB196" s="84"/>
      <c r="AQC196" s="84"/>
      <c r="AQD196" s="84"/>
      <c r="AQE196" s="84"/>
      <c r="AQF196" s="84"/>
      <c r="AQG196" s="84"/>
      <c r="AQH196" s="84"/>
      <c r="AQI196" s="84"/>
      <c r="AQJ196" s="84"/>
      <c r="AQK196" s="84"/>
      <c r="AQL196" s="84"/>
      <c r="AQM196" s="84"/>
      <c r="AQN196" s="84"/>
      <c r="AQO196" s="84"/>
      <c r="AQP196" s="84"/>
      <c r="AQQ196" s="84"/>
      <c r="AQR196" s="84"/>
      <c r="AQS196" s="84"/>
      <c r="AQT196" s="84"/>
      <c r="AQU196" s="84"/>
      <c r="AQV196" s="84"/>
      <c r="AQW196" s="84"/>
      <c r="AQX196" s="84"/>
      <c r="AQY196" s="84"/>
      <c r="AQZ196" s="84"/>
      <c r="ARA196" s="84"/>
      <c r="ARB196" s="84"/>
      <c r="ARC196" s="84"/>
      <c r="ARD196" s="84"/>
      <c r="ARE196" s="84"/>
      <c r="ARF196" s="84"/>
      <c r="ARG196" s="84"/>
      <c r="ARH196" s="84"/>
      <c r="ARI196" s="84"/>
      <c r="ARJ196" s="84"/>
      <c r="ARK196" s="84"/>
      <c r="ARL196" s="84"/>
      <c r="ARM196" s="84"/>
      <c r="ARN196" s="84"/>
      <c r="ARO196" s="84"/>
      <c r="ARP196" s="84"/>
      <c r="ARQ196" s="84"/>
      <c r="ARR196" s="84"/>
      <c r="ARS196" s="84"/>
      <c r="ART196" s="84"/>
      <c r="ARU196" s="84"/>
      <c r="ARV196" s="84"/>
      <c r="ARW196" s="84"/>
      <c r="ARX196" s="84"/>
      <c r="ARY196" s="84"/>
      <c r="ARZ196" s="84"/>
      <c r="ASA196" s="84"/>
      <c r="ASB196" s="84"/>
      <c r="ASC196" s="84"/>
      <c r="ASD196" s="84"/>
      <c r="ASE196" s="84"/>
      <c r="ASF196" s="84"/>
      <c r="ASG196" s="84"/>
      <c r="ASH196" s="84"/>
      <c r="ASI196" s="84"/>
      <c r="ASJ196" s="84"/>
      <c r="ASK196" s="84"/>
      <c r="ASL196" s="84"/>
      <c r="ASM196" s="84"/>
      <c r="ASN196" s="84"/>
      <c r="ASO196" s="84"/>
      <c r="ASP196" s="84"/>
      <c r="ASQ196" s="84"/>
      <c r="ASR196" s="84"/>
      <c r="ASS196" s="84"/>
      <c r="AST196" s="84"/>
      <c r="ASU196" s="84"/>
      <c r="ASV196" s="84"/>
      <c r="ASW196" s="84"/>
      <c r="ASX196" s="84"/>
      <c r="ASY196" s="84"/>
      <c r="ASZ196" s="84"/>
      <c r="ATA196" s="84"/>
      <c r="ATB196" s="84"/>
      <c r="ATC196" s="84"/>
      <c r="ATD196" s="84"/>
      <c r="ATE196" s="84"/>
      <c r="ATF196" s="84"/>
      <c r="ATG196" s="84"/>
      <c r="ATH196" s="84"/>
      <c r="ATI196" s="84"/>
      <c r="ATJ196" s="84"/>
      <c r="ATK196" s="84"/>
      <c r="ATL196" s="84"/>
      <c r="ATM196" s="84"/>
      <c r="ATN196" s="84"/>
      <c r="ATO196" s="84"/>
      <c r="ATP196" s="84"/>
      <c r="ATQ196" s="84"/>
      <c r="ATR196" s="84"/>
      <c r="ATS196" s="84"/>
      <c r="ATT196" s="84"/>
      <c r="ATU196" s="84"/>
      <c r="ATV196" s="84"/>
      <c r="ATW196" s="84"/>
      <c r="ATX196" s="84"/>
      <c r="ATY196" s="84"/>
      <c r="ATZ196" s="84"/>
      <c r="AUA196" s="84"/>
      <c r="AUB196" s="84"/>
      <c r="AUC196" s="84"/>
      <c r="AUD196" s="84"/>
      <c r="AUE196" s="84"/>
      <c r="AUF196" s="84"/>
      <c r="AUG196" s="84"/>
      <c r="AUH196" s="84"/>
      <c r="AUI196" s="84"/>
      <c r="AUJ196" s="84"/>
      <c r="AUK196" s="84"/>
      <c r="AUL196" s="84"/>
      <c r="AUM196" s="84"/>
      <c r="AUN196" s="84"/>
      <c r="AUO196" s="84"/>
      <c r="AUP196" s="84"/>
      <c r="AUQ196" s="84"/>
      <c r="AUR196" s="84"/>
      <c r="AUS196" s="84"/>
      <c r="AUT196" s="84"/>
      <c r="AUU196" s="84"/>
      <c r="AUV196" s="84"/>
      <c r="AUW196" s="84"/>
      <c r="AUX196" s="84"/>
      <c r="AUY196" s="84"/>
      <c r="AUZ196" s="84"/>
      <c r="AVA196" s="84"/>
      <c r="AVB196" s="84"/>
      <c r="AVC196" s="84"/>
      <c r="AVD196" s="84"/>
      <c r="AVE196" s="84"/>
      <c r="AVF196" s="84"/>
      <c r="AVG196" s="84"/>
      <c r="AVH196" s="84"/>
      <c r="AVI196" s="84"/>
      <c r="AVJ196" s="84"/>
      <c r="AVK196" s="84"/>
      <c r="AVL196" s="84"/>
      <c r="AVM196" s="84"/>
      <c r="AVN196" s="84"/>
      <c r="AVO196" s="84"/>
      <c r="AVP196" s="84"/>
      <c r="AVQ196" s="84"/>
      <c r="AVR196" s="84"/>
      <c r="AVS196" s="84"/>
      <c r="AVT196" s="84"/>
      <c r="AVU196" s="84"/>
      <c r="AVV196" s="84"/>
      <c r="AVW196" s="84"/>
      <c r="AVX196" s="84"/>
      <c r="AVY196" s="84"/>
      <c r="AVZ196" s="84"/>
      <c r="AWA196" s="84"/>
      <c r="AWB196" s="84"/>
      <c r="AWC196" s="84"/>
      <c r="AWD196" s="84"/>
      <c r="AWE196" s="84"/>
      <c r="AWF196" s="84"/>
      <c r="AWG196" s="84"/>
      <c r="AWH196" s="84"/>
      <c r="AWI196" s="84"/>
      <c r="AWJ196" s="84"/>
      <c r="AWK196" s="84"/>
      <c r="AWL196" s="84"/>
      <c r="AWM196" s="84"/>
      <c r="AWN196" s="84"/>
      <c r="AWO196" s="84"/>
      <c r="AWP196" s="84"/>
      <c r="AWQ196" s="84"/>
      <c r="AWR196" s="84"/>
      <c r="AWS196" s="84"/>
      <c r="AWT196" s="84"/>
      <c r="AWU196" s="84"/>
      <c r="AWV196" s="84"/>
      <c r="AWW196" s="84"/>
      <c r="AWX196" s="84"/>
      <c r="AWY196" s="84"/>
      <c r="AWZ196" s="84"/>
      <c r="AXA196" s="84"/>
      <c r="AXB196" s="84"/>
      <c r="AXC196" s="84"/>
      <c r="AXD196" s="84"/>
      <c r="AXE196" s="84"/>
      <c r="AXF196" s="84"/>
      <c r="AXG196" s="84"/>
      <c r="AXH196" s="84"/>
      <c r="AXI196" s="84"/>
      <c r="AXJ196" s="84"/>
      <c r="AXK196" s="84"/>
      <c r="AXL196" s="84"/>
      <c r="AXM196" s="84"/>
      <c r="AXN196" s="84"/>
      <c r="AXO196" s="84"/>
      <c r="AXP196" s="84"/>
      <c r="AXQ196" s="84"/>
      <c r="AXR196" s="84"/>
      <c r="AXS196" s="84"/>
      <c r="AXT196" s="84"/>
      <c r="AXU196" s="84"/>
      <c r="AXV196" s="84"/>
      <c r="AXW196" s="84"/>
      <c r="AXX196" s="84"/>
      <c r="AXY196" s="84"/>
      <c r="AXZ196" s="84"/>
      <c r="AYA196" s="84"/>
      <c r="AYB196" s="84"/>
      <c r="AYC196" s="84"/>
      <c r="AYD196" s="84"/>
      <c r="AYE196" s="84"/>
      <c r="AYF196" s="84"/>
      <c r="AYG196" s="84"/>
      <c r="AYH196" s="84"/>
      <c r="AYI196" s="84"/>
      <c r="AYJ196" s="84"/>
      <c r="AYK196" s="84"/>
      <c r="AYL196" s="84"/>
      <c r="AYM196" s="84"/>
      <c r="AYN196" s="84"/>
      <c r="AYO196" s="84"/>
      <c r="AYP196" s="84"/>
      <c r="AYQ196" s="84"/>
      <c r="AYR196" s="84"/>
      <c r="AYS196" s="84"/>
      <c r="AYT196" s="84"/>
      <c r="AYU196" s="84"/>
      <c r="AYV196" s="84"/>
      <c r="AYW196" s="84"/>
      <c r="AYX196" s="84"/>
      <c r="AYY196" s="84"/>
      <c r="AYZ196" s="84"/>
      <c r="AZA196" s="84"/>
      <c r="AZB196" s="84"/>
      <c r="AZC196" s="84"/>
      <c r="AZD196" s="84"/>
      <c r="AZE196" s="84"/>
      <c r="AZF196" s="84"/>
      <c r="AZG196" s="84"/>
      <c r="AZH196" s="84"/>
      <c r="AZI196" s="84"/>
      <c r="AZJ196" s="84"/>
      <c r="AZK196" s="84"/>
      <c r="AZL196" s="84"/>
      <c r="AZM196" s="84"/>
      <c r="AZN196" s="84"/>
      <c r="AZO196" s="84"/>
      <c r="AZP196" s="84"/>
      <c r="AZQ196" s="84"/>
      <c r="AZR196" s="84"/>
      <c r="AZS196" s="84"/>
      <c r="AZT196" s="84"/>
      <c r="AZU196" s="84"/>
      <c r="AZV196" s="84"/>
      <c r="AZW196" s="84"/>
      <c r="AZX196" s="84"/>
      <c r="AZY196" s="84"/>
      <c r="AZZ196" s="84"/>
      <c r="BAA196" s="84"/>
      <c r="BAB196" s="84"/>
      <c r="BAC196" s="84"/>
      <c r="BAD196" s="84"/>
      <c r="BAE196" s="84"/>
      <c r="BAF196" s="84"/>
      <c r="BAG196" s="84"/>
      <c r="BAH196" s="84"/>
      <c r="BAI196" s="84"/>
      <c r="BAJ196" s="84"/>
      <c r="BAK196" s="84"/>
      <c r="BAL196" s="84"/>
      <c r="BAM196" s="84"/>
      <c r="BAN196" s="84"/>
      <c r="BAO196" s="84"/>
      <c r="BAP196" s="84"/>
      <c r="BAQ196" s="84"/>
      <c r="BAR196" s="84"/>
      <c r="BAS196" s="84"/>
      <c r="BAT196" s="84"/>
      <c r="BAU196" s="84"/>
      <c r="BAV196" s="84"/>
      <c r="BAW196" s="84"/>
      <c r="BAX196" s="84"/>
      <c r="BAY196" s="84"/>
      <c r="BAZ196" s="84"/>
      <c r="BBA196" s="84"/>
      <c r="BBB196" s="84"/>
      <c r="BBC196" s="84"/>
      <c r="BBD196" s="84"/>
      <c r="BBE196" s="84"/>
      <c r="BBF196" s="84"/>
      <c r="BBG196" s="84"/>
      <c r="BBH196" s="84"/>
      <c r="BBI196" s="84"/>
      <c r="BBJ196" s="84"/>
      <c r="BBK196" s="84"/>
      <c r="BBL196" s="84"/>
      <c r="BBM196" s="84"/>
      <c r="BBN196" s="84"/>
      <c r="BBO196" s="84"/>
      <c r="BBP196" s="84"/>
      <c r="BBQ196" s="84"/>
      <c r="BBR196" s="84"/>
      <c r="BBS196" s="84"/>
      <c r="BBT196" s="84"/>
      <c r="BBU196" s="84"/>
      <c r="BBV196" s="84"/>
      <c r="BBW196" s="84"/>
      <c r="BBX196" s="84"/>
      <c r="BBY196" s="84"/>
      <c r="BBZ196" s="84"/>
      <c r="BCA196" s="84"/>
      <c r="BCB196" s="84"/>
      <c r="BCC196" s="84"/>
      <c r="BCD196" s="84"/>
      <c r="BCE196" s="84"/>
      <c r="BCF196" s="84"/>
      <c r="BCG196" s="84"/>
      <c r="BCH196" s="84"/>
      <c r="BCI196" s="84"/>
      <c r="BCJ196" s="84"/>
      <c r="BCK196" s="84"/>
      <c r="BCL196" s="84"/>
      <c r="BCM196" s="84"/>
      <c r="BCN196" s="84"/>
      <c r="BCO196" s="84"/>
      <c r="BCP196" s="84"/>
      <c r="BCQ196" s="84"/>
      <c r="BCR196" s="84"/>
      <c r="BCS196" s="84"/>
      <c r="BCT196" s="84"/>
      <c r="BCU196" s="84"/>
      <c r="BCV196" s="84"/>
      <c r="BCW196" s="84"/>
      <c r="BCX196" s="84"/>
      <c r="BCY196" s="84"/>
      <c r="BCZ196" s="84"/>
      <c r="BDA196" s="84"/>
      <c r="BDB196" s="84"/>
      <c r="BDC196" s="84"/>
      <c r="BDD196" s="84"/>
      <c r="BDE196" s="84"/>
      <c r="BDF196" s="84"/>
      <c r="BDG196" s="84"/>
      <c r="BDH196" s="84"/>
      <c r="BDI196" s="84"/>
      <c r="BDJ196" s="84"/>
      <c r="BDK196" s="84"/>
      <c r="BDL196" s="84"/>
      <c r="BDM196" s="84"/>
      <c r="BDN196" s="84"/>
      <c r="BDO196" s="84"/>
      <c r="BDP196" s="84"/>
      <c r="BDQ196" s="84"/>
      <c r="BDR196" s="84"/>
      <c r="BDS196" s="84"/>
      <c r="BDT196" s="84"/>
      <c r="BDU196" s="84"/>
      <c r="BDV196" s="84"/>
      <c r="BDW196" s="84"/>
      <c r="BDX196" s="84"/>
      <c r="BDY196" s="84"/>
      <c r="BDZ196" s="84"/>
      <c r="BEA196" s="84"/>
      <c r="BEB196" s="84"/>
      <c r="BEC196" s="84"/>
      <c r="BED196" s="84"/>
      <c r="BEE196" s="84"/>
      <c r="BEF196" s="84"/>
      <c r="BEG196" s="84"/>
      <c r="BEH196" s="84"/>
      <c r="BEI196" s="84"/>
      <c r="BEJ196" s="84"/>
      <c r="BEK196" s="84"/>
      <c r="BEL196" s="84"/>
      <c r="BEM196" s="84"/>
      <c r="BEN196" s="84"/>
      <c r="BEO196" s="84"/>
      <c r="BEP196" s="84"/>
      <c r="BEQ196" s="84"/>
      <c r="BER196" s="84"/>
      <c r="BES196" s="84"/>
      <c r="BET196" s="84"/>
      <c r="BEU196" s="84"/>
      <c r="BEV196" s="84"/>
      <c r="BEW196" s="84"/>
      <c r="BEX196" s="84"/>
      <c r="BEY196" s="84"/>
      <c r="BEZ196" s="84"/>
      <c r="BFA196" s="84"/>
      <c r="BFB196" s="84"/>
      <c r="BFC196" s="84"/>
      <c r="BFD196" s="84"/>
      <c r="BFE196" s="84"/>
      <c r="BFF196" s="84"/>
      <c r="BFG196" s="84"/>
      <c r="BFH196" s="84"/>
      <c r="BFI196" s="84"/>
      <c r="BFJ196" s="84"/>
      <c r="BFK196" s="84"/>
      <c r="BFL196" s="84"/>
      <c r="BFM196" s="84"/>
      <c r="BFN196" s="84"/>
      <c r="BFO196" s="84"/>
      <c r="BFP196" s="84"/>
      <c r="BFQ196" s="84"/>
      <c r="BFR196" s="84"/>
      <c r="BFS196" s="84"/>
      <c r="BFT196" s="84"/>
      <c r="BFU196" s="84"/>
      <c r="BFV196" s="84"/>
      <c r="BFW196" s="84"/>
      <c r="BFX196" s="84"/>
      <c r="BFY196" s="84"/>
      <c r="BFZ196" s="84"/>
      <c r="BGA196" s="84"/>
      <c r="BGB196" s="84"/>
      <c r="BGC196" s="84"/>
      <c r="BGD196" s="84"/>
      <c r="BGE196" s="84"/>
      <c r="BGF196" s="84"/>
      <c r="BGG196" s="84"/>
      <c r="BGH196" s="84"/>
      <c r="BGI196" s="84"/>
      <c r="BGJ196" s="84"/>
      <c r="BGK196" s="84"/>
      <c r="BGL196" s="84"/>
      <c r="BGM196" s="84"/>
      <c r="BGN196" s="84"/>
      <c r="BGO196" s="84"/>
      <c r="BGP196" s="84"/>
      <c r="BGQ196" s="84"/>
      <c r="BGR196" s="84"/>
      <c r="BGS196" s="84"/>
      <c r="BGT196" s="84"/>
      <c r="BGU196" s="84"/>
      <c r="BGV196" s="84"/>
      <c r="BGW196" s="84"/>
      <c r="BGX196" s="84"/>
      <c r="BGY196" s="84"/>
      <c r="BGZ196" s="84"/>
      <c r="BHA196" s="84"/>
      <c r="BHB196" s="84"/>
      <c r="BHC196" s="84"/>
      <c r="BHD196" s="84"/>
      <c r="BHE196" s="84"/>
      <c r="BHF196" s="84"/>
      <c r="BHG196" s="84"/>
      <c r="BHH196" s="84"/>
      <c r="BHI196" s="84"/>
      <c r="BHJ196" s="84"/>
      <c r="BHK196" s="84"/>
      <c r="BHL196" s="84"/>
      <c r="BHM196" s="84"/>
      <c r="BHN196" s="84"/>
      <c r="BHO196" s="84"/>
      <c r="BHP196" s="84"/>
      <c r="BHQ196" s="84"/>
      <c r="BHR196" s="84"/>
      <c r="BHS196" s="84"/>
      <c r="BHT196" s="84"/>
      <c r="BHU196" s="84"/>
      <c r="BHV196" s="84"/>
      <c r="BHW196" s="84"/>
      <c r="BHX196" s="84"/>
      <c r="BHY196" s="84"/>
      <c r="BHZ196" s="84"/>
      <c r="BIA196" s="84"/>
      <c r="BIB196" s="84"/>
      <c r="BIC196" s="84"/>
      <c r="BID196" s="84"/>
      <c r="BIE196" s="84"/>
      <c r="BIF196" s="84"/>
      <c r="BIG196" s="84"/>
      <c r="BIH196" s="84"/>
      <c r="BII196" s="84"/>
      <c r="BIJ196" s="84"/>
      <c r="BIK196" s="84"/>
      <c r="BIL196" s="84"/>
      <c r="BIM196" s="84"/>
      <c r="BIN196" s="84"/>
      <c r="BIO196" s="84"/>
      <c r="BIP196" s="84"/>
      <c r="BIQ196" s="84"/>
      <c r="BIR196" s="84"/>
      <c r="BIS196" s="84"/>
      <c r="BIT196" s="84"/>
      <c r="BIU196" s="84"/>
      <c r="BIV196" s="84"/>
      <c r="BIW196" s="84"/>
      <c r="BIX196" s="84"/>
      <c r="BIY196" s="84"/>
      <c r="BIZ196" s="84"/>
      <c r="BJA196" s="84"/>
      <c r="BJB196" s="84"/>
      <c r="BJC196" s="84"/>
      <c r="BJD196" s="84"/>
      <c r="BJE196" s="84"/>
      <c r="BJF196" s="84"/>
      <c r="BJG196" s="84"/>
      <c r="BJH196" s="84"/>
      <c r="BJI196" s="84"/>
      <c r="BJJ196" s="84"/>
      <c r="BJK196" s="84"/>
      <c r="BJL196" s="84"/>
      <c r="BJM196" s="84"/>
      <c r="BJN196" s="84"/>
      <c r="BJO196" s="84"/>
      <c r="BJP196" s="84"/>
      <c r="BJQ196" s="84"/>
      <c r="BJR196" s="84"/>
      <c r="BJS196" s="84"/>
      <c r="BJT196" s="84"/>
      <c r="BJU196" s="84"/>
      <c r="BJV196" s="84"/>
      <c r="BJW196" s="84"/>
      <c r="BJX196" s="84"/>
      <c r="BJY196" s="84"/>
      <c r="BJZ196" s="84"/>
      <c r="BKA196" s="84"/>
      <c r="BKB196" s="84"/>
      <c r="BKC196" s="84"/>
      <c r="BKD196" s="84"/>
      <c r="BKE196" s="84"/>
      <c r="BKF196" s="84"/>
      <c r="BKG196" s="84"/>
      <c r="BKH196" s="84"/>
      <c r="BKI196" s="84"/>
      <c r="BKJ196" s="84"/>
      <c r="BKK196" s="84"/>
      <c r="BKL196" s="84"/>
      <c r="BKM196" s="84"/>
      <c r="BKN196" s="84"/>
      <c r="BKO196" s="84"/>
      <c r="BKP196" s="84"/>
      <c r="BKQ196" s="84"/>
      <c r="BKR196" s="84"/>
      <c r="BKS196" s="84"/>
      <c r="BKT196" s="84"/>
      <c r="BKU196" s="84"/>
      <c r="BKV196" s="84"/>
      <c r="BKW196" s="84"/>
      <c r="BKX196" s="84"/>
      <c r="BKY196" s="84"/>
      <c r="BKZ196" s="84"/>
      <c r="BLA196" s="84"/>
      <c r="BLB196" s="84"/>
      <c r="BLC196" s="84"/>
      <c r="BLD196" s="84"/>
      <c r="BLE196" s="84"/>
      <c r="BLF196" s="84"/>
      <c r="BLG196" s="84"/>
      <c r="BLH196" s="84"/>
      <c r="BLI196" s="84"/>
      <c r="BLJ196" s="84"/>
      <c r="BLK196" s="84"/>
      <c r="BLL196" s="84"/>
      <c r="BLM196" s="84"/>
      <c r="BLN196" s="84"/>
      <c r="BLO196" s="84"/>
      <c r="BLP196" s="84"/>
      <c r="BLQ196" s="84"/>
      <c r="BLR196" s="84"/>
      <c r="BLS196" s="84"/>
      <c r="BLT196" s="84"/>
      <c r="BLU196" s="84"/>
      <c r="BLV196" s="84"/>
      <c r="BLW196" s="84"/>
      <c r="BLX196" s="84"/>
      <c r="BLY196" s="84"/>
      <c r="BLZ196" s="84"/>
      <c r="BMA196" s="84"/>
      <c r="BMB196" s="84"/>
      <c r="BMC196" s="84"/>
      <c r="BMD196" s="84"/>
      <c r="BME196" s="84"/>
      <c r="BMF196" s="84"/>
      <c r="BMG196" s="84"/>
      <c r="BMH196" s="84"/>
      <c r="BMI196" s="84"/>
      <c r="BMJ196" s="84"/>
      <c r="BMK196" s="84"/>
      <c r="BML196" s="84"/>
      <c r="BMM196" s="84"/>
      <c r="BMN196" s="84"/>
      <c r="BMO196" s="84"/>
      <c r="BMP196" s="84"/>
      <c r="BMQ196" s="84"/>
      <c r="BMR196" s="84"/>
      <c r="BMS196" s="84"/>
      <c r="BMT196" s="84"/>
      <c r="BMU196" s="84"/>
      <c r="BMV196" s="84"/>
      <c r="BMW196" s="84"/>
      <c r="BMX196" s="84"/>
      <c r="BMY196" s="84"/>
      <c r="BMZ196" s="84"/>
      <c r="BNA196" s="84"/>
      <c r="BNB196" s="84"/>
      <c r="BNC196" s="84"/>
      <c r="BND196" s="84"/>
      <c r="BNE196" s="84"/>
      <c r="BNF196" s="84"/>
      <c r="BNG196" s="84"/>
      <c r="BNH196" s="84"/>
      <c r="BNI196" s="84"/>
      <c r="BNJ196" s="84"/>
      <c r="BNK196" s="84"/>
      <c r="BNL196" s="84"/>
      <c r="BNM196" s="84"/>
      <c r="BNN196" s="84"/>
      <c r="BNO196" s="84"/>
      <c r="BNP196" s="84"/>
      <c r="BNQ196" s="84"/>
      <c r="BNR196" s="84"/>
      <c r="BNS196" s="84"/>
      <c r="BNT196" s="84"/>
      <c r="BNU196" s="84"/>
      <c r="BNV196" s="84"/>
      <c r="BNW196" s="84"/>
      <c r="BNX196" s="84"/>
      <c r="BNY196" s="84"/>
      <c r="BNZ196" s="84"/>
      <c r="BOA196" s="84"/>
      <c r="BOB196" s="84"/>
      <c r="BOC196" s="84"/>
      <c r="BOD196" s="84"/>
      <c r="BOE196" s="84"/>
      <c r="BOF196" s="84"/>
      <c r="BOG196" s="84"/>
      <c r="BOH196" s="84"/>
      <c r="BOI196" s="84"/>
      <c r="BOJ196" s="84"/>
      <c r="BOK196" s="84"/>
      <c r="BOL196" s="84"/>
      <c r="BOM196" s="84"/>
      <c r="BON196" s="84"/>
      <c r="BOO196" s="84"/>
      <c r="BOP196" s="84"/>
      <c r="BOQ196" s="84"/>
      <c r="BOR196" s="84"/>
      <c r="BOS196" s="84"/>
      <c r="BOT196" s="84"/>
      <c r="BOU196" s="84"/>
      <c r="BOV196" s="84"/>
      <c r="BOW196" s="84"/>
      <c r="BOX196" s="84"/>
      <c r="BOY196" s="84"/>
      <c r="BOZ196" s="84"/>
      <c r="BPA196" s="84"/>
      <c r="BPB196" s="84"/>
      <c r="BPC196" s="84"/>
      <c r="BPD196" s="84"/>
      <c r="BPE196" s="84"/>
      <c r="BPF196" s="84"/>
      <c r="BPG196" s="84"/>
      <c r="BPH196" s="84"/>
      <c r="BPI196" s="84"/>
      <c r="BPJ196" s="84"/>
      <c r="BPK196" s="84"/>
      <c r="BPL196" s="84"/>
      <c r="BPM196" s="84"/>
      <c r="BPN196" s="84"/>
      <c r="BPO196" s="84"/>
      <c r="BPP196" s="84"/>
      <c r="BPQ196" s="84"/>
      <c r="BPR196" s="84"/>
      <c r="BPS196" s="84"/>
      <c r="BPT196" s="84"/>
      <c r="BPU196" s="84"/>
      <c r="BPV196" s="84"/>
      <c r="BPW196" s="84"/>
      <c r="BPX196" s="84"/>
      <c r="BPY196" s="84"/>
      <c r="BPZ196" s="84"/>
      <c r="BQA196" s="84"/>
      <c r="BQB196" s="84"/>
      <c r="BQC196" s="84"/>
      <c r="BQD196" s="84"/>
      <c r="BQE196" s="84"/>
      <c r="BQF196" s="84"/>
      <c r="BQG196" s="84"/>
      <c r="BQH196" s="84"/>
      <c r="BQI196" s="84"/>
      <c r="BQJ196" s="84"/>
      <c r="BQK196" s="84"/>
      <c r="BQL196" s="84"/>
      <c r="BQM196" s="84"/>
      <c r="BQN196" s="84"/>
      <c r="BQO196" s="84"/>
      <c r="BQP196" s="84"/>
      <c r="BQQ196" s="84"/>
      <c r="BQR196" s="84"/>
      <c r="BQS196" s="84"/>
      <c r="BQT196" s="84"/>
      <c r="BQU196" s="84"/>
      <c r="BQV196" s="84"/>
      <c r="BQW196" s="84"/>
      <c r="BQX196" s="84"/>
      <c r="BQY196" s="84"/>
      <c r="BQZ196" s="84"/>
      <c r="BRA196" s="84"/>
      <c r="BRB196" s="84"/>
      <c r="BRC196" s="84"/>
      <c r="BRD196" s="84"/>
      <c r="BRE196" s="84"/>
      <c r="BRF196" s="84"/>
      <c r="BRG196" s="84"/>
      <c r="BRH196" s="84"/>
      <c r="BRI196" s="84"/>
      <c r="BRJ196" s="84"/>
      <c r="BRK196" s="84"/>
      <c r="BRL196" s="84"/>
      <c r="BRM196" s="84"/>
      <c r="BRN196" s="84"/>
      <c r="BRO196" s="84"/>
      <c r="BRP196" s="84"/>
      <c r="BRQ196" s="84"/>
      <c r="BRR196" s="84"/>
      <c r="BRS196" s="84"/>
      <c r="BRT196" s="84"/>
      <c r="BRU196" s="84"/>
      <c r="BRV196" s="84"/>
      <c r="BRW196" s="84"/>
      <c r="BRX196" s="84"/>
      <c r="BRY196" s="84"/>
      <c r="BRZ196" s="84"/>
      <c r="BSA196" s="84"/>
      <c r="BSB196" s="84"/>
      <c r="BSC196" s="84"/>
      <c r="BSD196" s="84"/>
      <c r="BSE196" s="84"/>
      <c r="BSF196" s="84"/>
      <c r="BSG196" s="84"/>
      <c r="BSH196" s="84"/>
      <c r="BSI196" s="84"/>
      <c r="BSJ196" s="84"/>
      <c r="BSK196" s="84"/>
      <c r="BSL196" s="84"/>
      <c r="BSM196" s="84"/>
      <c r="BSN196" s="84"/>
      <c r="BSO196" s="84"/>
      <c r="BSP196" s="84"/>
      <c r="BSQ196" s="84"/>
      <c r="BSR196" s="84"/>
      <c r="BSS196" s="84"/>
      <c r="BST196" s="84"/>
      <c r="BSU196" s="84"/>
      <c r="BSV196" s="84"/>
      <c r="BSW196" s="84"/>
      <c r="BSX196" s="84"/>
      <c r="BSY196" s="84"/>
      <c r="BSZ196" s="84"/>
      <c r="BTA196" s="84"/>
      <c r="BTB196" s="84"/>
      <c r="BTC196" s="84"/>
      <c r="BTD196" s="84"/>
      <c r="BTE196" s="84"/>
      <c r="BTF196" s="84"/>
      <c r="BTG196" s="84"/>
      <c r="BTH196" s="84"/>
      <c r="BTI196" s="84"/>
      <c r="BTJ196" s="84"/>
      <c r="BTK196" s="84"/>
      <c r="BTL196" s="84"/>
      <c r="BTM196" s="84"/>
      <c r="BTN196" s="84"/>
      <c r="BTO196" s="84"/>
      <c r="BTP196" s="84"/>
      <c r="BTQ196" s="84"/>
      <c r="BTR196" s="84"/>
      <c r="BTS196" s="84"/>
      <c r="BTT196" s="84"/>
      <c r="BTU196" s="84"/>
      <c r="BTV196" s="84"/>
      <c r="BTW196" s="84"/>
      <c r="BTX196" s="84"/>
      <c r="BTY196" s="84"/>
      <c r="BTZ196" s="84"/>
      <c r="BUA196" s="84"/>
      <c r="BUB196" s="84"/>
      <c r="BUC196" s="84"/>
      <c r="BUD196" s="84"/>
      <c r="BUE196" s="84"/>
      <c r="BUF196" s="84"/>
      <c r="BUG196" s="84"/>
      <c r="BUH196" s="84"/>
      <c r="BUI196" s="84"/>
      <c r="BUJ196" s="84"/>
      <c r="BUK196" s="84"/>
      <c r="BUL196" s="84"/>
      <c r="BUM196" s="84"/>
      <c r="BUN196" s="84"/>
      <c r="BUO196" s="84"/>
      <c r="BUP196" s="84"/>
      <c r="BUQ196" s="84"/>
      <c r="BUR196" s="84"/>
      <c r="BUS196" s="84"/>
      <c r="BUT196" s="84"/>
      <c r="BUU196" s="84"/>
      <c r="BUV196" s="84"/>
      <c r="BUW196" s="84"/>
      <c r="BUX196" s="84"/>
      <c r="BUY196" s="84"/>
      <c r="BUZ196" s="84"/>
      <c r="BVA196" s="84"/>
      <c r="BVB196" s="84"/>
      <c r="BVC196" s="84"/>
      <c r="BVD196" s="84"/>
      <c r="BVE196" s="84"/>
      <c r="BVF196" s="84"/>
      <c r="BVG196" s="84"/>
      <c r="BVH196" s="84"/>
      <c r="BVI196" s="84"/>
      <c r="BVJ196" s="84"/>
      <c r="BVK196" s="84"/>
      <c r="BVL196" s="84"/>
      <c r="BVM196" s="84"/>
      <c r="BVN196" s="84"/>
      <c r="BVO196" s="84"/>
      <c r="BVP196" s="84"/>
      <c r="BVQ196" s="84"/>
      <c r="BVR196" s="84"/>
      <c r="BVS196" s="84"/>
      <c r="BVT196" s="84"/>
      <c r="BVU196" s="84"/>
      <c r="BVV196" s="84"/>
      <c r="BVW196" s="84"/>
      <c r="BVX196" s="84"/>
      <c r="BVY196" s="84"/>
      <c r="BVZ196" s="84"/>
      <c r="BWA196" s="84"/>
      <c r="BWB196" s="84"/>
      <c r="BWC196" s="84"/>
      <c r="BWD196" s="84"/>
      <c r="BWE196" s="84"/>
      <c r="BWF196" s="84"/>
      <c r="BWG196" s="84"/>
      <c r="BWH196" s="84"/>
      <c r="BWI196" s="84"/>
      <c r="BWJ196" s="84"/>
      <c r="BWK196" s="84"/>
      <c r="BWL196" s="84"/>
      <c r="BWM196" s="84"/>
      <c r="BWN196" s="84"/>
      <c r="BWO196" s="84"/>
      <c r="BWP196" s="84"/>
      <c r="BWQ196" s="84"/>
      <c r="BWR196" s="84"/>
      <c r="BWS196" s="84"/>
      <c r="BWT196" s="84"/>
      <c r="BWU196" s="84"/>
      <c r="BWV196" s="84"/>
      <c r="BWW196" s="84"/>
      <c r="BWX196" s="84"/>
      <c r="BWY196" s="84"/>
      <c r="BWZ196" s="84"/>
      <c r="BXA196" s="84"/>
      <c r="BXB196" s="84"/>
      <c r="BXC196" s="84"/>
      <c r="BXD196" s="84"/>
      <c r="BXE196" s="84"/>
      <c r="BXF196" s="84"/>
      <c r="BXG196" s="84"/>
      <c r="BXH196" s="84"/>
      <c r="BXI196" s="84"/>
      <c r="BXJ196" s="84"/>
      <c r="BXK196" s="84"/>
      <c r="BXL196" s="84"/>
      <c r="BXM196" s="84"/>
      <c r="BXN196" s="84"/>
      <c r="BXO196" s="84"/>
      <c r="BXP196" s="84"/>
      <c r="BXQ196" s="84"/>
      <c r="BXR196" s="84"/>
      <c r="BXS196" s="84"/>
      <c r="BXT196" s="84"/>
      <c r="BXU196" s="84"/>
      <c r="BXV196" s="84"/>
      <c r="BXW196" s="84"/>
      <c r="BXX196" s="84"/>
      <c r="BXY196" s="84"/>
      <c r="BXZ196" s="84"/>
      <c r="BYA196" s="84"/>
      <c r="BYB196" s="84"/>
      <c r="BYC196" s="84"/>
      <c r="BYD196" s="84"/>
      <c r="BYE196" s="84"/>
      <c r="BYF196" s="84"/>
      <c r="BYG196" s="84"/>
      <c r="BYH196" s="84"/>
      <c r="BYI196" s="84"/>
      <c r="BYJ196" s="84"/>
      <c r="BYK196" s="84"/>
      <c r="BYL196" s="84"/>
      <c r="BYM196" s="84"/>
      <c r="BYN196" s="84"/>
      <c r="BYO196" s="84"/>
      <c r="BYP196" s="84"/>
      <c r="BYQ196" s="84"/>
      <c r="BYR196" s="84"/>
      <c r="BYS196" s="84"/>
      <c r="BYT196" s="84"/>
      <c r="BYU196" s="84"/>
      <c r="BYV196" s="84"/>
      <c r="BYW196" s="84"/>
      <c r="BYX196" s="84"/>
      <c r="BYY196" s="84"/>
      <c r="BYZ196" s="84"/>
      <c r="BZA196" s="84"/>
      <c r="BZB196" s="84"/>
      <c r="BZC196" s="84"/>
      <c r="BZD196" s="84"/>
      <c r="BZE196" s="84"/>
      <c r="BZF196" s="84"/>
      <c r="BZG196" s="84"/>
      <c r="BZH196" s="84"/>
      <c r="BZI196" s="84"/>
      <c r="BZJ196" s="84"/>
      <c r="BZK196" s="84"/>
      <c r="BZL196" s="84"/>
      <c r="BZM196" s="84"/>
      <c r="BZN196" s="84"/>
      <c r="BZO196" s="84"/>
      <c r="BZP196" s="84"/>
      <c r="BZQ196" s="84"/>
      <c r="BZR196" s="84"/>
      <c r="BZS196" s="84"/>
      <c r="BZT196" s="84"/>
      <c r="BZU196" s="84"/>
      <c r="BZV196" s="84"/>
      <c r="BZW196" s="84"/>
      <c r="BZX196" s="84"/>
      <c r="BZY196" s="84"/>
      <c r="BZZ196" s="84"/>
      <c r="CAA196" s="84"/>
      <c r="CAB196" s="84"/>
      <c r="CAC196" s="84"/>
      <c r="CAD196" s="84"/>
      <c r="CAE196" s="84"/>
      <c r="CAF196" s="84"/>
      <c r="CAG196" s="84"/>
      <c r="CAH196" s="84"/>
      <c r="CAI196" s="84"/>
      <c r="CAJ196" s="84"/>
      <c r="CAK196" s="84"/>
      <c r="CAL196" s="84"/>
      <c r="CAM196" s="84"/>
      <c r="CAN196" s="84"/>
      <c r="CAO196" s="84"/>
      <c r="CAP196" s="84"/>
      <c r="CAQ196" s="84"/>
      <c r="CAR196" s="84"/>
      <c r="CAS196" s="84"/>
      <c r="CAT196" s="84"/>
      <c r="CAU196" s="84"/>
      <c r="CAV196" s="84"/>
      <c r="CAW196" s="84"/>
      <c r="CAX196" s="84"/>
      <c r="CAY196" s="84"/>
      <c r="CAZ196" s="84"/>
      <c r="CBA196" s="84"/>
      <c r="CBB196" s="84"/>
      <c r="CBC196" s="84"/>
      <c r="CBD196" s="84"/>
      <c r="CBE196" s="84"/>
      <c r="CBF196" s="84"/>
      <c r="CBG196" s="84"/>
      <c r="CBH196" s="84"/>
      <c r="CBI196" s="84"/>
      <c r="CBJ196" s="84"/>
      <c r="CBK196" s="84"/>
      <c r="CBL196" s="84"/>
      <c r="CBM196" s="84"/>
      <c r="CBN196" s="84"/>
      <c r="CBO196" s="84"/>
      <c r="CBP196" s="84"/>
      <c r="CBQ196" s="84"/>
      <c r="CBR196" s="84"/>
      <c r="CBS196" s="84"/>
      <c r="CBT196" s="84"/>
      <c r="CBU196" s="84"/>
      <c r="CBV196" s="84"/>
      <c r="CBW196" s="84"/>
      <c r="CBX196" s="84"/>
      <c r="CBY196" s="84"/>
      <c r="CBZ196" s="84"/>
      <c r="CCA196" s="84"/>
      <c r="CCB196" s="84"/>
      <c r="CCC196" s="84"/>
      <c r="CCD196" s="84"/>
      <c r="CCE196" s="84"/>
      <c r="CCF196" s="84"/>
      <c r="CCG196" s="84"/>
      <c r="CCH196" s="84"/>
      <c r="CCI196" s="84"/>
      <c r="CCJ196" s="84"/>
      <c r="CCK196" s="84"/>
      <c r="CCL196" s="84"/>
      <c r="CCM196" s="84"/>
      <c r="CCN196" s="84"/>
      <c r="CCO196" s="84"/>
      <c r="CCP196" s="84"/>
      <c r="CCQ196" s="84"/>
      <c r="CCR196" s="84"/>
      <c r="CCS196" s="84"/>
      <c r="CCT196" s="84"/>
      <c r="CCU196" s="84"/>
      <c r="CCV196" s="84"/>
      <c r="CCW196" s="84"/>
      <c r="CCX196" s="84"/>
      <c r="CCY196" s="84"/>
      <c r="CCZ196" s="84"/>
      <c r="CDA196" s="84"/>
      <c r="CDB196" s="84"/>
      <c r="CDC196" s="84"/>
      <c r="CDD196" s="84"/>
      <c r="CDE196" s="84"/>
      <c r="CDF196" s="84"/>
      <c r="CDG196" s="84"/>
      <c r="CDH196" s="84"/>
      <c r="CDI196" s="84"/>
      <c r="CDJ196" s="84"/>
      <c r="CDK196" s="84"/>
      <c r="CDL196" s="84"/>
      <c r="CDM196" s="84"/>
      <c r="CDN196" s="84"/>
      <c r="CDO196" s="84"/>
      <c r="CDP196" s="84"/>
      <c r="CDQ196" s="84"/>
      <c r="CDR196" s="84"/>
      <c r="CDS196" s="84"/>
      <c r="CDT196" s="84"/>
      <c r="CDU196" s="84"/>
      <c r="CDV196" s="84"/>
      <c r="CDW196" s="84"/>
      <c r="CDX196" s="84"/>
      <c r="CDY196" s="84"/>
      <c r="CDZ196" s="84"/>
      <c r="CEA196" s="84"/>
      <c r="CEB196" s="84"/>
      <c r="CEC196" s="84"/>
      <c r="CED196" s="84"/>
      <c r="CEE196" s="84"/>
      <c r="CEF196" s="84"/>
      <c r="CEG196" s="84"/>
      <c r="CEH196" s="84"/>
      <c r="CEI196" s="84"/>
      <c r="CEJ196" s="84"/>
      <c r="CEK196" s="84"/>
      <c r="CEL196" s="84"/>
      <c r="CEM196" s="84"/>
      <c r="CEN196" s="84"/>
      <c r="CEO196" s="84"/>
      <c r="CEP196" s="84"/>
      <c r="CEQ196" s="84"/>
      <c r="CER196" s="84"/>
      <c r="CES196" s="84"/>
      <c r="CET196" s="84"/>
      <c r="CEU196" s="84"/>
      <c r="CEV196" s="84"/>
      <c r="CEW196" s="84"/>
      <c r="CEX196" s="84"/>
      <c r="CEY196" s="84"/>
      <c r="CEZ196" s="84"/>
      <c r="CFA196" s="84"/>
      <c r="CFB196" s="84"/>
      <c r="CFC196" s="84"/>
      <c r="CFD196" s="84"/>
      <c r="CFE196" s="84"/>
      <c r="CFF196" s="84"/>
      <c r="CFG196" s="84"/>
      <c r="CFH196" s="84"/>
      <c r="CFI196" s="84"/>
      <c r="CFJ196" s="84"/>
      <c r="CFK196" s="84"/>
      <c r="CFL196" s="84"/>
      <c r="CFM196" s="84"/>
      <c r="CFN196" s="84"/>
      <c r="CFO196" s="84"/>
      <c r="CFP196" s="84"/>
      <c r="CFQ196" s="84"/>
      <c r="CFR196" s="84"/>
      <c r="CFS196" s="84"/>
      <c r="CFT196" s="84"/>
      <c r="CFU196" s="84"/>
      <c r="CFV196" s="84"/>
      <c r="CFW196" s="84"/>
      <c r="CFX196" s="84"/>
      <c r="CFY196" s="84"/>
      <c r="CFZ196" s="84"/>
      <c r="CGA196" s="84"/>
      <c r="CGB196" s="84"/>
      <c r="CGC196" s="84"/>
      <c r="CGD196" s="84"/>
      <c r="CGE196" s="84"/>
      <c r="CGF196" s="84"/>
      <c r="CGG196" s="84"/>
      <c r="CGH196" s="84"/>
      <c r="CGI196" s="84"/>
      <c r="CGJ196" s="84"/>
      <c r="CGK196" s="84"/>
      <c r="CGL196" s="84"/>
      <c r="CGM196" s="84"/>
      <c r="CGN196" s="84"/>
      <c r="CGO196" s="84"/>
      <c r="CGP196" s="84"/>
      <c r="CGQ196" s="84"/>
      <c r="CGR196" s="84"/>
      <c r="CGS196" s="84"/>
      <c r="CGT196" s="84"/>
      <c r="CGU196" s="84"/>
      <c r="CGV196" s="84"/>
      <c r="CGW196" s="84"/>
      <c r="CGX196" s="84"/>
      <c r="CGY196" s="84"/>
      <c r="CGZ196" s="84"/>
      <c r="CHA196" s="84"/>
      <c r="CHB196" s="84"/>
      <c r="CHC196" s="84"/>
      <c r="CHD196" s="84"/>
      <c r="CHE196" s="84"/>
      <c r="CHF196" s="84"/>
      <c r="CHG196" s="84"/>
      <c r="CHH196" s="84"/>
      <c r="CHI196" s="84"/>
      <c r="CHJ196" s="84"/>
      <c r="CHK196" s="84"/>
      <c r="CHL196" s="84"/>
      <c r="CHM196" s="84"/>
      <c r="CHN196" s="84"/>
      <c r="CHO196" s="84"/>
      <c r="CHP196" s="84"/>
      <c r="CHQ196" s="84"/>
      <c r="CHR196" s="84"/>
      <c r="CHS196" s="84"/>
      <c r="CHT196" s="84"/>
      <c r="CHU196" s="84"/>
      <c r="CHV196" s="84"/>
      <c r="CHW196" s="84"/>
      <c r="CHX196" s="84"/>
      <c r="CHY196" s="84"/>
      <c r="CHZ196" s="84"/>
      <c r="CIA196" s="84"/>
      <c r="CIB196" s="84"/>
      <c r="CIC196" s="84"/>
      <c r="CID196" s="84"/>
      <c r="CIE196" s="84"/>
      <c r="CIF196" s="84"/>
      <c r="CIG196" s="84"/>
      <c r="CIH196" s="84"/>
      <c r="CII196" s="84"/>
      <c r="CIJ196" s="84"/>
      <c r="CIK196" s="84"/>
      <c r="CIL196" s="84"/>
      <c r="CIM196" s="84"/>
      <c r="CIN196" s="84"/>
      <c r="CIO196" s="84"/>
      <c r="CIP196" s="84"/>
      <c r="CIQ196" s="84"/>
      <c r="CIR196" s="84"/>
      <c r="CIS196" s="84"/>
      <c r="CIT196" s="84"/>
      <c r="CIU196" s="84"/>
      <c r="CIV196" s="84"/>
      <c r="CIW196" s="84"/>
      <c r="CIX196" s="84"/>
      <c r="CIY196" s="84"/>
      <c r="CIZ196" s="84"/>
      <c r="CJA196" s="84"/>
      <c r="CJB196" s="84"/>
      <c r="CJC196" s="84"/>
      <c r="CJD196" s="84"/>
      <c r="CJE196" s="84"/>
      <c r="CJF196" s="84"/>
      <c r="CJG196" s="84"/>
      <c r="CJH196" s="84"/>
      <c r="CJI196" s="84"/>
      <c r="CJJ196" s="84"/>
      <c r="CJK196" s="84"/>
      <c r="CJL196" s="84"/>
      <c r="CJM196" s="84"/>
      <c r="CJN196" s="84"/>
      <c r="CJO196" s="84"/>
      <c r="CJP196" s="84"/>
      <c r="CJQ196" s="84"/>
      <c r="CJR196" s="84"/>
      <c r="CJS196" s="84"/>
      <c r="CJT196" s="84"/>
      <c r="CJU196" s="84"/>
      <c r="CJV196" s="84"/>
      <c r="CJW196" s="84"/>
      <c r="CJX196" s="84"/>
      <c r="CJY196" s="84"/>
      <c r="CJZ196" s="84"/>
      <c r="CKA196" s="84"/>
      <c r="CKB196" s="84"/>
      <c r="CKC196" s="84"/>
      <c r="CKD196" s="84"/>
      <c r="CKE196" s="84"/>
      <c r="CKF196" s="84"/>
      <c r="CKG196" s="84"/>
      <c r="CKH196" s="84"/>
      <c r="CKI196" s="84"/>
      <c r="CKJ196" s="84"/>
      <c r="CKK196" s="84"/>
      <c r="CKL196" s="84"/>
      <c r="CKM196" s="84"/>
      <c r="CKN196" s="84"/>
      <c r="CKO196" s="84"/>
      <c r="CKP196" s="84"/>
      <c r="CKQ196" s="84"/>
      <c r="CKR196" s="84"/>
      <c r="CKS196" s="84"/>
      <c r="CKT196" s="84"/>
      <c r="CKU196" s="84"/>
      <c r="CKV196" s="84"/>
      <c r="CKW196" s="84"/>
      <c r="CKX196" s="84"/>
      <c r="CKY196" s="84"/>
      <c r="CKZ196" s="84"/>
      <c r="CLA196" s="84"/>
      <c r="CLB196" s="84"/>
      <c r="CLC196" s="84"/>
      <c r="CLD196" s="84"/>
      <c r="CLE196" s="84"/>
      <c r="CLF196" s="84"/>
      <c r="CLG196" s="84"/>
      <c r="CLH196" s="84"/>
      <c r="CLI196" s="84"/>
      <c r="CLJ196" s="84"/>
      <c r="CLK196" s="84"/>
      <c r="CLL196" s="84"/>
      <c r="CLM196" s="84"/>
      <c r="CLN196" s="84"/>
      <c r="CLO196" s="84"/>
      <c r="CLP196" s="84"/>
      <c r="CLQ196" s="84"/>
      <c r="CLR196" s="84"/>
      <c r="CLS196" s="84"/>
      <c r="CLT196" s="84"/>
      <c r="CLU196" s="84"/>
      <c r="CLV196" s="84"/>
      <c r="CLW196" s="84"/>
      <c r="CLX196" s="84"/>
      <c r="CLY196" s="84"/>
      <c r="CLZ196" s="84"/>
      <c r="CMA196" s="84"/>
      <c r="CMB196" s="84"/>
      <c r="CMC196" s="84"/>
      <c r="CMD196" s="84"/>
      <c r="CME196" s="84"/>
      <c r="CMF196" s="84"/>
      <c r="CMG196" s="84"/>
      <c r="CMH196" s="84"/>
      <c r="CMI196" s="84"/>
      <c r="CMJ196" s="84"/>
      <c r="CMK196" s="84"/>
      <c r="CML196" s="84"/>
      <c r="CMM196" s="84"/>
      <c r="CMN196" s="84"/>
      <c r="CMO196" s="84"/>
      <c r="CMP196" s="84"/>
      <c r="CMQ196" s="84"/>
      <c r="CMR196" s="84"/>
      <c r="CMS196" s="84"/>
      <c r="CMT196" s="84"/>
      <c r="CMU196" s="84"/>
      <c r="CMV196" s="84"/>
      <c r="CMW196" s="84"/>
      <c r="CMX196" s="84"/>
      <c r="CMY196" s="84"/>
      <c r="CMZ196" s="84"/>
      <c r="CNA196" s="84"/>
      <c r="CNB196" s="84"/>
      <c r="CNC196" s="84"/>
      <c r="CND196" s="84"/>
      <c r="CNE196" s="84"/>
      <c r="CNF196" s="84"/>
      <c r="CNG196" s="84"/>
      <c r="CNH196" s="84"/>
      <c r="CNI196" s="84"/>
      <c r="CNJ196" s="84"/>
      <c r="CNK196" s="84"/>
      <c r="CNL196" s="84"/>
      <c r="CNM196" s="84"/>
      <c r="CNN196" s="84"/>
      <c r="CNO196" s="84"/>
      <c r="CNP196" s="84"/>
      <c r="CNQ196" s="84"/>
      <c r="CNR196" s="84"/>
      <c r="CNS196" s="84"/>
      <c r="CNT196" s="84"/>
      <c r="CNU196" s="84"/>
      <c r="CNV196" s="84"/>
      <c r="CNW196" s="84"/>
      <c r="CNX196" s="84"/>
      <c r="CNY196" s="84"/>
      <c r="CNZ196" s="84"/>
      <c r="COA196" s="84"/>
      <c r="COB196" s="84"/>
      <c r="COC196" s="84"/>
      <c r="COD196" s="84"/>
      <c r="COE196" s="84"/>
      <c r="COF196" s="84"/>
      <c r="COG196" s="84"/>
      <c r="COH196" s="84"/>
      <c r="COI196" s="84"/>
      <c r="COJ196" s="84"/>
      <c r="COK196" s="84"/>
      <c r="COL196" s="84"/>
      <c r="COM196" s="84"/>
      <c r="CON196" s="84"/>
      <c r="COO196" s="84"/>
      <c r="COP196" s="84"/>
      <c r="COQ196" s="84"/>
      <c r="COR196" s="84"/>
      <c r="COS196" s="84"/>
      <c r="COT196" s="84"/>
      <c r="COU196" s="84"/>
      <c r="COV196" s="84"/>
      <c r="COW196" s="84"/>
      <c r="COX196" s="84"/>
      <c r="COY196" s="84"/>
      <c r="COZ196" s="84"/>
      <c r="CPA196" s="84"/>
      <c r="CPB196" s="84"/>
      <c r="CPC196" s="84"/>
      <c r="CPD196" s="84"/>
      <c r="CPE196" s="84"/>
      <c r="CPF196" s="84"/>
      <c r="CPG196" s="84"/>
      <c r="CPH196" s="84"/>
      <c r="CPI196" s="84"/>
      <c r="CPJ196" s="84"/>
      <c r="CPK196" s="84"/>
      <c r="CPL196" s="84"/>
      <c r="CPM196" s="84"/>
      <c r="CPN196" s="84"/>
      <c r="CPO196" s="84"/>
      <c r="CPP196" s="84"/>
      <c r="CPQ196" s="84"/>
      <c r="CPR196" s="84"/>
      <c r="CPS196" s="84"/>
      <c r="CPT196" s="84"/>
      <c r="CPU196" s="84"/>
      <c r="CPV196" s="84"/>
      <c r="CPW196" s="84"/>
      <c r="CPX196" s="84"/>
      <c r="CPY196" s="84"/>
      <c r="CPZ196" s="84"/>
      <c r="CQA196" s="84"/>
      <c r="CQB196" s="84"/>
      <c r="CQC196" s="84"/>
      <c r="CQD196" s="84"/>
      <c r="CQE196" s="84"/>
      <c r="CQF196" s="84"/>
      <c r="CQG196" s="84"/>
      <c r="CQH196" s="84"/>
      <c r="CQI196" s="84"/>
      <c r="CQJ196" s="84"/>
      <c r="CQK196" s="84"/>
      <c r="CQL196" s="84"/>
      <c r="CQM196" s="84"/>
      <c r="CQN196" s="84"/>
      <c r="CQO196" s="84"/>
      <c r="CQP196" s="84"/>
      <c r="CQQ196" s="84"/>
      <c r="CQR196" s="84"/>
      <c r="CQS196" s="84"/>
      <c r="CQT196" s="84"/>
      <c r="CQU196" s="84"/>
      <c r="CQV196" s="84"/>
      <c r="CQW196" s="84"/>
      <c r="CQX196" s="84"/>
      <c r="CQY196" s="84"/>
      <c r="CQZ196" s="84"/>
      <c r="CRA196" s="84"/>
      <c r="CRB196" s="84"/>
      <c r="CRC196" s="84"/>
      <c r="CRD196" s="84"/>
      <c r="CRE196" s="84"/>
      <c r="CRF196" s="84"/>
      <c r="CRG196" s="84"/>
      <c r="CRH196" s="84"/>
      <c r="CRI196" s="84"/>
      <c r="CRJ196" s="84"/>
      <c r="CRK196" s="84"/>
      <c r="CRL196" s="84"/>
      <c r="CRM196" s="84"/>
      <c r="CRN196" s="84"/>
      <c r="CRO196" s="84"/>
      <c r="CRP196" s="84"/>
      <c r="CRQ196" s="84"/>
      <c r="CRR196" s="84"/>
      <c r="CRS196" s="84"/>
      <c r="CRT196" s="84"/>
      <c r="CRU196" s="84"/>
      <c r="CRV196" s="84"/>
      <c r="CRW196" s="84"/>
      <c r="CRX196" s="84"/>
      <c r="CRY196" s="84"/>
      <c r="CRZ196" s="84"/>
      <c r="CSA196" s="84"/>
      <c r="CSB196" s="84"/>
      <c r="CSC196" s="84"/>
      <c r="CSD196" s="84"/>
      <c r="CSE196" s="84"/>
      <c r="CSF196" s="84"/>
      <c r="CSG196" s="84"/>
      <c r="CSH196" s="84"/>
      <c r="CSI196" s="84"/>
      <c r="CSJ196" s="84"/>
      <c r="CSK196" s="84"/>
      <c r="CSL196" s="84"/>
      <c r="CSM196" s="84"/>
      <c r="CSN196" s="84"/>
      <c r="CSO196" s="84"/>
      <c r="CSP196" s="84"/>
      <c r="CSQ196" s="84"/>
      <c r="CSR196" s="84"/>
      <c r="CSS196" s="84"/>
      <c r="CST196" s="84"/>
      <c r="CSU196" s="84"/>
      <c r="CSV196" s="84"/>
      <c r="CSW196" s="84"/>
      <c r="CSX196" s="84"/>
      <c r="CSY196" s="84"/>
      <c r="CSZ196" s="84"/>
      <c r="CTA196" s="84"/>
      <c r="CTB196" s="84"/>
      <c r="CTC196" s="84"/>
      <c r="CTD196" s="84"/>
      <c r="CTE196" s="84"/>
      <c r="CTF196" s="84"/>
      <c r="CTG196" s="84"/>
      <c r="CTH196" s="84"/>
      <c r="CTI196" s="84"/>
      <c r="CTJ196" s="84"/>
      <c r="CTK196" s="84"/>
      <c r="CTL196" s="84"/>
      <c r="CTM196" s="84"/>
      <c r="CTN196" s="84"/>
      <c r="CTO196" s="84"/>
      <c r="CTP196" s="84"/>
      <c r="CTQ196" s="84"/>
      <c r="CTR196" s="84"/>
      <c r="CTS196" s="84"/>
      <c r="CTT196" s="84"/>
      <c r="CTU196" s="84"/>
      <c r="CTV196" s="84"/>
      <c r="CTW196" s="84"/>
      <c r="CTX196" s="84"/>
      <c r="CTY196" s="84"/>
      <c r="CTZ196" s="84"/>
      <c r="CUA196" s="84"/>
      <c r="CUB196" s="84"/>
      <c r="CUC196" s="84"/>
      <c r="CUD196" s="84"/>
      <c r="CUE196" s="84"/>
      <c r="CUF196" s="84"/>
      <c r="CUG196" s="84"/>
      <c r="CUH196" s="84"/>
      <c r="CUI196" s="84"/>
      <c r="CUJ196" s="84"/>
      <c r="CUK196" s="84"/>
      <c r="CUL196" s="84"/>
      <c r="CUM196" s="84"/>
      <c r="CUN196" s="84"/>
      <c r="CUO196" s="84"/>
      <c r="CUP196" s="84"/>
      <c r="CUQ196" s="84"/>
      <c r="CUR196" s="84"/>
      <c r="CUS196" s="84"/>
      <c r="CUT196" s="84"/>
      <c r="CUU196" s="84"/>
      <c r="CUV196" s="84"/>
      <c r="CUW196" s="84"/>
      <c r="CUX196" s="84"/>
      <c r="CUY196" s="84"/>
      <c r="CUZ196" s="84"/>
      <c r="CVA196" s="84"/>
      <c r="CVB196" s="84"/>
      <c r="CVC196" s="84"/>
      <c r="CVD196" s="84"/>
      <c r="CVE196" s="84"/>
      <c r="CVF196" s="84"/>
      <c r="CVG196" s="84"/>
      <c r="CVH196" s="84"/>
      <c r="CVI196" s="84"/>
      <c r="CVJ196" s="84"/>
      <c r="CVK196" s="84"/>
      <c r="CVL196" s="84"/>
      <c r="CVM196" s="84"/>
      <c r="CVN196" s="84"/>
      <c r="CVO196" s="84"/>
      <c r="CVP196" s="84"/>
      <c r="CVQ196" s="84"/>
      <c r="CVR196" s="84"/>
      <c r="CVS196" s="84"/>
      <c r="CVT196" s="84"/>
      <c r="CVU196" s="84"/>
      <c r="CVV196" s="84"/>
      <c r="CVW196" s="84"/>
      <c r="CVX196" s="84"/>
      <c r="CVY196" s="84"/>
      <c r="CVZ196" s="84"/>
      <c r="CWA196" s="84"/>
      <c r="CWB196" s="84"/>
      <c r="CWC196" s="84"/>
      <c r="CWD196" s="84"/>
      <c r="CWE196" s="84"/>
      <c r="CWF196" s="84"/>
      <c r="CWG196" s="84"/>
      <c r="CWH196" s="84"/>
      <c r="CWI196" s="84"/>
      <c r="CWJ196" s="84"/>
      <c r="CWK196" s="84"/>
      <c r="CWL196" s="84"/>
      <c r="CWM196" s="84"/>
      <c r="CWN196" s="84"/>
      <c r="CWO196" s="84"/>
      <c r="CWP196" s="84"/>
      <c r="CWQ196" s="84"/>
      <c r="CWR196" s="84"/>
      <c r="CWS196" s="84"/>
      <c r="CWT196" s="84"/>
      <c r="CWU196" s="84"/>
      <c r="CWV196" s="84"/>
      <c r="CWW196" s="84"/>
      <c r="CWX196" s="84"/>
      <c r="CWY196" s="84"/>
      <c r="CWZ196" s="84"/>
      <c r="CXA196" s="84"/>
      <c r="CXB196" s="84"/>
      <c r="CXC196" s="84"/>
      <c r="CXD196" s="84"/>
      <c r="CXE196" s="84"/>
      <c r="CXF196" s="84"/>
      <c r="CXG196" s="84"/>
      <c r="CXH196" s="84"/>
      <c r="CXI196" s="84"/>
      <c r="CXJ196" s="84"/>
      <c r="CXK196" s="84"/>
      <c r="CXL196" s="84"/>
      <c r="CXM196" s="84"/>
      <c r="CXN196" s="84"/>
      <c r="CXO196" s="84"/>
      <c r="CXP196" s="84"/>
      <c r="CXQ196" s="84"/>
      <c r="CXR196" s="84"/>
      <c r="CXS196" s="84"/>
      <c r="CXT196" s="84"/>
      <c r="CXU196" s="84"/>
      <c r="CXV196" s="84"/>
      <c r="CXW196" s="84"/>
      <c r="CXX196" s="84"/>
      <c r="CXY196" s="84"/>
      <c r="CXZ196" s="84"/>
      <c r="CYA196" s="84"/>
      <c r="CYB196" s="84"/>
      <c r="CYC196" s="84"/>
      <c r="CYD196" s="84"/>
      <c r="CYE196" s="84"/>
      <c r="CYF196" s="84"/>
      <c r="CYG196" s="84"/>
      <c r="CYH196" s="84"/>
      <c r="CYI196" s="84"/>
      <c r="CYJ196" s="84"/>
      <c r="CYK196" s="84"/>
      <c r="CYL196" s="84"/>
      <c r="CYM196" s="84"/>
      <c r="CYN196" s="84"/>
      <c r="CYO196" s="84"/>
      <c r="CYP196" s="84"/>
      <c r="CYQ196" s="84"/>
      <c r="CYR196" s="84"/>
      <c r="CYS196" s="84"/>
      <c r="CYT196" s="84"/>
      <c r="CYU196" s="84"/>
      <c r="CYV196" s="84"/>
      <c r="CYW196" s="84"/>
      <c r="CYX196" s="84"/>
      <c r="CYY196" s="84"/>
      <c r="CYZ196" s="84"/>
      <c r="CZA196" s="84"/>
      <c r="CZB196" s="84"/>
      <c r="CZC196" s="84"/>
      <c r="CZD196" s="84"/>
      <c r="CZE196" s="84"/>
      <c r="CZF196" s="84"/>
      <c r="CZG196" s="84"/>
      <c r="CZH196" s="84"/>
      <c r="CZI196" s="84"/>
      <c r="CZJ196" s="84"/>
      <c r="CZK196" s="84"/>
      <c r="CZL196" s="84"/>
      <c r="CZM196" s="84"/>
      <c r="CZN196" s="84"/>
      <c r="CZO196" s="84"/>
      <c r="CZP196" s="84"/>
      <c r="CZQ196" s="84"/>
      <c r="CZR196" s="84"/>
      <c r="CZS196" s="84"/>
      <c r="CZT196" s="84"/>
      <c r="CZU196" s="84"/>
      <c r="CZV196" s="84"/>
      <c r="CZW196" s="84"/>
      <c r="CZX196" s="84"/>
      <c r="CZY196" s="84"/>
      <c r="CZZ196" s="84"/>
      <c r="DAA196" s="84"/>
      <c r="DAB196" s="84"/>
      <c r="DAC196" s="84"/>
      <c r="DAD196" s="84"/>
      <c r="DAE196" s="84"/>
      <c r="DAF196" s="84"/>
      <c r="DAG196" s="84"/>
      <c r="DAH196" s="84"/>
      <c r="DAI196" s="84"/>
      <c r="DAJ196" s="84"/>
      <c r="DAK196" s="84"/>
      <c r="DAL196" s="84"/>
      <c r="DAM196" s="84"/>
      <c r="DAN196" s="84"/>
      <c r="DAO196" s="84"/>
      <c r="DAP196" s="84"/>
      <c r="DAQ196" s="84"/>
      <c r="DAR196" s="84"/>
      <c r="DAS196" s="84"/>
      <c r="DAT196" s="84"/>
      <c r="DAU196" s="84"/>
      <c r="DAV196" s="84"/>
      <c r="DAW196" s="84"/>
      <c r="DAX196" s="84"/>
      <c r="DAY196" s="84"/>
      <c r="DAZ196" s="84"/>
      <c r="DBA196" s="84"/>
      <c r="DBB196" s="84"/>
      <c r="DBC196" s="84"/>
      <c r="DBD196" s="84"/>
      <c r="DBE196" s="84"/>
      <c r="DBF196" s="84"/>
      <c r="DBG196" s="84"/>
      <c r="DBH196" s="84"/>
      <c r="DBI196" s="84"/>
      <c r="DBJ196" s="84"/>
      <c r="DBK196" s="84"/>
      <c r="DBL196" s="84"/>
      <c r="DBM196" s="84"/>
      <c r="DBN196" s="84"/>
      <c r="DBO196" s="84"/>
      <c r="DBP196" s="84"/>
      <c r="DBQ196" s="84"/>
      <c r="DBR196" s="84"/>
      <c r="DBS196" s="84"/>
      <c r="DBT196" s="84"/>
      <c r="DBU196" s="84"/>
      <c r="DBV196" s="84"/>
      <c r="DBW196" s="84"/>
      <c r="DBX196" s="84"/>
      <c r="DBY196" s="84"/>
      <c r="DBZ196" s="84"/>
      <c r="DCA196" s="84"/>
      <c r="DCB196" s="84"/>
      <c r="DCC196" s="84"/>
      <c r="DCD196" s="84"/>
      <c r="DCE196" s="84"/>
      <c r="DCF196" s="84"/>
      <c r="DCG196" s="84"/>
      <c r="DCH196" s="84"/>
      <c r="DCI196" s="84"/>
      <c r="DCJ196" s="84"/>
      <c r="DCK196" s="84"/>
      <c r="DCL196" s="84"/>
      <c r="DCM196" s="84"/>
      <c r="DCN196" s="84"/>
      <c r="DCO196" s="84"/>
      <c r="DCP196" s="84"/>
      <c r="DCQ196" s="84"/>
      <c r="DCR196" s="84"/>
      <c r="DCS196" s="84"/>
      <c r="DCT196" s="84"/>
      <c r="DCU196" s="84"/>
      <c r="DCV196" s="84"/>
      <c r="DCW196" s="84"/>
      <c r="DCX196" s="84"/>
      <c r="DCY196" s="84"/>
      <c r="DCZ196" s="84"/>
      <c r="DDA196" s="84"/>
      <c r="DDB196" s="84"/>
      <c r="DDC196" s="84"/>
      <c r="DDD196" s="84"/>
      <c r="DDE196" s="84"/>
      <c r="DDF196" s="84"/>
      <c r="DDG196" s="84"/>
      <c r="DDH196" s="84"/>
      <c r="DDI196" s="84"/>
      <c r="DDJ196" s="84"/>
      <c r="DDK196" s="84"/>
      <c r="DDL196" s="84"/>
      <c r="DDM196" s="84"/>
      <c r="DDN196" s="84"/>
      <c r="DDO196" s="84"/>
      <c r="DDP196" s="84"/>
      <c r="DDQ196" s="84"/>
      <c r="DDR196" s="84"/>
      <c r="DDS196" s="84"/>
      <c r="DDT196" s="84"/>
      <c r="DDU196" s="84"/>
      <c r="DDV196" s="84"/>
      <c r="DDW196" s="84"/>
      <c r="DDX196" s="84"/>
      <c r="DDY196" s="84"/>
      <c r="DDZ196" s="84"/>
      <c r="DEA196" s="84"/>
      <c r="DEB196" s="84"/>
      <c r="DEC196" s="84"/>
      <c r="DED196" s="84"/>
      <c r="DEE196" s="84"/>
      <c r="DEF196" s="84"/>
      <c r="DEG196" s="84"/>
      <c r="DEH196" s="84"/>
      <c r="DEI196" s="84"/>
      <c r="DEJ196" s="84"/>
      <c r="DEK196" s="84"/>
      <c r="DEL196" s="84"/>
      <c r="DEM196" s="84"/>
      <c r="DEN196" s="84"/>
      <c r="DEO196" s="84"/>
      <c r="DEP196" s="84"/>
      <c r="DEQ196" s="84"/>
      <c r="DER196" s="84"/>
      <c r="DES196" s="84"/>
      <c r="DET196" s="84"/>
      <c r="DEU196" s="84"/>
      <c r="DEV196" s="84"/>
      <c r="DEW196" s="84"/>
      <c r="DEX196" s="84"/>
      <c r="DEY196" s="84"/>
      <c r="DEZ196" s="84"/>
      <c r="DFA196" s="84"/>
      <c r="DFB196" s="84"/>
      <c r="DFC196" s="84"/>
      <c r="DFD196" s="84"/>
      <c r="DFE196" s="84"/>
      <c r="DFF196" s="84"/>
      <c r="DFG196" s="84"/>
      <c r="DFH196" s="84"/>
      <c r="DFI196" s="84"/>
      <c r="DFJ196" s="84"/>
      <c r="DFK196" s="84"/>
      <c r="DFL196" s="84"/>
      <c r="DFM196" s="84"/>
      <c r="DFN196" s="84"/>
      <c r="DFO196" s="84"/>
      <c r="DFP196" s="84"/>
      <c r="DFQ196" s="84"/>
      <c r="DFR196" s="84"/>
      <c r="DFS196" s="84"/>
      <c r="DFT196" s="84"/>
      <c r="DFU196" s="84"/>
      <c r="DFV196" s="84"/>
      <c r="DFW196" s="84"/>
      <c r="DFX196" s="84"/>
      <c r="DFY196" s="84"/>
      <c r="DFZ196" s="84"/>
      <c r="DGA196" s="84"/>
      <c r="DGB196" s="84"/>
      <c r="DGC196" s="84"/>
      <c r="DGD196" s="84"/>
      <c r="DGE196" s="84"/>
      <c r="DGF196" s="84"/>
      <c r="DGG196" s="84"/>
      <c r="DGH196" s="84"/>
      <c r="DGI196" s="84"/>
      <c r="DGJ196" s="84"/>
      <c r="DGK196" s="84"/>
      <c r="DGL196" s="84"/>
      <c r="DGM196" s="84"/>
      <c r="DGN196" s="84"/>
      <c r="DGO196" s="84"/>
      <c r="DGP196" s="84"/>
      <c r="DGQ196" s="84"/>
      <c r="DGR196" s="84"/>
      <c r="DGS196" s="84"/>
      <c r="DGT196" s="84"/>
      <c r="DGU196" s="84"/>
      <c r="DGV196" s="84"/>
      <c r="DGW196" s="84"/>
      <c r="DGX196" s="84"/>
      <c r="DGY196" s="84"/>
      <c r="DGZ196" s="84"/>
      <c r="DHA196" s="84"/>
      <c r="DHB196" s="84"/>
      <c r="DHC196" s="84"/>
      <c r="DHD196" s="84"/>
      <c r="DHE196" s="84"/>
      <c r="DHF196" s="84"/>
      <c r="DHG196" s="84"/>
      <c r="DHH196" s="84"/>
      <c r="DHI196" s="84"/>
      <c r="DHJ196" s="84"/>
      <c r="DHK196" s="84"/>
      <c r="DHL196" s="84"/>
      <c r="DHM196" s="84"/>
      <c r="DHN196" s="84"/>
      <c r="DHO196" s="84"/>
      <c r="DHP196" s="84"/>
      <c r="DHQ196" s="84"/>
      <c r="DHR196" s="84"/>
      <c r="DHS196" s="84"/>
      <c r="DHT196" s="84"/>
      <c r="DHU196" s="84"/>
      <c r="DHV196" s="84"/>
      <c r="DHW196" s="84"/>
      <c r="DHX196" s="84"/>
      <c r="DHY196" s="84"/>
      <c r="DHZ196" s="84"/>
      <c r="DIA196" s="84"/>
      <c r="DIB196" s="84"/>
      <c r="DIC196" s="84"/>
      <c r="DID196" s="84"/>
      <c r="DIE196" s="84"/>
      <c r="DIF196" s="84"/>
      <c r="DIG196" s="84"/>
      <c r="DIH196" s="84"/>
      <c r="DII196" s="84"/>
      <c r="DIJ196" s="84"/>
      <c r="DIK196" s="84"/>
      <c r="DIL196" s="84"/>
      <c r="DIM196" s="84"/>
      <c r="DIN196" s="84"/>
      <c r="DIO196" s="84"/>
      <c r="DIP196" s="84"/>
      <c r="DIQ196" s="84"/>
      <c r="DIR196" s="84"/>
      <c r="DIS196" s="84"/>
      <c r="DIT196" s="84"/>
      <c r="DIU196" s="84"/>
      <c r="DIV196" s="84"/>
      <c r="DIW196" s="84"/>
      <c r="DIX196" s="84"/>
      <c r="DIY196" s="84"/>
      <c r="DIZ196" s="84"/>
      <c r="DJA196" s="84"/>
      <c r="DJB196" s="84"/>
      <c r="DJC196" s="84"/>
      <c r="DJD196" s="84"/>
      <c r="DJE196" s="84"/>
      <c r="DJF196" s="84"/>
      <c r="DJG196" s="84"/>
      <c r="DJH196" s="84"/>
      <c r="DJI196" s="84"/>
      <c r="DJJ196" s="84"/>
      <c r="DJK196" s="84"/>
      <c r="DJL196" s="84"/>
      <c r="DJM196" s="84"/>
      <c r="DJN196" s="84"/>
      <c r="DJO196" s="84"/>
      <c r="DJP196" s="84"/>
      <c r="DJQ196" s="84"/>
      <c r="DJR196" s="84"/>
      <c r="DJS196" s="84"/>
      <c r="DJT196" s="84"/>
      <c r="DJU196" s="84"/>
      <c r="DJV196" s="84"/>
      <c r="DJW196" s="84"/>
      <c r="DJX196" s="84"/>
      <c r="DJY196" s="84"/>
      <c r="DJZ196" s="84"/>
      <c r="DKA196" s="84"/>
      <c r="DKB196" s="84"/>
      <c r="DKC196" s="84"/>
      <c r="DKD196" s="84"/>
      <c r="DKE196" s="84"/>
      <c r="DKF196" s="84"/>
      <c r="DKG196" s="84"/>
      <c r="DKH196" s="84"/>
      <c r="DKI196" s="84"/>
      <c r="DKJ196" s="84"/>
      <c r="DKK196" s="84"/>
      <c r="DKL196" s="84"/>
      <c r="DKM196" s="84"/>
      <c r="DKN196" s="84"/>
      <c r="DKO196" s="84"/>
      <c r="DKP196" s="84"/>
      <c r="DKQ196" s="84"/>
      <c r="DKR196" s="84"/>
      <c r="DKS196" s="84"/>
      <c r="DKT196" s="84"/>
      <c r="DKU196" s="84"/>
      <c r="DKV196" s="84"/>
      <c r="DKW196" s="84"/>
      <c r="DKX196" s="84"/>
      <c r="DKY196" s="84"/>
      <c r="DKZ196" s="84"/>
      <c r="DLA196" s="84"/>
      <c r="DLB196" s="84"/>
      <c r="DLC196" s="84"/>
      <c r="DLD196" s="84"/>
      <c r="DLE196" s="84"/>
      <c r="DLF196" s="84"/>
      <c r="DLG196" s="84"/>
      <c r="DLH196" s="84"/>
      <c r="DLI196" s="84"/>
      <c r="DLJ196" s="84"/>
      <c r="DLK196" s="84"/>
      <c r="DLL196" s="84"/>
      <c r="DLM196" s="84"/>
      <c r="DLN196" s="84"/>
      <c r="DLO196" s="84"/>
      <c r="DLP196" s="84"/>
      <c r="DLQ196" s="84"/>
      <c r="DLR196" s="84"/>
      <c r="DLS196" s="84"/>
      <c r="DLT196" s="84"/>
      <c r="DLU196" s="84"/>
      <c r="DLV196" s="84"/>
      <c r="DLW196" s="84"/>
      <c r="DLX196" s="84"/>
      <c r="DLY196" s="84"/>
      <c r="DLZ196" s="84"/>
      <c r="DMA196" s="84"/>
      <c r="DMB196" s="84"/>
      <c r="DMC196" s="84"/>
      <c r="DMD196" s="84"/>
      <c r="DME196" s="84"/>
      <c r="DMF196" s="84"/>
      <c r="DMG196" s="84"/>
      <c r="DMH196" s="84"/>
      <c r="DMI196" s="84"/>
      <c r="DMJ196" s="84"/>
      <c r="DMK196" s="84"/>
      <c r="DML196" s="84"/>
      <c r="DMM196" s="84"/>
      <c r="DMN196" s="84"/>
      <c r="DMO196" s="84"/>
      <c r="DMP196" s="84"/>
      <c r="DMQ196" s="84"/>
      <c r="DMR196" s="84"/>
      <c r="DMS196" s="84"/>
      <c r="DMT196" s="84"/>
      <c r="DMU196" s="84"/>
      <c r="DMV196" s="84"/>
      <c r="DMW196" s="84"/>
      <c r="DMX196" s="84"/>
      <c r="DMY196" s="84"/>
      <c r="DMZ196" s="84"/>
      <c r="DNA196" s="84"/>
      <c r="DNB196" s="84"/>
      <c r="DNC196" s="84"/>
      <c r="DND196" s="84"/>
      <c r="DNE196" s="84"/>
      <c r="DNF196" s="84"/>
      <c r="DNG196" s="84"/>
      <c r="DNH196" s="84"/>
      <c r="DNI196" s="84"/>
      <c r="DNJ196" s="84"/>
      <c r="DNK196" s="84"/>
      <c r="DNL196" s="84"/>
      <c r="DNM196" s="84"/>
      <c r="DNN196" s="84"/>
      <c r="DNO196" s="84"/>
      <c r="DNP196" s="84"/>
      <c r="DNQ196" s="84"/>
      <c r="DNR196" s="84"/>
      <c r="DNS196" s="84"/>
      <c r="DNT196" s="84"/>
      <c r="DNU196" s="84"/>
      <c r="DNV196" s="84"/>
      <c r="DNW196" s="84"/>
      <c r="DNX196" s="84"/>
      <c r="DNY196" s="84"/>
      <c r="DNZ196" s="84"/>
      <c r="DOA196" s="84"/>
      <c r="DOB196" s="84"/>
      <c r="DOC196" s="84"/>
      <c r="DOD196" s="84"/>
      <c r="DOE196" s="84"/>
      <c r="DOF196" s="84"/>
      <c r="DOG196" s="84"/>
      <c r="DOH196" s="84"/>
      <c r="DOI196" s="84"/>
      <c r="DOJ196" s="84"/>
      <c r="DOK196" s="84"/>
      <c r="DOL196" s="84"/>
      <c r="DOM196" s="84"/>
      <c r="DON196" s="84"/>
      <c r="DOO196" s="84"/>
      <c r="DOP196" s="84"/>
      <c r="DOQ196" s="84"/>
      <c r="DOR196" s="84"/>
      <c r="DOS196" s="84"/>
      <c r="DOT196" s="84"/>
      <c r="DOU196" s="84"/>
      <c r="DOV196" s="84"/>
      <c r="DOW196" s="84"/>
      <c r="DOX196" s="84"/>
      <c r="DOY196" s="84"/>
      <c r="DOZ196" s="84"/>
      <c r="DPA196" s="84"/>
      <c r="DPB196" s="84"/>
      <c r="DPC196" s="84"/>
      <c r="DPD196" s="84"/>
      <c r="DPE196" s="84"/>
      <c r="DPF196" s="84"/>
      <c r="DPG196" s="84"/>
      <c r="DPH196" s="84"/>
      <c r="DPI196" s="84"/>
      <c r="DPJ196" s="84"/>
      <c r="DPK196" s="84"/>
      <c r="DPL196" s="84"/>
      <c r="DPM196" s="84"/>
      <c r="DPN196" s="84"/>
      <c r="DPO196" s="84"/>
      <c r="DPP196" s="84"/>
      <c r="DPQ196" s="84"/>
      <c r="DPR196" s="84"/>
      <c r="DPS196" s="84"/>
      <c r="DPT196" s="84"/>
      <c r="DPU196" s="84"/>
      <c r="DPV196" s="84"/>
      <c r="DPW196" s="84"/>
      <c r="DPX196" s="84"/>
      <c r="DPY196" s="84"/>
      <c r="DPZ196" s="84"/>
      <c r="DQA196" s="84"/>
      <c r="DQB196" s="84"/>
      <c r="DQC196" s="84"/>
      <c r="DQD196" s="84"/>
      <c r="DQE196" s="84"/>
      <c r="DQF196" s="84"/>
      <c r="DQG196" s="84"/>
      <c r="DQH196" s="84"/>
      <c r="DQI196" s="84"/>
      <c r="DQJ196" s="84"/>
      <c r="DQK196" s="84"/>
      <c r="DQL196" s="84"/>
      <c r="DQM196" s="84"/>
      <c r="DQN196" s="84"/>
      <c r="DQO196" s="84"/>
      <c r="DQP196" s="84"/>
      <c r="DQQ196" s="84"/>
      <c r="DQR196" s="84"/>
      <c r="DQS196" s="84"/>
      <c r="DQT196" s="84"/>
      <c r="DQU196" s="84"/>
      <c r="DQV196" s="84"/>
      <c r="DQW196" s="84"/>
      <c r="DQX196" s="84"/>
      <c r="DQY196" s="84"/>
      <c r="DQZ196" s="84"/>
      <c r="DRA196" s="84"/>
      <c r="DRB196" s="84"/>
      <c r="DRC196" s="84"/>
      <c r="DRD196" s="84"/>
      <c r="DRE196" s="84"/>
      <c r="DRF196" s="84"/>
      <c r="DRG196" s="84"/>
      <c r="DRH196" s="84"/>
      <c r="DRI196" s="84"/>
      <c r="DRJ196" s="84"/>
      <c r="DRK196" s="84"/>
      <c r="DRL196" s="84"/>
      <c r="DRM196" s="84"/>
      <c r="DRN196" s="84"/>
      <c r="DRO196" s="84"/>
      <c r="DRP196" s="84"/>
      <c r="DRQ196" s="84"/>
      <c r="DRR196" s="84"/>
      <c r="DRS196" s="84"/>
      <c r="DRT196" s="84"/>
      <c r="DRU196" s="84"/>
      <c r="DRV196" s="84"/>
      <c r="DRW196" s="84"/>
      <c r="DRX196" s="84"/>
      <c r="DRY196" s="84"/>
      <c r="DRZ196" s="84"/>
      <c r="DSA196" s="84"/>
      <c r="DSB196" s="84"/>
      <c r="DSC196" s="84"/>
      <c r="DSD196" s="84"/>
      <c r="DSE196" s="84"/>
      <c r="DSF196" s="84"/>
      <c r="DSG196" s="84"/>
      <c r="DSH196" s="84"/>
      <c r="DSI196" s="84"/>
      <c r="DSJ196" s="84"/>
      <c r="DSK196" s="84"/>
      <c r="DSL196" s="84"/>
      <c r="DSM196" s="84"/>
      <c r="DSN196" s="84"/>
      <c r="DSO196" s="84"/>
      <c r="DSP196" s="84"/>
      <c r="DSQ196" s="84"/>
      <c r="DSR196" s="84"/>
      <c r="DSS196" s="84"/>
      <c r="DST196" s="84"/>
      <c r="DSU196" s="84"/>
      <c r="DSV196" s="84"/>
      <c r="DSW196" s="84"/>
      <c r="DSX196" s="84"/>
      <c r="DSY196" s="84"/>
      <c r="DSZ196" s="84"/>
      <c r="DTA196" s="84"/>
      <c r="DTB196" s="84"/>
      <c r="DTC196" s="84"/>
      <c r="DTD196" s="84"/>
      <c r="DTE196" s="84"/>
      <c r="DTF196" s="84"/>
      <c r="DTG196" s="84"/>
      <c r="DTH196" s="84"/>
      <c r="DTI196" s="84"/>
      <c r="DTJ196" s="84"/>
      <c r="DTK196" s="84"/>
      <c r="DTL196" s="84"/>
      <c r="DTM196" s="84"/>
      <c r="DTN196" s="84"/>
      <c r="DTO196" s="84"/>
      <c r="DTP196" s="84"/>
      <c r="DTQ196" s="84"/>
      <c r="DTR196" s="84"/>
      <c r="DTS196" s="84"/>
      <c r="DTT196" s="84"/>
      <c r="DTU196" s="84"/>
      <c r="DTV196" s="84"/>
      <c r="DTW196" s="84"/>
      <c r="DTX196" s="84"/>
      <c r="DTY196" s="84"/>
      <c r="DTZ196" s="84"/>
      <c r="DUA196" s="84"/>
      <c r="DUB196" s="84"/>
      <c r="DUC196" s="84"/>
      <c r="DUD196" s="84"/>
      <c r="DUE196" s="84"/>
      <c r="DUF196" s="84"/>
      <c r="DUG196" s="84"/>
      <c r="DUH196" s="84"/>
      <c r="DUI196" s="84"/>
      <c r="DUJ196" s="84"/>
      <c r="DUK196" s="84"/>
      <c r="DUL196" s="84"/>
      <c r="DUM196" s="84"/>
      <c r="DUN196" s="84"/>
      <c r="DUO196" s="84"/>
      <c r="DUP196" s="84"/>
      <c r="DUQ196" s="84"/>
      <c r="DUR196" s="84"/>
      <c r="DUS196" s="84"/>
      <c r="DUT196" s="84"/>
      <c r="DUU196" s="84"/>
      <c r="DUV196" s="84"/>
      <c r="DUW196" s="84"/>
      <c r="DUX196" s="84"/>
      <c r="DUY196" s="84"/>
      <c r="DUZ196" s="84"/>
      <c r="DVA196" s="84"/>
      <c r="DVB196" s="84"/>
      <c r="DVC196" s="84"/>
      <c r="DVD196" s="84"/>
      <c r="DVE196" s="84"/>
      <c r="DVF196" s="84"/>
      <c r="DVG196" s="84"/>
      <c r="DVH196" s="84"/>
      <c r="DVI196" s="84"/>
      <c r="DVJ196" s="84"/>
      <c r="DVK196" s="84"/>
      <c r="DVL196" s="84"/>
      <c r="DVM196" s="84"/>
      <c r="DVN196" s="84"/>
      <c r="DVO196" s="84"/>
      <c r="DVP196" s="84"/>
      <c r="DVQ196" s="84"/>
      <c r="DVR196" s="84"/>
      <c r="DVS196" s="84"/>
      <c r="DVT196" s="84"/>
      <c r="DVU196" s="84"/>
      <c r="DVV196" s="84"/>
      <c r="DVW196" s="84"/>
      <c r="DVX196" s="84"/>
      <c r="DVY196" s="84"/>
      <c r="DVZ196" s="84"/>
      <c r="DWA196" s="84"/>
      <c r="DWB196" s="84"/>
      <c r="DWC196" s="84"/>
      <c r="DWD196" s="84"/>
      <c r="DWE196" s="84"/>
      <c r="DWF196" s="84"/>
      <c r="DWG196" s="84"/>
      <c r="DWH196" s="84"/>
      <c r="DWI196" s="84"/>
      <c r="DWJ196" s="84"/>
      <c r="DWK196" s="84"/>
      <c r="DWL196" s="84"/>
      <c r="DWM196" s="84"/>
      <c r="DWN196" s="84"/>
      <c r="DWO196" s="84"/>
      <c r="DWP196" s="84"/>
      <c r="DWQ196" s="84"/>
      <c r="DWR196" s="84"/>
      <c r="DWS196" s="84"/>
      <c r="DWT196" s="84"/>
      <c r="DWU196" s="84"/>
      <c r="DWV196" s="84"/>
      <c r="DWW196" s="84"/>
      <c r="DWX196" s="84"/>
      <c r="DWY196" s="84"/>
      <c r="DWZ196" s="84"/>
      <c r="DXA196" s="84"/>
      <c r="DXB196" s="84"/>
      <c r="DXC196" s="84"/>
      <c r="DXD196" s="84"/>
      <c r="DXE196" s="84"/>
      <c r="DXF196" s="84"/>
      <c r="DXG196" s="84"/>
      <c r="DXH196" s="84"/>
      <c r="DXI196" s="84"/>
      <c r="DXJ196" s="84"/>
      <c r="DXK196" s="84"/>
      <c r="DXL196" s="84"/>
      <c r="DXM196" s="84"/>
      <c r="DXN196" s="84"/>
      <c r="DXO196" s="84"/>
      <c r="DXP196" s="84"/>
      <c r="DXQ196" s="84"/>
      <c r="DXR196" s="84"/>
      <c r="DXS196" s="84"/>
      <c r="DXT196" s="84"/>
      <c r="DXU196" s="84"/>
      <c r="DXV196" s="84"/>
      <c r="DXW196" s="84"/>
      <c r="DXX196" s="84"/>
      <c r="DXY196" s="84"/>
      <c r="DXZ196" s="84"/>
      <c r="DYA196" s="84"/>
      <c r="DYB196" s="84"/>
      <c r="DYC196" s="84"/>
      <c r="DYD196" s="84"/>
      <c r="DYE196" s="84"/>
      <c r="DYF196" s="84"/>
      <c r="DYG196" s="84"/>
      <c r="DYH196" s="84"/>
      <c r="DYI196" s="84"/>
      <c r="DYJ196" s="84"/>
      <c r="DYK196" s="84"/>
      <c r="DYL196" s="84"/>
      <c r="DYM196" s="84"/>
      <c r="DYN196" s="84"/>
      <c r="DYO196" s="84"/>
      <c r="DYP196" s="84"/>
      <c r="DYQ196" s="84"/>
      <c r="DYR196" s="84"/>
      <c r="DYS196" s="84"/>
      <c r="DYT196" s="84"/>
      <c r="DYU196" s="84"/>
      <c r="DYV196" s="84"/>
      <c r="DYW196" s="84"/>
      <c r="DYX196" s="84"/>
      <c r="DYY196" s="84"/>
      <c r="DYZ196" s="84"/>
      <c r="DZA196" s="84"/>
      <c r="DZB196" s="84"/>
      <c r="DZC196" s="84"/>
      <c r="DZD196" s="84"/>
      <c r="DZE196" s="84"/>
      <c r="DZF196" s="84"/>
      <c r="DZG196" s="84"/>
      <c r="DZH196" s="84"/>
      <c r="DZI196" s="84"/>
      <c r="DZJ196" s="84"/>
      <c r="DZK196" s="84"/>
      <c r="DZL196" s="84"/>
      <c r="DZM196" s="84"/>
      <c r="DZN196" s="84"/>
      <c r="DZO196" s="84"/>
      <c r="DZP196" s="84"/>
      <c r="DZQ196" s="84"/>
      <c r="DZR196" s="84"/>
      <c r="DZS196" s="84"/>
      <c r="DZT196" s="84"/>
      <c r="DZU196" s="84"/>
      <c r="DZV196" s="84"/>
      <c r="DZW196" s="84"/>
      <c r="DZX196" s="84"/>
      <c r="DZY196" s="84"/>
      <c r="DZZ196" s="84"/>
      <c r="EAA196" s="84"/>
      <c r="EAB196" s="84"/>
      <c r="EAC196" s="84"/>
      <c r="EAD196" s="84"/>
      <c r="EAE196" s="84"/>
      <c r="EAF196" s="84"/>
      <c r="EAG196" s="84"/>
      <c r="EAH196" s="84"/>
      <c r="EAI196" s="84"/>
      <c r="EAJ196" s="84"/>
      <c r="EAK196" s="84"/>
      <c r="EAL196" s="84"/>
      <c r="EAM196" s="84"/>
      <c r="EAN196" s="84"/>
      <c r="EAO196" s="84"/>
      <c r="EAP196" s="84"/>
      <c r="EAQ196" s="84"/>
      <c r="EAR196" s="84"/>
      <c r="EAS196" s="84"/>
      <c r="EAT196" s="84"/>
      <c r="EAU196" s="84"/>
      <c r="EAV196" s="84"/>
      <c r="EAW196" s="84"/>
      <c r="EAX196" s="84"/>
      <c r="EAY196" s="84"/>
      <c r="EAZ196" s="84"/>
      <c r="EBA196" s="84"/>
      <c r="EBB196" s="84"/>
      <c r="EBC196" s="84"/>
      <c r="EBD196" s="84"/>
      <c r="EBE196" s="84"/>
      <c r="EBF196" s="84"/>
      <c r="EBG196" s="84"/>
      <c r="EBH196" s="84"/>
      <c r="EBI196" s="84"/>
      <c r="EBJ196" s="84"/>
      <c r="EBK196" s="84"/>
      <c r="EBL196" s="84"/>
      <c r="EBM196" s="84"/>
      <c r="EBN196" s="84"/>
      <c r="EBO196" s="84"/>
      <c r="EBP196" s="84"/>
      <c r="EBQ196" s="84"/>
      <c r="EBR196" s="84"/>
      <c r="EBS196" s="84"/>
      <c r="EBT196" s="84"/>
      <c r="EBU196" s="84"/>
      <c r="EBV196" s="84"/>
      <c r="EBW196" s="84"/>
      <c r="EBX196" s="84"/>
      <c r="EBY196" s="84"/>
      <c r="EBZ196" s="84"/>
      <c r="ECA196" s="84"/>
      <c r="ECB196" s="84"/>
      <c r="ECC196" s="84"/>
      <c r="ECD196" s="84"/>
      <c r="ECE196" s="84"/>
      <c r="ECF196" s="84"/>
      <c r="ECG196" s="84"/>
      <c r="ECH196" s="84"/>
      <c r="ECI196" s="84"/>
      <c r="ECJ196" s="84"/>
      <c r="ECK196" s="84"/>
      <c r="ECL196" s="84"/>
      <c r="ECM196" s="84"/>
      <c r="ECN196" s="84"/>
      <c r="ECO196" s="84"/>
      <c r="ECP196" s="84"/>
      <c r="ECQ196" s="84"/>
      <c r="ECR196" s="84"/>
      <c r="ECS196" s="84"/>
      <c r="ECT196" s="84"/>
      <c r="ECU196" s="84"/>
      <c r="ECV196" s="84"/>
      <c r="ECW196" s="84"/>
      <c r="ECX196" s="84"/>
      <c r="ECY196" s="84"/>
      <c r="ECZ196" s="84"/>
      <c r="EDA196" s="84"/>
      <c r="EDB196" s="84"/>
      <c r="EDC196" s="84"/>
      <c r="EDD196" s="84"/>
      <c r="EDE196" s="84"/>
      <c r="EDF196" s="84"/>
      <c r="EDG196" s="84"/>
      <c r="EDH196" s="84"/>
      <c r="EDI196" s="84"/>
      <c r="EDJ196" s="84"/>
      <c r="EDK196" s="84"/>
      <c r="EDL196" s="84"/>
      <c r="EDM196" s="84"/>
      <c r="EDN196" s="84"/>
      <c r="EDO196" s="84"/>
      <c r="EDP196" s="84"/>
      <c r="EDQ196" s="84"/>
      <c r="EDR196" s="84"/>
      <c r="EDS196" s="84"/>
      <c r="EDT196" s="84"/>
      <c r="EDU196" s="84"/>
      <c r="EDV196" s="84"/>
      <c r="EDW196" s="84"/>
      <c r="EDX196" s="84"/>
      <c r="EDY196" s="84"/>
      <c r="EDZ196" s="84"/>
      <c r="EEA196" s="84"/>
      <c r="EEB196" s="84"/>
      <c r="EEC196" s="84"/>
      <c r="EED196" s="84"/>
      <c r="EEE196" s="84"/>
      <c r="EEF196" s="84"/>
      <c r="EEG196" s="84"/>
      <c r="EEH196" s="84"/>
      <c r="EEI196" s="84"/>
      <c r="EEJ196" s="84"/>
      <c r="EEK196" s="84"/>
      <c r="EEL196" s="84"/>
      <c r="EEM196" s="84"/>
      <c r="EEN196" s="84"/>
      <c r="EEO196" s="84"/>
      <c r="EEP196" s="84"/>
      <c r="EEQ196" s="84"/>
      <c r="EER196" s="84"/>
      <c r="EES196" s="84"/>
      <c r="EET196" s="84"/>
      <c r="EEU196" s="84"/>
      <c r="EEV196" s="84"/>
      <c r="EEW196" s="84"/>
      <c r="EEX196" s="84"/>
      <c r="EEY196" s="84"/>
      <c r="EEZ196" s="84"/>
      <c r="EFA196" s="84"/>
      <c r="EFB196" s="84"/>
      <c r="EFC196" s="84"/>
      <c r="EFD196" s="84"/>
      <c r="EFE196" s="84"/>
      <c r="EFF196" s="84"/>
      <c r="EFG196" s="84"/>
      <c r="EFH196" s="84"/>
      <c r="EFI196" s="84"/>
      <c r="EFJ196" s="84"/>
      <c r="EFK196" s="84"/>
      <c r="EFL196" s="84"/>
      <c r="EFM196" s="84"/>
      <c r="EFN196" s="84"/>
      <c r="EFO196" s="84"/>
      <c r="EFP196" s="84"/>
      <c r="EFQ196" s="84"/>
      <c r="EFR196" s="84"/>
      <c r="EFS196" s="84"/>
      <c r="EFT196" s="84"/>
      <c r="EFU196" s="84"/>
      <c r="EFV196" s="84"/>
      <c r="EFW196" s="84"/>
      <c r="EFX196" s="84"/>
      <c r="EFY196" s="84"/>
      <c r="EFZ196" s="84"/>
      <c r="EGA196" s="84"/>
      <c r="EGB196" s="84"/>
      <c r="EGC196" s="84"/>
      <c r="EGD196" s="84"/>
      <c r="EGE196" s="84"/>
      <c r="EGF196" s="84"/>
      <c r="EGG196" s="84"/>
      <c r="EGH196" s="84"/>
      <c r="EGI196" s="84"/>
      <c r="EGJ196" s="84"/>
      <c r="EGK196" s="84"/>
      <c r="EGL196" s="84"/>
      <c r="EGM196" s="84"/>
      <c r="EGN196" s="84"/>
      <c r="EGO196" s="84"/>
      <c r="EGP196" s="84"/>
      <c r="EGQ196" s="84"/>
      <c r="EGR196" s="84"/>
      <c r="EGS196" s="84"/>
      <c r="EGT196" s="84"/>
      <c r="EGU196" s="84"/>
      <c r="EGV196" s="84"/>
      <c r="EGW196" s="84"/>
      <c r="EGX196" s="84"/>
      <c r="EGY196" s="84"/>
      <c r="EGZ196" s="84"/>
      <c r="EHA196" s="84"/>
      <c r="EHB196" s="84"/>
      <c r="EHC196" s="84"/>
      <c r="EHD196" s="84"/>
      <c r="EHE196" s="84"/>
      <c r="EHF196" s="84"/>
      <c r="EHG196" s="84"/>
      <c r="EHH196" s="84"/>
      <c r="EHI196" s="84"/>
      <c r="EHJ196" s="84"/>
      <c r="EHK196" s="84"/>
      <c r="EHL196" s="84"/>
      <c r="EHM196" s="84"/>
      <c r="EHN196" s="84"/>
      <c r="EHO196" s="84"/>
      <c r="EHP196" s="84"/>
      <c r="EHQ196" s="84"/>
      <c r="EHR196" s="84"/>
      <c r="EHS196" s="84"/>
      <c r="EHT196" s="84"/>
      <c r="EHU196" s="84"/>
      <c r="EHV196" s="84"/>
      <c r="EHW196" s="84"/>
      <c r="EHX196" s="84"/>
      <c r="EHY196" s="84"/>
      <c r="EHZ196" s="84"/>
      <c r="EIA196" s="84"/>
      <c r="EIB196" s="84"/>
      <c r="EIC196" s="84"/>
      <c r="EID196" s="84"/>
      <c r="EIE196" s="84"/>
      <c r="EIF196" s="84"/>
      <c r="EIG196" s="84"/>
      <c r="EIH196" s="84"/>
      <c r="EII196" s="84"/>
      <c r="EIJ196" s="84"/>
      <c r="EIK196" s="84"/>
      <c r="EIL196" s="84"/>
      <c r="EIM196" s="84"/>
      <c r="EIN196" s="84"/>
      <c r="EIO196" s="84"/>
      <c r="EIP196" s="84"/>
      <c r="EIQ196" s="84"/>
      <c r="EIR196" s="84"/>
      <c r="EIS196" s="84"/>
      <c r="EIT196" s="84"/>
      <c r="EIU196" s="84"/>
      <c r="EIV196" s="84"/>
      <c r="EIW196" s="84"/>
      <c r="EIX196" s="84"/>
      <c r="EIY196" s="84"/>
      <c r="EIZ196" s="84"/>
      <c r="EJA196" s="84"/>
      <c r="EJB196" s="84"/>
      <c r="EJC196" s="84"/>
      <c r="EJD196" s="84"/>
      <c r="EJE196" s="84"/>
      <c r="EJF196" s="84"/>
      <c r="EJG196" s="84"/>
      <c r="EJH196" s="84"/>
      <c r="EJI196" s="84"/>
      <c r="EJJ196" s="84"/>
      <c r="EJK196" s="84"/>
      <c r="EJL196" s="84"/>
      <c r="EJM196" s="84"/>
      <c r="EJN196" s="84"/>
      <c r="EJO196" s="84"/>
      <c r="EJP196" s="84"/>
      <c r="EJQ196" s="84"/>
      <c r="EJR196" s="84"/>
      <c r="EJS196" s="84"/>
      <c r="EJT196" s="84"/>
      <c r="EJU196" s="84"/>
      <c r="EJV196" s="84"/>
      <c r="EJW196" s="84"/>
      <c r="EJX196" s="84"/>
      <c r="EJY196" s="84"/>
      <c r="EJZ196" s="84"/>
      <c r="EKA196" s="84"/>
      <c r="EKB196" s="84"/>
      <c r="EKC196" s="84"/>
      <c r="EKD196" s="84"/>
      <c r="EKE196" s="84"/>
      <c r="EKF196" s="84"/>
      <c r="EKG196" s="84"/>
      <c r="EKH196" s="84"/>
      <c r="EKI196" s="84"/>
      <c r="EKJ196" s="84"/>
      <c r="EKK196" s="84"/>
      <c r="EKL196" s="84"/>
      <c r="EKM196" s="84"/>
      <c r="EKN196" s="84"/>
      <c r="EKO196" s="84"/>
      <c r="EKP196" s="84"/>
      <c r="EKQ196" s="84"/>
      <c r="EKR196" s="84"/>
      <c r="EKS196" s="84"/>
      <c r="EKT196" s="84"/>
      <c r="EKU196" s="84"/>
      <c r="EKV196" s="84"/>
      <c r="EKW196" s="84"/>
      <c r="EKX196" s="84"/>
      <c r="EKY196" s="84"/>
      <c r="EKZ196" s="84"/>
      <c r="ELA196" s="84"/>
      <c r="ELB196" s="84"/>
      <c r="ELC196" s="84"/>
      <c r="ELD196" s="84"/>
      <c r="ELE196" s="84"/>
      <c r="ELF196" s="84"/>
      <c r="ELG196" s="84"/>
      <c r="ELH196" s="84"/>
      <c r="ELI196" s="84"/>
      <c r="ELJ196" s="84"/>
      <c r="ELK196" s="84"/>
      <c r="ELL196" s="84"/>
      <c r="ELM196" s="84"/>
      <c r="ELN196" s="84"/>
      <c r="ELO196" s="84"/>
      <c r="ELP196" s="84"/>
      <c r="ELQ196" s="84"/>
      <c r="ELR196" s="84"/>
      <c r="ELS196" s="84"/>
      <c r="ELT196" s="84"/>
      <c r="ELU196" s="84"/>
      <c r="ELV196" s="84"/>
      <c r="ELW196" s="84"/>
      <c r="ELX196" s="84"/>
      <c r="ELY196" s="84"/>
      <c r="ELZ196" s="84"/>
      <c r="EMA196" s="84"/>
      <c r="EMB196" s="84"/>
      <c r="EMC196" s="84"/>
      <c r="EMD196" s="84"/>
      <c r="EME196" s="84"/>
      <c r="EMF196" s="84"/>
      <c r="EMG196" s="84"/>
      <c r="EMH196" s="84"/>
      <c r="EMI196" s="84"/>
      <c r="EMJ196" s="84"/>
      <c r="EMK196" s="84"/>
      <c r="EML196" s="84"/>
      <c r="EMM196" s="84"/>
      <c r="EMN196" s="84"/>
      <c r="EMO196" s="84"/>
      <c r="EMP196" s="84"/>
      <c r="EMQ196" s="84"/>
      <c r="EMR196" s="84"/>
      <c r="EMS196" s="84"/>
      <c r="EMT196" s="84"/>
      <c r="EMU196" s="84"/>
      <c r="EMV196" s="84"/>
      <c r="EMW196" s="84"/>
      <c r="EMX196" s="84"/>
      <c r="EMY196" s="84"/>
      <c r="EMZ196" s="84"/>
      <c r="ENA196" s="84"/>
      <c r="ENB196" s="84"/>
      <c r="ENC196" s="84"/>
      <c r="END196" s="84"/>
      <c r="ENE196" s="84"/>
      <c r="ENF196" s="84"/>
      <c r="ENG196" s="84"/>
      <c r="ENH196" s="84"/>
      <c r="ENI196" s="84"/>
      <c r="ENJ196" s="84"/>
      <c r="ENK196" s="84"/>
      <c r="ENL196" s="84"/>
      <c r="ENM196" s="84"/>
      <c r="ENN196" s="84"/>
      <c r="ENO196" s="84"/>
      <c r="ENP196" s="84"/>
      <c r="ENQ196" s="84"/>
      <c r="ENR196" s="84"/>
      <c r="ENS196" s="84"/>
      <c r="ENT196" s="84"/>
      <c r="ENU196" s="84"/>
      <c r="ENV196" s="84"/>
      <c r="ENW196" s="84"/>
      <c r="ENX196" s="84"/>
      <c r="ENY196" s="84"/>
      <c r="ENZ196" s="84"/>
      <c r="EOA196" s="84"/>
      <c r="EOB196" s="84"/>
      <c r="EOC196" s="84"/>
      <c r="EOD196" s="84"/>
      <c r="EOE196" s="84"/>
      <c r="EOF196" s="84"/>
      <c r="EOG196" s="84"/>
      <c r="EOH196" s="84"/>
      <c r="EOI196" s="84"/>
      <c r="EOJ196" s="84"/>
      <c r="EOK196" s="84"/>
      <c r="EOL196" s="84"/>
      <c r="EOM196" s="84"/>
      <c r="EON196" s="84"/>
      <c r="EOO196" s="84"/>
      <c r="EOP196" s="84"/>
      <c r="EOQ196" s="84"/>
      <c r="EOR196" s="84"/>
      <c r="EOS196" s="84"/>
      <c r="EOT196" s="84"/>
      <c r="EOU196" s="84"/>
      <c r="EOV196" s="84"/>
      <c r="EOW196" s="84"/>
      <c r="EOX196" s="84"/>
      <c r="EOY196" s="84"/>
      <c r="EOZ196" s="84"/>
      <c r="EPA196" s="84"/>
      <c r="EPB196" s="84"/>
      <c r="EPC196" s="84"/>
      <c r="EPD196" s="84"/>
      <c r="EPE196" s="84"/>
      <c r="EPF196" s="84"/>
      <c r="EPG196" s="84"/>
      <c r="EPH196" s="84"/>
      <c r="EPI196" s="84"/>
      <c r="EPJ196" s="84"/>
      <c r="EPK196" s="84"/>
      <c r="EPL196" s="84"/>
      <c r="EPM196" s="84"/>
      <c r="EPN196" s="84"/>
      <c r="EPO196" s="84"/>
      <c r="EPP196" s="84"/>
      <c r="EPQ196" s="84"/>
      <c r="EPR196" s="84"/>
      <c r="EPS196" s="84"/>
      <c r="EPT196" s="84"/>
      <c r="EPU196" s="84"/>
      <c r="EPV196" s="84"/>
      <c r="EPW196" s="84"/>
      <c r="EPX196" s="84"/>
      <c r="EPY196" s="84"/>
      <c r="EPZ196" s="84"/>
      <c r="EQA196" s="84"/>
      <c r="EQB196" s="84"/>
      <c r="EQC196" s="84"/>
      <c r="EQD196" s="84"/>
      <c r="EQE196" s="84"/>
      <c r="EQF196" s="84"/>
      <c r="EQG196" s="84"/>
      <c r="EQH196" s="84"/>
      <c r="EQI196" s="84"/>
      <c r="EQJ196" s="84"/>
      <c r="EQK196" s="84"/>
      <c r="EQL196" s="84"/>
      <c r="EQM196" s="84"/>
      <c r="EQN196" s="84"/>
      <c r="EQO196" s="84"/>
      <c r="EQP196" s="84"/>
      <c r="EQQ196" s="84"/>
      <c r="EQR196" s="84"/>
      <c r="EQS196" s="84"/>
      <c r="EQT196" s="84"/>
      <c r="EQU196" s="84"/>
      <c r="EQV196" s="84"/>
      <c r="EQW196" s="84"/>
      <c r="EQX196" s="84"/>
      <c r="EQY196" s="84"/>
      <c r="EQZ196" s="84"/>
      <c r="ERA196" s="84"/>
      <c r="ERB196" s="84"/>
      <c r="ERC196" s="84"/>
      <c r="ERD196" s="84"/>
      <c r="ERE196" s="84"/>
      <c r="ERF196" s="84"/>
      <c r="ERG196" s="84"/>
      <c r="ERH196" s="84"/>
      <c r="ERI196" s="84"/>
      <c r="ERJ196" s="84"/>
      <c r="ERK196" s="84"/>
      <c r="ERL196" s="84"/>
      <c r="ERM196" s="84"/>
      <c r="ERN196" s="84"/>
      <c r="ERO196" s="84"/>
      <c r="ERP196" s="84"/>
      <c r="ERQ196" s="84"/>
      <c r="ERR196" s="84"/>
      <c r="ERS196" s="84"/>
      <c r="ERT196" s="84"/>
      <c r="ERU196" s="84"/>
      <c r="ERV196" s="84"/>
      <c r="ERW196" s="84"/>
      <c r="ERX196" s="84"/>
      <c r="ERY196" s="84"/>
      <c r="ERZ196" s="84"/>
      <c r="ESA196" s="84"/>
      <c r="ESB196" s="84"/>
      <c r="ESC196" s="84"/>
      <c r="ESD196" s="84"/>
      <c r="ESE196" s="84"/>
      <c r="ESF196" s="84"/>
      <c r="ESG196" s="84"/>
      <c r="ESH196" s="84"/>
      <c r="ESI196" s="84"/>
      <c r="ESJ196" s="84"/>
      <c r="ESK196" s="84"/>
      <c r="ESL196" s="84"/>
      <c r="ESM196" s="84"/>
      <c r="ESN196" s="84"/>
      <c r="ESO196" s="84"/>
      <c r="ESP196" s="84"/>
      <c r="ESQ196" s="84"/>
      <c r="ESR196" s="84"/>
      <c r="ESS196" s="84"/>
      <c r="EST196" s="84"/>
      <c r="ESU196" s="84"/>
      <c r="ESV196" s="84"/>
      <c r="ESW196" s="84"/>
      <c r="ESX196" s="84"/>
      <c r="ESY196" s="84"/>
      <c r="ESZ196" s="84"/>
      <c r="ETA196" s="84"/>
      <c r="ETB196" s="84"/>
      <c r="ETC196" s="84"/>
      <c r="ETD196" s="84"/>
      <c r="ETE196" s="84"/>
      <c r="ETF196" s="84"/>
      <c r="ETG196" s="84"/>
      <c r="ETH196" s="84"/>
      <c r="ETI196" s="84"/>
      <c r="ETJ196" s="84"/>
      <c r="ETK196" s="84"/>
      <c r="ETL196" s="84"/>
      <c r="ETM196" s="84"/>
      <c r="ETN196" s="84"/>
      <c r="ETO196" s="84"/>
      <c r="ETP196" s="84"/>
      <c r="ETQ196" s="84"/>
      <c r="ETR196" s="84"/>
      <c r="ETS196" s="84"/>
      <c r="ETT196" s="84"/>
      <c r="ETU196" s="84"/>
      <c r="ETV196" s="84"/>
      <c r="ETW196" s="84"/>
      <c r="ETX196" s="84"/>
      <c r="ETY196" s="84"/>
      <c r="ETZ196" s="84"/>
      <c r="EUA196" s="84"/>
      <c r="EUB196" s="84"/>
      <c r="EUC196" s="84"/>
      <c r="EUD196" s="84"/>
      <c r="EUE196" s="84"/>
      <c r="EUF196" s="84"/>
      <c r="EUG196" s="84"/>
      <c r="EUH196" s="84"/>
      <c r="EUI196" s="84"/>
      <c r="EUJ196" s="84"/>
      <c r="EUK196" s="84"/>
      <c r="EUL196" s="84"/>
      <c r="EUM196" s="84"/>
      <c r="EUN196" s="84"/>
      <c r="EUO196" s="84"/>
      <c r="EUP196" s="84"/>
      <c r="EUQ196" s="84"/>
      <c r="EUR196" s="84"/>
      <c r="EUS196" s="84"/>
      <c r="EUT196" s="84"/>
      <c r="EUU196" s="84"/>
      <c r="EUV196" s="84"/>
      <c r="EUW196" s="84"/>
      <c r="EUX196" s="84"/>
      <c r="EUY196" s="84"/>
      <c r="EUZ196" s="84"/>
      <c r="EVA196" s="84"/>
      <c r="EVB196" s="84"/>
      <c r="EVC196" s="84"/>
      <c r="EVD196" s="84"/>
      <c r="EVE196" s="84"/>
      <c r="EVF196" s="84"/>
      <c r="EVG196" s="84"/>
      <c r="EVH196" s="84"/>
      <c r="EVI196" s="84"/>
      <c r="EVJ196" s="84"/>
      <c r="EVK196" s="84"/>
      <c r="EVL196" s="84"/>
      <c r="EVM196" s="84"/>
      <c r="EVN196" s="84"/>
      <c r="EVO196" s="84"/>
      <c r="EVP196" s="84"/>
      <c r="EVQ196" s="84"/>
      <c r="EVR196" s="84"/>
      <c r="EVS196" s="84"/>
      <c r="EVT196" s="84"/>
      <c r="EVU196" s="84"/>
      <c r="EVV196" s="84"/>
      <c r="EVW196" s="84"/>
      <c r="EVX196" s="84"/>
      <c r="EVY196" s="84"/>
      <c r="EVZ196" s="84"/>
      <c r="EWA196" s="84"/>
      <c r="EWB196" s="84"/>
      <c r="EWC196" s="84"/>
      <c r="EWD196" s="84"/>
      <c r="EWE196" s="84"/>
      <c r="EWF196" s="84"/>
      <c r="EWG196" s="84"/>
      <c r="EWH196" s="84"/>
      <c r="EWI196" s="84"/>
      <c r="EWJ196" s="84"/>
      <c r="EWK196" s="84"/>
      <c r="EWL196" s="84"/>
      <c r="EWM196" s="84"/>
      <c r="EWN196" s="84"/>
      <c r="EWO196" s="84"/>
      <c r="EWP196" s="84"/>
      <c r="EWQ196" s="84"/>
      <c r="EWR196" s="84"/>
      <c r="EWS196" s="84"/>
      <c r="EWT196" s="84"/>
      <c r="EWU196" s="84"/>
      <c r="EWV196" s="84"/>
      <c r="EWW196" s="84"/>
      <c r="EWX196" s="84"/>
      <c r="EWY196" s="84"/>
      <c r="EWZ196" s="84"/>
      <c r="EXA196" s="84"/>
      <c r="EXB196" s="84"/>
      <c r="EXC196" s="84"/>
      <c r="EXD196" s="84"/>
      <c r="EXE196" s="84"/>
      <c r="EXF196" s="84"/>
      <c r="EXG196" s="84"/>
      <c r="EXH196" s="84"/>
      <c r="EXI196" s="84"/>
      <c r="EXJ196" s="84"/>
      <c r="EXK196" s="84"/>
      <c r="EXL196" s="84"/>
      <c r="EXM196" s="84"/>
      <c r="EXN196" s="84"/>
      <c r="EXO196" s="84"/>
      <c r="EXP196" s="84"/>
      <c r="EXQ196" s="84"/>
      <c r="EXR196" s="84"/>
      <c r="EXS196" s="84"/>
      <c r="EXT196" s="84"/>
      <c r="EXU196" s="84"/>
      <c r="EXV196" s="84"/>
      <c r="EXW196" s="84"/>
      <c r="EXX196" s="84"/>
      <c r="EXY196" s="84"/>
      <c r="EXZ196" s="84"/>
      <c r="EYA196" s="84"/>
      <c r="EYB196" s="84"/>
      <c r="EYC196" s="84"/>
      <c r="EYD196" s="84"/>
      <c r="EYE196" s="84"/>
      <c r="EYF196" s="84"/>
      <c r="EYG196" s="84"/>
      <c r="EYH196" s="84"/>
      <c r="EYI196" s="84"/>
      <c r="EYJ196" s="84"/>
      <c r="EYK196" s="84"/>
      <c r="EYL196" s="84"/>
      <c r="EYM196" s="84"/>
      <c r="EYN196" s="84"/>
      <c r="EYO196" s="84"/>
      <c r="EYP196" s="84"/>
      <c r="EYQ196" s="84"/>
      <c r="EYR196" s="84"/>
      <c r="EYS196" s="84"/>
      <c r="EYT196" s="84"/>
      <c r="EYU196" s="84"/>
      <c r="EYV196" s="84"/>
      <c r="EYW196" s="84"/>
      <c r="EYX196" s="84"/>
      <c r="EYY196" s="84"/>
      <c r="EYZ196" s="84"/>
      <c r="EZA196" s="84"/>
      <c r="EZB196" s="84"/>
      <c r="EZC196" s="84"/>
      <c r="EZD196" s="84"/>
      <c r="EZE196" s="84"/>
      <c r="EZF196" s="84"/>
      <c r="EZG196" s="84"/>
      <c r="EZH196" s="84"/>
      <c r="EZI196" s="84"/>
      <c r="EZJ196" s="84"/>
      <c r="EZK196" s="84"/>
      <c r="EZL196" s="84"/>
      <c r="EZM196" s="84"/>
      <c r="EZN196" s="84"/>
      <c r="EZO196" s="84"/>
      <c r="EZP196" s="84"/>
      <c r="EZQ196" s="84"/>
      <c r="EZR196" s="84"/>
      <c r="EZS196" s="84"/>
      <c r="EZT196" s="84"/>
      <c r="EZU196" s="84"/>
      <c r="EZV196" s="84"/>
      <c r="EZW196" s="84"/>
      <c r="EZX196" s="84"/>
      <c r="EZY196" s="84"/>
      <c r="EZZ196" s="84"/>
      <c r="FAA196" s="84"/>
      <c r="FAB196" s="84"/>
      <c r="FAC196" s="84"/>
      <c r="FAD196" s="84"/>
      <c r="FAE196" s="84"/>
      <c r="FAF196" s="84"/>
      <c r="FAG196" s="84"/>
      <c r="FAH196" s="84"/>
      <c r="FAI196" s="84"/>
      <c r="FAJ196" s="84"/>
      <c r="FAK196" s="84"/>
      <c r="FAL196" s="84"/>
      <c r="FAM196" s="84"/>
      <c r="FAN196" s="84"/>
      <c r="FAO196" s="84"/>
      <c r="FAP196" s="84"/>
      <c r="FAQ196" s="84"/>
      <c r="FAR196" s="84"/>
      <c r="FAS196" s="84"/>
      <c r="FAT196" s="84"/>
      <c r="FAU196" s="84"/>
      <c r="FAV196" s="84"/>
      <c r="FAW196" s="84"/>
      <c r="FAX196" s="84"/>
      <c r="FAY196" s="84"/>
      <c r="FAZ196" s="84"/>
      <c r="FBA196" s="84"/>
      <c r="FBB196" s="84"/>
      <c r="FBC196" s="84"/>
      <c r="FBD196" s="84"/>
      <c r="FBE196" s="84"/>
      <c r="FBF196" s="84"/>
      <c r="FBG196" s="84"/>
      <c r="FBH196" s="84"/>
      <c r="FBI196" s="84"/>
      <c r="FBJ196" s="84"/>
      <c r="FBK196" s="84"/>
      <c r="FBL196" s="84"/>
      <c r="FBM196" s="84"/>
      <c r="FBN196" s="84"/>
      <c r="FBO196" s="84"/>
      <c r="FBP196" s="84"/>
      <c r="FBQ196" s="84"/>
      <c r="FBR196" s="84"/>
      <c r="FBS196" s="84"/>
      <c r="FBT196" s="84"/>
      <c r="FBU196" s="84"/>
      <c r="FBV196" s="84"/>
      <c r="FBW196" s="84"/>
      <c r="FBX196" s="84"/>
      <c r="FBY196" s="84"/>
      <c r="FBZ196" s="84"/>
      <c r="FCA196" s="84"/>
      <c r="FCB196" s="84"/>
      <c r="FCC196" s="84"/>
      <c r="FCD196" s="84"/>
      <c r="FCE196" s="84"/>
      <c r="FCF196" s="84"/>
      <c r="FCG196" s="84"/>
      <c r="FCH196" s="84"/>
      <c r="FCI196" s="84"/>
      <c r="FCJ196" s="84"/>
      <c r="FCK196" s="84"/>
      <c r="FCL196" s="84"/>
      <c r="FCM196" s="84"/>
      <c r="FCN196" s="84"/>
      <c r="FCO196" s="84"/>
      <c r="FCP196" s="84"/>
      <c r="FCQ196" s="84"/>
      <c r="FCR196" s="84"/>
      <c r="FCS196" s="84"/>
      <c r="FCT196" s="84"/>
      <c r="FCU196" s="84"/>
      <c r="FCV196" s="84"/>
      <c r="FCW196" s="84"/>
      <c r="FCX196" s="84"/>
      <c r="FCY196" s="84"/>
      <c r="FCZ196" s="84"/>
      <c r="FDA196" s="84"/>
      <c r="FDB196" s="84"/>
      <c r="FDC196" s="84"/>
      <c r="FDD196" s="84"/>
      <c r="FDE196" s="84"/>
      <c r="FDF196" s="84"/>
      <c r="FDG196" s="84"/>
      <c r="FDH196" s="84"/>
      <c r="FDI196" s="84"/>
      <c r="FDJ196" s="84"/>
      <c r="FDK196" s="84"/>
      <c r="FDL196" s="84"/>
      <c r="FDM196" s="84"/>
      <c r="FDN196" s="84"/>
      <c r="FDO196" s="84"/>
      <c r="FDP196" s="84"/>
      <c r="FDQ196" s="84"/>
      <c r="FDR196" s="84"/>
      <c r="FDS196" s="84"/>
      <c r="FDT196" s="84"/>
      <c r="FDU196" s="84"/>
      <c r="FDV196" s="84"/>
      <c r="FDW196" s="84"/>
      <c r="FDX196" s="84"/>
      <c r="FDY196" s="84"/>
      <c r="FDZ196" s="84"/>
      <c r="FEA196" s="84"/>
      <c r="FEB196" s="84"/>
      <c r="FEC196" s="84"/>
      <c r="FED196" s="84"/>
      <c r="FEE196" s="84"/>
      <c r="FEF196" s="84"/>
      <c r="FEG196" s="84"/>
      <c r="FEH196" s="84"/>
      <c r="FEI196" s="84"/>
      <c r="FEJ196" s="84"/>
      <c r="FEK196" s="84"/>
      <c r="FEL196" s="84"/>
      <c r="FEM196" s="84"/>
      <c r="FEN196" s="84"/>
      <c r="FEO196" s="84"/>
      <c r="FEP196" s="84"/>
      <c r="FEQ196" s="84"/>
      <c r="FER196" s="84"/>
      <c r="FES196" s="84"/>
      <c r="FET196" s="84"/>
      <c r="FEU196" s="84"/>
      <c r="FEV196" s="84"/>
      <c r="FEW196" s="84"/>
      <c r="FEX196" s="84"/>
      <c r="FEY196" s="84"/>
      <c r="FEZ196" s="84"/>
      <c r="FFA196" s="84"/>
      <c r="FFB196" s="84"/>
      <c r="FFC196" s="84"/>
      <c r="FFD196" s="84"/>
      <c r="FFE196" s="84"/>
      <c r="FFF196" s="84"/>
      <c r="FFG196" s="84"/>
      <c r="FFH196" s="84"/>
      <c r="FFI196" s="84"/>
      <c r="FFJ196" s="84"/>
      <c r="FFK196" s="84"/>
      <c r="FFL196" s="84"/>
      <c r="FFM196" s="84"/>
      <c r="FFN196" s="84"/>
      <c r="FFO196" s="84"/>
      <c r="FFP196" s="84"/>
      <c r="FFQ196" s="84"/>
      <c r="FFR196" s="84"/>
      <c r="FFS196" s="84"/>
      <c r="FFT196" s="84"/>
      <c r="FFU196" s="84"/>
      <c r="FFV196" s="84"/>
      <c r="FFW196" s="84"/>
      <c r="FFX196" s="84"/>
      <c r="FFY196" s="84"/>
      <c r="FFZ196" s="84"/>
      <c r="FGA196" s="84"/>
      <c r="FGB196" s="84"/>
      <c r="FGC196" s="84"/>
      <c r="FGD196" s="84"/>
      <c r="FGE196" s="84"/>
      <c r="FGF196" s="84"/>
      <c r="FGG196" s="84"/>
      <c r="FGH196" s="84"/>
      <c r="FGI196" s="84"/>
      <c r="FGJ196" s="84"/>
      <c r="FGK196" s="84"/>
      <c r="FGL196" s="84"/>
      <c r="FGM196" s="84"/>
      <c r="FGN196" s="84"/>
      <c r="FGO196" s="84"/>
      <c r="FGP196" s="84"/>
      <c r="FGQ196" s="84"/>
      <c r="FGR196" s="84"/>
      <c r="FGS196" s="84"/>
      <c r="FGT196" s="84"/>
      <c r="FGU196" s="84"/>
      <c r="FGV196" s="84"/>
      <c r="FGW196" s="84"/>
      <c r="FGX196" s="84"/>
      <c r="FGY196" s="84"/>
      <c r="FGZ196" s="84"/>
      <c r="FHA196" s="84"/>
      <c r="FHB196" s="84"/>
      <c r="FHC196" s="84"/>
      <c r="FHD196" s="84"/>
      <c r="FHE196" s="84"/>
      <c r="FHF196" s="84"/>
      <c r="FHG196" s="84"/>
      <c r="FHH196" s="84"/>
      <c r="FHI196" s="84"/>
      <c r="FHJ196" s="84"/>
      <c r="FHK196" s="84"/>
      <c r="FHL196" s="84"/>
      <c r="FHM196" s="84"/>
      <c r="FHN196" s="84"/>
      <c r="FHO196" s="84"/>
      <c r="FHP196" s="84"/>
      <c r="FHQ196" s="84"/>
      <c r="FHR196" s="84"/>
      <c r="FHS196" s="84"/>
      <c r="FHT196" s="84"/>
      <c r="FHU196" s="84"/>
      <c r="FHV196" s="84"/>
      <c r="FHW196" s="84"/>
      <c r="FHX196" s="84"/>
      <c r="FHY196" s="84"/>
      <c r="FHZ196" s="84"/>
      <c r="FIA196" s="84"/>
      <c r="FIB196" s="84"/>
      <c r="FIC196" s="84"/>
      <c r="FID196" s="84"/>
      <c r="FIE196" s="84"/>
      <c r="FIF196" s="84"/>
      <c r="FIG196" s="84"/>
      <c r="FIH196" s="84"/>
      <c r="FII196" s="84"/>
      <c r="FIJ196" s="84"/>
      <c r="FIK196" s="84"/>
      <c r="FIL196" s="84"/>
      <c r="FIM196" s="84"/>
      <c r="FIN196" s="84"/>
      <c r="FIO196" s="84"/>
      <c r="FIP196" s="84"/>
      <c r="FIQ196" s="84"/>
      <c r="FIR196" s="84"/>
      <c r="FIS196" s="84"/>
      <c r="FIT196" s="84"/>
      <c r="FIU196" s="84"/>
      <c r="FIV196" s="84"/>
      <c r="FIW196" s="84"/>
      <c r="FIX196" s="84"/>
      <c r="FIY196" s="84"/>
      <c r="FIZ196" s="84"/>
      <c r="FJA196" s="84"/>
      <c r="FJB196" s="84"/>
      <c r="FJC196" s="84"/>
      <c r="FJD196" s="84"/>
      <c r="FJE196" s="84"/>
      <c r="FJF196" s="84"/>
      <c r="FJG196" s="84"/>
      <c r="FJH196" s="84"/>
      <c r="FJI196" s="84"/>
      <c r="FJJ196" s="84"/>
      <c r="FJK196" s="84"/>
      <c r="FJL196" s="84"/>
      <c r="FJM196" s="84"/>
      <c r="FJN196" s="84"/>
      <c r="FJO196" s="84"/>
      <c r="FJP196" s="84"/>
      <c r="FJQ196" s="84"/>
      <c r="FJR196" s="84"/>
      <c r="FJS196" s="84"/>
      <c r="FJT196" s="84"/>
      <c r="FJU196" s="84"/>
      <c r="FJV196" s="84"/>
      <c r="FJW196" s="84"/>
      <c r="FJX196" s="84"/>
      <c r="FJY196" s="84"/>
      <c r="FJZ196" s="84"/>
      <c r="FKA196" s="84"/>
      <c r="FKB196" s="84"/>
      <c r="FKC196" s="84"/>
      <c r="FKD196" s="84"/>
      <c r="FKE196" s="84"/>
      <c r="FKF196" s="84"/>
      <c r="FKG196" s="84"/>
      <c r="FKH196" s="84"/>
      <c r="FKI196" s="84"/>
      <c r="FKJ196" s="84"/>
      <c r="FKK196" s="84"/>
      <c r="FKL196" s="84"/>
      <c r="FKM196" s="84"/>
      <c r="FKN196" s="84"/>
      <c r="FKO196" s="84"/>
      <c r="FKP196" s="84"/>
      <c r="FKQ196" s="84"/>
      <c r="FKR196" s="84"/>
      <c r="FKS196" s="84"/>
      <c r="FKT196" s="84"/>
      <c r="FKU196" s="84"/>
      <c r="FKV196" s="84"/>
      <c r="FKW196" s="84"/>
      <c r="FKX196" s="84"/>
      <c r="FKY196" s="84"/>
      <c r="FKZ196" s="84"/>
      <c r="FLA196" s="84"/>
      <c r="FLB196" s="84"/>
      <c r="FLC196" s="84"/>
      <c r="FLD196" s="84"/>
      <c r="FLE196" s="84"/>
      <c r="FLF196" s="84"/>
      <c r="FLG196" s="84"/>
      <c r="FLH196" s="84"/>
      <c r="FLI196" s="84"/>
      <c r="FLJ196" s="84"/>
      <c r="FLK196" s="84"/>
      <c r="FLL196" s="84"/>
      <c r="FLM196" s="84"/>
      <c r="FLN196" s="84"/>
      <c r="FLO196" s="84"/>
      <c r="FLP196" s="84"/>
      <c r="FLQ196" s="84"/>
      <c r="FLR196" s="84"/>
      <c r="FLS196" s="84"/>
      <c r="FLT196" s="84"/>
      <c r="FLU196" s="84"/>
      <c r="FLV196" s="84"/>
      <c r="FLW196" s="84"/>
      <c r="FLX196" s="84"/>
      <c r="FLY196" s="84"/>
      <c r="FLZ196" s="84"/>
      <c r="FMA196" s="84"/>
      <c r="FMB196" s="84"/>
      <c r="FMC196" s="84"/>
      <c r="FMD196" s="84"/>
      <c r="FME196" s="84"/>
      <c r="FMF196" s="84"/>
      <c r="FMG196" s="84"/>
      <c r="FMH196" s="84"/>
      <c r="FMI196" s="84"/>
      <c r="FMJ196" s="84"/>
      <c r="FMK196" s="84"/>
      <c r="FML196" s="84"/>
      <c r="FMM196" s="84"/>
      <c r="FMN196" s="84"/>
      <c r="FMO196" s="84"/>
      <c r="FMP196" s="84"/>
      <c r="FMQ196" s="84"/>
      <c r="FMR196" s="84"/>
      <c r="FMS196" s="84"/>
      <c r="FMT196" s="84"/>
      <c r="FMU196" s="84"/>
      <c r="FMV196" s="84"/>
      <c r="FMW196" s="84"/>
      <c r="FMX196" s="84"/>
      <c r="FMY196" s="84"/>
      <c r="FMZ196" s="84"/>
      <c r="FNA196" s="84"/>
      <c r="FNB196" s="84"/>
      <c r="FNC196" s="84"/>
      <c r="FND196" s="84"/>
      <c r="FNE196" s="84"/>
      <c r="FNF196" s="84"/>
      <c r="FNG196" s="84"/>
      <c r="FNH196" s="84"/>
      <c r="FNI196" s="84"/>
      <c r="FNJ196" s="84"/>
      <c r="FNK196" s="84"/>
      <c r="FNL196" s="84"/>
      <c r="FNM196" s="84"/>
      <c r="FNN196" s="84"/>
      <c r="FNO196" s="84"/>
      <c r="FNP196" s="84"/>
      <c r="FNQ196" s="84"/>
      <c r="FNR196" s="84"/>
      <c r="FNS196" s="84"/>
      <c r="FNT196" s="84"/>
      <c r="FNU196" s="84"/>
      <c r="FNV196" s="84"/>
      <c r="FNW196" s="84"/>
      <c r="FNX196" s="84"/>
      <c r="FNY196" s="84"/>
      <c r="FNZ196" s="84"/>
      <c r="FOA196" s="84"/>
      <c r="FOB196" s="84"/>
      <c r="FOC196" s="84"/>
      <c r="FOD196" s="84"/>
      <c r="FOE196" s="84"/>
      <c r="FOF196" s="84"/>
      <c r="FOG196" s="84"/>
      <c r="FOH196" s="84"/>
      <c r="FOI196" s="84"/>
      <c r="FOJ196" s="84"/>
      <c r="FOK196" s="84"/>
      <c r="FOL196" s="84"/>
      <c r="FOM196" s="84"/>
      <c r="FON196" s="84"/>
      <c r="FOO196" s="84"/>
      <c r="FOP196" s="84"/>
      <c r="FOQ196" s="84"/>
      <c r="FOR196" s="84"/>
      <c r="FOS196" s="84"/>
      <c r="FOT196" s="84"/>
      <c r="FOU196" s="84"/>
      <c r="FOV196" s="84"/>
      <c r="FOW196" s="84"/>
      <c r="FOX196" s="84"/>
      <c r="FOY196" s="84"/>
      <c r="FOZ196" s="84"/>
      <c r="FPA196" s="84"/>
      <c r="FPB196" s="84"/>
      <c r="FPC196" s="84"/>
      <c r="FPD196" s="84"/>
      <c r="FPE196" s="84"/>
      <c r="FPF196" s="84"/>
      <c r="FPG196" s="84"/>
      <c r="FPH196" s="84"/>
      <c r="FPI196" s="84"/>
      <c r="FPJ196" s="84"/>
      <c r="FPK196" s="84"/>
      <c r="FPL196" s="84"/>
      <c r="FPM196" s="84"/>
      <c r="FPN196" s="84"/>
      <c r="FPO196" s="84"/>
      <c r="FPP196" s="84"/>
      <c r="FPQ196" s="84"/>
      <c r="FPR196" s="84"/>
      <c r="FPS196" s="84"/>
      <c r="FPT196" s="84"/>
      <c r="FPU196" s="84"/>
      <c r="FPV196" s="84"/>
      <c r="FPW196" s="84"/>
      <c r="FPX196" s="84"/>
      <c r="FPY196" s="84"/>
      <c r="FPZ196" s="84"/>
      <c r="FQA196" s="84"/>
      <c r="FQB196" s="84"/>
      <c r="FQC196" s="84"/>
      <c r="FQD196" s="84"/>
      <c r="FQE196" s="84"/>
      <c r="FQF196" s="84"/>
      <c r="FQG196" s="84"/>
      <c r="FQH196" s="84"/>
      <c r="FQI196" s="84"/>
      <c r="FQJ196" s="84"/>
      <c r="FQK196" s="84"/>
      <c r="FQL196" s="84"/>
      <c r="FQM196" s="84"/>
      <c r="FQN196" s="84"/>
      <c r="FQO196" s="84"/>
      <c r="FQP196" s="84"/>
      <c r="FQQ196" s="84"/>
      <c r="FQR196" s="84"/>
      <c r="FQS196" s="84"/>
      <c r="FQT196" s="84"/>
      <c r="FQU196" s="84"/>
      <c r="FQV196" s="84"/>
      <c r="FQW196" s="84"/>
      <c r="FQX196" s="84"/>
      <c r="FQY196" s="84"/>
      <c r="FQZ196" s="84"/>
      <c r="FRA196" s="84"/>
      <c r="FRB196" s="84"/>
      <c r="FRC196" s="84"/>
      <c r="FRD196" s="84"/>
      <c r="FRE196" s="84"/>
      <c r="FRF196" s="84"/>
      <c r="FRG196" s="84"/>
      <c r="FRH196" s="84"/>
      <c r="FRI196" s="84"/>
      <c r="FRJ196" s="84"/>
      <c r="FRK196" s="84"/>
      <c r="FRL196" s="84"/>
      <c r="FRM196" s="84"/>
      <c r="FRN196" s="84"/>
      <c r="FRO196" s="84"/>
      <c r="FRP196" s="84"/>
      <c r="FRQ196" s="84"/>
      <c r="FRR196" s="84"/>
      <c r="FRS196" s="84"/>
      <c r="FRT196" s="84"/>
      <c r="FRU196" s="84"/>
      <c r="FRV196" s="84"/>
      <c r="FRW196" s="84"/>
      <c r="FRX196" s="84"/>
      <c r="FRY196" s="84"/>
      <c r="FRZ196" s="84"/>
      <c r="FSA196" s="84"/>
      <c r="FSB196" s="84"/>
      <c r="FSC196" s="84"/>
      <c r="FSD196" s="84"/>
      <c r="FSE196" s="84"/>
      <c r="FSF196" s="84"/>
      <c r="FSG196" s="84"/>
      <c r="FSH196" s="84"/>
      <c r="FSI196" s="84"/>
      <c r="FSJ196" s="84"/>
      <c r="FSK196" s="84"/>
      <c r="FSL196" s="84"/>
      <c r="FSM196" s="84"/>
      <c r="FSN196" s="84"/>
      <c r="FSO196" s="84"/>
      <c r="FSP196" s="84"/>
      <c r="FSQ196" s="84"/>
      <c r="FSR196" s="84"/>
      <c r="FSS196" s="84"/>
      <c r="FST196" s="84"/>
      <c r="FSU196" s="84"/>
      <c r="FSV196" s="84"/>
      <c r="FSW196" s="84"/>
      <c r="FSX196" s="84"/>
      <c r="FSY196" s="84"/>
      <c r="FSZ196" s="84"/>
      <c r="FTA196" s="84"/>
      <c r="FTB196" s="84"/>
      <c r="FTC196" s="84"/>
      <c r="FTD196" s="84"/>
      <c r="FTE196" s="84"/>
      <c r="FTF196" s="84"/>
      <c r="FTG196" s="84"/>
      <c r="FTH196" s="84"/>
      <c r="FTI196" s="84"/>
      <c r="FTJ196" s="84"/>
      <c r="FTK196" s="84"/>
      <c r="FTL196" s="84"/>
      <c r="FTM196" s="84"/>
      <c r="FTN196" s="84"/>
      <c r="FTO196" s="84"/>
      <c r="FTP196" s="84"/>
      <c r="FTQ196" s="84"/>
      <c r="FTR196" s="84"/>
      <c r="FTS196" s="84"/>
      <c r="FTT196" s="84"/>
      <c r="FTU196" s="84"/>
      <c r="FTV196" s="84"/>
      <c r="FTW196" s="84"/>
      <c r="FTX196" s="84"/>
      <c r="FTY196" s="84"/>
      <c r="FTZ196" s="84"/>
      <c r="FUA196" s="84"/>
      <c r="FUB196" s="84"/>
      <c r="FUC196" s="84"/>
      <c r="FUD196" s="84"/>
      <c r="FUE196" s="84"/>
      <c r="FUF196" s="84"/>
      <c r="FUG196" s="84"/>
      <c r="FUH196" s="84"/>
      <c r="FUI196" s="84"/>
      <c r="FUJ196" s="84"/>
      <c r="FUK196" s="84"/>
      <c r="FUL196" s="84"/>
      <c r="FUM196" s="84"/>
      <c r="FUN196" s="84"/>
      <c r="FUO196" s="84"/>
      <c r="FUP196" s="84"/>
      <c r="FUQ196" s="84"/>
      <c r="FUR196" s="84"/>
      <c r="FUS196" s="84"/>
      <c r="FUT196" s="84"/>
      <c r="FUU196" s="84"/>
      <c r="FUV196" s="84"/>
      <c r="FUW196" s="84"/>
      <c r="FUX196" s="84"/>
      <c r="FUY196" s="84"/>
      <c r="FUZ196" s="84"/>
      <c r="FVA196" s="84"/>
      <c r="FVB196" s="84"/>
      <c r="FVC196" s="84"/>
      <c r="FVD196" s="84"/>
      <c r="FVE196" s="84"/>
      <c r="FVF196" s="84"/>
      <c r="FVG196" s="84"/>
      <c r="FVH196" s="84"/>
      <c r="FVI196" s="84"/>
      <c r="FVJ196" s="84"/>
      <c r="FVK196" s="84"/>
      <c r="FVL196" s="84"/>
      <c r="FVM196" s="84"/>
      <c r="FVN196" s="84"/>
      <c r="FVO196" s="84"/>
      <c r="FVP196" s="84"/>
      <c r="FVQ196" s="84"/>
      <c r="FVR196" s="84"/>
      <c r="FVS196" s="84"/>
      <c r="FVT196" s="84"/>
      <c r="FVU196" s="84"/>
      <c r="FVV196" s="84"/>
      <c r="FVW196" s="84"/>
      <c r="FVX196" s="84"/>
      <c r="FVY196" s="84"/>
      <c r="FVZ196" s="84"/>
      <c r="FWA196" s="84"/>
      <c r="FWB196" s="84"/>
      <c r="FWC196" s="84"/>
      <c r="FWD196" s="84"/>
      <c r="FWE196" s="84"/>
      <c r="FWF196" s="84"/>
      <c r="FWG196" s="84"/>
      <c r="FWH196" s="84"/>
      <c r="FWI196" s="84"/>
      <c r="FWJ196" s="84"/>
      <c r="FWK196" s="84"/>
      <c r="FWL196" s="84"/>
      <c r="FWM196" s="84"/>
      <c r="FWN196" s="84"/>
      <c r="FWO196" s="84"/>
      <c r="FWP196" s="84"/>
      <c r="FWQ196" s="84"/>
      <c r="FWR196" s="84"/>
      <c r="FWS196" s="84"/>
      <c r="FWT196" s="84"/>
      <c r="FWU196" s="84"/>
      <c r="FWV196" s="84"/>
      <c r="FWW196" s="84"/>
      <c r="FWX196" s="84"/>
      <c r="FWY196" s="84"/>
      <c r="FWZ196" s="84"/>
      <c r="FXA196" s="84"/>
      <c r="FXB196" s="84"/>
      <c r="FXC196" s="84"/>
      <c r="FXD196" s="84"/>
      <c r="FXE196" s="84"/>
      <c r="FXF196" s="84"/>
      <c r="FXG196" s="84"/>
      <c r="FXH196" s="84"/>
      <c r="FXI196" s="84"/>
      <c r="FXJ196" s="84"/>
      <c r="FXK196" s="84"/>
      <c r="FXL196" s="84"/>
      <c r="FXM196" s="84"/>
      <c r="FXN196" s="84"/>
      <c r="FXO196" s="84"/>
      <c r="FXP196" s="84"/>
      <c r="FXQ196" s="84"/>
      <c r="FXR196" s="84"/>
      <c r="FXS196" s="84"/>
      <c r="FXT196" s="84"/>
      <c r="FXU196" s="84"/>
      <c r="FXV196" s="84"/>
      <c r="FXW196" s="84"/>
      <c r="FXX196" s="84"/>
      <c r="FXY196" s="84"/>
      <c r="FXZ196" s="84"/>
      <c r="FYA196" s="84"/>
      <c r="FYB196" s="84"/>
      <c r="FYC196" s="84"/>
      <c r="FYD196" s="84"/>
      <c r="FYE196" s="84"/>
      <c r="FYF196" s="84"/>
      <c r="FYG196" s="84"/>
      <c r="FYH196" s="84"/>
      <c r="FYI196" s="84"/>
      <c r="FYJ196" s="84"/>
      <c r="FYK196" s="84"/>
      <c r="FYL196" s="84"/>
      <c r="FYM196" s="84"/>
      <c r="FYN196" s="84"/>
      <c r="FYO196" s="84"/>
      <c r="FYP196" s="84"/>
      <c r="FYQ196" s="84"/>
      <c r="FYR196" s="84"/>
      <c r="FYS196" s="84"/>
      <c r="FYT196" s="84"/>
      <c r="FYU196" s="84"/>
      <c r="FYV196" s="84"/>
      <c r="FYW196" s="84"/>
      <c r="FYX196" s="84"/>
      <c r="FYY196" s="84"/>
      <c r="FYZ196" s="84"/>
      <c r="FZA196" s="84"/>
      <c r="FZB196" s="84"/>
      <c r="FZC196" s="84"/>
      <c r="FZD196" s="84"/>
      <c r="FZE196" s="84"/>
      <c r="FZF196" s="84"/>
      <c r="FZG196" s="84"/>
      <c r="FZH196" s="84"/>
      <c r="FZI196" s="84"/>
      <c r="FZJ196" s="84"/>
      <c r="FZK196" s="84"/>
      <c r="FZL196" s="84"/>
      <c r="FZM196" s="84"/>
      <c r="FZN196" s="84"/>
      <c r="FZO196" s="84"/>
      <c r="FZP196" s="84"/>
      <c r="FZQ196" s="84"/>
      <c r="FZR196" s="84"/>
      <c r="FZS196" s="84"/>
      <c r="FZT196" s="84"/>
      <c r="FZU196" s="84"/>
      <c r="FZV196" s="84"/>
      <c r="FZW196" s="84"/>
      <c r="FZX196" s="84"/>
      <c r="FZY196" s="84"/>
      <c r="FZZ196" s="84"/>
      <c r="GAA196" s="84"/>
      <c r="GAB196" s="84"/>
      <c r="GAC196" s="84"/>
      <c r="GAD196" s="84"/>
      <c r="GAE196" s="84"/>
      <c r="GAF196" s="84"/>
      <c r="GAG196" s="84"/>
      <c r="GAH196" s="84"/>
      <c r="GAI196" s="84"/>
      <c r="GAJ196" s="84"/>
      <c r="GAK196" s="84"/>
      <c r="GAL196" s="84"/>
      <c r="GAM196" s="84"/>
      <c r="GAN196" s="84"/>
      <c r="GAO196" s="84"/>
      <c r="GAP196" s="84"/>
      <c r="GAQ196" s="84"/>
      <c r="GAR196" s="84"/>
      <c r="GAS196" s="84"/>
      <c r="GAT196" s="84"/>
      <c r="GAU196" s="84"/>
      <c r="GAV196" s="84"/>
      <c r="GAW196" s="84"/>
      <c r="GAX196" s="84"/>
      <c r="GAY196" s="84"/>
      <c r="GAZ196" s="84"/>
      <c r="GBA196" s="84"/>
      <c r="GBB196" s="84"/>
      <c r="GBC196" s="84"/>
      <c r="GBD196" s="84"/>
      <c r="GBE196" s="84"/>
      <c r="GBF196" s="84"/>
      <c r="GBG196" s="84"/>
      <c r="GBH196" s="84"/>
      <c r="GBI196" s="84"/>
      <c r="GBJ196" s="84"/>
      <c r="GBK196" s="84"/>
      <c r="GBL196" s="84"/>
      <c r="GBM196" s="84"/>
      <c r="GBN196" s="84"/>
      <c r="GBO196" s="84"/>
      <c r="GBP196" s="84"/>
      <c r="GBQ196" s="84"/>
      <c r="GBR196" s="84"/>
      <c r="GBS196" s="84"/>
      <c r="GBT196" s="84"/>
      <c r="GBU196" s="84"/>
      <c r="GBV196" s="84"/>
      <c r="GBW196" s="84"/>
      <c r="GBX196" s="84"/>
      <c r="GBY196" s="84"/>
      <c r="GBZ196" s="84"/>
      <c r="GCA196" s="84"/>
      <c r="GCB196" s="84"/>
      <c r="GCC196" s="84"/>
      <c r="GCD196" s="84"/>
      <c r="GCE196" s="84"/>
      <c r="GCF196" s="84"/>
      <c r="GCG196" s="84"/>
      <c r="GCH196" s="84"/>
      <c r="GCI196" s="84"/>
      <c r="GCJ196" s="84"/>
      <c r="GCK196" s="84"/>
      <c r="GCL196" s="84"/>
      <c r="GCM196" s="84"/>
      <c r="GCN196" s="84"/>
      <c r="GCO196" s="84"/>
      <c r="GCP196" s="84"/>
      <c r="GCQ196" s="84"/>
      <c r="GCR196" s="84"/>
      <c r="GCS196" s="84"/>
      <c r="GCT196" s="84"/>
      <c r="GCU196" s="84"/>
      <c r="GCV196" s="84"/>
      <c r="GCW196" s="84"/>
      <c r="GCX196" s="84"/>
      <c r="GCY196" s="84"/>
      <c r="GCZ196" s="84"/>
      <c r="GDA196" s="84"/>
      <c r="GDB196" s="84"/>
      <c r="GDC196" s="84"/>
      <c r="GDD196" s="84"/>
      <c r="GDE196" s="84"/>
      <c r="GDF196" s="84"/>
      <c r="GDG196" s="84"/>
      <c r="GDH196" s="84"/>
      <c r="GDI196" s="84"/>
      <c r="GDJ196" s="84"/>
      <c r="GDK196" s="84"/>
      <c r="GDL196" s="84"/>
      <c r="GDM196" s="84"/>
      <c r="GDN196" s="84"/>
      <c r="GDO196" s="84"/>
      <c r="GDP196" s="84"/>
      <c r="GDQ196" s="84"/>
      <c r="GDR196" s="84"/>
      <c r="GDS196" s="84"/>
      <c r="GDT196" s="84"/>
      <c r="GDU196" s="84"/>
      <c r="GDV196" s="84"/>
      <c r="GDW196" s="84"/>
      <c r="GDX196" s="84"/>
      <c r="GDY196" s="84"/>
      <c r="GDZ196" s="84"/>
      <c r="GEA196" s="84"/>
      <c r="GEB196" s="84"/>
      <c r="GEC196" s="84"/>
      <c r="GED196" s="84"/>
      <c r="GEE196" s="84"/>
      <c r="GEF196" s="84"/>
      <c r="GEG196" s="84"/>
      <c r="GEH196" s="84"/>
      <c r="GEI196" s="84"/>
      <c r="GEJ196" s="84"/>
      <c r="GEK196" s="84"/>
      <c r="GEL196" s="84"/>
      <c r="GEM196" s="84"/>
      <c r="GEN196" s="84"/>
      <c r="GEO196" s="84"/>
      <c r="GEP196" s="84"/>
      <c r="GEQ196" s="84"/>
      <c r="GER196" s="84"/>
      <c r="GES196" s="84"/>
      <c r="GET196" s="84"/>
      <c r="GEU196" s="84"/>
      <c r="GEV196" s="84"/>
      <c r="GEW196" s="84"/>
      <c r="GEX196" s="84"/>
      <c r="GEY196" s="84"/>
      <c r="GEZ196" s="84"/>
      <c r="GFA196" s="84"/>
      <c r="GFB196" s="84"/>
      <c r="GFC196" s="84"/>
      <c r="GFD196" s="84"/>
      <c r="GFE196" s="84"/>
      <c r="GFF196" s="84"/>
      <c r="GFG196" s="84"/>
      <c r="GFH196" s="84"/>
      <c r="GFI196" s="84"/>
      <c r="GFJ196" s="84"/>
      <c r="GFK196" s="84"/>
      <c r="GFL196" s="84"/>
      <c r="GFM196" s="84"/>
      <c r="GFN196" s="84"/>
      <c r="GFO196" s="84"/>
      <c r="GFP196" s="84"/>
      <c r="GFQ196" s="84"/>
      <c r="GFR196" s="84"/>
      <c r="GFS196" s="84"/>
      <c r="GFT196" s="84"/>
      <c r="GFU196" s="84"/>
      <c r="GFV196" s="84"/>
      <c r="GFW196" s="84"/>
      <c r="GFX196" s="84"/>
      <c r="GFY196" s="84"/>
      <c r="GFZ196" s="84"/>
      <c r="GGA196" s="84"/>
      <c r="GGB196" s="84"/>
      <c r="GGC196" s="84"/>
      <c r="GGD196" s="84"/>
      <c r="GGE196" s="84"/>
      <c r="GGF196" s="84"/>
      <c r="GGG196" s="84"/>
      <c r="GGH196" s="84"/>
      <c r="GGI196" s="84"/>
      <c r="GGJ196" s="84"/>
      <c r="GGK196" s="84"/>
      <c r="GGL196" s="84"/>
      <c r="GGM196" s="84"/>
      <c r="GGN196" s="84"/>
      <c r="GGO196" s="84"/>
      <c r="GGP196" s="84"/>
      <c r="GGQ196" s="84"/>
      <c r="GGR196" s="84"/>
      <c r="GGS196" s="84"/>
      <c r="GGT196" s="84"/>
      <c r="GGU196" s="84"/>
      <c r="GGV196" s="84"/>
      <c r="GGW196" s="84"/>
      <c r="GGX196" s="84"/>
      <c r="GGY196" s="84"/>
      <c r="GGZ196" s="84"/>
      <c r="GHA196" s="84"/>
      <c r="GHB196" s="84"/>
      <c r="GHC196" s="84"/>
      <c r="GHD196" s="84"/>
      <c r="GHE196" s="84"/>
      <c r="GHF196" s="84"/>
      <c r="GHG196" s="84"/>
      <c r="GHH196" s="84"/>
      <c r="GHI196" s="84"/>
      <c r="GHJ196" s="84"/>
      <c r="GHK196" s="84"/>
      <c r="GHL196" s="84"/>
      <c r="GHM196" s="84"/>
      <c r="GHN196" s="84"/>
      <c r="GHO196" s="84"/>
      <c r="GHP196" s="84"/>
      <c r="GHQ196" s="84"/>
      <c r="GHR196" s="84"/>
      <c r="GHS196" s="84"/>
      <c r="GHT196" s="84"/>
      <c r="GHU196" s="84"/>
      <c r="GHV196" s="84"/>
      <c r="GHW196" s="84"/>
      <c r="GHX196" s="84"/>
      <c r="GHY196" s="84"/>
      <c r="GHZ196" s="84"/>
      <c r="GIA196" s="84"/>
      <c r="GIB196" s="84"/>
      <c r="GIC196" s="84"/>
      <c r="GID196" s="84"/>
      <c r="GIE196" s="84"/>
      <c r="GIF196" s="84"/>
      <c r="GIG196" s="84"/>
      <c r="GIH196" s="84"/>
      <c r="GII196" s="84"/>
      <c r="GIJ196" s="84"/>
      <c r="GIK196" s="84"/>
      <c r="GIL196" s="84"/>
      <c r="GIM196" s="84"/>
      <c r="GIN196" s="84"/>
      <c r="GIO196" s="84"/>
      <c r="GIP196" s="84"/>
      <c r="GIQ196" s="84"/>
      <c r="GIR196" s="84"/>
      <c r="GIS196" s="84"/>
      <c r="GIT196" s="84"/>
      <c r="GIU196" s="84"/>
      <c r="GIV196" s="84"/>
      <c r="GIW196" s="84"/>
      <c r="GIX196" s="84"/>
      <c r="GIY196" s="84"/>
      <c r="GIZ196" s="84"/>
      <c r="GJA196" s="84"/>
      <c r="GJB196" s="84"/>
      <c r="GJC196" s="84"/>
      <c r="GJD196" s="84"/>
      <c r="GJE196" s="84"/>
      <c r="GJF196" s="84"/>
      <c r="GJG196" s="84"/>
      <c r="GJH196" s="84"/>
      <c r="GJI196" s="84"/>
      <c r="GJJ196" s="84"/>
      <c r="GJK196" s="84"/>
      <c r="GJL196" s="84"/>
      <c r="GJM196" s="84"/>
      <c r="GJN196" s="84"/>
      <c r="GJO196" s="84"/>
      <c r="GJP196" s="84"/>
      <c r="GJQ196" s="84"/>
      <c r="GJR196" s="84"/>
      <c r="GJS196" s="84"/>
      <c r="GJT196" s="84"/>
      <c r="GJU196" s="84"/>
      <c r="GJV196" s="84"/>
      <c r="GJW196" s="84"/>
      <c r="GJX196" s="84"/>
      <c r="GJY196" s="84"/>
      <c r="GJZ196" s="84"/>
      <c r="GKA196" s="84"/>
      <c r="GKB196" s="84"/>
      <c r="GKC196" s="84"/>
      <c r="GKD196" s="84"/>
      <c r="GKE196" s="84"/>
      <c r="GKF196" s="84"/>
      <c r="GKG196" s="84"/>
      <c r="GKH196" s="84"/>
      <c r="GKI196" s="84"/>
      <c r="GKJ196" s="84"/>
      <c r="GKK196" s="84"/>
      <c r="GKL196" s="84"/>
      <c r="GKM196" s="84"/>
      <c r="GKN196" s="84"/>
      <c r="GKO196" s="84"/>
      <c r="GKP196" s="84"/>
      <c r="GKQ196" s="84"/>
      <c r="GKR196" s="84"/>
      <c r="GKS196" s="84"/>
      <c r="GKT196" s="84"/>
      <c r="GKU196" s="84"/>
      <c r="GKV196" s="84"/>
      <c r="GKW196" s="84"/>
      <c r="GKX196" s="84"/>
      <c r="GKY196" s="84"/>
      <c r="GKZ196" s="84"/>
      <c r="GLA196" s="84"/>
      <c r="GLB196" s="84"/>
      <c r="GLC196" s="84"/>
      <c r="GLD196" s="84"/>
      <c r="GLE196" s="84"/>
      <c r="GLF196" s="84"/>
      <c r="GLG196" s="84"/>
      <c r="GLH196" s="84"/>
      <c r="GLI196" s="84"/>
      <c r="GLJ196" s="84"/>
      <c r="GLK196" s="84"/>
      <c r="GLL196" s="84"/>
      <c r="GLM196" s="84"/>
      <c r="GLN196" s="84"/>
      <c r="GLO196" s="84"/>
      <c r="GLP196" s="84"/>
      <c r="GLQ196" s="84"/>
      <c r="GLR196" s="84"/>
      <c r="GLS196" s="84"/>
      <c r="GLT196" s="84"/>
      <c r="GLU196" s="84"/>
      <c r="GLV196" s="84"/>
      <c r="GLW196" s="84"/>
      <c r="GLX196" s="84"/>
      <c r="GLY196" s="84"/>
      <c r="GLZ196" s="84"/>
      <c r="GMA196" s="84"/>
      <c r="GMB196" s="84"/>
      <c r="GMC196" s="84"/>
      <c r="GMD196" s="84"/>
      <c r="GME196" s="84"/>
      <c r="GMF196" s="84"/>
      <c r="GMG196" s="84"/>
      <c r="GMH196" s="84"/>
      <c r="GMI196" s="84"/>
      <c r="GMJ196" s="84"/>
      <c r="GMK196" s="84"/>
      <c r="GML196" s="84"/>
      <c r="GMM196" s="84"/>
      <c r="GMN196" s="84"/>
      <c r="GMO196" s="84"/>
      <c r="GMP196" s="84"/>
      <c r="GMQ196" s="84"/>
      <c r="GMR196" s="84"/>
      <c r="GMS196" s="84"/>
      <c r="GMT196" s="84"/>
      <c r="GMU196" s="84"/>
      <c r="GMV196" s="84"/>
      <c r="GMW196" s="84"/>
      <c r="GMX196" s="84"/>
      <c r="GMY196" s="84"/>
      <c r="GMZ196" s="84"/>
      <c r="GNA196" s="84"/>
      <c r="GNB196" s="84"/>
      <c r="GNC196" s="84"/>
      <c r="GND196" s="84"/>
      <c r="GNE196" s="84"/>
      <c r="GNF196" s="84"/>
      <c r="GNG196" s="84"/>
      <c r="GNH196" s="84"/>
      <c r="GNI196" s="84"/>
      <c r="GNJ196" s="84"/>
      <c r="GNK196" s="84"/>
      <c r="GNL196" s="84"/>
      <c r="GNM196" s="84"/>
      <c r="GNN196" s="84"/>
      <c r="GNO196" s="84"/>
      <c r="GNP196" s="84"/>
      <c r="GNQ196" s="84"/>
      <c r="GNR196" s="84"/>
      <c r="GNS196" s="84"/>
      <c r="GNT196" s="84"/>
      <c r="GNU196" s="84"/>
      <c r="GNV196" s="84"/>
      <c r="GNW196" s="84"/>
      <c r="GNX196" s="84"/>
      <c r="GNY196" s="84"/>
      <c r="GNZ196" s="84"/>
      <c r="GOA196" s="84"/>
      <c r="GOB196" s="84"/>
      <c r="GOC196" s="84"/>
      <c r="GOD196" s="84"/>
      <c r="GOE196" s="84"/>
      <c r="GOF196" s="84"/>
      <c r="GOG196" s="84"/>
      <c r="GOH196" s="84"/>
      <c r="GOI196" s="84"/>
      <c r="GOJ196" s="84"/>
      <c r="GOK196" s="84"/>
      <c r="GOL196" s="84"/>
      <c r="GOM196" s="84"/>
      <c r="GON196" s="84"/>
      <c r="GOO196" s="84"/>
      <c r="GOP196" s="84"/>
      <c r="GOQ196" s="84"/>
      <c r="GOR196" s="84"/>
      <c r="GOS196" s="84"/>
      <c r="GOT196" s="84"/>
      <c r="GOU196" s="84"/>
      <c r="GOV196" s="84"/>
      <c r="GOW196" s="84"/>
      <c r="GOX196" s="84"/>
      <c r="GOY196" s="84"/>
      <c r="GOZ196" s="84"/>
      <c r="GPA196" s="84"/>
      <c r="GPB196" s="84"/>
      <c r="GPC196" s="84"/>
      <c r="GPD196" s="84"/>
      <c r="GPE196" s="84"/>
      <c r="GPF196" s="84"/>
      <c r="GPG196" s="84"/>
      <c r="GPH196" s="84"/>
      <c r="GPI196" s="84"/>
      <c r="GPJ196" s="84"/>
      <c r="GPK196" s="84"/>
      <c r="GPL196" s="84"/>
      <c r="GPM196" s="84"/>
      <c r="GPN196" s="84"/>
      <c r="GPO196" s="84"/>
      <c r="GPP196" s="84"/>
      <c r="GPQ196" s="84"/>
      <c r="GPR196" s="84"/>
      <c r="GPS196" s="84"/>
      <c r="GPT196" s="84"/>
      <c r="GPU196" s="84"/>
      <c r="GPV196" s="84"/>
      <c r="GPW196" s="84"/>
      <c r="GPX196" s="84"/>
      <c r="GPY196" s="84"/>
      <c r="GPZ196" s="84"/>
      <c r="GQA196" s="84"/>
      <c r="GQB196" s="84"/>
      <c r="GQC196" s="84"/>
      <c r="GQD196" s="84"/>
      <c r="GQE196" s="84"/>
      <c r="GQF196" s="84"/>
      <c r="GQG196" s="84"/>
      <c r="GQH196" s="84"/>
      <c r="GQI196" s="84"/>
      <c r="GQJ196" s="84"/>
      <c r="GQK196" s="84"/>
      <c r="GQL196" s="84"/>
      <c r="GQM196" s="84"/>
      <c r="GQN196" s="84"/>
      <c r="GQO196" s="84"/>
      <c r="GQP196" s="84"/>
      <c r="GQQ196" s="84"/>
      <c r="GQR196" s="84"/>
      <c r="GQS196" s="84"/>
      <c r="GQT196" s="84"/>
      <c r="GQU196" s="84"/>
      <c r="GQV196" s="84"/>
      <c r="GQW196" s="84"/>
      <c r="GQX196" s="84"/>
      <c r="GQY196" s="84"/>
      <c r="GQZ196" s="84"/>
      <c r="GRA196" s="84"/>
      <c r="GRB196" s="84"/>
      <c r="GRC196" s="84"/>
      <c r="GRD196" s="84"/>
      <c r="GRE196" s="84"/>
      <c r="GRF196" s="84"/>
      <c r="GRG196" s="84"/>
      <c r="GRH196" s="84"/>
      <c r="GRI196" s="84"/>
      <c r="GRJ196" s="84"/>
      <c r="GRK196" s="84"/>
      <c r="GRL196" s="84"/>
      <c r="GRM196" s="84"/>
      <c r="GRN196" s="84"/>
      <c r="GRO196" s="84"/>
      <c r="GRP196" s="84"/>
      <c r="GRQ196" s="84"/>
      <c r="GRR196" s="84"/>
      <c r="GRS196" s="84"/>
      <c r="GRT196" s="84"/>
      <c r="GRU196" s="84"/>
      <c r="GRV196" s="84"/>
      <c r="GRW196" s="84"/>
      <c r="GRX196" s="84"/>
      <c r="GRY196" s="84"/>
      <c r="GRZ196" s="84"/>
      <c r="GSA196" s="84"/>
      <c r="GSB196" s="84"/>
      <c r="GSC196" s="84"/>
      <c r="GSD196" s="84"/>
      <c r="GSE196" s="84"/>
      <c r="GSF196" s="84"/>
      <c r="GSG196" s="84"/>
      <c r="GSH196" s="84"/>
      <c r="GSI196" s="84"/>
      <c r="GSJ196" s="84"/>
      <c r="GSK196" s="84"/>
      <c r="GSL196" s="84"/>
      <c r="GSM196" s="84"/>
      <c r="GSN196" s="84"/>
      <c r="GSO196" s="84"/>
      <c r="GSP196" s="84"/>
      <c r="GSQ196" s="84"/>
      <c r="GSR196" s="84"/>
      <c r="GSS196" s="84"/>
      <c r="GST196" s="84"/>
      <c r="GSU196" s="84"/>
      <c r="GSV196" s="84"/>
      <c r="GSW196" s="84"/>
      <c r="GSX196" s="84"/>
      <c r="GSY196" s="84"/>
      <c r="GSZ196" s="84"/>
      <c r="GTA196" s="84"/>
      <c r="GTB196" s="84"/>
      <c r="GTC196" s="84"/>
      <c r="GTD196" s="84"/>
      <c r="GTE196" s="84"/>
      <c r="GTF196" s="84"/>
      <c r="GTG196" s="84"/>
      <c r="GTH196" s="84"/>
      <c r="GTI196" s="84"/>
      <c r="GTJ196" s="84"/>
      <c r="GTK196" s="84"/>
      <c r="GTL196" s="84"/>
      <c r="GTM196" s="84"/>
      <c r="GTN196" s="84"/>
      <c r="GTO196" s="84"/>
      <c r="GTP196" s="84"/>
      <c r="GTQ196" s="84"/>
      <c r="GTR196" s="84"/>
      <c r="GTS196" s="84"/>
      <c r="GTT196" s="84"/>
      <c r="GTU196" s="84"/>
      <c r="GTV196" s="84"/>
      <c r="GTW196" s="84"/>
      <c r="GTX196" s="84"/>
      <c r="GTY196" s="84"/>
      <c r="GTZ196" s="84"/>
      <c r="GUA196" s="84"/>
      <c r="GUB196" s="84"/>
      <c r="GUC196" s="84"/>
      <c r="GUD196" s="84"/>
      <c r="GUE196" s="84"/>
      <c r="GUF196" s="84"/>
      <c r="GUG196" s="84"/>
      <c r="GUH196" s="84"/>
      <c r="GUI196" s="84"/>
      <c r="GUJ196" s="84"/>
      <c r="GUK196" s="84"/>
      <c r="GUL196" s="84"/>
      <c r="GUM196" s="84"/>
      <c r="GUN196" s="84"/>
      <c r="GUO196" s="84"/>
      <c r="GUP196" s="84"/>
      <c r="GUQ196" s="84"/>
      <c r="GUR196" s="84"/>
      <c r="GUS196" s="84"/>
      <c r="GUT196" s="84"/>
      <c r="GUU196" s="84"/>
      <c r="GUV196" s="84"/>
      <c r="GUW196" s="84"/>
      <c r="GUX196" s="84"/>
      <c r="GUY196" s="84"/>
      <c r="GUZ196" s="84"/>
      <c r="GVA196" s="84"/>
      <c r="GVB196" s="84"/>
      <c r="GVC196" s="84"/>
      <c r="GVD196" s="84"/>
      <c r="GVE196" s="84"/>
      <c r="GVF196" s="84"/>
      <c r="GVG196" s="84"/>
      <c r="GVH196" s="84"/>
      <c r="GVI196" s="84"/>
      <c r="GVJ196" s="84"/>
      <c r="GVK196" s="84"/>
      <c r="GVL196" s="84"/>
      <c r="GVM196" s="84"/>
      <c r="GVN196" s="84"/>
      <c r="GVO196" s="84"/>
      <c r="GVP196" s="84"/>
      <c r="GVQ196" s="84"/>
      <c r="GVR196" s="84"/>
      <c r="GVS196" s="84"/>
      <c r="GVT196" s="84"/>
      <c r="GVU196" s="84"/>
      <c r="GVV196" s="84"/>
      <c r="GVW196" s="84"/>
      <c r="GVX196" s="84"/>
      <c r="GVY196" s="84"/>
      <c r="GVZ196" s="84"/>
      <c r="GWA196" s="84"/>
      <c r="GWB196" s="84"/>
      <c r="GWC196" s="84"/>
      <c r="GWD196" s="84"/>
      <c r="GWE196" s="84"/>
      <c r="GWF196" s="84"/>
      <c r="GWG196" s="84"/>
      <c r="GWH196" s="84"/>
      <c r="GWI196" s="84"/>
      <c r="GWJ196" s="84"/>
      <c r="GWK196" s="84"/>
      <c r="GWL196" s="84"/>
      <c r="GWM196" s="84"/>
      <c r="GWN196" s="84"/>
      <c r="GWO196" s="84"/>
      <c r="GWP196" s="84"/>
      <c r="GWQ196" s="84"/>
      <c r="GWR196" s="84"/>
      <c r="GWS196" s="84"/>
      <c r="GWT196" s="84"/>
      <c r="GWU196" s="84"/>
      <c r="GWV196" s="84"/>
      <c r="GWW196" s="84"/>
      <c r="GWX196" s="84"/>
      <c r="GWY196" s="84"/>
      <c r="GWZ196" s="84"/>
      <c r="GXA196" s="84"/>
      <c r="GXB196" s="84"/>
      <c r="GXC196" s="84"/>
      <c r="GXD196" s="84"/>
      <c r="GXE196" s="84"/>
      <c r="GXF196" s="84"/>
      <c r="GXG196" s="84"/>
      <c r="GXH196" s="84"/>
      <c r="GXI196" s="84"/>
      <c r="GXJ196" s="84"/>
      <c r="GXK196" s="84"/>
      <c r="GXL196" s="84"/>
      <c r="GXM196" s="84"/>
      <c r="GXN196" s="84"/>
      <c r="GXO196" s="84"/>
      <c r="GXP196" s="84"/>
      <c r="GXQ196" s="84"/>
      <c r="GXR196" s="84"/>
      <c r="GXS196" s="84"/>
      <c r="GXT196" s="84"/>
      <c r="GXU196" s="84"/>
      <c r="GXV196" s="84"/>
      <c r="GXW196" s="84"/>
      <c r="GXX196" s="84"/>
      <c r="GXY196" s="84"/>
      <c r="GXZ196" s="84"/>
      <c r="GYA196" s="84"/>
      <c r="GYB196" s="84"/>
      <c r="GYC196" s="84"/>
      <c r="GYD196" s="84"/>
      <c r="GYE196" s="84"/>
      <c r="GYF196" s="84"/>
      <c r="GYG196" s="84"/>
      <c r="GYH196" s="84"/>
      <c r="GYI196" s="84"/>
      <c r="GYJ196" s="84"/>
      <c r="GYK196" s="84"/>
      <c r="GYL196" s="84"/>
      <c r="GYM196" s="84"/>
      <c r="GYN196" s="84"/>
      <c r="GYO196" s="84"/>
      <c r="GYP196" s="84"/>
      <c r="GYQ196" s="84"/>
      <c r="GYR196" s="84"/>
      <c r="GYS196" s="84"/>
      <c r="GYT196" s="84"/>
      <c r="GYU196" s="84"/>
      <c r="GYV196" s="84"/>
      <c r="GYW196" s="84"/>
      <c r="GYX196" s="84"/>
      <c r="GYY196" s="84"/>
      <c r="GYZ196" s="84"/>
      <c r="GZA196" s="84"/>
      <c r="GZB196" s="84"/>
      <c r="GZC196" s="84"/>
      <c r="GZD196" s="84"/>
      <c r="GZE196" s="84"/>
      <c r="GZF196" s="84"/>
      <c r="GZG196" s="84"/>
      <c r="GZH196" s="84"/>
      <c r="GZI196" s="84"/>
      <c r="GZJ196" s="84"/>
      <c r="GZK196" s="84"/>
      <c r="GZL196" s="84"/>
      <c r="GZM196" s="84"/>
      <c r="GZN196" s="84"/>
      <c r="GZO196" s="84"/>
      <c r="GZP196" s="84"/>
      <c r="GZQ196" s="84"/>
      <c r="GZR196" s="84"/>
      <c r="GZS196" s="84"/>
      <c r="GZT196" s="84"/>
      <c r="GZU196" s="84"/>
      <c r="GZV196" s="84"/>
      <c r="GZW196" s="84"/>
      <c r="GZX196" s="84"/>
      <c r="GZY196" s="84"/>
      <c r="GZZ196" s="84"/>
      <c r="HAA196" s="84"/>
      <c r="HAB196" s="84"/>
      <c r="HAC196" s="84"/>
      <c r="HAD196" s="84"/>
      <c r="HAE196" s="84"/>
      <c r="HAF196" s="84"/>
      <c r="HAG196" s="84"/>
      <c r="HAH196" s="84"/>
      <c r="HAI196" s="84"/>
      <c r="HAJ196" s="84"/>
      <c r="HAK196" s="84"/>
      <c r="HAL196" s="84"/>
      <c r="HAM196" s="84"/>
      <c r="HAN196" s="84"/>
      <c r="HAO196" s="84"/>
      <c r="HAP196" s="84"/>
      <c r="HAQ196" s="84"/>
      <c r="HAR196" s="84"/>
      <c r="HAS196" s="84"/>
      <c r="HAT196" s="84"/>
      <c r="HAU196" s="84"/>
      <c r="HAV196" s="84"/>
      <c r="HAW196" s="84"/>
      <c r="HAX196" s="84"/>
      <c r="HAY196" s="84"/>
      <c r="HAZ196" s="84"/>
      <c r="HBA196" s="84"/>
      <c r="HBB196" s="84"/>
      <c r="HBC196" s="84"/>
      <c r="HBD196" s="84"/>
      <c r="HBE196" s="84"/>
      <c r="HBF196" s="84"/>
      <c r="HBG196" s="84"/>
      <c r="HBH196" s="84"/>
      <c r="HBI196" s="84"/>
      <c r="HBJ196" s="84"/>
      <c r="HBK196" s="84"/>
      <c r="HBL196" s="84"/>
      <c r="HBM196" s="84"/>
      <c r="HBN196" s="84"/>
      <c r="HBO196" s="84"/>
      <c r="HBP196" s="84"/>
      <c r="HBQ196" s="84"/>
      <c r="HBR196" s="84"/>
      <c r="HBS196" s="84"/>
      <c r="HBT196" s="84"/>
      <c r="HBU196" s="84"/>
      <c r="HBV196" s="84"/>
      <c r="HBW196" s="84"/>
      <c r="HBX196" s="84"/>
      <c r="HBY196" s="84"/>
      <c r="HBZ196" s="84"/>
      <c r="HCA196" s="84"/>
      <c r="HCB196" s="84"/>
      <c r="HCC196" s="84"/>
      <c r="HCD196" s="84"/>
      <c r="HCE196" s="84"/>
      <c r="HCF196" s="84"/>
      <c r="HCG196" s="84"/>
      <c r="HCH196" s="84"/>
      <c r="HCI196" s="84"/>
      <c r="HCJ196" s="84"/>
      <c r="HCK196" s="84"/>
      <c r="HCL196" s="84"/>
      <c r="HCM196" s="84"/>
      <c r="HCN196" s="84"/>
      <c r="HCO196" s="84"/>
      <c r="HCP196" s="84"/>
      <c r="HCQ196" s="84"/>
      <c r="HCR196" s="84"/>
      <c r="HCS196" s="84"/>
      <c r="HCT196" s="84"/>
      <c r="HCU196" s="84"/>
      <c r="HCV196" s="84"/>
      <c r="HCW196" s="84"/>
      <c r="HCX196" s="84"/>
      <c r="HCY196" s="84"/>
      <c r="HCZ196" s="84"/>
      <c r="HDA196" s="84"/>
      <c r="HDB196" s="84"/>
      <c r="HDC196" s="84"/>
      <c r="HDD196" s="84"/>
      <c r="HDE196" s="84"/>
      <c r="HDF196" s="84"/>
      <c r="HDG196" s="84"/>
      <c r="HDH196" s="84"/>
      <c r="HDI196" s="84"/>
      <c r="HDJ196" s="84"/>
      <c r="HDK196" s="84"/>
      <c r="HDL196" s="84"/>
      <c r="HDM196" s="84"/>
      <c r="HDN196" s="84"/>
      <c r="HDO196" s="84"/>
      <c r="HDP196" s="84"/>
      <c r="HDQ196" s="84"/>
      <c r="HDR196" s="84"/>
      <c r="HDS196" s="84"/>
      <c r="HDT196" s="84"/>
      <c r="HDU196" s="84"/>
      <c r="HDV196" s="84"/>
      <c r="HDW196" s="84"/>
      <c r="HDX196" s="84"/>
      <c r="HDY196" s="84"/>
      <c r="HDZ196" s="84"/>
      <c r="HEA196" s="84"/>
      <c r="HEB196" s="84"/>
      <c r="HEC196" s="84"/>
      <c r="HED196" s="84"/>
      <c r="HEE196" s="84"/>
      <c r="HEF196" s="84"/>
      <c r="HEG196" s="84"/>
      <c r="HEH196" s="84"/>
      <c r="HEI196" s="84"/>
      <c r="HEJ196" s="84"/>
      <c r="HEK196" s="84"/>
      <c r="HEL196" s="84"/>
      <c r="HEM196" s="84"/>
      <c r="HEN196" s="84"/>
      <c r="HEO196" s="84"/>
      <c r="HEP196" s="84"/>
      <c r="HEQ196" s="84"/>
      <c r="HER196" s="84"/>
      <c r="HES196" s="84"/>
      <c r="HET196" s="84"/>
      <c r="HEU196" s="84"/>
      <c r="HEV196" s="84"/>
      <c r="HEW196" s="84"/>
      <c r="HEX196" s="84"/>
      <c r="HEY196" s="84"/>
      <c r="HEZ196" s="84"/>
      <c r="HFA196" s="84"/>
      <c r="HFB196" s="84"/>
      <c r="HFC196" s="84"/>
      <c r="HFD196" s="84"/>
      <c r="HFE196" s="84"/>
      <c r="HFF196" s="84"/>
      <c r="HFG196" s="84"/>
      <c r="HFH196" s="84"/>
      <c r="HFI196" s="84"/>
      <c r="HFJ196" s="84"/>
      <c r="HFK196" s="84"/>
      <c r="HFL196" s="84"/>
      <c r="HFM196" s="84"/>
      <c r="HFN196" s="84"/>
      <c r="HFO196" s="84"/>
      <c r="HFP196" s="84"/>
      <c r="HFQ196" s="84"/>
      <c r="HFR196" s="84"/>
      <c r="HFS196" s="84"/>
      <c r="HFT196" s="84"/>
      <c r="HFU196" s="84"/>
      <c r="HFV196" s="84"/>
      <c r="HFW196" s="84"/>
      <c r="HFX196" s="84"/>
      <c r="HFY196" s="84"/>
      <c r="HFZ196" s="84"/>
      <c r="HGA196" s="84"/>
      <c r="HGB196" s="84"/>
      <c r="HGC196" s="84"/>
      <c r="HGD196" s="84"/>
      <c r="HGE196" s="84"/>
      <c r="HGF196" s="84"/>
      <c r="HGG196" s="84"/>
      <c r="HGH196" s="84"/>
      <c r="HGI196" s="84"/>
      <c r="HGJ196" s="84"/>
      <c r="HGK196" s="84"/>
      <c r="HGL196" s="84"/>
      <c r="HGM196" s="84"/>
      <c r="HGN196" s="84"/>
      <c r="HGO196" s="84"/>
      <c r="HGP196" s="84"/>
      <c r="HGQ196" s="84"/>
      <c r="HGR196" s="84"/>
      <c r="HGS196" s="84"/>
      <c r="HGT196" s="84"/>
      <c r="HGU196" s="84"/>
      <c r="HGV196" s="84"/>
      <c r="HGW196" s="84"/>
      <c r="HGX196" s="84"/>
      <c r="HGY196" s="84"/>
      <c r="HGZ196" s="84"/>
      <c r="HHA196" s="84"/>
      <c r="HHB196" s="84"/>
      <c r="HHC196" s="84"/>
      <c r="HHD196" s="84"/>
      <c r="HHE196" s="84"/>
      <c r="HHF196" s="84"/>
      <c r="HHG196" s="84"/>
      <c r="HHH196" s="84"/>
      <c r="HHI196" s="84"/>
      <c r="HHJ196" s="84"/>
      <c r="HHK196" s="84"/>
      <c r="HHL196" s="84"/>
      <c r="HHM196" s="84"/>
      <c r="HHN196" s="84"/>
      <c r="HHO196" s="84"/>
      <c r="HHP196" s="84"/>
      <c r="HHQ196" s="84"/>
      <c r="HHR196" s="84"/>
      <c r="HHS196" s="84"/>
      <c r="HHT196" s="84"/>
      <c r="HHU196" s="84"/>
      <c r="HHV196" s="84"/>
      <c r="HHW196" s="84"/>
      <c r="HHX196" s="84"/>
      <c r="HHY196" s="84"/>
      <c r="HHZ196" s="84"/>
      <c r="HIA196" s="84"/>
      <c r="HIB196" s="84"/>
      <c r="HIC196" s="84"/>
      <c r="HID196" s="84"/>
      <c r="HIE196" s="84"/>
      <c r="HIF196" s="84"/>
      <c r="HIG196" s="84"/>
      <c r="HIH196" s="84"/>
      <c r="HII196" s="84"/>
      <c r="HIJ196" s="84"/>
      <c r="HIK196" s="84"/>
      <c r="HIL196" s="84"/>
      <c r="HIM196" s="84"/>
      <c r="HIN196" s="84"/>
      <c r="HIO196" s="84"/>
      <c r="HIP196" s="84"/>
      <c r="HIQ196" s="84"/>
      <c r="HIR196" s="84"/>
      <c r="HIS196" s="84"/>
      <c r="HIT196" s="84"/>
      <c r="HIU196" s="84"/>
      <c r="HIV196" s="84"/>
      <c r="HIW196" s="84"/>
      <c r="HIX196" s="84"/>
      <c r="HIY196" s="84"/>
      <c r="HIZ196" s="84"/>
      <c r="HJA196" s="84"/>
      <c r="HJB196" s="84"/>
      <c r="HJC196" s="84"/>
      <c r="HJD196" s="84"/>
      <c r="HJE196" s="84"/>
      <c r="HJF196" s="84"/>
      <c r="HJG196" s="84"/>
      <c r="HJH196" s="84"/>
      <c r="HJI196" s="84"/>
      <c r="HJJ196" s="84"/>
      <c r="HJK196" s="84"/>
      <c r="HJL196" s="84"/>
      <c r="HJM196" s="84"/>
      <c r="HJN196" s="84"/>
      <c r="HJO196" s="84"/>
      <c r="HJP196" s="84"/>
      <c r="HJQ196" s="84"/>
      <c r="HJR196" s="84"/>
      <c r="HJS196" s="84"/>
      <c r="HJT196" s="84"/>
      <c r="HJU196" s="84"/>
      <c r="HJV196" s="84"/>
      <c r="HJW196" s="84"/>
      <c r="HJX196" s="84"/>
      <c r="HJY196" s="84"/>
      <c r="HJZ196" s="84"/>
      <c r="HKA196" s="84"/>
      <c r="HKB196" s="84"/>
      <c r="HKC196" s="84"/>
      <c r="HKD196" s="84"/>
      <c r="HKE196" s="84"/>
      <c r="HKF196" s="84"/>
      <c r="HKG196" s="84"/>
      <c r="HKH196" s="84"/>
      <c r="HKI196" s="84"/>
      <c r="HKJ196" s="84"/>
      <c r="HKK196" s="84"/>
      <c r="HKL196" s="84"/>
      <c r="HKM196" s="84"/>
      <c r="HKN196" s="84"/>
      <c r="HKO196" s="84"/>
      <c r="HKP196" s="84"/>
      <c r="HKQ196" s="84"/>
      <c r="HKR196" s="84"/>
      <c r="HKS196" s="84"/>
      <c r="HKT196" s="84"/>
      <c r="HKU196" s="84"/>
      <c r="HKV196" s="84"/>
      <c r="HKW196" s="84"/>
      <c r="HKX196" s="84"/>
      <c r="HKY196" s="84"/>
      <c r="HKZ196" s="84"/>
      <c r="HLA196" s="84"/>
      <c r="HLB196" s="84"/>
      <c r="HLC196" s="84"/>
      <c r="HLD196" s="84"/>
      <c r="HLE196" s="84"/>
      <c r="HLF196" s="84"/>
      <c r="HLG196" s="84"/>
      <c r="HLH196" s="84"/>
      <c r="HLI196" s="84"/>
      <c r="HLJ196" s="84"/>
      <c r="HLK196" s="84"/>
      <c r="HLL196" s="84"/>
      <c r="HLM196" s="84"/>
      <c r="HLN196" s="84"/>
      <c r="HLO196" s="84"/>
      <c r="HLP196" s="84"/>
      <c r="HLQ196" s="84"/>
      <c r="HLR196" s="84"/>
      <c r="HLS196" s="84"/>
      <c r="HLT196" s="84"/>
      <c r="HLU196" s="84"/>
      <c r="HLV196" s="84"/>
      <c r="HLW196" s="84"/>
      <c r="HLX196" s="84"/>
      <c r="HLY196" s="84"/>
      <c r="HLZ196" s="84"/>
      <c r="HMA196" s="84"/>
      <c r="HMB196" s="84"/>
      <c r="HMC196" s="84"/>
      <c r="HMD196" s="84"/>
      <c r="HME196" s="84"/>
      <c r="HMF196" s="84"/>
      <c r="HMG196" s="84"/>
      <c r="HMH196" s="84"/>
      <c r="HMI196" s="84"/>
      <c r="HMJ196" s="84"/>
      <c r="HMK196" s="84"/>
      <c r="HML196" s="84"/>
      <c r="HMM196" s="84"/>
      <c r="HMN196" s="84"/>
      <c r="HMO196" s="84"/>
      <c r="HMP196" s="84"/>
      <c r="HMQ196" s="84"/>
      <c r="HMR196" s="84"/>
      <c r="HMS196" s="84"/>
      <c r="HMT196" s="84"/>
      <c r="HMU196" s="84"/>
      <c r="HMV196" s="84"/>
      <c r="HMW196" s="84"/>
      <c r="HMX196" s="84"/>
      <c r="HMY196" s="84"/>
      <c r="HMZ196" s="84"/>
      <c r="HNA196" s="84"/>
      <c r="HNB196" s="84"/>
      <c r="HNC196" s="84"/>
      <c r="HND196" s="84"/>
      <c r="HNE196" s="84"/>
      <c r="HNF196" s="84"/>
      <c r="HNG196" s="84"/>
      <c r="HNH196" s="84"/>
      <c r="HNI196" s="84"/>
      <c r="HNJ196" s="84"/>
      <c r="HNK196" s="84"/>
      <c r="HNL196" s="84"/>
      <c r="HNM196" s="84"/>
      <c r="HNN196" s="84"/>
      <c r="HNO196" s="84"/>
      <c r="HNP196" s="84"/>
      <c r="HNQ196" s="84"/>
      <c r="HNR196" s="84"/>
      <c r="HNS196" s="84"/>
      <c r="HNT196" s="84"/>
      <c r="HNU196" s="84"/>
      <c r="HNV196" s="84"/>
      <c r="HNW196" s="84"/>
      <c r="HNX196" s="84"/>
      <c r="HNY196" s="84"/>
      <c r="HNZ196" s="84"/>
      <c r="HOA196" s="84"/>
      <c r="HOB196" s="84"/>
      <c r="HOC196" s="84"/>
      <c r="HOD196" s="84"/>
      <c r="HOE196" s="84"/>
      <c r="HOF196" s="84"/>
      <c r="HOG196" s="84"/>
      <c r="HOH196" s="84"/>
      <c r="HOI196" s="84"/>
      <c r="HOJ196" s="84"/>
      <c r="HOK196" s="84"/>
      <c r="HOL196" s="84"/>
      <c r="HOM196" s="84"/>
      <c r="HON196" s="84"/>
      <c r="HOO196" s="84"/>
      <c r="HOP196" s="84"/>
      <c r="HOQ196" s="84"/>
      <c r="HOR196" s="84"/>
      <c r="HOS196" s="84"/>
      <c r="HOT196" s="84"/>
      <c r="HOU196" s="84"/>
      <c r="HOV196" s="84"/>
      <c r="HOW196" s="84"/>
      <c r="HOX196" s="84"/>
      <c r="HOY196" s="84"/>
      <c r="HOZ196" s="84"/>
      <c r="HPA196" s="84"/>
      <c r="HPB196" s="84"/>
      <c r="HPC196" s="84"/>
      <c r="HPD196" s="84"/>
      <c r="HPE196" s="84"/>
      <c r="HPF196" s="84"/>
      <c r="HPG196" s="84"/>
      <c r="HPH196" s="84"/>
      <c r="HPI196" s="84"/>
      <c r="HPJ196" s="84"/>
      <c r="HPK196" s="84"/>
      <c r="HPL196" s="84"/>
      <c r="HPM196" s="84"/>
      <c r="HPN196" s="84"/>
      <c r="HPO196" s="84"/>
      <c r="HPP196" s="84"/>
      <c r="HPQ196" s="84"/>
      <c r="HPR196" s="84"/>
      <c r="HPS196" s="84"/>
      <c r="HPT196" s="84"/>
      <c r="HPU196" s="84"/>
      <c r="HPV196" s="84"/>
      <c r="HPW196" s="84"/>
      <c r="HPX196" s="84"/>
      <c r="HPY196" s="84"/>
      <c r="HPZ196" s="84"/>
      <c r="HQA196" s="84"/>
      <c r="HQB196" s="84"/>
      <c r="HQC196" s="84"/>
      <c r="HQD196" s="84"/>
      <c r="HQE196" s="84"/>
      <c r="HQF196" s="84"/>
      <c r="HQG196" s="84"/>
      <c r="HQH196" s="84"/>
      <c r="HQI196" s="84"/>
      <c r="HQJ196" s="84"/>
      <c r="HQK196" s="84"/>
      <c r="HQL196" s="84"/>
      <c r="HQM196" s="84"/>
      <c r="HQN196" s="84"/>
      <c r="HQO196" s="84"/>
      <c r="HQP196" s="84"/>
      <c r="HQQ196" s="84"/>
      <c r="HQR196" s="84"/>
      <c r="HQS196" s="84"/>
      <c r="HQT196" s="84"/>
      <c r="HQU196" s="84"/>
      <c r="HQV196" s="84"/>
      <c r="HQW196" s="84"/>
      <c r="HQX196" s="84"/>
      <c r="HQY196" s="84"/>
      <c r="HQZ196" s="84"/>
      <c r="HRA196" s="84"/>
      <c r="HRB196" s="84"/>
      <c r="HRC196" s="84"/>
      <c r="HRD196" s="84"/>
      <c r="HRE196" s="84"/>
      <c r="HRF196" s="84"/>
      <c r="HRG196" s="84"/>
      <c r="HRH196" s="84"/>
      <c r="HRI196" s="84"/>
      <c r="HRJ196" s="84"/>
      <c r="HRK196" s="84"/>
      <c r="HRL196" s="84"/>
      <c r="HRM196" s="84"/>
      <c r="HRN196" s="84"/>
      <c r="HRO196" s="84"/>
      <c r="HRP196" s="84"/>
      <c r="HRQ196" s="84"/>
      <c r="HRR196" s="84"/>
      <c r="HRS196" s="84"/>
      <c r="HRT196" s="84"/>
      <c r="HRU196" s="84"/>
      <c r="HRV196" s="84"/>
      <c r="HRW196" s="84"/>
      <c r="HRX196" s="84"/>
      <c r="HRY196" s="84"/>
      <c r="HRZ196" s="84"/>
      <c r="HSA196" s="84"/>
      <c r="HSB196" s="84"/>
      <c r="HSC196" s="84"/>
      <c r="HSD196" s="84"/>
      <c r="HSE196" s="84"/>
      <c r="HSF196" s="84"/>
      <c r="HSG196" s="84"/>
      <c r="HSH196" s="84"/>
      <c r="HSI196" s="84"/>
      <c r="HSJ196" s="84"/>
      <c r="HSK196" s="84"/>
      <c r="HSL196" s="84"/>
      <c r="HSM196" s="84"/>
      <c r="HSN196" s="84"/>
      <c r="HSO196" s="84"/>
      <c r="HSP196" s="84"/>
      <c r="HSQ196" s="84"/>
      <c r="HSR196" s="84"/>
      <c r="HSS196" s="84"/>
      <c r="HST196" s="84"/>
      <c r="HSU196" s="84"/>
      <c r="HSV196" s="84"/>
      <c r="HSW196" s="84"/>
      <c r="HSX196" s="84"/>
      <c r="HSY196" s="84"/>
      <c r="HSZ196" s="84"/>
      <c r="HTA196" s="84"/>
      <c r="HTB196" s="84"/>
      <c r="HTC196" s="84"/>
      <c r="HTD196" s="84"/>
      <c r="HTE196" s="84"/>
      <c r="HTF196" s="84"/>
      <c r="HTG196" s="84"/>
      <c r="HTH196" s="84"/>
      <c r="HTI196" s="84"/>
      <c r="HTJ196" s="84"/>
      <c r="HTK196" s="84"/>
      <c r="HTL196" s="84"/>
      <c r="HTM196" s="84"/>
      <c r="HTN196" s="84"/>
      <c r="HTO196" s="84"/>
      <c r="HTP196" s="84"/>
      <c r="HTQ196" s="84"/>
      <c r="HTR196" s="84"/>
      <c r="HTS196" s="84"/>
      <c r="HTT196" s="84"/>
      <c r="HTU196" s="84"/>
      <c r="HTV196" s="84"/>
      <c r="HTW196" s="84"/>
      <c r="HTX196" s="84"/>
      <c r="HTY196" s="84"/>
      <c r="HTZ196" s="84"/>
      <c r="HUA196" s="84"/>
      <c r="HUB196" s="84"/>
      <c r="HUC196" s="84"/>
      <c r="HUD196" s="84"/>
      <c r="HUE196" s="84"/>
      <c r="HUF196" s="84"/>
      <c r="HUG196" s="84"/>
      <c r="HUH196" s="84"/>
      <c r="HUI196" s="84"/>
      <c r="HUJ196" s="84"/>
      <c r="HUK196" s="84"/>
      <c r="HUL196" s="84"/>
      <c r="HUM196" s="84"/>
      <c r="HUN196" s="84"/>
      <c r="HUO196" s="84"/>
      <c r="HUP196" s="84"/>
      <c r="HUQ196" s="84"/>
      <c r="HUR196" s="84"/>
      <c r="HUS196" s="84"/>
      <c r="HUT196" s="84"/>
      <c r="HUU196" s="84"/>
      <c r="HUV196" s="84"/>
      <c r="HUW196" s="84"/>
      <c r="HUX196" s="84"/>
      <c r="HUY196" s="84"/>
      <c r="HUZ196" s="84"/>
      <c r="HVA196" s="84"/>
      <c r="HVB196" s="84"/>
      <c r="HVC196" s="84"/>
      <c r="HVD196" s="84"/>
      <c r="HVE196" s="84"/>
      <c r="HVF196" s="84"/>
      <c r="HVG196" s="84"/>
      <c r="HVH196" s="84"/>
      <c r="HVI196" s="84"/>
      <c r="HVJ196" s="84"/>
      <c r="HVK196" s="84"/>
      <c r="HVL196" s="84"/>
      <c r="HVM196" s="84"/>
      <c r="HVN196" s="84"/>
      <c r="HVO196" s="84"/>
      <c r="HVP196" s="84"/>
      <c r="HVQ196" s="84"/>
      <c r="HVR196" s="84"/>
      <c r="HVS196" s="84"/>
      <c r="HVT196" s="84"/>
      <c r="HVU196" s="84"/>
      <c r="HVV196" s="84"/>
      <c r="HVW196" s="84"/>
      <c r="HVX196" s="84"/>
      <c r="HVY196" s="84"/>
      <c r="HVZ196" s="84"/>
      <c r="HWA196" s="84"/>
      <c r="HWB196" s="84"/>
      <c r="HWC196" s="84"/>
      <c r="HWD196" s="84"/>
      <c r="HWE196" s="84"/>
      <c r="HWF196" s="84"/>
      <c r="HWG196" s="84"/>
      <c r="HWH196" s="84"/>
      <c r="HWI196" s="84"/>
      <c r="HWJ196" s="84"/>
      <c r="HWK196" s="84"/>
      <c r="HWL196" s="84"/>
      <c r="HWM196" s="84"/>
      <c r="HWN196" s="84"/>
      <c r="HWO196" s="84"/>
      <c r="HWP196" s="84"/>
      <c r="HWQ196" s="84"/>
      <c r="HWR196" s="84"/>
      <c r="HWS196" s="84"/>
      <c r="HWT196" s="84"/>
      <c r="HWU196" s="84"/>
      <c r="HWV196" s="84"/>
      <c r="HWW196" s="84"/>
      <c r="HWX196" s="84"/>
      <c r="HWY196" s="84"/>
      <c r="HWZ196" s="84"/>
      <c r="HXA196" s="84"/>
      <c r="HXB196" s="84"/>
      <c r="HXC196" s="84"/>
      <c r="HXD196" s="84"/>
      <c r="HXE196" s="84"/>
      <c r="HXF196" s="84"/>
      <c r="HXG196" s="84"/>
      <c r="HXH196" s="84"/>
      <c r="HXI196" s="84"/>
      <c r="HXJ196" s="84"/>
      <c r="HXK196" s="84"/>
      <c r="HXL196" s="84"/>
      <c r="HXM196" s="84"/>
      <c r="HXN196" s="84"/>
      <c r="HXO196" s="84"/>
      <c r="HXP196" s="84"/>
      <c r="HXQ196" s="84"/>
      <c r="HXR196" s="84"/>
      <c r="HXS196" s="84"/>
      <c r="HXT196" s="84"/>
      <c r="HXU196" s="84"/>
      <c r="HXV196" s="84"/>
      <c r="HXW196" s="84"/>
      <c r="HXX196" s="84"/>
      <c r="HXY196" s="84"/>
      <c r="HXZ196" s="84"/>
      <c r="HYA196" s="84"/>
      <c r="HYB196" s="84"/>
      <c r="HYC196" s="84"/>
      <c r="HYD196" s="84"/>
      <c r="HYE196" s="84"/>
      <c r="HYF196" s="84"/>
      <c r="HYG196" s="84"/>
      <c r="HYH196" s="84"/>
      <c r="HYI196" s="84"/>
      <c r="HYJ196" s="84"/>
      <c r="HYK196" s="84"/>
      <c r="HYL196" s="84"/>
      <c r="HYM196" s="84"/>
      <c r="HYN196" s="84"/>
      <c r="HYO196" s="84"/>
      <c r="HYP196" s="84"/>
      <c r="HYQ196" s="84"/>
      <c r="HYR196" s="84"/>
      <c r="HYS196" s="84"/>
      <c r="HYT196" s="84"/>
      <c r="HYU196" s="84"/>
      <c r="HYV196" s="84"/>
      <c r="HYW196" s="84"/>
      <c r="HYX196" s="84"/>
      <c r="HYY196" s="84"/>
      <c r="HYZ196" s="84"/>
      <c r="HZA196" s="84"/>
      <c r="HZB196" s="84"/>
      <c r="HZC196" s="84"/>
      <c r="HZD196" s="84"/>
      <c r="HZE196" s="84"/>
      <c r="HZF196" s="84"/>
      <c r="HZG196" s="84"/>
      <c r="HZH196" s="84"/>
      <c r="HZI196" s="84"/>
      <c r="HZJ196" s="84"/>
      <c r="HZK196" s="84"/>
      <c r="HZL196" s="84"/>
      <c r="HZM196" s="84"/>
      <c r="HZN196" s="84"/>
      <c r="HZO196" s="84"/>
      <c r="HZP196" s="84"/>
      <c r="HZQ196" s="84"/>
      <c r="HZR196" s="84"/>
      <c r="HZS196" s="84"/>
      <c r="HZT196" s="84"/>
      <c r="HZU196" s="84"/>
      <c r="HZV196" s="84"/>
      <c r="HZW196" s="84"/>
      <c r="HZX196" s="84"/>
      <c r="HZY196" s="84"/>
      <c r="HZZ196" s="84"/>
      <c r="IAA196" s="84"/>
      <c r="IAB196" s="84"/>
      <c r="IAC196" s="84"/>
      <c r="IAD196" s="84"/>
      <c r="IAE196" s="84"/>
      <c r="IAF196" s="84"/>
      <c r="IAG196" s="84"/>
      <c r="IAH196" s="84"/>
      <c r="IAI196" s="84"/>
      <c r="IAJ196" s="84"/>
      <c r="IAK196" s="84"/>
      <c r="IAL196" s="84"/>
      <c r="IAM196" s="84"/>
      <c r="IAN196" s="84"/>
      <c r="IAO196" s="84"/>
      <c r="IAP196" s="84"/>
      <c r="IAQ196" s="84"/>
      <c r="IAR196" s="84"/>
      <c r="IAS196" s="84"/>
      <c r="IAT196" s="84"/>
      <c r="IAU196" s="84"/>
      <c r="IAV196" s="84"/>
      <c r="IAW196" s="84"/>
      <c r="IAX196" s="84"/>
      <c r="IAY196" s="84"/>
      <c r="IAZ196" s="84"/>
      <c r="IBA196" s="84"/>
      <c r="IBB196" s="84"/>
      <c r="IBC196" s="84"/>
      <c r="IBD196" s="84"/>
      <c r="IBE196" s="84"/>
      <c r="IBF196" s="84"/>
      <c r="IBG196" s="84"/>
      <c r="IBH196" s="84"/>
      <c r="IBI196" s="84"/>
      <c r="IBJ196" s="84"/>
      <c r="IBK196" s="84"/>
      <c r="IBL196" s="84"/>
      <c r="IBM196" s="84"/>
      <c r="IBN196" s="84"/>
      <c r="IBO196" s="84"/>
      <c r="IBP196" s="84"/>
      <c r="IBQ196" s="84"/>
      <c r="IBR196" s="84"/>
      <c r="IBS196" s="84"/>
      <c r="IBT196" s="84"/>
      <c r="IBU196" s="84"/>
      <c r="IBV196" s="84"/>
      <c r="IBW196" s="84"/>
      <c r="IBX196" s="84"/>
      <c r="IBY196" s="84"/>
      <c r="IBZ196" s="84"/>
      <c r="ICA196" s="84"/>
      <c r="ICB196" s="84"/>
      <c r="ICC196" s="84"/>
      <c r="ICD196" s="84"/>
      <c r="ICE196" s="84"/>
      <c r="ICF196" s="84"/>
      <c r="ICG196" s="84"/>
      <c r="ICH196" s="84"/>
      <c r="ICI196" s="84"/>
      <c r="ICJ196" s="84"/>
      <c r="ICK196" s="84"/>
      <c r="ICL196" s="84"/>
      <c r="ICM196" s="84"/>
      <c r="ICN196" s="84"/>
      <c r="ICO196" s="84"/>
      <c r="ICP196" s="84"/>
      <c r="ICQ196" s="84"/>
      <c r="ICR196" s="84"/>
      <c r="ICS196" s="84"/>
      <c r="ICT196" s="84"/>
      <c r="ICU196" s="84"/>
      <c r="ICV196" s="84"/>
      <c r="ICW196" s="84"/>
      <c r="ICX196" s="84"/>
      <c r="ICY196" s="84"/>
      <c r="ICZ196" s="84"/>
      <c r="IDA196" s="84"/>
      <c r="IDB196" s="84"/>
      <c r="IDC196" s="84"/>
      <c r="IDD196" s="84"/>
      <c r="IDE196" s="84"/>
      <c r="IDF196" s="84"/>
      <c r="IDG196" s="84"/>
      <c r="IDH196" s="84"/>
      <c r="IDI196" s="84"/>
      <c r="IDJ196" s="84"/>
      <c r="IDK196" s="84"/>
      <c r="IDL196" s="84"/>
      <c r="IDM196" s="84"/>
      <c r="IDN196" s="84"/>
      <c r="IDO196" s="84"/>
      <c r="IDP196" s="84"/>
      <c r="IDQ196" s="84"/>
      <c r="IDR196" s="84"/>
      <c r="IDS196" s="84"/>
      <c r="IDT196" s="84"/>
      <c r="IDU196" s="84"/>
      <c r="IDV196" s="84"/>
      <c r="IDW196" s="84"/>
      <c r="IDX196" s="84"/>
      <c r="IDY196" s="84"/>
      <c r="IDZ196" s="84"/>
      <c r="IEA196" s="84"/>
      <c r="IEB196" s="84"/>
      <c r="IEC196" s="84"/>
      <c r="IED196" s="84"/>
      <c r="IEE196" s="84"/>
      <c r="IEF196" s="84"/>
      <c r="IEG196" s="84"/>
      <c r="IEH196" s="84"/>
      <c r="IEI196" s="84"/>
      <c r="IEJ196" s="84"/>
      <c r="IEK196" s="84"/>
      <c r="IEL196" s="84"/>
      <c r="IEM196" s="84"/>
      <c r="IEN196" s="84"/>
      <c r="IEO196" s="84"/>
      <c r="IEP196" s="84"/>
      <c r="IEQ196" s="84"/>
      <c r="IER196" s="84"/>
      <c r="IES196" s="84"/>
      <c r="IET196" s="84"/>
      <c r="IEU196" s="84"/>
      <c r="IEV196" s="84"/>
      <c r="IEW196" s="84"/>
      <c r="IEX196" s="84"/>
      <c r="IEY196" s="84"/>
      <c r="IEZ196" s="84"/>
      <c r="IFA196" s="84"/>
      <c r="IFB196" s="84"/>
      <c r="IFC196" s="84"/>
      <c r="IFD196" s="84"/>
      <c r="IFE196" s="84"/>
      <c r="IFF196" s="84"/>
      <c r="IFG196" s="84"/>
      <c r="IFH196" s="84"/>
      <c r="IFI196" s="84"/>
      <c r="IFJ196" s="84"/>
      <c r="IFK196" s="84"/>
      <c r="IFL196" s="84"/>
      <c r="IFM196" s="84"/>
      <c r="IFN196" s="84"/>
      <c r="IFO196" s="84"/>
      <c r="IFP196" s="84"/>
      <c r="IFQ196" s="84"/>
      <c r="IFR196" s="84"/>
      <c r="IFS196" s="84"/>
      <c r="IFT196" s="84"/>
      <c r="IFU196" s="84"/>
      <c r="IFV196" s="84"/>
      <c r="IFW196" s="84"/>
      <c r="IFX196" s="84"/>
      <c r="IFY196" s="84"/>
      <c r="IFZ196" s="84"/>
      <c r="IGA196" s="84"/>
      <c r="IGB196" s="84"/>
      <c r="IGC196" s="84"/>
      <c r="IGD196" s="84"/>
      <c r="IGE196" s="84"/>
      <c r="IGF196" s="84"/>
      <c r="IGG196" s="84"/>
      <c r="IGH196" s="84"/>
      <c r="IGI196" s="84"/>
      <c r="IGJ196" s="84"/>
      <c r="IGK196" s="84"/>
      <c r="IGL196" s="84"/>
      <c r="IGM196" s="84"/>
      <c r="IGN196" s="84"/>
      <c r="IGO196" s="84"/>
      <c r="IGP196" s="84"/>
      <c r="IGQ196" s="84"/>
      <c r="IGR196" s="84"/>
      <c r="IGS196" s="84"/>
      <c r="IGT196" s="84"/>
      <c r="IGU196" s="84"/>
      <c r="IGV196" s="84"/>
      <c r="IGW196" s="84"/>
      <c r="IGX196" s="84"/>
      <c r="IGY196" s="84"/>
      <c r="IGZ196" s="84"/>
      <c r="IHA196" s="84"/>
      <c r="IHB196" s="84"/>
      <c r="IHC196" s="84"/>
      <c r="IHD196" s="84"/>
      <c r="IHE196" s="84"/>
      <c r="IHF196" s="84"/>
      <c r="IHG196" s="84"/>
      <c r="IHH196" s="84"/>
      <c r="IHI196" s="84"/>
      <c r="IHJ196" s="84"/>
      <c r="IHK196" s="84"/>
      <c r="IHL196" s="84"/>
      <c r="IHM196" s="84"/>
      <c r="IHN196" s="84"/>
      <c r="IHO196" s="84"/>
      <c r="IHP196" s="84"/>
      <c r="IHQ196" s="84"/>
      <c r="IHR196" s="84"/>
      <c r="IHS196" s="84"/>
      <c r="IHT196" s="84"/>
      <c r="IHU196" s="84"/>
      <c r="IHV196" s="84"/>
      <c r="IHW196" s="84"/>
      <c r="IHX196" s="84"/>
      <c r="IHY196" s="84"/>
      <c r="IHZ196" s="84"/>
      <c r="IIA196" s="84"/>
      <c r="IIB196" s="84"/>
      <c r="IIC196" s="84"/>
      <c r="IID196" s="84"/>
      <c r="IIE196" s="84"/>
      <c r="IIF196" s="84"/>
      <c r="IIG196" s="84"/>
      <c r="IIH196" s="84"/>
      <c r="III196" s="84"/>
      <c r="IIJ196" s="84"/>
      <c r="IIK196" s="84"/>
      <c r="IIL196" s="84"/>
      <c r="IIM196" s="84"/>
      <c r="IIN196" s="84"/>
      <c r="IIO196" s="84"/>
      <c r="IIP196" s="84"/>
      <c r="IIQ196" s="84"/>
      <c r="IIR196" s="84"/>
      <c r="IIS196" s="84"/>
      <c r="IIT196" s="84"/>
      <c r="IIU196" s="84"/>
      <c r="IIV196" s="84"/>
      <c r="IIW196" s="84"/>
      <c r="IIX196" s="84"/>
      <c r="IIY196" s="84"/>
      <c r="IIZ196" s="84"/>
      <c r="IJA196" s="84"/>
      <c r="IJB196" s="84"/>
      <c r="IJC196" s="84"/>
      <c r="IJD196" s="84"/>
      <c r="IJE196" s="84"/>
      <c r="IJF196" s="84"/>
      <c r="IJG196" s="84"/>
      <c r="IJH196" s="84"/>
      <c r="IJI196" s="84"/>
      <c r="IJJ196" s="84"/>
      <c r="IJK196" s="84"/>
      <c r="IJL196" s="84"/>
      <c r="IJM196" s="84"/>
      <c r="IJN196" s="84"/>
      <c r="IJO196" s="84"/>
      <c r="IJP196" s="84"/>
      <c r="IJQ196" s="84"/>
      <c r="IJR196" s="84"/>
      <c r="IJS196" s="84"/>
      <c r="IJT196" s="84"/>
      <c r="IJU196" s="84"/>
      <c r="IJV196" s="84"/>
      <c r="IJW196" s="84"/>
      <c r="IJX196" s="84"/>
      <c r="IJY196" s="84"/>
      <c r="IJZ196" s="84"/>
      <c r="IKA196" s="84"/>
      <c r="IKB196" s="84"/>
      <c r="IKC196" s="84"/>
      <c r="IKD196" s="84"/>
      <c r="IKE196" s="84"/>
      <c r="IKF196" s="84"/>
      <c r="IKG196" s="84"/>
      <c r="IKH196" s="84"/>
      <c r="IKI196" s="84"/>
      <c r="IKJ196" s="84"/>
      <c r="IKK196" s="84"/>
      <c r="IKL196" s="84"/>
      <c r="IKM196" s="84"/>
      <c r="IKN196" s="84"/>
      <c r="IKO196" s="84"/>
      <c r="IKP196" s="84"/>
      <c r="IKQ196" s="84"/>
      <c r="IKR196" s="84"/>
      <c r="IKS196" s="84"/>
      <c r="IKT196" s="84"/>
      <c r="IKU196" s="84"/>
      <c r="IKV196" s="84"/>
      <c r="IKW196" s="84"/>
      <c r="IKX196" s="84"/>
      <c r="IKY196" s="84"/>
      <c r="IKZ196" s="84"/>
      <c r="ILA196" s="84"/>
      <c r="ILB196" s="84"/>
      <c r="ILC196" s="84"/>
      <c r="ILD196" s="84"/>
      <c r="ILE196" s="84"/>
      <c r="ILF196" s="84"/>
      <c r="ILG196" s="84"/>
      <c r="ILH196" s="84"/>
      <c r="ILI196" s="84"/>
      <c r="ILJ196" s="84"/>
      <c r="ILK196" s="84"/>
      <c r="ILL196" s="84"/>
      <c r="ILM196" s="84"/>
      <c r="ILN196" s="84"/>
      <c r="ILO196" s="84"/>
      <c r="ILP196" s="84"/>
      <c r="ILQ196" s="84"/>
      <c r="ILR196" s="84"/>
      <c r="ILS196" s="84"/>
      <c r="ILT196" s="84"/>
      <c r="ILU196" s="84"/>
      <c r="ILV196" s="84"/>
      <c r="ILW196" s="84"/>
      <c r="ILX196" s="84"/>
      <c r="ILY196" s="84"/>
      <c r="ILZ196" s="84"/>
      <c r="IMA196" s="84"/>
      <c r="IMB196" s="84"/>
      <c r="IMC196" s="84"/>
      <c r="IMD196" s="84"/>
      <c r="IME196" s="84"/>
      <c r="IMF196" s="84"/>
      <c r="IMG196" s="84"/>
      <c r="IMH196" s="84"/>
      <c r="IMI196" s="84"/>
      <c r="IMJ196" s="84"/>
      <c r="IMK196" s="84"/>
      <c r="IML196" s="84"/>
      <c r="IMM196" s="84"/>
      <c r="IMN196" s="84"/>
      <c r="IMO196" s="84"/>
      <c r="IMP196" s="84"/>
      <c r="IMQ196" s="84"/>
      <c r="IMR196" s="84"/>
      <c r="IMS196" s="84"/>
      <c r="IMT196" s="84"/>
      <c r="IMU196" s="84"/>
      <c r="IMV196" s="84"/>
      <c r="IMW196" s="84"/>
      <c r="IMX196" s="84"/>
      <c r="IMY196" s="84"/>
      <c r="IMZ196" s="84"/>
      <c r="INA196" s="84"/>
      <c r="INB196" s="84"/>
      <c r="INC196" s="84"/>
      <c r="IND196" s="84"/>
      <c r="INE196" s="84"/>
      <c r="INF196" s="84"/>
      <c r="ING196" s="84"/>
      <c r="INH196" s="84"/>
      <c r="INI196" s="84"/>
      <c r="INJ196" s="84"/>
      <c r="INK196" s="84"/>
      <c r="INL196" s="84"/>
      <c r="INM196" s="84"/>
      <c r="INN196" s="84"/>
      <c r="INO196" s="84"/>
      <c r="INP196" s="84"/>
      <c r="INQ196" s="84"/>
      <c r="INR196" s="84"/>
      <c r="INS196" s="84"/>
      <c r="INT196" s="84"/>
      <c r="INU196" s="84"/>
      <c r="INV196" s="84"/>
      <c r="INW196" s="84"/>
      <c r="INX196" s="84"/>
      <c r="INY196" s="84"/>
      <c r="INZ196" s="84"/>
      <c r="IOA196" s="84"/>
      <c r="IOB196" s="84"/>
      <c r="IOC196" s="84"/>
      <c r="IOD196" s="84"/>
      <c r="IOE196" s="84"/>
      <c r="IOF196" s="84"/>
      <c r="IOG196" s="84"/>
      <c r="IOH196" s="84"/>
      <c r="IOI196" s="84"/>
      <c r="IOJ196" s="84"/>
      <c r="IOK196" s="84"/>
      <c r="IOL196" s="84"/>
      <c r="IOM196" s="84"/>
      <c r="ION196" s="84"/>
      <c r="IOO196" s="84"/>
      <c r="IOP196" s="84"/>
      <c r="IOQ196" s="84"/>
      <c r="IOR196" s="84"/>
      <c r="IOS196" s="84"/>
      <c r="IOT196" s="84"/>
      <c r="IOU196" s="84"/>
      <c r="IOV196" s="84"/>
      <c r="IOW196" s="84"/>
      <c r="IOX196" s="84"/>
      <c r="IOY196" s="84"/>
      <c r="IOZ196" s="84"/>
      <c r="IPA196" s="84"/>
      <c r="IPB196" s="84"/>
      <c r="IPC196" s="84"/>
      <c r="IPD196" s="84"/>
      <c r="IPE196" s="84"/>
      <c r="IPF196" s="84"/>
      <c r="IPG196" s="84"/>
      <c r="IPH196" s="84"/>
      <c r="IPI196" s="84"/>
      <c r="IPJ196" s="84"/>
      <c r="IPK196" s="84"/>
      <c r="IPL196" s="84"/>
      <c r="IPM196" s="84"/>
      <c r="IPN196" s="84"/>
      <c r="IPO196" s="84"/>
      <c r="IPP196" s="84"/>
      <c r="IPQ196" s="84"/>
      <c r="IPR196" s="84"/>
      <c r="IPS196" s="84"/>
      <c r="IPT196" s="84"/>
      <c r="IPU196" s="84"/>
      <c r="IPV196" s="84"/>
      <c r="IPW196" s="84"/>
      <c r="IPX196" s="84"/>
      <c r="IPY196" s="84"/>
      <c r="IPZ196" s="84"/>
      <c r="IQA196" s="84"/>
      <c r="IQB196" s="84"/>
      <c r="IQC196" s="84"/>
      <c r="IQD196" s="84"/>
      <c r="IQE196" s="84"/>
      <c r="IQF196" s="84"/>
      <c r="IQG196" s="84"/>
      <c r="IQH196" s="84"/>
      <c r="IQI196" s="84"/>
      <c r="IQJ196" s="84"/>
      <c r="IQK196" s="84"/>
      <c r="IQL196" s="84"/>
      <c r="IQM196" s="84"/>
      <c r="IQN196" s="84"/>
      <c r="IQO196" s="84"/>
      <c r="IQP196" s="84"/>
      <c r="IQQ196" s="84"/>
      <c r="IQR196" s="84"/>
      <c r="IQS196" s="84"/>
      <c r="IQT196" s="84"/>
      <c r="IQU196" s="84"/>
      <c r="IQV196" s="84"/>
      <c r="IQW196" s="84"/>
      <c r="IQX196" s="84"/>
      <c r="IQY196" s="84"/>
      <c r="IQZ196" s="84"/>
      <c r="IRA196" s="84"/>
      <c r="IRB196" s="84"/>
      <c r="IRC196" s="84"/>
      <c r="IRD196" s="84"/>
      <c r="IRE196" s="84"/>
      <c r="IRF196" s="84"/>
      <c r="IRG196" s="84"/>
      <c r="IRH196" s="84"/>
      <c r="IRI196" s="84"/>
      <c r="IRJ196" s="84"/>
      <c r="IRK196" s="84"/>
      <c r="IRL196" s="84"/>
      <c r="IRM196" s="84"/>
      <c r="IRN196" s="84"/>
      <c r="IRO196" s="84"/>
      <c r="IRP196" s="84"/>
      <c r="IRQ196" s="84"/>
      <c r="IRR196" s="84"/>
      <c r="IRS196" s="84"/>
      <c r="IRT196" s="84"/>
      <c r="IRU196" s="84"/>
      <c r="IRV196" s="84"/>
      <c r="IRW196" s="84"/>
      <c r="IRX196" s="84"/>
      <c r="IRY196" s="84"/>
      <c r="IRZ196" s="84"/>
      <c r="ISA196" s="84"/>
      <c r="ISB196" s="84"/>
      <c r="ISC196" s="84"/>
      <c r="ISD196" s="84"/>
      <c r="ISE196" s="84"/>
      <c r="ISF196" s="84"/>
      <c r="ISG196" s="84"/>
      <c r="ISH196" s="84"/>
      <c r="ISI196" s="84"/>
      <c r="ISJ196" s="84"/>
      <c r="ISK196" s="84"/>
      <c r="ISL196" s="84"/>
      <c r="ISM196" s="84"/>
      <c r="ISN196" s="84"/>
      <c r="ISO196" s="84"/>
      <c r="ISP196" s="84"/>
      <c r="ISQ196" s="84"/>
      <c r="ISR196" s="84"/>
      <c r="ISS196" s="84"/>
      <c r="IST196" s="84"/>
      <c r="ISU196" s="84"/>
      <c r="ISV196" s="84"/>
      <c r="ISW196" s="84"/>
      <c r="ISX196" s="84"/>
      <c r="ISY196" s="84"/>
      <c r="ISZ196" s="84"/>
      <c r="ITA196" s="84"/>
      <c r="ITB196" s="84"/>
      <c r="ITC196" s="84"/>
      <c r="ITD196" s="84"/>
      <c r="ITE196" s="84"/>
      <c r="ITF196" s="84"/>
      <c r="ITG196" s="84"/>
      <c r="ITH196" s="84"/>
      <c r="ITI196" s="84"/>
      <c r="ITJ196" s="84"/>
      <c r="ITK196" s="84"/>
      <c r="ITL196" s="84"/>
      <c r="ITM196" s="84"/>
      <c r="ITN196" s="84"/>
      <c r="ITO196" s="84"/>
      <c r="ITP196" s="84"/>
      <c r="ITQ196" s="84"/>
      <c r="ITR196" s="84"/>
      <c r="ITS196" s="84"/>
      <c r="ITT196" s="84"/>
      <c r="ITU196" s="84"/>
      <c r="ITV196" s="84"/>
      <c r="ITW196" s="84"/>
      <c r="ITX196" s="84"/>
      <c r="ITY196" s="84"/>
      <c r="ITZ196" s="84"/>
      <c r="IUA196" s="84"/>
      <c r="IUB196" s="84"/>
      <c r="IUC196" s="84"/>
      <c r="IUD196" s="84"/>
      <c r="IUE196" s="84"/>
      <c r="IUF196" s="84"/>
      <c r="IUG196" s="84"/>
      <c r="IUH196" s="84"/>
      <c r="IUI196" s="84"/>
      <c r="IUJ196" s="84"/>
      <c r="IUK196" s="84"/>
      <c r="IUL196" s="84"/>
      <c r="IUM196" s="84"/>
      <c r="IUN196" s="84"/>
      <c r="IUO196" s="84"/>
      <c r="IUP196" s="84"/>
      <c r="IUQ196" s="84"/>
      <c r="IUR196" s="84"/>
      <c r="IUS196" s="84"/>
      <c r="IUT196" s="84"/>
      <c r="IUU196" s="84"/>
      <c r="IUV196" s="84"/>
      <c r="IUW196" s="84"/>
      <c r="IUX196" s="84"/>
      <c r="IUY196" s="84"/>
      <c r="IUZ196" s="84"/>
      <c r="IVA196" s="84"/>
      <c r="IVB196" s="84"/>
      <c r="IVC196" s="84"/>
      <c r="IVD196" s="84"/>
      <c r="IVE196" s="84"/>
      <c r="IVF196" s="84"/>
      <c r="IVG196" s="84"/>
      <c r="IVH196" s="84"/>
      <c r="IVI196" s="84"/>
      <c r="IVJ196" s="84"/>
      <c r="IVK196" s="84"/>
      <c r="IVL196" s="84"/>
      <c r="IVM196" s="84"/>
      <c r="IVN196" s="84"/>
      <c r="IVO196" s="84"/>
      <c r="IVP196" s="84"/>
      <c r="IVQ196" s="84"/>
      <c r="IVR196" s="84"/>
      <c r="IVS196" s="84"/>
      <c r="IVT196" s="84"/>
      <c r="IVU196" s="84"/>
      <c r="IVV196" s="84"/>
      <c r="IVW196" s="84"/>
      <c r="IVX196" s="84"/>
      <c r="IVY196" s="84"/>
      <c r="IVZ196" s="84"/>
      <c r="IWA196" s="84"/>
      <c r="IWB196" s="84"/>
      <c r="IWC196" s="84"/>
      <c r="IWD196" s="84"/>
      <c r="IWE196" s="84"/>
      <c r="IWF196" s="84"/>
      <c r="IWG196" s="84"/>
      <c r="IWH196" s="84"/>
      <c r="IWI196" s="84"/>
      <c r="IWJ196" s="84"/>
      <c r="IWK196" s="84"/>
      <c r="IWL196" s="84"/>
      <c r="IWM196" s="84"/>
      <c r="IWN196" s="84"/>
      <c r="IWO196" s="84"/>
      <c r="IWP196" s="84"/>
      <c r="IWQ196" s="84"/>
      <c r="IWR196" s="84"/>
      <c r="IWS196" s="84"/>
      <c r="IWT196" s="84"/>
      <c r="IWU196" s="84"/>
      <c r="IWV196" s="84"/>
      <c r="IWW196" s="84"/>
      <c r="IWX196" s="84"/>
      <c r="IWY196" s="84"/>
      <c r="IWZ196" s="84"/>
      <c r="IXA196" s="84"/>
      <c r="IXB196" s="84"/>
      <c r="IXC196" s="84"/>
      <c r="IXD196" s="84"/>
      <c r="IXE196" s="84"/>
      <c r="IXF196" s="84"/>
      <c r="IXG196" s="84"/>
      <c r="IXH196" s="84"/>
      <c r="IXI196" s="84"/>
      <c r="IXJ196" s="84"/>
      <c r="IXK196" s="84"/>
      <c r="IXL196" s="84"/>
      <c r="IXM196" s="84"/>
      <c r="IXN196" s="84"/>
      <c r="IXO196" s="84"/>
      <c r="IXP196" s="84"/>
      <c r="IXQ196" s="84"/>
      <c r="IXR196" s="84"/>
      <c r="IXS196" s="84"/>
      <c r="IXT196" s="84"/>
      <c r="IXU196" s="84"/>
      <c r="IXV196" s="84"/>
      <c r="IXW196" s="84"/>
      <c r="IXX196" s="84"/>
      <c r="IXY196" s="84"/>
      <c r="IXZ196" s="84"/>
      <c r="IYA196" s="84"/>
      <c r="IYB196" s="84"/>
      <c r="IYC196" s="84"/>
      <c r="IYD196" s="84"/>
      <c r="IYE196" s="84"/>
      <c r="IYF196" s="84"/>
      <c r="IYG196" s="84"/>
      <c r="IYH196" s="84"/>
      <c r="IYI196" s="84"/>
      <c r="IYJ196" s="84"/>
      <c r="IYK196" s="84"/>
      <c r="IYL196" s="84"/>
      <c r="IYM196" s="84"/>
      <c r="IYN196" s="84"/>
      <c r="IYO196" s="84"/>
      <c r="IYP196" s="84"/>
      <c r="IYQ196" s="84"/>
      <c r="IYR196" s="84"/>
      <c r="IYS196" s="84"/>
      <c r="IYT196" s="84"/>
      <c r="IYU196" s="84"/>
      <c r="IYV196" s="84"/>
      <c r="IYW196" s="84"/>
      <c r="IYX196" s="84"/>
      <c r="IYY196" s="84"/>
      <c r="IYZ196" s="84"/>
      <c r="IZA196" s="84"/>
      <c r="IZB196" s="84"/>
      <c r="IZC196" s="84"/>
      <c r="IZD196" s="84"/>
      <c r="IZE196" s="84"/>
      <c r="IZF196" s="84"/>
      <c r="IZG196" s="84"/>
      <c r="IZH196" s="84"/>
      <c r="IZI196" s="84"/>
      <c r="IZJ196" s="84"/>
      <c r="IZK196" s="84"/>
      <c r="IZL196" s="84"/>
      <c r="IZM196" s="84"/>
      <c r="IZN196" s="84"/>
      <c r="IZO196" s="84"/>
      <c r="IZP196" s="84"/>
      <c r="IZQ196" s="84"/>
      <c r="IZR196" s="84"/>
      <c r="IZS196" s="84"/>
      <c r="IZT196" s="84"/>
      <c r="IZU196" s="84"/>
      <c r="IZV196" s="84"/>
      <c r="IZW196" s="84"/>
      <c r="IZX196" s="84"/>
      <c r="IZY196" s="84"/>
      <c r="IZZ196" s="84"/>
      <c r="JAA196" s="84"/>
      <c r="JAB196" s="84"/>
      <c r="JAC196" s="84"/>
      <c r="JAD196" s="84"/>
      <c r="JAE196" s="84"/>
      <c r="JAF196" s="84"/>
      <c r="JAG196" s="84"/>
      <c r="JAH196" s="84"/>
      <c r="JAI196" s="84"/>
      <c r="JAJ196" s="84"/>
      <c r="JAK196" s="84"/>
      <c r="JAL196" s="84"/>
      <c r="JAM196" s="84"/>
      <c r="JAN196" s="84"/>
      <c r="JAO196" s="84"/>
      <c r="JAP196" s="84"/>
      <c r="JAQ196" s="84"/>
      <c r="JAR196" s="84"/>
      <c r="JAS196" s="84"/>
      <c r="JAT196" s="84"/>
      <c r="JAU196" s="84"/>
      <c r="JAV196" s="84"/>
      <c r="JAW196" s="84"/>
      <c r="JAX196" s="84"/>
      <c r="JAY196" s="84"/>
      <c r="JAZ196" s="84"/>
      <c r="JBA196" s="84"/>
      <c r="JBB196" s="84"/>
      <c r="JBC196" s="84"/>
      <c r="JBD196" s="84"/>
      <c r="JBE196" s="84"/>
      <c r="JBF196" s="84"/>
      <c r="JBG196" s="84"/>
      <c r="JBH196" s="84"/>
      <c r="JBI196" s="84"/>
      <c r="JBJ196" s="84"/>
      <c r="JBK196" s="84"/>
      <c r="JBL196" s="84"/>
      <c r="JBM196" s="84"/>
      <c r="JBN196" s="84"/>
      <c r="JBO196" s="84"/>
      <c r="JBP196" s="84"/>
      <c r="JBQ196" s="84"/>
      <c r="JBR196" s="84"/>
      <c r="JBS196" s="84"/>
      <c r="JBT196" s="84"/>
      <c r="JBU196" s="84"/>
      <c r="JBV196" s="84"/>
      <c r="JBW196" s="84"/>
      <c r="JBX196" s="84"/>
      <c r="JBY196" s="84"/>
      <c r="JBZ196" s="84"/>
      <c r="JCA196" s="84"/>
      <c r="JCB196" s="84"/>
      <c r="JCC196" s="84"/>
      <c r="JCD196" s="84"/>
      <c r="JCE196" s="84"/>
      <c r="JCF196" s="84"/>
      <c r="JCG196" s="84"/>
      <c r="JCH196" s="84"/>
      <c r="JCI196" s="84"/>
      <c r="JCJ196" s="84"/>
      <c r="JCK196" s="84"/>
      <c r="JCL196" s="84"/>
      <c r="JCM196" s="84"/>
      <c r="JCN196" s="84"/>
      <c r="JCO196" s="84"/>
      <c r="JCP196" s="84"/>
      <c r="JCQ196" s="84"/>
      <c r="JCR196" s="84"/>
      <c r="JCS196" s="84"/>
      <c r="JCT196" s="84"/>
      <c r="JCU196" s="84"/>
      <c r="JCV196" s="84"/>
      <c r="JCW196" s="84"/>
      <c r="JCX196" s="84"/>
      <c r="JCY196" s="84"/>
      <c r="JCZ196" s="84"/>
      <c r="JDA196" s="84"/>
      <c r="JDB196" s="84"/>
      <c r="JDC196" s="84"/>
      <c r="JDD196" s="84"/>
      <c r="JDE196" s="84"/>
      <c r="JDF196" s="84"/>
      <c r="JDG196" s="84"/>
      <c r="JDH196" s="84"/>
      <c r="JDI196" s="84"/>
      <c r="JDJ196" s="84"/>
      <c r="JDK196" s="84"/>
      <c r="JDL196" s="84"/>
      <c r="JDM196" s="84"/>
      <c r="JDN196" s="84"/>
      <c r="JDO196" s="84"/>
      <c r="JDP196" s="84"/>
      <c r="JDQ196" s="84"/>
      <c r="JDR196" s="84"/>
      <c r="JDS196" s="84"/>
      <c r="JDT196" s="84"/>
      <c r="JDU196" s="84"/>
      <c r="JDV196" s="84"/>
      <c r="JDW196" s="84"/>
      <c r="JDX196" s="84"/>
      <c r="JDY196" s="84"/>
      <c r="JDZ196" s="84"/>
      <c r="JEA196" s="84"/>
      <c r="JEB196" s="84"/>
      <c r="JEC196" s="84"/>
      <c r="JED196" s="84"/>
      <c r="JEE196" s="84"/>
      <c r="JEF196" s="84"/>
      <c r="JEG196" s="84"/>
      <c r="JEH196" s="84"/>
      <c r="JEI196" s="84"/>
      <c r="JEJ196" s="84"/>
      <c r="JEK196" s="84"/>
      <c r="JEL196" s="84"/>
      <c r="JEM196" s="84"/>
      <c r="JEN196" s="84"/>
      <c r="JEO196" s="84"/>
      <c r="JEP196" s="84"/>
      <c r="JEQ196" s="84"/>
      <c r="JER196" s="84"/>
      <c r="JES196" s="84"/>
      <c r="JET196" s="84"/>
      <c r="JEU196" s="84"/>
      <c r="JEV196" s="84"/>
      <c r="JEW196" s="84"/>
      <c r="JEX196" s="84"/>
      <c r="JEY196" s="84"/>
      <c r="JEZ196" s="84"/>
      <c r="JFA196" s="84"/>
      <c r="JFB196" s="84"/>
      <c r="JFC196" s="84"/>
      <c r="JFD196" s="84"/>
      <c r="JFE196" s="84"/>
      <c r="JFF196" s="84"/>
      <c r="JFG196" s="84"/>
      <c r="JFH196" s="84"/>
      <c r="JFI196" s="84"/>
      <c r="JFJ196" s="84"/>
      <c r="JFK196" s="84"/>
      <c r="JFL196" s="84"/>
      <c r="JFM196" s="84"/>
      <c r="JFN196" s="84"/>
      <c r="JFO196" s="84"/>
      <c r="JFP196" s="84"/>
      <c r="JFQ196" s="84"/>
      <c r="JFR196" s="84"/>
      <c r="JFS196" s="84"/>
      <c r="JFT196" s="84"/>
      <c r="JFU196" s="84"/>
      <c r="JFV196" s="84"/>
      <c r="JFW196" s="84"/>
      <c r="JFX196" s="84"/>
      <c r="JFY196" s="84"/>
      <c r="JFZ196" s="84"/>
      <c r="JGA196" s="84"/>
      <c r="JGB196" s="84"/>
      <c r="JGC196" s="84"/>
      <c r="JGD196" s="84"/>
      <c r="JGE196" s="84"/>
      <c r="JGF196" s="84"/>
      <c r="JGG196" s="84"/>
      <c r="JGH196" s="84"/>
      <c r="JGI196" s="84"/>
      <c r="JGJ196" s="84"/>
      <c r="JGK196" s="84"/>
      <c r="JGL196" s="84"/>
      <c r="JGM196" s="84"/>
      <c r="JGN196" s="84"/>
      <c r="JGO196" s="84"/>
      <c r="JGP196" s="84"/>
      <c r="JGQ196" s="84"/>
      <c r="JGR196" s="84"/>
      <c r="JGS196" s="84"/>
      <c r="JGT196" s="84"/>
      <c r="JGU196" s="84"/>
      <c r="JGV196" s="84"/>
      <c r="JGW196" s="84"/>
      <c r="JGX196" s="84"/>
      <c r="JGY196" s="84"/>
      <c r="JGZ196" s="84"/>
      <c r="JHA196" s="84"/>
      <c r="JHB196" s="84"/>
      <c r="JHC196" s="84"/>
      <c r="JHD196" s="84"/>
      <c r="JHE196" s="84"/>
      <c r="JHF196" s="84"/>
      <c r="JHG196" s="84"/>
      <c r="JHH196" s="84"/>
      <c r="JHI196" s="84"/>
      <c r="JHJ196" s="84"/>
      <c r="JHK196" s="84"/>
      <c r="JHL196" s="84"/>
      <c r="JHM196" s="84"/>
      <c r="JHN196" s="84"/>
      <c r="JHO196" s="84"/>
      <c r="JHP196" s="84"/>
      <c r="JHQ196" s="84"/>
      <c r="JHR196" s="84"/>
      <c r="JHS196" s="84"/>
      <c r="JHT196" s="84"/>
      <c r="JHU196" s="84"/>
      <c r="JHV196" s="84"/>
      <c r="JHW196" s="84"/>
      <c r="JHX196" s="84"/>
      <c r="JHY196" s="84"/>
      <c r="JHZ196" s="84"/>
      <c r="JIA196" s="84"/>
      <c r="JIB196" s="84"/>
      <c r="JIC196" s="84"/>
      <c r="JID196" s="84"/>
      <c r="JIE196" s="84"/>
      <c r="JIF196" s="84"/>
      <c r="JIG196" s="84"/>
      <c r="JIH196" s="84"/>
      <c r="JII196" s="84"/>
      <c r="JIJ196" s="84"/>
      <c r="JIK196" s="84"/>
      <c r="JIL196" s="84"/>
      <c r="JIM196" s="84"/>
      <c r="JIN196" s="84"/>
      <c r="JIO196" s="84"/>
      <c r="JIP196" s="84"/>
      <c r="JIQ196" s="84"/>
      <c r="JIR196" s="84"/>
      <c r="JIS196" s="84"/>
      <c r="JIT196" s="84"/>
      <c r="JIU196" s="84"/>
      <c r="JIV196" s="84"/>
      <c r="JIW196" s="84"/>
      <c r="JIX196" s="84"/>
      <c r="JIY196" s="84"/>
      <c r="JIZ196" s="84"/>
      <c r="JJA196" s="84"/>
      <c r="JJB196" s="84"/>
      <c r="JJC196" s="84"/>
      <c r="JJD196" s="84"/>
      <c r="JJE196" s="84"/>
      <c r="JJF196" s="84"/>
      <c r="JJG196" s="84"/>
      <c r="JJH196" s="84"/>
      <c r="JJI196" s="84"/>
      <c r="JJJ196" s="84"/>
      <c r="JJK196" s="84"/>
      <c r="JJL196" s="84"/>
      <c r="JJM196" s="84"/>
      <c r="JJN196" s="84"/>
      <c r="JJO196" s="84"/>
      <c r="JJP196" s="84"/>
      <c r="JJQ196" s="84"/>
      <c r="JJR196" s="84"/>
      <c r="JJS196" s="84"/>
      <c r="JJT196" s="84"/>
      <c r="JJU196" s="84"/>
      <c r="JJV196" s="84"/>
      <c r="JJW196" s="84"/>
      <c r="JJX196" s="84"/>
      <c r="JJY196" s="84"/>
      <c r="JJZ196" s="84"/>
      <c r="JKA196" s="84"/>
      <c r="JKB196" s="84"/>
      <c r="JKC196" s="84"/>
      <c r="JKD196" s="84"/>
      <c r="JKE196" s="84"/>
      <c r="JKF196" s="84"/>
      <c r="JKG196" s="84"/>
      <c r="JKH196" s="84"/>
      <c r="JKI196" s="84"/>
      <c r="JKJ196" s="84"/>
      <c r="JKK196" s="84"/>
      <c r="JKL196" s="84"/>
      <c r="JKM196" s="84"/>
      <c r="JKN196" s="84"/>
      <c r="JKO196" s="84"/>
      <c r="JKP196" s="84"/>
      <c r="JKQ196" s="84"/>
      <c r="JKR196" s="84"/>
      <c r="JKS196" s="84"/>
      <c r="JKT196" s="84"/>
      <c r="JKU196" s="84"/>
      <c r="JKV196" s="84"/>
      <c r="JKW196" s="84"/>
      <c r="JKX196" s="84"/>
      <c r="JKY196" s="84"/>
      <c r="JKZ196" s="84"/>
      <c r="JLA196" s="84"/>
      <c r="JLB196" s="84"/>
      <c r="JLC196" s="84"/>
      <c r="JLD196" s="84"/>
      <c r="JLE196" s="84"/>
      <c r="JLF196" s="84"/>
      <c r="JLG196" s="84"/>
      <c r="JLH196" s="84"/>
      <c r="JLI196" s="84"/>
      <c r="JLJ196" s="84"/>
      <c r="JLK196" s="84"/>
      <c r="JLL196" s="84"/>
      <c r="JLM196" s="84"/>
      <c r="JLN196" s="84"/>
      <c r="JLO196" s="84"/>
      <c r="JLP196" s="84"/>
      <c r="JLQ196" s="84"/>
      <c r="JLR196" s="84"/>
      <c r="JLS196" s="84"/>
      <c r="JLT196" s="84"/>
      <c r="JLU196" s="84"/>
      <c r="JLV196" s="84"/>
      <c r="JLW196" s="84"/>
      <c r="JLX196" s="84"/>
      <c r="JLY196" s="84"/>
      <c r="JLZ196" s="84"/>
      <c r="JMA196" s="84"/>
      <c r="JMB196" s="84"/>
      <c r="JMC196" s="84"/>
      <c r="JMD196" s="84"/>
      <c r="JME196" s="84"/>
      <c r="JMF196" s="84"/>
      <c r="JMG196" s="84"/>
      <c r="JMH196" s="84"/>
      <c r="JMI196" s="84"/>
      <c r="JMJ196" s="84"/>
      <c r="JMK196" s="84"/>
      <c r="JML196" s="84"/>
      <c r="JMM196" s="84"/>
      <c r="JMN196" s="84"/>
      <c r="JMO196" s="84"/>
      <c r="JMP196" s="84"/>
      <c r="JMQ196" s="84"/>
      <c r="JMR196" s="84"/>
      <c r="JMS196" s="84"/>
      <c r="JMT196" s="84"/>
      <c r="JMU196" s="84"/>
      <c r="JMV196" s="84"/>
      <c r="JMW196" s="84"/>
      <c r="JMX196" s="84"/>
      <c r="JMY196" s="84"/>
      <c r="JMZ196" s="84"/>
      <c r="JNA196" s="84"/>
      <c r="JNB196" s="84"/>
      <c r="JNC196" s="84"/>
      <c r="JND196" s="84"/>
      <c r="JNE196" s="84"/>
      <c r="JNF196" s="84"/>
      <c r="JNG196" s="84"/>
      <c r="JNH196" s="84"/>
      <c r="JNI196" s="84"/>
      <c r="JNJ196" s="84"/>
      <c r="JNK196" s="84"/>
      <c r="JNL196" s="84"/>
      <c r="JNM196" s="84"/>
      <c r="JNN196" s="84"/>
      <c r="JNO196" s="84"/>
      <c r="JNP196" s="84"/>
      <c r="JNQ196" s="84"/>
      <c r="JNR196" s="84"/>
      <c r="JNS196" s="84"/>
      <c r="JNT196" s="84"/>
      <c r="JNU196" s="84"/>
      <c r="JNV196" s="84"/>
      <c r="JNW196" s="84"/>
      <c r="JNX196" s="84"/>
      <c r="JNY196" s="84"/>
      <c r="JNZ196" s="84"/>
      <c r="JOA196" s="84"/>
      <c r="JOB196" s="84"/>
      <c r="JOC196" s="84"/>
      <c r="JOD196" s="84"/>
      <c r="JOE196" s="84"/>
      <c r="JOF196" s="84"/>
      <c r="JOG196" s="84"/>
      <c r="JOH196" s="84"/>
      <c r="JOI196" s="84"/>
      <c r="JOJ196" s="84"/>
      <c r="JOK196" s="84"/>
      <c r="JOL196" s="84"/>
      <c r="JOM196" s="84"/>
      <c r="JON196" s="84"/>
      <c r="JOO196" s="84"/>
      <c r="JOP196" s="84"/>
      <c r="JOQ196" s="84"/>
      <c r="JOR196" s="84"/>
      <c r="JOS196" s="84"/>
      <c r="JOT196" s="84"/>
      <c r="JOU196" s="84"/>
      <c r="JOV196" s="84"/>
      <c r="JOW196" s="84"/>
      <c r="JOX196" s="84"/>
      <c r="JOY196" s="84"/>
      <c r="JOZ196" s="84"/>
      <c r="JPA196" s="84"/>
      <c r="JPB196" s="84"/>
      <c r="JPC196" s="84"/>
      <c r="JPD196" s="84"/>
      <c r="JPE196" s="84"/>
      <c r="JPF196" s="84"/>
      <c r="JPG196" s="84"/>
      <c r="JPH196" s="84"/>
      <c r="JPI196" s="84"/>
      <c r="JPJ196" s="84"/>
      <c r="JPK196" s="84"/>
      <c r="JPL196" s="84"/>
      <c r="JPM196" s="84"/>
      <c r="JPN196" s="84"/>
      <c r="JPO196" s="84"/>
      <c r="JPP196" s="84"/>
      <c r="JPQ196" s="84"/>
      <c r="JPR196" s="84"/>
      <c r="JPS196" s="84"/>
      <c r="JPT196" s="84"/>
      <c r="JPU196" s="84"/>
      <c r="JPV196" s="84"/>
      <c r="JPW196" s="84"/>
      <c r="JPX196" s="84"/>
      <c r="JPY196" s="84"/>
      <c r="JPZ196" s="84"/>
      <c r="JQA196" s="84"/>
      <c r="JQB196" s="84"/>
      <c r="JQC196" s="84"/>
      <c r="JQD196" s="84"/>
      <c r="JQE196" s="84"/>
      <c r="JQF196" s="84"/>
      <c r="JQG196" s="84"/>
      <c r="JQH196" s="84"/>
      <c r="JQI196" s="84"/>
      <c r="JQJ196" s="84"/>
      <c r="JQK196" s="84"/>
      <c r="JQL196" s="84"/>
      <c r="JQM196" s="84"/>
      <c r="JQN196" s="84"/>
      <c r="JQO196" s="84"/>
      <c r="JQP196" s="84"/>
      <c r="JQQ196" s="84"/>
      <c r="JQR196" s="84"/>
      <c r="JQS196" s="84"/>
      <c r="JQT196" s="84"/>
      <c r="JQU196" s="84"/>
      <c r="JQV196" s="84"/>
      <c r="JQW196" s="84"/>
      <c r="JQX196" s="84"/>
      <c r="JQY196" s="84"/>
      <c r="JQZ196" s="84"/>
      <c r="JRA196" s="84"/>
      <c r="JRB196" s="84"/>
      <c r="JRC196" s="84"/>
      <c r="JRD196" s="84"/>
      <c r="JRE196" s="84"/>
      <c r="JRF196" s="84"/>
      <c r="JRG196" s="84"/>
      <c r="JRH196" s="84"/>
      <c r="JRI196" s="84"/>
      <c r="JRJ196" s="84"/>
      <c r="JRK196" s="84"/>
      <c r="JRL196" s="84"/>
      <c r="JRM196" s="84"/>
      <c r="JRN196" s="84"/>
      <c r="JRO196" s="84"/>
      <c r="JRP196" s="84"/>
      <c r="JRQ196" s="84"/>
      <c r="JRR196" s="84"/>
      <c r="JRS196" s="84"/>
      <c r="JRT196" s="84"/>
      <c r="JRU196" s="84"/>
      <c r="JRV196" s="84"/>
      <c r="JRW196" s="84"/>
      <c r="JRX196" s="84"/>
      <c r="JRY196" s="84"/>
      <c r="JRZ196" s="84"/>
      <c r="JSA196" s="84"/>
      <c r="JSB196" s="84"/>
      <c r="JSC196" s="84"/>
      <c r="JSD196" s="84"/>
      <c r="JSE196" s="84"/>
      <c r="JSF196" s="84"/>
      <c r="JSG196" s="84"/>
      <c r="JSH196" s="84"/>
      <c r="JSI196" s="84"/>
      <c r="JSJ196" s="84"/>
      <c r="JSK196" s="84"/>
      <c r="JSL196" s="84"/>
      <c r="JSM196" s="84"/>
      <c r="JSN196" s="84"/>
      <c r="JSO196" s="84"/>
      <c r="JSP196" s="84"/>
      <c r="JSQ196" s="84"/>
      <c r="JSR196" s="84"/>
      <c r="JSS196" s="84"/>
      <c r="JST196" s="84"/>
      <c r="JSU196" s="84"/>
      <c r="JSV196" s="84"/>
      <c r="JSW196" s="84"/>
      <c r="JSX196" s="84"/>
      <c r="JSY196" s="84"/>
      <c r="JSZ196" s="84"/>
      <c r="JTA196" s="84"/>
      <c r="JTB196" s="84"/>
      <c r="JTC196" s="84"/>
      <c r="JTD196" s="84"/>
      <c r="JTE196" s="84"/>
      <c r="JTF196" s="84"/>
      <c r="JTG196" s="84"/>
      <c r="JTH196" s="84"/>
      <c r="JTI196" s="84"/>
      <c r="JTJ196" s="84"/>
      <c r="JTK196" s="84"/>
      <c r="JTL196" s="84"/>
      <c r="JTM196" s="84"/>
      <c r="JTN196" s="84"/>
      <c r="JTO196" s="84"/>
      <c r="JTP196" s="84"/>
      <c r="JTQ196" s="84"/>
      <c r="JTR196" s="84"/>
      <c r="JTS196" s="84"/>
      <c r="JTT196" s="84"/>
      <c r="JTU196" s="84"/>
      <c r="JTV196" s="84"/>
      <c r="JTW196" s="84"/>
      <c r="JTX196" s="84"/>
      <c r="JTY196" s="84"/>
      <c r="JTZ196" s="84"/>
      <c r="JUA196" s="84"/>
      <c r="JUB196" s="84"/>
      <c r="JUC196" s="84"/>
      <c r="JUD196" s="84"/>
      <c r="JUE196" s="84"/>
      <c r="JUF196" s="84"/>
      <c r="JUG196" s="84"/>
      <c r="JUH196" s="84"/>
      <c r="JUI196" s="84"/>
      <c r="JUJ196" s="84"/>
      <c r="JUK196" s="84"/>
      <c r="JUL196" s="84"/>
      <c r="JUM196" s="84"/>
      <c r="JUN196" s="84"/>
      <c r="JUO196" s="84"/>
      <c r="JUP196" s="84"/>
      <c r="JUQ196" s="84"/>
      <c r="JUR196" s="84"/>
      <c r="JUS196" s="84"/>
      <c r="JUT196" s="84"/>
      <c r="JUU196" s="84"/>
      <c r="JUV196" s="84"/>
      <c r="JUW196" s="84"/>
      <c r="JUX196" s="84"/>
      <c r="JUY196" s="84"/>
      <c r="JUZ196" s="84"/>
      <c r="JVA196" s="84"/>
      <c r="JVB196" s="84"/>
      <c r="JVC196" s="84"/>
      <c r="JVD196" s="84"/>
      <c r="JVE196" s="84"/>
      <c r="JVF196" s="84"/>
      <c r="JVG196" s="84"/>
      <c r="JVH196" s="84"/>
      <c r="JVI196" s="84"/>
      <c r="JVJ196" s="84"/>
      <c r="JVK196" s="84"/>
      <c r="JVL196" s="84"/>
      <c r="JVM196" s="84"/>
      <c r="JVN196" s="84"/>
      <c r="JVO196" s="84"/>
      <c r="JVP196" s="84"/>
      <c r="JVQ196" s="84"/>
      <c r="JVR196" s="84"/>
      <c r="JVS196" s="84"/>
      <c r="JVT196" s="84"/>
      <c r="JVU196" s="84"/>
      <c r="JVV196" s="84"/>
      <c r="JVW196" s="84"/>
      <c r="JVX196" s="84"/>
      <c r="JVY196" s="84"/>
      <c r="JVZ196" s="84"/>
      <c r="JWA196" s="84"/>
      <c r="JWB196" s="84"/>
      <c r="JWC196" s="84"/>
      <c r="JWD196" s="84"/>
      <c r="JWE196" s="84"/>
      <c r="JWF196" s="84"/>
      <c r="JWG196" s="84"/>
      <c r="JWH196" s="84"/>
      <c r="JWI196" s="84"/>
      <c r="JWJ196" s="84"/>
      <c r="JWK196" s="84"/>
      <c r="JWL196" s="84"/>
      <c r="JWM196" s="84"/>
      <c r="JWN196" s="84"/>
      <c r="JWO196" s="84"/>
      <c r="JWP196" s="84"/>
      <c r="JWQ196" s="84"/>
      <c r="JWR196" s="84"/>
      <c r="JWS196" s="84"/>
      <c r="JWT196" s="84"/>
      <c r="JWU196" s="84"/>
      <c r="JWV196" s="84"/>
      <c r="JWW196" s="84"/>
      <c r="JWX196" s="84"/>
      <c r="JWY196" s="84"/>
      <c r="JWZ196" s="84"/>
      <c r="JXA196" s="84"/>
      <c r="JXB196" s="84"/>
      <c r="JXC196" s="84"/>
      <c r="JXD196" s="84"/>
      <c r="JXE196" s="84"/>
      <c r="JXF196" s="84"/>
      <c r="JXG196" s="84"/>
      <c r="JXH196" s="84"/>
      <c r="JXI196" s="84"/>
      <c r="JXJ196" s="84"/>
      <c r="JXK196" s="84"/>
      <c r="JXL196" s="84"/>
      <c r="JXM196" s="84"/>
      <c r="JXN196" s="84"/>
      <c r="JXO196" s="84"/>
      <c r="JXP196" s="84"/>
      <c r="JXQ196" s="84"/>
      <c r="JXR196" s="84"/>
      <c r="JXS196" s="84"/>
      <c r="JXT196" s="84"/>
      <c r="JXU196" s="84"/>
      <c r="JXV196" s="84"/>
      <c r="JXW196" s="84"/>
      <c r="JXX196" s="84"/>
      <c r="JXY196" s="84"/>
      <c r="JXZ196" s="84"/>
      <c r="JYA196" s="84"/>
      <c r="JYB196" s="84"/>
      <c r="JYC196" s="84"/>
      <c r="JYD196" s="84"/>
      <c r="JYE196" s="84"/>
      <c r="JYF196" s="84"/>
      <c r="JYG196" s="84"/>
      <c r="JYH196" s="84"/>
      <c r="JYI196" s="84"/>
      <c r="JYJ196" s="84"/>
      <c r="JYK196" s="84"/>
      <c r="JYL196" s="84"/>
      <c r="JYM196" s="84"/>
      <c r="JYN196" s="84"/>
      <c r="JYO196" s="84"/>
      <c r="JYP196" s="84"/>
      <c r="JYQ196" s="84"/>
      <c r="JYR196" s="84"/>
      <c r="JYS196" s="84"/>
      <c r="JYT196" s="84"/>
      <c r="JYU196" s="84"/>
      <c r="JYV196" s="84"/>
      <c r="JYW196" s="84"/>
      <c r="JYX196" s="84"/>
      <c r="JYY196" s="84"/>
      <c r="JYZ196" s="84"/>
      <c r="JZA196" s="84"/>
      <c r="JZB196" s="84"/>
      <c r="JZC196" s="84"/>
      <c r="JZD196" s="84"/>
      <c r="JZE196" s="84"/>
      <c r="JZF196" s="84"/>
      <c r="JZG196" s="84"/>
      <c r="JZH196" s="84"/>
      <c r="JZI196" s="84"/>
      <c r="JZJ196" s="84"/>
      <c r="JZK196" s="84"/>
      <c r="JZL196" s="84"/>
      <c r="JZM196" s="84"/>
      <c r="JZN196" s="84"/>
      <c r="JZO196" s="84"/>
      <c r="JZP196" s="84"/>
      <c r="JZQ196" s="84"/>
      <c r="JZR196" s="84"/>
      <c r="JZS196" s="84"/>
      <c r="JZT196" s="84"/>
      <c r="JZU196" s="84"/>
      <c r="JZV196" s="84"/>
      <c r="JZW196" s="84"/>
      <c r="JZX196" s="84"/>
      <c r="JZY196" s="84"/>
      <c r="JZZ196" s="84"/>
      <c r="KAA196" s="84"/>
      <c r="KAB196" s="84"/>
      <c r="KAC196" s="84"/>
      <c r="KAD196" s="84"/>
      <c r="KAE196" s="84"/>
      <c r="KAF196" s="84"/>
      <c r="KAG196" s="84"/>
      <c r="KAH196" s="84"/>
      <c r="KAI196" s="84"/>
      <c r="KAJ196" s="84"/>
      <c r="KAK196" s="84"/>
      <c r="KAL196" s="84"/>
      <c r="KAM196" s="84"/>
      <c r="KAN196" s="84"/>
      <c r="KAO196" s="84"/>
      <c r="KAP196" s="84"/>
      <c r="KAQ196" s="84"/>
      <c r="KAR196" s="84"/>
      <c r="KAS196" s="84"/>
      <c r="KAT196" s="84"/>
      <c r="KAU196" s="84"/>
      <c r="KAV196" s="84"/>
      <c r="KAW196" s="84"/>
      <c r="KAX196" s="84"/>
      <c r="KAY196" s="84"/>
      <c r="KAZ196" s="84"/>
      <c r="KBA196" s="84"/>
      <c r="KBB196" s="84"/>
      <c r="KBC196" s="84"/>
      <c r="KBD196" s="84"/>
      <c r="KBE196" s="84"/>
      <c r="KBF196" s="84"/>
      <c r="KBG196" s="84"/>
      <c r="KBH196" s="84"/>
      <c r="KBI196" s="84"/>
      <c r="KBJ196" s="84"/>
      <c r="KBK196" s="84"/>
      <c r="KBL196" s="84"/>
      <c r="KBM196" s="84"/>
      <c r="KBN196" s="84"/>
      <c r="KBO196" s="84"/>
      <c r="KBP196" s="84"/>
      <c r="KBQ196" s="84"/>
      <c r="KBR196" s="84"/>
      <c r="KBS196" s="84"/>
      <c r="KBT196" s="84"/>
      <c r="KBU196" s="84"/>
      <c r="KBV196" s="84"/>
      <c r="KBW196" s="84"/>
      <c r="KBX196" s="84"/>
      <c r="KBY196" s="84"/>
      <c r="KBZ196" s="84"/>
      <c r="KCA196" s="84"/>
      <c r="KCB196" s="84"/>
      <c r="KCC196" s="84"/>
      <c r="KCD196" s="84"/>
      <c r="KCE196" s="84"/>
      <c r="KCF196" s="84"/>
      <c r="KCG196" s="84"/>
      <c r="KCH196" s="84"/>
      <c r="KCI196" s="84"/>
      <c r="KCJ196" s="84"/>
      <c r="KCK196" s="84"/>
      <c r="KCL196" s="84"/>
      <c r="KCM196" s="84"/>
      <c r="KCN196" s="84"/>
      <c r="KCO196" s="84"/>
      <c r="KCP196" s="84"/>
      <c r="KCQ196" s="84"/>
      <c r="KCR196" s="84"/>
      <c r="KCS196" s="84"/>
      <c r="KCT196" s="84"/>
      <c r="KCU196" s="84"/>
      <c r="KCV196" s="84"/>
      <c r="KCW196" s="84"/>
      <c r="KCX196" s="84"/>
      <c r="KCY196" s="84"/>
      <c r="KCZ196" s="84"/>
      <c r="KDA196" s="84"/>
      <c r="KDB196" s="84"/>
      <c r="KDC196" s="84"/>
      <c r="KDD196" s="84"/>
      <c r="KDE196" s="84"/>
      <c r="KDF196" s="84"/>
      <c r="KDG196" s="84"/>
      <c r="KDH196" s="84"/>
      <c r="KDI196" s="84"/>
      <c r="KDJ196" s="84"/>
      <c r="KDK196" s="84"/>
      <c r="KDL196" s="84"/>
      <c r="KDM196" s="84"/>
      <c r="KDN196" s="84"/>
      <c r="KDO196" s="84"/>
      <c r="KDP196" s="84"/>
      <c r="KDQ196" s="84"/>
      <c r="KDR196" s="84"/>
      <c r="KDS196" s="84"/>
      <c r="KDT196" s="84"/>
      <c r="KDU196" s="84"/>
      <c r="KDV196" s="84"/>
      <c r="KDW196" s="84"/>
      <c r="KDX196" s="84"/>
      <c r="KDY196" s="84"/>
      <c r="KDZ196" s="84"/>
      <c r="KEA196" s="84"/>
      <c r="KEB196" s="84"/>
      <c r="KEC196" s="84"/>
      <c r="KED196" s="84"/>
      <c r="KEE196" s="84"/>
      <c r="KEF196" s="84"/>
      <c r="KEG196" s="84"/>
      <c r="KEH196" s="84"/>
      <c r="KEI196" s="84"/>
      <c r="KEJ196" s="84"/>
      <c r="KEK196" s="84"/>
      <c r="KEL196" s="84"/>
      <c r="KEM196" s="84"/>
      <c r="KEN196" s="84"/>
      <c r="KEO196" s="84"/>
      <c r="KEP196" s="84"/>
      <c r="KEQ196" s="84"/>
      <c r="KER196" s="84"/>
      <c r="KES196" s="84"/>
      <c r="KET196" s="84"/>
      <c r="KEU196" s="84"/>
      <c r="KEV196" s="84"/>
      <c r="KEW196" s="84"/>
      <c r="KEX196" s="84"/>
      <c r="KEY196" s="84"/>
      <c r="KEZ196" s="84"/>
      <c r="KFA196" s="84"/>
      <c r="KFB196" s="84"/>
      <c r="KFC196" s="84"/>
      <c r="KFD196" s="84"/>
      <c r="KFE196" s="84"/>
      <c r="KFF196" s="84"/>
      <c r="KFG196" s="84"/>
      <c r="KFH196" s="84"/>
      <c r="KFI196" s="84"/>
      <c r="KFJ196" s="84"/>
      <c r="KFK196" s="84"/>
      <c r="KFL196" s="84"/>
      <c r="KFM196" s="84"/>
      <c r="KFN196" s="84"/>
      <c r="KFO196" s="84"/>
      <c r="KFP196" s="84"/>
      <c r="KFQ196" s="84"/>
      <c r="KFR196" s="84"/>
      <c r="KFS196" s="84"/>
      <c r="KFT196" s="84"/>
      <c r="KFU196" s="84"/>
      <c r="KFV196" s="84"/>
      <c r="KFW196" s="84"/>
      <c r="KFX196" s="84"/>
      <c r="KFY196" s="84"/>
      <c r="KFZ196" s="84"/>
      <c r="KGA196" s="84"/>
      <c r="KGB196" s="84"/>
      <c r="KGC196" s="84"/>
      <c r="KGD196" s="84"/>
      <c r="KGE196" s="84"/>
      <c r="KGF196" s="84"/>
      <c r="KGG196" s="84"/>
      <c r="KGH196" s="84"/>
      <c r="KGI196" s="84"/>
      <c r="KGJ196" s="84"/>
      <c r="KGK196" s="84"/>
      <c r="KGL196" s="84"/>
      <c r="KGM196" s="84"/>
      <c r="KGN196" s="84"/>
      <c r="KGO196" s="84"/>
      <c r="KGP196" s="84"/>
      <c r="KGQ196" s="84"/>
      <c r="KGR196" s="84"/>
      <c r="KGS196" s="84"/>
      <c r="KGT196" s="84"/>
      <c r="KGU196" s="84"/>
      <c r="KGV196" s="84"/>
      <c r="KGW196" s="84"/>
      <c r="KGX196" s="84"/>
      <c r="KGY196" s="84"/>
      <c r="KGZ196" s="84"/>
      <c r="KHA196" s="84"/>
      <c r="KHB196" s="84"/>
      <c r="KHC196" s="84"/>
      <c r="KHD196" s="84"/>
      <c r="KHE196" s="84"/>
      <c r="KHF196" s="84"/>
      <c r="KHG196" s="84"/>
      <c r="KHH196" s="84"/>
      <c r="KHI196" s="84"/>
      <c r="KHJ196" s="84"/>
      <c r="KHK196" s="84"/>
      <c r="KHL196" s="84"/>
      <c r="KHM196" s="84"/>
      <c r="KHN196" s="84"/>
      <c r="KHO196" s="84"/>
      <c r="KHP196" s="84"/>
      <c r="KHQ196" s="84"/>
      <c r="KHR196" s="84"/>
      <c r="KHS196" s="84"/>
      <c r="KHT196" s="84"/>
      <c r="KHU196" s="84"/>
      <c r="KHV196" s="84"/>
      <c r="KHW196" s="84"/>
      <c r="KHX196" s="84"/>
      <c r="KHY196" s="84"/>
      <c r="KHZ196" s="84"/>
      <c r="KIA196" s="84"/>
      <c r="KIB196" s="84"/>
      <c r="KIC196" s="84"/>
      <c r="KID196" s="84"/>
      <c r="KIE196" s="84"/>
      <c r="KIF196" s="84"/>
      <c r="KIG196" s="84"/>
      <c r="KIH196" s="84"/>
      <c r="KII196" s="84"/>
      <c r="KIJ196" s="84"/>
      <c r="KIK196" s="84"/>
      <c r="KIL196" s="84"/>
      <c r="KIM196" s="84"/>
      <c r="KIN196" s="84"/>
      <c r="KIO196" s="84"/>
      <c r="KIP196" s="84"/>
      <c r="KIQ196" s="84"/>
      <c r="KIR196" s="84"/>
      <c r="KIS196" s="84"/>
      <c r="KIT196" s="84"/>
      <c r="KIU196" s="84"/>
      <c r="KIV196" s="84"/>
      <c r="KIW196" s="84"/>
      <c r="KIX196" s="84"/>
      <c r="KIY196" s="84"/>
      <c r="KIZ196" s="84"/>
      <c r="KJA196" s="84"/>
      <c r="KJB196" s="84"/>
      <c r="KJC196" s="84"/>
      <c r="KJD196" s="84"/>
      <c r="KJE196" s="84"/>
      <c r="KJF196" s="84"/>
      <c r="KJG196" s="84"/>
      <c r="KJH196" s="84"/>
      <c r="KJI196" s="84"/>
      <c r="KJJ196" s="84"/>
      <c r="KJK196" s="84"/>
      <c r="KJL196" s="84"/>
      <c r="KJM196" s="84"/>
      <c r="KJN196" s="84"/>
      <c r="KJO196" s="84"/>
      <c r="KJP196" s="84"/>
      <c r="KJQ196" s="84"/>
      <c r="KJR196" s="84"/>
      <c r="KJS196" s="84"/>
      <c r="KJT196" s="84"/>
      <c r="KJU196" s="84"/>
      <c r="KJV196" s="84"/>
      <c r="KJW196" s="84"/>
      <c r="KJX196" s="84"/>
      <c r="KJY196" s="84"/>
      <c r="KJZ196" s="84"/>
      <c r="KKA196" s="84"/>
      <c r="KKB196" s="84"/>
      <c r="KKC196" s="84"/>
      <c r="KKD196" s="84"/>
      <c r="KKE196" s="84"/>
      <c r="KKF196" s="84"/>
      <c r="KKG196" s="84"/>
      <c r="KKH196" s="84"/>
      <c r="KKI196" s="84"/>
      <c r="KKJ196" s="84"/>
      <c r="KKK196" s="84"/>
      <c r="KKL196" s="84"/>
      <c r="KKM196" s="84"/>
      <c r="KKN196" s="84"/>
      <c r="KKO196" s="84"/>
      <c r="KKP196" s="84"/>
      <c r="KKQ196" s="84"/>
      <c r="KKR196" s="84"/>
      <c r="KKS196" s="84"/>
      <c r="KKT196" s="84"/>
      <c r="KKU196" s="84"/>
      <c r="KKV196" s="84"/>
      <c r="KKW196" s="84"/>
      <c r="KKX196" s="84"/>
      <c r="KKY196" s="84"/>
      <c r="KKZ196" s="84"/>
      <c r="KLA196" s="84"/>
      <c r="KLB196" s="84"/>
      <c r="KLC196" s="84"/>
      <c r="KLD196" s="84"/>
      <c r="KLE196" s="84"/>
      <c r="KLF196" s="84"/>
      <c r="KLG196" s="84"/>
      <c r="KLH196" s="84"/>
      <c r="KLI196" s="84"/>
      <c r="KLJ196" s="84"/>
      <c r="KLK196" s="84"/>
      <c r="KLL196" s="84"/>
      <c r="KLM196" s="84"/>
      <c r="KLN196" s="84"/>
      <c r="KLO196" s="84"/>
      <c r="KLP196" s="84"/>
      <c r="KLQ196" s="84"/>
      <c r="KLR196" s="84"/>
      <c r="KLS196" s="84"/>
      <c r="KLT196" s="84"/>
      <c r="KLU196" s="84"/>
      <c r="KLV196" s="84"/>
      <c r="KLW196" s="84"/>
      <c r="KLX196" s="84"/>
      <c r="KLY196" s="84"/>
      <c r="KLZ196" s="84"/>
      <c r="KMA196" s="84"/>
      <c r="KMB196" s="84"/>
      <c r="KMC196" s="84"/>
      <c r="KMD196" s="84"/>
      <c r="KME196" s="84"/>
      <c r="KMF196" s="84"/>
      <c r="KMG196" s="84"/>
      <c r="KMH196" s="84"/>
      <c r="KMI196" s="84"/>
      <c r="KMJ196" s="84"/>
      <c r="KMK196" s="84"/>
      <c r="KML196" s="84"/>
      <c r="KMM196" s="84"/>
      <c r="KMN196" s="84"/>
      <c r="KMO196" s="84"/>
      <c r="KMP196" s="84"/>
      <c r="KMQ196" s="84"/>
      <c r="KMR196" s="84"/>
      <c r="KMS196" s="84"/>
      <c r="KMT196" s="84"/>
      <c r="KMU196" s="84"/>
      <c r="KMV196" s="84"/>
      <c r="KMW196" s="84"/>
      <c r="KMX196" s="84"/>
      <c r="KMY196" s="84"/>
      <c r="KMZ196" s="84"/>
      <c r="KNA196" s="84"/>
      <c r="KNB196" s="84"/>
      <c r="KNC196" s="84"/>
      <c r="KND196" s="84"/>
      <c r="KNE196" s="84"/>
      <c r="KNF196" s="84"/>
      <c r="KNG196" s="84"/>
      <c r="KNH196" s="84"/>
      <c r="KNI196" s="84"/>
      <c r="KNJ196" s="84"/>
      <c r="KNK196" s="84"/>
      <c r="KNL196" s="84"/>
      <c r="KNM196" s="84"/>
      <c r="KNN196" s="84"/>
      <c r="KNO196" s="84"/>
      <c r="KNP196" s="84"/>
      <c r="KNQ196" s="84"/>
      <c r="KNR196" s="84"/>
      <c r="KNS196" s="84"/>
      <c r="KNT196" s="84"/>
      <c r="KNU196" s="84"/>
      <c r="KNV196" s="84"/>
      <c r="KNW196" s="84"/>
      <c r="KNX196" s="84"/>
      <c r="KNY196" s="84"/>
      <c r="KNZ196" s="84"/>
      <c r="KOA196" s="84"/>
      <c r="KOB196" s="84"/>
      <c r="KOC196" s="84"/>
      <c r="KOD196" s="84"/>
      <c r="KOE196" s="84"/>
      <c r="KOF196" s="84"/>
      <c r="KOG196" s="84"/>
      <c r="KOH196" s="84"/>
      <c r="KOI196" s="84"/>
      <c r="KOJ196" s="84"/>
      <c r="KOK196" s="84"/>
      <c r="KOL196" s="84"/>
      <c r="KOM196" s="84"/>
      <c r="KON196" s="84"/>
      <c r="KOO196" s="84"/>
      <c r="KOP196" s="84"/>
      <c r="KOQ196" s="84"/>
      <c r="KOR196" s="84"/>
      <c r="KOS196" s="84"/>
      <c r="KOT196" s="84"/>
      <c r="KOU196" s="84"/>
      <c r="KOV196" s="84"/>
      <c r="KOW196" s="84"/>
      <c r="KOX196" s="84"/>
      <c r="KOY196" s="84"/>
      <c r="KOZ196" s="84"/>
      <c r="KPA196" s="84"/>
      <c r="KPB196" s="84"/>
      <c r="KPC196" s="84"/>
      <c r="KPD196" s="84"/>
      <c r="KPE196" s="84"/>
      <c r="KPF196" s="84"/>
      <c r="KPG196" s="84"/>
      <c r="KPH196" s="84"/>
      <c r="KPI196" s="84"/>
      <c r="KPJ196" s="84"/>
      <c r="KPK196" s="84"/>
      <c r="KPL196" s="84"/>
      <c r="KPM196" s="84"/>
      <c r="KPN196" s="84"/>
      <c r="KPO196" s="84"/>
      <c r="KPP196" s="84"/>
      <c r="KPQ196" s="84"/>
      <c r="KPR196" s="84"/>
      <c r="KPS196" s="84"/>
      <c r="KPT196" s="84"/>
      <c r="KPU196" s="84"/>
      <c r="KPV196" s="84"/>
      <c r="KPW196" s="84"/>
      <c r="KPX196" s="84"/>
      <c r="KPY196" s="84"/>
      <c r="KPZ196" s="84"/>
      <c r="KQA196" s="84"/>
      <c r="KQB196" s="84"/>
      <c r="KQC196" s="84"/>
      <c r="KQD196" s="84"/>
      <c r="KQE196" s="84"/>
      <c r="KQF196" s="84"/>
      <c r="KQG196" s="84"/>
      <c r="KQH196" s="84"/>
      <c r="KQI196" s="84"/>
      <c r="KQJ196" s="84"/>
      <c r="KQK196" s="84"/>
      <c r="KQL196" s="84"/>
      <c r="KQM196" s="84"/>
      <c r="KQN196" s="84"/>
      <c r="KQO196" s="84"/>
      <c r="KQP196" s="84"/>
      <c r="KQQ196" s="84"/>
      <c r="KQR196" s="84"/>
      <c r="KQS196" s="84"/>
      <c r="KQT196" s="84"/>
      <c r="KQU196" s="84"/>
      <c r="KQV196" s="84"/>
      <c r="KQW196" s="84"/>
      <c r="KQX196" s="84"/>
      <c r="KQY196" s="84"/>
      <c r="KQZ196" s="84"/>
      <c r="KRA196" s="84"/>
      <c r="KRB196" s="84"/>
      <c r="KRC196" s="84"/>
      <c r="KRD196" s="84"/>
      <c r="KRE196" s="84"/>
      <c r="KRF196" s="84"/>
      <c r="KRG196" s="84"/>
      <c r="KRH196" s="84"/>
      <c r="KRI196" s="84"/>
      <c r="KRJ196" s="84"/>
      <c r="KRK196" s="84"/>
      <c r="KRL196" s="84"/>
      <c r="KRM196" s="84"/>
      <c r="KRN196" s="84"/>
      <c r="KRO196" s="84"/>
      <c r="KRP196" s="84"/>
      <c r="KRQ196" s="84"/>
      <c r="KRR196" s="84"/>
      <c r="KRS196" s="84"/>
      <c r="KRT196" s="84"/>
      <c r="KRU196" s="84"/>
      <c r="KRV196" s="84"/>
      <c r="KRW196" s="84"/>
      <c r="KRX196" s="84"/>
      <c r="KRY196" s="84"/>
      <c r="KRZ196" s="84"/>
      <c r="KSA196" s="84"/>
      <c r="KSB196" s="84"/>
      <c r="KSC196" s="84"/>
      <c r="KSD196" s="84"/>
      <c r="KSE196" s="84"/>
      <c r="KSF196" s="84"/>
      <c r="KSG196" s="84"/>
      <c r="KSH196" s="84"/>
      <c r="KSI196" s="84"/>
      <c r="KSJ196" s="84"/>
      <c r="KSK196" s="84"/>
      <c r="KSL196" s="84"/>
      <c r="KSM196" s="84"/>
      <c r="KSN196" s="84"/>
      <c r="KSO196" s="84"/>
      <c r="KSP196" s="84"/>
      <c r="KSQ196" s="84"/>
      <c r="KSR196" s="84"/>
      <c r="KSS196" s="84"/>
      <c r="KST196" s="84"/>
      <c r="KSU196" s="84"/>
      <c r="KSV196" s="84"/>
      <c r="KSW196" s="84"/>
      <c r="KSX196" s="84"/>
      <c r="KSY196" s="84"/>
      <c r="KSZ196" s="84"/>
      <c r="KTA196" s="84"/>
      <c r="KTB196" s="84"/>
      <c r="KTC196" s="84"/>
      <c r="KTD196" s="84"/>
      <c r="KTE196" s="84"/>
      <c r="KTF196" s="84"/>
      <c r="KTG196" s="84"/>
      <c r="KTH196" s="84"/>
      <c r="KTI196" s="84"/>
      <c r="KTJ196" s="84"/>
      <c r="KTK196" s="84"/>
      <c r="KTL196" s="84"/>
      <c r="KTM196" s="84"/>
      <c r="KTN196" s="84"/>
      <c r="KTO196" s="84"/>
      <c r="KTP196" s="84"/>
      <c r="KTQ196" s="84"/>
      <c r="KTR196" s="84"/>
      <c r="KTS196" s="84"/>
      <c r="KTT196" s="84"/>
      <c r="KTU196" s="84"/>
      <c r="KTV196" s="84"/>
      <c r="KTW196" s="84"/>
      <c r="KTX196" s="84"/>
      <c r="KTY196" s="84"/>
      <c r="KTZ196" s="84"/>
      <c r="KUA196" s="84"/>
      <c r="KUB196" s="84"/>
      <c r="KUC196" s="84"/>
      <c r="KUD196" s="84"/>
      <c r="KUE196" s="84"/>
      <c r="KUF196" s="84"/>
      <c r="KUG196" s="84"/>
      <c r="KUH196" s="84"/>
      <c r="KUI196" s="84"/>
      <c r="KUJ196" s="84"/>
      <c r="KUK196" s="84"/>
      <c r="KUL196" s="84"/>
      <c r="KUM196" s="84"/>
      <c r="KUN196" s="84"/>
      <c r="KUO196" s="84"/>
      <c r="KUP196" s="84"/>
      <c r="KUQ196" s="84"/>
      <c r="KUR196" s="84"/>
      <c r="KUS196" s="84"/>
      <c r="KUT196" s="84"/>
      <c r="KUU196" s="84"/>
      <c r="KUV196" s="84"/>
      <c r="KUW196" s="84"/>
      <c r="KUX196" s="84"/>
      <c r="KUY196" s="84"/>
      <c r="KUZ196" s="84"/>
      <c r="KVA196" s="84"/>
      <c r="KVB196" s="84"/>
      <c r="KVC196" s="84"/>
      <c r="KVD196" s="84"/>
      <c r="KVE196" s="84"/>
      <c r="KVF196" s="84"/>
      <c r="KVG196" s="84"/>
      <c r="KVH196" s="84"/>
      <c r="KVI196" s="84"/>
      <c r="KVJ196" s="84"/>
      <c r="KVK196" s="84"/>
      <c r="KVL196" s="84"/>
      <c r="KVM196" s="84"/>
      <c r="KVN196" s="84"/>
      <c r="KVO196" s="84"/>
      <c r="KVP196" s="84"/>
      <c r="KVQ196" s="84"/>
      <c r="KVR196" s="84"/>
      <c r="KVS196" s="84"/>
      <c r="KVT196" s="84"/>
      <c r="KVU196" s="84"/>
      <c r="KVV196" s="84"/>
      <c r="KVW196" s="84"/>
      <c r="KVX196" s="84"/>
      <c r="KVY196" s="84"/>
      <c r="KVZ196" s="84"/>
      <c r="KWA196" s="84"/>
      <c r="KWB196" s="84"/>
      <c r="KWC196" s="84"/>
      <c r="KWD196" s="84"/>
      <c r="KWE196" s="84"/>
      <c r="KWF196" s="84"/>
      <c r="KWG196" s="84"/>
      <c r="KWH196" s="84"/>
      <c r="KWI196" s="84"/>
      <c r="KWJ196" s="84"/>
      <c r="KWK196" s="84"/>
      <c r="KWL196" s="84"/>
      <c r="KWM196" s="84"/>
      <c r="KWN196" s="84"/>
      <c r="KWO196" s="84"/>
      <c r="KWP196" s="84"/>
      <c r="KWQ196" s="84"/>
      <c r="KWR196" s="84"/>
      <c r="KWS196" s="84"/>
      <c r="KWT196" s="84"/>
      <c r="KWU196" s="84"/>
      <c r="KWV196" s="84"/>
      <c r="KWW196" s="84"/>
      <c r="KWX196" s="84"/>
      <c r="KWY196" s="84"/>
      <c r="KWZ196" s="84"/>
      <c r="KXA196" s="84"/>
      <c r="KXB196" s="84"/>
      <c r="KXC196" s="84"/>
      <c r="KXD196" s="84"/>
      <c r="KXE196" s="84"/>
      <c r="KXF196" s="84"/>
      <c r="KXG196" s="84"/>
      <c r="KXH196" s="84"/>
      <c r="KXI196" s="84"/>
      <c r="KXJ196" s="84"/>
      <c r="KXK196" s="84"/>
      <c r="KXL196" s="84"/>
      <c r="KXM196" s="84"/>
      <c r="KXN196" s="84"/>
      <c r="KXO196" s="84"/>
      <c r="KXP196" s="84"/>
      <c r="KXQ196" s="84"/>
      <c r="KXR196" s="84"/>
      <c r="KXS196" s="84"/>
      <c r="KXT196" s="84"/>
      <c r="KXU196" s="84"/>
      <c r="KXV196" s="84"/>
      <c r="KXW196" s="84"/>
      <c r="KXX196" s="84"/>
      <c r="KXY196" s="84"/>
      <c r="KXZ196" s="84"/>
      <c r="KYA196" s="84"/>
      <c r="KYB196" s="84"/>
      <c r="KYC196" s="84"/>
      <c r="KYD196" s="84"/>
      <c r="KYE196" s="84"/>
      <c r="KYF196" s="84"/>
      <c r="KYG196" s="84"/>
      <c r="KYH196" s="84"/>
      <c r="KYI196" s="84"/>
      <c r="KYJ196" s="84"/>
      <c r="KYK196" s="84"/>
      <c r="KYL196" s="84"/>
      <c r="KYM196" s="84"/>
      <c r="KYN196" s="84"/>
      <c r="KYO196" s="84"/>
      <c r="KYP196" s="84"/>
      <c r="KYQ196" s="84"/>
      <c r="KYR196" s="84"/>
      <c r="KYS196" s="84"/>
      <c r="KYT196" s="84"/>
      <c r="KYU196" s="84"/>
      <c r="KYV196" s="84"/>
      <c r="KYW196" s="84"/>
      <c r="KYX196" s="84"/>
      <c r="KYY196" s="84"/>
      <c r="KYZ196" s="84"/>
      <c r="KZA196" s="84"/>
      <c r="KZB196" s="84"/>
      <c r="KZC196" s="84"/>
      <c r="KZD196" s="84"/>
      <c r="KZE196" s="84"/>
      <c r="KZF196" s="84"/>
      <c r="KZG196" s="84"/>
      <c r="KZH196" s="84"/>
      <c r="KZI196" s="84"/>
      <c r="KZJ196" s="84"/>
      <c r="KZK196" s="84"/>
      <c r="KZL196" s="84"/>
      <c r="KZM196" s="84"/>
      <c r="KZN196" s="84"/>
      <c r="KZO196" s="84"/>
      <c r="KZP196" s="84"/>
      <c r="KZQ196" s="84"/>
      <c r="KZR196" s="84"/>
      <c r="KZS196" s="84"/>
      <c r="KZT196" s="84"/>
      <c r="KZU196" s="84"/>
      <c r="KZV196" s="84"/>
      <c r="KZW196" s="84"/>
      <c r="KZX196" s="84"/>
      <c r="KZY196" s="84"/>
      <c r="KZZ196" s="84"/>
      <c r="LAA196" s="84"/>
      <c r="LAB196" s="84"/>
      <c r="LAC196" s="84"/>
      <c r="LAD196" s="84"/>
      <c r="LAE196" s="84"/>
      <c r="LAF196" s="84"/>
      <c r="LAG196" s="84"/>
      <c r="LAH196" s="84"/>
      <c r="LAI196" s="84"/>
      <c r="LAJ196" s="84"/>
      <c r="LAK196" s="84"/>
      <c r="LAL196" s="84"/>
      <c r="LAM196" s="84"/>
      <c r="LAN196" s="84"/>
      <c r="LAO196" s="84"/>
      <c r="LAP196" s="84"/>
      <c r="LAQ196" s="84"/>
      <c r="LAR196" s="84"/>
      <c r="LAS196" s="84"/>
      <c r="LAT196" s="84"/>
      <c r="LAU196" s="84"/>
      <c r="LAV196" s="84"/>
      <c r="LAW196" s="84"/>
      <c r="LAX196" s="84"/>
      <c r="LAY196" s="84"/>
      <c r="LAZ196" s="84"/>
      <c r="LBA196" s="84"/>
      <c r="LBB196" s="84"/>
      <c r="LBC196" s="84"/>
      <c r="LBD196" s="84"/>
      <c r="LBE196" s="84"/>
      <c r="LBF196" s="84"/>
      <c r="LBG196" s="84"/>
      <c r="LBH196" s="84"/>
      <c r="LBI196" s="84"/>
      <c r="LBJ196" s="84"/>
      <c r="LBK196" s="84"/>
      <c r="LBL196" s="84"/>
      <c r="LBM196" s="84"/>
      <c r="LBN196" s="84"/>
      <c r="LBO196" s="84"/>
      <c r="LBP196" s="84"/>
      <c r="LBQ196" s="84"/>
      <c r="LBR196" s="84"/>
      <c r="LBS196" s="84"/>
      <c r="LBT196" s="84"/>
      <c r="LBU196" s="84"/>
      <c r="LBV196" s="84"/>
      <c r="LBW196" s="84"/>
      <c r="LBX196" s="84"/>
      <c r="LBY196" s="84"/>
      <c r="LBZ196" s="84"/>
      <c r="LCA196" s="84"/>
      <c r="LCB196" s="84"/>
      <c r="LCC196" s="84"/>
      <c r="LCD196" s="84"/>
      <c r="LCE196" s="84"/>
      <c r="LCF196" s="84"/>
      <c r="LCG196" s="84"/>
      <c r="LCH196" s="84"/>
      <c r="LCI196" s="84"/>
      <c r="LCJ196" s="84"/>
      <c r="LCK196" s="84"/>
      <c r="LCL196" s="84"/>
      <c r="LCM196" s="84"/>
      <c r="LCN196" s="84"/>
      <c r="LCO196" s="84"/>
      <c r="LCP196" s="84"/>
      <c r="LCQ196" s="84"/>
      <c r="LCR196" s="84"/>
      <c r="LCS196" s="84"/>
      <c r="LCT196" s="84"/>
      <c r="LCU196" s="84"/>
      <c r="LCV196" s="84"/>
      <c r="LCW196" s="84"/>
      <c r="LCX196" s="84"/>
      <c r="LCY196" s="84"/>
      <c r="LCZ196" s="84"/>
      <c r="LDA196" s="84"/>
      <c r="LDB196" s="84"/>
      <c r="LDC196" s="84"/>
      <c r="LDD196" s="84"/>
      <c r="LDE196" s="84"/>
      <c r="LDF196" s="84"/>
      <c r="LDG196" s="84"/>
      <c r="LDH196" s="84"/>
      <c r="LDI196" s="84"/>
      <c r="LDJ196" s="84"/>
      <c r="LDK196" s="84"/>
      <c r="LDL196" s="84"/>
      <c r="LDM196" s="84"/>
      <c r="LDN196" s="84"/>
      <c r="LDO196" s="84"/>
      <c r="LDP196" s="84"/>
      <c r="LDQ196" s="84"/>
      <c r="LDR196" s="84"/>
      <c r="LDS196" s="84"/>
      <c r="LDT196" s="84"/>
      <c r="LDU196" s="84"/>
      <c r="LDV196" s="84"/>
      <c r="LDW196" s="84"/>
      <c r="LDX196" s="84"/>
      <c r="LDY196" s="84"/>
      <c r="LDZ196" s="84"/>
      <c r="LEA196" s="84"/>
      <c r="LEB196" s="84"/>
      <c r="LEC196" s="84"/>
      <c r="LED196" s="84"/>
      <c r="LEE196" s="84"/>
      <c r="LEF196" s="84"/>
      <c r="LEG196" s="84"/>
      <c r="LEH196" s="84"/>
      <c r="LEI196" s="84"/>
      <c r="LEJ196" s="84"/>
      <c r="LEK196" s="84"/>
      <c r="LEL196" s="84"/>
      <c r="LEM196" s="84"/>
      <c r="LEN196" s="84"/>
      <c r="LEO196" s="84"/>
      <c r="LEP196" s="84"/>
      <c r="LEQ196" s="84"/>
      <c r="LER196" s="84"/>
      <c r="LES196" s="84"/>
      <c r="LET196" s="84"/>
      <c r="LEU196" s="84"/>
      <c r="LEV196" s="84"/>
      <c r="LEW196" s="84"/>
      <c r="LEX196" s="84"/>
      <c r="LEY196" s="84"/>
      <c r="LEZ196" s="84"/>
      <c r="LFA196" s="84"/>
      <c r="LFB196" s="84"/>
      <c r="LFC196" s="84"/>
      <c r="LFD196" s="84"/>
      <c r="LFE196" s="84"/>
      <c r="LFF196" s="84"/>
      <c r="LFG196" s="84"/>
      <c r="LFH196" s="84"/>
      <c r="LFI196" s="84"/>
      <c r="LFJ196" s="84"/>
      <c r="LFK196" s="84"/>
      <c r="LFL196" s="84"/>
      <c r="LFM196" s="84"/>
      <c r="LFN196" s="84"/>
      <c r="LFO196" s="84"/>
      <c r="LFP196" s="84"/>
      <c r="LFQ196" s="84"/>
      <c r="LFR196" s="84"/>
      <c r="LFS196" s="84"/>
      <c r="LFT196" s="84"/>
      <c r="LFU196" s="84"/>
      <c r="LFV196" s="84"/>
      <c r="LFW196" s="84"/>
      <c r="LFX196" s="84"/>
      <c r="LFY196" s="84"/>
      <c r="LFZ196" s="84"/>
      <c r="LGA196" s="84"/>
      <c r="LGB196" s="84"/>
      <c r="LGC196" s="84"/>
      <c r="LGD196" s="84"/>
      <c r="LGE196" s="84"/>
      <c r="LGF196" s="84"/>
      <c r="LGG196" s="84"/>
      <c r="LGH196" s="84"/>
      <c r="LGI196" s="84"/>
      <c r="LGJ196" s="84"/>
      <c r="LGK196" s="84"/>
      <c r="LGL196" s="84"/>
      <c r="LGM196" s="84"/>
      <c r="LGN196" s="84"/>
      <c r="LGO196" s="84"/>
      <c r="LGP196" s="84"/>
      <c r="LGQ196" s="84"/>
      <c r="LGR196" s="84"/>
      <c r="LGS196" s="84"/>
      <c r="LGT196" s="84"/>
      <c r="LGU196" s="84"/>
      <c r="LGV196" s="84"/>
      <c r="LGW196" s="84"/>
      <c r="LGX196" s="84"/>
      <c r="LGY196" s="84"/>
      <c r="LGZ196" s="84"/>
      <c r="LHA196" s="84"/>
      <c r="LHB196" s="84"/>
      <c r="LHC196" s="84"/>
      <c r="LHD196" s="84"/>
      <c r="LHE196" s="84"/>
      <c r="LHF196" s="84"/>
      <c r="LHG196" s="84"/>
      <c r="LHH196" s="84"/>
      <c r="LHI196" s="84"/>
      <c r="LHJ196" s="84"/>
      <c r="LHK196" s="84"/>
      <c r="LHL196" s="84"/>
      <c r="LHM196" s="84"/>
      <c r="LHN196" s="84"/>
      <c r="LHO196" s="84"/>
      <c r="LHP196" s="84"/>
      <c r="LHQ196" s="84"/>
      <c r="LHR196" s="84"/>
      <c r="LHS196" s="84"/>
      <c r="LHT196" s="84"/>
      <c r="LHU196" s="84"/>
      <c r="LHV196" s="84"/>
      <c r="LHW196" s="84"/>
      <c r="LHX196" s="84"/>
      <c r="LHY196" s="84"/>
      <c r="LHZ196" s="84"/>
      <c r="LIA196" s="84"/>
      <c r="LIB196" s="84"/>
      <c r="LIC196" s="84"/>
      <c r="LID196" s="84"/>
      <c r="LIE196" s="84"/>
      <c r="LIF196" s="84"/>
      <c r="LIG196" s="84"/>
      <c r="LIH196" s="84"/>
      <c r="LII196" s="84"/>
      <c r="LIJ196" s="84"/>
      <c r="LIK196" s="84"/>
      <c r="LIL196" s="84"/>
      <c r="LIM196" s="84"/>
      <c r="LIN196" s="84"/>
      <c r="LIO196" s="84"/>
      <c r="LIP196" s="84"/>
      <c r="LIQ196" s="84"/>
      <c r="LIR196" s="84"/>
      <c r="LIS196" s="84"/>
      <c r="LIT196" s="84"/>
      <c r="LIU196" s="84"/>
      <c r="LIV196" s="84"/>
      <c r="LIW196" s="84"/>
      <c r="LIX196" s="84"/>
      <c r="LIY196" s="84"/>
      <c r="LIZ196" s="84"/>
      <c r="LJA196" s="84"/>
      <c r="LJB196" s="84"/>
      <c r="LJC196" s="84"/>
      <c r="LJD196" s="84"/>
      <c r="LJE196" s="84"/>
      <c r="LJF196" s="84"/>
      <c r="LJG196" s="84"/>
      <c r="LJH196" s="84"/>
      <c r="LJI196" s="84"/>
      <c r="LJJ196" s="84"/>
      <c r="LJK196" s="84"/>
      <c r="LJL196" s="84"/>
      <c r="LJM196" s="84"/>
      <c r="LJN196" s="84"/>
      <c r="LJO196" s="84"/>
      <c r="LJP196" s="84"/>
      <c r="LJQ196" s="84"/>
      <c r="LJR196" s="84"/>
      <c r="LJS196" s="84"/>
      <c r="LJT196" s="84"/>
      <c r="LJU196" s="84"/>
      <c r="LJV196" s="84"/>
      <c r="LJW196" s="84"/>
      <c r="LJX196" s="84"/>
      <c r="LJY196" s="84"/>
      <c r="LJZ196" s="84"/>
      <c r="LKA196" s="84"/>
      <c r="LKB196" s="84"/>
      <c r="LKC196" s="84"/>
      <c r="LKD196" s="84"/>
      <c r="LKE196" s="84"/>
      <c r="LKF196" s="84"/>
      <c r="LKG196" s="84"/>
      <c r="LKH196" s="84"/>
      <c r="LKI196" s="84"/>
      <c r="LKJ196" s="84"/>
      <c r="LKK196" s="84"/>
      <c r="LKL196" s="84"/>
      <c r="LKM196" s="84"/>
      <c r="LKN196" s="84"/>
      <c r="LKO196" s="84"/>
      <c r="LKP196" s="84"/>
      <c r="LKQ196" s="84"/>
      <c r="LKR196" s="84"/>
      <c r="LKS196" s="84"/>
      <c r="LKT196" s="84"/>
      <c r="LKU196" s="84"/>
      <c r="LKV196" s="84"/>
      <c r="LKW196" s="84"/>
      <c r="LKX196" s="84"/>
      <c r="LKY196" s="84"/>
      <c r="LKZ196" s="84"/>
      <c r="LLA196" s="84"/>
      <c r="LLB196" s="84"/>
      <c r="LLC196" s="84"/>
      <c r="LLD196" s="84"/>
      <c r="LLE196" s="84"/>
      <c r="LLF196" s="84"/>
      <c r="LLG196" s="84"/>
      <c r="LLH196" s="84"/>
      <c r="LLI196" s="84"/>
      <c r="LLJ196" s="84"/>
      <c r="LLK196" s="84"/>
      <c r="LLL196" s="84"/>
      <c r="LLM196" s="84"/>
      <c r="LLN196" s="84"/>
      <c r="LLO196" s="84"/>
      <c r="LLP196" s="84"/>
      <c r="LLQ196" s="84"/>
      <c r="LLR196" s="84"/>
      <c r="LLS196" s="84"/>
      <c r="LLT196" s="84"/>
      <c r="LLU196" s="84"/>
      <c r="LLV196" s="84"/>
      <c r="LLW196" s="84"/>
      <c r="LLX196" s="84"/>
      <c r="LLY196" s="84"/>
      <c r="LLZ196" s="84"/>
      <c r="LMA196" s="84"/>
      <c r="LMB196" s="84"/>
      <c r="LMC196" s="84"/>
      <c r="LMD196" s="84"/>
      <c r="LME196" s="84"/>
      <c r="LMF196" s="84"/>
      <c r="LMG196" s="84"/>
      <c r="LMH196" s="84"/>
      <c r="LMI196" s="84"/>
      <c r="LMJ196" s="84"/>
      <c r="LMK196" s="84"/>
      <c r="LML196" s="84"/>
      <c r="LMM196" s="84"/>
      <c r="LMN196" s="84"/>
      <c r="LMO196" s="84"/>
      <c r="LMP196" s="84"/>
      <c r="LMQ196" s="84"/>
      <c r="LMR196" s="84"/>
      <c r="LMS196" s="84"/>
      <c r="LMT196" s="84"/>
      <c r="LMU196" s="84"/>
      <c r="LMV196" s="84"/>
      <c r="LMW196" s="84"/>
      <c r="LMX196" s="84"/>
      <c r="LMY196" s="84"/>
      <c r="LMZ196" s="84"/>
      <c r="LNA196" s="84"/>
      <c r="LNB196" s="84"/>
      <c r="LNC196" s="84"/>
      <c r="LND196" s="84"/>
      <c r="LNE196" s="84"/>
      <c r="LNF196" s="84"/>
      <c r="LNG196" s="84"/>
      <c r="LNH196" s="84"/>
      <c r="LNI196" s="84"/>
      <c r="LNJ196" s="84"/>
      <c r="LNK196" s="84"/>
      <c r="LNL196" s="84"/>
      <c r="LNM196" s="84"/>
      <c r="LNN196" s="84"/>
      <c r="LNO196" s="84"/>
      <c r="LNP196" s="84"/>
      <c r="LNQ196" s="84"/>
      <c r="LNR196" s="84"/>
      <c r="LNS196" s="84"/>
      <c r="LNT196" s="84"/>
      <c r="LNU196" s="84"/>
      <c r="LNV196" s="84"/>
      <c r="LNW196" s="84"/>
      <c r="LNX196" s="84"/>
      <c r="LNY196" s="84"/>
      <c r="LNZ196" s="84"/>
      <c r="LOA196" s="84"/>
      <c r="LOB196" s="84"/>
      <c r="LOC196" s="84"/>
      <c r="LOD196" s="84"/>
      <c r="LOE196" s="84"/>
      <c r="LOF196" s="84"/>
      <c r="LOG196" s="84"/>
      <c r="LOH196" s="84"/>
      <c r="LOI196" s="84"/>
      <c r="LOJ196" s="84"/>
      <c r="LOK196" s="84"/>
      <c r="LOL196" s="84"/>
      <c r="LOM196" s="84"/>
      <c r="LON196" s="84"/>
      <c r="LOO196" s="84"/>
      <c r="LOP196" s="84"/>
      <c r="LOQ196" s="84"/>
      <c r="LOR196" s="84"/>
      <c r="LOS196" s="84"/>
      <c r="LOT196" s="84"/>
      <c r="LOU196" s="84"/>
      <c r="LOV196" s="84"/>
      <c r="LOW196" s="84"/>
      <c r="LOX196" s="84"/>
      <c r="LOY196" s="84"/>
      <c r="LOZ196" s="84"/>
      <c r="LPA196" s="84"/>
      <c r="LPB196" s="84"/>
      <c r="LPC196" s="84"/>
      <c r="LPD196" s="84"/>
      <c r="LPE196" s="84"/>
      <c r="LPF196" s="84"/>
      <c r="LPG196" s="84"/>
      <c r="LPH196" s="84"/>
      <c r="LPI196" s="84"/>
      <c r="LPJ196" s="84"/>
      <c r="LPK196" s="84"/>
      <c r="LPL196" s="84"/>
      <c r="LPM196" s="84"/>
      <c r="LPN196" s="84"/>
      <c r="LPO196" s="84"/>
      <c r="LPP196" s="84"/>
      <c r="LPQ196" s="84"/>
      <c r="LPR196" s="84"/>
      <c r="LPS196" s="84"/>
      <c r="LPT196" s="84"/>
      <c r="LPU196" s="84"/>
      <c r="LPV196" s="84"/>
      <c r="LPW196" s="84"/>
      <c r="LPX196" s="84"/>
      <c r="LPY196" s="84"/>
      <c r="LPZ196" s="84"/>
      <c r="LQA196" s="84"/>
      <c r="LQB196" s="84"/>
      <c r="LQC196" s="84"/>
      <c r="LQD196" s="84"/>
      <c r="LQE196" s="84"/>
      <c r="LQF196" s="84"/>
      <c r="LQG196" s="84"/>
      <c r="LQH196" s="84"/>
      <c r="LQI196" s="84"/>
      <c r="LQJ196" s="84"/>
      <c r="LQK196" s="84"/>
      <c r="LQL196" s="84"/>
      <c r="LQM196" s="84"/>
      <c r="LQN196" s="84"/>
      <c r="LQO196" s="84"/>
      <c r="LQP196" s="84"/>
      <c r="LQQ196" s="84"/>
      <c r="LQR196" s="84"/>
      <c r="LQS196" s="84"/>
      <c r="LQT196" s="84"/>
      <c r="LQU196" s="84"/>
      <c r="LQV196" s="84"/>
      <c r="LQW196" s="84"/>
      <c r="LQX196" s="84"/>
      <c r="LQY196" s="84"/>
      <c r="LQZ196" s="84"/>
      <c r="LRA196" s="84"/>
      <c r="LRB196" s="84"/>
      <c r="LRC196" s="84"/>
      <c r="LRD196" s="84"/>
      <c r="LRE196" s="84"/>
      <c r="LRF196" s="84"/>
      <c r="LRG196" s="84"/>
      <c r="LRH196" s="84"/>
      <c r="LRI196" s="84"/>
      <c r="LRJ196" s="84"/>
      <c r="LRK196" s="84"/>
      <c r="LRL196" s="84"/>
      <c r="LRM196" s="84"/>
      <c r="LRN196" s="84"/>
      <c r="LRO196" s="84"/>
      <c r="LRP196" s="84"/>
      <c r="LRQ196" s="84"/>
      <c r="LRR196" s="84"/>
      <c r="LRS196" s="84"/>
      <c r="LRT196" s="84"/>
      <c r="LRU196" s="84"/>
      <c r="LRV196" s="84"/>
      <c r="LRW196" s="84"/>
      <c r="LRX196" s="84"/>
      <c r="LRY196" s="84"/>
      <c r="LRZ196" s="84"/>
      <c r="LSA196" s="84"/>
      <c r="LSB196" s="84"/>
      <c r="LSC196" s="84"/>
      <c r="LSD196" s="84"/>
      <c r="LSE196" s="84"/>
      <c r="LSF196" s="84"/>
      <c r="LSG196" s="84"/>
      <c r="LSH196" s="84"/>
      <c r="LSI196" s="84"/>
      <c r="LSJ196" s="84"/>
      <c r="LSK196" s="84"/>
      <c r="LSL196" s="84"/>
      <c r="LSM196" s="84"/>
      <c r="LSN196" s="84"/>
      <c r="LSO196" s="84"/>
      <c r="LSP196" s="84"/>
      <c r="LSQ196" s="84"/>
      <c r="LSR196" s="84"/>
      <c r="LSS196" s="84"/>
      <c r="LST196" s="84"/>
      <c r="LSU196" s="84"/>
      <c r="LSV196" s="84"/>
      <c r="LSW196" s="84"/>
      <c r="LSX196" s="84"/>
      <c r="LSY196" s="84"/>
      <c r="LSZ196" s="84"/>
      <c r="LTA196" s="84"/>
      <c r="LTB196" s="84"/>
      <c r="LTC196" s="84"/>
      <c r="LTD196" s="84"/>
      <c r="LTE196" s="84"/>
      <c r="LTF196" s="84"/>
      <c r="LTG196" s="84"/>
      <c r="LTH196" s="84"/>
      <c r="LTI196" s="84"/>
      <c r="LTJ196" s="84"/>
      <c r="LTK196" s="84"/>
      <c r="LTL196" s="84"/>
      <c r="LTM196" s="84"/>
      <c r="LTN196" s="84"/>
      <c r="LTO196" s="84"/>
      <c r="LTP196" s="84"/>
      <c r="LTQ196" s="84"/>
      <c r="LTR196" s="84"/>
      <c r="LTS196" s="84"/>
      <c r="LTT196" s="84"/>
      <c r="LTU196" s="84"/>
      <c r="LTV196" s="84"/>
      <c r="LTW196" s="84"/>
      <c r="LTX196" s="84"/>
      <c r="LTY196" s="84"/>
      <c r="LTZ196" s="84"/>
      <c r="LUA196" s="84"/>
      <c r="LUB196" s="84"/>
      <c r="LUC196" s="84"/>
      <c r="LUD196" s="84"/>
      <c r="LUE196" s="84"/>
      <c r="LUF196" s="84"/>
      <c r="LUG196" s="84"/>
      <c r="LUH196" s="84"/>
      <c r="LUI196" s="84"/>
      <c r="LUJ196" s="84"/>
      <c r="LUK196" s="84"/>
      <c r="LUL196" s="84"/>
      <c r="LUM196" s="84"/>
      <c r="LUN196" s="84"/>
      <c r="LUO196" s="84"/>
      <c r="LUP196" s="84"/>
      <c r="LUQ196" s="84"/>
      <c r="LUR196" s="84"/>
      <c r="LUS196" s="84"/>
      <c r="LUT196" s="84"/>
      <c r="LUU196" s="84"/>
      <c r="LUV196" s="84"/>
      <c r="LUW196" s="84"/>
      <c r="LUX196" s="84"/>
      <c r="LUY196" s="84"/>
      <c r="LUZ196" s="84"/>
      <c r="LVA196" s="84"/>
      <c r="LVB196" s="84"/>
      <c r="LVC196" s="84"/>
      <c r="LVD196" s="84"/>
      <c r="LVE196" s="84"/>
      <c r="LVF196" s="84"/>
      <c r="LVG196" s="84"/>
      <c r="LVH196" s="84"/>
      <c r="LVI196" s="84"/>
      <c r="LVJ196" s="84"/>
      <c r="LVK196" s="84"/>
      <c r="LVL196" s="84"/>
      <c r="LVM196" s="84"/>
      <c r="LVN196" s="84"/>
      <c r="LVO196" s="84"/>
      <c r="LVP196" s="84"/>
      <c r="LVQ196" s="84"/>
      <c r="LVR196" s="84"/>
      <c r="LVS196" s="84"/>
      <c r="LVT196" s="84"/>
      <c r="LVU196" s="84"/>
      <c r="LVV196" s="84"/>
      <c r="LVW196" s="84"/>
      <c r="LVX196" s="84"/>
      <c r="LVY196" s="84"/>
      <c r="LVZ196" s="84"/>
      <c r="LWA196" s="84"/>
      <c r="LWB196" s="84"/>
      <c r="LWC196" s="84"/>
      <c r="LWD196" s="84"/>
      <c r="LWE196" s="84"/>
      <c r="LWF196" s="84"/>
      <c r="LWG196" s="84"/>
      <c r="LWH196" s="84"/>
      <c r="LWI196" s="84"/>
      <c r="LWJ196" s="84"/>
      <c r="LWK196" s="84"/>
      <c r="LWL196" s="84"/>
      <c r="LWM196" s="84"/>
      <c r="LWN196" s="84"/>
      <c r="LWO196" s="84"/>
      <c r="LWP196" s="84"/>
      <c r="LWQ196" s="84"/>
      <c r="LWR196" s="84"/>
      <c r="LWS196" s="84"/>
      <c r="LWT196" s="84"/>
      <c r="LWU196" s="84"/>
      <c r="LWV196" s="84"/>
      <c r="LWW196" s="84"/>
      <c r="LWX196" s="84"/>
      <c r="LWY196" s="84"/>
      <c r="LWZ196" s="84"/>
      <c r="LXA196" s="84"/>
      <c r="LXB196" s="84"/>
      <c r="LXC196" s="84"/>
      <c r="LXD196" s="84"/>
      <c r="LXE196" s="84"/>
      <c r="LXF196" s="84"/>
      <c r="LXG196" s="84"/>
      <c r="LXH196" s="84"/>
      <c r="LXI196" s="84"/>
      <c r="LXJ196" s="84"/>
      <c r="LXK196" s="84"/>
      <c r="LXL196" s="84"/>
      <c r="LXM196" s="84"/>
      <c r="LXN196" s="84"/>
      <c r="LXO196" s="84"/>
      <c r="LXP196" s="84"/>
      <c r="LXQ196" s="84"/>
      <c r="LXR196" s="84"/>
      <c r="LXS196" s="84"/>
      <c r="LXT196" s="84"/>
      <c r="LXU196" s="84"/>
      <c r="LXV196" s="84"/>
      <c r="LXW196" s="84"/>
      <c r="LXX196" s="84"/>
      <c r="LXY196" s="84"/>
      <c r="LXZ196" s="84"/>
      <c r="LYA196" s="84"/>
      <c r="LYB196" s="84"/>
      <c r="LYC196" s="84"/>
      <c r="LYD196" s="84"/>
      <c r="LYE196" s="84"/>
      <c r="LYF196" s="84"/>
      <c r="LYG196" s="84"/>
      <c r="LYH196" s="84"/>
      <c r="LYI196" s="84"/>
      <c r="LYJ196" s="84"/>
      <c r="LYK196" s="84"/>
      <c r="LYL196" s="84"/>
      <c r="LYM196" s="84"/>
      <c r="LYN196" s="84"/>
      <c r="LYO196" s="84"/>
      <c r="LYP196" s="84"/>
      <c r="LYQ196" s="84"/>
      <c r="LYR196" s="84"/>
      <c r="LYS196" s="84"/>
      <c r="LYT196" s="84"/>
      <c r="LYU196" s="84"/>
      <c r="LYV196" s="84"/>
      <c r="LYW196" s="84"/>
      <c r="LYX196" s="84"/>
      <c r="LYY196" s="84"/>
      <c r="LYZ196" s="84"/>
      <c r="LZA196" s="84"/>
      <c r="LZB196" s="84"/>
      <c r="LZC196" s="84"/>
      <c r="LZD196" s="84"/>
      <c r="LZE196" s="84"/>
      <c r="LZF196" s="84"/>
      <c r="LZG196" s="84"/>
      <c r="LZH196" s="84"/>
      <c r="LZI196" s="84"/>
      <c r="LZJ196" s="84"/>
      <c r="LZK196" s="84"/>
      <c r="LZL196" s="84"/>
      <c r="LZM196" s="84"/>
      <c r="LZN196" s="84"/>
      <c r="LZO196" s="84"/>
      <c r="LZP196" s="84"/>
      <c r="LZQ196" s="84"/>
      <c r="LZR196" s="84"/>
      <c r="LZS196" s="84"/>
      <c r="LZT196" s="84"/>
      <c r="LZU196" s="84"/>
      <c r="LZV196" s="84"/>
      <c r="LZW196" s="84"/>
      <c r="LZX196" s="84"/>
      <c r="LZY196" s="84"/>
      <c r="LZZ196" s="84"/>
      <c r="MAA196" s="84"/>
      <c r="MAB196" s="84"/>
      <c r="MAC196" s="84"/>
      <c r="MAD196" s="84"/>
      <c r="MAE196" s="84"/>
      <c r="MAF196" s="84"/>
      <c r="MAG196" s="84"/>
      <c r="MAH196" s="84"/>
      <c r="MAI196" s="84"/>
      <c r="MAJ196" s="84"/>
      <c r="MAK196" s="84"/>
      <c r="MAL196" s="84"/>
      <c r="MAM196" s="84"/>
      <c r="MAN196" s="84"/>
      <c r="MAO196" s="84"/>
      <c r="MAP196" s="84"/>
      <c r="MAQ196" s="84"/>
      <c r="MAR196" s="84"/>
      <c r="MAS196" s="84"/>
      <c r="MAT196" s="84"/>
      <c r="MAU196" s="84"/>
      <c r="MAV196" s="84"/>
      <c r="MAW196" s="84"/>
      <c r="MAX196" s="84"/>
      <c r="MAY196" s="84"/>
      <c r="MAZ196" s="84"/>
      <c r="MBA196" s="84"/>
      <c r="MBB196" s="84"/>
      <c r="MBC196" s="84"/>
      <c r="MBD196" s="84"/>
      <c r="MBE196" s="84"/>
      <c r="MBF196" s="84"/>
      <c r="MBG196" s="84"/>
      <c r="MBH196" s="84"/>
      <c r="MBI196" s="84"/>
      <c r="MBJ196" s="84"/>
      <c r="MBK196" s="84"/>
      <c r="MBL196" s="84"/>
      <c r="MBM196" s="84"/>
      <c r="MBN196" s="84"/>
      <c r="MBO196" s="84"/>
      <c r="MBP196" s="84"/>
      <c r="MBQ196" s="84"/>
      <c r="MBR196" s="84"/>
      <c r="MBS196" s="84"/>
      <c r="MBT196" s="84"/>
      <c r="MBU196" s="84"/>
      <c r="MBV196" s="84"/>
      <c r="MBW196" s="84"/>
      <c r="MBX196" s="84"/>
      <c r="MBY196" s="84"/>
      <c r="MBZ196" s="84"/>
      <c r="MCA196" s="84"/>
      <c r="MCB196" s="84"/>
      <c r="MCC196" s="84"/>
      <c r="MCD196" s="84"/>
      <c r="MCE196" s="84"/>
      <c r="MCF196" s="84"/>
      <c r="MCG196" s="84"/>
      <c r="MCH196" s="84"/>
      <c r="MCI196" s="84"/>
      <c r="MCJ196" s="84"/>
      <c r="MCK196" s="84"/>
      <c r="MCL196" s="84"/>
      <c r="MCM196" s="84"/>
      <c r="MCN196" s="84"/>
      <c r="MCO196" s="84"/>
      <c r="MCP196" s="84"/>
      <c r="MCQ196" s="84"/>
      <c r="MCR196" s="84"/>
      <c r="MCS196" s="84"/>
      <c r="MCT196" s="84"/>
      <c r="MCU196" s="84"/>
      <c r="MCV196" s="84"/>
      <c r="MCW196" s="84"/>
      <c r="MCX196" s="84"/>
      <c r="MCY196" s="84"/>
      <c r="MCZ196" s="84"/>
      <c r="MDA196" s="84"/>
      <c r="MDB196" s="84"/>
      <c r="MDC196" s="84"/>
      <c r="MDD196" s="84"/>
      <c r="MDE196" s="84"/>
      <c r="MDF196" s="84"/>
      <c r="MDG196" s="84"/>
      <c r="MDH196" s="84"/>
      <c r="MDI196" s="84"/>
      <c r="MDJ196" s="84"/>
      <c r="MDK196" s="84"/>
      <c r="MDL196" s="84"/>
      <c r="MDM196" s="84"/>
      <c r="MDN196" s="84"/>
      <c r="MDO196" s="84"/>
      <c r="MDP196" s="84"/>
      <c r="MDQ196" s="84"/>
      <c r="MDR196" s="84"/>
      <c r="MDS196" s="84"/>
      <c r="MDT196" s="84"/>
      <c r="MDU196" s="84"/>
      <c r="MDV196" s="84"/>
      <c r="MDW196" s="84"/>
      <c r="MDX196" s="84"/>
      <c r="MDY196" s="84"/>
      <c r="MDZ196" s="84"/>
      <c r="MEA196" s="84"/>
      <c r="MEB196" s="84"/>
      <c r="MEC196" s="84"/>
      <c r="MED196" s="84"/>
      <c r="MEE196" s="84"/>
      <c r="MEF196" s="84"/>
      <c r="MEG196" s="84"/>
      <c r="MEH196" s="84"/>
      <c r="MEI196" s="84"/>
      <c r="MEJ196" s="84"/>
      <c r="MEK196" s="84"/>
      <c r="MEL196" s="84"/>
      <c r="MEM196" s="84"/>
      <c r="MEN196" s="84"/>
      <c r="MEO196" s="84"/>
      <c r="MEP196" s="84"/>
      <c r="MEQ196" s="84"/>
      <c r="MER196" s="84"/>
      <c r="MES196" s="84"/>
      <c r="MET196" s="84"/>
      <c r="MEU196" s="84"/>
      <c r="MEV196" s="84"/>
      <c r="MEW196" s="84"/>
      <c r="MEX196" s="84"/>
      <c r="MEY196" s="84"/>
      <c r="MEZ196" s="84"/>
      <c r="MFA196" s="84"/>
      <c r="MFB196" s="84"/>
      <c r="MFC196" s="84"/>
      <c r="MFD196" s="84"/>
      <c r="MFE196" s="84"/>
      <c r="MFF196" s="84"/>
      <c r="MFG196" s="84"/>
      <c r="MFH196" s="84"/>
      <c r="MFI196" s="84"/>
      <c r="MFJ196" s="84"/>
      <c r="MFK196" s="84"/>
      <c r="MFL196" s="84"/>
      <c r="MFM196" s="84"/>
      <c r="MFN196" s="84"/>
      <c r="MFO196" s="84"/>
      <c r="MFP196" s="84"/>
      <c r="MFQ196" s="84"/>
      <c r="MFR196" s="84"/>
      <c r="MFS196" s="84"/>
      <c r="MFT196" s="84"/>
      <c r="MFU196" s="84"/>
      <c r="MFV196" s="84"/>
      <c r="MFW196" s="84"/>
      <c r="MFX196" s="84"/>
      <c r="MFY196" s="84"/>
      <c r="MFZ196" s="84"/>
      <c r="MGA196" s="84"/>
      <c r="MGB196" s="84"/>
      <c r="MGC196" s="84"/>
      <c r="MGD196" s="84"/>
      <c r="MGE196" s="84"/>
      <c r="MGF196" s="84"/>
      <c r="MGG196" s="84"/>
      <c r="MGH196" s="84"/>
      <c r="MGI196" s="84"/>
      <c r="MGJ196" s="84"/>
      <c r="MGK196" s="84"/>
      <c r="MGL196" s="84"/>
      <c r="MGM196" s="84"/>
      <c r="MGN196" s="84"/>
      <c r="MGO196" s="84"/>
      <c r="MGP196" s="84"/>
      <c r="MGQ196" s="84"/>
      <c r="MGR196" s="84"/>
      <c r="MGS196" s="84"/>
      <c r="MGT196" s="84"/>
      <c r="MGU196" s="84"/>
      <c r="MGV196" s="84"/>
      <c r="MGW196" s="84"/>
      <c r="MGX196" s="84"/>
      <c r="MGY196" s="84"/>
      <c r="MGZ196" s="84"/>
      <c r="MHA196" s="84"/>
      <c r="MHB196" s="84"/>
      <c r="MHC196" s="84"/>
      <c r="MHD196" s="84"/>
      <c r="MHE196" s="84"/>
      <c r="MHF196" s="84"/>
      <c r="MHG196" s="84"/>
      <c r="MHH196" s="84"/>
      <c r="MHI196" s="84"/>
      <c r="MHJ196" s="84"/>
      <c r="MHK196" s="84"/>
      <c r="MHL196" s="84"/>
      <c r="MHM196" s="84"/>
      <c r="MHN196" s="84"/>
      <c r="MHO196" s="84"/>
      <c r="MHP196" s="84"/>
      <c r="MHQ196" s="84"/>
      <c r="MHR196" s="84"/>
      <c r="MHS196" s="84"/>
      <c r="MHT196" s="84"/>
      <c r="MHU196" s="84"/>
      <c r="MHV196" s="84"/>
      <c r="MHW196" s="84"/>
      <c r="MHX196" s="84"/>
      <c r="MHY196" s="84"/>
      <c r="MHZ196" s="84"/>
      <c r="MIA196" s="84"/>
      <c r="MIB196" s="84"/>
      <c r="MIC196" s="84"/>
      <c r="MID196" s="84"/>
      <c r="MIE196" s="84"/>
      <c r="MIF196" s="84"/>
      <c r="MIG196" s="84"/>
      <c r="MIH196" s="84"/>
      <c r="MII196" s="84"/>
      <c r="MIJ196" s="84"/>
      <c r="MIK196" s="84"/>
      <c r="MIL196" s="84"/>
      <c r="MIM196" s="84"/>
      <c r="MIN196" s="84"/>
      <c r="MIO196" s="84"/>
      <c r="MIP196" s="84"/>
      <c r="MIQ196" s="84"/>
      <c r="MIR196" s="84"/>
      <c r="MIS196" s="84"/>
      <c r="MIT196" s="84"/>
      <c r="MIU196" s="84"/>
      <c r="MIV196" s="84"/>
      <c r="MIW196" s="84"/>
      <c r="MIX196" s="84"/>
      <c r="MIY196" s="84"/>
      <c r="MIZ196" s="84"/>
      <c r="MJA196" s="84"/>
      <c r="MJB196" s="84"/>
      <c r="MJC196" s="84"/>
      <c r="MJD196" s="84"/>
      <c r="MJE196" s="84"/>
      <c r="MJF196" s="84"/>
      <c r="MJG196" s="84"/>
      <c r="MJH196" s="84"/>
      <c r="MJI196" s="84"/>
      <c r="MJJ196" s="84"/>
      <c r="MJK196" s="84"/>
      <c r="MJL196" s="84"/>
      <c r="MJM196" s="84"/>
      <c r="MJN196" s="84"/>
      <c r="MJO196" s="84"/>
      <c r="MJP196" s="84"/>
      <c r="MJQ196" s="84"/>
      <c r="MJR196" s="84"/>
      <c r="MJS196" s="84"/>
      <c r="MJT196" s="84"/>
      <c r="MJU196" s="84"/>
      <c r="MJV196" s="84"/>
      <c r="MJW196" s="84"/>
      <c r="MJX196" s="84"/>
      <c r="MJY196" s="84"/>
      <c r="MJZ196" s="84"/>
      <c r="MKA196" s="84"/>
      <c r="MKB196" s="84"/>
      <c r="MKC196" s="84"/>
      <c r="MKD196" s="84"/>
      <c r="MKE196" s="84"/>
      <c r="MKF196" s="84"/>
      <c r="MKG196" s="84"/>
      <c r="MKH196" s="84"/>
      <c r="MKI196" s="84"/>
      <c r="MKJ196" s="84"/>
      <c r="MKK196" s="84"/>
      <c r="MKL196" s="84"/>
      <c r="MKM196" s="84"/>
      <c r="MKN196" s="84"/>
      <c r="MKO196" s="84"/>
      <c r="MKP196" s="84"/>
      <c r="MKQ196" s="84"/>
      <c r="MKR196" s="84"/>
      <c r="MKS196" s="84"/>
      <c r="MKT196" s="84"/>
      <c r="MKU196" s="84"/>
      <c r="MKV196" s="84"/>
      <c r="MKW196" s="84"/>
      <c r="MKX196" s="84"/>
      <c r="MKY196" s="84"/>
      <c r="MKZ196" s="84"/>
      <c r="MLA196" s="84"/>
      <c r="MLB196" s="84"/>
      <c r="MLC196" s="84"/>
      <c r="MLD196" s="84"/>
      <c r="MLE196" s="84"/>
      <c r="MLF196" s="84"/>
      <c r="MLG196" s="84"/>
      <c r="MLH196" s="84"/>
      <c r="MLI196" s="84"/>
      <c r="MLJ196" s="84"/>
      <c r="MLK196" s="84"/>
      <c r="MLL196" s="84"/>
      <c r="MLM196" s="84"/>
      <c r="MLN196" s="84"/>
      <c r="MLO196" s="84"/>
      <c r="MLP196" s="84"/>
      <c r="MLQ196" s="84"/>
      <c r="MLR196" s="84"/>
      <c r="MLS196" s="84"/>
      <c r="MLT196" s="84"/>
      <c r="MLU196" s="84"/>
      <c r="MLV196" s="84"/>
      <c r="MLW196" s="84"/>
      <c r="MLX196" s="84"/>
      <c r="MLY196" s="84"/>
      <c r="MLZ196" s="84"/>
      <c r="MMA196" s="84"/>
      <c r="MMB196" s="84"/>
      <c r="MMC196" s="84"/>
      <c r="MMD196" s="84"/>
      <c r="MME196" s="84"/>
      <c r="MMF196" s="84"/>
      <c r="MMG196" s="84"/>
      <c r="MMH196" s="84"/>
      <c r="MMI196" s="84"/>
      <c r="MMJ196" s="84"/>
      <c r="MMK196" s="84"/>
      <c r="MML196" s="84"/>
      <c r="MMM196" s="84"/>
      <c r="MMN196" s="84"/>
      <c r="MMO196" s="84"/>
      <c r="MMP196" s="84"/>
      <c r="MMQ196" s="84"/>
      <c r="MMR196" s="84"/>
      <c r="MMS196" s="84"/>
      <c r="MMT196" s="84"/>
      <c r="MMU196" s="84"/>
      <c r="MMV196" s="84"/>
      <c r="MMW196" s="84"/>
      <c r="MMX196" s="84"/>
      <c r="MMY196" s="84"/>
      <c r="MMZ196" s="84"/>
      <c r="MNA196" s="84"/>
      <c r="MNB196" s="84"/>
      <c r="MNC196" s="84"/>
      <c r="MND196" s="84"/>
      <c r="MNE196" s="84"/>
      <c r="MNF196" s="84"/>
      <c r="MNG196" s="84"/>
      <c r="MNH196" s="84"/>
      <c r="MNI196" s="84"/>
      <c r="MNJ196" s="84"/>
      <c r="MNK196" s="84"/>
      <c r="MNL196" s="84"/>
      <c r="MNM196" s="84"/>
      <c r="MNN196" s="84"/>
      <c r="MNO196" s="84"/>
      <c r="MNP196" s="84"/>
      <c r="MNQ196" s="84"/>
      <c r="MNR196" s="84"/>
      <c r="MNS196" s="84"/>
      <c r="MNT196" s="84"/>
      <c r="MNU196" s="84"/>
      <c r="MNV196" s="84"/>
      <c r="MNW196" s="84"/>
      <c r="MNX196" s="84"/>
      <c r="MNY196" s="84"/>
      <c r="MNZ196" s="84"/>
      <c r="MOA196" s="84"/>
      <c r="MOB196" s="84"/>
      <c r="MOC196" s="84"/>
      <c r="MOD196" s="84"/>
      <c r="MOE196" s="84"/>
      <c r="MOF196" s="84"/>
      <c r="MOG196" s="84"/>
      <c r="MOH196" s="84"/>
      <c r="MOI196" s="84"/>
      <c r="MOJ196" s="84"/>
      <c r="MOK196" s="84"/>
      <c r="MOL196" s="84"/>
      <c r="MOM196" s="84"/>
      <c r="MON196" s="84"/>
      <c r="MOO196" s="84"/>
      <c r="MOP196" s="84"/>
      <c r="MOQ196" s="84"/>
      <c r="MOR196" s="84"/>
      <c r="MOS196" s="84"/>
      <c r="MOT196" s="84"/>
      <c r="MOU196" s="84"/>
      <c r="MOV196" s="84"/>
      <c r="MOW196" s="84"/>
      <c r="MOX196" s="84"/>
      <c r="MOY196" s="84"/>
      <c r="MOZ196" s="84"/>
      <c r="MPA196" s="84"/>
      <c r="MPB196" s="84"/>
      <c r="MPC196" s="84"/>
      <c r="MPD196" s="84"/>
      <c r="MPE196" s="84"/>
      <c r="MPF196" s="84"/>
      <c r="MPG196" s="84"/>
      <c r="MPH196" s="84"/>
      <c r="MPI196" s="84"/>
      <c r="MPJ196" s="84"/>
      <c r="MPK196" s="84"/>
      <c r="MPL196" s="84"/>
      <c r="MPM196" s="84"/>
      <c r="MPN196" s="84"/>
      <c r="MPO196" s="84"/>
      <c r="MPP196" s="84"/>
      <c r="MPQ196" s="84"/>
      <c r="MPR196" s="84"/>
      <c r="MPS196" s="84"/>
      <c r="MPT196" s="84"/>
      <c r="MPU196" s="84"/>
      <c r="MPV196" s="84"/>
      <c r="MPW196" s="84"/>
      <c r="MPX196" s="84"/>
      <c r="MPY196" s="84"/>
      <c r="MPZ196" s="84"/>
      <c r="MQA196" s="84"/>
      <c r="MQB196" s="84"/>
      <c r="MQC196" s="84"/>
      <c r="MQD196" s="84"/>
      <c r="MQE196" s="84"/>
      <c r="MQF196" s="84"/>
      <c r="MQG196" s="84"/>
      <c r="MQH196" s="84"/>
      <c r="MQI196" s="84"/>
      <c r="MQJ196" s="84"/>
      <c r="MQK196" s="84"/>
      <c r="MQL196" s="84"/>
      <c r="MQM196" s="84"/>
      <c r="MQN196" s="84"/>
      <c r="MQO196" s="84"/>
      <c r="MQP196" s="84"/>
      <c r="MQQ196" s="84"/>
      <c r="MQR196" s="84"/>
      <c r="MQS196" s="84"/>
      <c r="MQT196" s="84"/>
      <c r="MQU196" s="84"/>
      <c r="MQV196" s="84"/>
      <c r="MQW196" s="84"/>
      <c r="MQX196" s="84"/>
      <c r="MQY196" s="84"/>
      <c r="MQZ196" s="84"/>
      <c r="MRA196" s="84"/>
      <c r="MRB196" s="84"/>
      <c r="MRC196" s="84"/>
      <c r="MRD196" s="84"/>
      <c r="MRE196" s="84"/>
      <c r="MRF196" s="84"/>
      <c r="MRG196" s="84"/>
      <c r="MRH196" s="84"/>
      <c r="MRI196" s="84"/>
      <c r="MRJ196" s="84"/>
      <c r="MRK196" s="84"/>
      <c r="MRL196" s="84"/>
      <c r="MRM196" s="84"/>
      <c r="MRN196" s="84"/>
      <c r="MRO196" s="84"/>
      <c r="MRP196" s="84"/>
      <c r="MRQ196" s="84"/>
      <c r="MRR196" s="84"/>
      <c r="MRS196" s="84"/>
      <c r="MRT196" s="84"/>
      <c r="MRU196" s="84"/>
      <c r="MRV196" s="84"/>
      <c r="MRW196" s="84"/>
      <c r="MRX196" s="84"/>
      <c r="MRY196" s="84"/>
      <c r="MRZ196" s="84"/>
      <c r="MSA196" s="84"/>
      <c r="MSB196" s="84"/>
      <c r="MSC196" s="84"/>
      <c r="MSD196" s="84"/>
      <c r="MSE196" s="84"/>
      <c r="MSF196" s="84"/>
      <c r="MSG196" s="84"/>
      <c r="MSH196" s="84"/>
      <c r="MSI196" s="84"/>
      <c r="MSJ196" s="84"/>
      <c r="MSK196" s="84"/>
      <c r="MSL196" s="84"/>
      <c r="MSM196" s="84"/>
      <c r="MSN196" s="84"/>
      <c r="MSO196" s="84"/>
      <c r="MSP196" s="84"/>
      <c r="MSQ196" s="84"/>
      <c r="MSR196" s="84"/>
      <c r="MSS196" s="84"/>
      <c r="MST196" s="84"/>
      <c r="MSU196" s="84"/>
      <c r="MSV196" s="84"/>
      <c r="MSW196" s="84"/>
      <c r="MSX196" s="84"/>
      <c r="MSY196" s="84"/>
      <c r="MSZ196" s="84"/>
      <c r="MTA196" s="84"/>
      <c r="MTB196" s="84"/>
      <c r="MTC196" s="84"/>
      <c r="MTD196" s="84"/>
      <c r="MTE196" s="84"/>
      <c r="MTF196" s="84"/>
      <c r="MTG196" s="84"/>
      <c r="MTH196" s="84"/>
      <c r="MTI196" s="84"/>
      <c r="MTJ196" s="84"/>
      <c r="MTK196" s="84"/>
      <c r="MTL196" s="84"/>
      <c r="MTM196" s="84"/>
      <c r="MTN196" s="84"/>
      <c r="MTO196" s="84"/>
      <c r="MTP196" s="84"/>
      <c r="MTQ196" s="84"/>
      <c r="MTR196" s="84"/>
      <c r="MTS196" s="84"/>
      <c r="MTT196" s="84"/>
      <c r="MTU196" s="84"/>
      <c r="MTV196" s="84"/>
      <c r="MTW196" s="84"/>
      <c r="MTX196" s="84"/>
      <c r="MTY196" s="84"/>
      <c r="MTZ196" s="84"/>
      <c r="MUA196" s="84"/>
      <c r="MUB196" s="84"/>
      <c r="MUC196" s="84"/>
      <c r="MUD196" s="84"/>
      <c r="MUE196" s="84"/>
      <c r="MUF196" s="84"/>
      <c r="MUG196" s="84"/>
      <c r="MUH196" s="84"/>
      <c r="MUI196" s="84"/>
      <c r="MUJ196" s="84"/>
      <c r="MUK196" s="84"/>
      <c r="MUL196" s="84"/>
      <c r="MUM196" s="84"/>
      <c r="MUN196" s="84"/>
      <c r="MUO196" s="84"/>
      <c r="MUP196" s="84"/>
      <c r="MUQ196" s="84"/>
      <c r="MUR196" s="84"/>
      <c r="MUS196" s="84"/>
      <c r="MUT196" s="84"/>
      <c r="MUU196" s="84"/>
      <c r="MUV196" s="84"/>
      <c r="MUW196" s="84"/>
      <c r="MUX196" s="84"/>
      <c r="MUY196" s="84"/>
      <c r="MUZ196" s="84"/>
      <c r="MVA196" s="84"/>
      <c r="MVB196" s="84"/>
      <c r="MVC196" s="84"/>
      <c r="MVD196" s="84"/>
      <c r="MVE196" s="84"/>
      <c r="MVF196" s="84"/>
      <c r="MVG196" s="84"/>
      <c r="MVH196" s="84"/>
      <c r="MVI196" s="84"/>
      <c r="MVJ196" s="84"/>
      <c r="MVK196" s="84"/>
      <c r="MVL196" s="84"/>
      <c r="MVM196" s="84"/>
      <c r="MVN196" s="84"/>
      <c r="MVO196" s="84"/>
      <c r="MVP196" s="84"/>
      <c r="MVQ196" s="84"/>
      <c r="MVR196" s="84"/>
      <c r="MVS196" s="84"/>
      <c r="MVT196" s="84"/>
      <c r="MVU196" s="84"/>
      <c r="MVV196" s="84"/>
      <c r="MVW196" s="84"/>
      <c r="MVX196" s="84"/>
      <c r="MVY196" s="84"/>
      <c r="MVZ196" s="84"/>
      <c r="MWA196" s="84"/>
      <c r="MWB196" s="84"/>
      <c r="MWC196" s="84"/>
      <c r="MWD196" s="84"/>
      <c r="MWE196" s="84"/>
      <c r="MWF196" s="84"/>
      <c r="MWG196" s="84"/>
      <c r="MWH196" s="84"/>
      <c r="MWI196" s="84"/>
      <c r="MWJ196" s="84"/>
      <c r="MWK196" s="84"/>
      <c r="MWL196" s="84"/>
      <c r="MWM196" s="84"/>
      <c r="MWN196" s="84"/>
      <c r="MWO196" s="84"/>
      <c r="MWP196" s="84"/>
      <c r="MWQ196" s="84"/>
      <c r="MWR196" s="84"/>
      <c r="MWS196" s="84"/>
      <c r="MWT196" s="84"/>
      <c r="MWU196" s="84"/>
      <c r="MWV196" s="84"/>
      <c r="MWW196" s="84"/>
      <c r="MWX196" s="84"/>
      <c r="MWY196" s="84"/>
      <c r="MWZ196" s="84"/>
      <c r="MXA196" s="84"/>
      <c r="MXB196" s="84"/>
      <c r="MXC196" s="84"/>
      <c r="MXD196" s="84"/>
      <c r="MXE196" s="84"/>
      <c r="MXF196" s="84"/>
      <c r="MXG196" s="84"/>
      <c r="MXH196" s="84"/>
      <c r="MXI196" s="84"/>
      <c r="MXJ196" s="84"/>
      <c r="MXK196" s="84"/>
      <c r="MXL196" s="84"/>
      <c r="MXM196" s="84"/>
      <c r="MXN196" s="84"/>
      <c r="MXO196" s="84"/>
      <c r="MXP196" s="84"/>
      <c r="MXQ196" s="84"/>
      <c r="MXR196" s="84"/>
      <c r="MXS196" s="84"/>
      <c r="MXT196" s="84"/>
      <c r="MXU196" s="84"/>
      <c r="MXV196" s="84"/>
      <c r="MXW196" s="84"/>
      <c r="MXX196" s="84"/>
      <c r="MXY196" s="84"/>
      <c r="MXZ196" s="84"/>
      <c r="MYA196" s="84"/>
      <c r="MYB196" s="84"/>
      <c r="MYC196" s="84"/>
      <c r="MYD196" s="84"/>
      <c r="MYE196" s="84"/>
      <c r="MYF196" s="84"/>
      <c r="MYG196" s="84"/>
      <c r="MYH196" s="84"/>
      <c r="MYI196" s="84"/>
      <c r="MYJ196" s="84"/>
      <c r="MYK196" s="84"/>
      <c r="MYL196" s="84"/>
      <c r="MYM196" s="84"/>
      <c r="MYN196" s="84"/>
      <c r="MYO196" s="84"/>
      <c r="MYP196" s="84"/>
      <c r="MYQ196" s="84"/>
      <c r="MYR196" s="84"/>
      <c r="MYS196" s="84"/>
      <c r="MYT196" s="84"/>
      <c r="MYU196" s="84"/>
      <c r="MYV196" s="84"/>
      <c r="MYW196" s="84"/>
      <c r="MYX196" s="84"/>
      <c r="MYY196" s="84"/>
      <c r="MYZ196" s="84"/>
      <c r="MZA196" s="84"/>
      <c r="MZB196" s="84"/>
      <c r="MZC196" s="84"/>
      <c r="MZD196" s="84"/>
      <c r="MZE196" s="84"/>
      <c r="MZF196" s="84"/>
      <c r="MZG196" s="84"/>
      <c r="MZH196" s="84"/>
      <c r="MZI196" s="84"/>
      <c r="MZJ196" s="84"/>
      <c r="MZK196" s="84"/>
      <c r="MZL196" s="84"/>
      <c r="MZM196" s="84"/>
      <c r="MZN196" s="84"/>
      <c r="MZO196" s="84"/>
      <c r="MZP196" s="84"/>
      <c r="MZQ196" s="84"/>
      <c r="MZR196" s="84"/>
      <c r="MZS196" s="84"/>
      <c r="MZT196" s="84"/>
      <c r="MZU196" s="84"/>
      <c r="MZV196" s="84"/>
      <c r="MZW196" s="84"/>
      <c r="MZX196" s="84"/>
      <c r="MZY196" s="84"/>
      <c r="MZZ196" s="84"/>
      <c r="NAA196" s="84"/>
      <c r="NAB196" s="84"/>
      <c r="NAC196" s="84"/>
      <c r="NAD196" s="84"/>
      <c r="NAE196" s="84"/>
      <c r="NAF196" s="84"/>
      <c r="NAG196" s="84"/>
      <c r="NAH196" s="84"/>
      <c r="NAI196" s="84"/>
      <c r="NAJ196" s="84"/>
      <c r="NAK196" s="84"/>
      <c r="NAL196" s="84"/>
      <c r="NAM196" s="84"/>
      <c r="NAN196" s="84"/>
      <c r="NAO196" s="84"/>
      <c r="NAP196" s="84"/>
      <c r="NAQ196" s="84"/>
      <c r="NAR196" s="84"/>
      <c r="NAS196" s="84"/>
      <c r="NAT196" s="84"/>
      <c r="NAU196" s="84"/>
      <c r="NAV196" s="84"/>
      <c r="NAW196" s="84"/>
      <c r="NAX196" s="84"/>
      <c r="NAY196" s="84"/>
      <c r="NAZ196" s="84"/>
      <c r="NBA196" s="84"/>
      <c r="NBB196" s="84"/>
      <c r="NBC196" s="84"/>
      <c r="NBD196" s="84"/>
      <c r="NBE196" s="84"/>
      <c r="NBF196" s="84"/>
      <c r="NBG196" s="84"/>
      <c r="NBH196" s="84"/>
      <c r="NBI196" s="84"/>
      <c r="NBJ196" s="84"/>
      <c r="NBK196" s="84"/>
      <c r="NBL196" s="84"/>
      <c r="NBM196" s="84"/>
      <c r="NBN196" s="84"/>
      <c r="NBO196" s="84"/>
      <c r="NBP196" s="84"/>
      <c r="NBQ196" s="84"/>
      <c r="NBR196" s="84"/>
      <c r="NBS196" s="84"/>
      <c r="NBT196" s="84"/>
      <c r="NBU196" s="84"/>
      <c r="NBV196" s="84"/>
      <c r="NBW196" s="84"/>
      <c r="NBX196" s="84"/>
      <c r="NBY196" s="84"/>
      <c r="NBZ196" s="84"/>
      <c r="NCA196" s="84"/>
      <c r="NCB196" s="84"/>
      <c r="NCC196" s="84"/>
      <c r="NCD196" s="84"/>
      <c r="NCE196" s="84"/>
      <c r="NCF196" s="84"/>
      <c r="NCG196" s="84"/>
      <c r="NCH196" s="84"/>
      <c r="NCI196" s="84"/>
      <c r="NCJ196" s="84"/>
      <c r="NCK196" s="84"/>
      <c r="NCL196" s="84"/>
      <c r="NCM196" s="84"/>
      <c r="NCN196" s="84"/>
      <c r="NCO196" s="84"/>
      <c r="NCP196" s="84"/>
      <c r="NCQ196" s="84"/>
      <c r="NCR196" s="84"/>
      <c r="NCS196" s="84"/>
      <c r="NCT196" s="84"/>
      <c r="NCU196" s="84"/>
      <c r="NCV196" s="84"/>
      <c r="NCW196" s="84"/>
      <c r="NCX196" s="84"/>
      <c r="NCY196" s="84"/>
      <c r="NCZ196" s="84"/>
      <c r="NDA196" s="84"/>
      <c r="NDB196" s="84"/>
      <c r="NDC196" s="84"/>
      <c r="NDD196" s="84"/>
      <c r="NDE196" s="84"/>
      <c r="NDF196" s="84"/>
      <c r="NDG196" s="84"/>
      <c r="NDH196" s="84"/>
      <c r="NDI196" s="84"/>
      <c r="NDJ196" s="84"/>
      <c r="NDK196" s="84"/>
      <c r="NDL196" s="84"/>
      <c r="NDM196" s="84"/>
      <c r="NDN196" s="84"/>
      <c r="NDO196" s="84"/>
      <c r="NDP196" s="84"/>
      <c r="NDQ196" s="84"/>
      <c r="NDR196" s="84"/>
      <c r="NDS196" s="84"/>
      <c r="NDT196" s="84"/>
      <c r="NDU196" s="84"/>
      <c r="NDV196" s="84"/>
      <c r="NDW196" s="84"/>
      <c r="NDX196" s="84"/>
      <c r="NDY196" s="84"/>
      <c r="NDZ196" s="84"/>
      <c r="NEA196" s="84"/>
      <c r="NEB196" s="84"/>
      <c r="NEC196" s="84"/>
      <c r="NED196" s="84"/>
      <c r="NEE196" s="84"/>
      <c r="NEF196" s="84"/>
      <c r="NEG196" s="84"/>
      <c r="NEH196" s="84"/>
      <c r="NEI196" s="84"/>
      <c r="NEJ196" s="84"/>
      <c r="NEK196" s="84"/>
      <c r="NEL196" s="84"/>
      <c r="NEM196" s="84"/>
      <c r="NEN196" s="84"/>
      <c r="NEO196" s="84"/>
      <c r="NEP196" s="84"/>
      <c r="NEQ196" s="84"/>
      <c r="NER196" s="84"/>
      <c r="NES196" s="84"/>
      <c r="NET196" s="84"/>
      <c r="NEU196" s="84"/>
      <c r="NEV196" s="84"/>
      <c r="NEW196" s="84"/>
      <c r="NEX196" s="84"/>
      <c r="NEY196" s="84"/>
      <c r="NEZ196" s="84"/>
      <c r="NFA196" s="84"/>
      <c r="NFB196" s="84"/>
      <c r="NFC196" s="84"/>
      <c r="NFD196" s="84"/>
      <c r="NFE196" s="84"/>
      <c r="NFF196" s="84"/>
      <c r="NFG196" s="84"/>
      <c r="NFH196" s="84"/>
      <c r="NFI196" s="84"/>
      <c r="NFJ196" s="84"/>
      <c r="NFK196" s="84"/>
      <c r="NFL196" s="84"/>
      <c r="NFM196" s="84"/>
      <c r="NFN196" s="84"/>
      <c r="NFO196" s="84"/>
      <c r="NFP196" s="84"/>
      <c r="NFQ196" s="84"/>
      <c r="NFR196" s="84"/>
      <c r="NFS196" s="84"/>
      <c r="NFT196" s="84"/>
      <c r="NFU196" s="84"/>
      <c r="NFV196" s="84"/>
      <c r="NFW196" s="84"/>
      <c r="NFX196" s="84"/>
      <c r="NFY196" s="84"/>
      <c r="NFZ196" s="84"/>
      <c r="NGA196" s="84"/>
      <c r="NGB196" s="84"/>
      <c r="NGC196" s="84"/>
      <c r="NGD196" s="84"/>
      <c r="NGE196" s="84"/>
      <c r="NGF196" s="84"/>
      <c r="NGG196" s="84"/>
      <c r="NGH196" s="84"/>
      <c r="NGI196" s="84"/>
      <c r="NGJ196" s="84"/>
      <c r="NGK196" s="84"/>
      <c r="NGL196" s="84"/>
      <c r="NGM196" s="84"/>
      <c r="NGN196" s="84"/>
      <c r="NGO196" s="84"/>
      <c r="NGP196" s="84"/>
      <c r="NGQ196" s="84"/>
      <c r="NGR196" s="84"/>
      <c r="NGS196" s="84"/>
      <c r="NGT196" s="84"/>
      <c r="NGU196" s="84"/>
      <c r="NGV196" s="84"/>
      <c r="NGW196" s="84"/>
      <c r="NGX196" s="84"/>
      <c r="NGY196" s="84"/>
      <c r="NGZ196" s="84"/>
      <c r="NHA196" s="84"/>
      <c r="NHB196" s="84"/>
      <c r="NHC196" s="84"/>
      <c r="NHD196" s="84"/>
      <c r="NHE196" s="84"/>
      <c r="NHF196" s="84"/>
      <c r="NHG196" s="84"/>
      <c r="NHH196" s="84"/>
      <c r="NHI196" s="84"/>
      <c r="NHJ196" s="84"/>
      <c r="NHK196" s="84"/>
      <c r="NHL196" s="84"/>
      <c r="NHM196" s="84"/>
      <c r="NHN196" s="84"/>
      <c r="NHO196" s="84"/>
      <c r="NHP196" s="84"/>
      <c r="NHQ196" s="84"/>
      <c r="NHR196" s="84"/>
      <c r="NHS196" s="84"/>
      <c r="NHT196" s="84"/>
      <c r="NHU196" s="84"/>
      <c r="NHV196" s="84"/>
      <c r="NHW196" s="84"/>
      <c r="NHX196" s="84"/>
      <c r="NHY196" s="84"/>
      <c r="NHZ196" s="84"/>
      <c r="NIA196" s="84"/>
      <c r="NIB196" s="84"/>
      <c r="NIC196" s="84"/>
      <c r="NID196" s="84"/>
      <c r="NIE196" s="84"/>
      <c r="NIF196" s="84"/>
      <c r="NIG196" s="84"/>
      <c r="NIH196" s="84"/>
      <c r="NII196" s="84"/>
      <c r="NIJ196" s="84"/>
      <c r="NIK196" s="84"/>
      <c r="NIL196" s="84"/>
      <c r="NIM196" s="84"/>
      <c r="NIN196" s="84"/>
      <c r="NIO196" s="84"/>
      <c r="NIP196" s="84"/>
      <c r="NIQ196" s="84"/>
      <c r="NIR196" s="84"/>
      <c r="NIS196" s="84"/>
      <c r="NIT196" s="84"/>
      <c r="NIU196" s="84"/>
      <c r="NIV196" s="84"/>
      <c r="NIW196" s="84"/>
      <c r="NIX196" s="84"/>
      <c r="NIY196" s="84"/>
      <c r="NIZ196" s="84"/>
      <c r="NJA196" s="84"/>
      <c r="NJB196" s="84"/>
      <c r="NJC196" s="84"/>
      <c r="NJD196" s="84"/>
      <c r="NJE196" s="84"/>
      <c r="NJF196" s="84"/>
      <c r="NJG196" s="84"/>
      <c r="NJH196" s="84"/>
      <c r="NJI196" s="84"/>
      <c r="NJJ196" s="84"/>
      <c r="NJK196" s="84"/>
      <c r="NJL196" s="84"/>
      <c r="NJM196" s="84"/>
      <c r="NJN196" s="84"/>
      <c r="NJO196" s="84"/>
      <c r="NJP196" s="84"/>
      <c r="NJQ196" s="84"/>
      <c r="NJR196" s="84"/>
      <c r="NJS196" s="84"/>
      <c r="NJT196" s="84"/>
      <c r="NJU196" s="84"/>
      <c r="NJV196" s="84"/>
      <c r="NJW196" s="84"/>
      <c r="NJX196" s="84"/>
      <c r="NJY196" s="84"/>
      <c r="NJZ196" s="84"/>
      <c r="NKA196" s="84"/>
      <c r="NKB196" s="84"/>
      <c r="NKC196" s="84"/>
      <c r="NKD196" s="84"/>
      <c r="NKE196" s="84"/>
      <c r="NKF196" s="84"/>
      <c r="NKG196" s="84"/>
      <c r="NKH196" s="84"/>
      <c r="NKI196" s="84"/>
      <c r="NKJ196" s="84"/>
      <c r="NKK196" s="84"/>
      <c r="NKL196" s="84"/>
      <c r="NKM196" s="84"/>
      <c r="NKN196" s="84"/>
      <c r="NKO196" s="84"/>
      <c r="NKP196" s="84"/>
      <c r="NKQ196" s="84"/>
      <c r="NKR196" s="84"/>
      <c r="NKS196" s="84"/>
      <c r="NKT196" s="84"/>
      <c r="NKU196" s="84"/>
      <c r="NKV196" s="84"/>
      <c r="NKW196" s="84"/>
      <c r="NKX196" s="84"/>
      <c r="NKY196" s="84"/>
      <c r="NKZ196" s="84"/>
      <c r="NLA196" s="84"/>
      <c r="NLB196" s="84"/>
      <c r="NLC196" s="84"/>
      <c r="NLD196" s="84"/>
      <c r="NLE196" s="84"/>
      <c r="NLF196" s="84"/>
      <c r="NLG196" s="84"/>
      <c r="NLH196" s="84"/>
      <c r="NLI196" s="84"/>
      <c r="NLJ196" s="84"/>
      <c r="NLK196" s="84"/>
      <c r="NLL196" s="84"/>
      <c r="NLM196" s="84"/>
      <c r="NLN196" s="84"/>
      <c r="NLO196" s="84"/>
      <c r="NLP196" s="84"/>
      <c r="NLQ196" s="84"/>
      <c r="NLR196" s="84"/>
      <c r="NLS196" s="84"/>
      <c r="NLT196" s="84"/>
      <c r="NLU196" s="84"/>
      <c r="NLV196" s="84"/>
      <c r="NLW196" s="84"/>
      <c r="NLX196" s="84"/>
      <c r="NLY196" s="84"/>
      <c r="NLZ196" s="84"/>
      <c r="NMA196" s="84"/>
      <c r="NMB196" s="84"/>
      <c r="NMC196" s="84"/>
      <c r="NMD196" s="84"/>
      <c r="NME196" s="84"/>
      <c r="NMF196" s="84"/>
      <c r="NMG196" s="84"/>
      <c r="NMH196" s="84"/>
      <c r="NMI196" s="84"/>
      <c r="NMJ196" s="84"/>
      <c r="NMK196" s="84"/>
      <c r="NML196" s="84"/>
      <c r="NMM196" s="84"/>
      <c r="NMN196" s="84"/>
      <c r="NMO196" s="84"/>
      <c r="NMP196" s="84"/>
      <c r="NMQ196" s="84"/>
      <c r="NMR196" s="84"/>
      <c r="NMS196" s="84"/>
      <c r="NMT196" s="84"/>
      <c r="NMU196" s="84"/>
      <c r="NMV196" s="84"/>
      <c r="NMW196" s="84"/>
      <c r="NMX196" s="84"/>
      <c r="NMY196" s="84"/>
      <c r="NMZ196" s="84"/>
      <c r="NNA196" s="84"/>
      <c r="NNB196" s="84"/>
      <c r="NNC196" s="84"/>
      <c r="NND196" s="84"/>
      <c r="NNE196" s="84"/>
      <c r="NNF196" s="84"/>
      <c r="NNG196" s="84"/>
      <c r="NNH196" s="84"/>
      <c r="NNI196" s="84"/>
      <c r="NNJ196" s="84"/>
      <c r="NNK196" s="84"/>
      <c r="NNL196" s="84"/>
      <c r="NNM196" s="84"/>
      <c r="NNN196" s="84"/>
      <c r="NNO196" s="84"/>
      <c r="NNP196" s="84"/>
      <c r="NNQ196" s="84"/>
      <c r="NNR196" s="84"/>
      <c r="NNS196" s="84"/>
      <c r="NNT196" s="84"/>
      <c r="NNU196" s="84"/>
      <c r="NNV196" s="84"/>
      <c r="NNW196" s="84"/>
      <c r="NNX196" s="84"/>
      <c r="NNY196" s="84"/>
      <c r="NNZ196" s="84"/>
      <c r="NOA196" s="84"/>
      <c r="NOB196" s="84"/>
      <c r="NOC196" s="84"/>
      <c r="NOD196" s="84"/>
      <c r="NOE196" s="84"/>
      <c r="NOF196" s="84"/>
      <c r="NOG196" s="84"/>
      <c r="NOH196" s="84"/>
      <c r="NOI196" s="84"/>
      <c r="NOJ196" s="84"/>
      <c r="NOK196" s="84"/>
      <c r="NOL196" s="84"/>
      <c r="NOM196" s="84"/>
      <c r="NON196" s="84"/>
      <c r="NOO196" s="84"/>
      <c r="NOP196" s="84"/>
      <c r="NOQ196" s="84"/>
      <c r="NOR196" s="84"/>
      <c r="NOS196" s="84"/>
      <c r="NOT196" s="84"/>
      <c r="NOU196" s="84"/>
      <c r="NOV196" s="84"/>
      <c r="NOW196" s="84"/>
      <c r="NOX196" s="84"/>
      <c r="NOY196" s="84"/>
      <c r="NOZ196" s="84"/>
      <c r="NPA196" s="84"/>
      <c r="NPB196" s="84"/>
      <c r="NPC196" s="84"/>
      <c r="NPD196" s="84"/>
      <c r="NPE196" s="84"/>
      <c r="NPF196" s="84"/>
      <c r="NPG196" s="84"/>
      <c r="NPH196" s="84"/>
      <c r="NPI196" s="84"/>
      <c r="NPJ196" s="84"/>
      <c r="NPK196" s="84"/>
      <c r="NPL196" s="84"/>
      <c r="NPM196" s="84"/>
      <c r="NPN196" s="84"/>
      <c r="NPO196" s="84"/>
      <c r="NPP196" s="84"/>
      <c r="NPQ196" s="84"/>
      <c r="NPR196" s="84"/>
      <c r="NPS196" s="84"/>
      <c r="NPT196" s="84"/>
      <c r="NPU196" s="84"/>
      <c r="NPV196" s="84"/>
      <c r="NPW196" s="84"/>
      <c r="NPX196" s="84"/>
      <c r="NPY196" s="84"/>
      <c r="NPZ196" s="84"/>
      <c r="NQA196" s="84"/>
      <c r="NQB196" s="84"/>
      <c r="NQC196" s="84"/>
      <c r="NQD196" s="84"/>
      <c r="NQE196" s="84"/>
      <c r="NQF196" s="84"/>
      <c r="NQG196" s="84"/>
      <c r="NQH196" s="84"/>
      <c r="NQI196" s="84"/>
      <c r="NQJ196" s="84"/>
      <c r="NQK196" s="84"/>
      <c r="NQL196" s="84"/>
      <c r="NQM196" s="84"/>
      <c r="NQN196" s="84"/>
      <c r="NQO196" s="84"/>
      <c r="NQP196" s="84"/>
      <c r="NQQ196" s="84"/>
      <c r="NQR196" s="84"/>
      <c r="NQS196" s="84"/>
      <c r="NQT196" s="84"/>
      <c r="NQU196" s="84"/>
      <c r="NQV196" s="84"/>
      <c r="NQW196" s="84"/>
      <c r="NQX196" s="84"/>
      <c r="NQY196" s="84"/>
      <c r="NQZ196" s="84"/>
      <c r="NRA196" s="84"/>
      <c r="NRB196" s="84"/>
      <c r="NRC196" s="84"/>
      <c r="NRD196" s="84"/>
      <c r="NRE196" s="84"/>
      <c r="NRF196" s="84"/>
      <c r="NRG196" s="84"/>
      <c r="NRH196" s="84"/>
      <c r="NRI196" s="84"/>
      <c r="NRJ196" s="84"/>
      <c r="NRK196" s="84"/>
      <c r="NRL196" s="84"/>
      <c r="NRM196" s="84"/>
      <c r="NRN196" s="84"/>
      <c r="NRO196" s="84"/>
      <c r="NRP196" s="84"/>
      <c r="NRQ196" s="84"/>
      <c r="NRR196" s="84"/>
      <c r="NRS196" s="84"/>
      <c r="NRT196" s="84"/>
      <c r="NRU196" s="84"/>
      <c r="NRV196" s="84"/>
      <c r="NRW196" s="84"/>
      <c r="NRX196" s="84"/>
      <c r="NRY196" s="84"/>
      <c r="NRZ196" s="84"/>
      <c r="NSA196" s="84"/>
      <c r="NSB196" s="84"/>
      <c r="NSC196" s="84"/>
      <c r="NSD196" s="84"/>
      <c r="NSE196" s="84"/>
      <c r="NSF196" s="84"/>
      <c r="NSG196" s="84"/>
      <c r="NSH196" s="84"/>
      <c r="NSI196" s="84"/>
      <c r="NSJ196" s="84"/>
      <c r="NSK196" s="84"/>
      <c r="NSL196" s="84"/>
      <c r="NSM196" s="84"/>
      <c r="NSN196" s="84"/>
      <c r="NSO196" s="84"/>
      <c r="NSP196" s="84"/>
      <c r="NSQ196" s="84"/>
      <c r="NSR196" s="84"/>
      <c r="NSS196" s="84"/>
      <c r="NST196" s="84"/>
      <c r="NSU196" s="84"/>
      <c r="NSV196" s="84"/>
      <c r="NSW196" s="84"/>
      <c r="NSX196" s="84"/>
      <c r="NSY196" s="84"/>
      <c r="NSZ196" s="84"/>
      <c r="NTA196" s="84"/>
      <c r="NTB196" s="84"/>
      <c r="NTC196" s="84"/>
      <c r="NTD196" s="84"/>
      <c r="NTE196" s="84"/>
      <c r="NTF196" s="84"/>
      <c r="NTG196" s="84"/>
      <c r="NTH196" s="84"/>
      <c r="NTI196" s="84"/>
      <c r="NTJ196" s="84"/>
      <c r="NTK196" s="84"/>
      <c r="NTL196" s="84"/>
      <c r="NTM196" s="84"/>
      <c r="NTN196" s="84"/>
      <c r="NTO196" s="84"/>
      <c r="NTP196" s="84"/>
      <c r="NTQ196" s="84"/>
      <c r="NTR196" s="84"/>
      <c r="NTS196" s="84"/>
      <c r="NTT196" s="84"/>
      <c r="NTU196" s="84"/>
      <c r="NTV196" s="84"/>
      <c r="NTW196" s="84"/>
      <c r="NTX196" s="84"/>
      <c r="NTY196" s="84"/>
      <c r="NTZ196" s="84"/>
      <c r="NUA196" s="84"/>
      <c r="NUB196" s="84"/>
      <c r="NUC196" s="84"/>
      <c r="NUD196" s="84"/>
      <c r="NUE196" s="84"/>
      <c r="NUF196" s="84"/>
      <c r="NUG196" s="84"/>
      <c r="NUH196" s="84"/>
      <c r="NUI196" s="84"/>
      <c r="NUJ196" s="84"/>
      <c r="NUK196" s="84"/>
      <c r="NUL196" s="84"/>
      <c r="NUM196" s="84"/>
      <c r="NUN196" s="84"/>
      <c r="NUO196" s="84"/>
      <c r="NUP196" s="84"/>
      <c r="NUQ196" s="84"/>
      <c r="NUR196" s="84"/>
      <c r="NUS196" s="84"/>
      <c r="NUT196" s="84"/>
      <c r="NUU196" s="84"/>
      <c r="NUV196" s="84"/>
      <c r="NUW196" s="84"/>
      <c r="NUX196" s="84"/>
      <c r="NUY196" s="84"/>
      <c r="NUZ196" s="84"/>
      <c r="NVA196" s="84"/>
      <c r="NVB196" s="84"/>
      <c r="NVC196" s="84"/>
      <c r="NVD196" s="84"/>
      <c r="NVE196" s="84"/>
      <c r="NVF196" s="84"/>
      <c r="NVG196" s="84"/>
      <c r="NVH196" s="84"/>
      <c r="NVI196" s="84"/>
      <c r="NVJ196" s="84"/>
      <c r="NVK196" s="84"/>
      <c r="NVL196" s="84"/>
      <c r="NVM196" s="84"/>
      <c r="NVN196" s="84"/>
      <c r="NVO196" s="84"/>
      <c r="NVP196" s="84"/>
      <c r="NVQ196" s="84"/>
      <c r="NVR196" s="84"/>
      <c r="NVS196" s="84"/>
      <c r="NVT196" s="84"/>
      <c r="NVU196" s="84"/>
      <c r="NVV196" s="84"/>
      <c r="NVW196" s="84"/>
      <c r="NVX196" s="84"/>
      <c r="NVY196" s="84"/>
      <c r="NVZ196" s="84"/>
      <c r="NWA196" s="84"/>
      <c r="NWB196" s="84"/>
      <c r="NWC196" s="84"/>
      <c r="NWD196" s="84"/>
      <c r="NWE196" s="84"/>
      <c r="NWF196" s="84"/>
      <c r="NWG196" s="84"/>
      <c r="NWH196" s="84"/>
      <c r="NWI196" s="84"/>
      <c r="NWJ196" s="84"/>
      <c r="NWK196" s="84"/>
      <c r="NWL196" s="84"/>
      <c r="NWM196" s="84"/>
      <c r="NWN196" s="84"/>
      <c r="NWO196" s="84"/>
      <c r="NWP196" s="84"/>
      <c r="NWQ196" s="84"/>
      <c r="NWR196" s="84"/>
      <c r="NWS196" s="84"/>
      <c r="NWT196" s="84"/>
      <c r="NWU196" s="84"/>
      <c r="NWV196" s="84"/>
      <c r="NWW196" s="84"/>
      <c r="NWX196" s="84"/>
      <c r="NWY196" s="84"/>
      <c r="NWZ196" s="84"/>
      <c r="NXA196" s="84"/>
      <c r="NXB196" s="84"/>
      <c r="NXC196" s="84"/>
      <c r="NXD196" s="84"/>
      <c r="NXE196" s="84"/>
      <c r="NXF196" s="84"/>
      <c r="NXG196" s="84"/>
      <c r="NXH196" s="84"/>
      <c r="NXI196" s="84"/>
      <c r="NXJ196" s="84"/>
      <c r="NXK196" s="84"/>
      <c r="NXL196" s="84"/>
      <c r="NXM196" s="84"/>
      <c r="NXN196" s="84"/>
      <c r="NXO196" s="84"/>
      <c r="NXP196" s="84"/>
      <c r="NXQ196" s="84"/>
      <c r="NXR196" s="84"/>
      <c r="NXS196" s="84"/>
      <c r="NXT196" s="84"/>
      <c r="NXU196" s="84"/>
      <c r="NXV196" s="84"/>
      <c r="NXW196" s="84"/>
      <c r="NXX196" s="84"/>
      <c r="NXY196" s="84"/>
      <c r="NXZ196" s="84"/>
      <c r="NYA196" s="84"/>
      <c r="NYB196" s="84"/>
      <c r="NYC196" s="84"/>
      <c r="NYD196" s="84"/>
      <c r="NYE196" s="84"/>
      <c r="NYF196" s="84"/>
      <c r="NYG196" s="84"/>
      <c r="NYH196" s="84"/>
      <c r="NYI196" s="84"/>
      <c r="NYJ196" s="84"/>
      <c r="NYK196" s="84"/>
      <c r="NYL196" s="84"/>
      <c r="NYM196" s="84"/>
      <c r="NYN196" s="84"/>
      <c r="NYO196" s="84"/>
      <c r="NYP196" s="84"/>
      <c r="NYQ196" s="84"/>
      <c r="NYR196" s="84"/>
      <c r="NYS196" s="84"/>
      <c r="NYT196" s="84"/>
      <c r="NYU196" s="84"/>
      <c r="NYV196" s="84"/>
      <c r="NYW196" s="84"/>
      <c r="NYX196" s="84"/>
      <c r="NYY196" s="84"/>
      <c r="NYZ196" s="84"/>
      <c r="NZA196" s="84"/>
      <c r="NZB196" s="84"/>
      <c r="NZC196" s="84"/>
      <c r="NZD196" s="84"/>
      <c r="NZE196" s="84"/>
      <c r="NZF196" s="84"/>
      <c r="NZG196" s="84"/>
      <c r="NZH196" s="84"/>
      <c r="NZI196" s="84"/>
      <c r="NZJ196" s="84"/>
      <c r="NZK196" s="84"/>
      <c r="NZL196" s="84"/>
      <c r="NZM196" s="84"/>
      <c r="NZN196" s="84"/>
      <c r="NZO196" s="84"/>
      <c r="NZP196" s="84"/>
      <c r="NZQ196" s="84"/>
      <c r="NZR196" s="84"/>
      <c r="NZS196" s="84"/>
      <c r="NZT196" s="84"/>
      <c r="NZU196" s="84"/>
      <c r="NZV196" s="84"/>
      <c r="NZW196" s="84"/>
      <c r="NZX196" s="84"/>
      <c r="NZY196" s="84"/>
      <c r="NZZ196" s="84"/>
      <c r="OAA196" s="84"/>
      <c r="OAB196" s="84"/>
      <c r="OAC196" s="84"/>
      <c r="OAD196" s="84"/>
      <c r="OAE196" s="84"/>
      <c r="OAF196" s="84"/>
      <c r="OAG196" s="84"/>
      <c r="OAH196" s="84"/>
      <c r="OAI196" s="84"/>
      <c r="OAJ196" s="84"/>
      <c r="OAK196" s="84"/>
      <c r="OAL196" s="84"/>
      <c r="OAM196" s="84"/>
      <c r="OAN196" s="84"/>
      <c r="OAO196" s="84"/>
      <c r="OAP196" s="84"/>
      <c r="OAQ196" s="84"/>
      <c r="OAR196" s="84"/>
      <c r="OAS196" s="84"/>
      <c r="OAT196" s="84"/>
      <c r="OAU196" s="84"/>
      <c r="OAV196" s="84"/>
      <c r="OAW196" s="84"/>
      <c r="OAX196" s="84"/>
      <c r="OAY196" s="84"/>
      <c r="OAZ196" s="84"/>
      <c r="OBA196" s="84"/>
      <c r="OBB196" s="84"/>
      <c r="OBC196" s="84"/>
      <c r="OBD196" s="84"/>
      <c r="OBE196" s="84"/>
      <c r="OBF196" s="84"/>
      <c r="OBG196" s="84"/>
      <c r="OBH196" s="84"/>
      <c r="OBI196" s="84"/>
      <c r="OBJ196" s="84"/>
      <c r="OBK196" s="84"/>
      <c r="OBL196" s="84"/>
      <c r="OBM196" s="84"/>
      <c r="OBN196" s="84"/>
      <c r="OBO196" s="84"/>
      <c r="OBP196" s="84"/>
      <c r="OBQ196" s="84"/>
      <c r="OBR196" s="84"/>
      <c r="OBS196" s="84"/>
      <c r="OBT196" s="84"/>
      <c r="OBU196" s="84"/>
      <c r="OBV196" s="84"/>
      <c r="OBW196" s="84"/>
      <c r="OBX196" s="84"/>
      <c r="OBY196" s="84"/>
      <c r="OBZ196" s="84"/>
      <c r="OCA196" s="84"/>
      <c r="OCB196" s="84"/>
      <c r="OCC196" s="84"/>
      <c r="OCD196" s="84"/>
      <c r="OCE196" s="84"/>
      <c r="OCF196" s="84"/>
      <c r="OCG196" s="84"/>
      <c r="OCH196" s="84"/>
      <c r="OCI196" s="84"/>
      <c r="OCJ196" s="84"/>
      <c r="OCK196" s="84"/>
      <c r="OCL196" s="84"/>
      <c r="OCM196" s="84"/>
      <c r="OCN196" s="84"/>
      <c r="OCO196" s="84"/>
      <c r="OCP196" s="84"/>
      <c r="OCQ196" s="84"/>
      <c r="OCR196" s="84"/>
      <c r="OCS196" s="84"/>
      <c r="OCT196" s="84"/>
      <c r="OCU196" s="84"/>
      <c r="OCV196" s="84"/>
      <c r="OCW196" s="84"/>
      <c r="OCX196" s="84"/>
      <c r="OCY196" s="84"/>
      <c r="OCZ196" s="84"/>
      <c r="ODA196" s="84"/>
      <c r="ODB196" s="84"/>
      <c r="ODC196" s="84"/>
      <c r="ODD196" s="84"/>
      <c r="ODE196" s="84"/>
      <c r="ODF196" s="84"/>
      <c r="ODG196" s="84"/>
      <c r="ODH196" s="84"/>
      <c r="ODI196" s="84"/>
      <c r="ODJ196" s="84"/>
      <c r="ODK196" s="84"/>
      <c r="ODL196" s="84"/>
      <c r="ODM196" s="84"/>
      <c r="ODN196" s="84"/>
      <c r="ODO196" s="84"/>
      <c r="ODP196" s="84"/>
      <c r="ODQ196" s="84"/>
      <c r="ODR196" s="84"/>
      <c r="ODS196" s="84"/>
      <c r="ODT196" s="84"/>
      <c r="ODU196" s="84"/>
      <c r="ODV196" s="84"/>
      <c r="ODW196" s="84"/>
      <c r="ODX196" s="84"/>
      <c r="ODY196" s="84"/>
      <c r="ODZ196" s="84"/>
      <c r="OEA196" s="84"/>
      <c r="OEB196" s="84"/>
      <c r="OEC196" s="84"/>
      <c r="OED196" s="84"/>
      <c r="OEE196" s="84"/>
      <c r="OEF196" s="84"/>
      <c r="OEG196" s="84"/>
      <c r="OEH196" s="84"/>
      <c r="OEI196" s="84"/>
      <c r="OEJ196" s="84"/>
      <c r="OEK196" s="84"/>
      <c r="OEL196" s="84"/>
      <c r="OEM196" s="84"/>
      <c r="OEN196" s="84"/>
      <c r="OEO196" s="84"/>
      <c r="OEP196" s="84"/>
      <c r="OEQ196" s="84"/>
      <c r="OER196" s="84"/>
      <c r="OES196" s="84"/>
      <c r="OET196" s="84"/>
      <c r="OEU196" s="84"/>
      <c r="OEV196" s="84"/>
      <c r="OEW196" s="84"/>
      <c r="OEX196" s="84"/>
      <c r="OEY196" s="84"/>
      <c r="OEZ196" s="84"/>
      <c r="OFA196" s="84"/>
      <c r="OFB196" s="84"/>
      <c r="OFC196" s="84"/>
      <c r="OFD196" s="84"/>
      <c r="OFE196" s="84"/>
      <c r="OFF196" s="84"/>
      <c r="OFG196" s="84"/>
      <c r="OFH196" s="84"/>
      <c r="OFI196" s="84"/>
      <c r="OFJ196" s="84"/>
      <c r="OFK196" s="84"/>
      <c r="OFL196" s="84"/>
      <c r="OFM196" s="84"/>
      <c r="OFN196" s="84"/>
      <c r="OFO196" s="84"/>
      <c r="OFP196" s="84"/>
      <c r="OFQ196" s="84"/>
      <c r="OFR196" s="84"/>
      <c r="OFS196" s="84"/>
      <c r="OFT196" s="84"/>
      <c r="OFU196" s="84"/>
      <c r="OFV196" s="84"/>
      <c r="OFW196" s="84"/>
      <c r="OFX196" s="84"/>
      <c r="OFY196" s="84"/>
      <c r="OFZ196" s="84"/>
      <c r="OGA196" s="84"/>
      <c r="OGB196" s="84"/>
      <c r="OGC196" s="84"/>
      <c r="OGD196" s="84"/>
      <c r="OGE196" s="84"/>
      <c r="OGF196" s="84"/>
      <c r="OGG196" s="84"/>
      <c r="OGH196" s="84"/>
      <c r="OGI196" s="84"/>
      <c r="OGJ196" s="84"/>
      <c r="OGK196" s="84"/>
      <c r="OGL196" s="84"/>
      <c r="OGM196" s="84"/>
      <c r="OGN196" s="84"/>
      <c r="OGO196" s="84"/>
      <c r="OGP196" s="84"/>
      <c r="OGQ196" s="84"/>
      <c r="OGR196" s="84"/>
      <c r="OGS196" s="84"/>
      <c r="OGT196" s="84"/>
      <c r="OGU196" s="84"/>
      <c r="OGV196" s="84"/>
      <c r="OGW196" s="84"/>
      <c r="OGX196" s="84"/>
      <c r="OGY196" s="84"/>
      <c r="OGZ196" s="84"/>
      <c r="OHA196" s="84"/>
      <c r="OHB196" s="84"/>
      <c r="OHC196" s="84"/>
      <c r="OHD196" s="84"/>
      <c r="OHE196" s="84"/>
      <c r="OHF196" s="84"/>
      <c r="OHG196" s="84"/>
      <c r="OHH196" s="84"/>
      <c r="OHI196" s="84"/>
      <c r="OHJ196" s="84"/>
      <c r="OHK196" s="84"/>
      <c r="OHL196" s="84"/>
      <c r="OHM196" s="84"/>
      <c r="OHN196" s="84"/>
      <c r="OHO196" s="84"/>
      <c r="OHP196" s="84"/>
      <c r="OHQ196" s="84"/>
      <c r="OHR196" s="84"/>
      <c r="OHS196" s="84"/>
      <c r="OHT196" s="84"/>
      <c r="OHU196" s="84"/>
      <c r="OHV196" s="84"/>
      <c r="OHW196" s="84"/>
      <c r="OHX196" s="84"/>
      <c r="OHY196" s="84"/>
      <c r="OHZ196" s="84"/>
      <c r="OIA196" s="84"/>
      <c r="OIB196" s="84"/>
      <c r="OIC196" s="84"/>
      <c r="OID196" s="84"/>
      <c r="OIE196" s="84"/>
      <c r="OIF196" s="84"/>
      <c r="OIG196" s="84"/>
      <c r="OIH196" s="84"/>
      <c r="OII196" s="84"/>
      <c r="OIJ196" s="84"/>
      <c r="OIK196" s="84"/>
      <c r="OIL196" s="84"/>
      <c r="OIM196" s="84"/>
      <c r="OIN196" s="84"/>
      <c r="OIO196" s="84"/>
      <c r="OIP196" s="84"/>
      <c r="OIQ196" s="84"/>
      <c r="OIR196" s="84"/>
      <c r="OIS196" s="84"/>
      <c r="OIT196" s="84"/>
      <c r="OIU196" s="84"/>
      <c r="OIV196" s="84"/>
      <c r="OIW196" s="84"/>
      <c r="OIX196" s="84"/>
      <c r="OIY196" s="84"/>
      <c r="OIZ196" s="84"/>
      <c r="OJA196" s="84"/>
      <c r="OJB196" s="84"/>
      <c r="OJC196" s="84"/>
      <c r="OJD196" s="84"/>
      <c r="OJE196" s="84"/>
      <c r="OJF196" s="84"/>
      <c r="OJG196" s="84"/>
      <c r="OJH196" s="84"/>
      <c r="OJI196" s="84"/>
      <c r="OJJ196" s="84"/>
      <c r="OJK196" s="84"/>
      <c r="OJL196" s="84"/>
      <c r="OJM196" s="84"/>
      <c r="OJN196" s="84"/>
      <c r="OJO196" s="84"/>
      <c r="OJP196" s="84"/>
      <c r="OJQ196" s="84"/>
      <c r="OJR196" s="84"/>
      <c r="OJS196" s="84"/>
      <c r="OJT196" s="84"/>
      <c r="OJU196" s="84"/>
      <c r="OJV196" s="84"/>
      <c r="OJW196" s="84"/>
      <c r="OJX196" s="84"/>
      <c r="OJY196" s="84"/>
      <c r="OJZ196" s="84"/>
      <c r="OKA196" s="84"/>
      <c r="OKB196" s="84"/>
      <c r="OKC196" s="84"/>
      <c r="OKD196" s="84"/>
      <c r="OKE196" s="84"/>
      <c r="OKF196" s="84"/>
      <c r="OKG196" s="84"/>
      <c r="OKH196" s="84"/>
      <c r="OKI196" s="84"/>
      <c r="OKJ196" s="84"/>
      <c r="OKK196" s="84"/>
      <c r="OKL196" s="84"/>
      <c r="OKM196" s="84"/>
      <c r="OKN196" s="84"/>
      <c r="OKO196" s="84"/>
      <c r="OKP196" s="84"/>
      <c r="OKQ196" s="84"/>
      <c r="OKR196" s="84"/>
      <c r="OKS196" s="84"/>
      <c r="OKT196" s="84"/>
      <c r="OKU196" s="84"/>
      <c r="OKV196" s="84"/>
      <c r="OKW196" s="84"/>
      <c r="OKX196" s="84"/>
      <c r="OKY196" s="84"/>
      <c r="OKZ196" s="84"/>
      <c r="OLA196" s="84"/>
      <c r="OLB196" s="84"/>
      <c r="OLC196" s="84"/>
      <c r="OLD196" s="84"/>
      <c r="OLE196" s="84"/>
      <c r="OLF196" s="84"/>
      <c r="OLG196" s="84"/>
      <c r="OLH196" s="84"/>
      <c r="OLI196" s="84"/>
      <c r="OLJ196" s="84"/>
      <c r="OLK196" s="84"/>
      <c r="OLL196" s="84"/>
      <c r="OLM196" s="84"/>
      <c r="OLN196" s="84"/>
      <c r="OLO196" s="84"/>
      <c r="OLP196" s="84"/>
      <c r="OLQ196" s="84"/>
      <c r="OLR196" s="84"/>
      <c r="OLS196" s="84"/>
      <c r="OLT196" s="84"/>
      <c r="OLU196" s="84"/>
      <c r="OLV196" s="84"/>
      <c r="OLW196" s="84"/>
      <c r="OLX196" s="84"/>
      <c r="OLY196" s="84"/>
      <c r="OLZ196" s="84"/>
      <c r="OMA196" s="84"/>
      <c r="OMB196" s="84"/>
      <c r="OMC196" s="84"/>
      <c r="OMD196" s="84"/>
      <c r="OME196" s="84"/>
      <c r="OMF196" s="84"/>
      <c r="OMG196" s="84"/>
      <c r="OMH196" s="84"/>
      <c r="OMI196" s="84"/>
      <c r="OMJ196" s="84"/>
      <c r="OMK196" s="84"/>
      <c r="OML196" s="84"/>
      <c r="OMM196" s="84"/>
      <c r="OMN196" s="84"/>
      <c r="OMO196" s="84"/>
      <c r="OMP196" s="84"/>
      <c r="OMQ196" s="84"/>
      <c r="OMR196" s="84"/>
      <c r="OMS196" s="84"/>
      <c r="OMT196" s="84"/>
      <c r="OMU196" s="84"/>
      <c r="OMV196" s="84"/>
      <c r="OMW196" s="84"/>
      <c r="OMX196" s="84"/>
      <c r="OMY196" s="84"/>
      <c r="OMZ196" s="84"/>
      <c r="ONA196" s="84"/>
      <c r="ONB196" s="84"/>
      <c r="ONC196" s="84"/>
      <c r="OND196" s="84"/>
      <c r="ONE196" s="84"/>
      <c r="ONF196" s="84"/>
      <c r="ONG196" s="84"/>
      <c r="ONH196" s="84"/>
      <c r="ONI196" s="84"/>
      <c r="ONJ196" s="84"/>
      <c r="ONK196" s="84"/>
      <c r="ONL196" s="84"/>
      <c r="ONM196" s="84"/>
      <c r="ONN196" s="84"/>
      <c r="ONO196" s="84"/>
      <c r="ONP196" s="84"/>
      <c r="ONQ196" s="84"/>
      <c r="ONR196" s="84"/>
      <c r="ONS196" s="84"/>
      <c r="ONT196" s="84"/>
      <c r="ONU196" s="84"/>
      <c r="ONV196" s="84"/>
      <c r="ONW196" s="84"/>
      <c r="ONX196" s="84"/>
      <c r="ONY196" s="84"/>
      <c r="ONZ196" s="84"/>
      <c r="OOA196" s="84"/>
      <c r="OOB196" s="84"/>
      <c r="OOC196" s="84"/>
      <c r="OOD196" s="84"/>
      <c r="OOE196" s="84"/>
      <c r="OOF196" s="84"/>
      <c r="OOG196" s="84"/>
      <c r="OOH196" s="84"/>
      <c r="OOI196" s="84"/>
      <c r="OOJ196" s="84"/>
      <c r="OOK196" s="84"/>
      <c r="OOL196" s="84"/>
      <c r="OOM196" s="84"/>
      <c r="OON196" s="84"/>
      <c r="OOO196" s="84"/>
      <c r="OOP196" s="84"/>
      <c r="OOQ196" s="84"/>
      <c r="OOR196" s="84"/>
      <c r="OOS196" s="84"/>
      <c r="OOT196" s="84"/>
      <c r="OOU196" s="84"/>
      <c r="OOV196" s="84"/>
      <c r="OOW196" s="84"/>
      <c r="OOX196" s="84"/>
      <c r="OOY196" s="84"/>
      <c r="OOZ196" s="84"/>
      <c r="OPA196" s="84"/>
      <c r="OPB196" s="84"/>
      <c r="OPC196" s="84"/>
      <c r="OPD196" s="84"/>
      <c r="OPE196" s="84"/>
      <c r="OPF196" s="84"/>
      <c r="OPG196" s="84"/>
      <c r="OPH196" s="84"/>
      <c r="OPI196" s="84"/>
      <c r="OPJ196" s="84"/>
      <c r="OPK196" s="84"/>
      <c r="OPL196" s="84"/>
      <c r="OPM196" s="84"/>
      <c r="OPN196" s="84"/>
      <c r="OPO196" s="84"/>
      <c r="OPP196" s="84"/>
      <c r="OPQ196" s="84"/>
      <c r="OPR196" s="84"/>
      <c r="OPS196" s="84"/>
      <c r="OPT196" s="84"/>
      <c r="OPU196" s="84"/>
      <c r="OPV196" s="84"/>
      <c r="OPW196" s="84"/>
      <c r="OPX196" s="84"/>
      <c r="OPY196" s="84"/>
      <c r="OPZ196" s="84"/>
      <c r="OQA196" s="84"/>
      <c r="OQB196" s="84"/>
      <c r="OQC196" s="84"/>
      <c r="OQD196" s="84"/>
      <c r="OQE196" s="84"/>
      <c r="OQF196" s="84"/>
      <c r="OQG196" s="84"/>
      <c r="OQH196" s="84"/>
      <c r="OQI196" s="84"/>
      <c r="OQJ196" s="84"/>
      <c r="OQK196" s="84"/>
      <c r="OQL196" s="84"/>
      <c r="OQM196" s="84"/>
      <c r="OQN196" s="84"/>
      <c r="OQO196" s="84"/>
      <c r="OQP196" s="84"/>
      <c r="OQQ196" s="84"/>
      <c r="OQR196" s="84"/>
      <c r="OQS196" s="84"/>
      <c r="OQT196" s="84"/>
      <c r="OQU196" s="84"/>
      <c r="OQV196" s="84"/>
      <c r="OQW196" s="84"/>
      <c r="OQX196" s="84"/>
      <c r="OQY196" s="84"/>
      <c r="OQZ196" s="84"/>
      <c r="ORA196" s="84"/>
      <c r="ORB196" s="84"/>
      <c r="ORC196" s="84"/>
      <c r="ORD196" s="84"/>
      <c r="ORE196" s="84"/>
      <c r="ORF196" s="84"/>
      <c r="ORG196" s="84"/>
      <c r="ORH196" s="84"/>
      <c r="ORI196" s="84"/>
      <c r="ORJ196" s="84"/>
      <c r="ORK196" s="84"/>
      <c r="ORL196" s="84"/>
      <c r="ORM196" s="84"/>
      <c r="ORN196" s="84"/>
      <c r="ORO196" s="84"/>
      <c r="ORP196" s="84"/>
      <c r="ORQ196" s="84"/>
      <c r="ORR196" s="84"/>
      <c r="ORS196" s="84"/>
      <c r="ORT196" s="84"/>
      <c r="ORU196" s="84"/>
      <c r="ORV196" s="84"/>
      <c r="ORW196" s="84"/>
      <c r="ORX196" s="84"/>
      <c r="ORY196" s="84"/>
      <c r="ORZ196" s="84"/>
      <c r="OSA196" s="84"/>
      <c r="OSB196" s="84"/>
      <c r="OSC196" s="84"/>
      <c r="OSD196" s="84"/>
      <c r="OSE196" s="84"/>
      <c r="OSF196" s="84"/>
      <c r="OSG196" s="84"/>
      <c r="OSH196" s="84"/>
      <c r="OSI196" s="84"/>
      <c r="OSJ196" s="84"/>
      <c r="OSK196" s="84"/>
      <c r="OSL196" s="84"/>
      <c r="OSM196" s="84"/>
      <c r="OSN196" s="84"/>
      <c r="OSO196" s="84"/>
      <c r="OSP196" s="84"/>
      <c r="OSQ196" s="84"/>
      <c r="OSR196" s="84"/>
      <c r="OSS196" s="84"/>
      <c r="OST196" s="84"/>
      <c r="OSU196" s="84"/>
      <c r="OSV196" s="84"/>
      <c r="OSW196" s="84"/>
      <c r="OSX196" s="84"/>
      <c r="OSY196" s="84"/>
      <c r="OSZ196" s="84"/>
      <c r="OTA196" s="84"/>
      <c r="OTB196" s="84"/>
      <c r="OTC196" s="84"/>
      <c r="OTD196" s="84"/>
      <c r="OTE196" s="84"/>
      <c r="OTF196" s="84"/>
      <c r="OTG196" s="84"/>
      <c r="OTH196" s="84"/>
      <c r="OTI196" s="84"/>
      <c r="OTJ196" s="84"/>
      <c r="OTK196" s="84"/>
      <c r="OTL196" s="84"/>
      <c r="OTM196" s="84"/>
      <c r="OTN196" s="84"/>
      <c r="OTO196" s="84"/>
      <c r="OTP196" s="84"/>
      <c r="OTQ196" s="84"/>
      <c r="OTR196" s="84"/>
      <c r="OTS196" s="84"/>
      <c r="OTT196" s="84"/>
      <c r="OTU196" s="84"/>
      <c r="OTV196" s="84"/>
      <c r="OTW196" s="84"/>
      <c r="OTX196" s="84"/>
      <c r="OTY196" s="84"/>
      <c r="OTZ196" s="84"/>
      <c r="OUA196" s="84"/>
      <c r="OUB196" s="84"/>
      <c r="OUC196" s="84"/>
      <c r="OUD196" s="84"/>
      <c r="OUE196" s="84"/>
      <c r="OUF196" s="84"/>
      <c r="OUG196" s="84"/>
      <c r="OUH196" s="84"/>
      <c r="OUI196" s="84"/>
      <c r="OUJ196" s="84"/>
      <c r="OUK196" s="84"/>
      <c r="OUL196" s="84"/>
      <c r="OUM196" s="84"/>
      <c r="OUN196" s="84"/>
      <c r="OUO196" s="84"/>
      <c r="OUP196" s="84"/>
      <c r="OUQ196" s="84"/>
      <c r="OUR196" s="84"/>
      <c r="OUS196" s="84"/>
      <c r="OUT196" s="84"/>
      <c r="OUU196" s="84"/>
      <c r="OUV196" s="84"/>
      <c r="OUW196" s="84"/>
      <c r="OUX196" s="84"/>
      <c r="OUY196" s="84"/>
      <c r="OUZ196" s="84"/>
      <c r="OVA196" s="84"/>
      <c r="OVB196" s="84"/>
      <c r="OVC196" s="84"/>
      <c r="OVD196" s="84"/>
      <c r="OVE196" s="84"/>
      <c r="OVF196" s="84"/>
      <c r="OVG196" s="84"/>
      <c r="OVH196" s="84"/>
      <c r="OVI196" s="84"/>
      <c r="OVJ196" s="84"/>
      <c r="OVK196" s="84"/>
      <c r="OVL196" s="84"/>
      <c r="OVM196" s="84"/>
      <c r="OVN196" s="84"/>
      <c r="OVO196" s="84"/>
      <c r="OVP196" s="84"/>
      <c r="OVQ196" s="84"/>
      <c r="OVR196" s="84"/>
      <c r="OVS196" s="84"/>
      <c r="OVT196" s="84"/>
      <c r="OVU196" s="84"/>
      <c r="OVV196" s="84"/>
      <c r="OVW196" s="84"/>
      <c r="OVX196" s="84"/>
      <c r="OVY196" s="84"/>
      <c r="OVZ196" s="84"/>
      <c r="OWA196" s="84"/>
      <c r="OWB196" s="84"/>
      <c r="OWC196" s="84"/>
      <c r="OWD196" s="84"/>
      <c r="OWE196" s="84"/>
      <c r="OWF196" s="84"/>
      <c r="OWG196" s="84"/>
      <c r="OWH196" s="84"/>
      <c r="OWI196" s="84"/>
      <c r="OWJ196" s="84"/>
      <c r="OWK196" s="84"/>
      <c r="OWL196" s="84"/>
      <c r="OWM196" s="84"/>
      <c r="OWN196" s="84"/>
      <c r="OWO196" s="84"/>
      <c r="OWP196" s="84"/>
      <c r="OWQ196" s="84"/>
      <c r="OWR196" s="84"/>
      <c r="OWS196" s="84"/>
      <c r="OWT196" s="84"/>
      <c r="OWU196" s="84"/>
      <c r="OWV196" s="84"/>
      <c r="OWW196" s="84"/>
      <c r="OWX196" s="84"/>
      <c r="OWY196" s="84"/>
      <c r="OWZ196" s="84"/>
      <c r="OXA196" s="84"/>
      <c r="OXB196" s="84"/>
      <c r="OXC196" s="84"/>
      <c r="OXD196" s="84"/>
      <c r="OXE196" s="84"/>
      <c r="OXF196" s="84"/>
      <c r="OXG196" s="84"/>
      <c r="OXH196" s="84"/>
      <c r="OXI196" s="84"/>
      <c r="OXJ196" s="84"/>
      <c r="OXK196" s="84"/>
      <c r="OXL196" s="84"/>
      <c r="OXM196" s="84"/>
      <c r="OXN196" s="84"/>
      <c r="OXO196" s="84"/>
      <c r="OXP196" s="84"/>
      <c r="OXQ196" s="84"/>
      <c r="OXR196" s="84"/>
      <c r="OXS196" s="84"/>
      <c r="OXT196" s="84"/>
      <c r="OXU196" s="84"/>
      <c r="OXV196" s="84"/>
      <c r="OXW196" s="84"/>
      <c r="OXX196" s="84"/>
      <c r="OXY196" s="84"/>
      <c r="OXZ196" s="84"/>
      <c r="OYA196" s="84"/>
      <c r="OYB196" s="84"/>
      <c r="OYC196" s="84"/>
      <c r="OYD196" s="84"/>
      <c r="OYE196" s="84"/>
      <c r="OYF196" s="84"/>
      <c r="OYG196" s="84"/>
      <c r="OYH196" s="84"/>
      <c r="OYI196" s="84"/>
      <c r="OYJ196" s="84"/>
      <c r="OYK196" s="84"/>
      <c r="OYL196" s="84"/>
      <c r="OYM196" s="84"/>
      <c r="OYN196" s="84"/>
      <c r="OYO196" s="84"/>
      <c r="OYP196" s="84"/>
      <c r="OYQ196" s="84"/>
      <c r="OYR196" s="84"/>
      <c r="OYS196" s="84"/>
      <c r="OYT196" s="84"/>
      <c r="OYU196" s="84"/>
      <c r="OYV196" s="84"/>
      <c r="OYW196" s="84"/>
      <c r="OYX196" s="84"/>
      <c r="OYY196" s="84"/>
      <c r="OYZ196" s="84"/>
      <c r="OZA196" s="84"/>
      <c r="OZB196" s="84"/>
      <c r="OZC196" s="84"/>
      <c r="OZD196" s="84"/>
      <c r="OZE196" s="84"/>
      <c r="OZF196" s="84"/>
      <c r="OZG196" s="84"/>
      <c r="OZH196" s="84"/>
      <c r="OZI196" s="84"/>
      <c r="OZJ196" s="84"/>
      <c r="OZK196" s="84"/>
      <c r="OZL196" s="84"/>
      <c r="OZM196" s="84"/>
      <c r="OZN196" s="84"/>
      <c r="OZO196" s="84"/>
      <c r="OZP196" s="84"/>
      <c r="OZQ196" s="84"/>
      <c r="OZR196" s="84"/>
      <c r="OZS196" s="84"/>
      <c r="OZT196" s="84"/>
      <c r="OZU196" s="84"/>
      <c r="OZV196" s="84"/>
      <c r="OZW196" s="84"/>
      <c r="OZX196" s="84"/>
      <c r="OZY196" s="84"/>
      <c r="OZZ196" s="84"/>
      <c r="PAA196" s="84"/>
      <c r="PAB196" s="84"/>
      <c r="PAC196" s="84"/>
      <c r="PAD196" s="84"/>
      <c r="PAE196" s="84"/>
      <c r="PAF196" s="84"/>
      <c r="PAG196" s="84"/>
      <c r="PAH196" s="84"/>
      <c r="PAI196" s="84"/>
      <c r="PAJ196" s="84"/>
      <c r="PAK196" s="84"/>
      <c r="PAL196" s="84"/>
      <c r="PAM196" s="84"/>
      <c r="PAN196" s="84"/>
      <c r="PAO196" s="84"/>
      <c r="PAP196" s="84"/>
      <c r="PAQ196" s="84"/>
      <c r="PAR196" s="84"/>
      <c r="PAS196" s="84"/>
      <c r="PAT196" s="84"/>
      <c r="PAU196" s="84"/>
      <c r="PAV196" s="84"/>
      <c r="PAW196" s="84"/>
      <c r="PAX196" s="84"/>
      <c r="PAY196" s="84"/>
      <c r="PAZ196" s="84"/>
      <c r="PBA196" s="84"/>
      <c r="PBB196" s="84"/>
      <c r="PBC196" s="84"/>
      <c r="PBD196" s="84"/>
      <c r="PBE196" s="84"/>
      <c r="PBF196" s="84"/>
      <c r="PBG196" s="84"/>
      <c r="PBH196" s="84"/>
      <c r="PBI196" s="84"/>
      <c r="PBJ196" s="84"/>
      <c r="PBK196" s="84"/>
      <c r="PBL196" s="84"/>
      <c r="PBM196" s="84"/>
      <c r="PBN196" s="84"/>
      <c r="PBO196" s="84"/>
      <c r="PBP196" s="84"/>
      <c r="PBQ196" s="84"/>
      <c r="PBR196" s="84"/>
      <c r="PBS196" s="84"/>
      <c r="PBT196" s="84"/>
      <c r="PBU196" s="84"/>
      <c r="PBV196" s="84"/>
      <c r="PBW196" s="84"/>
      <c r="PBX196" s="84"/>
      <c r="PBY196" s="84"/>
      <c r="PBZ196" s="84"/>
      <c r="PCA196" s="84"/>
      <c r="PCB196" s="84"/>
      <c r="PCC196" s="84"/>
      <c r="PCD196" s="84"/>
      <c r="PCE196" s="84"/>
      <c r="PCF196" s="84"/>
      <c r="PCG196" s="84"/>
      <c r="PCH196" s="84"/>
      <c r="PCI196" s="84"/>
      <c r="PCJ196" s="84"/>
      <c r="PCK196" s="84"/>
      <c r="PCL196" s="84"/>
      <c r="PCM196" s="84"/>
      <c r="PCN196" s="84"/>
      <c r="PCO196" s="84"/>
      <c r="PCP196" s="84"/>
      <c r="PCQ196" s="84"/>
      <c r="PCR196" s="84"/>
      <c r="PCS196" s="84"/>
      <c r="PCT196" s="84"/>
      <c r="PCU196" s="84"/>
      <c r="PCV196" s="84"/>
      <c r="PCW196" s="84"/>
      <c r="PCX196" s="84"/>
      <c r="PCY196" s="84"/>
      <c r="PCZ196" s="84"/>
      <c r="PDA196" s="84"/>
      <c r="PDB196" s="84"/>
      <c r="PDC196" s="84"/>
      <c r="PDD196" s="84"/>
      <c r="PDE196" s="84"/>
      <c r="PDF196" s="84"/>
      <c r="PDG196" s="84"/>
      <c r="PDH196" s="84"/>
      <c r="PDI196" s="84"/>
      <c r="PDJ196" s="84"/>
      <c r="PDK196" s="84"/>
      <c r="PDL196" s="84"/>
      <c r="PDM196" s="84"/>
      <c r="PDN196" s="84"/>
      <c r="PDO196" s="84"/>
      <c r="PDP196" s="84"/>
      <c r="PDQ196" s="84"/>
      <c r="PDR196" s="84"/>
      <c r="PDS196" s="84"/>
      <c r="PDT196" s="84"/>
      <c r="PDU196" s="84"/>
      <c r="PDV196" s="84"/>
      <c r="PDW196" s="84"/>
      <c r="PDX196" s="84"/>
      <c r="PDY196" s="84"/>
      <c r="PDZ196" s="84"/>
      <c r="PEA196" s="84"/>
      <c r="PEB196" s="84"/>
      <c r="PEC196" s="84"/>
      <c r="PED196" s="84"/>
      <c r="PEE196" s="84"/>
      <c r="PEF196" s="84"/>
      <c r="PEG196" s="84"/>
      <c r="PEH196" s="84"/>
      <c r="PEI196" s="84"/>
      <c r="PEJ196" s="84"/>
      <c r="PEK196" s="84"/>
      <c r="PEL196" s="84"/>
      <c r="PEM196" s="84"/>
      <c r="PEN196" s="84"/>
      <c r="PEO196" s="84"/>
      <c r="PEP196" s="84"/>
      <c r="PEQ196" s="84"/>
      <c r="PER196" s="84"/>
      <c r="PES196" s="84"/>
      <c r="PET196" s="84"/>
      <c r="PEU196" s="84"/>
      <c r="PEV196" s="84"/>
      <c r="PEW196" s="84"/>
      <c r="PEX196" s="84"/>
      <c r="PEY196" s="84"/>
      <c r="PEZ196" s="84"/>
      <c r="PFA196" s="84"/>
      <c r="PFB196" s="84"/>
      <c r="PFC196" s="84"/>
      <c r="PFD196" s="84"/>
      <c r="PFE196" s="84"/>
      <c r="PFF196" s="84"/>
      <c r="PFG196" s="84"/>
      <c r="PFH196" s="84"/>
      <c r="PFI196" s="84"/>
      <c r="PFJ196" s="84"/>
      <c r="PFK196" s="84"/>
      <c r="PFL196" s="84"/>
      <c r="PFM196" s="84"/>
      <c r="PFN196" s="84"/>
      <c r="PFO196" s="84"/>
      <c r="PFP196" s="84"/>
      <c r="PFQ196" s="84"/>
      <c r="PFR196" s="84"/>
      <c r="PFS196" s="84"/>
      <c r="PFT196" s="84"/>
      <c r="PFU196" s="84"/>
      <c r="PFV196" s="84"/>
      <c r="PFW196" s="84"/>
      <c r="PFX196" s="84"/>
      <c r="PFY196" s="84"/>
      <c r="PFZ196" s="84"/>
      <c r="PGA196" s="84"/>
      <c r="PGB196" s="84"/>
      <c r="PGC196" s="84"/>
      <c r="PGD196" s="84"/>
      <c r="PGE196" s="84"/>
      <c r="PGF196" s="84"/>
      <c r="PGG196" s="84"/>
      <c r="PGH196" s="84"/>
      <c r="PGI196" s="84"/>
      <c r="PGJ196" s="84"/>
      <c r="PGK196" s="84"/>
      <c r="PGL196" s="84"/>
      <c r="PGM196" s="84"/>
      <c r="PGN196" s="84"/>
      <c r="PGO196" s="84"/>
      <c r="PGP196" s="84"/>
      <c r="PGQ196" s="84"/>
      <c r="PGR196" s="84"/>
      <c r="PGS196" s="84"/>
      <c r="PGT196" s="84"/>
      <c r="PGU196" s="84"/>
      <c r="PGV196" s="84"/>
      <c r="PGW196" s="84"/>
      <c r="PGX196" s="84"/>
      <c r="PGY196" s="84"/>
      <c r="PGZ196" s="84"/>
      <c r="PHA196" s="84"/>
      <c r="PHB196" s="84"/>
      <c r="PHC196" s="84"/>
      <c r="PHD196" s="84"/>
      <c r="PHE196" s="84"/>
      <c r="PHF196" s="84"/>
      <c r="PHG196" s="84"/>
      <c r="PHH196" s="84"/>
      <c r="PHI196" s="84"/>
      <c r="PHJ196" s="84"/>
      <c r="PHK196" s="84"/>
      <c r="PHL196" s="84"/>
      <c r="PHM196" s="84"/>
      <c r="PHN196" s="84"/>
      <c r="PHO196" s="84"/>
      <c r="PHP196" s="84"/>
      <c r="PHQ196" s="84"/>
      <c r="PHR196" s="84"/>
      <c r="PHS196" s="84"/>
      <c r="PHT196" s="84"/>
      <c r="PHU196" s="84"/>
      <c r="PHV196" s="84"/>
      <c r="PHW196" s="84"/>
      <c r="PHX196" s="84"/>
      <c r="PHY196" s="84"/>
      <c r="PHZ196" s="84"/>
      <c r="PIA196" s="84"/>
      <c r="PIB196" s="84"/>
      <c r="PIC196" s="84"/>
      <c r="PID196" s="84"/>
      <c r="PIE196" s="84"/>
      <c r="PIF196" s="84"/>
      <c r="PIG196" s="84"/>
      <c r="PIH196" s="84"/>
      <c r="PII196" s="84"/>
      <c r="PIJ196" s="84"/>
      <c r="PIK196" s="84"/>
      <c r="PIL196" s="84"/>
      <c r="PIM196" s="84"/>
      <c r="PIN196" s="84"/>
      <c r="PIO196" s="84"/>
      <c r="PIP196" s="84"/>
      <c r="PIQ196" s="84"/>
      <c r="PIR196" s="84"/>
      <c r="PIS196" s="84"/>
      <c r="PIT196" s="84"/>
      <c r="PIU196" s="84"/>
      <c r="PIV196" s="84"/>
      <c r="PIW196" s="84"/>
      <c r="PIX196" s="84"/>
      <c r="PIY196" s="84"/>
      <c r="PIZ196" s="84"/>
      <c r="PJA196" s="84"/>
      <c r="PJB196" s="84"/>
      <c r="PJC196" s="84"/>
      <c r="PJD196" s="84"/>
      <c r="PJE196" s="84"/>
      <c r="PJF196" s="84"/>
      <c r="PJG196" s="84"/>
      <c r="PJH196" s="84"/>
      <c r="PJI196" s="84"/>
      <c r="PJJ196" s="84"/>
      <c r="PJK196" s="84"/>
      <c r="PJL196" s="84"/>
      <c r="PJM196" s="84"/>
      <c r="PJN196" s="84"/>
      <c r="PJO196" s="84"/>
      <c r="PJP196" s="84"/>
      <c r="PJQ196" s="84"/>
      <c r="PJR196" s="84"/>
      <c r="PJS196" s="84"/>
      <c r="PJT196" s="84"/>
      <c r="PJU196" s="84"/>
      <c r="PJV196" s="84"/>
      <c r="PJW196" s="84"/>
      <c r="PJX196" s="84"/>
      <c r="PJY196" s="84"/>
      <c r="PJZ196" s="84"/>
      <c r="PKA196" s="84"/>
      <c r="PKB196" s="84"/>
      <c r="PKC196" s="84"/>
      <c r="PKD196" s="84"/>
      <c r="PKE196" s="84"/>
      <c r="PKF196" s="84"/>
      <c r="PKG196" s="84"/>
      <c r="PKH196" s="84"/>
      <c r="PKI196" s="84"/>
      <c r="PKJ196" s="84"/>
      <c r="PKK196" s="84"/>
      <c r="PKL196" s="84"/>
      <c r="PKM196" s="84"/>
      <c r="PKN196" s="84"/>
      <c r="PKO196" s="84"/>
      <c r="PKP196" s="84"/>
      <c r="PKQ196" s="84"/>
      <c r="PKR196" s="84"/>
      <c r="PKS196" s="84"/>
      <c r="PKT196" s="84"/>
      <c r="PKU196" s="84"/>
      <c r="PKV196" s="84"/>
      <c r="PKW196" s="84"/>
      <c r="PKX196" s="84"/>
      <c r="PKY196" s="84"/>
      <c r="PKZ196" s="84"/>
      <c r="PLA196" s="84"/>
      <c r="PLB196" s="84"/>
      <c r="PLC196" s="84"/>
      <c r="PLD196" s="84"/>
      <c r="PLE196" s="84"/>
      <c r="PLF196" s="84"/>
      <c r="PLG196" s="84"/>
      <c r="PLH196" s="84"/>
      <c r="PLI196" s="84"/>
      <c r="PLJ196" s="84"/>
      <c r="PLK196" s="84"/>
      <c r="PLL196" s="84"/>
      <c r="PLM196" s="84"/>
      <c r="PLN196" s="84"/>
      <c r="PLO196" s="84"/>
      <c r="PLP196" s="84"/>
      <c r="PLQ196" s="84"/>
      <c r="PLR196" s="84"/>
      <c r="PLS196" s="84"/>
      <c r="PLT196" s="84"/>
      <c r="PLU196" s="84"/>
      <c r="PLV196" s="84"/>
      <c r="PLW196" s="84"/>
      <c r="PLX196" s="84"/>
      <c r="PLY196" s="84"/>
      <c r="PLZ196" s="84"/>
      <c r="PMA196" s="84"/>
      <c r="PMB196" s="84"/>
      <c r="PMC196" s="84"/>
      <c r="PMD196" s="84"/>
      <c r="PME196" s="84"/>
      <c r="PMF196" s="84"/>
      <c r="PMG196" s="84"/>
      <c r="PMH196" s="84"/>
      <c r="PMI196" s="84"/>
      <c r="PMJ196" s="84"/>
      <c r="PMK196" s="84"/>
      <c r="PML196" s="84"/>
      <c r="PMM196" s="84"/>
      <c r="PMN196" s="84"/>
      <c r="PMO196" s="84"/>
      <c r="PMP196" s="84"/>
      <c r="PMQ196" s="84"/>
      <c r="PMR196" s="84"/>
      <c r="PMS196" s="84"/>
      <c r="PMT196" s="84"/>
      <c r="PMU196" s="84"/>
      <c r="PMV196" s="84"/>
      <c r="PMW196" s="84"/>
      <c r="PMX196" s="84"/>
      <c r="PMY196" s="84"/>
      <c r="PMZ196" s="84"/>
      <c r="PNA196" s="84"/>
      <c r="PNB196" s="84"/>
      <c r="PNC196" s="84"/>
      <c r="PND196" s="84"/>
      <c r="PNE196" s="84"/>
      <c r="PNF196" s="84"/>
      <c r="PNG196" s="84"/>
      <c r="PNH196" s="84"/>
      <c r="PNI196" s="84"/>
      <c r="PNJ196" s="84"/>
      <c r="PNK196" s="84"/>
      <c r="PNL196" s="84"/>
      <c r="PNM196" s="84"/>
      <c r="PNN196" s="84"/>
      <c r="PNO196" s="84"/>
      <c r="PNP196" s="84"/>
      <c r="PNQ196" s="84"/>
      <c r="PNR196" s="84"/>
      <c r="PNS196" s="84"/>
      <c r="PNT196" s="84"/>
      <c r="PNU196" s="84"/>
      <c r="PNV196" s="84"/>
      <c r="PNW196" s="84"/>
      <c r="PNX196" s="84"/>
      <c r="PNY196" s="84"/>
      <c r="PNZ196" s="84"/>
      <c r="POA196" s="84"/>
      <c r="POB196" s="84"/>
      <c r="POC196" s="84"/>
      <c r="POD196" s="84"/>
      <c r="POE196" s="84"/>
      <c r="POF196" s="84"/>
      <c r="POG196" s="84"/>
      <c r="POH196" s="84"/>
      <c r="POI196" s="84"/>
      <c r="POJ196" s="84"/>
      <c r="POK196" s="84"/>
      <c r="POL196" s="84"/>
      <c r="POM196" s="84"/>
      <c r="PON196" s="84"/>
      <c r="POO196" s="84"/>
      <c r="POP196" s="84"/>
      <c r="POQ196" s="84"/>
      <c r="POR196" s="84"/>
      <c r="POS196" s="84"/>
      <c r="POT196" s="84"/>
      <c r="POU196" s="84"/>
      <c r="POV196" s="84"/>
      <c r="POW196" s="84"/>
      <c r="POX196" s="84"/>
      <c r="POY196" s="84"/>
      <c r="POZ196" s="84"/>
      <c r="PPA196" s="84"/>
      <c r="PPB196" s="84"/>
      <c r="PPC196" s="84"/>
      <c r="PPD196" s="84"/>
      <c r="PPE196" s="84"/>
      <c r="PPF196" s="84"/>
      <c r="PPG196" s="84"/>
      <c r="PPH196" s="84"/>
      <c r="PPI196" s="84"/>
      <c r="PPJ196" s="84"/>
      <c r="PPK196" s="84"/>
      <c r="PPL196" s="84"/>
      <c r="PPM196" s="84"/>
      <c r="PPN196" s="84"/>
      <c r="PPO196" s="84"/>
      <c r="PPP196" s="84"/>
      <c r="PPQ196" s="84"/>
      <c r="PPR196" s="84"/>
      <c r="PPS196" s="84"/>
      <c r="PPT196" s="84"/>
      <c r="PPU196" s="84"/>
      <c r="PPV196" s="84"/>
      <c r="PPW196" s="84"/>
      <c r="PPX196" s="84"/>
      <c r="PPY196" s="84"/>
      <c r="PPZ196" s="84"/>
      <c r="PQA196" s="84"/>
      <c r="PQB196" s="84"/>
      <c r="PQC196" s="84"/>
      <c r="PQD196" s="84"/>
      <c r="PQE196" s="84"/>
      <c r="PQF196" s="84"/>
      <c r="PQG196" s="84"/>
      <c r="PQH196" s="84"/>
      <c r="PQI196" s="84"/>
      <c r="PQJ196" s="84"/>
      <c r="PQK196" s="84"/>
      <c r="PQL196" s="84"/>
      <c r="PQM196" s="84"/>
      <c r="PQN196" s="84"/>
      <c r="PQO196" s="84"/>
      <c r="PQP196" s="84"/>
      <c r="PQQ196" s="84"/>
      <c r="PQR196" s="84"/>
      <c r="PQS196" s="84"/>
      <c r="PQT196" s="84"/>
      <c r="PQU196" s="84"/>
      <c r="PQV196" s="84"/>
      <c r="PQW196" s="84"/>
      <c r="PQX196" s="84"/>
      <c r="PQY196" s="84"/>
      <c r="PQZ196" s="84"/>
      <c r="PRA196" s="84"/>
      <c r="PRB196" s="84"/>
      <c r="PRC196" s="84"/>
      <c r="PRD196" s="84"/>
      <c r="PRE196" s="84"/>
      <c r="PRF196" s="84"/>
      <c r="PRG196" s="84"/>
      <c r="PRH196" s="84"/>
      <c r="PRI196" s="84"/>
      <c r="PRJ196" s="84"/>
      <c r="PRK196" s="84"/>
      <c r="PRL196" s="84"/>
      <c r="PRM196" s="84"/>
      <c r="PRN196" s="84"/>
      <c r="PRO196" s="84"/>
      <c r="PRP196" s="84"/>
      <c r="PRQ196" s="84"/>
      <c r="PRR196" s="84"/>
      <c r="PRS196" s="84"/>
      <c r="PRT196" s="84"/>
      <c r="PRU196" s="84"/>
      <c r="PRV196" s="84"/>
      <c r="PRW196" s="84"/>
      <c r="PRX196" s="84"/>
      <c r="PRY196" s="84"/>
      <c r="PRZ196" s="84"/>
      <c r="PSA196" s="84"/>
      <c r="PSB196" s="84"/>
      <c r="PSC196" s="84"/>
      <c r="PSD196" s="84"/>
      <c r="PSE196" s="84"/>
      <c r="PSF196" s="84"/>
      <c r="PSG196" s="84"/>
      <c r="PSH196" s="84"/>
      <c r="PSI196" s="84"/>
      <c r="PSJ196" s="84"/>
      <c r="PSK196" s="84"/>
      <c r="PSL196" s="84"/>
      <c r="PSM196" s="84"/>
      <c r="PSN196" s="84"/>
      <c r="PSO196" s="84"/>
      <c r="PSP196" s="84"/>
      <c r="PSQ196" s="84"/>
      <c r="PSR196" s="84"/>
      <c r="PSS196" s="84"/>
      <c r="PST196" s="84"/>
      <c r="PSU196" s="84"/>
      <c r="PSV196" s="84"/>
      <c r="PSW196" s="84"/>
      <c r="PSX196" s="84"/>
      <c r="PSY196" s="84"/>
      <c r="PSZ196" s="84"/>
      <c r="PTA196" s="84"/>
      <c r="PTB196" s="84"/>
      <c r="PTC196" s="84"/>
      <c r="PTD196" s="84"/>
      <c r="PTE196" s="84"/>
      <c r="PTF196" s="84"/>
      <c r="PTG196" s="84"/>
      <c r="PTH196" s="84"/>
      <c r="PTI196" s="84"/>
      <c r="PTJ196" s="84"/>
      <c r="PTK196" s="84"/>
      <c r="PTL196" s="84"/>
      <c r="PTM196" s="84"/>
      <c r="PTN196" s="84"/>
      <c r="PTO196" s="84"/>
      <c r="PTP196" s="84"/>
      <c r="PTQ196" s="84"/>
      <c r="PTR196" s="84"/>
      <c r="PTS196" s="84"/>
      <c r="PTT196" s="84"/>
      <c r="PTU196" s="84"/>
      <c r="PTV196" s="84"/>
      <c r="PTW196" s="84"/>
      <c r="PTX196" s="84"/>
      <c r="PTY196" s="84"/>
      <c r="PTZ196" s="84"/>
      <c r="PUA196" s="84"/>
      <c r="PUB196" s="84"/>
      <c r="PUC196" s="84"/>
      <c r="PUD196" s="84"/>
      <c r="PUE196" s="84"/>
      <c r="PUF196" s="84"/>
      <c r="PUG196" s="84"/>
      <c r="PUH196" s="84"/>
      <c r="PUI196" s="84"/>
      <c r="PUJ196" s="84"/>
      <c r="PUK196" s="84"/>
      <c r="PUL196" s="84"/>
      <c r="PUM196" s="84"/>
      <c r="PUN196" s="84"/>
      <c r="PUO196" s="84"/>
      <c r="PUP196" s="84"/>
      <c r="PUQ196" s="84"/>
      <c r="PUR196" s="84"/>
      <c r="PUS196" s="84"/>
      <c r="PUT196" s="84"/>
      <c r="PUU196" s="84"/>
      <c r="PUV196" s="84"/>
      <c r="PUW196" s="84"/>
      <c r="PUX196" s="84"/>
      <c r="PUY196" s="84"/>
      <c r="PUZ196" s="84"/>
      <c r="PVA196" s="84"/>
      <c r="PVB196" s="84"/>
      <c r="PVC196" s="84"/>
      <c r="PVD196" s="84"/>
      <c r="PVE196" s="84"/>
      <c r="PVF196" s="84"/>
      <c r="PVG196" s="84"/>
      <c r="PVH196" s="84"/>
      <c r="PVI196" s="84"/>
      <c r="PVJ196" s="84"/>
      <c r="PVK196" s="84"/>
      <c r="PVL196" s="84"/>
      <c r="PVM196" s="84"/>
      <c r="PVN196" s="84"/>
      <c r="PVO196" s="84"/>
      <c r="PVP196" s="84"/>
      <c r="PVQ196" s="84"/>
      <c r="PVR196" s="84"/>
      <c r="PVS196" s="84"/>
      <c r="PVT196" s="84"/>
      <c r="PVU196" s="84"/>
      <c r="PVV196" s="84"/>
      <c r="PVW196" s="84"/>
      <c r="PVX196" s="84"/>
      <c r="PVY196" s="84"/>
      <c r="PVZ196" s="84"/>
      <c r="PWA196" s="84"/>
      <c r="PWB196" s="84"/>
      <c r="PWC196" s="84"/>
      <c r="PWD196" s="84"/>
      <c r="PWE196" s="84"/>
      <c r="PWF196" s="84"/>
      <c r="PWG196" s="84"/>
      <c r="PWH196" s="84"/>
      <c r="PWI196" s="84"/>
      <c r="PWJ196" s="84"/>
      <c r="PWK196" s="84"/>
      <c r="PWL196" s="84"/>
      <c r="PWM196" s="84"/>
      <c r="PWN196" s="84"/>
      <c r="PWO196" s="84"/>
      <c r="PWP196" s="84"/>
      <c r="PWQ196" s="84"/>
      <c r="PWR196" s="84"/>
      <c r="PWS196" s="84"/>
      <c r="PWT196" s="84"/>
      <c r="PWU196" s="84"/>
      <c r="PWV196" s="84"/>
      <c r="PWW196" s="84"/>
      <c r="PWX196" s="84"/>
      <c r="PWY196" s="84"/>
      <c r="PWZ196" s="84"/>
      <c r="PXA196" s="84"/>
      <c r="PXB196" s="84"/>
      <c r="PXC196" s="84"/>
      <c r="PXD196" s="84"/>
      <c r="PXE196" s="84"/>
      <c r="PXF196" s="84"/>
      <c r="PXG196" s="84"/>
      <c r="PXH196" s="84"/>
      <c r="PXI196" s="84"/>
      <c r="PXJ196" s="84"/>
      <c r="PXK196" s="84"/>
      <c r="PXL196" s="84"/>
      <c r="PXM196" s="84"/>
      <c r="PXN196" s="84"/>
      <c r="PXO196" s="84"/>
      <c r="PXP196" s="84"/>
      <c r="PXQ196" s="84"/>
      <c r="PXR196" s="84"/>
      <c r="PXS196" s="84"/>
      <c r="PXT196" s="84"/>
      <c r="PXU196" s="84"/>
      <c r="PXV196" s="84"/>
      <c r="PXW196" s="84"/>
      <c r="PXX196" s="84"/>
      <c r="PXY196" s="84"/>
      <c r="PXZ196" s="84"/>
      <c r="PYA196" s="84"/>
      <c r="PYB196" s="84"/>
      <c r="PYC196" s="84"/>
      <c r="PYD196" s="84"/>
      <c r="PYE196" s="84"/>
      <c r="PYF196" s="84"/>
      <c r="PYG196" s="84"/>
      <c r="PYH196" s="84"/>
      <c r="PYI196" s="84"/>
      <c r="PYJ196" s="84"/>
      <c r="PYK196" s="84"/>
      <c r="PYL196" s="84"/>
      <c r="PYM196" s="84"/>
      <c r="PYN196" s="84"/>
      <c r="PYO196" s="84"/>
      <c r="PYP196" s="84"/>
      <c r="PYQ196" s="84"/>
      <c r="PYR196" s="84"/>
      <c r="PYS196" s="84"/>
      <c r="PYT196" s="84"/>
      <c r="PYU196" s="84"/>
      <c r="PYV196" s="84"/>
      <c r="PYW196" s="84"/>
      <c r="PYX196" s="84"/>
      <c r="PYY196" s="84"/>
      <c r="PYZ196" s="84"/>
      <c r="PZA196" s="84"/>
      <c r="PZB196" s="84"/>
      <c r="PZC196" s="84"/>
      <c r="PZD196" s="84"/>
      <c r="PZE196" s="84"/>
      <c r="PZF196" s="84"/>
      <c r="PZG196" s="84"/>
      <c r="PZH196" s="84"/>
      <c r="PZI196" s="84"/>
      <c r="PZJ196" s="84"/>
      <c r="PZK196" s="84"/>
      <c r="PZL196" s="84"/>
      <c r="PZM196" s="84"/>
      <c r="PZN196" s="84"/>
      <c r="PZO196" s="84"/>
      <c r="PZP196" s="84"/>
      <c r="PZQ196" s="84"/>
      <c r="PZR196" s="84"/>
      <c r="PZS196" s="84"/>
      <c r="PZT196" s="84"/>
      <c r="PZU196" s="84"/>
      <c r="PZV196" s="84"/>
      <c r="PZW196" s="84"/>
      <c r="PZX196" s="84"/>
      <c r="PZY196" s="84"/>
      <c r="PZZ196" s="84"/>
      <c r="QAA196" s="84"/>
      <c r="QAB196" s="84"/>
      <c r="QAC196" s="84"/>
      <c r="QAD196" s="84"/>
      <c r="QAE196" s="84"/>
      <c r="QAF196" s="84"/>
      <c r="QAG196" s="84"/>
      <c r="QAH196" s="84"/>
      <c r="QAI196" s="84"/>
      <c r="QAJ196" s="84"/>
      <c r="QAK196" s="84"/>
      <c r="QAL196" s="84"/>
      <c r="QAM196" s="84"/>
      <c r="QAN196" s="84"/>
      <c r="QAO196" s="84"/>
      <c r="QAP196" s="84"/>
      <c r="QAQ196" s="84"/>
      <c r="QAR196" s="84"/>
      <c r="QAS196" s="84"/>
      <c r="QAT196" s="84"/>
      <c r="QAU196" s="84"/>
      <c r="QAV196" s="84"/>
      <c r="QAW196" s="84"/>
      <c r="QAX196" s="84"/>
      <c r="QAY196" s="84"/>
      <c r="QAZ196" s="84"/>
      <c r="QBA196" s="84"/>
      <c r="QBB196" s="84"/>
      <c r="QBC196" s="84"/>
      <c r="QBD196" s="84"/>
      <c r="QBE196" s="84"/>
      <c r="QBF196" s="84"/>
      <c r="QBG196" s="84"/>
      <c r="QBH196" s="84"/>
      <c r="QBI196" s="84"/>
      <c r="QBJ196" s="84"/>
      <c r="QBK196" s="84"/>
      <c r="QBL196" s="84"/>
      <c r="QBM196" s="84"/>
      <c r="QBN196" s="84"/>
      <c r="QBO196" s="84"/>
      <c r="QBP196" s="84"/>
      <c r="QBQ196" s="84"/>
      <c r="QBR196" s="84"/>
      <c r="QBS196" s="84"/>
      <c r="QBT196" s="84"/>
      <c r="QBU196" s="84"/>
      <c r="QBV196" s="84"/>
      <c r="QBW196" s="84"/>
      <c r="QBX196" s="84"/>
      <c r="QBY196" s="84"/>
      <c r="QBZ196" s="84"/>
      <c r="QCA196" s="84"/>
      <c r="QCB196" s="84"/>
      <c r="QCC196" s="84"/>
      <c r="QCD196" s="84"/>
      <c r="QCE196" s="84"/>
      <c r="QCF196" s="84"/>
      <c r="QCG196" s="84"/>
      <c r="QCH196" s="84"/>
      <c r="QCI196" s="84"/>
      <c r="QCJ196" s="84"/>
      <c r="QCK196" s="84"/>
      <c r="QCL196" s="84"/>
      <c r="QCM196" s="84"/>
      <c r="QCN196" s="84"/>
      <c r="QCO196" s="84"/>
      <c r="QCP196" s="84"/>
      <c r="QCQ196" s="84"/>
      <c r="QCR196" s="84"/>
      <c r="QCS196" s="84"/>
      <c r="QCT196" s="84"/>
      <c r="QCU196" s="84"/>
      <c r="QCV196" s="84"/>
      <c r="QCW196" s="84"/>
      <c r="QCX196" s="84"/>
      <c r="QCY196" s="84"/>
      <c r="QCZ196" s="84"/>
      <c r="QDA196" s="84"/>
      <c r="QDB196" s="84"/>
      <c r="QDC196" s="84"/>
      <c r="QDD196" s="84"/>
      <c r="QDE196" s="84"/>
      <c r="QDF196" s="84"/>
      <c r="QDG196" s="84"/>
      <c r="QDH196" s="84"/>
      <c r="QDI196" s="84"/>
      <c r="QDJ196" s="84"/>
      <c r="QDK196" s="84"/>
      <c r="QDL196" s="84"/>
      <c r="QDM196" s="84"/>
      <c r="QDN196" s="84"/>
      <c r="QDO196" s="84"/>
      <c r="QDP196" s="84"/>
      <c r="QDQ196" s="84"/>
      <c r="QDR196" s="84"/>
      <c r="QDS196" s="84"/>
      <c r="QDT196" s="84"/>
      <c r="QDU196" s="84"/>
      <c r="QDV196" s="84"/>
      <c r="QDW196" s="84"/>
      <c r="QDX196" s="84"/>
      <c r="QDY196" s="84"/>
      <c r="QDZ196" s="84"/>
      <c r="QEA196" s="84"/>
      <c r="QEB196" s="84"/>
      <c r="QEC196" s="84"/>
      <c r="QED196" s="84"/>
      <c r="QEE196" s="84"/>
      <c r="QEF196" s="84"/>
      <c r="QEG196" s="84"/>
      <c r="QEH196" s="84"/>
      <c r="QEI196" s="84"/>
      <c r="QEJ196" s="84"/>
      <c r="QEK196" s="84"/>
      <c r="QEL196" s="84"/>
      <c r="QEM196" s="84"/>
      <c r="QEN196" s="84"/>
      <c r="QEO196" s="84"/>
      <c r="QEP196" s="84"/>
      <c r="QEQ196" s="84"/>
      <c r="QER196" s="84"/>
      <c r="QES196" s="84"/>
      <c r="QET196" s="84"/>
      <c r="QEU196" s="84"/>
      <c r="QEV196" s="84"/>
      <c r="QEW196" s="84"/>
      <c r="QEX196" s="84"/>
      <c r="QEY196" s="84"/>
      <c r="QEZ196" s="84"/>
      <c r="QFA196" s="84"/>
      <c r="QFB196" s="84"/>
      <c r="QFC196" s="84"/>
      <c r="QFD196" s="84"/>
      <c r="QFE196" s="84"/>
      <c r="QFF196" s="84"/>
      <c r="QFG196" s="84"/>
      <c r="QFH196" s="84"/>
      <c r="QFI196" s="84"/>
      <c r="QFJ196" s="84"/>
      <c r="QFK196" s="84"/>
      <c r="QFL196" s="84"/>
      <c r="QFM196" s="84"/>
      <c r="QFN196" s="84"/>
      <c r="QFO196" s="84"/>
      <c r="QFP196" s="84"/>
      <c r="QFQ196" s="84"/>
      <c r="QFR196" s="84"/>
      <c r="QFS196" s="84"/>
      <c r="QFT196" s="84"/>
      <c r="QFU196" s="84"/>
      <c r="QFV196" s="84"/>
      <c r="QFW196" s="84"/>
      <c r="QFX196" s="84"/>
      <c r="QFY196" s="84"/>
      <c r="QFZ196" s="84"/>
      <c r="QGA196" s="84"/>
      <c r="QGB196" s="84"/>
      <c r="QGC196" s="84"/>
      <c r="QGD196" s="84"/>
      <c r="QGE196" s="84"/>
      <c r="QGF196" s="84"/>
      <c r="QGG196" s="84"/>
      <c r="QGH196" s="84"/>
      <c r="QGI196" s="84"/>
      <c r="QGJ196" s="84"/>
      <c r="QGK196" s="84"/>
      <c r="QGL196" s="84"/>
      <c r="QGM196" s="84"/>
      <c r="QGN196" s="84"/>
      <c r="QGO196" s="84"/>
      <c r="QGP196" s="84"/>
      <c r="QGQ196" s="84"/>
      <c r="QGR196" s="84"/>
      <c r="QGS196" s="84"/>
      <c r="QGT196" s="84"/>
      <c r="QGU196" s="84"/>
      <c r="QGV196" s="84"/>
      <c r="QGW196" s="84"/>
      <c r="QGX196" s="84"/>
      <c r="QGY196" s="84"/>
      <c r="QGZ196" s="84"/>
      <c r="QHA196" s="84"/>
      <c r="QHB196" s="84"/>
      <c r="QHC196" s="84"/>
      <c r="QHD196" s="84"/>
      <c r="QHE196" s="84"/>
      <c r="QHF196" s="84"/>
      <c r="QHG196" s="84"/>
      <c r="QHH196" s="84"/>
      <c r="QHI196" s="84"/>
      <c r="QHJ196" s="84"/>
      <c r="QHK196" s="84"/>
      <c r="QHL196" s="84"/>
      <c r="QHM196" s="84"/>
      <c r="QHN196" s="84"/>
      <c r="QHO196" s="84"/>
      <c r="QHP196" s="84"/>
      <c r="QHQ196" s="84"/>
      <c r="QHR196" s="84"/>
      <c r="QHS196" s="84"/>
      <c r="QHT196" s="84"/>
      <c r="QHU196" s="84"/>
      <c r="QHV196" s="84"/>
      <c r="QHW196" s="84"/>
      <c r="QHX196" s="84"/>
      <c r="QHY196" s="84"/>
      <c r="QHZ196" s="84"/>
      <c r="QIA196" s="84"/>
      <c r="QIB196" s="84"/>
      <c r="QIC196" s="84"/>
      <c r="QID196" s="84"/>
      <c r="QIE196" s="84"/>
      <c r="QIF196" s="84"/>
      <c r="QIG196" s="84"/>
      <c r="QIH196" s="84"/>
      <c r="QII196" s="84"/>
      <c r="QIJ196" s="84"/>
      <c r="QIK196" s="84"/>
      <c r="QIL196" s="84"/>
      <c r="QIM196" s="84"/>
      <c r="QIN196" s="84"/>
      <c r="QIO196" s="84"/>
      <c r="QIP196" s="84"/>
      <c r="QIQ196" s="84"/>
      <c r="QIR196" s="84"/>
      <c r="QIS196" s="84"/>
      <c r="QIT196" s="84"/>
      <c r="QIU196" s="84"/>
      <c r="QIV196" s="84"/>
      <c r="QIW196" s="84"/>
      <c r="QIX196" s="84"/>
      <c r="QIY196" s="84"/>
      <c r="QIZ196" s="84"/>
      <c r="QJA196" s="84"/>
      <c r="QJB196" s="84"/>
      <c r="QJC196" s="84"/>
      <c r="QJD196" s="84"/>
      <c r="QJE196" s="84"/>
      <c r="QJF196" s="84"/>
      <c r="QJG196" s="84"/>
      <c r="QJH196" s="84"/>
      <c r="QJI196" s="84"/>
      <c r="QJJ196" s="84"/>
      <c r="QJK196" s="84"/>
      <c r="QJL196" s="84"/>
      <c r="QJM196" s="84"/>
      <c r="QJN196" s="84"/>
      <c r="QJO196" s="84"/>
      <c r="QJP196" s="84"/>
      <c r="QJQ196" s="84"/>
      <c r="QJR196" s="84"/>
      <c r="QJS196" s="84"/>
      <c r="QJT196" s="84"/>
      <c r="QJU196" s="84"/>
      <c r="QJV196" s="84"/>
      <c r="QJW196" s="84"/>
      <c r="QJX196" s="84"/>
      <c r="QJY196" s="84"/>
      <c r="QJZ196" s="84"/>
      <c r="QKA196" s="84"/>
      <c r="QKB196" s="84"/>
      <c r="QKC196" s="84"/>
      <c r="QKD196" s="84"/>
      <c r="QKE196" s="84"/>
      <c r="QKF196" s="84"/>
      <c r="QKG196" s="84"/>
      <c r="QKH196" s="84"/>
      <c r="QKI196" s="84"/>
      <c r="QKJ196" s="84"/>
      <c r="QKK196" s="84"/>
      <c r="QKL196" s="84"/>
      <c r="QKM196" s="84"/>
      <c r="QKN196" s="84"/>
      <c r="QKO196" s="84"/>
      <c r="QKP196" s="84"/>
      <c r="QKQ196" s="84"/>
      <c r="QKR196" s="84"/>
      <c r="QKS196" s="84"/>
      <c r="QKT196" s="84"/>
      <c r="QKU196" s="84"/>
      <c r="QKV196" s="84"/>
      <c r="QKW196" s="84"/>
      <c r="QKX196" s="84"/>
      <c r="QKY196" s="84"/>
      <c r="QKZ196" s="84"/>
      <c r="QLA196" s="84"/>
      <c r="QLB196" s="84"/>
      <c r="QLC196" s="84"/>
      <c r="QLD196" s="84"/>
      <c r="QLE196" s="84"/>
      <c r="QLF196" s="84"/>
      <c r="QLG196" s="84"/>
      <c r="QLH196" s="84"/>
      <c r="QLI196" s="84"/>
      <c r="QLJ196" s="84"/>
      <c r="QLK196" s="84"/>
      <c r="QLL196" s="84"/>
      <c r="QLM196" s="84"/>
      <c r="QLN196" s="84"/>
      <c r="QLO196" s="84"/>
      <c r="QLP196" s="84"/>
      <c r="QLQ196" s="84"/>
      <c r="QLR196" s="84"/>
      <c r="QLS196" s="84"/>
      <c r="QLT196" s="84"/>
      <c r="QLU196" s="84"/>
      <c r="QLV196" s="84"/>
      <c r="QLW196" s="84"/>
      <c r="QLX196" s="84"/>
      <c r="QLY196" s="84"/>
      <c r="QLZ196" s="84"/>
      <c r="QMA196" s="84"/>
      <c r="QMB196" s="84"/>
      <c r="QMC196" s="84"/>
      <c r="QMD196" s="84"/>
      <c r="QME196" s="84"/>
      <c r="QMF196" s="84"/>
      <c r="QMG196" s="84"/>
      <c r="QMH196" s="84"/>
      <c r="QMI196" s="84"/>
      <c r="QMJ196" s="84"/>
      <c r="QMK196" s="84"/>
      <c r="QML196" s="84"/>
      <c r="QMM196" s="84"/>
      <c r="QMN196" s="84"/>
      <c r="QMO196" s="84"/>
      <c r="QMP196" s="84"/>
      <c r="QMQ196" s="84"/>
      <c r="QMR196" s="84"/>
      <c r="QMS196" s="84"/>
      <c r="QMT196" s="84"/>
      <c r="QMU196" s="84"/>
      <c r="QMV196" s="84"/>
      <c r="QMW196" s="84"/>
      <c r="QMX196" s="84"/>
      <c r="QMY196" s="84"/>
      <c r="QMZ196" s="84"/>
      <c r="QNA196" s="84"/>
      <c r="QNB196" s="84"/>
      <c r="QNC196" s="84"/>
      <c r="QND196" s="84"/>
      <c r="QNE196" s="84"/>
      <c r="QNF196" s="84"/>
      <c r="QNG196" s="84"/>
      <c r="QNH196" s="84"/>
      <c r="QNI196" s="84"/>
      <c r="QNJ196" s="84"/>
      <c r="QNK196" s="84"/>
      <c r="QNL196" s="84"/>
      <c r="QNM196" s="84"/>
      <c r="QNN196" s="84"/>
      <c r="QNO196" s="84"/>
      <c r="QNP196" s="84"/>
      <c r="QNQ196" s="84"/>
      <c r="QNR196" s="84"/>
      <c r="QNS196" s="84"/>
      <c r="QNT196" s="84"/>
      <c r="QNU196" s="84"/>
      <c r="QNV196" s="84"/>
      <c r="QNW196" s="84"/>
      <c r="QNX196" s="84"/>
      <c r="QNY196" s="84"/>
      <c r="QNZ196" s="84"/>
      <c r="QOA196" s="84"/>
      <c r="QOB196" s="84"/>
      <c r="QOC196" s="84"/>
      <c r="QOD196" s="84"/>
      <c r="QOE196" s="84"/>
      <c r="QOF196" s="84"/>
      <c r="QOG196" s="84"/>
      <c r="QOH196" s="84"/>
      <c r="QOI196" s="84"/>
      <c r="QOJ196" s="84"/>
      <c r="QOK196" s="84"/>
      <c r="QOL196" s="84"/>
      <c r="QOM196" s="84"/>
      <c r="QON196" s="84"/>
      <c r="QOO196" s="84"/>
      <c r="QOP196" s="84"/>
      <c r="QOQ196" s="84"/>
      <c r="QOR196" s="84"/>
      <c r="QOS196" s="84"/>
      <c r="QOT196" s="84"/>
      <c r="QOU196" s="84"/>
      <c r="QOV196" s="84"/>
      <c r="QOW196" s="84"/>
      <c r="QOX196" s="84"/>
      <c r="QOY196" s="84"/>
      <c r="QOZ196" s="84"/>
      <c r="QPA196" s="84"/>
      <c r="QPB196" s="84"/>
      <c r="QPC196" s="84"/>
      <c r="QPD196" s="84"/>
      <c r="QPE196" s="84"/>
      <c r="QPF196" s="84"/>
      <c r="QPG196" s="84"/>
      <c r="QPH196" s="84"/>
      <c r="QPI196" s="84"/>
      <c r="QPJ196" s="84"/>
      <c r="QPK196" s="84"/>
      <c r="QPL196" s="84"/>
      <c r="QPM196" s="84"/>
      <c r="QPN196" s="84"/>
      <c r="QPO196" s="84"/>
      <c r="QPP196" s="84"/>
      <c r="QPQ196" s="84"/>
      <c r="QPR196" s="84"/>
      <c r="QPS196" s="84"/>
      <c r="QPT196" s="84"/>
      <c r="QPU196" s="84"/>
      <c r="QPV196" s="84"/>
      <c r="QPW196" s="84"/>
      <c r="QPX196" s="84"/>
      <c r="QPY196" s="84"/>
      <c r="QPZ196" s="84"/>
      <c r="QQA196" s="84"/>
      <c r="QQB196" s="84"/>
      <c r="QQC196" s="84"/>
      <c r="QQD196" s="84"/>
      <c r="QQE196" s="84"/>
      <c r="QQF196" s="84"/>
      <c r="QQG196" s="84"/>
      <c r="QQH196" s="84"/>
      <c r="QQI196" s="84"/>
      <c r="QQJ196" s="84"/>
      <c r="QQK196" s="84"/>
      <c r="QQL196" s="84"/>
      <c r="QQM196" s="84"/>
      <c r="QQN196" s="84"/>
      <c r="QQO196" s="84"/>
      <c r="QQP196" s="84"/>
      <c r="QQQ196" s="84"/>
      <c r="QQR196" s="84"/>
      <c r="QQS196" s="84"/>
      <c r="QQT196" s="84"/>
      <c r="QQU196" s="84"/>
      <c r="QQV196" s="84"/>
      <c r="QQW196" s="84"/>
      <c r="QQX196" s="84"/>
      <c r="QQY196" s="84"/>
      <c r="QQZ196" s="84"/>
      <c r="QRA196" s="84"/>
      <c r="QRB196" s="84"/>
      <c r="QRC196" s="84"/>
      <c r="QRD196" s="84"/>
      <c r="QRE196" s="84"/>
      <c r="QRF196" s="84"/>
      <c r="QRG196" s="84"/>
      <c r="QRH196" s="84"/>
      <c r="QRI196" s="84"/>
      <c r="QRJ196" s="84"/>
      <c r="QRK196" s="84"/>
      <c r="QRL196" s="84"/>
      <c r="QRM196" s="84"/>
      <c r="QRN196" s="84"/>
      <c r="QRO196" s="84"/>
      <c r="QRP196" s="84"/>
      <c r="QRQ196" s="84"/>
      <c r="QRR196" s="84"/>
      <c r="QRS196" s="84"/>
      <c r="QRT196" s="84"/>
      <c r="QRU196" s="84"/>
      <c r="QRV196" s="84"/>
      <c r="QRW196" s="84"/>
      <c r="QRX196" s="84"/>
      <c r="QRY196" s="84"/>
      <c r="QRZ196" s="84"/>
      <c r="QSA196" s="84"/>
      <c r="QSB196" s="84"/>
      <c r="QSC196" s="84"/>
      <c r="QSD196" s="84"/>
      <c r="QSE196" s="84"/>
      <c r="QSF196" s="84"/>
      <c r="QSG196" s="84"/>
      <c r="QSH196" s="84"/>
      <c r="QSI196" s="84"/>
      <c r="QSJ196" s="84"/>
      <c r="QSK196" s="84"/>
      <c r="QSL196" s="84"/>
      <c r="QSM196" s="84"/>
      <c r="QSN196" s="84"/>
      <c r="QSO196" s="84"/>
      <c r="QSP196" s="84"/>
      <c r="QSQ196" s="84"/>
      <c r="QSR196" s="84"/>
      <c r="QSS196" s="84"/>
      <c r="QST196" s="84"/>
      <c r="QSU196" s="84"/>
      <c r="QSV196" s="84"/>
      <c r="QSW196" s="84"/>
      <c r="QSX196" s="84"/>
      <c r="QSY196" s="84"/>
      <c r="QSZ196" s="84"/>
      <c r="QTA196" s="84"/>
      <c r="QTB196" s="84"/>
      <c r="QTC196" s="84"/>
      <c r="QTD196" s="84"/>
      <c r="QTE196" s="84"/>
      <c r="QTF196" s="84"/>
      <c r="QTG196" s="84"/>
      <c r="QTH196" s="84"/>
      <c r="QTI196" s="84"/>
      <c r="QTJ196" s="84"/>
      <c r="QTK196" s="84"/>
      <c r="QTL196" s="84"/>
      <c r="QTM196" s="84"/>
      <c r="QTN196" s="84"/>
      <c r="QTO196" s="84"/>
      <c r="QTP196" s="84"/>
      <c r="QTQ196" s="84"/>
      <c r="QTR196" s="84"/>
      <c r="QTS196" s="84"/>
      <c r="QTT196" s="84"/>
      <c r="QTU196" s="84"/>
      <c r="QTV196" s="84"/>
      <c r="QTW196" s="84"/>
      <c r="QTX196" s="84"/>
      <c r="QTY196" s="84"/>
      <c r="QTZ196" s="84"/>
      <c r="QUA196" s="84"/>
      <c r="QUB196" s="84"/>
      <c r="QUC196" s="84"/>
      <c r="QUD196" s="84"/>
      <c r="QUE196" s="84"/>
      <c r="QUF196" s="84"/>
      <c r="QUG196" s="84"/>
      <c r="QUH196" s="84"/>
      <c r="QUI196" s="84"/>
      <c r="QUJ196" s="84"/>
      <c r="QUK196" s="84"/>
      <c r="QUL196" s="84"/>
      <c r="QUM196" s="84"/>
      <c r="QUN196" s="84"/>
      <c r="QUO196" s="84"/>
      <c r="QUP196" s="84"/>
      <c r="QUQ196" s="84"/>
      <c r="QUR196" s="84"/>
      <c r="QUS196" s="84"/>
      <c r="QUT196" s="84"/>
      <c r="QUU196" s="84"/>
      <c r="QUV196" s="84"/>
      <c r="QUW196" s="84"/>
      <c r="QUX196" s="84"/>
      <c r="QUY196" s="84"/>
      <c r="QUZ196" s="84"/>
      <c r="QVA196" s="84"/>
      <c r="QVB196" s="84"/>
      <c r="QVC196" s="84"/>
      <c r="QVD196" s="84"/>
      <c r="QVE196" s="84"/>
      <c r="QVF196" s="84"/>
      <c r="QVG196" s="84"/>
      <c r="QVH196" s="84"/>
      <c r="QVI196" s="84"/>
      <c r="QVJ196" s="84"/>
      <c r="QVK196" s="84"/>
      <c r="QVL196" s="84"/>
      <c r="QVM196" s="84"/>
      <c r="QVN196" s="84"/>
      <c r="QVO196" s="84"/>
      <c r="QVP196" s="84"/>
      <c r="QVQ196" s="84"/>
      <c r="QVR196" s="84"/>
      <c r="QVS196" s="84"/>
      <c r="QVT196" s="84"/>
      <c r="QVU196" s="84"/>
      <c r="QVV196" s="84"/>
      <c r="QVW196" s="84"/>
      <c r="QVX196" s="84"/>
      <c r="QVY196" s="84"/>
      <c r="QVZ196" s="84"/>
      <c r="QWA196" s="84"/>
      <c r="QWB196" s="84"/>
      <c r="QWC196" s="84"/>
      <c r="QWD196" s="84"/>
      <c r="QWE196" s="84"/>
      <c r="QWF196" s="84"/>
      <c r="QWG196" s="84"/>
      <c r="QWH196" s="84"/>
      <c r="QWI196" s="84"/>
      <c r="QWJ196" s="84"/>
      <c r="QWK196" s="84"/>
      <c r="QWL196" s="84"/>
      <c r="QWM196" s="84"/>
      <c r="QWN196" s="84"/>
      <c r="QWO196" s="84"/>
      <c r="QWP196" s="84"/>
      <c r="QWQ196" s="84"/>
      <c r="QWR196" s="84"/>
      <c r="QWS196" s="84"/>
      <c r="QWT196" s="84"/>
      <c r="QWU196" s="84"/>
      <c r="QWV196" s="84"/>
      <c r="QWW196" s="84"/>
      <c r="QWX196" s="84"/>
      <c r="QWY196" s="84"/>
      <c r="QWZ196" s="84"/>
      <c r="QXA196" s="84"/>
      <c r="QXB196" s="84"/>
      <c r="QXC196" s="84"/>
      <c r="QXD196" s="84"/>
      <c r="QXE196" s="84"/>
      <c r="QXF196" s="84"/>
      <c r="QXG196" s="84"/>
      <c r="QXH196" s="84"/>
      <c r="QXI196" s="84"/>
      <c r="QXJ196" s="84"/>
      <c r="QXK196" s="84"/>
      <c r="QXL196" s="84"/>
      <c r="QXM196" s="84"/>
      <c r="QXN196" s="84"/>
      <c r="QXO196" s="84"/>
      <c r="QXP196" s="84"/>
      <c r="QXQ196" s="84"/>
      <c r="QXR196" s="84"/>
      <c r="QXS196" s="84"/>
      <c r="QXT196" s="84"/>
      <c r="QXU196" s="84"/>
      <c r="QXV196" s="84"/>
      <c r="QXW196" s="84"/>
      <c r="QXX196" s="84"/>
      <c r="QXY196" s="84"/>
      <c r="QXZ196" s="84"/>
      <c r="QYA196" s="84"/>
      <c r="QYB196" s="84"/>
      <c r="QYC196" s="84"/>
      <c r="QYD196" s="84"/>
      <c r="QYE196" s="84"/>
      <c r="QYF196" s="84"/>
      <c r="QYG196" s="84"/>
      <c r="QYH196" s="84"/>
      <c r="QYI196" s="84"/>
      <c r="QYJ196" s="84"/>
      <c r="QYK196" s="84"/>
      <c r="QYL196" s="84"/>
      <c r="QYM196" s="84"/>
      <c r="QYN196" s="84"/>
      <c r="QYO196" s="84"/>
      <c r="QYP196" s="84"/>
      <c r="QYQ196" s="84"/>
      <c r="QYR196" s="84"/>
      <c r="QYS196" s="84"/>
      <c r="QYT196" s="84"/>
      <c r="QYU196" s="84"/>
      <c r="QYV196" s="84"/>
      <c r="QYW196" s="84"/>
      <c r="QYX196" s="84"/>
      <c r="QYY196" s="84"/>
      <c r="QYZ196" s="84"/>
      <c r="QZA196" s="84"/>
      <c r="QZB196" s="84"/>
      <c r="QZC196" s="84"/>
      <c r="QZD196" s="84"/>
      <c r="QZE196" s="84"/>
      <c r="QZF196" s="84"/>
      <c r="QZG196" s="84"/>
      <c r="QZH196" s="84"/>
      <c r="QZI196" s="84"/>
      <c r="QZJ196" s="84"/>
      <c r="QZK196" s="84"/>
      <c r="QZL196" s="84"/>
      <c r="QZM196" s="84"/>
      <c r="QZN196" s="84"/>
      <c r="QZO196" s="84"/>
      <c r="QZP196" s="84"/>
      <c r="QZQ196" s="84"/>
      <c r="QZR196" s="84"/>
      <c r="QZS196" s="84"/>
      <c r="QZT196" s="84"/>
      <c r="QZU196" s="84"/>
      <c r="QZV196" s="84"/>
      <c r="QZW196" s="84"/>
      <c r="QZX196" s="84"/>
      <c r="QZY196" s="84"/>
      <c r="QZZ196" s="84"/>
      <c r="RAA196" s="84"/>
      <c r="RAB196" s="84"/>
      <c r="RAC196" s="84"/>
      <c r="RAD196" s="84"/>
      <c r="RAE196" s="84"/>
      <c r="RAF196" s="84"/>
      <c r="RAG196" s="84"/>
      <c r="RAH196" s="84"/>
      <c r="RAI196" s="84"/>
      <c r="RAJ196" s="84"/>
      <c r="RAK196" s="84"/>
      <c r="RAL196" s="84"/>
      <c r="RAM196" s="84"/>
      <c r="RAN196" s="84"/>
      <c r="RAO196" s="84"/>
      <c r="RAP196" s="84"/>
      <c r="RAQ196" s="84"/>
      <c r="RAR196" s="84"/>
      <c r="RAS196" s="84"/>
      <c r="RAT196" s="84"/>
      <c r="RAU196" s="84"/>
      <c r="RAV196" s="84"/>
      <c r="RAW196" s="84"/>
      <c r="RAX196" s="84"/>
      <c r="RAY196" s="84"/>
      <c r="RAZ196" s="84"/>
      <c r="RBA196" s="84"/>
      <c r="RBB196" s="84"/>
      <c r="RBC196" s="84"/>
      <c r="RBD196" s="84"/>
      <c r="RBE196" s="84"/>
      <c r="RBF196" s="84"/>
      <c r="RBG196" s="84"/>
      <c r="RBH196" s="84"/>
      <c r="RBI196" s="84"/>
      <c r="RBJ196" s="84"/>
      <c r="RBK196" s="84"/>
      <c r="RBL196" s="84"/>
      <c r="RBM196" s="84"/>
      <c r="RBN196" s="84"/>
      <c r="RBO196" s="84"/>
      <c r="RBP196" s="84"/>
      <c r="RBQ196" s="84"/>
      <c r="RBR196" s="84"/>
      <c r="RBS196" s="84"/>
      <c r="RBT196" s="84"/>
      <c r="RBU196" s="84"/>
      <c r="RBV196" s="84"/>
      <c r="RBW196" s="84"/>
      <c r="RBX196" s="84"/>
      <c r="RBY196" s="84"/>
      <c r="RBZ196" s="84"/>
      <c r="RCA196" s="84"/>
      <c r="RCB196" s="84"/>
      <c r="RCC196" s="84"/>
      <c r="RCD196" s="84"/>
      <c r="RCE196" s="84"/>
      <c r="RCF196" s="84"/>
      <c r="RCG196" s="84"/>
      <c r="RCH196" s="84"/>
      <c r="RCI196" s="84"/>
      <c r="RCJ196" s="84"/>
      <c r="RCK196" s="84"/>
      <c r="RCL196" s="84"/>
      <c r="RCM196" s="84"/>
      <c r="RCN196" s="84"/>
      <c r="RCO196" s="84"/>
      <c r="RCP196" s="84"/>
      <c r="RCQ196" s="84"/>
      <c r="RCR196" s="84"/>
      <c r="RCS196" s="84"/>
      <c r="RCT196" s="84"/>
      <c r="RCU196" s="84"/>
      <c r="RCV196" s="84"/>
      <c r="RCW196" s="84"/>
      <c r="RCX196" s="84"/>
      <c r="RCY196" s="84"/>
      <c r="RCZ196" s="84"/>
      <c r="RDA196" s="84"/>
      <c r="RDB196" s="84"/>
      <c r="RDC196" s="84"/>
      <c r="RDD196" s="84"/>
      <c r="RDE196" s="84"/>
      <c r="RDF196" s="84"/>
      <c r="RDG196" s="84"/>
      <c r="RDH196" s="84"/>
      <c r="RDI196" s="84"/>
      <c r="RDJ196" s="84"/>
      <c r="RDK196" s="84"/>
      <c r="RDL196" s="84"/>
      <c r="RDM196" s="84"/>
      <c r="RDN196" s="84"/>
      <c r="RDO196" s="84"/>
      <c r="RDP196" s="84"/>
      <c r="RDQ196" s="84"/>
      <c r="RDR196" s="84"/>
      <c r="RDS196" s="84"/>
      <c r="RDT196" s="84"/>
      <c r="RDU196" s="84"/>
      <c r="RDV196" s="84"/>
      <c r="RDW196" s="84"/>
      <c r="RDX196" s="84"/>
      <c r="RDY196" s="84"/>
      <c r="RDZ196" s="84"/>
      <c r="REA196" s="84"/>
      <c r="REB196" s="84"/>
      <c r="REC196" s="84"/>
      <c r="RED196" s="84"/>
      <c r="REE196" s="84"/>
      <c r="REF196" s="84"/>
      <c r="REG196" s="84"/>
      <c r="REH196" s="84"/>
      <c r="REI196" s="84"/>
      <c r="REJ196" s="84"/>
      <c r="REK196" s="84"/>
      <c r="REL196" s="84"/>
      <c r="REM196" s="84"/>
      <c r="REN196" s="84"/>
      <c r="REO196" s="84"/>
      <c r="REP196" s="84"/>
      <c r="REQ196" s="84"/>
      <c r="RER196" s="84"/>
      <c r="RES196" s="84"/>
      <c r="RET196" s="84"/>
      <c r="REU196" s="84"/>
      <c r="REV196" s="84"/>
      <c r="REW196" s="84"/>
      <c r="REX196" s="84"/>
      <c r="REY196" s="84"/>
      <c r="REZ196" s="84"/>
      <c r="RFA196" s="84"/>
      <c r="RFB196" s="84"/>
      <c r="RFC196" s="84"/>
      <c r="RFD196" s="84"/>
      <c r="RFE196" s="84"/>
      <c r="RFF196" s="84"/>
      <c r="RFG196" s="84"/>
      <c r="RFH196" s="84"/>
      <c r="RFI196" s="84"/>
      <c r="RFJ196" s="84"/>
      <c r="RFK196" s="84"/>
      <c r="RFL196" s="84"/>
      <c r="RFM196" s="84"/>
      <c r="RFN196" s="84"/>
      <c r="RFO196" s="84"/>
      <c r="RFP196" s="84"/>
      <c r="RFQ196" s="84"/>
      <c r="RFR196" s="84"/>
      <c r="RFS196" s="84"/>
      <c r="RFT196" s="84"/>
      <c r="RFU196" s="84"/>
      <c r="RFV196" s="84"/>
      <c r="RFW196" s="84"/>
      <c r="RFX196" s="84"/>
      <c r="RFY196" s="84"/>
      <c r="RFZ196" s="84"/>
      <c r="RGA196" s="84"/>
      <c r="RGB196" s="84"/>
      <c r="RGC196" s="84"/>
      <c r="RGD196" s="84"/>
      <c r="RGE196" s="84"/>
      <c r="RGF196" s="84"/>
      <c r="RGG196" s="84"/>
      <c r="RGH196" s="84"/>
      <c r="RGI196" s="84"/>
      <c r="RGJ196" s="84"/>
      <c r="RGK196" s="84"/>
      <c r="RGL196" s="84"/>
      <c r="RGM196" s="84"/>
      <c r="RGN196" s="84"/>
      <c r="RGO196" s="84"/>
      <c r="RGP196" s="84"/>
      <c r="RGQ196" s="84"/>
      <c r="RGR196" s="84"/>
      <c r="RGS196" s="84"/>
      <c r="RGT196" s="84"/>
      <c r="RGU196" s="84"/>
      <c r="RGV196" s="84"/>
      <c r="RGW196" s="84"/>
      <c r="RGX196" s="84"/>
      <c r="RGY196" s="84"/>
      <c r="RGZ196" s="84"/>
      <c r="RHA196" s="84"/>
      <c r="RHB196" s="84"/>
      <c r="RHC196" s="84"/>
      <c r="RHD196" s="84"/>
      <c r="RHE196" s="84"/>
      <c r="RHF196" s="84"/>
      <c r="RHG196" s="84"/>
      <c r="RHH196" s="84"/>
      <c r="RHI196" s="84"/>
      <c r="RHJ196" s="84"/>
      <c r="RHK196" s="84"/>
      <c r="RHL196" s="84"/>
      <c r="RHM196" s="84"/>
      <c r="RHN196" s="84"/>
      <c r="RHO196" s="84"/>
      <c r="RHP196" s="84"/>
      <c r="RHQ196" s="84"/>
      <c r="RHR196" s="84"/>
      <c r="RHS196" s="84"/>
      <c r="RHT196" s="84"/>
      <c r="RHU196" s="84"/>
      <c r="RHV196" s="84"/>
      <c r="RHW196" s="84"/>
      <c r="RHX196" s="84"/>
      <c r="RHY196" s="84"/>
      <c r="RHZ196" s="84"/>
      <c r="RIA196" s="84"/>
      <c r="RIB196" s="84"/>
      <c r="RIC196" s="84"/>
      <c r="RID196" s="84"/>
      <c r="RIE196" s="84"/>
      <c r="RIF196" s="84"/>
      <c r="RIG196" s="84"/>
      <c r="RIH196" s="84"/>
      <c r="RII196" s="84"/>
      <c r="RIJ196" s="84"/>
      <c r="RIK196" s="84"/>
      <c r="RIL196" s="84"/>
      <c r="RIM196" s="84"/>
      <c r="RIN196" s="84"/>
      <c r="RIO196" s="84"/>
      <c r="RIP196" s="84"/>
      <c r="RIQ196" s="84"/>
      <c r="RIR196" s="84"/>
      <c r="RIS196" s="84"/>
      <c r="RIT196" s="84"/>
      <c r="RIU196" s="84"/>
      <c r="RIV196" s="84"/>
      <c r="RIW196" s="84"/>
      <c r="RIX196" s="84"/>
      <c r="RIY196" s="84"/>
      <c r="RIZ196" s="84"/>
      <c r="RJA196" s="84"/>
      <c r="RJB196" s="84"/>
      <c r="RJC196" s="84"/>
      <c r="RJD196" s="84"/>
      <c r="RJE196" s="84"/>
      <c r="RJF196" s="84"/>
      <c r="RJG196" s="84"/>
      <c r="RJH196" s="84"/>
      <c r="RJI196" s="84"/>
      <c r="RJJ196" s="84"/>
      <c r="RJK196" s="84"/>
      <c r="RJL196" s="84"/>
      <c r="RJM196" s="84"/>
      <c r="RJN196" s="84"/>
      <c r="RJO196" s="84"/>
      <c r="RJP196" s="84"/>
      <c r="RJQ196" s="84"/>
      <c r="RJR196" s="84"/>
      <c r="RJS196" s="84"/>
      <c r="RJT196" s="84"/>
      <c r="RJU196" s="84"/>
      <c r="RJV196" s="84"/>
      <c r="RJW196" s="84"/>
      <c r="RJX196" s="84"/>
      <c r="RJY196" s="84"/>
      <c r="RJZ196" s="84"/>
      <c r="RKA196" s="84"/>
      <c r="RKB196" s="84"/>
      <c r="RKC196" s="84"/>
      <c r="RKD196" s="84"/>
      <c r="RKE196" s="84"/>
      <c r="RKF196" s="84"/>
      <c r="RKG196" s="84"/>
      <c r="RKH196" s="84"/>
      <c r="RKI196" s="84"/>
      <c r="RKJ196" s="84"/>
      <c r="RKK196" s="84"/>
      <c r="RKL196" s="84"/>
      <c r="RKM196" s="84"/>
      <c r="RKN196" s="84"/>
      <c r="RKO196" s="84"/>
      <c r="RKP196" s="84"/>
      <c r="RKQ196" s="84"/>
      <c r="RKR196" s="84"/>
      <c r="RKS196" s="84"/>
      <c r="RKT196" s="84"/>
      <c r="RKU196" s="84"/>
      <c r="RKV196" s="84"/>
      <c r="RKW196" s="84"/>
      <c r="RKX196" s="84"/>
      <c r="RKY196" s="84"/>
      <c r="RKZ196" s="84"/>
      <c r="RLA196" s="84"/>
      <c r="RLB196" s="84"/>
      <c r="RLC196" s="84"/>
      <c r="RLD196" s="84"/>
      <c r="RLE196" s="84"/>
      <c r="RLF196" s="84"/>
      <c r="RLG196" s="84"/>
      <c r="RLH196" s="84"/>
      <c r="RLI196" s="84"/>
      <c r="RLJ196" s="84"/>
      <c r="RLK196" s="84"/>
      <c r="RLL196" s="84"/>
      <c r="RLM196" s="84"/>
      <c r="RLN196" s="84"/>
      <c r="RLO196" s="84"/>
      <c r="RLP196" s="84"/>
      <c r="RLQ196" s="84"/>
      <c r="RLR196" s="84"/>
      <c r="RLS196" s="84"/>
      <c r="RLT196" s="84"/>
      <c r="RLU196" s="84"/>
      <c r="RLV196" s="84"/>
      <c r="RLW196" s="84"/>
      <c r="RLX196" s="84"/>
      <c r="RLY196" s="84"/>
      <c r="RLZ196" s="84"/>
      <c r="RMA196" s="84"/>
      <c r="RMB196" s="84"/>
      <c r="RMC196" s="84"/>
      <c r="RMD196" s="84"/>
      <c r="RME196" s="84"/>
      <c r="RMF196" s="84"/>
      <c r="RMG196" s="84"/>
      <c r="RMH196" s="84"/>
      <c r="RMI196" s="84"/>
      <c r="RMJ196" s="84"/>
      <c r="RMK196" s="84"/>
      <c r="RML196" s="84"/>
      <c r="RMM196" s="84"/>
      <c r="RMN196" s="84"/>
      <c r="RMO196" s="84"/>
      <c r="RMP196" s="84"/>
      <c r="RMQ196" s="84"/>
      <c r="RMR196" s="84"/>
      <c r="RMS196" s="84"/>
      <c r="RMT196" s="84"/>
      <c r="RMU196" s="84"/>
      <c r="RMV196" s="84"/>
      <c r="RMW196" s="84"/>
      <c r="RMX196" s="84"/>
      <c r="RMY196" s="84"/>
      <c r="RMZ196" s="84"/>
      <c r="RNA196" s="84"/>
      <c r="RNB196" s="84"/>
      <c r="RNC196" s="84"/>
      <c r="RND196" s="84"/>
      <c r="RNE196" s="84"/>
      <c r="RNF196" s="84"/>
      <c r="RNG196" s="84"/>
      <c r="RNH196" s="84"/>
      <c r="RNI196" s="84"/>
      <c r="RNJ196" s="84"/>
      <c r="RNK196" s="84"/>
      <c r="RNL196" s="84"/>
      <c r="RNM196" s="84"/>
      <c r="RNN196" s="84"/>
      <c r="RNO196" s="84"/>
      <c r="RNP196" s="84"/>
      <c r="RNQ196" s="84"/>
      <c r="RNR196" s="84"/>
      <c r="RNS196" s="84"/>
      <c r="RNT196" s="84"/>
      <c r="RNU196" s="84"/>
      <c r="RNV196" s="84"/>
      <c r="RNW196" s="84"/>
      <c r="RNX196" s="84"/>
      <c r="RNY196" s="84"/>
      <c r="RNZ196" s="84"/>
      <c r="ROA196" s="84"/>
      <c r="ROB196" s="84"/>
      <c r="ROC196" s="84"/>
      <c r="ROD196" s="84"/>
      <c r="ROE196" s="84"/>
      <c r="ROF196" s="84"/>
      <c r="ROG196" s="84"/>
      <c r="ROH196" s="84"/>
      <c r="ROI196" s="84"/>
      <c r="ROJ196" s="84"/>
      <c r="ROK196" s="84"/>
      <c r="ROL196" s="84"/>
      <c r="ROM196" s="84"/>
      <c r="RON196" s="84"/>
      <c r="ROO196" s="84"/>
      <c r="ROP196" s="84"/>
      <c r="ROQ196" s="84"/>
      <c r="ROR196" s="84"/>
      <c r="ROS196" s="84"/>
      <c r="ROT196" s="84"/>
      <c r="ROU196" s="84"/>
      <c r="ROV196" s="84"/>
      <c r="ROW196" s="84"/>
      <c r="ROX196" s="84"/>
      <c r="ROY196" s="84"/>
      <c r="ROZ196" s="84"/>
      <c r="RPA196" s="84"/>
      <c r="RPB196" s="84"/>
      <c r="RPC196" s="84"/>
      <c r="RPD196" s="84"/>
      <c r="RPE196" s="84"/>
      <c r="RPF196" s="84"/>
      <c r="RPG196" s="84"/>
      <c r="RPH196" s="84"/>
      <c r="RPI196" s="84"/>
      <c r="RPJ196" s="84"/>
      <c r="RPK196" s="84"/>
      <c r="RPL196" s="84"/>
      <c r="RPM196" s="84"/>
      <c r="RPN196" s="84"/>
      <c r="RPO196" s="84"/>
      <c r="RPP196" s="84"/>
      <c r="RPQ196" s="84"/>
      <c r="RPR196" s="84"/>
      <c r="RPS196" s="84"/>
      <c r="RPT196" s="84"/>
      <c r="RPU196" s="84"/>
      <c r="RPV196" s="84"/>
      <c r="RPW196" s="84"/>
      <c r="RPX196" s="84"/>
      <c r="RPY196" s="84"/>
      <c r="RPZ196" s="84"/>
      <c r="RQA196" s="84"/>
      <c r="RQB196" s="84"/>
      <c r="RQC196" s="84"/>
      <c r="RQD196" s="84"/>
      <c r="RQE196" s="84"/>
      <c r="RQF196" s="84"/>
      <c r="RQG196" s="84"/>
      <c r="RQH196" s="84"/>
      <c r="RQI196" s="84"/>
      <c r="RQJ196" s="84"/>
      <c r="RQK196" s="84"/>
      <c r="RQL196" s="84"/>
      <c r="RQM196" s="84"/>
      <c r="RQN196" s="84"/>
      <c r="RQO196" s="84"/>
      <c r="RQP196" s="84"/>
      <c r="RQQ196" s="84"/>
      <c r="RQR196" s="84"/>
      <c r="RQS196" s="84"/>
      <c r="RQT196" s="84"/>
      <c r="RQU196" s="84"/>
      <c r="RQV196" s="84"/>
      <c r="RQW196" s="84"/>
      <c r="RQX196" s="84"/>
      <c r="RQY196" s="84"/>
      <c r="RQZ196" s="84"/>
      <c r="RRA196" s="84"/>
      <c r="RRB196" s="84"/>
      <c r="RRC196" s="84"/>
      <c r="RRD196" s="84"/>
      <c r="RRE196" s="84"/>
      <c r="RRF196" s="84"/>
      <c r="RRG196" s="84"/>
      <c r="RRH196" s="84"/>
      <c r="RRI196" s="84"/>
      <c r="RRJ196" s="84"/>
      <c r="RRK196" s="84"/>
      <c r="RRL196" s="84"/>
      <c r="RRM196" s="84"/>
      <c r="RRN196" s="84"/>
      <c r="RRO196" s="84"/>
      <c r="RRP196" s="84"/>
      <c r="RRQ196" s="84"/>
      <c r="RRR196" s="84"/>
      <c r="RRS196" s="84"/>
      <c r="RRT196" s="84"/>
      <c r="RRU196" s="84"/>
      <c r="RRV196" s="84"/>
      <c r="RRW196" s="84"/>
      <c r="RRX196" s="84"/>
      <c r="RRY196" s="84"/>
      <c r="RRZ196" s="84"/>
      <c r="RSA196" s="84"/>
      <c r="RSB196" s="84"/>
      <c r="RSC196" s="84"/>
      <c r="RSD196" s="84"/>
      <c r="RSE196" s="84"/>
      <c r="RSF196" s="84"/>
      <c r="RSG196" s="84"/>
      <c r="RSH196" s="84"/>
      <c r="RSI196" s="84"/>
      <c r="RSJ196" s="84"/>
      <c r="RSK196" s="84"/>
      <c r="RSL196" s="84"/>
      <c r="RSM196" s="84"/>
      <c r="RSN196" s="84"/>
      <c r="RSO196" s="84"/>
      <c r="RSP196" s="84"/>
      <c r="RSQ196" s="84"/>
      <c r="RSR196" s="84"/>
      <c r="RSS196" s="84"/>
      <c r="RST196" s="84"/>
      <c r="RSU196" s="84"/>
      <c r="RSV196" s="84"/>
      <c r="RSW196" s="84"/>
      <c r="RSX196" s="84"/>
      <c r="RSY196" s="84"/>
      <c r="RSZ196" s="84"/>
      <c r="RTA196" s="84"/>
      <c r="RTB196" s="84"/>
      <c r="RTC196" s="84"/>
      <c r="RTD196" s="84"/>
      <c r="RTE196" s="84"/>
      <c r="RTF196" s="84"/>
      <c r="RTG196" s="84"/>
      <c r="RTH196" s="84"/>
      <c r="RTI196" s="84"/>
      <c r="RTJ196" s="84"/>
      <c r="RTK196" s="84"/>
      <c r="RTL196" s="84"/>
      <c r="RTM196" s="84"/>
      <c r="RTN196" s="84"/>
      <c r="RTO196" s="84"/>
      <c r="RTP196" s="84"/>
      <c r="RTQ196" s="84"/>
      <c r="RTR196" s="84"/>
      <c r="RTS196" s="84"/>
      <c r="RTT196" s="84"/>
      <c r="RTU196" s="84"/>
      <c r="RTV196" s="84"/>
      <c r="RTW196" s="84"/>
      <c r="RTX196" s="84"/>
      <c r="RTY196" s="84"/>
      <c r="RTZ196" s="84"/>
      <c r="RUA196" s="84"/>
      <c r="RUB196" s="84"/>
      <c r="RUC196" s="84"/>
      <c r="RUD196" s="84"/>
      <c r="RUE196" s="84"/>
      <c r="RUF196" s="84"/>
      <c r="RUG196" s="84"/>
      <c r="RUH196" s="84"/>
      <c r="RUI196" s="84"/>
      <c r="RUJ196" s="84"/>
      <c r="RUK196" s="84"/>
      <c r="RUL196" s="84"/>
      <c r="RUM196" s="84"/>
      <c r="RUN196" s="84"/>
      <c r="RUO196" s="84"/>
      <c r="RUP196" s="84"/>
      <c r="RUQ196" s="84"/>
      <c r="RUR196" s="84"/>
      <c r="RUS196" s="84"/>
      <c r="RUT196" s="84"/>
      <c r="RUU196" s="84"/>
      <c r="RUV196" s="84"/>
      <c r="RUW196" s="84"/>
      <c r="RUX196" s="84"/>
      <c r="RUY196" s="84"/>
      <c r="RUZ196" s="84"/>
      <c r="RVA196" s="84"/>
      <c r="RVB196" s="84"/>
      <c r="RVC196" s="84"/>
      <c r="RVD196" s="84"/>
      <c r="RVE196" s="84"/>
      <c r="RVF196" s="84"/>
      <c r="RVG196" s="84"/>
      <c r="RVH196" s="84"/>
      <c r="RVI196" s="84"/>
      <c r="RVJ196" s="84"/>
      <c r="RVK196" s="84"/>
      <c r="RVL196" s="84"/>
      <c r="RVM196" s="84"/>
      <c r="RVN196" s="84"/>
      <c r="RVO196" s="84"/>
      <c r="RVP196" s="84"/>
      <c r="RVQ196" s="84"/>
      <c r="RVR196" s="84"/>
      <c r="RVS196" s="84"/>
      <c r="RVT196" s="84"/>
      <c r="RVU196" s="84"/>
      <c r="RVV196" s="84"/>
      <c r="RVW196" s="84"/>
      <c r="RVX196" s="84"/>
      <c r="RVY196" s="84"/>
      <c r="RVZ196" s="84"/>
      <c r="RWA196" s="84"/>
      <c r="RWB196" s="84"/>
      <c r="RWC196" s="84"/>
      <c r="RWD196" s="84"/>
      <c r="RWE196" s="84"/>
      <c r="RWF196" s="84"/>
      <c r="RWG196" s="84"/>
      <c r="RWH196" s="84"/>
      <c r="RWI196" s="84"/>
      <c r="RWJ196" s="84"/>
      <c r="RWK196" s="84"/>
      <c r="RWL196" s="84"/>
      <c r="RWM196" s="84"/>
      <c r="RWN196" s="84"/>
      <c r="RWO196" s="84"/>
      <c r="RWP196" s="84"/>
      <c r="RWQ196" s="84"/>
      <c r="RWR196" s="84"/>
      <c r="RWS196" s="84"/>
      <c r="RWT196" s="84"/>
      <c r="RWU196" s="84"/>
      <c r="RWV196" s="84"/>
      <c r="RWW196" s="84"/>
      <c r="RWX196" s="84"/>
      <c r="RWY196" s="84"/>
      <c r="RWZ196" s="84"/>
      <c r="RXA196" s="84"/>
      <c r="RXB196" s="84"/>
      <c r="RXC196" s="84"/>
      <c r="RXD196" s="84"/>
      <c r="RXE196" s="84"/>
      <c r="RXF196" s="84"/>
      <c r="RXG196" s="84"/>
      <c r="RXH196" s="84"/>
      <c r="RXI196" s="84"/>
      <c r="RXJ196" s="84"/>
      <c r="RXK196" s="84"/>
      <c r="RXL196" s="84"/>
      <c r="RXM196" s="84"/>
      <c r="RXN196" s="84"/>
      <c r="RXO196" s="84"/>
      <c r="RXP196" s="84"/>
      <c r="RXQ196" s="84"/>
      <c r="RXR196" s="84"/>
      <c r="RXS196" s="84"/>
      <c r="RXT196" s="84"/>
      <c r="RXU196" s="84"/>
      <c r="RXV196" s="84"/>
      <c r="RXW196" s="84"/>
      <c r="RXX196" s="84"/>
      <c r="RXY196" s="84"/>
      <c r="RXZ196" s="84"/>
      <c r="RYA196" s="84"/>
      <c r="RYB196" s="84"/>
      <c r="RYC196" s="84"/>
      <c r="RYD196" s="84"/>
      <c r="RYE196" s="84"/>
      <c r="RYF196" s="84"/>
      <c r="RYG196" s="84"/>
      <c r="RYH196" s="84"/>
      <c r="RYI196" s="84"/>
      <c r="RYJ196" s="84"/>
      <c r="RYK196" s="84"/>
      <c r="RYL196" s="84"/>
      <c r="RYM196" s="84"/>
      <c r="RYN196" s="84"/>
      <c r="RYO196" s="84"/>
      <c r="RYP196" s="84"/>
      <c r="RYQ196" s="84"/>
      <c r="RYR196" s="84"/>
      <c r="RYS196" s="84"/>
      <c r="RYT196" s="84"/>
      <c r="RYU196" s="84"/>
      <c r="RYV196" s="84"/>
      <c r="RYW196" s="84"/>
      <c r="RYX196" s="84"/>
      <c r="RYY196" s="84"/>
      <c r="RYZ196" s="84"/>
      <c r="RZA196" s="84"/>
      <c r="RZB196" s="84"/>
      <c r="RZC196" s="84"/>
      <c r="RZD196" s="84"/>
      <c r="RZE196" s="84"/>
      <c r="RZF196" s="84"/>
      <c r="RZG196" s="84"/>
      <c r="RZH196" s="84"/>
      <c r="RZI196" s="84"/>
      <c r="RZJ196" s="84"/>
      <c r="RZK196" s="84"/>
      <c r="RZL196" s="84"/>
      <c r="RZM196" s="84"/>
      <c r="RZN196" s="84"/>
      <c r="RZO196" s="84"/>
      <c r="RZP196" s="84"/>
      <c r="RZQ196" s="84"/>
      <c r="RZR196" s="84"/>
      <c r="RZS196" s="84"/>
      <c r="RZT196" s="84"/>
      <c r="RZU196" s="84"/>
      <c r="RZV196" s="84"/>
      <c r="RZW196" s="84"/>
      <c r="RZX196" s="84"/>
      <c r="RZY196" s="84"/>
      <c r="RZZ196" s="84"/>
      <c r="SAA196" s="84"/>
      <c r="SAB196" s="84"/>
      <c r="SAC196" s="84"/>
      <c r="SAD196" s="84"/>
      <c r="SAE196" s="84"/>
      <c r="SAF196" s="84"/>
      <c r="SAG196" s="84"/>
      <c r="SAH196" s="84"/>
      <c r="SAI196" s="84"/>
      <c r="SAJ196" s="84"/>
      <c r="SAK196" s="84"/>
      <c r="SAL196" s="84"/>
      <c r="SAM196" s="84"/>
      <c r="SAN196" s="84"/>
      <c r="SAO196" s="84"/>
      <c r="SAP196" s="84"/>
      <c r="SAQ196" s="84"/>
      <c r="SAR196" s="84"/>
      <c r="SAS196" s="84"/>
      <c r="SAT196" s="84"/>
      <c r="SAU196" s="84"/>
      <c r="SAV196" s="84"/>
      <c r="SAW196" s="84"/>
      <c r="SAX196" s="84"/>
      <c r="SAY196" s="84"/>
      <c r="SAZ196" s="84"/>
      <c r="SBA196" s="84"/>
      <c r="SBB196" s="84"/>
      <c r="SBC196" s="84"/>
      <c r="SBD196" s="84"/>
      <c r="SBE196" s="84"/>
      <c r="SBF196" s="84"/>
      <c r="SBG196" s="84"/>
      <c r="SBH196" s="84"/>
      <c r="SBI196" s="84"/>
      <c r="SBJ196" s="84"/>
      <c r="SBK196" s="84"/>
      <c r="SBL196" s="84"/>
      <c r="SBM196" s="84"/>
      <c r="SBN196" s="84"/>
      <c r="SBO196" s="84"/>
      <c r="SBP196" s="84"/>
      <c r="SBQ196" s="84"/>
      <c r="SBR196" s="84"/>
      <c r="SBS196" s="84"/>
      <c r="SBT196" s="84"/>
      <c r="SBU196" s="84"/>
      <c r="SBV196" s="84"/>
      <c r="SBW196" s="84"/>
      <c r="SBX196" s="84"/>
      <c r="SBY196" s="84"/>
      <c r="SBZ196" s="84"/>
      <c r="SCA196" s="84"/>
      <c r="SCB196" s="84"/>
      <c r="SCC196" s="84"/>
      <c r="SCD196" s="84"/>
      <c r="SCE196" s="84"/>
      <c r="SCF196" s="84"/>
      <c r="SCG196" s="84"/>
      <c r="SCH196" s="84"/>
      <c r="SCI196" s="84"/>
      <c r="SCJ196" s="84"/>
      <c r="SCK196" s="84"/>
      <c r="SCL196" s="84"/>
      <c r="SCM196" s="84"/>
      <c r="SCN196" s="84"/>
      <c r="SCO196" s="84"/>
      <c r="SCP196" s="84"/>
      <c r="SCQ196" s="84"/>
      <c r="SCR196" s="84"/>
      <c r="SCS196" s="84"/>
      <c r="SCT196" s="84"/>
      <c r="SCU196" s="84"/>
      <c r="SCV196" s="84"/>
      <c r="SCW196" s="84"/>
      <c r="SCX196" s="84"/>
      <c r="SCY196" s="84"/>
      <c r="SCZ196" s="84"/>
      <c r="SDA196" s="84"/>
      <c r="SDB196" s="84"/>
      <c r="SDC196" s="84"/>
      <c r="SDD196" s="84"/>
      <c r="SDE196" s="84"/>
      <c r="SDF196" s="84"/>
      <c r="SDG196" s="84"/>
      <c r="SDH196" s="84"/>
      <c r="SDI196" s="84"/>
      <c r="SDJ196" s="84"/>
      <c r="SDK196" s="84"/>
      <c r="SDL196" s="84"/>
      <c r="SDM196" s="84"/>
      <c r="SDN196" s="84"/>
      <c r="SDO196" s="84"/>
      <c r="SDP196" s="84"/>
      <c r="SDQ196" s="84"/>
      <c r="SDR196" s="84"/>
      <c r="SDS196" s="84"/>
      <c r="SDT196" s="84"/>
      <c r="SDU196" s="84"/>
      <c r="SDV196" s="84"/>
      <c r="SDW196" s="84"/>
      <c r="SDX196" s="84"/>
      <c r="SDY196" s="84"/>
      <c r="SDZ196" s="84"/>
      <c r="SEA196" s="84"/>
      <c r="SEB196" s="84"/>
      <c r="SEC196" s="84"/>
      <c r="SED196" s="84"/>
      <c r="SEE196" s="84"/>
      <c r="SEF196" s="84"/>
      <c r="SEG196" s="84"/>
      <c r="SEH196" s="84"/>
      <c r="SEI196" s="84"/>
      <c r="SEJ196" s="84"/>
      <c r="SEK196" s="84"/>
      <c r="SEL196" s="84"/>
      <c r="SEM196" s="84"/>
      <c r="SEN196" s="84"/>
      <c r="SEO196" s="84"/>
      <c r="SEP196" s="84"/>
      <c r="SEQ196" s="84"/>
      <c r="SER196" s="84"/>
      <c r="SES196" s="84"/>
      <c r="SET196" s="84"/>
      <c r="SEU196" s="84"/>
      <c r="SEV196" s="84"/>
      <c r="SEW196" s="84"/>
      <c r="SEX196" s="84"/>
      <c r="SEY196" s="84"/>
      <c r="SEZ196" s="84"/>
      <c r="SFA196" s="84"/>
      <c r="SFB196" s="84"/>
      <c r="SFC196" s="84"/>
      <c r="SFD196" s="84"/>
      <c r="SFE196" s="84"/>
      <c r="SFF196" s="84"/>
      <c r="SFG196" s="84"/>
      <c r="SFH196" s="84"/>
      <c r="SFI196" s="84"/>
      <c r="SFJ196" s="84"/>
      <c r="SFK196" s="84"/>
      <c r="SFL196" s="84"/>
      <c r="SFM196" s="84"/>
      <c r="SFN196" s="84"/>
      <c r="SFO196" s="84"/>
      <c r="SFP196" s="84"/>
      <c r="SFQ196" s="84"/>
      <c r="SFR196" s="84"/>
      <c r="SFS196" s="84"/>
      <c r="SFT196" s="84"/>
      <c r="SFU196" s="84"/>
      <c r="SFV196" s="84"/>
      <c r="SFW196" s="84"/>
      <c r="SFX196" s="84"/>
      <c r="SFY196" s="84"/>
      <c r="SFZ196" s="84"/>
      <c r="SGA196" s="84"/>
      <c r="SGB196" s="84"/>
      <c r="SGC196" s="84"/>
      <c r="SGD196" s="84"/>
      <c r="SGE196" s="84"/>
      <c r="SGF196" s="84"/>
      <c r="SGG196" s="84"/>
      <c r="SGH196" s="84"/>
      <c r="SGI196" s="84"/>
      <c r="SGJ196" s="84"/>
      <c r="SGK196" s="84"/>
      <c r="SGL196" s="84"/>
      <c r="SGM196" s="84"/>
      <c r="SGN196" s="84"/>
      <c r="SGO196" s="84"/>
      <c r="SGP196" s="84"/>
      <c r="SGQ196" s="84"/>
      <c r="SGR196" s="84"/>
      <c r="SGS196" s="84"/>
      <c r="SGT196" s="84"/>
      <c r="SGU196" s="84"/>
      <c r="SGV196" s="84"/>
      <c r="SGW196" s="84"/>
      <c r="SGX196" s="84"/>
      <c r="SGY196" s="84"/>
      <c r="SGZ196" s="84"/>
      <c r="SHA196" s="84"/>
      <c r="SHB196" s="84"/>
      <c r="SHC196" s="84"/>
      <c r="SHD196" s="84"/>
      <c r="SHE196" s="84"/>
      <c r="SHF196" s="84"/>
      <c r="SHG196" s="84"/>
      <c r="SHH196" s="84"/>
      <c r="SHI196" s="84"/>
      <c r="SHJ196" s="84"/>
      <c r="SHK196" s="84"/>
      <c r="SHL196" s="84"/>
      <c r="SHM196" s="84"/>
      <c r="SHN196" s="84"/>
      <c r="SHO196" s="84"/>
      <c r="SHP196" s="84"/>
      <c r="SHQ196" s="84"/>
      <c r="SHR196" s="84"/>
      <c r="SHS196" s="84"/>
      <c r="SHT196" s="84"/>
      <c r="SHU196" s="84"/>
      <c r="SHV196" s="84"/>
      <c r="SHW196" s="84"/>
      <c r="SHX196" s="84"/>
      <c r="SHY196" s="84"/>
      <c r="SHZ196" s="84"/>
      <c r="SIA196" s="84"/>
      <c r="SIB196" s="84"/>
      <c r="SIC196" s="84"/>
      <c r="SID196" s="84"/>
      <c r="SIE196" s="84"/>
      <c r="SIF196" s="84"/>
      <c r="SIG196" s="84"/>
      <c r="SIH196" s="84"/>
      <c r="SII196" s="84"/>
      <c r="SIJ196" s="84"/>
      <c r="SIK196" s="84"/>
      <c r="SIL196" s="84"/>
      <c r="SIM196" s="84"/>
      <c r="SIN196" s="84"/>
      <c r="SIO196" s="84"/>
      <c r="SIP196" s="84"/>
      <c r="SIQ196" s="84"/>
      <c r="SIR196" s="84"/>
      <c r="SIS196" s="84"/>
      <c r="SIT196" s="84"/>
      <c r="SIU196" s="84"/>
      <c r="SIV196" s="84"/>
      <c r="SIW196" s="84"/>
      <c r="SIX196" s="84"/>
      <c r="SIY196" s="84"/>
      <c r="SIZ196" s="84"/>
      <c r="SJA196" s="84"/>
      <c r="SJB196" s="84"/>
      <c r="SJC196" s="84"/>
      <c r="SJD196" s="84"/>
      <c r="SJE196" s="84"/>
      <c r="SJF196" s="84"/>
      <c r="SJG196" s="84"/>
      <c r="SJH196" s="84"/>
      <c r="SJI196" s="84"/>
      <c r="SJJ196" s="84"/>
      <c r="SJK196" s="84"/>
      <c r="SJL196" s="84"/>
      <c r="SJM196" s="84"/>
      <c r="SJN196" s="84"/>
      <c r="SJO196" s="84"/>
      <c r="SJP196" s="84"/>
      <c r="SJQ196" s="84"/>
      <c r="SJR196" s="84"/>
      <c r="SJS196" s="84"/>
      <c r="SJT196" s="84"/>
      <c r="SJU196" s="84"/>
      <c r="SJV196" s="84"/>
      <c r="SJW196" s="84"/>
      <c r="SJX196" s="84"/>
      <c r="SJY196" s="84"/>
      <c r="SJZ196" s="84"/>
      <c r="SKA196" s="84"/>
      <c r="SKB196" s="84"/>
      <c r="SKC196" s="84"/>
      <c r="SKD196" s="84"/>
      <c r="SKE196" s="84"/>
      <c r="SKF196" s="84"/>
      <c r="SKG196" s="84"/>
      <c r="SKH196" s="84"/>
      <c r="SKI196" s="84"/>
      <c r="SKJ196" s="84"/>
      <c r="SKK196" s="84"/>
      <c r="SKL196" s="84"/>
      <c r="SKM196" s="84"/>
      <c r="SKN196" s="84"/>
      <c r="SKO196" s="84"/>
      <c r="SKP196" s="84"/>
      <c r="SKQ196" s="84"/>
      <c r="SKR196" s="84"/>
      <c r="SKS196" s="84"/>
      <c r="SKT196" s="84"/>
      <c r="SKU196" s="84"/>
      <c r="SKV196" s="84"/>
      <c r="SKW196" s="84"/>
      <c r="SKX196" s="84"/>
      <c r="SKY196" s="84"/>
      <c r="SKZ196" s="84"/>
      <c r="SLA196" s="84"/>
      <c r="SLB196" s="84"/>
      <c r="SLC196" s="84"/>
      <c r="SLD196" s="84"/>
      <c r="SLE196" s="84"/>
      <c r="SLF196" s="84"/>
      <c r="SLG196" s="84"/>
      <c r="SLH196" s="84"/>
      <c r="SLI196" s="84"/>
      <c r="SLJ196" s="84"/>
      <c r="SLK196" s="84"/>
      <c r="SLL196" s="84"/>
      <c r="SLM196" s="84"/>
      <c r="SLN196" s="84"/>
      <c r="SLO196" s="84"/>
      <c r="SLP196" s="84"/>
      <c r="SLQ196" s="84"/>
      <c r="SLR196" s="84"/>
      <c r="SLS196" s="84"/>
      <c r="SLT196" s="84"/>
      <c r="SLU196" s="84"/>
      <c r="SLV196" s="84"/>
      <c r="SLW196" s="84"/>
      <c r="SLX196" s="84"/>
      <c r="SLY196" s="84"/>
      <c r="SLZ196" s="84"/>
      <c r="SMA196" s="84"/>
      <c r="SMB196" s="84"/>
      <c r="SMC196" s="84"/>
      <c r="SMD196" s="84"/>
      <c r="SME196" s="84"/>
      <c r="SMF196" s="84"/>
      <c r="SMG196" s="84"/>
      <c r="SMH196" s="84"/>
      <c r="SMI196" s="84"/>
      <c r="SMJ196" s="84"/>
      <c r="SMK196" s="84"/>
      <c r="SML196" s="84"/>
      <c r="SMM196" s="84"/>
      <c r="SMN196" s="84"/>
      <c r="SMO196" s="84"/>
      <c r="SMP196" s="84"/>
      <c r="SMQ196" s="84"/>
      <c r="SMR196" s="84"/>
      <c r="SMS196" s="84"/>
      <c r="SMT196" s="84"/>
      <c r="SMU196" s="84"/>
      <c r="SMV196" s="84"/>
      <c r="SMW196" s="84"/>
      <c r="SMX196" s="84"/>
      <c r="SMY196" s="84"/>
      <c r="SMZ196" s="84"/>
      <c r="SNA196" s="84"/>
      <c r="SNB196" s="84"/>
      <c r="SNC196" s="84"/>
      <c r="SND196" s="84"/>
      <c r="SNE196" s="84"/>
      <c r="SNF196" s="84"/>
      <c r="SNG196" s="84"/>
      <c r="SNH196" s="84"/>
      <c r="SNI196" s="84"/>
      <c r="SNJ196" s="84"/>
      <c r="SNK196" s="84"/>
      <c r="SNL196" s="84"/>
      <c r="SNM196" s="84"/>
      <c r="SNN196" s="84"/>
      <c r="SNO196" s="84"/>
      <c r="SNP196" s="84"/>
      <c r="SNQ196" s="84"/>
      <c r="SNR196" s="84"/>
      <c r="SNS196" s="84"/>
      <c r="SNT196" s="84"/>
      <c r="SNU196" s="84"/>
      <c r="SNV196" s="84"/>
      <c r="SNW196" s="84"/>
      <c r="SNX196" s="84"/>
      <c r="SNY196" s="84"/>
      <c r="SNZ196" s="84"/>
      <c r="SOA196" s="84"/>
      <c r="SOB196" s="84"/>
      <c r="SOC196" s="84"/>
      <c r="SOD196" s="84"/>
      <c r="SOE196" s="84"/>
      <c r="SOF196" s="84"/>
      <c r="SOG196" s="84"/>
      <c r="SOH196" s="84"/>
      <c r="SOI196" s="84"/>
      <c r="SOJ196" s="84"/>
      <c r="SOK196" s="84"/>
      <c r="SOL196" s="84"/>
      <c r="SOM196" s="84"/>
      <c r="SON196" s="84"/>
      <c r="SOO196" s="84"/>
      <c r="SOP196" s="84"/>
      <c r="SOQ196" s="84"/>
      <c r="SOR196" s="84"/>
      <c r="SOS196" s="84"/>
      <c r="SOT196" s="84"/>
      <c r="SOU196" s="84"/>
      <c r="SOV196" s="84"/>
      <c r="SOW196" s="84"/>
      <c r="SOX196" s="84"/>
      <c r="SOY196" s="84"/>
      <c r="SOZ196" s="84"/>
      <c r="SPA196" s="84"/>
      <c r="SPB196" s="84"/>
      <c r="SPC196" s="84"/>
      <c r="SPD196" s="84"/>
      <c r="SPE196" s="84"/>
      <c r="SPF196" s="84"/>
      <c r="SPG196" s="84"/>
      <c r="SPH196" s="84"/>
      <c r="SPI196" s="84"/>
      <c r="SPJ196" s="84"/>
      <c r="SPK196" s="84"/>
      <c r="SPL196" s="84"/>
      <c r="SPM196" s="84"/>
      <c r="SPN196" s="84"/>
      <c r="SPO196" s="84"/>
      <c r="SPP196" s="84"/>
      <c r="SPQ196" s="84"/>
      <c r="SPR196" s="84"/>
      <c r="SPS196" s="84"/>
      <c r="SPT196" s="84"/>
      <c r="SPU196" s="84"/>
      <c r="SPV196" s="84"/>
      <c r="SPW196" s="84"/>
      <c r="SPX196" s="84"/>
      <c r="SPY196" s="84"/>
      <c r="SPZ196" s="84"/>
      <c r="SQA196" s="84"/>
      <c r="SQB196" s="84"/>
      <c r="SQC196" s="84"/>
      <c r="SQD196" s="84"/>
      <c r="SQE196" s="84"/>
      <c r="SQF196" s="84"/>
      <c r="SQG196" s="84"/>
      <c r="SQH196" s="84"/>
      <c r="SQI196" s="84"/>
      <c r="SQJ196" s="84"/>
      <c r="SQK196" s="84"/>
      <c r="SQL196" s="84"/>
      <c r="SQM196" s="84"/>
      <c r="SQN196" s="84"/>
      <c r="SQO196" s="84"/>
      <c r="SQP196" s="84"/>
      <c r="SQQ196" s="84"/>
      <c r="SQR196" s="84"/>
      <c r="SQS196" s="84"/>
      <c r="SQT196" s="84"/>
      <c r="SQU196" s="84"/>
      <c r="SQV196" s="84"/>
      <c r="SQW196" s="84"/>
      <c r="SQX196" s="84"/>
      <c r="SQY196" s="84"/>
      <c r="SQZ196" s="84"/>
      <c r="SRA196" s="84"/>
      <c r="SRB196" s="84"/>
      <c r="SRC196" s="84"/>
      <c r="SRD196" s="84"/>
      <c r="SRE196" s="84"/>
      <c r="SRF196" s="84"/>
      <c r="SRG196" s="84"/>
      <c r="SRH196" s="84"/>
      <c r="SRI196" s="84"/>
      <c r="SRJ196" s="84"/>
      <c r="SRK196" s="84"/>
      <c r="SRL196" s="84"/>
      <c r="SRM196" s="84"/>
      <c r="SRN196" s="84"/>
      <c r="SRO196" s="84"/>
      <c r="SRP196" s="84"/>
      <c r="SRQ196" s="84"/>
      <c r="SRR196" s="84"/>
      <c r="SRS196" s="84"/>
      <c r="SRT196" s="84"/>
      <c r="SRU196" s="84"/>
      <c r="SRV196" s="84"/>
      <c r="SRW196" s="84"/>
      <c r="SRX196" s="84"/>
      <c r="SRY196" s="84"/>
      <c r="SRZ196" s="84"/>
      <c r="SSA196" s="84"/>
      <c r="SSB196" s="84"/>
      <c r="SSC196" s="84"/>
      <c r="SSD196" s="84"/>
      <c r="SSE196" s="84"/>
      <c r="SSF196" s="84"/>
      <c r="SSG196" s="84"/>
      <c r="SSH196" s="84"/>
      <c r="SSI196" s="84"/>
      <c r="SSJ196" s="84"/>
      <c r="SSK196" s="84"/>
      <c r="SSL196" s="84"/>
      <c r="SSM196" s="84"/>
      <c r="SSN196" s="84"/>
      <c r="SSO196" s="84"/>
      <c r="SSP196" s="84"/>
      <c r="SSQ196" s="84"/>
      <c r="SSR196" s="84"/>
      <c r="SSS196" s="84"/>
      <c r="SST196" s="84"/>
      <c r="SSU196" s="84"/>
      <c r="SSV196" s="84"/>
      <c r="SSW196" s="84"/>
      <c r="SSX196" s="84"/>
      <c r="SSY196" s="84"/>
      <c r="SSZ196" s="84"/>
      <c r="STA196" s="84"/>
      <c r="STB196" s="84"/>
      <c r="STC196" s="84"/>
      <c r="STD196" s="84"/>
      <c r="STE196" s="84"/>
      <c r="STF196" s="84"/>
      <c r="STG196" s="84"/>
      <c r="STH196" s="84"/>
      <c r="STI196" s="84"/>
      <c r="STJ196" s="84"/>
      <c r="STK196" s="84"/>
      <c r="STL196" s="84"/>
      <c r="STM196" s="84"/>
      <c r="STN196" s="84"/>
      <c r="STO196" s="84"/>
      <c r="STP196" s="84"/>
      <c r="STQ196" s="84"/>
      <c r="STR196" s="84"/>
      <c r="STS196" s="84"/>
      <c r="STT196" s="84"/>
      <c r="STU196" s="84"/>
      <c r="STV196" s="84"/>
      <c r="STW196" s="84"/>
      <c r="STX196" s="84"/>
      <c r="STY196" s="84"/>
      <c r="STZ196" s="84"/>
      <c r="SUA196" s="84"/>
      <c r="SUB196" s="84"/>
      <c r="SUC196" s="84"/>
      <c r="SUD196" s="84"/>
      <c r="SUE196" s="84"/>
      <c r="SUF196" s="84"/>
      <c r="SUG196" s="84"/>
      <c r="SUH196" s="84"/>
      <c r="SUI196" s="84"/>
      <c r="SUJ196" s="84"/>
      <c r="SUK196" s="84"/>
      <c r="SUL196" s="84"/>
      <c r="SUM196" s="84"/>
      <c r="SUN196" s="84"/>
      <c r="SUO196" s="84"/>
      <c r="SUP196" s="84"/>
      <c r="SUQ196" s="84"/>
      <c r="SUR196" s="84"/>
      <c r="SUS196" s="84"/>
      <c r="SUT196" s="84"/>
      <c r="SUU196" s="84"/>
      <c r="SUV196" s="84"/>
      <c r="SUW196" s="84"/>
      <c r="SUX196" s="84"/>
      <c r="SUY196" s="84"/>
      <c r="SUZ196" s="84"/>
      <c r="SVA196" s="84"/>
      <c r="SVB196" s="84"/>
      <c r="SVC196" s="84"/>
      <c r="SVD196" s="84"/>
      <c r="SVE196" s="84"/>
      <c r="SVF196" s="84"/>
      <c r="SVG196" s="84"/>
      <c r="SVH196" s="84"/>
      <c r="SVI196" s="84"/>
      <c r="SVJ196" s="84"/>
      <c r="SVK196" s="84"/>
      <c r="SVL196" s="84"/>
      <c r="SVM196" s="84"/>
      <c r="SVN196" s="84"/>
      <c r="SVO196" s="84"/>
      <c r="SVP196" s="84"/>
      <c r="SVQ196" s="84"/>
      <c r="SVR196" s="84"/>
      <c r="SVS196" s="84"/>
      <c r="SVT196" s="84"/>
      <c r="SVU196" s="84"/>
      <c r="SVV196" s="84"/>
      <c r="SVW196" s="84"/>
      <c r="SVX196" s="84"/>
      <c r="SVY196" s="84"/>
      <c r="SVZ196" s="84"/>
      <c r="SWA196" s="84"/>
      <c r="SWB196" s="84"/>
      <c r="SWC196" s="84"/>
      <c r="SWD196" s="84"/>
      <c r="SWE196" s="84"/>
      <c r="SWF196" s="84"/>
      <c r="SWG196" s="84"/>
      <c r="SWH196" s="84"/>
      <c r="SWI196" s="84"/>
      <c r="SWJ196" s="84"/>
      <c r="SWK196" s="84"/>
      <c r="SWL196" s="84"/>
      <c r="SWM196" s="84"/>
      <c r="SWN196" s="84"/>
      <c r="SWO196" s="84"/>
      <c r="SWP196" s="84"/>
      <c r="SWQ196" s="84"/>
      <c r="SWR196" s="84"/>
      <c r="SWS196" s="84"/>
      <c r="SWT196" s="84"/>
      <c r="SWU196" s="84"/>
      <c r="SWV196" s="84"/>
      <c r="SWW196" s="84"/>
      <c r="SWX196" s="84"/>
      <c r="SWY196" s="84"/>
      <c r="SWZ196" s="84"/>
      <c r="SXA196" s="84"/>
      <c r="SXB196" s="84"/>
      <c r="SXC196" s="84"/>
      <c r="SXD196" s="84"/>
      <c r="SXE196" s="84"/>
      <c r="SXF196" s="84"/>
      <c r="SXG196" s="84"/>
      <c r="SXH196" s="84"/>
      <c r="SXI196" s="84"/>
      <c r="SXJ196" s="84"/>
      <c r="SXK196" s="84"/>
      <c r="SXL196" s="84"/>
      <c r="SXM196" s="84"/>
      <c r="SXN196" s="84"/>
      <c r="SXO196" s="84"/>
      <c r="SXP196" s="84"/>
      <c r="SXQ196" s="84"/>
      <c r="SXR196" s="84"/>
      <c r="SXS196" s="84"/>
      <c r="SXT196" s="84"/>
      <c r="SXU196" s="84"/>
      <c r="SXV196" s="84"/>
      <c r="SXW196" s="84"/>
      <c r="SXX196" s="84"/>
      <c r="SXY196" s="84"/>
      <c r="SXZ196" s="84"/>
      <c r="SYA196" s="84"/>
      <c r="SYB196" s="84"/>
      <c r="SYC196" s="84"/>
      <c r="SYD196" s="84"/>
      <c r="SYE196" s="84"/>
      <c r="SYF196" s="84"/>
      <c r="SYG196" s="84"/>
      <c r="SYH196" s="84"/>
      <c r="SYI196" s="84"/>
      <c r="SYJ196" s="84"/>
      <c r="SYK196" s="84"/>
      <c r="SYL196" s="84"/>
      <c r="SYM196" s="84"/>
      <c r="SYN196" s="84"/>
      <c r="SYO196" s="84"/>
      <c r="SYP196" s="84"/>
      <c r="SYQ196" s="84"/>
      <c r="SYR196" s="84"/>
      <c r="SYS196" s="84"/>
      <c r="SYT196" s="84"/>
      <c r="SYU196" s="84"/>
      <c r="SYV196" s="84"/>
      <c r="SYW196" s="84"/>
      <c r="SYX196" s="84"/>
      <c r="SYY196" s="84"/>
      <c r="SYZ196" s="84"/>
      <c r="SZA196" s="84"/>
      <c r="SZB196" s="84"/>
      <c r="SZC196" s="84"/>
      <c r="SZD196" s="84"/>
      <c r="SZE196" s="84"/>
      <c r="SZF196" s="84"/>
      <c r="SZG196" s="84"/>
      <c r="SZH196" s="84"/>
      <c r="SZI196" s="84"/>
      <c r="SZJ196" s="84"/>
      <c r="SZK196" s="84"/>
      <c r="SZL196" s="84"/>
      <c r="SZM196" s="84"/>
      <c r="SZN196" s="84"/>
      <c r="SZO196" s="84"/>
      <c r="SZP196" s="84"/>
      <c r="SZQ196" s="84"/>
      <c r="SZR196" s="84"/>
      <c r="SZS196" s="84"/>
      <c r="SZT196" s="84"/>
      <c r="SZU196" s="84"/>
      <c r="SZV196" s="84"/>
      <c r="SZW196" s="84"/>
      <c r="SZX196" s="84"/>
      <c r="SZY196" s="84"/>
      <c r="SZZ196" s="84"/>
      <c r="TAA196" s="84"/>
      <c r="TAB196" s="84"/>
      <c r="TAC196" s="84"/>
      <c r="TAD196" s="84"/>
      <c r="TAE196" s="84"/>
      <c r="TAF196" s="84"/>
      <c r="TAG196" s="84"/>
      <c r="TAH196" s="84"/>
      <c r="TAI196" s="84"/>
      <c r="TAJ196" s="84"/>
      <c r="TAK196" s="84"/>
      <c r="TAL196" s="84"/>
      <c r="TAM196" s="84"/>
      <c r="TAN196" s="84"/>
      <c r="TAO196" s="84"/>
      <c r="TAP196" s="84"/>
      <c r="TAQ196" s="84"/>
      <c r="TAR196" s="84"/>
      <c r="TAS196" s="84"/>
      <c r="TAT196" s="84"/>
      <c r="TAU196" s="84"/>
      <c r="TAV196" s="84"/>
      <c r="TAW196" s="84"/>
      <c r="TAX196" s="84"/>
      <c r="TAY196" s="84"/>
      <c r="TAZ196" s="84"/>
      <c r="TBA196" s="84"/>
      <c r="TBB196" s="84"/>
      <c r="TBC196" s="84"/>
      <c r="TBD196" s="84"/>
      <c r="TBE196" s="84"/>
      <c r="TBF196" s="84"/>
      <c r="TBG196" s="84"/>
      <c r="TBH196" s="84"/>
      <c r="TBI196" s="84"/>
      <c r="TBJ196" s="84"/>
      <c r="TBK196" s="84"/>
      <c r="TBL196" s="84"/>
      <c r="TBM196" s="84"/>
      <c r="TBN196" s="84"/>
      <c r="TBO196" s="84"/>
      <c r="TBP196" s="84"/>
      <c r="TBQ196" s="84"/>
      <c r="TBR196" s="84"/>
      <c r="TBS196" s="84"/>
      <c r="TBT196" s="84"/>
      <c r="TBU196" s="84"/>
      <c r="TBV196" s="84"/>
      <c r="TBW196" s="84"/>
      <c r="TBX196" s="84"/>
      <c r="TBY196" s="84"/>
      <c r="TBZ196" s="84"/>
      <c r="TCA196" s="84"/>
      <c r="TCB196" s="84"/>
      <c r="TCC196" s="84"/>
      <c r="TCD196" s="84"/>
      <c r="TCE196" s="84"/>
      <c r="TCF196" s="84"/>
      <c r="TCG196" s="84"/>
      <c r="TCH196" s="84"/>
      <c r="TCI196" s="84"/>
      <c r="TCJ196" s="84"/>
      <c r="TCK196" s="84"/>
      <c r="TCL196" s="84"/>
      <c r="TCM196" s="84"/>
      <c r="TCN196" s="84"/>
      <c r="TCO196" s="84"/>
      <c r="TCP196" s="84"/>
      <c r="TCQ196" s="84"/>
      <c r="TCR196" s="84"/>
      <c r="TCS196" s="84"/>
      <c r="TCT196" s="84"/>
      <c r="TCU196" s="84"/>
      <c r="TCV196" s="84"/>
      <c r="TCW196" s="84"/>
      <c r="TCX196" s="84"/>
      <c r="TCY196" s="84"/>
      <c r="TCZ196" s="84"/>
      <c r="TDA196" s="84"/>
      <c r="TDB196" s="84"/>
      <c r="TDC196" s="84"/>
      <c r="TDD196" s="84"/>
      <c r="TDE196" s="84"/>
      <c r="TDF196" s="84"/>
      <c r="TDG196" s="84"/>
      <c r="TDH196" s="84"/>
      <c r="TDI196" s="84"/>
      <c r="TDJ196" s="84"/>
      <c r="TDK196" s="84"/>
      <c r="TDL196" s="84"/>
      <c r="TDM196" s="84"/>
      <c r="TDN196" s="84"/>
      <c r="TDO196" s="84"/>
      <c r="TDP196" s="84"/>
      <c r="TDQ196" s="84"/>
      <c r="TDR196" s="84"/>
      <c r="TDS196" s="84"/>
      <c r="TDT196" s="84"/>
      <c r="TDU196" s="84"/>
      <c r="TDV196" s="84"/>
      <c r="TDW196" s="84"/>
      <c r="TDX196" s="84"/>
      <c r="TDY196" s="84"/>
      <c r="TDZ196" s="84"/>
      <c r="TEA196" s="84"/>
      <c r="TEB196" s="84"/>
      <c r="TEC196" s="84"/>
      <c r="TED196" s="84"/>
      <c r="TEE196" s="84"/>
      <c r="TEF196" s="84"/>
      <c r="TEG196" s="84"/>
      <c r="TEH196" s="84"/>
      <c r="TEI196" s="84"/>
      <c r="TEJ196" s="84"/>
      <c r="TEK196" s="84"/>
      <c r="TEL196" s="84"/>
      <c r="TEM196" s="84"/>
      <c r="TEN196" s="84"/>
      <c r="TEO196" s="84"/>
      <c r="TEP196" s="84"/>
      <c r="TEQ196" s="84"/>
      <c r="TER196" s="84"/>
      <c r="TES196" s="84"/>
      <c r="TET196" s="84"/>
      <c r="TEU196" s="84"/>
      <c r="TEV196" s="84"/>
      <c r="TEW196" s="84"/>
      <c r="TEX196" s="84"/>
      <c r="TEY196" s="84"/>
      <c r="TEZ196" s="84"/>
      <c r="TFA196" s="84"/>
      <c r="TFB196" s="84"/>
      <c r="TFC196" s="84"/>
      <c r="TFD196" s="84"/>
      <c r="TFE196" s="84"/>
      <c r="TFF196" s="84"/>
      <c r="TFG196" s="84"/>
      <c r="TFH196" s="84"/>
      <c r="TFI196" s="84"/>
      <c r="TFJ196" s="84"/>
      <c r="TFK196" s="84"/>
      <c r="TFL196" s="84"/>
      <c r="TFM196" s="84"/>
      <c r="TFN196" s="84"/>
      <c r="TFO196" s="84"/>
      <c r="TFP196" s="84"/>
      <c r="TFQ196" s="84"/>
      <c r="TFR196" s="84"/>
      <c r="TFS196" s="84"/>
      <c r="TFT196" s="84"/>
      <c r="TFU196" s="84"/>
      <c r="TFV196" s="84"/>
      <c r="TFW196" s="84"/>
      <c r="TFX196" s="84"/>
      <c r="TFY196" s="84"/>
      <c r="TFZ196" s="84"/>
      <c r="TGA196" s="84"/>
      <c r="TGB196" s="84"/>
      <c r="TGC196" s="84"/>
      <c r="TGD196" s="84"/>
      <c r="TGE196" s="84"/>
      <c r="TGF196" s="84"/>
      <c r="TGG196" s="84"/>
      <c r="TGH196" s="84"/>
      <c r="TGI196" s="84"/>
      <c r="TGJ196" s="84"/>
      <c r="TGK196" s="84"/>
      <c r="TGL196" s="84"/>
      <c r="TGM196" s="84"/>
      <c r="TGN196" s="84"/>
      <c r="TGO196" s="84"/>
      <c r="TGP196" s="84"/>
      <c r="TGQ196" s="84"/>
      <c r="TGR196" s="84"/>
      <c r="TGS196" s="84"/>
      <c r="TGT196" s="84"/>
      <c r="TGU196" s="84"/>
      <c r="TGV196" s="84"/>
      <c r="TGW196" s="84"/>
      <c r="TGX196" s="84"/>
      <c r="TGY196" s="84"/>
      <c r="TGZ196" s="84"/>
      <c r="THA196" s="84"/>
      <c r="THB196" s="84"/>
      <c r="THC196" s="84"/>
      <c r="THD196" s="84"/>
      <c r="THE196" s="84"/>
      <c r="THF196" s="84"/>
      <c r="THG196" s="84"/>
      <c r="THH196" s="84"/>
      <c r="THI196" s="84"/>
      <c r="THJ196" s="84"/>
      <c r="THK196" s="84"/>
      <c r="THL196" s="84"/>
      <c r="THM196" s="84"/>
      <c r="THN196" s="84"/>
      <c r="THO196" s="84"/>
      <c r="THP196" s="84"/>
      <c r="THQ196" s="84"/>
      <c r="THR196" s="84"/>
      <c r="THS196" s="84"/>
      <c r="THT196" s="84"/>
      <c r="THU196" s="84"/>
      <c r="THV196" s="84"/>
      <c r="THW196" s="84"/>
      <c r="THX196" s="84"/>
      <c r="THY196" s="84"/>
      <c r="THZ196" s="84"/>
      <c r="TIA196" s="84"/>
      <c r="TIB196" s="84"/>
      <c r="TIC196" s="84"/>
      <c r="TID196" s="84"/>
      <c r="TIE196" s="84"/>
      <c r="TIF196" s="84"/>
      <c r="TIG196" s="84"/>
      <c r="TIH196" s="84"/>
      <c r="TII196" s="84"/>
      <c r="TIJ196" s="84"/>
      <c r="TIK196" s="84"/>
      <c r="TIL196" s="84"/>
      <c r="TIM196" s="84"/>
      <c r="TIN196" s="84"/>
      <c r="TIO196" s="84"/>
      <c r="TIP196" s="84"/>
      <c r="TIQ196" s="84"/>
      <c r="TIR196" s="84"/>
      <c r="TIS196" s="84"/>
      <c r="TIT196" s="84"/>
      <c r="TIU196" s="84"/>
      <c r="TIV196" s="84"/>
      <c r="TIW196" s="84"/>
      <c r="TIX196" s="84"/>
      <c r="TIY196" s="84"/>
      <c r="TIZ196" s="84"/>
      <c r="TJA196" s="84"/>
      <c r="TJB196" s="84"/>
      <c r="TJC196" s="84"/>
      <c r="TJD196" s="84"/>
      <c r="TJE196" s="84"/>
      <c r="TJF196" s="84"/>
      <c r="TJG196" s="84"/>
      <c r="TJH196" s="84"/>
      <c r="TJI196" s="84"/>
      <c r="TJJ196" s="84"/>
      <c r="TJK196" s="84"/>
      <c r="TJL196" s="84"/>
      <c r="TJM196" s="84"/>
      <c r="TJN196" s="84"/>
      <c r="TJO196" s="84"/>
      <c r="TJP196" s="84"/>
      <c r="TJQ196" s="84"/>
      <c r="TJR196" s="84"/>
      <c r="TJS196" s="84"/>
      <c r="TJT196" s="84"/>
      <c r="TJU196" s="84"/>
      <c r="TJV196" s="84"/>
      <c r="TJW196" s="84"/>
      <c r="TJX196" s="84"/>
      <c r="TJY196" s="84"/>
      <c r="TJZ196" s="84"/>
      <c r="TKA196" s="84"/>
      <c r="TKB196" s="84"/>
      <c r="TKC196" s="84"/>
      <c r="TKD196" s="84"/>
      <c r="TKE196" s="84"/>
      <c r="TKF196" s="84"/>
      <c r="TKG196" s="84"/>
      <c r="TKH196" s="84"/>
      <c r="TKI196" s="84"/>
      <c r="TKJ196" s="84"/>
      <c r="TKK196" s="84"/>
      <c r="TKL196" s="84"/>
      <c r="TKM196" s="84"/>
      <c r="TKN196" s="84"/>
      <c r="TKO196" s="84"/>
      <c r="TKP196" s="84"/>
      <c r="TKQ196" s="84"/>
      <c r="TKR196" s="84"/>
      <c r="TKS196" s="84"/>
      <c r="TKT196" s="84"/>
      <c r="TKU196" s="84"/>
      <c r="TKV196" s="84"/>
      <c r="TKW196" s="84"/>
      <c r="TKX196" s="84"/>
      <c r="TKY196" s="84"/>
      <c r="TKZ196" s="84"/>
      <c r="TLA196" s="84"/>
      <c r="TLB196" s="84"/>
      <c r="TLC196" s="84"/>
      <c r="TLD196" s="84"/>
      <c r="TLE196" s="84"/>
      <c r="TLF196" s="84"/>
      <c r="TLG196" s="84"/>
      <c r="TLH196" s="84"/>
      <c r="TLI196" s="84"/>
      <c r="TLJ196" s="84"/>
      <c r="TLK196" s="84"/>
      <c r="TLL196" s="84"/>
      <c r="TLM196" s="84"/>
      <c r="TLN196" s="84"/>
      <c r="TLO196" s="84"/>
      <c r="TLP196" s="84"/>
      <c r="TLQ196" s="84"/>
      <c r="TLR196" s="84"/>
      <c r="TLS196" s="84"/>
      <c r="TLT196" s="84"/>
      <c r="TLU196" s="84"/>
      <c r="TLV196" s="84"/>
      <c r="TLW196" s="84"/>
      <c r="TLX196" s="84"/>
      <c r="TLY196" s="84"/>
      <c r="TLZ196" s="84"/>
      <c r="TMA196" s="84"/>
      <c r="TMB196" s="84"/>
      <c r="TMC196" s="84"/>
      <c r="TMD196" s="84"/>
      <c r="TME196" s="84"/>
      <c r="TMF196" s="84"/>
      <c r="TMG196" s="84"/>
      <c r="TMH196" s="84"/>
      <c r="TMI196" s="84"/>
      <c r="TMJ196" s="84"/>
      <c r="TMK196" s="84"/>
      <c r="TML196" s="84"/>
      <c r="TMM196" s="84"/>
      <c r="TMN196" s="84"/>
      <c r="TMO196" s="84"/>
      <c r="TMP196" s="84"/>
      <c r="TMQ196" s="84"/>
      <c r="TMR196" s="84"/>
      <c r="TMS196" s="84"/>
      <c r="TMT196" s="84"/>
      <c r="TMU196" s="84"/>
      <c r="TMV196" s="84"/>
      <c r="TMW196" s="84"/>
      <c r="TMX196" s="84"/>
      <c r="TMY196" s="84"/>
      <c r="TMZ196" s="84"/>
      <c r="TNA196" s="84"/>
      <c r="TNB196" s="84"/>
      <c r="TNC196" s="84"/>
      <c r="TND196" s="84"/>
      <c r="TNE196" s="84"/>
      <c r="TNF196" s="84"/>
      <c r="TNG196" s="84"/>
      <c r="TNH196" s="84"/>
      <c r="TNI196" s="84"/>
      <c r="TNJ196" s="84"/>
      <c r="TNK196" s="84"/>
      <c r="TNL196" s="84"/>
      <c r="TNM196" s="84"/>
      <c r="TNN196" s="84"/>
      <c r="TNO196" s="84"/>
      <c r="TNP196" s="84"/>
      <c r="TNQ196" s="84"/>
      <c r="TNR196" s="84"/>
      <c r="TNS196" s="84"/>
      <c r="TNT196" s="84"/>
      <c r="TNU196" s="84"/>
      <c r="TNV196" s="84"/>
      <c r="TNW196" s="84"/>
      <c r="TNX196" s="84"/>
      <c r="TNY196" s="84"/>
      <c r="TNZ196" s="84"/>
      <c r="TOA196" s="84"/>
      <c r="TOB196" s="84"/>
      <c r="TOC196" s="84"/>
      <c r="TOD196" s="84"/>
      <c r="TOE196" s="84"/>
      <c r="TOF196" s="84"/>
      <c r="TOG196" s="84"/>
      <c r="TOH196" s="84"/>
      <c r="TOI196" s="84"/>
      <c r="TOJ196" s="84"/>
      <c r="TOK196" s="84"/>
      <c r="TOL196" s="84"/>
      <c r="TOM196" s="84"/>
      <c r="TON196" s="84"/>
      <c r="TOO196" s="84"/>
      <c r="TOP196" s="84"/>
      <c r="TOQ196" s="84"/>
      <c r="TOR196" s="84"/>
      <c r="TOS196" s="84"/>
      <c r="TOT196" s="84"/>
      <c r="TOU196" s="84"/>
      <c r="TOV196" s="84"/>
      <c r="TOW196" s="84"/>
      <c r="TOX196" s="84"/>
      <c r="TOY196" s="84"/>
      <c r="TOZ196" s="84"/>
      <c r="TPA196" s="84"/>
      <c r="TPB196" s="84"/>
      <c r="TPC196" s="84"/>
      <c r="TPD196" s="84"/>
      <c r="TPE196" s="84"/>
      <c r="TPF196" s="84"/>
      <c r="TPG196" s="84"/>
      <c r="TPH196" s="84"/>
      <c r="TPI196" s="84"/>
      <c r="TPJ196" s="84"/>
      <c r="TPK196" s="84"/>
      <c r="TPL196" s="84"/>
      <c r="TPM196" s="84"/>
      <c r="TPN196" s="84"/>
      <c r="TPO196" s="84"/>
      <c r="TPP196" s="84"/>
      <c r="TPQ196" s="84"/>
      <c r="TPR196" s="84"/>
      <c r="TPS196" s="84"/>
      <c r="TPT196" s="84"/>
      <c r="TPU196" s="84"/>
      <c r="TPV196" s="84"/>
      <c r="TPW196" s="84"/>
      <c r="TPX196" s="84"/>
      <c r="TPY196" s="84"/>
      <c r="TPZ196" s="84"/>
      <c r="TQA196" s="84"/>
      <c r="TQB196" s="84"/>
      <c r="TQC196" s="84"/>
      <c r="TQD196" s="84"/>
      <c r="TQE196" s="84"/>
      <c r="TQF196" s="84"/>
      <c r="TQG196" s="84"/>
      <c r="TQH196" s="84"/>
      <c r="TQI196" s="84"/>
      <c r="TQJ196" s="84"/>
      <c r="TQK196" s="84"/>
      <c r="TQL196" s="84"/>
      <c r="TQM196" s="84"/>
      <c r="TQN196" s="84"/>
      <c r="TQO196" s="84"/>
      <c r="TQP196" s="84"/>
      <c r="TQQ196" s="84"/>
      <c r="TQR196" s="84"/>
      <c r="TQS196" s="84"/>
      <c r="TQT196" s="84"/>
      <c r="TQU196" s="84"/>
      <c r="TQV196" s="84"/>
      <c r="TQW196" s="84"/>
      <c r="TQX196" s="84"/>
      <c r="TQY196" s="84"/>
      <c r="TQZ196" s="84"/>
      <c r="TRA196" s="84"/>
      <c r="TRB196" s="84"/>
      <c r="TRC196" s="84"/>
      <c r="TRD196" s="84"/>
      <c r="TRE196" s="84"/>
      <c r="TRF196" s="84"/>
      <c r="TRG196" s="84"/>
      <c r="TRH196" s="84"/>
      <c r="TRI196" s="84"/>
      <c r="TRJ196" s="84"/>
      <c r="TRK196" s="84"/>
      <c r="TRL196" s="84"/>
      <c r="TRM196" s="84"/>
      <c r="TRN196" s="84"/>
      <c r="TRO196" s="84"/>
      <c r="TRP196" s="84"/>
      <c r="TRQ196" s="84"/>
      <c r="TRR196" s="84"/>
      <c r="TRS196" s="84"/>
      <c r="TRT196" s="84"/>
      <c r="TRU196" s="84"/>
      <c r="TRV196" s="84"/>
      <c r="TRW196" s="84"/>
      <c r="TRX196" s="84"/>
      <c r="TRY196" s="84"/>
      <c r="TRZ196" s="84"/>
      <c r="TSA196" s="84"/>
      <c r="TSB196" s="84"/>
      <c r="TSC196" s="84"/>
      <c r="TSD196" s="84"/>
      <c r="TSE196" s="84"/>
      <c r="TSF196" s="84"/>
      <c r="TSG196" s="84"/>
      <c r="TSH196" s="84"/>
      <c r="TSI196" s="84"/>
      <c r="TSJ196" s="84"/>
      <c r="TSK196" s="84"/>
      <c r="TSL196" s="84"/>
      <c r="TSM196" s="84"/>
      <c r="TSN196" s="84"/>
      <c r="TSO196" s="84"/>
      <c r="TSP196" s="84"/>
      <c r="TSQ196" s="84"/>
      <c r="TSR196" s="84"/>
      <c r="TSS196" s="84"/>
      <c r="TST196" s="84"/>
      <c r="TSU196" s="84"/>
      <c r="TSV196" s="84"/>
      <c r="TSW196" s="84"/>
      <c r="TSX196" s="84"/>
      <c r="TSY196" s="84"/>
      <c r="TSZ196" s="84"/>
      <c r="TTA196" s="84"/>
      <c r="TTB196" s="84"/>
      <c r="TTC196" s="84"/>
      <c r="TTD196" s="84"/>
      <c r="TTE196" s="84"/>
      <c r="TTF196" s="84"/>
      <c r="TTG196" s="84"/>
      <c r="TTH196" s="84"/>
      <c r="TTI196" s="84"/>
      <c r="TTJ196" s="84"/>
      <c r="TTK196" s="84"/>
      <c r="TTL196" s="84"/>
      <c r="TTM196" s="84"/>
      <c r="TTN196" s="84"/>
      <c r="TTO196" s="84"/>
      <c r="TTP196" s="84"/>
      <c r="TTQ196" s="84"/>
      <c r="TTR196" s="84"/>
      <c r="TTS196" s="84"/>
      <c r="TTT196" s="84"/>
      <c r="TTU196" s="84"/>
      <c r="TTV196" s="84"/>
      <c r="TTW196" s="84"/>
      <c r="TTX196" s="84"/>
      <c r="TTY196" s="84"/>
      <c r="TTZ196" s="84"/>
      <c r="TUA196" s="84"/>
      <c r="TUB196" s="84"/>
      <c r="TUC196" s="84"/>
      <c r="TUD196" s="84"/>
      <c r="TUE196" s="84"/>
      <c r="TUF196" s="84"/>
      <c r="TUG196" s="84"/>
      <c r="TUH196" s="84"/>
      <c r="TUI196" s="84"/>
      <c r="TUJ196" s="84"/>
      <c r="TUK196" s="84"/>
      <c r="TUL196" s="84"/>
      <c r="TUM196" s="84"/>
      <c r="TUN196" s="84"/>
      <c r="TUO196" s="84"/>
      <c r="TUP196" s="84"/>
      <c r="TUQ196" s="84"/>
      <c r="TUR196" s="84"/>
      <c r="TUS196" s="84"/>
      <c r="TUT196" s="84"/>
      <c r="TUU196" s="84"/>
      <c r="TUV196" s="84"/>
      <c r="TUW196" s="84"/>
      <c r="TUX196" s="84"/>
      <c r="TUY196" s="84"/>
      <c r="TUZ196" s="84"/>
      <c r="TVA196" s="84"/>
      <c r="TVB196" s="84"/>
      <c r="TVC196" s="84"/>
      <c r="TVD196" s="84"/>
      <c r="TVE196" s="84"/>
      <c r="TVF196" s="84"/>
      <c r="TVG196" s="84"/>
      <c r="TVH196" s="84"/>
      <c r="TVI196" s="84"/>
      <c r="TVJ196" s="84"/>
      <c r="TVK196" s="84"/>
      <c r="TVL196" s="84"/>
      <c r="TVM196" s="84"/>
      <c r="TVN196" s="84"/>
      <c r="TVO196" s="84"/>
      <c r="TVP196" s="84"/>
      <c r="TVQ196" s="84"/>
      <c r="TVR196" s="84"/>
      <c r="TVS196" s="84"/>
      <c r="TVT196" s="84"/>
      <c r="TVU196" s="84"/>
      <c r="TVV196" s="84"/>
      <c r="TVW196" s="84"/>
      <c r="TVX196" s="84"/>
      <c r="TVY196" s="84"/>
      <c r="TVZ196" s="84"/>
      <c r="TWA196" s="84"/>
      <c r="TWB196" s="84"/>
      <c r="TWC196" s="84"/>
      <c r="TWD196" s="84"/>
      <c r="TWE196" s="84"/>
      <c r="TWF196" s="84"/>
      <c r="TWG196" s="84"/>
      <c r="TWH196" s="84"/>
      <c r="TWI196" s="84"/>
      <c r="TWJ196" s="84"/>
      <c r="TWK196" s="84"/>
      <c r="TWL196" s="84"/>
      <c r="TWM196" s="84"/>
      <c r="TWN196" s="84"/>
      <c r="TWO196" s="84"/>
      <c r="TWP196" s="84"/>
      <c r="TWQ196" s="84"/>
      <c r="TWR196" s="84"/>
      <c r="TWS196" s="84"/>
      <c r="TWT196" s="84"/>
      <c r="TWU196" s="84"/>
      <c r="TWV196" s="84"/>
      <c r="TWW196" s="84"/>
      <c r="TWX196" s="84"/>
      <c r="TWY196" s="84"/>
      <c r="TWZ196" s="84"/>
      <c r="TXA196" s="84"/>
      <c r="TXB196" s="84"/>
      <c r="TXC196" s="84"/>
      <c r="TXD196" s="84"/>
      <c r="TXE196" s="84"/>
      <c r="TXF196" s="84"/>
      <c r="TXG196" s="84"/>
      <c r="TXH196" s="84"/>
      <c r="TXI196" s="84"/>
      <c r="TXJ196" s="84"/>
      <c r="TXK196" s="84"/>
      <c r="TXL196" s="84"/>
      <c r="TXM196" s="84"/>
      <c r="TXN196" s="84"/>
      <c r="TXO196" s="84"/>
      <c r="TXP196" s="84"/>
      <c r="TXQ196" s="84"/>
      <c r="TXR196" s="84"/>
      <c r="TXS196" s="84"/>
      <c r="TXT196" s="84"/>
      <c r="TXU196" s="84"/>
      <c r="TXV196" s="84"/>
      <c r="TXW196" s="84"/>
      <c r="TXX196" s="84"/>
      <c r="TXY196" s="84"/>
      <c r="TXZ196" s="84"/>
      <c r="TYA196" s="84"/>
      <c r="TYB196" s="84"/>
      <c r="TYC196" s="84"/>
      <c r="TYD196" s="84"/>
      <c r="TYE196" s="84"/>
      <c r="TYF196" s="84"/>
      <c r="TYG196" s="84"/>
      <c r="TYH196" s="84"/>
      <c r="TYI196" s="84"/>
      <c r="TYJ196" s="84"/>
      <c r="TYK196" s="84"/>
      <c r="TYL196" s="84"/>
      <c r="TYM196" s="84"/>
      <c r="TYN196" s="84"/>
      <c r="TYO196" s="84"/>
      <c r="TYP196" s="84"/>
      <c r="TYQ196" s="84"/>
      <c r="TYR196" s="84"/>
      <c r="TYS196" s="84"/>
      <c r="TYT196" s="84"/>
      <c r="TYU196" s="84"/>
      <c r="TYV196" s="84"/>
      <c r="TYW196" s="84"/>
      <c r="TYX196" s="84"/>
      <c r="TYY196" s="84"/>
      <c r="TYZ196" s="84"/>
      <c r="TZA196" s="84"/>
      <c r="TZB196" s="84"/>
      <c r="TZC196" s="84"/>
      <c r="TZD196" s="84"/>
      <c r="TZE196" s="84"/>
      <c r="TZF196" s="84"/>
      <c r="TZG196" s="84"/>
      <c r="TZH196" s="84"/>
      <c r="TZI196" s="84"/>
      <c r="TZJ196" s="84"/>
      <c r="TZK196" s="84"/>
      <c r="TZL196" s="84"/>
      <c r="TZM196" s="84"/>
      <c r="TZN196" s="84"/>
      <c r="TZO196" s="84"/>
      <c r="TZP196" s="84"/>
      <c r="TZQ196" s="84"/>
      <c r="TZR196" s="84"/>
      <c r="TZS196" s="84"/>
      <c r="TZT196" s="84"/>
      <c r="TZU196" s="84"/>
      <c r="TZV196" s="84"/>
      <c r="TZW196" s="84"/>
      <c r="TZX196" s="84"/>
      <c r="TZY196" s="84"/>
      <c r="TZZ196" s="84"/>
      <c r="UAA196" s="84"/>
      <c r="UAB196" s="84"/>
      <c r="UAC196" s="84"/>
      <c r="UAD196" s="84"/>
      <c r="UAE196" s="84"/>
      <c r="UAF196" s="84"/>
      <c r="UAG196" s="84"/>
      <c r="UAH196" s="84"/>
      <c r="UAI196" s="84"/>
      <c r="UAJ196" s="84"/>
      <c r="UAK196" s="84"/>
      <c r="UAL196" s="84"/>
      <c r="UAM196" s="84"/>
      <c r="UAN196" s="84"/>
      <c r="UAO196" s="84"/>
      <c r="UAP196" s="84"/>
      <c r="UAQ196" s="84"/>
      <c r="UAR196" s="84"/>
      <c r="UAS196" s="84"/>
      <c r="UAT196" s="84"/>
      <c r="UAU196" s="84"/>
      <c r="UAV196" s="84"/>
      <c r="UAW196" s="84"/>
      <c r="UAX196" s="84"/>
      <c r="UAY196" s="84"/>
      <c r="UAZ196" s="84"/>
      <c r="UBA196" s="84"/>
      <c r="UBB196" s="84"/>
      <c r="UBC196" s="84"/>
      <c r="UBD196" s="84"/>
      <c r="UBE196" s="84"/>
      <c r="UBF196" s="84"/>
      <c r="UBG196" s="84"/>
      <c r="UBH196" s="84"/>
      <c r="UBI196" s="84"/>
      <c r="UBJ196" s="84"/>
      <c r="UBK196" s="84"/>
      <c r="UBL196" s="84"/>
      <c r="UBM196" s="84"/>
      <c r="UBN196" s="84"/>
      <c r="UBO196" s="84"/>
      <c r="UBP196" s="84"/>
      <c r="UBQ196" s="84"/>
      <c r="UBR196" s="84"/>
      <c r="UBS196" s="84"/>
      <c r="UBT196" s="84"/>
      <c r="UBU196" s="84"/>
      <c r="UBV196" s="84"/>
      <c r="UBW196" s="84"/>
      <c r="UBX196" s="84"/>
      <c r="UBY196" s="84"/>
      <c r="UBZ196" s="84"/>
      <c r="UCA196" s="84"/>
      <c r="UCB196" s="84"/>
      <c r="UCC196" s="84"/>
      <c r="UCD196" s="84"/>
      <c r="UCE196" s="84"/>
      <c r="UCF196" s="84"/>
      <c r="UCG196" s="84"/>
      <c r="UCH196" s="84"/>
      <c r="UCI196" s="84"/>
      <c r="UCJ196" s="84"/>
      <c r="UCK196" s="84"/>
      <c r="UCL196" s="84"/>
      <c r="UCM196" s="84"/>
      <c r="UCN196" s="84"/>
      <c r="UCO196" s="84"/>
      <c r="UCP196" s="84"/>
      <c r="UCQ196" s="84"/>
      <c r="UCR196" s="84"/>
      <c r="UCS196" s="84"/>
      <c r="UCT196" s="84"/>
      <c r="UCU196" s="84"/>
      <c r="UCV196" s="84"/>
      <c r="UCW196" s="84"/>
      <c r="UCX196" s="84"/>
      <c r="UCY196" s="84"/>
      <c r="UCZ196" s="84"/>
      <c r="UDA196" s="84"/>
      <c r="UDB196" s="84"/>
      <c r="UDC196" s="84"/>
      <c r="UDD196" s="84"/>
      <c r="UDE196" s="84"/>
      <c r="UDF196" s="84"/>
      <c r="UDG196" s="84"/>
      <c r="UDH196" s="84"/>
      <c r="UDI196" s="84"/>
      <c r="UDJ196" s="84"/>
      <c r="UDK196" s="84"/>
      <c r="UDL196" s="84"/>
      <c r="UDM196" s="84"/>
      <c r="UDN196" s="84"/>
      <c r="UDO196" s="84"/>
      <c r="UDP196" s="84"/>
      <c r="UDQ196" s="84"/>
      <c r="UDR196" s="84"/>
      <c r="UDS196" s="84"/>
      <c r="UDT196" s="84"/>
      <c r="UDU196" s="84"/>
      <c r="UDV196" s="84"/>
      <c r="UDW196" s="84"/>
      <c r="UDX196" s="84"/>
      <c r="UDY196" s="84"/>
      <c r="UDZ196" s="84"/>
      <c r="UEA196" s="84"/>
      <c r="UEB196" s="84"/>
      <c r="UEC196" s="84"/>
      <c r="UED196" s="84"/>
      <c r="UEE196" s="84"/>
      <c r="UEF196" s="84"/>
      <c r="UEG196" s="84"/>
      <c r="UEH196" s="84"/>
      <c r="UEI196" s="84"/>
      <c r="UEJ196" s="84"/>
      <c r="UEK196" s="84"/>
      <c r="UEL196" s="84"/>
      <c r="UEM196" s="84"/>
      <c r="UEN196" s="84"/>
      <c r="UEO196" s="84"/>
      <c r="UEP196" s="84"/>
      <c r="UEQ196" s="84"/>
      <c r="UER196" s="84"/>
      <c r="UES196" s="84"/>
      <c r="UET196" s="84"/>
      <c r="UEU196" s="84"/>
      <c r="UEV196" s="84"/>
      <c r="UEW196" s="84"/>
      <c r="UEX196" s="84"/>
      <c r="UEY196" s="84"/>
      <c r="UEZ196" s="84"/>
      <c r="UFA196" s="84"/>
      <c r="UFB196" s="84"/>
      <c r="UFC196" s="84"/>
      <c r="UFD196" s="84"/>
      <c r="UFE196" s="84"/>
      <c r="UFF196" s="84"/>
      <c r="UFG196" s="84"/>
      <c r="UFH196" s="84"/>
      <c r="UFI196" s="84"/>
      <c r="UFJ196" s="84"/>
      <c r="UFK196" s="84"/>
      <c r="UFL196" s="84"/>
      <c r="UFM196" s="84"/>
      <c r="UFN196" s="84"/>
      <c r="UFO196" s="84"/>
      <c r="UFP196" s="84"/>
      <c r="UFQ196" s="84"/>
      <c r="UFR196" s="84"/>
      <c r="UFS196" s="84"/>
      <c r="UFT196" s="84"/>
      <c r="UFU196" s="84"/>
      <c r="UFV196" s="84"/>
      <c r="UFW196" s="84"/>
      <c r="UFX196" s="84"/>
      <c r="UFY196" s="84"/>
      <c r="UFZ196" s="84"/>
      <c r="UGA196" s="84"/>
      <c r="UGB196" s="84"/>
      <c r="UGC196" s="84"/>
      <c r="UGD196" s="84"/>
      <c r="UGE196" s="84"/>
      <c r="UGF196" s="84"/>
      <c r="UGG196" s="84"/>
      <c r="UGH196" s="84"/>
      <c r="UGI196" s="84"/>
      <c r="UGJ196" s="84"/>
      <c r="UGK196" s="84"/>
      <c r="UGL196" s="84"/>
      <c r="UGM196" s="84"/>
      <c r="UGN196" s="84"/>
      <c r="UGO196" s="84"/>
      <c r="UGP196" s="84"/>
      <c r="UGQ196" s="84"/>
      <c r="UGR196" s="84"/>
      <c r="UGS196" s="84"/>
      <c r="UGT196" s="84"/>
      <c r="UGU196" s="84"/>
      <c r="UGV196" s="84"/>
      <c r="UGW196" s="84"/>
      <c r="UGX196" s="84"/>
      <c r="UGY196" s="84"/>
      <c r="UGZ196" s="84"/>
      <c r="UHA196" s="84"/>
      <c r="UHB196" s="84"/>
      <c r="UHC196" s="84"/>
      <c r="UHD196" s="84"/>
      <c r="UHE196" s="84"/>
      <c r="UHF196" s="84"/>
      <c r="UHG196" s="84"/>
      <c r="UHH196" s="84"/>
      <c r="UHI196" s="84"/>
      <c r="UHJ196" s="84"/>
      <c r="UHK196" s="84"/>
      <c r="UHL196" s="84"/>
      <c r="UHM196" s="84"/>
      <c r="UHN196" s="84"/>
      <c r="UHO196" s="84"/>
      <c r="UHP196" s="84"/>
      <c r="UHQ196" s="84"/>
      <c r="UHR196" s="84"/>
      <c r="UHS196" s="84"/>
      <c r="UHT196" s="84"/>
      <c r="UHU196" s="84"/>
      <c r="UHV196" s="84"/>
      <c r="UHW196" s="84"/>
      <c r="UHX196" s="84"/>
      <c r="UHY196" s="84"/>
      <c r="UHZ196" s="84"/>
      <c r="UIA196" s="84"/>
      <c r="UIB196" s="84"/>
      <c r="UIC196" s="84"/>
      <c r="UID196" s="84"/>
      <c r="UIE196" s="84"/>
      <c r="UIF196" s="84"/>
      <c r="UIG196" s="84"/>
      <c r="UIH196" s="84"/>
      <c r="UII196" s="84"/>
      <c r="UIJ196" s="84"/>
      <c r="UIK196" s="84"/>
      <c r="UIL196" s="84"/>
      <c r="UIM196" s="84"/>
      <c r="UIN196" s="84"/>
      <c r="UIO196" s="84"/>
      <c r="UIP196" s="84"/>
      <c r="UIQ196" s="84"/>
      <c r="UIR196" s="84"/>
      <c r="UIS196" s="84"/>
      <c r="UIT196" s="84"/>
      <c r="UIU196" s="84"/>
      <c r="UIV196" s="84"/>
      <c r="UIW196" s="84"/>
      <c r="UIX196" s="84"/>
      <c r="UIY196" s="84"/>
      <c r="UIZ196" s="84"/>
      <c r="UJA196" s="84"/>
      <c r="UJB196" s="84"/>
      <c r="UJC196" s="84"/>
      <c r="UJD196" s="84"/>
      <c r="UJE196" s="84"/>
      <c r="UJF196" s="84"/>
      <c r="UJG196" s="84"/>
      <c r="UJH196" s="84"/>
      <c r="UJI196" s="84"/>
      <c r="UJJ196" s="84"/>
      <c r="UJK196" s="84"/>
      <c r="UJL196" s="84"/>
      <c r="UJM196" s="84"/>
      <c r="UJN196" s="84"/>
      <c r="UJO196" s="84"/>
      <c r="UJP196" s="84"/>
      <c r="UJQ196" s="84"/>
      <c r="UJR196" s="84"/>
      <c r="UJS196" s="84"/>
      <c r="UJT196" s="84"/>
      <c r="UJU196" s="84"/>
      <c r="UJV196" s="84"/>
      <c r="UJW196" s="84"/>
      <c r="UJX196" s="84"/>
      <c r="UJY196" s="84"/>
      <c r="UJZ196" s="84"/>
      <c r="UKA196" s="84"/>
      <c r="UKB196" s="84"/>
      <c r="UKC196" s="84"/>
      <c r="UKD196" s="84"/>
      <c r="UKE196" s="84"/>
      <c r="UKF196" s="84"/>
      <c r="UKG196" s="84"/>
      <c r="UKH196" s="84"/>
      <c r="UKI196" s="84"/>
      <c r="UKJ196" s="84"/>
      <c r="UKK196" s="84"/>
      <c r="UKL196" s="84"/>
      <c r="UKM196" s="84"/>
      <c r="UKN196" s="84"/>
      <c r="UKO196" s="84"/>
      <c r="UKP196" s="84"/>
      <c r="UKQ196" s="84"/>
      <c r="UKR196" s="84"/>
      <c r="UKS196" s="84"/>
      <c r="UKT196" s="84"/>
      <c r="UKU196" s="84"/>
      <c r="UKV196" s="84"/>
      <c r="UKW196" s="84"/>
      <c r="UKX196" s="84"/>
      <c r="UKY196" s="84"/>
      <c r="UKZ196" s="84"/>
      <c r="ULA196" s="84"/>
      <c r="ULB196" s="84"/>
      <c r="ULC196" s="84"/>
      <c r="ULD196" s="84"/>
      <c r="ULE196" s="84"/>
      <c r="ULF196" s="84"/>
      <c r="ULG196" s="84"/>
      <c r="ULH196" s="84"/>
      <c r="ULI196" s="84"/>
      <c r="ULJ196" s="84"/>
      <c r="ULK196" s="84"/>
      <c r="ULL196" s="84"/>
      <c r="ULM196" s="84"/>
      <c r="ULN196" s="84"/>
      <c r="ULO196" s="84"/>
      <c r="ULP196" s="84"/>
      <c r="ULQ196" s="84"/>
      <c r="ULR196" s="84"/>
      <c r="ULS196" s="84"/>
      <c r="ULT196" s="84"/>
      <c r="ULU196" s="84"/>
      <c r="ULV196" s="84"/>
      <c r="ULW196" s="84"/>
      <c r="ULX196" s="84"/>
      <c r="ULY196" s="84"/>
      <c r="ULZ196" s="84"/>
      <c r="UMA196" s="84"/>
      <c r="UMB196" s="84"/>
      <c r="UMC196" s="84"/>
      <c r="UMD196" s="84"/>
      <c r="UME196" s="84"/>
      <c r="UMF196" s="84"/>
      <c r="UMG196" s="84"/>
      <c r="UMH196" s="84"/>
      <c r="UMI196" s="84"/>
      <c r="UMJ196" s="84"/>
      <c r="UMK196" s="84"/>
      <c r="UML196" s="84"/>
      <c r="UMM196" s="84"/>
      <c r="UMN196" s="84"/>
      <c r="UMO196" s="84"/>
      <c r="UMP196" s="84"/>
      <c r="UMQ196" s="84"/>
      <c r="UMR196" s="84"/>
      <c r="UMS196" s="84"/>
      <c r="UMT196" s="84"/>
      <c r="UMU196" s="84"/>
      <c r="UMV196" s="84"/>
      <c r="UMW196" s="84"/>
      <c r="UMX196" s="84"/>
      <c r="UMY196" s="84"/>
      <c r="UMZ196" s="84"/>
      <c r="UNA196" s="84"/>
      <c r="UNB196" s="84"/>
      <c r="UNC196" s="84"/>
      <c r="UND196" s="84"/>
      <c r="UNE196" s="84"/>
      <c r="UNF196" s="84"/>
      <c r="UNG196" s="84"/>
      <c r="UNH196" s="84"/>
      <c r="UNI196" s="84"/>
      <c r="UNJ196" s="84"/>
      <c r="UNK196" s="84"/>
      <c r="UNL196" s="84"/>
      <c r="UNM196" s="84"/>
      <c r="UNN196" s="84"/>
      <c r="UNO196" s="84"/>
      <c r="UNP196" s="84"/>
      <c r="UNQ196" s="84"/>
      <c r="UNR196" s="84"/>
      <c r="UNS196" s="84"/>
      <c r="UNT196" s="84"/>
      <c r="UNU196" s="84"/>
      <c r="UNV196" s="84"/>
      <c r="UNW196" s="84"/>
      <c r="UNX196" s="84"/>
      <c r="UNY196" s="84"/>
      <c r="UNZ196" s="84"/>
      <c r="UOA196" s="84"/>
      <c r="UOB196" s="84"/>
      <c r="UOC196" s="84"/>
      <c r="UOD196" s="84"/>
      <c r="UOE196" s="84"/>
      <c r="UOF196" s="84"/>
      <c r="UOG196" s="84"/>
      <c r="UOH196" s="84"/>
      <c r="UOI196" s="84"/>
      <c r="UOJ196" s="84"/>
      <c r="UOK196" s="84"/>
      <c r="UOL196" s="84"/>
      <c r="UOM196" s="84"/>
      <c r="UON196" s="84"/>
      <c r="UOO196" s="84"/>
      <c r="UOP196" s="84"/>
      <c r="UOQ196" s="84"/>
      <c r="UOR196" s="84"/>
      <c r="UOS196" s="84"/>
      <c r="UOT196" s="84"/>
      <c r="UOU196" s="84"/>
      <c r="UOV196" s="84"/>
      <c r="UOW196" s="84"/>
      <c r="UOX196" s="84"/>
      <c r="UOY196" s="84"/>
      <c r="UOZ196" s="84"/>
      <c r="UPA196" s="84"/>
      <c r="UPB196" s="84"/>
      <c r="UPC196" s="84"/>
      <c r="UPD196" s="84"/>
      <c r="UPE196" s="84"/>
      <c r="UPF196" s="84"/>
      <c r="UPG196" s="84"/>
      <c r="UPH196" s="84"/>
      <c r="UPI196" s="84"/>
      <c r="UPJ196" s="84"/>
      <c r="UPK196" s="84"/>
      <c r="UPL196" s="84"/>
      <c r="UPM196" s="84"/>
      <c r="UPN196" s="84"/>
      <c r="UPO196" s="84"/>
      <c r="UPP196" s="84"/>
      <c r="UPQ196" s="84"/>
      <c r="UPR196" s="84"/>
      <c r="UPS196" s="84"/>
      <c r="UPT196" s="84"/>
      <c r="UPU196" s="84"/>
      <c r="UPV196" s="84"/>
      <c r="UPW196" s="84"/>
      <c r="UPX196" s="84"/>
      <c r="UPY196" s="84"/>
      <c r="UPZ196" s="84"/>
      <c r="UQA196" s="84"/>
      <c r="UQB196" s="84"/>
      <c r="UQC196" s="84"/>
      <c r="UQD196" s="84"/>
      <c r="UQE196" s="84"/>
      <c r="UQF196" s="84"/>
      <c r="UQG196" s="84"/>
      <c r="UQH196" s="84"/>
      <c r="UQI196" s="84"/>
      <c r="UQJ196" s="84"/>
      <c r="UQK196" s="84"/>
      <c r="UQL196" s="84"/>
      <c r="UQM196" s="84"/>
      <c r="UQN196" s="84"/>
      <c r="UQO196" s="84"/>
      <c r="UQP196" s="84"/>
      <c r="UQQ196" s="84"/>
      <c r="UQR196" s="84"/>
      <c r="UQS196" s="84"/>
      <c r="UQT196" s="84"/>
      <c r="UQU196" s="84"/>
      <c r="UQV196" s="84"/>
      <c r="UQW196" s="84"/>
      <c r="UQX196" s="84"/>
      <c r="UQY196" s="84"/>
      <c r="UQZ196" s="84"/>
      <c r="URA196" s="84"/>
      <c r="URB196" s="84"/>
      <c r="URC196" s="84"/>
      <c r="URD196" s="84"/>
      <c r="URE196" s="84"/>
      <c r="URF196" s="84"/>
      <c r="URG196" s="84"/>
      <c r="URH196" s="84"/>
      <c r="URI196" s="84"/>
      <c r="URJ196" s="84"/>
      <c r="URK196" s="84"/>
      <c r="URL196" s="84"/>
      <c r="URM196" s="84"/>
      <c r="URN196" s="84"/>
      <c r="URO196" s="84"/>
      <c r="URP196" s="84"/>
      <c r="URQ196" s="84"/>
      <c r="URR196" s="84"/>
      <c r="URS196" s="84"/>
      <c r="URT196" s="84"/>
      <c r="URU196" s="84"/>
      <c r="URV196" s="84"/>
      <c r="URW196" s="84"/>
      <c r="URX196" s="84"/>
      <c r="URY196" s="84"/>
      <c r="URZ196" s="84"/>
      <c r="USA196" s="84"/>
      <c r="USB196" s="84"/>
      <c r="USC196" s="84"/>
      <c r="USD196" s="84"/>
      <c r="USE196" s="84"/>
      <c r="USF196" s="84"/>
      <c r="USG196" s="84"/>
      <c r="USH196" s="84"/>
      <c r="USI196" s="84"/>
      <c r="USJ196" s="84"/>
      <c r="USK196" s="84"/>
      <c r="USL196" s="84"/>
      <c r="USM196" s="84"/>
      <c r="USN196" s="84"/>
      <c r="USO196" s="84"/>
      <c r="USP196" s="84"/>
      <c r="USQ196" s="84"/>
      <c r="USR196" s="84"/>
      <c r="USS196" s="84"/>
      <c r="UST196" s="84"/>
      <c r="USU196" s="84"/>
      <c r="USV196" s="84"/>
      <c r="USW196" s="84"/>
      <c r="USX196" s="84"/>
      <c r="USY196" s="84"/>
      <c r="USZ196" s="84"/>
      <c r="UTA196" s="84"/>
      <c r="UTB196" s="84"/>
      <c r="UTC196" s="84"/>
      <c r="UTD196" s="84"/>
      <c r="UTE196" s="84"/>
      <c r="UTF196" s="84"/>
      <c r="UTG196" s="84"/>
      <c r="UTH196" s="84"/>
      <c r="UTI196" s="84"/>
      <c r="UTJ196" s="84"/>
      <c r="UTK196" s="84"/>
      <c r="UTL196" s="84"/>
      <c r="UTM196" s="84"/>
      <c r="UTN196" s="84"/>
      <c r="UTO196" s="84"/>
      <c r="UTP196" s="84"/>
      <c r="UTQ196" s="84"/>
      <c r="UTR196" s="84"/>
      <c r="UTS196" s="84"/>
      <c r="UTT196" s="84"/>
      <c r="UTU196" s="84"/>
      <c r="UTV196" s="84"/>
      <c r="UTW196" s="84"/>
      <c r="UTX196" s="84"/>
      <c r="UTY196" s="84"/>
      <c r="UTZ196" s="84"/>
      <c r="UUA196" s="84"/>
      <c r="UUB196" s="84"/>
      <c r="UUC196" s="84"/>
      <c r="UUD196" s="84"/>
      <c r="UUE196" s="84"/>
      <c r="UUF196" s="84"/>
      <c r="UUG196" s="84"/>
      <c r="UUH196" s="84"/>
      <c r="UUI196" s="84"/>
      <c r="UUJ196" s="84"/>
      <c r="UUK196" s="84"/>
      <c r="UUL196" s="84"/>
      <c r="UUM196" s="84"/>
      <c r="UUN196" s="84"/>
      <c r="UUO196" s="84"/>
      <c r="UUP196" s="84"/>
      <c r="UUQ196" s="84"/>
      <c r="UUR196" s="84"/>
      <c r="UUS196" s="84"/>
      <c r="UUT196" s="84"/>
      <c r="UUU196" s="84"/>
      <c r="UUV196" s="84"/>
      <c r="UUW196" s="84"/>
      <c r="UUX196" s="84"/>
      <c r="UUY196" s="84"/>
      <c r="UUZ196" s="84"/>
      <c r="UVA196" s="84"/>
      <c r="UVB196" s="84"/>
      <c r="UVC196" s="84"/>
      <c r="UVD196" s="84"/>
      <c r="UVE196" s="84"/>
      <c r="UVF196" s="84"/>
      <c r="UVG196" s="84"/>
      <c r="UVH196" s="84"/>
      <c r="UVI196" s="84"/>
      <c r="UVJ196" s="84"/>
      <c r="UVK196" s="84"/>
      <c r="UVL196" s="84"/>
      <c r="UVM196" s="84"/>
      <c r="UVN196" s="84"/>
      <c r="UVO196" s="84"/>
      <c r="UVP196" s="84"/>
      <c r="UVQ196" s="84"/>
      <c r="UVR196" s="84"/>
      <c r="UVS196" s="84"/>
      <c r="UVT196" s="84"/>
      <c r="UVU196" s="84"/>
      <c r="UVV196" s="84"/>
      <c r="UVW196" s="84"/>
      <c r="UVX196" s="84"/>
      <c r="UVY196" s="84"/>
      <c r="UVZ196" s="84"/>
      <c r="UWA196" s="84"/>
      <c r="UWB196" s="84"/>
      <c r="UWC196" s="84"/>
      <c r="UWD196" s="84"/>
      <c r="UWE196" s="84"/>
      <c r="UWF196" s="84"/>
      <c r="UWG196" s="84"/>
      <c r="UWH196" s="84"/>
      <c r="UWI196" s="84"/>
      <c r="UWJ196" s="84"/>
      <c r="UWK196" s="84"/>
      <c r="UWL196" s="84"/>
      <c r="UWM196" s="84"/>
      <c r="UWN196" s="84"/>
      <c r="UWO196" s="84"/>
      <c r="UWP196" s="84"/>
      <c r="UWQ196" s="84"/>
      <c r="UWR196" s="84"/>
      <c r="UWS196" s="84"/>
      <c r="UWT196" s="84"/>
      <c r="UWU196" s="84"/>
      <c r="UWV196" s="84"/>
      <c r="UWW196" s="84"/>
      <c r="UWX196" s="84"/>
      <c r="UWY196" s="84"/>
      <c r="UWZ196" s="84"/>
      <c r="UXA196" s="84"/>
      <c r="UXB196" s="84"/>
      <c r="UXC196" s="84"/>
      <c r="UXD196" s="84"/>
      <c r="UXE196" s="84"/>
      <c r="UXF196" s="84"/>
      <c r="UXG196" s="84"/>
      <c r="UXH196" s="84"/>
      <c r="UXI196" s="84"/>
      <c r="UXJ196" s="84"/>
      <c r="UXK196" s="84"/>
      <c r="UXL196" s="84"/>
      <c r="UXM196" s="84"/>
      <c r="UXN196" s="84"/>
      <c r="UXO196" s="84"/>
      <c r="UXP196" s="84"/>
      <c r="UXQ196" s="84"/>
      <c r="UXR196" s="84"/>
      <c r="UXS196" s="84"/>
      <c r="UXT196" s="84"/>
      <c r="UXU196" s="84"/>
      <c r="UXV196" s="84"/>
      <c r="UXW196" s="84"/>
      <c r="UXX196" s="84"/>
      <c r="UXY196" s="84"/>
      <c r="UXZ196" s="84"/>
      <c r="UYA196" s="84"/>
      <c r="UYB196" s="84"/>
      <c r="UYC196" s="84"/>
      <c r="UYD196" s="84"/>
      <c r="UYE196" s="84"/>
      <c r="UYF196" s="84"/>
      <c r="UYG196" s="84"/>
      <c r="UYH196" s="84"/>
      <c r="UYI196" s="84"/>
      <c r="UYJ196" s="84"/>
      <c r="UYK196" s="84"/>
      <c r="UYL196" s="84"/>
      <c r="UYM196" s="84"/>
      <c r="UYN196" s="84"/>
      <c r="UYO196" s="84"/>
      <c r="UYP196" s="84"/>
      <c r="UYQ196" s="84"/>
      <c r="UYR196" s="84"/>
      <c r="UYS196" s="84"/>
      <c r="UYT196" s="84"/>
      <c r="UYU196" s="84"/>
      <c r="UYV196" s="84"/>
      <c r="UYW196" s="84"/>
      <c r="UYX196" s="84"/>
      <c r="UYY196" s="84"/>
      <c r="UYZ196" s="84"/>
      <c r="UZA196" s="84"/>
      <c r="UZB196" s="84"/>
      <c r="UZC196" s="84"/>
      <c r="UZD196" s="84"/>
      <c r="UZE196" s="84"/>
      <c r="UZF196" s="84"/>
      <c r="UZG196" s="84"/>
      <c r="UZH196" s="84"/>
      <c r="UZI196" s="84"/>
      <c r="UZJ196" s="84"/>
      <c r="UZK196" s="84"/>
      <c r="UZL196" s="84"/>
      <c r="UZM196" s="84"/>
      <c r="UZN196" s="84"/>
      <c r="UZO196" s="84"/>
      <c r="UZP196" s="84"/>
      <c r="UZQ196" s="84"/>
      <c r="UZR196" s="84"/>
      <c r="UZS196" s="84"/>
      <c r="UZT196" s="84"/>
      <c r="UZU196" s="84"/>
      <c r="UZV196" s="84"/>
      <c r="UZW196" s="84"/>
      <c r="UZX196" s="84"/>
      <c r="UZY196" s="84"/>
      <c r="UZZ196" s="84"/>
      <c r="VAA196" s="84"/>
      <c r="VAB196" s="84"/>
      <c r="VAC196" s="84"/>
      <c r="VAD196" s="84"/>
      <c r="VAE196" s="84"/>
      <c r="VAF196" s="84"/>
      <c r="VAG196" s="84"/>
      <c r="VAH196" s="84"/>
      <c r="VAI196" s="84"/>
      <c r="VAJ196" s="84"/>
      <c r="VAK196" s="84"/>
      <c r="VAL196" s="84"/>
      <c r="VAM196" s="84"/>
      <c r="VAN196" s="84"/>
      <c r="VAO196" s="84"/>
      <c r="VAP196" s="84"/>
      <c r="VAQ196" s="84"/>
      <c r="VAR196" s="84"/>
      <c r="VAS196" s="84"/>
      <c r="VAT196" s="84"/>
      <c r="VAU196" s="84"/>
      <c r="VAV196" s="84"/>
      <c r="VAW196" s="84"/>
      <c r="VAX196" s="84"/>
      <c r="VAY196" s="84"/>
      <c r="VAZ196" s="84"/>
      <c r="VBA196" s="84"/>
      <c r="VBB196" s="84"/>
      <c r="VBC196" s="84"/>
      <c r="VBD196" s="84"/>
      <c r="VBE196" s="84"/>
      <c r="VBF196" s="84"/>
      <c r="VBG196" s="84"/>
      <c r="VBH196" s="84"/>
      <c r="VBI196" s="84"/>
      <c r="VBJ196" s="84"/>
      <c r="VBK196" s="84"/>
      <c r="VBL196" s="84"/>
      <c r="VBM196" s="84"/>
      <c r="VBN196" s="84"/>
      <c r="VBO196" s="84"/>
      <c r="VBP196" s="84"/>
      <c r="VBQ196" s="84"/>
      <c r="VBR196" s="84"/>
      <c r="VBS196" s="84"/>
      <c r="VBT196" s="84"/>
      <c r="VBU196" s="84"/>
      <c r="VBV196" s="84"/>
      <c r="VBW196" s="84"/>
      <c r="VBX196" s="84"/>
      <c r="VBY196" s="84"/>
      <c r="VBZ196" s="84"/>
      <c r="VCA196" s="84"/>
      <c r="VCB196" s="84"/>
      <c r="VCC196" s="84"/>
      <c r="VCD196" s="84"/>
      <c r="VCE196" s="84"/>
      <c r="VCF196" s="84"/>
      <c r="VCG196" s="84"/>
      <c r="VCH196" s="84"/>
      <c r="VCI196" s="84"/>
      <c r="VCJ196" s="84"/>
      <c r="VCK196" s="84"/>
      <c r="VCL196" s="84"/>
      <c r="VCM196" s="84"/>
      <c r="VCN196" s="84"/>
      <c r="VCO196" s="84"/>
      <c r="VCP196" s="84"/>
      <c r="VCQ196" s="84"/>
      <c r="VCR196" s="84"/>
      <c r="VCS196" s="84"/>
      <c r="VCT196" s="84"/>
      <c r="VCU196" s="84"/>
      <c r="VCV196" s="84"/>
      <c r="VCW196" s="84"/>
      <c r="VCX196" s="84"/>
      <c r="VCY196" s="84"/>
      <c r="VCZ196" s="84"/>
      <c r="VDA196" s="84"/>
      <c r="VDB196" s="84"/>
      <c r="VDC196" s="84"/>
      <c r="VDD196" s="84"/>
      <c r="VDE196" s="84"/>
      <c r="VDF196" s="84"/>
      <c r="VDG196" s="84"/>
      <c r="VDH196" s="84"/>
      <c r="VDI196" s="84"/>
      <c r="VDJ196" s="84"/>
      <c r="VDK196" s="84"/>
      <c r="VDL196" s="84"/>
      <c r="VDM196" s="84"/>
      <c r="VDN196" s="84"/>
      <c r="VDO196" s="84"/>
      <c r="VDP196" s="84"/>
      <c r="VDQ196" s="84"/>
      <c r="VDR196" s="84"/>
      <c r="VDS196" s="84"/>
      <c r="VDT196" s="84"/>
      <c r="VDU196" s="84"/>
      <c r="VDV196" s="84"/>
      <c r="VDW196" s="84"/>
      <c r="VDX196" s="84"/>
      <c r="VDY196" s="84"/>
      <c r="VDZ196" s="84"/>
      <c r="VEA196" s="84"/>
      <c r="VEB196" s="84"/>
      <c r="VEC196" s="84"/>
      <c r="VED196" s="84"/>
      <c r="VEE196" s="84"/>
      <c r="VEF196" s="84"/>
      <c r="VEG196" s="84"/>
      <c r="VEH196" s="84"/>
      <c r="VEI196" s="84"/>
      <c r="VEJ196" s="84"/>
      <c r="VEK196" s="84"/>
      <c r="VEL196" s="84"/>
      <c r="VEM196" s="84"/>
      <c r="VEN196" s="84"/>
      <c r="VEO196" s="84"/>
      <c r="VEP196" s="84"/>
      <c r="VEQ196" s="84"/>
      <c r="VER196" s="84"/>
      <c r="VES196" s="84"/>
      <c r="VET196" s="84"/>
      <c r="VEU196" s="84"/>
      <c r="VEV196" s="84"/>
      <c r="VEW196" s="84"/>
      <c r="VEX196" s="84"/>
      <c r="VEY196" s="84"/>
      <c r="VEZ196" s="84"/>
      <c r="VFA196" s="84"/>
      <c r="VFB196" s="84"/>
      <c r="VFC196" s="84"/>
      <c r="VFD196" s="84"/>
      <c r="VFE196" s="84"/>
      <c r="VFF196" s="84"/>
      <c r="VFG196" s="84"/>
      <c r="VFH196" s="84"/>
      <c r="VFI196" s="84"/>
      <c r="VFJ196" s="84"/>
      <c r="VFK196" s="84"/>
      <c r="VFL196" s="84"/>
      <c r="VFM196" s="84"/>
      <c r="VFN196" s="84"/>
      <c r="VFO196" s="84"/>
      <c r="VFP196" s="84"/>
      <c r="VFQ196" s="84"/>
      <c r="VFR196" s="84"/>
      <c r="VFS196" s="84"/>
      <c r="VFT196" s="84"/>
      <c r="VFU196" s="84"/>
      <c r="VFV196" s="84"/>
      <c r="VFW196" s="84"/>
      <c r="VFX196" s="84"/>
      <c r="VFY196" s="84"/>
      <c r="VFZ196" s="84"/>
      <c r="VGA196" s="84"/>
      <c r="VGB196" s="84"/>
      <c r="VGC196" s="84"/>
      <c r="VGD196" s="84"/>
      <c r="VGE196" s="84"/>
      <c r="VGF196" s="84"/>
      <c r="VGG196" s="84"/>
      <c r="VGH196" s="84"/>
      <c r="VGI196" s="84"/>
      <c r="VGJ196" s="84"/>
      <c r="VGK196" s="84"/>
      <c r="VGL196" s="84"/>
      <c r="VGM196" s="84"/>
      <c r="VGN196" s="84"/>
      <c r="VGO196" s="84"/>
      <c r="VGP196" s="84"/>
      <c r="VGQ196" s="84"/>
      <c r="VGR196" s="84"/>
      <c r="VGS196" s="84"/>
      <c r="VGT196" s="84"/>
      <c r="VGU196" s="84"/>
      <c r="VGV196" s="84"/>
      <c r="VGW196" s="84"/>
      <c r="VGX196" s="84"/>
      <c r="VGY196" s="84"/>
      <c r="VGZ196" s="84"/>
      <c r="VHA196" s="84"/>
      <c r="VHB196" s="84"/>
      <c r="VHC196" s="84"/>
      <c r="VHD196" s="84"/>
      <c r="VHE196" s="84"/>
      <c r="VHF196" s="84"/>
      <c r="VHG196" s="84"/>
      <c r="VHH196" s="84"/>
      <c r="VHI196" s="84"/>
      <c r="VHJ196" s="84"/>
      <c r="VHK196" s="84"/>
      <c r="VHL196" s="84"/>
      <c r="VHM196" s="84"/>
      <c r="VHN196" s="84"/>
      <c r="VHO196" s="84"/>
      <c r="VHP196" s="84"/>
      <c r="VHQ196" s="84"/>
      <c r="VHR196" s="84"/>
      <c r="VHS196" s="84"/>
      <c r="VHT196" s="84"/>
      <c r="VHU196" s="84"/>
      <c r="VHV196" s="84"/>
      <c r="VHW196" s="84"/>
      <c r="VHX196" s="84"/>
      <c r="VHY196" s="84"/>
      <c r="VHZ196" s="84"/>
      <c r="VIA196" s="84"/>
      <c r="VIB196" s="84"/>
      <c r="VIC196" s="84"/>
      <c r="VID196" s="84"/>
      <c r="VIE196" s="84"/>
      <c r="VIF196" s="84"/>
      <c r="VIG196" s="84"/>
      <c r="VIH196" s="84"/>
      <c r="VII196" s="84"/>
      <c r="VIJ196" s="84"/>
      <c r="VIK196" s="84"/>
      <c r="VIL196" s="84"/>
      <c r="VIM196" s="84"/>
      <c r="VIN196" s="84"/>
      <c r="VIO196" s="84"/>
      <c r="VIP196" s="84"/>
      <c r="VIQ196" s="84"/>
      <c r="VIR196" s="84"/>
      <c r="VIS196" s="84"/>
      <c r="VIT196" s="84"/>
      <c r="VIU196" s="84"/>
      <c r="VIV196" s="84"/>
      <c r="VIW196" s="84"/>
      <c r="VIX196" s="84"/>
      <c r="VIY196" s="84"/>
      <c r="VIZ196" s="84"/>
      <c r="VJA196" s="84"/>
      <c r="VJB196" s="84"/>
      <c r="VJC196" s="84"/>
      <c r="VJD196" s="84"/>
      <c r="VJE196" s="84"/>
      <c r="VJF196" s="84"/>
      <c r="VJG196" s="84"/>
      <c r="VJH196" s="84"/>
      <c r="VJI196" s="84"/>
      <c r="VJJ196" s="84"/>
      <c r="VJK196" s="84"/>
      <c r="VJL196" s="84"/>
      <c r="VJM196" s="84"/>
      <c r="VJN196" s="84"/>
      <c r="VJO196" s="84"/>
      <c r="VJP196" s="84"/>
      <c r="VJQ196" s="84"/>
      <c r="VJR196" s="84"/>
      <c r="VJS196" s="84"/>
      <c r="VJT196" s="84"/>
      <c r="VJU196" s="84"/>
      <c r="VJV196" s="84"/>
      <c r="VJW196" s="84"/>
      <c r="VJX196" s="84"/>
      <c r="VJY196" s="84"/>
      <c r="VJZ196" s="84"/>
      <c r="VKA196" s="84"/>
      <c r="VKB196" s="84"/>
      <c r="VKC196" s="84"/>
      <c r="VKD196" s="84"/>
      <c r="VKE196" s="84"/>
      <c r="VKF196" s="84"/>
      <c r="VKG196" s="84"/>
      <c r="VKH196" s="84"/>
      <c r="VKI196" s="84"/>
      <c r="VKJ196" s="84"/>
      <c r="VKK196" s="84"/>
      <c r="VKL196" s="84"/>
      <c r="VKM196" s="84"/>
      <c r="VKN196" s="84"/>
      <c r="VKO196" s="84"/>
      <c r="VKP196" s="84"/>
      <c r="VKQ196" s="84"/>
      <c r="VKR196" s="84"/>
      <c r="VKS196" s="84"/>
      <c r="VKT196" s="84"/>
      <c r="VKU196" s="84"/>
      <c r="VKV196" s="84"/>
      <c r="VKW196" s="84"/>
      <c r="VKX196" s="84"/>
      <c r="VKY196" s="84"/>
      <c r="VKZ196" s="84"/>
      <c r="VLA196" s="84"/>
      <c r="VLB196" s="84"/>
      <c r="VLC196" s="84"/>
      <c r="VLD196" s="84"/>
      <c r="VLE196" s="84"/>
      <c r="VLF196" s="84"/>
      <c r="VLG196" s="84"/>
      <c r="VLH196" s="84"/>
      <c r="VLI196" s="84"/>
      <c r="VLJ196" s="84"/>
      <c r="VLK196" s="84"/>
      <c r="VLL196" s="84"/>
      <c r="VLM196" s="84"/>
      <c r="VLN196" s="84"/>
      <c r="VLO196" s="84"/>
      <c r="VLP196" s="84"/>
      <c r="VLQ196" s="84"/>
      <c r="VLR196" s="84"/>
      <c r="VLS196" s="84"/>
      <c r="VLT196" s="84"/>
      <c r="VLU196" s="84"/>
      <c r="VLV196" s="84"/>
      <c r="VLW196" s="84"/>
      <c r="VLX196" s="84"/>
      <c r="VLY196" s="84"/>
      <c r="VLZ196" s="84"/>
      <c r="VMA196" s="84"/>
      <c r="VMB196" s="84"/>
      <c r="VMC196" s="84"/>
      <c r="VMD196" s="84"/>
      <c r="VME196" s="84"/>
      <c r="VMF196" s="84"/>
      <c r="VMG196" s="84"/>
      <c r="VMH196" s="84"/>
      <c r="VMI196" s="84"/>
      <c r="VMJ196" s="84"/>
      <c r="VMK196" s="84"/>
      <c r="VML196" s="84"/>
      <c r="VMM196" s="84"/>
      <c r="VMN196" s="84"/>
      <c r="VMO196" s="84"/>
      <c r="VMP196" s="84"/>
      <c r="VMQ196" s="84"/>
      <c r="VMR196" s="84"/>
      <c r="VMS196" s="84"/>
      <c r="VMT196" s="84"/>
      <c r="VMU196" s="84"/>
      <c r="VMV196" s="84"/>
      <c r="VMW196" s="84"/>
      <c r="VMX196" s="84"/>
      <c r="VMY196" s="84"/>
      <c r="VMZ196" s="84"/>
      <c r="VNA196" s="84"/>
      <c r="VNB196" s="84"/>
      <c r="VNC196" s="84"/>
      <c r="VND196" s="84"/>
      <c r="VNE196" s="84"/>
      <c r="VNF196" s="84"/>
      <c r="VNG196" s="84"/>
      <c r="VNH196" s="84"/>
      <c r="VNI196" s="84"/>
      <c r="VNJ196" s="84"/>
      <c r="VNK196" s="84"/>
      <c r="VNL196" s="84"/>
      <c r="VNM196" s="84"/>
      <c r="VNN196" s="84"/>
      <c r="VNO196" s="84"/>
      <c r="VNP196" s="84"/>
      <c r="VNQ196" s="84"/>
      <c r="VNR196" s="84"/>
      <c r="VNS196" s="84"/>
      <c r="VNT196" s="84"/>
      <c r="VNU196" s="84"/>
      <c r="VNV196" s="84"/>
      <c r="VNW196" s="84"/>
      <c r="VNX196" s="84"/>
      <c r="VNY196" s="84"/>
      <c r="VNZ196" s="84"/>
      <c r="VOA196" s="84"/>
      <c r="VOB196" s="84"/>
      <c r="VOC196" s="84"/>
      <c r="VOD196" s="84"/>
      <c r="VOE196" s="84"/>
      <c r="VOF196" s="84"/>
      <c r="VOG196" s="84"/>
      <c r="VOH196" s="84"/>
      <c r="VOI196" s="84"/>
      <c r="VOJ196" s="84"/>
      <c r="VOK196" s="84"/>
      <c r="VOL196" s="84"/>
      <c r="VOM196" s="84"/>
      <c r="VON196" s="84"/>
      <c r="VOO196" s="84"/>
      <c r="VOP196" s="84"/>
      <c r="VOQ196" s="84"/>
      <c r="VOR196" s="84"/>
      <c r="VOS196" s="84"/>
      <c r="VOT196" s="84"/>
      <c r="VOU196" s="84"/>
      <c r="VOV196" s="84"/>
      <c r="VOW196" s="84"/>
      <c r="VOX196" s="84"/>
      <c r="VOY196" s="84"/>
      <c r="VOZ196" s="84"/>
      <c r="VPA196" s="84"/>
      <c r="VPB196" s="84"/>
      <c r="VPC196" s="84"/>
      <c r="VPD196" s="84"/>
      <c r="VPE196" s="84"/>
      <c r="VPF196" s="84"/>
      <c r="VPG196" s="84"/>
      <c r="VPH196" s="84"/>
      <c r="VPI196" s="84"/>
      <c r="VPJ196" s="84"/>
      <c r="VPK196" s="84"/>
      <c r="VPL196" s="84"/>
      <c r="VPM196" s="84"/>
      <c r="VPN196" s="84"/>
      <c r="VPO196" s="84"/>
      <c r="VPP196" s="84"/>
      <c r="VPQ196" s="84"/>
      <c r="VPR196" s="84"/>
      <c r="VPS196" s="84"/>
      <c r="VPT196" s="84"/>
      <c r="VPU196" s="84"/>
      <c r="VPV196" s="84"/>
      <c r="VPW196" s="84"/>
      <c r="VPX196" s="84"/>
      <c r="VPY196" s="84"/>
      <c r="VPZ196" s="84"/>
      <c r="VQA196" s="84"/>
      <c r="VQB196" s="84"/>
      <c r="VQC196" s="84"/>
      <c r="VQD196" s="84"/>
      <c r="VQE196" s="84"/>
      <c r="VQF196" s="84"/>
      <c r="VQG196" s="84"/>
      <c r="VQH196" s="84"/>
      <c r="VQI196" s="84"/>
      <c r="VQJ196" s="84"/>
      <c r="VQK196" s="84"/>
      <c r="VQL196" s="84"/>
      <c r="VQM196" s="84"/>
      <c r="VQN196" s="84"/>
      <c r="VQO196" s="84"/>
      <c r="VQP196" s="84"/>
      <c r="VQQ196" s="84"/>
      <c r="VQR196" s="84"/>
      <c r="VQS196" s="84"/>
      <c r="VQT196" s="84"/>
      <c r="VQU196" s="84"/>
      <c r="VQV196" s="84"/>
      <c r="VQW196" s="84"/>
      <c r="VQX196" s="84"/>
      <c r="VQY196" s="84"/>
      <c r="VQZ196" s="84"/>
      <c r="VRA196" s="84"/>
      <c r="VRB196" s="84"/>
      <c r="VRC196" s="84"/>
      <c r="VRD196" s="84"/>
      <c r="VRE196" s="84"/>
      <c r="VRF196" s="84"/>
      <c r="VRG196" s="84"/>
      <c r="VRH196" s="84"/>
      <c r="VRI196" s="84"/>
      <c r="VRJ196" s="84"/>
      <c r="VRK196" s="84"/>
      <c r="VRL196" s="84"/>
      <c r="VRM196" s="84"/>
      <c r="VRN196" s="84"/>
      <c r="VRO196" s="84"/>
      <c r="VRP196" s="84"/>
      <c r="VRQ196" s="84"/>
      <c r="VRR196" s="84"/>
      <c r="VRS196" s="84"/>
      <c r="VRT196" s="84"/>
      <c r="VRU196" s="84"/>
      <c r="VRV196" s="84"/>
      <c r="VRW196" s="84"/>
      <c r="VRX196" s="84"/>
      <c r="VRY196" s="84"/>
      <c r="VRZ196" s="84"/>
      <c r="VSA196" s="84"/>
      <c r="VSB196" s="84"/>
      <c r="VSC196" s="84"/>
      <c r="VSD196" s="84"/>
      <c r="VSE196" s="84"/>
      <c r="VSF196" s="84"/>
      <c r="VSG196" s="84"/>
      <c r="VSH196" s="84"/>
      <c r="VSI196" s="84"/>
      <c r="VSJ196" s="84"/>
      <c r="VSK196" s="84"/>
      <c r="VSL196" s="84"/>
      <c r="VSM196" s="84"/>
      <c r="VSN196" s="84"/>
      <c r="VSO196" s="84"/>
      <c r="VSP196" s="84"/>
      <c r="VSQ196" s="84"/>
      <c r="VSR196" s="84"/>
      <c r="VSS196" s="84"/>
      <c r="VST196" s="84"/>
      <c r="VSU196" s="84"/>
      <c r="VSV196" s="84"/>
      <c r="VSW196" s="84"/>
      <c r="VSX196" s="84"/>
      <c r="VSY196" s="84"/>
      <c r="VSZ196" s="84"/>
      <c r="VTA196" s="84"/>
      <c r="VTB196" s="84"/>
      <c r="VTC196" s="84"/>
      <c r="VTD196" s="84"/>
      <c r="VTE196" s="84"/>
      <c r="VTF196" s="84"/>
      <c r="VTG196" s="84"/>
      <c r="VTH196" s="84"/>
      <c r="VTI196" s="84"/>
      <c r="VTJ196" s="84"/>
      <c r="VTK196" s="84"/>
      <c r="VTL196" s="84"/>
      <c r="VTM196" s="84"/>
      <c r="VTN196" s="84"/>
      <c r="VTO196" s="84"/>
      <c r="VTP196" s="84"/>
      <c r="VTQ196" s="84"/>
      <c r="VTR196" s="84"/>
      <c r="VTS196" s="84"/>
      <c r="VTT196" s="84"/>
      <c r="VTU196" s="84"/>
      <c r="VTV196" s="84"/>
      <c r="VTW196" s="84"/>
      <c r="VTX196" s="84"/>
      <c r="VTY196" s="84"/>
      <c r="VTZ196" s="84"/>
      <c r="VUA196" s="84"/>
      <c r="VUB196" s="84"/>
      <c r="VUC196" s="84"/>
      <c r="VUD196" s="84"/>
      <c r="VUE196" s="84"/>
      <c r="VUF196" s="84"/>
      <c r="VUG196" s="84"/>
      <c r="VUH196" s="84"/>
      <c r="VUI196" s="84"/>
      <c r="VUJ196" s="84"/>
      <c r="VUK196" s="84"/>
      <c r="VUL196" s="84"/>
      <c r="VUM196" s="84"/>
      <c r="VUN196" s="84"/>
      <c r="VUO196" s="84"/>
      <c r="VUP196" s="84"/>
      <c r="VUQ196" s="84"/>
      <c r="VUR196" s="84"/>
      <c r="VUS196" s="84"/>
      <c r="VUT196" s="84"/>
      <c r="VUU196" s="84"/>
      <c r="VUV196" s="84"/>
      <c r="VUW196" s="84"/>
      <c r="VUX196" s="84"/>
      <c r="VUY196" s="84"/>
      <c r="VUZ196" s="84"/>
      <c r="VVA196" s="84"/>
      <c r="VVB196" s="84"/>
      <c r="VVC196" s="84"/>
      <c r="VVD196" s="84"/>
      <c r="VVE196" s="84"/>
      <c r="VVF196" s="84"/>
      <c r="VVG196" s="84"/>
      <c r="VVH196" s="84"/>
      <c r="VVI196" s="84"/>
      <c r="VVJ196" s="84"/>
      <c r="VVK196" s="84"/>
      <c r="VVL196" s="84"/>
      <c r="VVM196" s="84"/>
      <c r="VVN196" s="84"/>
      <c r="VVO196" s="84"/>
      <c r="VVP196" s="84"/>
      <c r="VVQ196" s="84"/>
      <c r="VVR196" s="84"/>
      <c r="VVS196" s="84"/>
      <c r="VVT196" s="84"/>
      <c r="VVU196" s="84"/>
      <c r="VVV196" s="84"/>
      <c r="VVW196" s="84"/>
      <c r="VVX196" s="84"/>
      <c r="VVY196" s="84"/>
      <c r="VVZ196" s="84"/>
      <c r="VWA196" s="84"/>
      <c r="VWB196" s="84"/>
      <c r="VWC196" s="84"/>
      <c r="VWD196" s="84"/>
      <c r="VWE196" s="84"/>
      <c r="VWF196" s="84"/>
      <c r="VWG196" s="84"/>
      <c r="VWH196" s="84"/>
      <c r="VWI196" s="84"/>
      <c r="VWJ196" s="84"/>
      <c r="VWK196" s="84"/>
      <c r="VWL196" s="84"/>
      <c r="VWM196" s="84"/>
      <c r="VWN196" s="84"/>
      <c r="VWO196" s="84"/>
      <c r="VWP196" s="84"/>
      <c r="VWQ196" s="84"/>
      <c r="VWR196" s="84"/>
      <c r="VWS196" s="84"/>
      <c r="VWT196" s="84"/>
      <c r="VWU196" s="84"/>
      <c r="VWV196" s="84"/>
      <c r="VWW196" s="84"/>
      <c r="VWX196" s="84"/>
      <c r="VWY196" s="84"/>
      <c r="VWZ196" s="84"/>
      <c r="VXA196" s="84"/>
      <c r="VXB196" s="84"/>
      <c r="VXC196" s="84"/>
      <c r="VXD196" s="84"/>
      <c r="VXE196" s="84"/>
      <c r="VXF196" s="84"/>
      <c r="VXG196" s="84"/>
      <c r="VXH196" s="84"/>
      <c r="VXI196" s="84"/>
      <c r="VXJ196" s="84"/>
      <c r="VXK196" s="84"/>
      <c r="VXL196" s="84"/>
      <c r="VXM196" s="84"/>
      <c r="VXN196" s="84"/>
      <c r="VXO196" s="84"/>
      <c r="VXP196" s="84"/>
      <c r="VXQ196" s="84"/>
      <c r="VXR196" s="84"/>
      <c r="VXS196" s="84"/>
      <c r="VXT196" s="84"/>
      <c r="VXU196" s="84"/>
      <c r="VXV196" s="84"/>
      <c r="VXW196" s="84"/>
      <c r="VXX196" s="84"/>
      <c r="VXY196" s="84"/>
      <c r="VXZ196" s="84"/>
      <c r="VYA196" s="84"/>
      <c r="VYB196" s="84"/>
      <c r="VYC196" s="84"/>
      <c r="VYD196" s="84"/>
      <c r="VYE196" s="84"/>
      <c r="VYF196" s="84"/>
      <c r="VYG196" s="84"/>
      <c r="VYH196" s="84"/>
      <c r="VYI196" s="84"/>
      <c r="VYJ196" s="84"/>
      <c r="VYK196" s="84"/>
      <c r="VYL196" s="84"/>
      <c r="VYM196" s="84"/>
      <c r="VYN196" s="84"/>
      <c r="VYO196" s="84"/>
      <c r="VYP196" s="84"/>
      <c r="VYQ196" s="84"/>
      <c r="VYR196" s="84"/>
      <c r="VYS196" s="84"/>
      <c r="VYT196" s="84"/>
      <c r="VYU196" s="84"/>
      <c r="VYV196" s="84"/>
      <c r="VYW196" s="84"/>
      <c r="VYX196" s="84"/>
      <c r="VYY196" s="84"/>
      <c r="VYZ196" s="84"/>
      <c r="VZA196" s="84"/>
      <c r="VZB196" s="84"/>
      <c r="VZC196" s="84"/>
      <c r="VZD196" s="84"/>
      <c r="VZE196" s="84"/>
      <c r="VZF196" s="84"/>
      <c r="VZG196" s="84"/>
      <c r="VZH196" s="84"/>
      <c r="VZI196" s="84"/>
      <c r="VZJ196" s="84"/>
      <c r="VZK196" s="84"/>
      <c r="VZL196" s="84"/>
      <c r="VZM196" s="84"/>
      <c r="VZN196" s="84"/>
      <c r="VZO196" s="84"/>
      <c r="VZP196" s="84"/>
      <c r="VZQ196" s="84"/>
      <c r="VZR196" s="84"/>
      <c r="VZS196" s="84"/>
      <c r="VZT196" s="84"/>
      <c r="VZU196" s="84"/>
      <c r="VZV196" s="84"/>
      <c r="VZW196" s="84"/>
      <c r="VZX196" s="84"/>
      <c r="VZY196" s="84"/>
      <c r="VZZ196" s="84"/>
      <c r="WAA196" s="84"/>
      <c r="WAB196" s="84"/>
      <c r="WAC196" s="84"/>
      <c r="WAD196" s="84"/>
      <c r="WAE196" s="84"/>
      <c r="WAF196" s="84"/>
      <c r="WAG196" s="84"/>
      <c r="WAH196" s="84"/>
      <c r="WAI196" s="84"/>
      <c r="WAJ196" s="84"/>
      <c r="WAK196" s="84"/>
      <c r="WAL196" s="84"/>
      <c r="WAM196" s="84"/>
      <c r="WAN196" s="84"/>
      <c r="WAO196" s="84"/>
      <c r="WAP196" s="84"/>
      <c r="WAQ196" s="84"/>
      <c r="WAR196" s="84"/>
      <c r="WAS196" s="84"/>
      <c r="WAT196" s="84"/>
      <c r="WAU196" s="84"/>
      <c r="WAV196" s="84"/>
      <c r="WAW196" s="84"/>
      <c r="WAX196" s="84"/>
      <c r="WAY196" s="84"/>
      <c r="WAZ196" s="84"/>
      <c r="WBA196" s="84"/>
      <c r="WBB196" s="84"/>
      <c r="WBC196" s="84"/>
      <c r="WBD196" s="84"/>
      <c r="WBE196" s="84"/>
      <c r="WBF196" s="84"/>
      <c r="WBG196" s="84"/>
      <c r="WBH196" s="84"/>
      <c r="WBI196" s="84"/>
      <c r="WBJ196" s="84"/>
      <c r="WBK196" s="84"/>
      <c r="WBL196" s="84"/>
      <c r="WBM196" s="84"/>
      <c r="WBN196" s="84"/>
      <c r="WBO196" s="84"/>
      <c r="WBP196" s="84"/>
      <c r="WBQ196" s="84"/>
      <c r="WBR196" s="84"/>
      <c r="WBS196" s="84"/>
      <c r="WBT196" s="84"/>
      <c r="WBU196" s="84"/>
      <c r="WBV196" s="84"/>
      <c r="WBW196" s="84"/>
      <c r="WBX196" s="84"/>
      <c r="WBY196" s="84"/>
      <c r="WBZ196" s="84"/>
      <c r="WCA196" s="84"/>
      <c r="WCB196" s="84"/>
      <c r="WCC196" s="84"/>
      <c r="WCD196" s="84"/>
      <c r="WCE196" s="84"/>
      <c r="WCF196" s="84"/>
      <c r="WCG196" s="84"/>
      <c r="WCH196" s="84"/>
      <c r="WCI196" s="84"/>
      <c r="WCJ196" s="84"/>
      <c r="WCK196" s="84"/>
      <c r="WCL196" s="84"/>
      <c r="WCM196" s="84"/>
      <c r="WCN196" s="84"/>
      <c r="WCO196" s="84"/>
      <c r="WCP196" s="84"/>
      <c r="WCQ196" s="84"/>
      <c r="WCR196" s="84"/>
      <c r="WCS196" s="84"/>
      <c r="WCT196" s="84"/>
      <c r="WCU196" s="84"/>
      <c r="WCV196" s="84"/>
      <c r="WCW196" s="84"/>
      <c r="WCX196" s="84"/>
      <c r="WCY196" s="84"/>
      <c r="WCZ196" s="84"/>
      <c r="WDA196" s="84"/>
      <c r="WDB196" s="84"/>
      <c r="WDC196" s="84"/>
      <c r="WDD196" s="84"/>
      <c r="WDE196" s="84"/>
      <c r="WDF196" s="84"/>
      <c r="WDG196" s="84"/>
      <c r="WDH196" s="84"/>
      <c r="WDI196" s="84"/>
      <c r="WDJ196" s="84"/>
      <c r="WDK196" s="84"/>
      <c r="WDL196" s="84"/>
      <c r="WDM196" s="84"/>
      <c r="WDN196" s="84"/>
      <c r="WDO196" s="84"/>
      <c r="WDP196" s="84"/>
      <c r="WDQ196" s="84"/>
      <c r="WDR196" s="84"/>
      <c r="WDS196" s="84"/>
      <c r="WDT196" s="84"/>
      <c r="WDU196" s="84"/>
      <c r="WDV196" s="84"/>
      <c r="WDW196" s="84"/>
      <c r="WDX196" s="84"/>
      <c r="WDY196" s="84"/>
      <c r="WDZ196" s="84"/>
      <c r="WEA196" s="84"/>
      <c r="WEB196" s="84"/>
      <c r="WEC196" s="84"/>
      <c r="WED196" s="84"/>
      <c r="WEE196" s="84"/>
      <c r="WEF196" s="84"/>
      <c r="WEG196" s="84"/>
      <c r="WEH196" s="84"/>
      <c r="WEI196" s="84"/>
      <c r="WEJ196" s="84"/>
      <c r="WEK196" s="84"/>
      <c r="WEL196" s="84"/>
      <c r="WEM196" s="84"/>
      <c r="WEN196" s="84"/>
      <c r="WEO196" s="84"/>
      <c r="WEP196" s="84"/>
      <c r="WEQ196" s="84"/>
      <c r="WER196" s="84"/>
      <c r="WES196" s="84"/>
      <c r="WET196" s="84"/>
      <c r="WEU196" s="84"/>
      <c r="WEV196" s="84"/>
      <c r="WEW196" s="84"/>
      <c r="WEX196" s="84"/>
      <c r="WEY196" s="84"/>
      <c r="WEZ196" s="84"/>
      <c r="WFA196" s="84"/>
      <c r="WFB196" s="84"/>
      <c r="WFC196" s="84"/>
      <c r="WFD196" s="84"/>
      <c r="WFE196" s="84"/>
      <c r="WFF196" s="84"/>
      <c r="WFG196" s="84"/>
      <c r="WFH196" s="84"/>
      <c r="WFI196" s="84"/>
      <c r="WFJ196" s="84"/>
      <c r="WFK196" s="84"/>
      <c r="WFL196" s="84"/>
      <c r="WFM196" s="84"/>
      <c r="WFN196" s="84"/>
      <c r="WFO196" s="84"/>
      <c r="WFP196" s="84"/>
      <c r="WFQ196" s="84"/>
      <c r="WFR196" s="84"/>
      <c r="WFS196" s="84"/>
      <c r="WFT196" s="84"/>
      <c r="WFU196" s="84"/>
      <c r="WFV196" s="84"/>
      <c r="WFW196" s="84"/>
      <c r="WFX196" s="84"/>
      <c r="WFY196" s="84"/>
      <c r="WFZ196" s="84"/>
      <c r="WGA196" s="84"/>
      <c r="WGB196" s="84"/>
      <c r="WGC196" s="84"/>
      <c r="WGD196" s="84"/>
      <c r="WGE196" s="84"/>
      <c r="WGF196" s="84"/>
      <c r="WGG196" s="84"/>
      <c r="WGH196" s="84"/>
      <c r="WGI196" s="84"/>
      <c r="WGJ196" s="84"/>
      <c r="WGK196" s="84"/>
      <c r="WGL196" s="84"/>
      <c r="WGM196" s="84"/>
      <c r="WGN196" s="84"/>
      <c r="WGO196" s="84"/>
      <c r="WGP196" s="84"/>
      <c r="WGQ196" s="84"/>
      <c r="WGR196" s="84"/>
      <c r="WGS196" s="84"/>
      <c r="WGT196" s="84"/>
      <c r="WGU196" s="84"/>
      <c r="WGV196" s="84"/>
      <c r="WGW196" s="84"/>
      <c r="WGX196" s="84"/>
      <c r="WGY196" s="84"/>
      <c r="WGZ196" s="84"/>
      <c r="WHA196" s="84"/>
      <c r="WHB196" s="84"/>
      <c r="WHC196" s="84"/>
      <c r="WHD196" s="84"/>
      <c r="WHE196" s="84"/>
      <c r="WHF196" s="84"/>
      <c r="WHG196" s="84"/>
      <c r="WHH196" s="84"/>
      <c r="WHI196" s="84"/>
      <c r="WHJ196" s="84"/>
      <c r="WHK196" s="84"/>
      <c r="WHL196" s="84"/>
      <c r="WHM196" s="84"/>
      <c r="WHN196" s="84"/>
      <c r="WHO196" s="84"/>
      <c r="WHP196" s="84"/>
      <c r="WHQ196" s="84"/>
      <c r="WHR196" s="84"/>
      <c r="WHS196" s="84"/>
      <c r="WHT196" s="84"/>
      <c r="WHU196" s="84"/>
      <c r="WHV196" s="84"/>
      <c r="WHW196" s="84"/>
      <c r="WHX196" s="84"/>
      <c r="WHY196" s="84"/>
      <c r="WHZ196" s="84"/>
      <c r="WIA196" s="84"/>
      <c r="WIB196" s="84"/>
      <c r="WIC196" s="84"/>
      <c r="WID196" s="84"/>
      <c r="WIE196" s="84"/>
      <c r="WIF196" s="84"/>
      <c r="WIG196" s="84"/>
      <c r="WIH196" s="84"/>
      <c r="WII196" s="84"/>
      <c r="WIJ196" s="84"/>
      <c r="WIK196" s="84"/>
      <c r="WIL196" s="84"/>
      <c r="WIM196" s="84"/>
      <c r="WIN196" s="84"/>
      <c r="WIO196" s="84"/>
      <c r="WIP196" s="84"/>
      <c r="WIQ196" s="84"/>
      <c r="WIR196" s="84"/>
      <c r="WIS196" s="84"/>
      <c r="WIT196" s="84"/>
      <c r="WIU196" s="84"/>
      <c r="WIV196" s="84"/>
      <c r="WIW196" s="84"/>
      <c r="WIX196" s="84"/>
      <c r="WIY196" s="84"/>
      <c r="WIZ196" s="84"/>
      <c r="WJA196" s="84"/>
      <c r="WJB196" s="84"/>
      <c r="WJC196" s="84"/>
      <c r="WJD196" s="84"/>
      <c r="WJE196" s="84"/>
      <c r="WJF196" s="84"/>
      <c r="WJG196" s="84"/>
      <c r="WJH196" s="84"/>
      <c r="WJI196" s="84"/>
      <c r="WJJ196" s="84"/>
      <c r="WJK196" s="84"/>
      <c r="WJL196" s="84"/>
      <c r="WJM196" s="84"/>
      <c r="WJN196" s="84"/>
      <c r="WJO196" s="84"/>
      <c r="WJP196" s="84"/>
      <c r="WJQ196" s="84"/>
      <c r="WJR196" s="84"/>
      <c r="WJS196" s="84"/>
      <c r="WJT196" s="84"/>
      <c r="WJU196" s="84"/>
      <c r="WJV196" s="84"/>
      <c r="WJW196" s="84"/>
      <c r="WJX196" s="84"/>
      <c r="WJY196" s="84"/>
      <c r="WJZ196" s="84"/>
      <c r="WKA196" s="84"/>
      <c r="WKB196" s="84"/>
      <c r="WKC196" s="84"/>
      <c r="WKD196" s="84"/>
      <c r="WKE196" s="84"/>
      <c r="WKF196" s="84"/>
      <c r="WKG196" s="84"/>
      <c r="WKH196" s="84"/>
      <c r="WKI196" s="84"/>
      <c r="WKJ196" s="84"/>
      <c r="WKK196" s="84"/>
      <c r="WKL196" s="84"/>
      <c r="WKM196" s="84"/>
      <c r="WKN196" s="84"/>
      <c r="WKO196" s="84"/>
      <c r="WKP196" s="84"/>
      <c r="WKQ196" s="84"/>
      <c r="WKR196" s="84"/>
      <c r="WKS196" s="84"/>
      <c r="WKT196" s="84"/>
      <c r="WKU196" s="84"/>
      <c r="WKV196" s="84"/>
      <c r="WKW196" s="84"/>
      <c r="WKX196" s="84"/>
      <c r="WKY196" s="84"/>
      <c r="WKZ196" s="84"/>
      <c r="WLA196" s="84"/>
      <c r="WLB196" s="84"/>
      <c r="WLC196" s="84"/>
      <c r="WLD196" s="84"/>
      <c r="WLE196" s="84"/>
      <c r="WLF196" s="84"/>
      <c r="WLG196" s="84"/>
      <c r="WLH196" s="84"/>
      <c r="WLI196" s="84"/>
      <c r="WLJ196" s="84"/>
      <c r="WLK196" s="84"/>
      <c r="WLL196" s="84"/>
      <c r="WLM196" s="84"/>
      <c r="WLN196" s="84"/>
      <c r="WLO196" s="84"/>
      <c r="WLP196" s="84"/>
      <c r="WLQ196" s="84"/>
      <c r="WLR196" s="84"/>
      <c r="WLS196" s="84"/>
      <c r="WLT196" s="84"/>
      <c r="WLU196" s="84"/>
      <c r="WLV196" s="84"/>
      <c r="WLW196" s="84"/>
      <c r="WLX196" s="84"/>
      <c r="WLY196" s="84"/>
      <c r="WLZ196" s="84"/>
      <c r="WMA196" s="84"/>
      <c r="WMB196" s="84"/>
      <c r="WMC196" s="84"/>
      <c r="WMD196" s="84"/>
      <c r="WME196" s="84"/>
      <c r="WMF196" s="84"/>
      <c r="WMG196" s="84"/>
      <c r="WMH196" s="84"/>
      <c r="WMI196" s="84"/>
      <c r="WMJ196" s="84"/>
      <c r="WMK196" s="84"/>
      <c r="WML196" s="84"/>
      <c r="WMM196" s="84"/>
      <c r="WMN196" s="84"/>
      <c r="WMO196" s="84"/>
      <c r="WMP196" s="84"/>
      <c r="WMQ196" s="84"/>
      <c r="WMR196" s="84"/>
      <c r="WMS196" s="84"/>
      <c r="WMT196" s="84"/>
      <c r="WMU196" s="84"/>
      <c r="WMV196" s="84"/>
      <c r="WMW196" s="84"/>
      <c r="WMX196" s="84"/>
      <c r="WMY196" s="84"/>
      <c r="WMZ196" s="84"/>
      <c r="WNA196" s="84"/>
      <c r="WNB196" s="84"/>
      <c r="WNC196" s="84"/>
      <c r="WND196" s="84"/>
      <c r="WNE196" s="84"/>
      <c r="WNF196" s="84"/>
      <c r="WNG196" s="84"/>
      <c r="WNH196" s="84"/>
      <c r="WNI196" s="84"/>
      <c r="WNJ196" s="84"/>
      <c r="WNK196" s="84"/>
      <c r="WNL196" s="84"/>
      <c r="WNM196" s="84"/>
      <c r="WNN196" s="84"/>
      <c r="WNO196" s="84"/>
      <c r="WNP196" s="84"/>
      <c r="WNQ196" s="84"/>
      <c r="WNR196" s="84"/>
      <c r="WNS196" s="84"/>
      <c r="WNT196" s="84"/>
      <c r="WNU196" s="84"/>
      <c r="WNV196" s="84"/>
      <c r="WNW196" s="84"/>
      <c r="WNX196" s="84"/>
      <c r="WNY196" s="84"/>
      <c r="WNZ196" s="84"/>
      <c r="WOA196" s="84"/>
      <c r="WOB196" s="84"/>
      <c r="WOC196" s="84"/>
      <c r="WOD196" s="84"/>
      <c r="WOE196" s="84"/>
      <c r="WOF196" s="84"/>
      <c r="WOG196" s="84"/>
      <c r="WOH196" s="84"/>
      <c r="WOI196" s="84"/>
      <c r="WOJ196" s="84"/>
      <c r="WOK196" s="84"/>
      <c r="WOL196" s="84"/>
      <c r="WOM196" s="84"/>
      <c r="WON196" s="84"/>
      <c r="WOO196" s="84"/>
      <c r="WOP196" s="84"/>
      <c r="WOQ196" s="84"/>
      <c r="WOR196" s="84"/>
      <c r="WOS196" s="84"/>
      <c r="WOT196" s="84"/>
      <c r="WOU196" s="84"/>
      <c r="WOV196" s="84"/>
      <c r="WOW196" s="84"/>
      <c r="WOX196" s="84"/>
      <c r="WOY196" s="84"/>
      <c r="WOZ196" s="84"/>
      <c r="WPA196" s="84"/>
      <c r="WPB196" s="84"/>
      <c r="WPC196" s="84"/>
      <c r="WPD196" s="84"/>
      <c r="WPE196" s="84"/>
      <c r="WPF196" s="84"/>
      <c r="WPG196" s="84"/>
      <c r="WPH196" s="84"/>
      <c r="WPI196" s="84"/>
      <c r="WPJ196" s="84"/>
      <c r="WPK196" s="84"/>
      <c r="WPL196" s="84"/>
      <c r="WPM196" s="84"/>
      <c r="WPN196" s="84"/>
      <c r="WPO196" s="84"/>
      <c r="WPP196" s="84"/>
      <c r="WPQ196" s="84"/>
      <c r="WPR196" s="84"/>
      <c r="WPS196" s="84"/>
      <c r="WPT196" s="84"/>
      <c r="WPU196" s="84"/>
      <c r="WPV196" s="84"/>
      <c r="WPW196" s="84"/>
      <c r="WPX196" s="84"/>
      <c r="WPY196" s="84"/>
      <c r="WPZ196" s="84"/>
      <c r="WQA196" s="84"/>
      <c r="WQB196" s="84"/>
      <c r="WQC196" s="84"/>
      <c r="WQD196" s="84"/>
      <c r="WQE196" s="84"/>
      <c r="WQF196" s="84"/>
      <c r="WQG196" s="84"/>
      <c r="WQH196" s="84"/>
      <c r="WQI196" s="84"/>
      <c r="WQJ196" s="84"/>
      <c r="WQK196" s="84"/>
      <c r="WQL196" s="84"/>
      <c r="WQM196" s="84"/>
      <c r="WQN196" s="84"/>
      <c r="WQO196" s="84"/>
      <c r="WQP196" s="84"/>
      <c r="WQQ196" s="84"/>
      <c r="WQR196" s="84"/>
      <c r="WQS196" s="84"/>
      <c r="WQT196" s="84"/>
      <c r="WQU196" s="84"/>
      <c r="WQV196" s="84"/>
      <c r="WQW196" s="84"/>
      <c r="WQX196" s="84"/>
      <c r="WQY196" s="84"/>
      <c r="WQZ196" s="84"/>
      <c r="WRA196" s="84"/>
      <c r="WRB196" s="84"/>
      <c r="WRC196" s="84"/>
      <c r="WRD196" s="84"/>
      <c r="WRE196" s="84"/>
      <c r="WRF196" s="84"/>
      <c r="WRG196" s="84"/>
      <c r="WRH196" s="84"/>
      <c r="WRI196" s="84"/>
      <c r="WRJ196" s="84"/>
      <c r="WRK196" s="84"/>
      <c r="WRL196" s="84"/>
      <c r="WRM196" s="84"/>
      <c r="WRN196" s="84"/>
      <c r="WRO196" s="84"/>
      <c r="WRP196" s="84"/>
      <c r="WRQ196" s="84"/>
      <c r="WRR196" s="84"/>
      <c r="WRS196" s="84"/>
      <c r="WRT196" s="84"/>
      <c r="WRU196" s="84"/>
      <c r="WRV196" s="84"/>
      <c r="WRW196" s="84"/>
      <c r="WRX196" s="84"/>
      <c r="WRY196" s="84"/>
      <c r="WRZ196" s="84"/>
      <c r="WSA196" s="84"/>
      <c r="WSB196" s="84"/>
      <c r="WSC196" s="84"/>
      <c r="WSD196" s="84"/>
      <c r="WSE196" s="84"/>
      <c r="WSF196" s="84"/>
      <c r="WSG196" s="84"/>
      <c r="WSH196" s="84"/>
      <c r="WSI196" s="84"/>
      <c r="WSJ196" s="84"/>
      <c r="WSK196" s="84"/>
      <c r="WSL196" s="84"/>
      <c r="WSM196" s="84"/>
      <c r="WSN196" s="84"/>
      <c r="WSO196" s="84"/>
      <c r="WSP196" s="84"/>
      <c r="WSQ196" s="84"/>
      <c r="WSR196" s="84"/>
      <c r="WSS196" s="84"/>
      <c r="WST196" s="84"/>
      <c r="WSU196" s="84"/>
      <c r="WSV196" s="84"/>
      <c r="WSW196" s="84"/>
      <c r="WSX196" s="84"/>
      <c r="WSY196" s="84"/>
      <c r="WSZ196" s="84"/>
      <c r="WTA196" s="84"/>
      <c r="WTB196" s="84"/>
      <c r="WTC196" s="84"/>
      <c r="WTD196" s="84"/>
      <c r="WTE196" s="84"/>
      <c r="WTF196" s="84"/>
      <c r="WTG196" s="84"/>
      <c r="WTH196" s="84"/>
      <c r="WTI196" s="84"/>
      <c r="WTJ196" s="84"/>
      <c r="WTK196" s="84"/>
      <c r="WTL196" s="84"/>
      <c r="WTM196" s="84"/>
      <c r="WTN196" s="84"/>
      <c r="WTO196" s="84"/>
      <c r="WTP196" s="84"/>
      <c r="WTQ196" s="84"/>
      <c r="WTR196" s="84"/>
      <c r="WTS196" s="84"/>
      <c r="WTT196" s="84"/>
      <c r="WTU196" s="84"/>
      <c r="WTV196" s="84"/>
      <c r="WTW196" s="84"/>
      <c r="WTX196" s="84"/>
      <c r="WTY196" s="84"/>
      <c r="WTZ196" s="84"/>
      <c r="WUA196" s="84"/>
      <c r="WUB196" s="84"/>
      <c r="WUC196" s="84"/>
      <c r="WUD196" s="84"/>
      <c r="WUE196" s="84"/>
      <c r="WUF196" s="84"/>
      <c r="WUG196" s="84"/>
      <c r="WUH196" s="84"/>
      <c r="WUI196" s="84"/>
      <c r="WUJ196" s="84"/>
      <c r="WUK196" s="84"/>
      <c r="WUL196" s="84"/>
      <c r="WUM196" s="84"/>
      <c r="WUN196" s="84"/>
      <c r="WUO196" s="84"/>
      <c r="WUP196" s="84"/>
      <c r="WUQ196" s="84"/>
      <c r="WUR196" s="84"/>
      <c r="WUS196" s="84"/>
      <c r="WUT196" s="84"/>
      <c r="WUU196" s="84"/>
      <c r="WUV196" s="84"/>
      <c r="WUW196" s="84"/>
      <c r="WUX196" s="84"/>
      <c r="WUY196" s="84"/>
      <c r="WUZ196" s="84"/>
      <c r="WVA196" s="84"/>
      <c r="WVB196" s="84"/>
      <c r="WVC196" s="84"/>
      <c r="WVD196" s="84"/>
      <c r="WVE196" s="84"/>
      <c r="WVF196" s="84"/>
      <c r="WVG196" s="84"/>
      <c r="WVH196" s="84"/>
      <c r="WVI196" s="84"/>
      <c r="WVJ196" s="84"/>
      <c r="WVK196" s="84"/>
      <c r="WVL196" s="84"/>
      <c r="WVM196" s="84"/>
      <c r="WVN196" s="84"/>
      <c r="WVO196" s="84"/>
      <c r="WVP196" s="84"/>
      <c r="WVQ196" s="84"/>
      <c r="WVR196" s="84"/>
      <c r="WVS196" s="84"/>
      <c r="WVT196" s="84"/>
      <c r="WVU196" s="84"/>
      <c r="WVV196" s="84"/>
      <c r="WVW196" s="84"/>
      <c r="WVX196" s="84"/>
      <c r="WVY196" s="84"/>
      <c r="WVZ196" s="84"/>
      <c r="WWA196" s="84"/>
      <c r="WWB196" s="84"/>
      <c r="WWC196" s="84"/>
      <c r="WWD196" s="84"/>
      <c r="WWE196" s="84"/>
      <c r="WWF196" s="84"/>
      <c r="WWG196" s="84"/>
      <c r="WWH196" s="84"/>
      <c r="WWI196" s="84"/>
      <c r="WWJ196" s="84"/>
      <c r="WWK196" s="84"/>
      <c r="WWL196" s="84"/>
      <c r="WWM196" s="84"/>
      <c r="WWN196" s="84"/>
      <c r="WWO196" s="84"/>
      <c r="WWP196" s="84"/>
      <c r="WWQ196" s="84"/>
      <c r="WWR196" s="84"/>
      <c r="WWS196" s="84"/>
      <c r="WWT196" s="84"/>
      <c r="WWU196" s="84"/>
      <c r="WWV196" s="84"/>
      <c r="WWW196" s="84"/>
      <c r="WWX196" s="84"/>
      <c r="WWY196" s="84"/>
      <c r="WWZ196" s="84"/>
      <c r="WXA196" s="84"/>
      <c r="WXB196" s="84"/>
      <c r="WXC196" s="84"/>
      <c r="WXD196" s="84"/>
      <c r="WXE196" s="84"/>
      <c r="WXF196" s="84"/>
      <c r="WXG196" s="84"/>
      <c r="WXH196" s="84"/>
      <c r="WXI196" s="84"/>
      <c r="WXJ196" s="84"/>
      <c r="WXK196" s="84"/>
      <c r="WXL196" s="84"/>
      <c r="WXM196" s="84"/>
      <c r="WXN196" s="84"/>
      <c r="WXO196" s="84"/>
      <c r="WXP196" s="84"/>
      <c r="WXQ196" s="84"/>
      <c r="WXR196" s="84"/>
      <c r="WXS196" s="84"/>
      <c r="WXT196" s="84"/>
      <c r="WXU196" s="84"/>
      <c r="WXV196" s="84"/>
      <c r="WXW196" s="84"/>
      <c r="WXX196" s="84"/>
      <c r="WXY196" s="84"/>
      <c r="WXZ196" s="84"/>
      <c r="WYA196" s="84"/>
      <c r="WYB196" s="84"/>
      <c r="WYC196" s="84"/>
      <c r="WYD196" s="84"/>
      <c r="WYE196" s="84"/>
      <c r="WYF196" s="84"/>
      <c r="WYG196" s="84"/>
      <c r="WYH196" s="84"/>
      <c r="WYI196" s="84"/>
      <c r="WYJ196" s="84"/>
      <c r="WYK196" s="84"/>
      <c r="WYL196" s="84"/>
      <c r="WYM196" s="84"/>
      <c r="WYN196" s="84"/>
      <c r="WYO196" s="84"/>
      <c r="WYP196" s="84"/>
      <c r="WYQ196" s="84"/>
      <c r="WYR196" s="84"/>
      <c r="WYS196" s="84"/>
      <c r="WYT196" s="84"/>
      <c r="WYU196" s="84"/>
      <c r="WYV196" s="84"/>
      <c r="WYW196" s="84"/>
      <c r="WYX196" s="84"/>
      <c r="WYY196" s="84"/>
      <c r="WYZ196" s="84"/>
      <c r="WZA196" s="84"/>
      <c r="WZB196" s="84"/>
      <c r="WZC196" s="84"/>
      <c r="WZD196" s="84"/>
      <c r="WZE196" s="84"/>
      <c r="WZF196" s="84"/>
      <c r="WZG196" s="84"/>
      <c r="WZH196" s="84"/>
      <c r="WZI196" s="84"/>
      <c r="WZJ196" s="84"/>
      <c r="WZK196" s="84"/>
      <c r="WZL196" s="84"/>
      <c r="WZM196" s="84"/>
      <c r="WZN196" s="84"/>
      <c r="WZO196" s="84"/>
      <c r="WZP196" s="84"/>
      <c r="WZQ196" s="84"/>
      <c r="WZR196" s="84"/>
      <c r="WZS196" s="84"/>
      <c r="WZT196" s="84"/>
      <c r="WZU196" s="84"/>
      <c r="WZV196" s="84"/>
      <c r="WZW196" s="84"/>
      <c r="WZX196" s="84"/>
      <c r="WZY196" s="84"/>
      <c r="WZZ196" s="84"/>
      <c r="XAA196" s="84"/>
      <c r="XAB196" s="84"/>
      <c r="XAC196" s="84"/>
      <c r="XAD196" s="84"/>
      <c r="XAE196" s="84"/>
      <c r="XAF196" s="84"/>
      <c r="XAG196" s="84"/>
      <c r="XAH196" s="84"/>
      <c r="XAI196" s="84"/>
      <c r="XAJ196" s="84"/>
      <c r="XAK196" s="84"/>
      <c r="XAL196" s="84"/>
      <c r="XAM196" s="84"/>
      <c r="XAN196" s="84"/>
      <c r="XAO196" s="84"/>
      <c r="XAP196" s="84"/>
      <c r="XAQ196" s="84"/>
      <c r="XAR196" s="84"/>
      <c r="XAS196" s="84"/>
      <c r="XAT196" s="84"/>
      <c r="XAU196" s="84"/>
      <c r="XAV196" s="84"/>
      <c r="XAW196" s="84"/>
      <c r="XAX196" s="84"/>
      <c r="XAY196" s="84"/>
      <c r="XAZ196" s="84"/>
      <c r="XBA196" s="84"/>
      <c r="XBB196" s="84"/>
      <c r="XBC196" s="84"/>
      <c r="XBD196" s="84"/>
      <c r="XBE196" s="84"/>
      <c r="XBF196" s="84"/>
      <c r="XBG196" s="84"/>
      <c r="XBH196" s="84"/>
      <c r="XBI196" s="84"/>
      <c r="XBJ196" s="84"/>
      <c r="XBK196" s="84"/>
      <c r="XBL196" s="84"/>
      <c r="XBM196" s="84"/>
      <c r="XBN196" s="84"/>
      <c r="XBO196" s="84"/>
      <c r="XBP196" s="84"/>
      <c r="XBQ196" s="84"/>
      <c r="XBR196" s="84"/>
      <c r="XBS196" s="84"/>
      <c r="XBT196" s="84"/>
      <c r="XBU196" s="84"/>
      <c r="XBV196" s="84"/>
      <c r="XBW196" s="84"/>
      <c r="XBX196" s="84"/>
      <c r="XBY196" s="84"/>
      <c r="XBZ196" s="84"/>
      <c r="XCA196" s="84"/>
      <c r="XCB196" s="84"/>
      <c r="XCC196" s="84"/>
      <c r="XCD196" s="84"/>
      <c r="XCE196" s="84"/>
      <c r="XCF196" s="84"/>
      <c r="XCG196" s="84"/>
      <c r="XCH196" s="84"/>
      <c r="XCI196" s="84"/>
      <c r="XCJ196" s="84"/>
      <c r="XCK196" s="84"/>
      <c r="XCL196" s="84"/>
      <c r="XCM196" s="84"/>
      <c r="XCN196" s="84"/>
      <c r="XCO196" s="84"/>
      <c r="XCP196" s="84"/>
      <c r="XCQ196" s="84"/>
      <c r="XCR196" s="84"/>
      <c r="XCS196" s="84"/>
      <c r="XCT196" s="84"/>
      <c r="XCU196" s="84"/>
      <c r="XCV196" s="84"/>
      <c r="XCW196" s="84"/>
      <c r="XCX196" s="84"/>
      <c r="XCY196" s="84"/>
      <c r="XCZ196" s="84"/>
      <c r="XDA196" s="84"/>
      <c r="XDB196" s="84"/>
      <c r="XDC196" s="84"/>
      <c r="XDD196" s="84"/>
      <c r="XDE196" s="84"/>
      <c r="XDF196" s="84"/>
      <c r="XDG196" s="84"/>
      <c r="XDH196" s="84"/>
      <c r="XDI196" s="84"/>
      <c r="XDJ196" s="84"/>
      <c r="XDK196" s="84"/>
      <c r="XDL196" s="84"/>
      <c r="XDM196" s="84"/>
      <c r="XDN196" s="84"/>
      <c r="XDO196" s="84"/>
      <c r="XDP196" s="84"/>
      <c r="XDQ196" s="84"/>
      <c r="XDR196" s="84"/>
      <c r="XDS196" s="84"/>
      <c r="XDT196" s="84"/>
      <c r="XDU196" s="84"/>
      <c r="XDV196" s="84"/>
      <c r="XDW196" s="84"/>
      <c r="XDX196" s="84"/>
    </row>
    <row r="197" spans="1:16352" s="91" customFormat="1" x14ac:dyDescent="0.3">
      <c r="A197" s="119" t="s">
        <v>62</v>
      </c>
      <c r="B197" s="120"/>
      <c r="C197" s="121"/>
      <c r="D197" s="89" t="s">
        <v>348</v>
      </c>
      <c r="E197" s="90">
        <v>3</v>
      </c>
      <c r="F197" s="90">
        <f>3+5</f>
        <v>8</v>
      </c>
      <c r="G197" s="90">
        <f>3+5</f>
        <v>8</v>
      </c>
      <c r="H197" s="90">
        <f>3+3</f>
        <v>6</v>
      </c>
      <c r="I197" s="90">
        <f>4+4</f>
        <v>8</v>
      </c>
      <c r="J197" s="90">
        <f>4+4</f>
        <v>8</v>
      </c>
      <c r="K197" s="90">
        <f>3+3</f>
        <v>6</v>
      </c>
      <c r="L197" s="90" t="s">
        <v>360</v>
      </c>
      <c r="M197" s="90">
        <f>4+5</f>
        <v>9</v>
      </c>
      <c r="N197" s="90">
        <f>3+5</f>
        <v>8</v>
      </c>
      <c r="O197" s="90">
        <f>3+5</f>
        <v>8</v>
      </c>
      <c r="P197" s="90">
        <f>3+5</f>
        <v>8</v>
      </c>
      <c r="Q197" s="90">
        <f>3+5</f>
        <v>8</v>
      </c>
      <c r="R197" s="90">
        <f>3+5</f>
        <v>8</v>
      </c>
      <c r="S197" s="90">
        <f>4+4</f>
        <v>8</v>
      </c>
      <c r="T197" s="90">
        <v>4</v>
      </c>
      <c r="U197" s="90">
        <f>5+5</f>
        <v>10</v>
      </c>
      <c r="V197" s="90">
        <v>7</v>
      </c>
      <c r="W197" s="90">
        <f>3+3</f>
        <v>6</v>
      </c>
      <c r="X197" s="90">
        <f>4+3</f>
        <v>7</v>
      </c>
      <c r="Y197" s="90">
        <f>3+5</f>
        <v>8</v>
      </c>
      <c r="Z197" s="90">
        <v>3</v>
      </c>
      <c r="AA197" s="90" t="s">
        <v>360</v>
      </c>
      <c r="AB197" s="90" t="s">
        <v>360</v>
      </c>
      <c r="AC197" s="90">
        <f>5+4</f>
        <v>9</v>
      </c>
      <c r="AD197" s="90">
        <f>5+5</f>
        <v>10</v>
      </c>
      <c r="AE197" s="90">
        <f>4+9</f>
        <v>13</v>
      </c>
      <c r="AF197" s="90">
        <f>5+3</f>
        <v>8</v>
      </c>
      <c r="AG197" s="90">
        <f>4+5</f>
        <v>9</v>
      </c>
      <c r="AH197" s="90">
        <f>5+4</f>
        <v>9</v>
      </c>
      <c r="AI197" s="90">
        <f>5+2</f>
        <v>7</v>
      </c>
      <c r="AJ197" s="90">
        <f>3+5</f>
        <v>8</v>
      </c>
      <c r="AK197" s="90">
        <f>4+4</f>
        <v>8</v>
      </c>
    </row>
    <row r="198" spans="1:16352" x14ac:dyDescent="0.3">
      <c r="A198" s="122"/>
      <c r="B198" s="123"/>
      <c r="C198" s="124"/>
      <c r="D198" s="72" t="s">
        <v>354</v>
      </c>
      <c r="E198" s="73">
        <f>COUNTIFS(E2:E195,"Digi_National")</f>
        <v>2</v>
      </c>
      <c r="F198" s="73">
        <f t="shared" ref="F198:AJ198" si="0">COUNTIFS(F2:F195,"Digi_National")</f>
        <v>2</v>
      </c>
      <c r="G198" s="73">
        <f t="shared" ref="G198" si="1">COUNTIFS(G2:G195,"Digi_National")</f>
        <v>2</v>
      </c>
      <c r="H198" s="73">
        <f t="shared" si="0"/>
        <v>2</v>
      </c>
      <c r="I198" s="73">
        <f t="shared" ref="I198" si="2">COUNTIFS(I2:I195,"Digi_National")</f>
        <v>2</v>
      </c>
      <c r="J198" s="73">
        <f t="shared" si="0"/>
        <v>3</v>
      </c>
      <c r="K198" s="73">
        <f t="shared" si="0"/>
        <v>2</v>
      </c>
      <c r="L198" s="73">
        <f t="shared" si="0"/>
        <v>3</v>
      </c>
      <c r="M198" s="73">
        <f t="shared" si="0"/>
        <v>3</v>
      </c>
      <c r="N198" s="73">
        <f t="shared" si="0"/>
        <v>2</v>
      </c>
      <c r="O198" s="73">
        <f t="shared" si="0"/>
        <v>2</v>
      </c>
      <c r="P198" s="73">
        <f t="shared" si="0"/>
        <v>2</v>
      </c>
      <c r="Q198" s="73">
        <f t="shared" si="0"/>
        <v>2</v>
      </c>
      <c r="R198" s="73">
        <f t="shared" si="0"/>
        <v>2</v>
      </c>
      <c r="S198" s="73">
        <f t="shared" si="0"/>
        <v>3</v>
      </c>
      <c r="T198" s="73">
        <f t="shared" si="0"/>
        <v>2</v>
      </c>
      <c r="U198" s="73">
        <f t="shared" ref="U198" si="3">COUNTIFS(U2:U195,"Digi_National")</f>
        <v>4</v>
      </c>
      <c r="V198" s="73">
        <f t="shared" si="0"/>
        <v>3</v>
      </c>
      <c r="W198" s="73">
        <f t="shared" si="0"/>
        <v>2</v>
      </c>
      <c r="X198" s="73">
        <f t="shared" si="0"/>
        <v>3</v>
      </c>
      <c r="Y198" s="73">
        <f t="shared" si="0"/>
        <v>2</v>
      </c>
      <c r="Z198" s="73">
        <f t="shared" ref="Z198" si="4">COUNTIFS(Z2:Z195,"Digi_National")</f>
        <v>2</v>
      </c>
      <c r="AA198" s="73">
        <f t="shared" si="0"/>
        <v>2</v>
      </c>
      <c r="AB198" s="73">
        <f t="shared" si="0"/>
        <v>2</v>
      </c>
      <c r="AC198" s="73">
        <f t="shared" si="0"/>
        <v>3</v>
      </c>
      <c r="AD198" s="73">
        <f t="shared" si="0"/>
        <v>3</v>
      </c>
      <c r="AE198" s="73">
        <f t="shared" si="0"/>
        <v>3</v>
      </c>
      <c r="AF198" s="73">
        <f t="shared" si="0"/>
        <v>3</v>
      </c>
      <c r="AG198" s="73">
        <f t="shared" si="0"/>
        <v>3</v>
      </c>
      <c r="AH198" s="73">
        <f t="shared" si="0"/>
        <v>3</v>
      </c>
      <c r="AI198" s="73">
        <f t="shared" si="0"/>
        <v>3</v>
      </c>
      <c r="AJ198" s="73">
        <f t="shared" si="0"/>
        <v>2</v>
      </c>
      <c r="AK198" s="73">
        <f>COUNTIFS(AK2:AK195,"Digi_National")</f>
        <v>3</v>
      </c>
    </row>
    <row r="199" spans="1:16352" x14ac:dyDescent="0.3">
      <c r="A199" s="122"/>
      <c r="B199" s="123"/>
      <c r="C199" s="124"/>
      <c r="D199" s="72" t="s">
        <v>355</v>
      </c>
      <c r="E199" s="73">
        <f>COUNTIFS(E2:E195,"Digi_Festival")</f>
        <v>11</v>
      </c>
      <c r="F199" s="73">
        <f t="shared" ref="F199:AJ199" si="5">COUNTIFS(F2:F195,"Digi_Festival")</f>
        <v>11</v>
      </c>
      <c r="G199" s="73">
        <f t="shared" ref="G199" si="6">COUNTIFS(G2:G195,"Digi_Festival")</f>
        <v>11</v>
      </c>
      <c r="H199" s="73">
        <f t="shared" si="5"/>
        <v>11</v>
      </c>
      <c r="I199" s="73">
        <f t="shared" ref="I199" si="7">COUNTIFS(I2:I195,"Digi_Festival")</f>
        <v>11</v>
      </c>
      <c r="J199" s="73">
        <f t="shared" si="5"/>
        <v>10</v>
      </c>
      <c r="K199" s="73">
        <f t="shared" si="5"/>
        <v>11</v>
      </c>
      <c r="L199" s="73">
        <f t="shared" si="5"/>
        <v>10</v>
      </c>
      <c r="M199" s="73">
        <f t="shared" si="5"/>
        <v>10</v>
      </c>
      <c r="N199" s="73">
        <f t="shared" si="5"/>
        <v>11</v>
      </c>
      <c r="O199" s="73">
        <f t="shared" si="5"/>
        <v>11</v>
      </c>
      <c r="P199" s="73">
        <f t="shared" si="5"/>
        <v>11</v>
      </c>
      <c r="Q199" s="73">
        <f t="shared" si="5"/>
        <v>11</v>
      </c>
      <c r="R199" s="73">
        <f t="shared" si="5"/>
        <v>11</v>
      </c>
      <c r="S199" s="73">
        <f t="shared" si="5"/>
        <v>10</v>
      </c>
      <c r="T199" s="73">
        <f t="shared" si="5"/>
        <v>11</v>
      </c>
      <c r="U199" s="73">
        <f t="shared" ref="U199" si="8">COUNTIFS(U2:U195,"Digi_Festival")</f>
        <v>9</v>
      </c>
      <c r="V199" s="73">
        <f t="shared" si="5"/>
        <v>10</v>
      </c>
      <c r="W199" s="73">
        <f t="shared" si="5"/>
        <v>11</v>
      </c>
      <c r="X199" s="73">
        <f t="shared" si="5"/>
        <v>10</v>
      </c>
      <c r="Y199" s="73">
        <f t="shared" si="5"/>
        <v>11</v>
      </c>
      <c r="Z199" s="73">
        <f t="shared" ref="Z199" si="9">COUNTIFS(Z2:Z195,"Digi_Festival")</f>
        <v>11</v>
      </c>
      <c r="AA199" s="73">
        <f t="shared" si="5"/>
        <v>11</v>
      </c>
      <c r="AB199" s="73">
        <f t="shared" si="5"/>
        <v>11</v>
      </c>
      <c r="AC199" s="73">
        <f t="shared" si="5"/>
        <v>10</v>
      </c>
      <c r="AD199" s="73">
        <f t="shared" si="5"/>
        <v>10</v>
      </c>
      <c r="AE199" s="73">
        <f t="shared" si="5"/>
        <v>10</v>
      </c>
      <c r="AF199" s="73">
        <f t="shared" si="5"/>
        <v>10</v>
      </c>
      <c r="AG199" s="73">
        <f t="shared" si="5"/>
        <v>10</v>
      </c>
      <c r="AH199" s="73">
        <f t="shared" si="5"/>
        <v>10</v>
      </c>
      <c r="AI199" s="73">
        <f t="shared" si="5"/>
        <v>10</v>
      </c>
      <c r="AJ199" s="73">
        <f t="shared" si="5"/>
        <v>11</v>
      </c>
      <c r="AK199" s="73">
        <f>COUNTIFS(AK2:AK195,"Digi_Festival")</f>
        <v>10</v>
      </c>
    </row>
    <row r="200" spans="1:16352" x14ac:dyDescent="0.3">
      <c r="A200" s="122"/>
      <c r="B200" s="123"/>
      <c r="C200" s="124"/>
      <c r="D200" s="72" t="s">
        <v>356</v>
      </c>
      <c r="E200" s="73">
        <f>COUNTIF(E2:E195,"Digi_Optional")</f>
        <v>0</v>
      </c>
      <c r="F200" s="73">
        <f t="shared" ref="F200:AJ200" si="10">COUNTIF(F2:F195,"Digi_Optional")</f>
        <v>0</v>
      </c>
      <c r="G200" s="73">
        <f t="shared" ref="G200" si="11">COUNTIF(G2:G195,"Digi_Optional")</f>
        <v>0</v>
      </c>
      <c r="H200" s="73">
        <f t="shared" si="10"/>
        <v>0</v>
      </c>
      <c r="I200" s="73">
        <f t="shared" ref="I200" si="12">COUNTIF(I2:I195,"Digi_Optional")</f>
        <v>0</v>
      </c>
      <c r="J200" s="73">
        <f t="shared" si="10"/>
        <v>0</v>
      </c>
      <c r="K200" s="73">
        <f t="shared" si="10"/>
        <v>0</v>
      </c>
      <c r="L200" s="73">
        <f t="shared" si="10"/>
        <v>0</v>
      </c>
      <c r="M200" s="73">
        <f t="shared" si="10"/>
        <v>0</v>
      </c>
      <c r="N200" s="73">
        <f t="shared" si="10"/>
        <v>0</v>
      </c>
      <c r="O200" s="73">
        <f t="shared" si="10"/>
        <v>0</v>
      </c>
      <c r="P200" s="73">
        <f t="shared" si="10"/>
        <v>0</v>
      </c>
      <c r="Q200" s="73">
        <f t="shared" si="10"/>
        <v>0</v>
      </c>
      <c r="R200" s="73">
        <f t="shared" si="10"/>
        <v>0</v>
      </c>
      <c r="S200" s="73">
        <f t="shared" si="10"/>
        <v>0</v>
      </c>
      <c r="T200" s="73">
        <f t="shared" si="10"/>
        <v>0</v>
      </c>
      <c r="U200" s="73">
        <f t="shared" ref="U200" si="13">COUNTIF(U2:U195,"Digi_Optional")</f>
        <v>0</v>
      </c>
      <c r="V200" s="73">
        <f t="shared" si="10"/>
        <v>0</v>
      </c>
      <c r="W200" s="73">
        <f t="shared" si="10"/>
        <v>0</v>
      </c>
      <c r="X200" s="73">
        <f t="shared" si="10"/>
        <v>0</v>
      </c>
      <c r="Y200" s="73">
        <f t="shared" si="10"/>
        <v>0</v>
      </c>
      <c r="Z200" s="73">
        <f t="shared" ref="Z200" si="14">COUNTIF(Z2:Z195,"Digi_Optional")</f>
        <v>0</v>
      </c>
      <c r="AA200" s="73">
        <f t="shared" si="10"/>
        <v>0</v>
      </c>
      <c r="AB200" s="73">
        <f t="shared" si="10"/>
        <v>0</v>
      </c>
      <c r="AC200" s="73">
        <f t="shared" si="10"/>
        <v>0</v>
      </c>
      <c r="AD200" s="73">
        <f t="shared" si="10"/>
        <v>0</v>
      </c>
      <c r="AE200" s="73">
        <f t="shared" si="10"/>
        <v>0</v>
      </c>
      <c r="AF200" s="73">
        <f t="shared" si="10"/>
        <v>0</v>
      </c>
      <c r="AG200" s="73">
        <f t="shared" si="10"/>
        <v>0</v>
      </c>
      <c r="AH200" s="73">
        <f t="shared" si="10"/>
        <v>0</v>
      </c>
      <c r="AI200" s="73">
        <f t="shared" si="10"/>
        <v>0</v>
      </c>
      <c r="AJ200" s="73">
        <f t="shared" si="10"/>
        <v>0</v>
      </c>
      <c r="AK200" s="73">
        <f>COUNTIF(AK2:AK195,"Digi_Optional")</f>
        <v>0</v>
      </c>
    </row>
    <row r="201" spans="1:16352" x14ac:dyDescent="0.3">
      <c r="A201" s="122"/>
      <c r="B201" s="123"/>
      <c r="C201" s="124"/>
      <c r="D201" s="72" t="s">
        <v>302</v>
      </c>
      <c r="E201" s="73">
        <f>COUNTIFS(E2:E195,"National-WE")</f>
        <v>0</v>
      </c>
      <c r="F201" s="73">
        <f t="shared" ref="F201:AJ201" si="15">COUNTIFS(F2:F195,"National-WE")</f>
        <v>0</v>
      </c>
      <c r="G201" s="73">
        <f t="shared" ref="G201" si="16">COUNTIFS(G2:G195,"National-WE")</f>
        <v>0</v>
      </c>
      <c r="H201" s="73">
        <f t="shared" si="15"/>
        <v>0</v>
      </c>
      <c r="I201" s="73">
        <f t="shared" ref="I201" si="17">COUNTIFS(I2:I195,"National-WE")</f>
        <v>0</v>
      </c>
      <c r="J201" s="73">
        <f t="shared" si="15"/>
        <v>0</v>
      </c>
      <c r="K201" s="73">
        <f t="shared" si="15"/>
        <v>0</v>
      </c>
      <c r="L201" s="73">
        <f t="shared" si="15"/>
        <v>0</v>
      </c>
      <c r="M201" s="73">
        <f t="shared" si="15"/>
        <v>0</v>
      </c>
      <c r="N201" s="73">
        <f t="shared" si="15"/>
        <v>0</v>
      </c>
      <c r="O201" s="73">
        <f t="shared" si="15"/>
        <v>0</v>
      </c>
      <c r="P201" s="73">
        <f t="shared" si="15"/>
        <v>0</v>
      </c>
      <c r="Q201" s="73">
        <f t="shared" si="15"/>
        <v>0</v>
      </c>
      <c r="R201" s="73">
        <f t="shared" si="15"/>
        <v>0</v>
      </c>
      <c r="S201" s="73">
        <f t="shared" si="15"/>
        <v>0</v>
      </c>
      <c r="T201" s="73">
        <f t="shared" si="15"/>
        <v>0</v>
      </c>
      <c r="U201" s="73">
        <f t="shared" ref="U201" si="18">COUNTIFS(U2:U195,"National-WE")</f>
        <v>0</v>
      </c>
      <c r="V201" s="73">
        <f t="shared" si="15"/>
        <v>0</v>
      </c>
      <c r="W201" s="73">
        <f t="shared" si="15"/>
        <v>0</v>
      </c>
      <c r="X201" s="73">
        <f t="shared" si="15"/>
        <v>0</v>
      </c>
      <c r="Y201" s="73">
        <f t="shared" si="15"/>
        <v>0</v>
      </c>
      <c r="Z201" s="73">
        <f t="shared" ref="Z201" si="19">COUNTIFS(Z2:Z195,"National-WE")</f>
        <v>0</v>
      </c>
      <c r="AA201" s="73">
        <f t="shared" si="15"/>
        <v>0</v>
      </c>
      <c r="AB201" s="73">
        <f t="shared" si="15"/>
        <v>0</v>
      </c>
      <c r="AC201" s="73">
        <f t="shared" si="15"/>
        <v>0</v>
      </c>
      <c r="AD201" s="73">
        <f t="shared" si="15"/>
        <v>0</v>
      </c>
      <c r="AE201" s="73">
        <f t="shared" si="15"/>
        <v>0</v>
      </c>
      <c r="AF201" s="73">
        <f t="shared" si="15"/>
        <v>0</v>
      </c>
      <c r="AG201" s="73">
        <f t="shared" si="15"/>
        <v>0</v>
      </c>
      <c r="AH201" s="73">
        <f t="shared" si="15"/>
        <v>0</v>
      </c>
      <c r="AI201" s="73">
        <f t="shared" si="15"/>
        <v>0</v>
      </c>
      <c r="AJ201" s="73">
        <f t="shared" si="15"/>
        <v>0</v>
      </c>
      <c r="AK201" s="73">
        <f>COUNTIFS(AK2:AK195,"National-WE")</f>
        <v>0</v>
      </c>
    </row>
    <row r="202" spans="1:16352" x14ac:dyDescent="0.3">
      <c r="A202" s="122"/>
      <c r="B202" s="123"/>
      <c r="C202" s="124"/>
      <c r="D202" s="72" t="s">
        <v>353</v>
      </c>
      <c r="E202" s="73">
        <f>COUNTIF(E2:E195,"Festival-WE")</f>
        <v>0</v>
      </c>
      <c r="F202" s="73">
        <f t="shared" ref="F202:AJ202" si="20">COUNTIF(F2:F195,"Festival-WE")</f>
        <v>0</v>
      </c>
      <c r="G202" s="73">
        <f t="shared" ref="G202" si="21">COUNTIF(G2:G195,"Festival-WE")</f>
        <v>0</v>
      </c>
      <c r="H202" s="73">
        <f t="shared" si="20"/>
        <v>0</v>
      </c>
      <c r="I202" s="73">
        <f t="shared" ref="I202" si="22">COUNTIF(I2:I195,"Festival-WE")</f>
        <v>0</v>
      </c>
      <c r="J202" s="73">
        <f t="shared" si="20"/>
        <v>0</v>
      </c>
      <c r="K202" s="73">
        <f t="shared" si="20"/>
        <v>0</v>
      </c>
      <c r="L202" s="73">
        <f t="shared" si="20"/>
        <v>0</v>
      </c>
      <c r="M202" s="73">
        <f t="shared" si="20"/>
        <v>0</v>
      </c>
      <c r="N202" s="73">
        <f t="shared" si="20"/>
        <v>0</v>
      </c>
      <c r="O202" s="73">
        <f t="shared" si="20"/>
        <v>0</v>
      </c>
      <c r="P202" s="73">
        <f t="shared" si="20"/>
        <v>0</v>
      </c>
      <c r="Q202" s="73">
        <f t="shared" si="20"/>
        <v>0</v>
      </c>
      <c r="R202" s="73">
        <f t="shared" si="20"/>
        <v>0</v>
      </c>
      <c r="S202" s="73">
        <f t="shared" si="20"/>
        <v>0</v>
      </c>
      <c r="T202" s="73">
        <f t="shared" si="20"/>
        <v>0</v>
      </c>
      <c r="U202" s="73">
        <f t="shared" ref="U202" si="23">COUNTIF(U2:U195,"Festival-WE")</f>
        <v>0</v>
      </c>
      <c r="V202" s="73">
        <f t="shared" si="20"/>
        <v>0</v>
      </c>
      <c r="W202" s="73">
        <f t="shared" si="20"/>
        <v>0</v>
      </c>
      <c r="X202" s="73">
        <f t="shared" si="20"/>
        <v>0</v>
      </c>
      <c r="Y202" s="73">
        <f t="shared" si="20"/>
        <v>0</v>
      </c>
      <c r="Z202" s="73">
        <f t="shared" ref="Z202" si="24">COUNTIF(Z2:Z195,"Festival-WE")</f>
        <v>0</v>
      </c>
      <c r="AA202" s="73">
        <f t="shared" si="20"/>
        <v>0</v>
      </c>
      <c r="AB202" s="73">
        <f t="shared" si="20"/>
        <v>0</v>
      </c>
      <c r="AC202" s="73">
        <f t="shared" si="20"/>
        <v>0</v>
      </c>
      <c r="AD202" s="73">
        <f t="shared" si="20"/>
        <v>0</v>
      </c>
      <c r="AE202" s="73">
        <f t="shared" si="20"/>
        <v>0</v>
      </c>
      <c r="AF202" s="73">
        <f t="shared" si="20"/>
        <v>0</v>
      </c>
      <c r="AG202" s="73">
        <f t="shared" si="20"/>
        <v>0</v>
      </c>
      <c r="AH202" s="73">
        <f t="shared" si="20"/>
        <v>0</v>
      </c>
      <c r="AI202" s="73">
        <f t="shared" si="20"/>
        <v>0</v>
      </c>
      <c r="AJ202" s="73">
        <f t="shared" si="20"/>
        <v>0</v>
      </c>
      <c r="AK202" s="73">
        <f>COUNTIF(AK2:AK195,"Festival-WE")</f>
        <v>0</v>
      </c>
    </row>
    <row r="203" spans="1:16352" x14ac:dyDescent="0.3">
      <c r="A203" s="122"/>
      <c r="B203" s="123"/>
      <c r="C203" s="124"/>
      <c r="D203" s="72" t="s">
        <v>221</v>
      </c>
      <c r="E203" s="73">
        <f>COUNTIF(E2:E195,"Optional-WE")</f>
        <v>0</v>
      </c>
      <c r="F203" s="73">
        <f t="shared" ref="F203:AJ203" si="25">COUNTIF(F2:F195,"Optional-WE")</f>
        <v>0</v>
      </c>
      <c r="G203" s="73">
        <f t="shared" ref="G203" si="26">COUNTIF(G2:G195,"Optional-WE")</f>
        <v>0</v>
      </c>
      <c r="H203" s="73">
        <f t="shared" si="25"/>
        <v>0</v>
      </c>
      <c r="I203" s="73">
        <f t="shared" ref="I203" si="27">COUNTIF(I2:I195,"Optional-WE")</f>
        <v>0</v>
      </c>
      <c r="J203" s="73">
        <f t="shared" si="25"/>
        <v>0</v>
      </c>
      <c r="K203" s="73">
        <f t="shared" si="25"/>
        <v>0</v>
      </c>
      <c r="L203" s="73">
        <f t="shared" si="25"/>
        <v>0</v>
      </c>
      <c r="M203" s="73">
        <f t="shared" si="25"/>
        <v>0</v>
      </c>
      <c r="N203" s="73">
        <f t="shared" si="25"/>
        <v>0</v>
      </c>
      <c r="O203" s="73">
        <f t="shared" si="25"/>
        <v>0</v>
      </c>
      <c r="P203" s="73">
        <f t="shared" si="25"/>
        <v>0</v>
      </c>
      <c r="Q203" s="73">
        <f t="shared" si="25"/>
        <v>0</v>
      </c>
      <c r="R203" s="73">
        <f t="shared" si="25"/>
        <v>0</v>
      </c>
      <c r="S203" s="73">
        <f t="shared" si="25"/>
        <v>0</v>
      </c>
      <c r="T203" s="73">
        <f t="shared" si="25"/>
        <v>0</v>
      </c>
      <c r="U203" s="73">
        <f t="shared" ref="U203" si="28">COUNTIF(U2:U195,"Optional-WE")</f>
        <v>0</v>
      </c>
      <c r="V203" s="73">
        <f t="shared" si="25"/>
        <v>0</v>
      </c>
      <c r="W203" s="73">
        <f t="shared" si="25"/>
        <v>0</v>
      </c>
      <c r="X203" s="73">
        <f t="shared" si="25"/>
        <v>0</v>
      </c>
      <c r="Y203" s="73">
        <f t="shared" si="25"/>
        <v>0</v>
      </c>
      <c r="Z203" s="73">
        <f t="shared" ref="Z203" si="29">COUNTIF(Z2:Z195,"Optional-WE")</f>
        <v>0</v>
      </c>
      <c r="AA203" s="73">
        <f t="shared" si="25"/>
        <v>0</v>
      </c>
      <c r="AB203" s="73">
        <f t="shared" si="25"/>
        <v>0</v>
      </c>
      <c r="AC203" s="73">
        <f t="shared" si="25"/>
        <v>0</v>
      </c>
      <c r="AD203" s="73">
        <f t="shared" si="25"/>
        <v>0</v>
      </c>
      <c r="AE203" s="73">
        <f t="shared" si="25"/>
        <v>0</v>
      </c>
      <c r="AF203" s="73">
        <f t="shared" si="25"/>
        <v>0</v>
      </c>
      <c r="AG203" s="73">
        <f t="shared" si="25"/>
        <v>0</v>
      </c>
      <c r="AH203" s="73">
        <f t="shared" si="25"/>
        <v>0</v>
      </c>
      <c r="AI203" s="73">
        <f t="shared" si="25"/>
        <v>0</v>
      </c>
      <c r="AJ203" s="73">
        <f t="shared" si="25"/>
        <v>0</v>
      </c>
      <c r="AK203" s="73">
        <f>COUNTIF(AK2:AK195,"Optional-WE")</f>
        <v>0</v>
      </c>
    </row>
    <row r="204" spans="1:16352" s="48" customFormat="1" x14ac:dyDescent="0.3">
      <c r="A204" s="122"/>
      <c r="B204" s="123"/>
      <c r="C204" s="124"/>
      <c r="D204" s="86" t="s">
        <v>350</v>
      </c>
      <c r="E204" s="87">
        <f>E198+E199+E200</f>
        <v>13</v>
      </c>
      <c r="F204" s="87">
        <f t="shared" ref="F204:AK204" si="30">F198+F199+F200</f>
        <v>13</v>
      </c>
      <c r="G204" s="87">
        <f t="shared" si="30"/>
        <v>13</v>
      </c>
      <c r="H204" s="87">
        <f t="shared" si="30"/>
        <v>13</v>
      </c>
      <c r="I204" s="87">
        <f t="shared" si="30"/>
        <v>13</v>
      </c>
      <c r="J204" s="87">
        <f t="shared" si="30"/>
        <v>13</v>
      </c>
      <c r="K204" s="87">
        <f t="shared" si="30"/>
        <v>13</v>
      </c>
      <c r="L204" s="87">
        <f t="shared" si="30"/>
        <v>13</v>
      </c>
      <c r="M204" s="87">
        <f t="shared" si="30"/>
        <v>13</v>
      </c>
      <c r="N204" s="87">
        <f t="shared" si="30"/>
        <v>13</v>
      </c>
      <c r="O204" s="87">
        <f t="shared" si="30"/>
        <v>13</v>
      </c>
      <c r="P204" s="87">
        <f t="shared" si="30"/>
        <v>13</v>
      </c>
      <c r="Q204" s="87">
        <f t="shared" si="30"/>
        <v>13</v>
      </c>
      <c r="R204" s="87">
        <f t="shared" si="30"/>
        <v>13</v>
      </c>
      <c r="S204" s="87">
        <f t="shared" si="30"/>
        <v>13</v>
      </c>
      <c r="T204" s="87">
        <f t="shared" si="30"/>
        <v>13</v>
      </c>
      <c r="U204" s="87">
        <f t="shared" si="30"/>
        <v>13</v>
      </c>
      <c r="V204" s="87">
        <f t="shared" si="30"/>
        <v>13</v>
      </c>
      <c r="W204" s="87">
        <f t="shared" si="30"/>
        <v>13</v>
      </c>
      <c r="X204" s="87">
        <f t="shared" si="30"/>
        <v>13</v>
      </c>
      <c r="Y204" s="87">
        <f t="shared" si="30"/>
        <v>13</v>
      </c>
      <c r="Z204" s="87">
        <f t="shared" si="30"/>
        <v>13</v>
      </c>
      <c r="AA204" s="87">
        <f t="shared" si="30"/>
        <v>13</v>
      </c>
      <c r="AB204" s="87">
        <f t="shared" si="30"/>
        <v>13</v>
      </c>
      <c r="AC204" s="87">
        <f t="shared" si="30"/>
        <v>13</v>
      </c>
      <c r="AD204" s="87">
        <f t="shared" si="30"/>
        <v>13</v>
      </c>
      <c r="AE204" s="87">
        <f t="shared" si="30"/>
        <v>13</v>
      </c>
      <c r="AF204" s="87">
        <f t="shared" si="30"/>
        <v>13</v>
      </c>
      <c r="AG204" s="87">
        <f t="shared" si="30"/>
        <v>13</v>
      </c>
      <c r="AH204" s="87">
        <f t="shared" si="30"/>
        <v>13</v>
      </c>
      <c r="AI204" s="87">
        <f t="shared" si="30"/>
        <v>13</v>
      </c>
      <c r="AJ204" s="87">
        <f t="shared" si="30"/>
        <v>13</v>
      </c>
      <c r="AK204" s="87">
        <f t="shared" si="30"/>
        <v>13</v>
      </c>
    </row>
    <row r="205" spans="1:16352" hidden="1" x14ac:dyDescent="0.3">
      <c r="A205" s="122"/>
      <c r="B205" s="123"/>
      <c r="C205" s="124"/>
      <c r="D205" s="72" t="s">
        <v>212</v>
      </c>
      <c r="E205" s="73"/>
      <c r="F205" s="73"/>
      <c r="G205" s="73"/>
      <c r="H205" s="73">
        <f t="shared" ref="H205:AI205" si="31">COUNTIFS(H2:H195,"National")</f>
        <v>0</v>
      </c>
      <c r="I205" s="73">
        <f t="shared" si="31"/>
        <v>0</v>
      </c>
      <c r="J205" s="73">
        <f t="shared" si="31"/>
        <v>0</v>
      </c>
      <c r="K205" s="73">
        <f t="shared" si="31"/>
        <v>0</v>
      </c>
      <c r="L205" s="73">
        <f t="shared" si="31"/>
        <v>0</v>
      </c>
      <c r="M205" s="73">
        <f t="shared" si="31"/>
        <v>0</v>
      </c>
      <c r="N205" s="73">
        <f t="shared" si="31"/>
        <v>0</v>
      </c>
      <c r="O205" s="73">
        <f t="shared" si="31"/>
        <v>0</v>
      </c>
      <c r="P205" s="73">
        <f t="shared" si="31"/>
        <v>0</v>
      </c>
      <c r="Q205" s="73">
        <f t="shared" si="31"/>
        <v>0</v>
      </c>
      <c r="R205" s="73">
        <f t="shared" si="31"/>
        <v>0</v>
      </c>
      <c r="S205" s="73">
        <f t="shared" si="31"/>
        <v>0</v>
      </c>
      <c r="T205" s="73">
        <f t="shared" si="31"/>
        <v>0</v>
      </c>
      <c r="U205" s="73">
        <f t="shared" si="31"/>
        <v>0</v>
      </c>
      <c r="V205" s="73">
        <f t="shared" si="31"/>
        <v>0</v>
      </c>
      <c r="W205" s="73">
        <f t="shared" si="31"/>
        <v>0</v>
      </c>
      <c r="X205" s="73">
        <f t="shared" si="31"/>
        <v>0</v>
      </c>
      <c r="Y205" s="73">
        <f t="shared" si="31"/>
        <v>0</v>
      </c>
      <c r="Z205" s="73">
        <f t="shared" si="31"/>
        <v>0</v>
      </c>
      <c r="AA205" s="73">
        <f t="shared" si="31"/>
        <v>0</v>
      </c>
      <c r="AB205" s="73">
        <f t="shared" si="31"/>
        <v>0</v>
      </c>
      <c r="AC205" s="73">
        <f t="shared" si="31"/>
        <v>0</v>
      </c>
      <c r="AD205" s="73">
        <f t="shared" si="31"/>
        <v>0</v>
      </c>
      <c r="AE205" s="73">
        <f t="shared" si="31"/>
        <v>0</v>
      </c>
      <c r="AF205" s="73">
        <f t="shared" si="31"/>
        <v>0</v>
      </c>
      <c r="AG205" s="73">
        <f t="shared" si="31"/>
        <v>0</v>
      </c>
      <c r="AH205" s="73">
        <f t="shared" si="31"/>
        <v>0</v>
      </c>
      <c r="AI205" s="73">
        <f t="shared" si="31"/>
        <v>0</v>
      </c>
    </row>
    <row r="206" spans="1:16352" s="25" customFormat="1" ht="14.5" hidden="1" customHeight="1" x14ac:dyDescent="0.3">
      <c r="A206" s="122"/>
      <c r="B206" s="123"/>
      <c r="C206" s="124"/>
      <c r="D206" s="72" t="s">
        <v>213</v>
      </c>
      <c r="E206" s="73"/>
      <c r="F206" s="73"/>
      <c r="G206" s="73"/>
      <c r="H206" s="73">
        <f>COUNTIFS(H2:H197,"Regional")</f>
        <v>0</v>
      </c>
      <c r="I206" s="73">
        <f>COUNTIFS(I2:I197,"Regional")</f>
        <v>0</v>
      </c>
      <c r="J206" s="73">
        <f>COUNTIFS(J2:J197,"Regional")</f>
        <v>0</v>
      </c>
      <c r="K206" s="73">
        <f>COUNTIFS(K2:K197,"Regional")</f>
        <v>0</v>
      </c>
      <c r="L206" s="73">
        <f>COUNTIFS(L2:L197,"Regional")</f>
        <v>0</v>
      </c>
      <c r="M206" s="73">
        <f t="shared" ref="M206:AI206" si="32">COUNTIFS(M3:M205,"Regional")</f>
        <v>0</v>
      </c>
      <c r="N206" s="73">
        <f t="shared" si="32"/>
        <v>0</v>
      </c>
      <c r="O206" s="73">
        <f t="shared" si="32"/>
        <v>0</v>
      </c>
      <c r="P206" s="73">
        <f t="shared" si="32"/>
        <v>0</v>
      </c>
      <c r="Q206" s="73">
        <f t="shared" si="32"/>
        <v>0</v>
      </c>
      <c r="R206" s="73">
        <f t="shared" si="32"/>
        <v>0</v>
      </c>
      <c r="S206" s="73">
        <f t="shared" si="32"/>
        <v>0</v>
      </c>
      <c r="T206" s="73">
        <f t="shared" si="32"/>
        <v>0</v>
      </c>
      <c r="U206" s="73">
        <f t="shared" si="32"/>
        <v>0</v>
      </c>
      <c r="V206" s="73">
        <f t="shared" si="32"/>
        <v>0</v>
      </c>
      <c r="W206" s="73">
        <f t="shared" si="32"/>
        <v>0</v>
      </c>
      <c r="X206" s="73">
        <f t="shared" si="32"/>
        <v>0</v>
      </c>
      <c r="Y206" s="73">
        <f t="shared" si="32"/>
        <v>0</v>
      </c>
      <c r="Z206" s="73">
        <f t="shared" si="32"/>
        <v>0</v>
      </c>
      <c r="AA206" s="73">
        <f t="shared" si="32"/>
        <v>0</v>
      </c>
      <c r="AB206" s="73">
        <f t="shared" si="32"/>
        <v>0</v>
      </c>
      <c r="AC206" s="73">
        <f t="shared" si="32"/>
        <v>0</v>
      </c>
      <c r="AD206" s="73">
        <f t="shared" si="32"/>
        <v>0</v>
      </c>
      <c r="AE206" s="73">
        <f t="shared" si="32"/>
        <v>0</v>
      </c>
      <c r="AF206" s="73">
        <f t="shared" si="32"/>
        <v>0</v>
      </c>
      <c r="AG206" s="73">
        <f t="shared" si="32"/>
        <v>0</v>
      </c>
      <c r="AH206" s="73">
        <f t="shared" si="32"/>
        <v>0</v>
      </c>
      <c r="AI206" s="73">
        <f t="shared" si="32"/>
        <v>0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  <c r="ANK206" s="3"/>
      <c r="ANL206" s="3"/>
      <c r="ANM206" s="3"/>
      <c r="ANN206" s="3"/>
      <c r="ANO206" s="3"/>
      <c r="ANP206" s="3"/>
      <c r="ANQ206" s="3"/>
      <c r="ANR206" s="3"/>
      <c r="ANS206" s="3"/>
      <c r="ANT206" s="3"/>
      <c r="ANU206" s="3"/>
      <c r="ANV206" s="3"/>
      <c r="ANW206" s="3"/>
      <c r="ANX206" s="3"/>
      <c r="ANY206" s="3"/>
      <c r="ANZ206" s="3"/>
      <c r="AOA206" s="3"/>
      <c r="AOB206" s="3"/>
      <c r="AOC206" s="3"/>
      <c r="AOD206" s="3"/>
      <c r="AOE206" s="3"/>
      <c r="AOF206" s="3"/>
      <c r="AOG206" s="3"/>
      <c r="AOH206" s="3"/>
      <c r="AOI206" s="3"/>
      <c r="AOJ206" s="3"/>
      <c r="AOK206" s="3"/>
      <c r="AOL206" s="3"/>
      <c r="AOM206" s="3"/>
      <c r="AON206" s="3"/>
      <c r="AOO206" s="3"/>
      <c r="AOP206" s="3"/>
      <c r="AOQ206" s="3"/>
      <c r="AOR206" s="3"/>
      <c r="AOS206" s="3"/>
      <c r="AOT206" s="3"/>
      <c r="AOU206" s="3"/>
      <c r="AOV206" s="3"/>
      <c r="AOW206" s="3"/>
      <c r="AOX206" s="3"/>
      <c r="AOY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  <c r="BCX206" s="3"/>
      <c r="BCY206" s="3"/>
      <c r="BCZ206" s="3"/>
      <c r="BDA206" s="3"/>
      <c r="BDB206" s="3"/>
      <c r="BDC206" s="3"/>
      <c r="BDD206" s="3"/>
      <c r="BDE206" s="3"/>
      <c r="BDF206" s="3"/>
      <c r="BDG206" s="3"/>
      <c r="BDH206" s="3"/>
      <c r="BDI206" s="3"/>
      <c r="BDJ206" s="3"/>
      <c r="BDK206" s="3"/>
      <c r="BDL206" s="3"/>
      <c r="BDM206" s="3"/>
      <c r="BDN206" s="3"/>
      <c r="BDO206" s="3"/>
      <c r="BDP206" s="3"/>
      <c r="BDQ206" s="3"/>
      <c r="BDR206" s="3"/>
      <c r="BDS206" s="3"/>
      <c r="BDT206" s="3"/>
      <c r="BDU206" s="3"/>
      <c r="BDV206" s="3"/>
      <c r="BDW206" s="3"/>
      <c r="BDX206" s="3"/>
      <c r="BDY206" s="3"/>
      <c r="BDZ206" s="3"/>
      <c r="BEA206" s="3"/>
      <c r="BEB206" s="3"/>
      <c r="BEC206" s="3"/>
      <c r="BED206" s="3"/>
      <c r="BEE206" s="3"/>
      <c r="BEF206" s="3"/>
      <c r="BEG206" s="3"/>
      <c r="BEH206" s="3"/>
      <c r="BEI206" s="3"/>
      <c r="BEJ206" s="3"/>
      <c r="BEK206" s="3"/>
      <c r="BEL206" s="3"/>
      <c r="BEM206" s="3"/>
      <c r="BEN206" s="3"/>
      <c r="BEO206" s="3"/>
      <c r="BEP206" s="3"/>
      <c r="BEQ206" s="3"/>
      <c r="BER206" s="3"/>
      <c r="BES206" s="3"/>
      <c r="BET206" s="3"/>
      <c r="BEU206" s="3"/>
      <c r="BEV206" s="3"/>
      <c r="BEW206" s="3"/>
      <c r="BEX206" s="3"/>
      <c r="BEY206" s="3"/>
      <c r="BEZ206" s="3"/>
      <c r="BFA206" s="3"/>
      <c r="BFB206" s="3"/>
      <c r="BFC206" s="3"/>
      <c r="BFD206" s="3"/>
      <c r="BFE206" s="3"/>
      <c r="BFF206" s="3"/>
      <c r="BFG206" s="3"/>
      <c r="BFH206" s="3"/>
      <c r="BFI206" s="3"/>
      <c r="BFJ206" s="3"/>
      <c r="BFK206" s="3"/>
      <c r="BFL206" s="3"/>
      <c r="BFM206" s="3"/>
      <c r="BFN206" s="3"/>
      <c r="BFO206" s="3"/>
      <c r="BFP206" s="3"/>
      <c r="BFQ206" s="3"/>
      <c r="BFR206" s="3"/>
      <c r="BFS206" s="3"/>
      <c r="BFT206" s="3"/>
      <c r="BFU206" s="3"/>
      <c r="BFV206" s="3"/>
      <c r="BFW206" s="3"/>
      <c r="BFX206" s="3"/>
      <c r="BFY206" s="3"/>
      <c r="BFZ206" s="3"/>
      <c r="BGA206" s="3"/>
      <c r="BGB206" s="3"/>
      <c r="BGC206" s="3"/>
      <c r="BGD206" s="3"/>
      <c r="BGE206" s="3"/>
      <c r="BGF206" s="3"/>
      <c r="BGG206" s="3"/>
      <c r="BGH206" s="3"/>
      <c r="BGI206" s="3"/>
      <c r="BGJ206" s="3"/>
      <c r="BGK206" s="3"/>
      <c r="BGL206" s="3"/>
      <c r="BGM206" s="3"/>
      <c r="BGN206" s="3"/>
      <c r="BGO206" s="3"/>
      <c r="BGP206" s="3"/>
      <c r="BGQ206" s="3"/>
      <c r="BGR206" s="3"/>
      <c r="BGS206" s="3"/>
      <c r="BGT206" s="3"/>
      <c r="BGU206" s="3"/>
      <c r="BGV206" s="3"/>
      <c r="BGW206" s="3"/>
      <c r="BGX206" s="3"/>
      <c r="BGY206" s="3"/>
      <c r="BGZ206" s="3"/>
      <c r="BHA206" s="3"/>
      <c r="BHB206" s="3"/>
      <c r="BHC206" s="3"/>
      <c r="BHD206" s="3"/>
      <c r="BHE206" s="3"/>
      <c r="BHF206" s="3"/>
      <c r="BHG206" s="3"/>
      <c r="BHH206" s="3"/>
      <c r="BHI206" s="3"/>
      <c r="BHJ206" s="3"/>
      <c r="BHK206" s="3"/>
      <c r="BHL206" s="3"/>
      <c r="BHM206" s="3"/>
      <c r="BHN206" s="3"/>
      <c r="BHO206" s="3"/>
      <c r="BHP206" s="3"/>
      <c r="BHQ206" s="3"/>
      <c r="BHR206" s="3"/>
      <c r="BHS206" s="3"/>
      <c r="BHT206" s="3"/>
      <c r="BHU206" s="3"/>
      <c r="BHV206" s="3"/>
      <c r="BHW206" s="3"/>
      <c r="BHX206" s="3"/>
      <c r="BHY206" s="3"/>
      <c r="BHZ206" s="3"/>
      <c r="BIA206" s="3"/>
      <c r="BIB206" s="3"/>
      <c r="BIC206" s="3"/>
      <c r="BID206" s="3"/>
      <c r="BIE206" s="3"/>
      <c r="BIF206" s="3"/>
      <c r="BIG206" s="3"/>
      <c r="BIH206" s="3"/>
      <c r="BII206" s="3"/>
      <c r="BIJ206" s="3"/>
      <c r="BIK206" s="3"/>
      <c r="BIL206" s="3"/>
      <c r="BIM206" s="3"/>
      <c r="BIN206" s="3"/>
      <c r="BIO206" s="3"/>
      <c r="BIP206" s="3"/>
      <c r="BIQ206" s="3"/>
      <c r="BIR206" s="3"/>
      <c r="BIS206" s="3"/>
      <c r="BIT206" s="3"/>
      <c r="BIU206" s="3"/>
      <c r="BIV206" s="3"/>
      <c r="BIW206" s="3"/>
      <c r="BIX206" s="3"/>
      <c r="BIY206" s="3"/>
      <c r="BIZ206" s="3"/>
      <c r="BJA206" s="3"/>
      <c r="BJB206" s="3"/>
      <c r="BJC206" s="3"/>
      <c r="BJD206" s="3"/>
      <c r="BJE206" s="3"/>
      <c r="BJF206" s="3"/>
      <c r="BJG206" s="3"/>
      <c r="BJH206" s="3"/>
      <c r="BJI206" s="3"/>
      <c r="BJJ206" s="3"/>
      <c r="BJK206" s="3"/>
      <c r="BJL206" s="3"/>
      <c r="BJM206" s="3"/>
      <c r="BJN206" s="3"/>
      <c r="BJO206" s="3"/>
      <c r="BJP206" s="3"/>
      <c r="BJQ206" s="3"/>
      <c r="BJR206" s="3"/>
      <c r="BJS206" s="3"/>
      <c r="BJT206" s="3"/>
      <c r="BJU206" s="3"/>
      <c r="BJV206" s="3"/>
      <c r="BJW206" s="3"/>
      <c r="BJX206" s="3"/>
      <c r="BJY206" s="3"/>
      <c r="BJZ206" s="3"/>
      <c r="BKA206" s="3"/>
      <c r="BKB206" s="3"/>
      <c r="BKC206" s="3"/>
      <c r="BKD206" s="3"/>
      <c r="BKE206" s="3"/>
      <c r="BKF206" s="3"/>
      <c r="BKG206" s="3"/>
      <c r="BKH206" s="3"/>
      <c r="BKI206" s="3"/>
      <c r="BKJ206" s="3"/>
      <c r="BKK206" s="3"/>
      <c r="BKL206" s="3"/>
      <c r="BKM206" s="3"/>
      <c r="BKN206" s="3"/>
      <c r="BKO206" s="3"/>
      <c r="BKP206" s="3"/>
      <c r="BKQ206" s="3"/>
      <c r="BKR206" s="3"/>
      <c r="BKS206" s="3"/>
      <c r="BKT206" s="3"/>
      <c r="BKU206" s="3"/>
      <c r="BKV206" s="3"/>
      <c r="BKW206" s="3"/>
      <c r="BKX206" s="3"/>
      <c r="BKY206" s="3"/>
      <c r="BKZ206" s="3"/>
      <c r="BLA206" s="3"/>
      <c r="BLB206" s="3"/>
      <c r="BLC206" s="3"/>
      <c r="BLD206" s="3"/>
      <c r="BLE206" s="3"/>
      <c r="BLF206" s="3"/>
      <c r="BLG206" s="3"/>
      <c r="BLH206" s="3"/>
      <c r="BLI206" s="3"/>
      <c r="BLJ206" s="3"/>
      <c r="BLK206" s="3"/>
      <c r="BLL206" s="3"/>
      <c r="BLM206" s="3"/>
      <c r="BLN206" s="3"/>
      <c r="BLO206" s="3"/>
      <c r="BLP206" s="3"/>
      <c r="BLQ206" s="3"/>
      <c r="BLR206" s="3"/>
      <c r="BLS206" s="3"/>
      <c r="BLT206" s="3"/>
      <c r="BLU206" s="3"/>
      <c r="BLV206" s="3"/>
      <c r="BLW206" s="3"/>
      <c r="BLX206" s="3"/>
      <c r="BLY206" s="3"/>
      <c r="BLZ206" s="3"/>
      <c r="BMA206" s="3"/>
      <c r="BMB206" s="3"/>
      <c r="BMC206" s="3"/>
      <c r="BMD206" s="3"/>
      <c r="BME206" s="3"/>
      <c r="BMF206" s="3"/>
      <c r="BMG206" s="3"/>
      <c r="BMH206" s="3"/>
      <c r="BMI206" s="3"/>
      <c r="BMJ206" s="3"/>
      <c r="BMK206" s="3"/>
      <c r="BML206" s="3"/>
      <c r="BMM206" s="3"/>
      <c r="BMN206" s="3"/>
      <c r="BMO206" s="3"/>
      <c r="BMP206" s="3"/>
      <c r="BMQ206" s="3"/>
      <c r="BMR206" s="3"/>
      <c r="BMS206" s="3"/>
      <c r="BMT206" s="3"/>
      <c r="BMU206" s="3"/>
      <c r="BMV206" s="3"/>
      <c r="BMW206" s="3"/>
      <c r="BMX206" s="3"/>
      <c r="BMY206" s="3"/>
      <c r="BMZ206" s="3"/>
      <c r="BNA206" s="3"/>
      <c r="BNB206" s="3"/>
      <c r="BNC206" s="3"/>
      <c r="BND206" s="3"/>
      <c r="BNE206" s="3"/>
      <c r="BNF206" s="3"/>
      <c r="BNG206" s="3"/>
      <c r="BNH206" s="3"/>
      <c r="BNI206" s="3"/>
      <c r="BNJ206" s="3"/>
      <c r="BNK206" s="3"/>
      <c r="BNL206" s="3"/>
      <c r="BNM206" s="3"/>
      <c r="BNN206" s="3"/>
      <c r="BNO206" s="3"/>
      <c r="BNP206" s="3"/>
      <c r="BNQ206" s="3"/>
      <c r="BNR206" s="3"/>
      <c r="BNS206" s="3"/>
      <c r="BNT206" s="3"/>
      <c r="BNU206" s="3"/>
      <c r="BNV206" s="3"/>
      <c r="BNW206" s="3"/>
      <c r="BNX206" s="3"/>
      <c r="BNY206" s="3"/>
      <c r="BNZ206" s="3"/>
      <c r="BOA206" s="3"/>
      <c r="BOB206" s="3"/>
      <c r="BOC206" s="3"/>
      <c r="BOD206" s="3"/>
      <c r="BOE206" s="3"/>
      <c r="BOF206" s="3"/>
      <c r="BOG206" s="3"/>
      <c r="BOH206" s="3"/>
      <c r="BOI206" s="3"/>
      <c r="BOJ206" s="3"/>
      <c r="BOK206" s="3"/>
      <c r="BOL206" s="3"/>
      <c r="BOM206" s="3"/>
      <c r="BON206" s="3"/>
      <c r="BOO206" s="3"/>
      <c r="BOP206" s="3"/>
      <c r="BOQ206" s="3"/>
      <c r="BOR206" s="3"/>
      <c r="BOS206" s="3"/>
      <c r="BOT206" s="3"/>
      <c r="BOU206" s="3"/>
      <c r="BOV206" s="3"/>
      <c r="BOW206" s="3"/>
      <c r="BOX206" s="3"/>
      <c r="BOY206" s="3"/>
      <c r="BOZ206" s="3"/>
      <c r="BPA206" s="3"/>
      <c r="BPB206" s="3"/>
      <c r="BPC206" s="3"/>
      <c r="BPD206" s="3"/>
      <c r="BPE206" s="3"/>
      <c r="BPF206" s="3"/>
      <c r="BPG206" s="3"/>
      <c r="BPH206" s="3"/>
      <c r="BPI206" s="3"/>
      <c r="BPJ206" s="3"/>
      <c r="BPK206" s="3"/>
      <c r="BPL206" s="3"/>
      <c r="BPM206" s="3"/>
      <c r="BPN206" s="3"/>
      <c r="BPO206" s="3"/>
      <c r="BPP206" s="3"/>
      <c r="BPQ206" s="3"/>
      <c r="BPR206" s="3"/>
      <c r="BPS206" s="3"/>
      <c r="BPT206" s="3"/>
      <c r="BPU206" s="3"/>
      <c r="BPV206" s="3"/>
      <c r="BPW206" s="3"/>
      <c r="BPX206" s="3"/>
      <c r="BPY206" s="3"/>
      <c r="BPZ206" s="3"/>
      <c r="BQA206" s="3"/>
      <c r="BQB206" s="3"/>
      <c r="BQC206" s="3"/>
      <c r="BQD206" s="3"/>
      <c r="BQE206" s="3"/>
      <c r="BQF206" s="3"/>
      <c r="BQG206" s="3"/>
      <c r="BQH206" s="3"/>
      <c r="BQI206" s="3"/>
      <c r="BQJ206" s="3"/>
      <c r="BQK206" s="3"/>
      <c r="BQL206" s="3"/>
      <c r="BQM206" s="3"/>
      <c r="BQN206" s="3"/>
      <c r="BQO206" s="3"/>
      <c r="BQP206" s="3"/>
      <c r="BQQ206" s="3"/>
      <c r="BQR206" s="3"/>
      <c r="BQS206" s="3"/>
      <c r="BQT206" s="3"/>
      <c r="BQU206" s="3"/>
      <c r="BQV206" s="3"/>
      <c r="BQW206" s="3"/>
      <c r="BQX206" s="3"/>
      <c r="BQY206" s="3"/>
      <c r="BQZ206" s="3"/>
      <c r="BRA206" s="3"/>
      <c r="BRB206" s="3"/>
      <c r="BRC206" s="3"/>
      <c r="BRD206" s="3"/>
      <c r="BRE206" s="3"/>
      <c r="BRF206" s="3"/>
      <c r="BRG206" s="3"/>
      <c r="BRH206" s="3"/>
      <c r="BRI206" s="3"/>
      <c r="BRJ206" s="3"/>
      <c r="BRK206" s="3"/>
      <c r="BRL206" s="3"/>
      <c r="BRM206" s="3"/>
      <c r="BRN206" s="3"/>
      <c r="BRO206" s="3"/>
      <c r="BRP206" s="3"/>
      <c r="BRQ206" s="3"/>
      <c r="BRR206" s="3"/>
      <c r="BRS206" s="3"/>
      <c r="BRT206" s="3"/>
      <c r="BRU206" s="3"/>
      <c r="BRV206" s="3"/>
      <c r="BRW206" s="3"/>
      <c r="BRX206" s="3"/>
      <c r="BRY206" s="3"/>
      <c r="BRZ206" s="3"/>
      <c r="BSA206" s="3"/>
      <c r="BSB206" s="3"/>
      <c r="BSC206" s="3"/>
      <c r="BSD206" s="3"/>
      <c r="BSE206" s="3"/>
      <c r="BSF206" s="3"/>
      <c r="BSG206" s="3"/>
      <c r="BSH206" s="3"/>
      <c r="BSI206" s="3"/>
      <c r="BSJ206" s="3"/>
      <c r="BSK206" s="3"/>
      <c r="BSL206" s="3"/>
      <c r="BSM206" s="3"/>
      <c r="BSN206" s="3"/>
      <c r="BSO206" s="3"/>
      <c r="BSP206" s="3"/>
      <c r="BSQ206" s="3"/>
      <c r="BSR206" s="3"/>
      <c r="BSS206" s="3"/>
      <c r="BST206" s="3"/>
      <c r="BSU206" s="3"/>
      <c r="BSV206" s="3"/>
      <c r="BSW206" s="3"/>
      <c r="BSX206" s="3"/>
      <c r="BSY206" s="3"/>
      <c r="BSZ206" s="3"/>
      <c r="BTA206" s="3"/>
      <c r="BTB206" s="3"/>
      <c r="BTC206" s="3"/>
      <c r="BTD206" s="3"/>
      <c r="BTE206" s="3"/>
      <c r="BTF206" s="3"/>
      <c r="BTG206" s="3"/>
      <c r="BTH206" s="3"/>
      <c r="BTI206" s="3"/>
      <c r="BTJ206" s="3"/>
      <c r="BTK206" s="3"/>
      <c r="BTL206" s="3"/>
      <c r="BTM206" s="3"/>
      <c r="BTN206" s="3"/>
      <c r="BTO206" s="3"/>
      <c r="BTP206" s="3"/>
      <c r="BTQ206" s="3"/>
      <c r="BTR206" s="3"/>
      <c r="BTS206" s="3"/>
      <c r="BTT206" s="3"/>
      <c r="BTU206" s="3"/>
      <c r="BTV206" s="3"/>
      <c r="BTW206" s="3"/>
      <c r="BTX206" s="3"/>
      <c r="BTY206" s="3"/>
      <c r="BTZ206" s="3"/>
      <c r="BUA206" s="3"/>
      <c r="BUB206" s="3"/>
      <c r="BUC206" s="3"/>
      <c r="BUD206" s="3"/>
      <c r="BUE206" s="3"/>
      <c r="BUF206" s="3"/>
      <c r="BUG206" s="3"/>
      <c r="BUH206" s="3"/>
      <c r="BUI206" s="3"/>
      <c r="BUJ206" s="3"/>
      <c r="BUK206" s="3"/>
      <c r="BUL206" s="3"/>
      <c r="BUM206" s="3"/>
      <c r="BUN206" s="3"/>
      <c r="BUO206" s="3"/>
      <c r="BUP206" s="3"/>
      <c r="BUQ206" s="3"/>
      <c r="BUR206" s="3"/>
      <c r="BUS206" s="3"/>
      <c r="BUT206" s="3"/>
      <c r="BUU206" s="3"/>
      <c r="BUV206" s="3"/>
      <c r="BUW206" s="3"/>
      <c r="BUX206" s="3"/>
      <c r="BUY206" s="3"/>
      <c r="BUZ206" s="3"/>
      <c r="BVA206" s="3"/>
      <c r="BVB206" s="3"/>
      <c r="BVC206" s="3"/>
      <c r="BVD206" s="3"/>
      <c r="BVE206" s="3"/>
      <c r="BVF206" s="3"/>
      <c r="BVG206" s="3"/>
      <c r="BVH206" s="3"/>
      <c r="BVI206" s="3"/>
      <c r="BVJ206" s="3"/>
      <c r="BVK206" s="3"/>
      <c r="BVL206" s="3"/>
      <c r="BVM206" s="3"/>
      <c r="BVN206" s="3"/>
      <c r="BVO206" s="3"/>
      <c r="BVP206" s="3"/>
      <c r="BVQ206" s="3"/>
      <c r="BVR206" s="3"/>
      <c r="BVS206" s="3"/>
      <c r="BVT206" s="3"/>
      <c r="BVU206" s="3"/>
      <c r="BVV206" s="3"/>
      <c r="BVW206" s="3"/>
      <c r="BVX206" s="3"/>
      <c r="BVY206" s="3"/>
      <c r="BVZ206" s="3"/>
      <c r="BWA206" s="3"/>
      <c r="BWB206" s="3"/>
      <c r="BWC206" s="3"/>
      <c r="BWD206" s="3"/>
      <c r="BWE206" s="3"/>
      <c r="BWF206" s="3"/>
      <c r="BWG206" s="3"/>
      <c r="BWH206" s="3"/>
      <c r="BWI206" s="3"/>
      <c r="BWJ206" s="3"/>
      <c r="BWK206" s="3"/>
      <c r="BWL206" s="3"/>
      <c r="BWM206" s="3"/>
      <c r="BWN206" s="3"/>
      <c r="BWO206" s="3"/>
      <c r="BWP206" s="3"/>
      <c r="BWQ206" s="3"/>
      <c r="BWR206" s="3"/>
      <c r="BWS206" s="3"/>
      <c r="BWT206" s="3"/>
      <c r="BWU206" s="3"/>
      <c r="BWV206" s="3"/>
      <c r="BWW206" s="3"/>
      <c r="BWX206" s="3"/>
      <c r="BWY206" s="3"/>
      <c r="BWZ206" s="3"/>
      <c r="BXA206" s="3"/>
      <c r="BXB206" s="3"/>
      <c r="BXC206" s="3"/>
      <c r="BXD206" s="3"/>
      <c r="BXE206" s="3"/>
      <c r="BXF206" s="3"/>
      <c r="BXG206" s="3"/>
      <c r="BXH206" s="3"/>
      <c r="BXI206" s="3"/>
      <c r="BXJ206" s="3"/>
      <c r="BXK206" s="3"/>
      <c r="BXL206" s="3"/>
      <c r="BXM206" s="3"/>
      <c r="BXN206" s="3"/>
      <c r="BXO206" s="3"/>
      <c r="BXP206" s="3"/>
      <c r="BXQ206" s="3"/>
      <c r="BXR206" s="3"/>
      <c r="BXS206" s="3"/>
      <c r="BXT206" s="3"/>
      <c r="BXU206" s="3"/>
      <c r="BXV206" s="3"/>
      <c r="BXW206" s="3"/>
      <c r="BXX206" s="3"/>
      <c r="BXY206" s="3"/>
      <c r="BXZ206" s="3"/>
      <c r="BYA206" s="3"/>
      <c r="BYB206" s="3"/>
      <c r="BYC206" s="3"/>
      <c r="BYD206" s="3"/>
      <c r="BYE206" s="3"/>
      <c r="BYF206" s="3"/>
      <c r="BYG206" s="3"/>
      <c r="BYH206" s="3"/>
      <c r="BYI206" s="3"/>
      <c r="BYJ206" s="3"/>
      <c r="BYK206" s="3"/>
      <c r="BYL206" s="3"/>
      <c r="BYM206" s="3"/>
      <c r="BYN206" s="3"/>
      <c r="BYO206" s="3"/>
      <c r="BYP206" s="3"/>
      <c r="BYQ206" s="3"/>
      <c r="BYR206" s="3"/>
      <c r="BYS206" s="3"/>
      <c r="BYT206" s="3"/>
      <c r="BYU206" s="3"/>
      <c r="BYV206" s="3"/>
      <c r="BYW206" s="3"/>
      <c r="BYX206" s="3"/>
      <c r="BYY206" s="3"/>
      <c r="BYZ206" s="3"/>
      <c r="BZA206" s="3"/>
      <c r="BZB206" s="3"/>
      <c r="BZC206" s="3"/>
      <c r="BZD206" s="3"/>
      <c r="BZE206" s="3"/>
      <c r="BZF206" s="3"/>
      <c r="BZG206" s="3"/>
      <c r="BZH206" s="3"/>
      <c r="BZI206" s="3"/>
      <c r="BZJ206" s="3"/>
      <c r="BZK206" s="3"/>
      <c r="BZL206" s="3"/>
      <c r="BZM206" s="3"/>
      <c r="BZN206" s="3"/>
      <c r="BZO206" s="3"/>
      <c r="BZP206" s="3"/>
      <c r="BZQ206" s="3"/>
      <c r="BZR206" s="3"/>
      <c r="BZS206" s="3"/>
      <c r="BZT206" s="3"/>
      <c r="BZU206" s="3"/>
      <c r="BZV206" s="3"/>
      <c r="BZW206" s="3"/>
      <c r="BZX206" s="3"/>
      <c r="BZY206" s="3"/>
      <c r="BZZ206" s="3"/>
      <c r="CAA206" s="3"/>
      <c r="CAB206" s="3"/>
      <c r="CAC206" s="3"/>
      <c r="CAD206" s="3"/>
      <c r="CAE206" s="3"/>
      <c r="CAF206" s="3"/>
      <c r="CAG206" s="3"/>
      <c r="CAH206" s="3"/>
      <c r="CAI206" s="3"/>
      <c r="CAJ206" s="3"/>
      <c r="CAK206" s="3"/>
      <c r="CAL206" s="3"/>
      <c r="CAM206" s="3"/>
      <c r="CAN206" s="3"/>
      <c r="CAO206" s="3"/>
      <c r="CAP206" s="3"/>
      <c r="CAQ206" s="3"/>
      <c r="CAR206" s="3"/>
      <c r="CAS206" s="3"/>
      <c r="CAT206" s="3"/>
      <c r="CAU206" s="3"/>
      <c r="CAV206" s="3"/>
      <c r="CAW206" s="3"/>
      <c r="CAX206" s="3"/>
      <c r="CAY206" s="3"/>
      <c r="CAZ206" s="3"/>
      <c r="CBA206" s="3"/>
      <c r="CBB206" s="3"/>
      <c r="CBC206" s="3"/>
      <c r="CBD206" s="3"/>
      <c r="CBE206" s="3"/>
      <c r="CBF206" s="3"/>
      <c r="CBG206" s="3"/>
      <c r="CBH206" s="3"/>
      <c r="CBI206" s="3"/>
      <c r="CBJ206" s="3"/>
      <c r="CBK206" s="3"/>
      <c r="CBL206" s="3"/>
      <c r="CBM206" s="3"/>
      <c r="CBN206" s="3"/>
      <c r="CBO206" s="3"/>
      <c r="CBP206" s="3"/>
      <c r="CBQ206" s="3"/>
      <c r="CBR206" s="3"/>
      <c r="CBS206" s="3"/>
      <c r="CBT206" s="3"/>
      <c r="CBU206" s="3"/>
      <c r="CBV206" s="3"/>
      <c r="CBW206" s="3"/>
      <c r="CBX206" s="3"/>
      <c r="CBY206" s="3"/>
      <c r="CBZ206" s="3"/>
      <c r="CCA206" s="3"/>
      <c r="CCB206" s="3"/>
      <c r="CCC206" s="3"/>
      <c r="CCD206" s="3"/>
      <c r="CCE206" s="3"/>
      <c r="CCF206" s="3"/>
      <c r="CCG206" s="3"/>
      <c r="CCH206" s="3"/>
      <c r="CCI206" s="3"/>
      <c r="CCJ206" s="3"/>
      <c r="CCK206" s="3"/>
      <c r="CCL206" s="3"/>
      <c r="CCM206" s="3"/>
      <c r="CCN206" s="3"/>
      <c r="CCO206" s="3"/>
      <c r="CCP206" s="3"/>
      <c r="CCQ206" s="3"/>
      <c r="CCR206" s="3"/>
      <c r="CCS206" s="3"/>
      <c r="CCT206" s="3"/>
      <c r="CCU206" s="3"/>
      <c r="CCV206" s="3"/>
      <c r="CCW206" s="3"/>
      <c r="CCX206" s="3"/>
      <c r="CCY206" s="3"/>
      <c r="CCZ206" s="3"/>
      <c r="CDA206" s="3"/>
      <c r="CDB206" s="3"/>
      <c r="CDC206" s="3"/>
      <c r="CDD206" s="3"/>
      <c r="CDE206" s="3"/>
      <c r="CDF206" s="3"/>
      <c r="CDG206" s="3"/>
      <c r="CDH206" s="3"/>
      <c r="CDI206" s="3"/>
      <c r="CDJ206" s="3"/>
      <c r="CDK206" s="3"/>
      <c r="CDL206" s="3"/>
      <c r="CDM206" s="3"/>
      <c r="CDN206" s="3"/>
      <c r="CDO206" s="3"/>
      <c r="CDP206" s="3"/>
      <c r="CDQ206" s="3"/>
      <c r="CDR206" s="3"/>
      <c r="CDS206" s="3"/>
      <c r="CDT206" s="3"/>
      <c r="CDU206" s="3"/>
      <c r="CDV206" s="3"/>
      <c r="CDW206" s="3"/>
      <c r="CDX206" s="3"/>
      <c r="CDY206" s="3"/>
      <c r="CDZ206" s="3"/>
      <c r="CEA206" s="3"/>
      <c r="CEB206" s="3"/>
      <c r="CEC206" s="3"/>
      <c r="CED206" s="3"/>
      <c r="CEE206" s="3"/>
      <c r="CEF206" s="3"/>
      <c r="CEG206" s="3"/>
      <c r="CEH206" s="3"/>
      <c r="CEI206" s="3"/>
      <c r="CEJ206" s="3"/>
      <c r="CEK206" s="3"/>
      <c r="CEL206" s="3"/>
      <c r="CEM206" s="3"/>
      <c r="CEN206" s="3"/>
      <c r="CEO206" s="3"/>
      <c r="CEP206" s="3"/>
      <c r="CEQ206" s="3"/>
      <c r="CER206" s="3"/>
      <c r="CES206" s="3"/>
      <c r="CET206" s="3"/>
      <c r="CEU206" s="3"/>
      <c r="CEV206" s="3"/>
      <c r="CEW206" s="3"/>
      <c r="CEX206" s="3"/>
      <c r="CEY206" s="3"/>
      <c r="CEZ206" s="3"/>
      <c r="CFA206" s="3"/>
      <c r="CFB206" s="3"/>
      <c r="CFC206" s="3"/>
      <c r="CFD206" s="3"/>
      <c r="CFE206" s="3"/>
      <c r="CFF206" s="3"/>
      <c r="CFG206" s="3"/>
      <c r="CFH206" s="3"/>
      <c r="CFI206" s="3"/>
      <c r="CFJ206" s="3"/>
      <c r="CFK206" s="3"/>
      <c r="CFL206" s="3"/>
      <c r="CFM206" s="3"/>
      <c r="CFN206" s="3"/>
      <c r="CFO206" s="3"/>
      <c r="CFP206" s="3"/>
      <c r="CFQ206" s="3"/>
      <c r="CFR206" s="3"/>
      <c r="CFS206" s="3"/>
      <c r="CFT206" s="3"/>
      <c r="CFU206" s="3"/>
      <c r="CFV206" s="3"/>
      <c r="CFW206" s="3"/>
      <c r="CFX206" s="3"/>
      <c r="CFY206" s="3"/>
      <c r="CFZ206" s="3"/>
      <c r="CGA206" s="3"/>
      <c r="CGB206" s="3"/>
      <c r="CGC206" s="3"/>
      <c r="CGD206" s="3"/>
      <c r="CGE206" s="3"/>
      <c r="CGF206" s="3"/>
      <c r="CGG206" s="3"/>
      <c r="CGH206" s="3"/>
      <c r="CGI206" s="3"/>
      <c r="CGJ206" s="3"/>
      <c r="CGK206" s="3"/>
      <c r="CGL206" s="3"/>
      <c r="CGM206" s="3"/>
      <c r="CGN206" s="3"/>
      <c r="CGO206" s="3"/>
      <c r="CGP206" s="3"/>
      <c r="CGQ206" s="3"/>
      <c r="CGR206" s="3"/>
      <c r="CGS206" s="3"/>
      <c r="CGT206" s="3"/>
      <c r="CGU206" s="3"/>
      <c r="CGV206" s="3"/>
      <c r="CGW206" s="3"/>
      <c r="CGX206" s="3"/>
      <c r="CGY206" s="3"/>
      <c r="CGZ206" s="3"/>
      <c r="CHA206" s="3"/>
      <c r="CHB206" s="3"/>
      <c r="CHC206" s="3"/>
      <c r="CHD206" s="3"/>
      <c r="CHE206" s="3"/>
      <c r="CHF206" s="3"/>
      <c r="CHG206" s="3"/>
      <c r="CHH206" s="3"/>
      <c r="CHI206" s="3"/>
      <c r="CHJ206" s="3"/>
      <c r="CHK206" s="3"/>
      <c r="CHL206" s="3"/>
      <c r="CHM206" s="3"/>
      <c r="CHN206" s="3"/>
      <c r="CHO206" s="3"/>
      <c r="CHP206" s="3"/>
      <c r="CHQ206" s="3"/>
      <c r="CHR206" s="3"/>
      <c r="CHS206" s="3"/>
      <c r="CHT206" s="3"/>
      <c r="CHU206" s="3"/>
      <c r="CHV206" s="3"/>
      <c r="CHW206" s="3"/>
      <c r="CHX206" s="3"/>
      <c r="CHY206" s="3"/>
      <c r="CHZ206" s="3"/>
      <c r="CIA206" s="3"/>
      <c r="CIB206" s="3"/>
      <c r="CIC206" s="3"/>
      <c r="CID206" s="3"/>
      <c r="CIE206" s="3"/>
      <c r="CIF206" s="3"/>
      <c r="CIG206" s="3"/>
      <c r="CIH206" s="3"/>
      <c r="CII206" s="3"/>
      <c r="CIJ206" s="3"/>
      <c r="CIK206" s="3"/>
      <c r="CIL206" s="3"/>
      <c r="CIM206" s="3"/>
      <c r="CIN206" s="3"/>
      <c r="CIO206" s="3"/>
      <c r="CIP206" s="3"/>
      <c r="CIQ206" s="3"/>
      <c r="CIR206" s="3"/>
      <c r="CIS206" s="3"/>
      <c r="CIT206" s="3"/>
      <c r="CIU206" s="3"/>
      <c r="CIV206" s="3"/>
      <c r="CIW206" s="3"/>
      <c r="CIX206" s="3"/>
      <c r="CIY206" s="3"/>
      <c r="CIZ206" s="3"/>
      <c r="CJA206" s="3"/>
      <c r="CJB206" s="3"/>
      <c r="CJC206" s="3"/>
      <c r="CJD206" s="3"/>
      <c r="CJE206" s="3"/>
      <c r="CJF206" s="3"/>
      <c r="CJG206" s="3"/>
      <c r="CJH206" s="3"/>
      <c r="CJI206" s="3"/>
      <c r="CJJ206" s="3"/>
      <c r="CJK206" s="3"/>
      <c r="CJL206" s="3"/>
      <c r="CJM206" s="3"/>
      <c r="CJN206" s="3"/>
      <c r="CJO206" s="3"/>
      <c r="CJP206" s="3"/>
      <c r="CJQ206" s="3"/>
      <c r="CJR206" s="3"/>
      <c r="CJS206" s="3"/>
      <c r="CJT206" s="3"/>
      <c r="CJU206" s="3"/>
      <c r="CJV206" s="3"/>
      <c r="CJW206" s="3"/>
      <c r="CJX206" s="3"/>
      <c r="CJY206" s="3"/>
      <c r="CJZ206" s="3"/>
      <c r="CKA206" s="3"/>
      <c r="CKB206" s="3"/>
      <c r="CKC206" s="3"/>
      <c r="CKD206" s="3"/>
      <c r="CKE206" s="3"/>
      <c r="CKF206" s="3"/>
      <c r="CKG206" s="3"/>
      <c r="CKH206" s="3"/>
      <c r="CKI206" s="3"/>
      <c r="CKJ206" s="3"/>
      <c r="CKK206" s="3"/>
      <c r="CKL206" s="3"/>
      <c r="CKM206" s="3"/>
      <c r="CKN206" s="3"/>
      <c r="CKO206" s="3"/>
      <c r="CKP206" s="3"/>
      <c r="CKQ206" s="3"/>
      <c r="CKR206" s="3"/>
      <c r="CKS206" s="3"/>
      <c r="CKT206" s="3"/>
      <c r="CKU206" s="3"/>
      <c r="CKV206" s="3"/>
      <c r="CKW206" s="3"/>
      <c r="CKX206" s="3"/>
      <c r="CKY206" s="3"/>
      <c r="CKZ206" s="3"/>
      <c r="CLA206" s="3"/>
      <c r="CLB206" s="3"/>
      <c r="CLC206" s="3"/>
      <c r="CLD206" s="3"/>
      <c r="CLE206" s="3"/>
      <c r="CLF206" s="3"/>
      <c r="CLG206" s="3"/>
      <c r="CLH206" s="3"/>
      <c r="CLI206" s="3"/>
      <c r="CLJ206" s="3"/>
      <c r="CLK206" s="3"/>
      <c r="CLL206" s="3"/>
      <c r="CLM206" s="3"/>
      <c r="CLN206" s="3"/>
      <c r="CLO206" s="3"/>
      <c r="CLP206" s="3"/>
      <c r="CLQ206" s="3"/>
      <c r="CLR206" s="3"/>
      <c r="CLS206" s="3"/>
      <c r="CLT206" s="3"/>
      <c r="CLU206" s="3"/>
      <c r="CLV206" s="3"/>
      <c r="CLW206" s="3"/>
      <c r="CLX206" s="3"/>
      <c r="CLY206" s="3"/>
      <c r="CLZ206" s="3"/>
      <c r="CMA206" s="3"/>
      <c r="CMB206" s="3"/>
      <c r="CMC206" s="3"/>
      <c r="CMD206" s="3"/>
      <c r="CME206" s="3"/>
      <c r="CMF206" s="3"/>
      <c r="CMG206" s="3"/>
      <c r="CMH206" s="3"/>
      <c r="CMI206" s="3"/>
      <c r="CMJ206" s="3"/>
      <c r="CMK206" s="3"/>
      <c r="CML206" s="3"/>
      <c r="CMM206" s="3"/>
      <c r="CMN206" s="3"/>
      <c r="CMO206" s="3"/>
      <c r="CMP206" s="3"/>
      <c r="CMQ206" s="3"/>
      <c r="CMR206" s="3"/>
      <c r="CMS206" s="3"/>
      <c r="CMT206" s="3"/>
      <c r="CMU206" s="3"/>
      <c r="CMV206" s="3"/>
      <c r="CMW206" s="3"/>
      <c r="CMX206" s="3"/>
      <c r="CMY206" s="3"/>
      <c r="CMZ206" s="3"/>
      <c r="CNA206" s="3"/>
      <c r="CNB206" s="3"/>
      <c r="CNC206" s="3"/>
      <c r="CND206" s="3"/>
      <c r="CNE206" s="3"/>
      <c r="CNF206" s="3"/>
      <c r="CNG206" s="3"/>
      <c r="CNH206" s="3"/>
      <c r="CNI206" s="3"/>
      <c r="CNJ206" s="3"/>
      <c r="CNK206" s="3"/>
      <c r="CNL206" s="3"/>
      <c r="CNM206" s="3"/>
      <c r="CNN206" s="3"/>
      <c r="CNO206" s="3"/>
      <c r="CNP206" s="3"/>
      <c r="CNQ206" s="3"/>
      <c r="CNR206" s="3"/>
      <c r="CNS206" s="3"/>
      <c r="CNT206" s="3"/>
      <c r="CNU206" s="3"/>
      <c r="CNV206" s="3"/>
      <c r="CNW206" s="3"/>
      <c r="CNX206" s="3"/>
      <c r="CNY206" s="3"/>
      <c r="CNZ206" s="3"/>
      <c r="COA206" s="3"/>
      <c r="COB206" s="3"/>
      <c r="COC206" s="3"/>
      <c r="COD206" s="3"/>
      <c r="COE206" s="3"/>
      <c r="COF206" s="3"/>
      <c r="COG206" s="3"/>
      <c r="COH206" s="3"/>
      <c r="COI206" s="3"/>
      <c r="COJ206" s="3"/>
      <c r="COK206" s="3"/>
      <c r="COL206" s="3"/>
      <c r="COM206" s="3"/>
      <c r="CON206" s="3"/>
      <c r="COO206" s="3"/>
      <c r="COP206" s="3"/>
      <c r="COQ206" s="3"/>
      <c r="COR206" s="3"/>
      <c r="COS206" s="3"/>
      <c r="COT206" s="3"/>
      <c r="COU206" s="3"/>
      <c r="COV206" s="3"/>
      <c r="COW206" s="3"/>
      <c r="COX206" s="3"/>
      <c r="COY206" s="3"/>
      <c r="COZ206" s="3"/>
      <c r="CPA206" s="3"/>
      <c r="CPB206" s="3"/>
      <c r="CPC206" s="3"/>
      <c r="CPD206" s="3"/>
      <c r="CPE206" s="3"/>
      <c r="CPF206" s="3"/>
      <c r="CPG206" s="3"/>
      <c r="CPH206" s="3"/>
      <c r="CPI206" s="3"/>
      <c r="CPJ206" s="3"/>
      <c r="CPK206" s="3"/>
      <c r="CPL206" s="3"/>
      <c r="CPM206" s="3"/>
      <c r="CPN206" s="3"/>
      <c r="CPO206" s="3"/>
      <c r="CPP206" s="3"/>
      <c r="CPQ206" s="3"/>
      <c r="CPR206" s="3"/>
      <c r="CPS206" s="3"/>
      <c r="CPT206" s="3"/>
      <c r="CPU206" s="3"/>
      <c r="CPV206" s="3"/>
      <c r="CPW206" s="3"/>
      <c r="CPX206" s="3"/>
      <c r="CPY206" s="3"/>
      <c r="CPZ206" s="3"/>
      <c r="CQA206" s="3"/>
      <c r="CQB206" s="3"/>
      <c r="CQC206" s="3"/>
      <c r="CQD206" s="3"/>
      <c r="CQE206" s="3"/>
      <c r="CQF206" s="3"/>
      <c r="CQG206" s="3"/>
      <c r="CQH206" s="3"/>
      <c r="CQI206" s="3"/>
      <c r="CQJ206" s="3"/>
      <c r="CQK206" s="3"/>
      <c r="CQL206" s="3"/>
      <c r="CQM206" s="3"/>
      <c r="CQN206" s="3"/>
      <c r="CQO206" s="3"/>
      <c r="CQP206" s="3"/>
      <c r="CQQ206" s="3"/>
      <c r="CQR206" s="3"/>
      <c r="CQS206" s="3"/>
      <c r="CQT206" s="3"/>
      <c r="CQU206" s="3"/>
      <c r="CQV206" s="3"/>
      <c r="CQW206" s="3"/>
      <c r="CQX206" s="3"/>
      <c r="CQY206" s="3"/>
      <c r="CQZ206" s="3"/>
      <c r="CRA206" s="3"/>
      <c r="CRB206" s="3"/>
      <c r="CRC206" s="3"/>
      <c r="CRD206" s="3"/>
      <c r="CRE206" s="3"/>
      <c r="CRF206" s="3"/>
      <c r="CRG206" s="3"/>
      <c r="CRH206" s="3"/>
      <c r="CRI206" s="3"/>
      <c r="CRJ206" s="3"/>
      <c r="CRK206" s="3"/>
      <c r="CRL206" s="3"/>
      <c r="CRM206" s="3"/>
      <c r="CRN206" s="3"/>
      <c r="CRO206" s="3"/>
      <c r="CRP206" s="3"/>
      <c r="CRQ206" s="3"/>
      <c r="CRR206" s="3"/>
      <c r="CRS206" s="3"/>
      <c r="CRT206" s="3"/>
      <c r="CRU206" s="3"/>
      <c r="CRV206" s="3"/>
      <c r="CRW206" s="3"/>
      <c r="CRX206" s="3"/>
      <c r="CRY206" s="3"/>
      <c r="CRZ206" s="3"/>
      <c r="CSA206" s="3"/>
      <c r="CSB206" s="3"/>
      <c r="CSC206" s="3"/>
      <c r="CSD206" s="3"/>
      <c r="CSE206" s="3"/>
      <c r="CSF206" s="3"/>
      <c r="CSG206" s="3"/>
      <c r="CSH206" s="3"/>
      <c r="CSI206" s="3"/>
      <c r="CSJ206" s="3"/>
      <c r="CSK206" s="3"/>
      <c r="CSL206" s="3"/>
      <c r="CSM206" s="3"/>
      <c r="CSN206" s="3"/>
      <c r="CSO206" s="3"/>
      <c r="CSP206" s="3"/>
      <c r="CSQ206" s="3"/>
      <c r="CSR206" s="3"/>
      <c r="CSS206" s="3"/>
      <c r="CST206" s="3"/>
      <c r="CSU206" s="3"/>
      <c r="CSV206" s="3"/>
      <c r="CSW206" s="3"/>
      <c r="CSX206" s="3"/>
      <c r="CSY206" s="3"/>
      <c r="CSZ206" s="3"/>
      <c r="CTA206" s="3"/>
      <c r="CTB206" s="3"/>
      <c r="CTC206" s="3"/>
      <c r="CTD206" s="3"/>
      <c r="CTE206" s="3"/>
      <c r="CTF206" s="3"/>
      <c r="CTG206" s="3"/>
      <c r="CTH206" s="3"/>
      <c r="CTI206" s="3"/>
      <c r="CTJ206" s="3"/>
      <c r="CTK206" s="3"/>
      <c r="CTL206" s="3"/>
      <c r="CTM206" s="3"/>
      <c r="CTN206" s="3"/>
      <c r="CTO206" s="3"/>
      <c r="CTP206" s="3"/>
      <c r="CTQ206" s="3"/>
      <c r="CTR206" s="3"/>
      <c r="CTS206" s="3"/>
      <c r="CTT206" s="3"/>
      <c r="CTU206" s="3"/>
      <c r="CTV206" s="3"/>
      <c r="CTW206" s="3"/>
      <c r="CTX206" s="3"/>
      <c r="CTY206" s="3"/>
      <c r="CTZ206" s="3"/>
      <c r="CUA206" s="3"/>
      <c r="CUB206" s="3"/>
      <c r="CUC206" s="3"/>
      <c r="CUD206" s="3"/>
      <c r="CUE206" s="3"/>
      <c r="CUF206" s="3"/>
      <c r="CUG206" s="3"/>
      <c r="CUH206" s="3"/>
      <c r="CUI206" s="3"/>
      <c r="CUJ206" s="3"/>
      <c r="CUK206" s="3"/>
      <c r="CUL206" s="3"/>
      <c r="CUM206" s="3"/>
      <c r="CUN206" s="3"/>
      <c r="CUO206" s="3"/>
      <c r="CUP206" s="3"/>
      <c r="CUQ206" s="3"/>
      <c r="CUR206" s="3"/>
      <c r="CUS206" s="3"/>
      <c r="CUT206" s="3"/>
      <c r="CUU206" s="3"/>
      <c r="CUV206" s="3"/>
      <c r="CUW206" s="3"/>
      <c r="CUX206" s="3"/>
      <c r="CUY206" s="3"/>
      <c r="CUZ206" s="3"/>
      <c r="CVA206" s="3"/>
      <c r="CVB206" s="3"/>
      <c r="CVC206" s="3"/>
      <c r="CVD206" s="3"/>
      <c r="CVE206" s="3"/>
      <c r="CVF206" s="3"/>
      <c r="CVG206" s="3"/>
      <c r="CVH206" s="3"/>
      <c r="CVI206" s="3"/>
      <c r="CVJ206" s="3"/>
      <c r="CVK206" s="3"/>
      <c r="CVL206" s="3"/>
      <c r="CVM206" s="3"/>
      <c r="CVN206" s="3"/>
      <c r="CVO206" s="3"/>
      <c r="CVP206" s="3"/>
      <c r="CVQ206" s="3"/>
      <c r="CVR206" s="3"/>
      <c r="CVS206" s="3"/>
      <c r="CVT206" s="3"/>
      <c r="CVU206" s="3"/>
      <c r="CVV206" s="3"/>
      <c r="CVW206" s="3"/>
      <c r="CVX206" s="3"/>
      <c r="CVY206" s="3"/>
      <c r="CVZ206" s="3"/>
      <c r="CWA206" s="3"/>
      <c r="CWB206" s="3"/>
      <c r="CWC206" s="3"/>
      <c r="CWD206" s="3"/>
      <c r="CWE206" s="3"/>
      <c r="CWF206" s="3"/>
      <c r="CWG206" s="3"/>
      <c r="CWH206" s="3"/>
      <c r="CWI206" s="3"/>
      <c r="CWJ206" s="3"/>
      <c r="CWK206" s="3"/>
      <c r="CWL206" s="3"/>
      <c r="CWM206" s="3"/>
      <c r="CWN206" s="3"/>
      <c r="CWO206" s="3"/>
      <c r="CWP206" s="3"/>
      <c r="CWQ206" s="3"/>
      <c r="CWR206" s="3"/>
      <c r="CWS206" s="3"/>
      <c r="CWT206" s="3"/>
      <c r="CWU206" s="3"/>
      <c r="CWV206" s="3"/>
      <c r="CWW206" s="3"/>
      <c r="CWX206" s="3"/>
      <c r="CWY206" s="3"/>
      <c r="CWZ206" s="3"/>
      <c r="CXA206" s="3"/>
      <c r="CXB206" s="3"/>
      <c r="CXC206" s="3"/>
      <c r="CXD206" s="3"/>
      <c r="CXE206" s="3"/>
      <c r="CXF206" s="3"/>
      <c r="CXG206" s="3"/>
      <c r="CXH206" s="3"/>
      <c r="CXI206" s="3"/>
      <c r="CXJ206" s="3"/>
      <c r="CXK206" s="3"/>
      <c r="CXL206" s="3"/>
      <c r="CXM206" s="3"/>
      <c r="CXN206" s="3"/>
      <c r="CXO206" s="3"/>
      <c r="CXP206" s="3"/>
      <c r="CXQ206" s="3"/>
      <c r="CXR206" s="3"/>
      <c r="CXS206" s="3"/>
      <c r="CXT206" s="3"/>
      <c r="CXU206" s="3"/>
      <c r="CXV206" s="3"/>
      <c r="CXW206" s="3"/>
      <c r="CXX206" s="3"/>
      <c r="CXY206" s="3"/>
      <c r="CXZ206" s="3"/>
      <c r="CYA206" s="3"/>
      <c r="CYB206" s="3"/>
      <c r="CYC206" s="3"/>
      <c r="CYD206" s="3"/>
      <c r="CYE206" s="3"/>
      <c r="CYF206" s="3"/>
      <c r="CYG206" s="3"/>
      <c r="CYH206" s="3"/>
      <c r="CYI206" s="3"/>
      <c r="CYJ206" s="3"/>
      <c r="CYK206" s="3"/>
      <c r="CYL206" s="3"/>
      <c r="CYM206" s="3"/>
      <c r="CYN206" s="3"/>
      <c r="CYO206" s="3"/>
      <c r="CYP206" s="3"/>
      <c r="CYQ206" s="3"/>
      <c r="CYR206" s="3"/>
      <c r="CYS206" s="3"/>
      <c r="CYT206" s="3"/>
      <c r="CYU206" s="3"/>
      <c r="CYV206" s="3"/>
      <c r="CYW206" s="3"/>
      <c r="CYX206" s="3"/>
      <c r="CYY206" s="3"/>
      <c r="CYZ206" s="3"/>
      <c r="CZA206" s="3"/>
      <c r="CZB206" s="3"/>
      <c r="CZC206" s="3"/>
      <c r="CZD206" s="3"/>
      <c r="CZE206" s="3"/>
      <c r="CZF206" s="3"/>
      <c r="CZG206" s="3"/>
      <c r="CZH206" s="3"/>
      <c r="CZI206" s="3"/>
      <c r="CZJ206" s="3"/>
      <c r="CZK206" s="3"/>
      <c r="CZL206" s="3"/>
      <c r="CZM206" s="3"/>
      <c r="CZN206" s="3"/>
      <c r="CZO206" s="3"/>
      <c r="CZP206" s="3"/>
      <c r="CZQ206" s="3"/>
      <c r="CZR206" s="3"/>
      <c r="CZS206" s="3"/>
      <c r="CZT206" s="3"/>
      <c r="CZU206" s="3"/>
      <c r="CZV206" s="3"/>
      <c r="CZW206" s="3"/>
      <c r="CZX206" s="3"/>
      <c r="CZY206" s="3"/>
      <c r="CZZ206" s="3"/>
      <c r="DAA206" s="3"/>
      <c r="DAB206" s="3"/>
      <c r="DAC206" s="3"/>
      <c r="DAD206" s="3"/>
      <c r="DAE206" s="3"/>
      <c r="DAF206" s="3"/>
      <c r="DAG206" s="3"/>
      <c r="DAH206" s="3"/>
      <c r="DAI206" s="3"/>
      <c r="DAJ206" s="3"/>
      <c r="DAK206" s="3"/>
      <c r="DAL206" s="3"/>
      <c r="DAM206" s="3"/>
      <c r="DAN206" s="3"/>
      <c r="DAO206" s="3"/>
      <c r="DAP206" s="3"/>
      <c r="DAQ206" s="3"/>
      <c r="DAR206" s="3"/>
      <c r="DAS206" s="3"/>
      <c r="DAT206" s="3"/>
      <c r="DAU206" s="3"/>
      <c r="DAV206" s="3"/>
      <c r="DAW206" s="3"/>
      <c r="DAX206" s="3"/>
      <c r="DAY206" s="3"/>
      <c r="DAZ206" s="3"/>
      <c r="DBA206" s="3"/>
      <c r="DBB206" s="3"/>
      <c r="DBC206" s="3"/>
      <c r="DBD206" s="3"/>
      <c r="DBE206" s="3"/>
      <c r="DBF206" s="3"/>
      <c r="DBG206" s="3"/>
      <c r="DBH206" s="3"/>
      <c r="DBI206" s="3"/>
      <c r="DBJ206" s="3"/>
      <c r="DBK206" s="3"/>
      <c r="DBL206" s="3"/>
      <c r="DBM206" s="3"/>
      <c r="DBN206" s="3"/>
      <c r="DBO206" s="3"/>
      <c r="DBP206" s="3"/>
      <c r="DBQ206" s="3"/>
      <c r="DBR206" s="3"/>
      <c r="DBS206" s="3"/>
      <c r="DBT206" s="3"/>
      <c r="DBU206" s="3"/>
      <c r="DBV206" s="3"/>
      <c r="DBW206" s="3"/>
      <c r="DBX206" s="3"/>
      <c r="DBY206" s="3"/>
      <c r="DBZ206" s="3"/>
      <c r="DCA206" s="3"/>
      <c r="DCB206" s="3"/>
      <c r="DCC206" s="3"/>
      <c r="DCD206" s="3"/>
      <c r="DCE206" s="3"/>
      <c r="DCF206" s="3"/>
      <c r="DCG206" s="3"/>
      <c r="DCH206" s="3"/>
      <c r="DCI206" s="3"/>
      <c r="DCJ206" s="3"/>
      <c r="DCK206" s="3"/>
      <c r="DCL206" s="3"/>
      <c r="DCM206" s="3"/>
      <c r="DCN206" s="3"/>
      <c r="DCO206" s="3"/>
      <c r="DCP206" s="3"/>
      <c r="DCQ206" s="3"/>
      <c r="DCR206" s="3"/>
      <c r="DCS206" s="3"/>
      <c r="DCT206" s="3"/>
      <c r="DCU206" s="3"/>
      <c r="DCV206" s="3"/>
      <c r="DCW206" s="3"/>
      <c r="DCX206" s="3"/>
      <c r="DCY206" s="3"/>
      <c r="DCZ206" s="3"/>
      <c r="DDA206" s="3"/>
      <c r="DDB206" s="3"/>
      <c r="DDC206" s="3"/>
      <c r="DDD206" s="3"/>
      <c r="DDE206" s="3"/>
      <c r="DDF206" s="3"/>
      <c r="DDG206" s="3"/>
      <c r="DDH206" s="3"/>
      <c r="DDI206" s="3"/>
      <c r="DDJ206" s="3"/>
      <c r="DDK206" s="3"/>
      <c r="DDL206" s="3"/>
      <c r="DDM206" s="3"/>
      <c r="DDN206" s="3"/>
      <c r="DDO206" s="3"/>
      <c r="DDP206" s="3"/>
      <c r="DDQ206" s="3"/>
      <c r="DDR206" s="3"/>
      <c r="DDS206" s="3"/>
      <c r="DDT206" s="3"/>
      <c r="DDU206" s="3"/>
      <c r="DDV206" s="3"/>
      <c r="DDW206" s="3"/>
      <c r="DDX206" s="3"/>
      <c r="DDY206" s="3"/>
      <c r="DDZ206" s="3"/>
      <c r="DEA206" s="3"/>
      <c r="DEB206" s="3"/>
      <c r="DEC206" s="3"/>
      <c r="DED206" s="3"/>
      <c r="DEE206" s="3"/>
      <c r="DEF206" s="3"/>
      <c r="DEG206" s="3"/>
      <c r="DEH206" s="3"/>
      <c r="DEI206" s="3"/>
      <c r="DEJ206" s="3"/>
      <c r="DEK206" s="3"/>
      <c r="DEL206" s="3"/>
      <c r="DEM206" s="3"/>
      <c r="DEN206" s="3"/>
      <c r="DEO206" s="3"/>
      <c r="DEP206" s="3"/>
      <c r="DEQ206" s="3"/>
      <c r="DER206" s="3"/>
      <c r="DES206" s="3"/>
      <c r="DET206" s="3"/>
      <c r="DEU206" s="3"/>
      <c r="DEV206" s="3"/>
      <c r="DEW206" s="3"/>
      <c r="DEX206" s="3"/>
      <c r="DEY206" s="3"/>
      <c r="DEZ206" s="3"/>
      <c r="DFA206" s="3"/>
      <c r="DFB206" s="3"/>
      <c r="DFC206" s="3"/>
      <c r="DFD206" s="3"/>
      <c r="DFE206" s="3"/>
      <c r="DFF206" s="3"/>
      <c r="DFG206" s="3"/>
      <c r="DFH206" s="3"/>
      <c r="DFI206" s="3"/>
      <c r="DFJ206" s="3"/>
      <c r="DFK206" s="3"/>
      <c r="DFL206" s="3"/>
      <c r="DFM206" s="3"/>
      <c r="DFN206" s="3"/>
      <c r="DFO206" s="3"/>
      <c r="DFP206" s="3"/>
      <c r="DFQ206" s="3"/>
      <c r="DFR206" s="3"/>
      <c r="DFS206" s="3"/>
      <c r="DFT206" s="3"/>
      <c r="DFU206" s="3"/>
      <c r="DFV206" s="3"/>
      <c r="DFW206" s="3"/>
      <c r="DFX206" s="3"/>
      <c r="DFY206" s="3"/>
      <c r="DFZ206" s="3"/>
      <c r="DGA206" s="3"/>
      <c r="DGB206" s="3"/>
      <c r="DGC206" s="3"/>
      <c r="DGD206" s="3"/>
      <c r="DGE206" s="3"/>
      <c r="DGF206" s="3"/>
      <c r="DGG206" s="3"/>
      <c r="DGH206" s="3"/>
      <c r="DGI206" s="3"/>
      <c r="DGJ206" s="3"/>
      <c r="DGK206" s="3"/>
      <c r="DGL206" s="3"/>
      <c r="DGM206" s="3"/>
      <c r="DGN206" s="3"/>
      <c r="DGO206" s="3"/>
      <c r="DGP206" s="3"/>
      <c r="DGQ206" s="3"/>
      <c r="DGR206" s="3"/>
      <c r="DGS206" s="3"/>
      <c r="DGT206" s="3"/>
      <c r="DGU206" s="3"/>
      <c r="DGV206" s="3"/>
      <c r="DGW206" s="3"/>
      <c r="DGX206" s="3"/>
      <c r="DGY206" s="3"/>
      <c r="DGZ206" s="3"/>
      <c r="DHA206" s="3"/>
      <c r="DHB206" s="3"/>
      <c r="DHC206" s="3"/>
      <c r="DHD206" s="3"/>
      <c r="DHE206" s="3"/>
      <c r="DHF206" s="3"/>
      <c r="DHG206" s="3"/>
      <c r="DHH206" s="3"/>
      <c r="DHI206" s="3"/>
      <c r="DHJ206" s="3"/>
      <c r="DHK206" s="3"/>
      <c r="DHL206" s="3"/>
      <c r="DHM206" s="3"/>
      <c r="DHN206" s="3"/>
      <c r="DHO206" s="3"/>
      <c r="DHP206" s="3"/>
      <c r="DHQ206" s="3"/>
      <c r="DHR206" s="3"/>
      <c r="DHS206" s="3"/>
      <c r="DHT206" s="3"/>
      <c r="DHU206" s="3"/>
      <c r="DHV206" s="3"/>
      <c r="DHW206" s="3"/>
      <c r="DHX206" s="3"/>
      <c r="DHY206" s="3"/>
      <c r="DHZ206" s="3"/>
      <c r="DIA206" s="3"/>
      <c r="DIB206" s="3"/>
      <c r="DIC206" s="3"/>
      <c r="DID206" s="3"/>
      <c r="DIE206" s="3"/>
      <c r="DIF206" s="3"/>
      <c r="DIG206" s="3"/>
      <c r="DIH206" s="3"/>
      <c r="DII206" s="3"/>
      <c r="DIJ206" s="3"/>
      <c r="DIK206" s="3"/>
      <c r="DIL206" s="3"/>
      <c r="DIM206" s="3"/>
      <c r="DIN206" s="3"/>
      <c r="DIO206" s="3"/>
      <c r="DIP206" s="3"/>
      <c r="DIQ206" s="3"/>
      <c r="DIR206" s="3"/>
      <c r="DIS206" s="3"/>
      <c r="DIT206" s="3"/>
      <c r="DIU206" s="3"/>
      <c r="DIV206" s="3"/>
      <c r="DIW206" s="3"/>
      <c r="DIX206" s="3"/>
      <c r="DIY206" s="3"/>
      <c r="DIZ206" s="3"/>
      <c r="DJA206" s="3"/>
      <c r="DJB206" s="3"/>
      <c r="DJC206" s="3"/>
      <c r="DJD206" s="3"/>
      <c r="DJE206" s="3"/>
      <c r="DJF206" s="3"/>
      <c r="DJG206" s="3"/>
      <c r="DJH206" s="3"/>
      <c r="DJI206" s="3"/>
      <c r="DJJ206" s="3"/>
      <c r="DJK206" s="3"/>
      <c r="DJL206" s="3"/>
      <c r="DJM206" s="3"/>
      <c r="DJN206" s="3"/>
      <c r="DJO206" s="3"/>
      <c r="DJP206" s="3"/>
      <c r="DJQ206" s="3"/>
      <c r="DJR206" s="3"/>
      <c r="DJS206" s="3"/>
      <c r="DJT206" s="3"/>
      <c r="DJU206" s="3"/>
      <c r="DJV206" s="3"/>
      <c r="DJW206" s="3"/>
      <c r="DJX206" s="3"/>
      <c r="DJY206" s="3"/>
      <c r="DJZ206" s="3"/>
      <c r="DKA206" s="3"/>
      <c r="DKB206" s="3"/>
      <c r="DKC206" s="3"/>
      <c r="DKD206" s="3"/>
      <c r="DKE206" s="3"/>
      <c r="DKF206" s="3"/>
      <c r="DKG206" s="3"/>
      <c r="DKH206" s="3"/>
      <c r="DKI206" s="3"/>
      <c r="DKJ206" s="3"/>
      <c r="DKK206" s="3"/>
      <c r="DKL206" s="3"/>
      <c r="DKM206" s="3"/>
      <c r="DKN206" s="3"/>
      <c r="DKO206" s="3"/>
      <c r="DKP206" s="3"/>
      <c r="DKQ206" s="3"/>
      <c r="DKR206" s="3"/>
      <c r="DKS206" s="3"/>
      <c r="DKT206" s="3"/>
      <c r="DKU206" s="3"/>
      <c r="DKV206" s="3"/>
      <c r="DKW206" s="3"/>
      <c r="DKX206" s="3"/>
      <c r="DKY206" s="3"/>
      <c r="DKZ206" s="3"/>
      <c r="DLA206" s="3"/>
      <c r="DLB206" s="3"/>
      <c r="DLC206" s="3"/>
      <c r="DLD206" s="3"/>
      <c r="DLE206" s="3"/>
      <c r="DLF206" s="3"/>
      <c r="DLG206" s="3"/>
      <c r="DLH206" s="3"/>
      <c r="DLI206" s="3"/>
      <c r="DLJ206" s="3"/>
      <c r="DLK206" s="3"/>
      <c r="DLL206" s="3"/>
      <c r="DLM206" s="3"/>
      <c r="DLN206" s="3"/>
      <c r="DLO206" s="3"/>
      <c r="DLP206" s="3"/>
      <c r="DLQ206" s="3"/>
      <c r="DLR206" s="3"/>
      <c r="DLS206" s="3"/>
      <c r="DLT206" s="3"/>
      <c r="DLU206" s="3"/>
      <c r="DLV206" s="3"/>
      <c r="DLW206" s="3"/>
      <c r="DLX206" s="3"/>
      <c r="DLY206" s="3"/>
      <c r="DLZ206" s="3"/>
      <c r="DMA206" s="3"/>
      <c r="DMB206" s="3"/>
      <c r="DMC206" s="3"/>
      <c r="DMD206" s="3"/>
      <c r="DME206" s="3"/>
      <c r="DMF206" s="3"/>
      <c r="DMG206" s="3"/>
      <c r="DMH206" s="3"/>
      <c r="DMI206" s="3"/>
      <c r="DMJ206" s="3"/>
      <c r="DMK206" s="3"/>
      <c r="DML206" s="3"/>
      <c r="DMM206" s="3"/>
      <c r="DMN206" s="3"/>
      <c r="DMO206" s="3"/>
      <c r="DMP206" s="3"/>
      <c r="DMQ206" s="3"/>
      <c r="DMR206" s="3"/>
      <c r="DMS206" s="3"/>
      <c r="DMT206" s="3"/>
      <c r="DMU206" s="3"/>
      <c r="DMV206" s="3"/>
      <c r="DMW206" s="3"/>
      <c r="DMX206" s="3"/>
      <c r="DMY206" s="3"/>
      <c r="DMZ206" s="3"/>
      <c r="DNA206" s="3"/>
      <c r="DNB206" s="3"/>
      <c r="DNC206" s="3"/>
      <c r="DND206" s="3"/>
      <c r="DNE206" s="3"/>
      <c r="DNF206" s="3"/>
      <c r="DNG206" s="3"/>
      <c r="DNH206" s="3"/>
      <c r="DNI206" s="3"/>
      <c r="DNJ206" s="3"/>
      <c r="DNK206" s="3"/>
      <c r="DNL206" s="3"/>
      <c r="DNM206" s="3"/>
      <c r="DNN206" s="3"/>
      <c r="DNO206" s="3"/>
      <c r="DNP206" s="3"/>
      <c r="DNQ206" s="3"/>
      <c r="DNR206" s="3"/>
      <c r="DNS206" s="3"/>
      <c r="DNT206" s="3"/>
      <c r="DNU206" s="3"/>
      <c r="DNV206" s="3"/>
      <c r="DNW206" s="3"/>
      <c r="DNX206" s="3"/>
      <c r="DNY206" s="3"/>
      <c r="DNZ206" s="3"/>
      <c r="DOA206" s="3"/>
      <c r="DOB206" s="3"/>
      <c r="DOC206" s="3"/>
      <c r="DOD206" s="3"/>
      <c r="DOE206" s="3"/>
      <c r="DOF206" s="3"/>
      <c r="DOG206" s="3"/>
      <c r="DOH206" s="3"/>
      <c r="DOI206" s="3"/>
      <c r="DOJ206" s="3"/>
      <c r="DOK206" s="3"/>
      <c r="DOL206" s="3"/>
      <c r="DOM206" s="3"/>
      <c r="DON206" s="3"/>
      <c r="DOO206" s="3"/>
      <c r="DOP206" s="3"/>
      <c r="DOQ206" s="3"/>
      <c r="DOR206" s="3"/>
      <c r="DOS206" s="3"/>
      <c r="DOT206" s="3"/>
      <c r="DOU206" s="3"/>
      <c r="DOV206" s="3"/>
      <c r="DOW206" s="3"/>
      <c r="DOX206" s="3"/>
      <c r="DOY206" s="3"/>
      <c r="DOZ206" s="3"/>
      <c r="DPA206" s="3"/>
      <c r="DPB206" s="3"/>
      <c r="DPC206" s="3"/>
      <c r="DPD206" s="3"/>
      <c r="DPE206" s="3"/>
      <c r="DPF206" s="3"/>
      <c r="DPG206" s="3"/>
      <c r="DPH206" s="3"/>
      <c r="DPI206" s="3"/>
      <c r="DPJ206" s="3"/>
      <c r="DPK206" s="3"/>
      <c r="DPL206" s="3"/>
      <c r="DPM206" s="3"/>
      <c r="DPN206" s="3"/>
      <c r="DPO206" s="3"/>
      <c r="DPP206" s="3"/>
      <c r="DPQ206" s="3"/>
      <c r="DPR206" s="3"/>
      <c r="DPS206" s="3"/>
      <c r="DPT206" s="3"/>
      <c r="DPU206" s="3"/>
      <c r="DPV206" s="3"/>
      <c r="DPW206" s="3"/>
      <c r="DPX206" s="3"/>
      <c r="DPY206" s="3"/>
      <c r="DPZ206" s="3"/>
      <c r="DQA206" s="3"/>
      <c r="DQB206" s="3"/>
      <c r="DQC206" s="3"/>
      <c r="DQD206" s="3"/>
      <c r="DQE206" s="3"/>
      <c r="DQF206" s="3"/>
      <c r="DQG206" s="3"/>
      <c r="DQH206" s="3"/>
      <c r="DQI206" s="3"/>
      <c r="DQJ206" s="3"/>
      <c r="DQK206" s="3"/>
      <c r="DQL206" s="3"/>
      <c r="DQM206" s="3"/>
      <c r="DQN206" s="3"/>
      <c r="DQO206" s="3"/>
      <c r="DQP206" s="3"/>
      <c r="DQQ206" s="3"/>
      <c r="DQR206" s="3"/>
      <c r="DQS206" s="3"/>
      <c r="DQT206" s="3"/>
      <c r="DQU206" s="3"/>
      <c r="DQV206" s="3"/>
      <c r="DQW206" s="3"/>
      <c r="DQX206" s="3"/>
      <c r="DQY206" s="3"/>
      <c r="DQZ206" s="3"/>
      <c r="DRA206" s="3"/>
      <c r="DRB206" s="3"/>
      <c r="DRC206" s="3"/>
      <c r="DRD206" s="3"/>
      <c r="DRE206" s="3"/>
      <c r="DRF206" s="3"/>
      <c r="DRG206" s="3"/>
      <c r="DRH206" s="3"/>
      <c r="DRI206" s="3"/>
      <c r="DRJ206" s="3"/>
      <c r="DRK206" s="3"/>
      <c r="DRL206" s="3"/>
      <c r="DRM206" s="3"/>
      <c r="DRN206" s="3"/>
      <c r="DRO206" s="3"/>
      <c r="DRP206" s="3"/>
      <c r="DRQ206" s="3"/>
      <c r="DRR206" s="3"/>
      <c r="DRS206" s="3"/>
      <c r="DRT206" s="3"/>
      <c r="DRU206" s="3"/>
      <c r="DRV206" s="3"/>
      <c r="DRW206" s="3"/>
      <c r="DRX206" s="3"/>
      <c r="DRY206" s="3"/>
      <c r="DRZ206" s="3"/>
      <c r="DSA206" s="3"/>
      <c r="DSB206" s="3"/>
      <c r="DSC206" s="3"/>
      <c r="DSD206" s="3"/>
      <c r="DSE206" s="3"/>
      <c r="DSF206" s="3"/>
      <c r="DSG206" s="3"/>
      <c r="DSH206" s="3"/>
      <c r="DSI206" s="3"/>
      <c r="DSJ206" s="3"/>
      <c r="DSK206" s="3"/>
      <c r="DSL206" s="3"/>
      <c r="DSM206" s="3"/>
      <c r="DSN206" s="3"/>
      <c r="DSO206" s="3"/>
      <c r="DSP206" s="3"/>
      <c r="DSQ206" s="3"/>
      <c r="DSR206" s="3"/>
      <c r="DSS206" s="3"/>
      <c r="DST206" s="3"/>
      <c r="DSU206" s="3"/>
      <c r="DSV206" s="3"/>
      <c r="DSW206" s="3"/>
      <c r="DSX206" s="3"/>
      <c r="DSY206" s="3"/>
      <c r="DSZ206" s="3"/>
      <c r="DTA206" s="3"/>
      <c r="DTB206" s="3"/>
      <c r="DTC206" s="3"/>
      <c r="DTD206" s="3"/>
      <c r="DTE206" s="3"/>
      <c r="DTF206" s="3"/>
      <c r="DTG206" s="3"/>
      <c r="DTH206" s="3"/>
      <c r="DTI206" s="3"/>
      <c r="DTJ206" s="3"/>
      <c r="DTK206" s="3"/>
      <c r="DTL206" s="3"/>
      <c r="DTM206" s="3"/>
      <c r="DTN206" s="3"/>
      <c r="DTO206" s="3"/>
      <c r="DTP206" s="3"/>
      <c r="DTQ206" s="3"/>
      <c r="DTR206" s="3"/>
      <c r="DTS206" s="3"/>
      <c r="DTT206" s="3"/>
      <c r="DTU206" s="3"/>
      <c r="DTV206" s="3"/>
      <c r="DTW206" s="3"/>
      <c r="DTX206" s="3"/>
      <c r="DTY206" s="3"/>
      <c r="DTZ206" s="3"/>
      <c r="DUA206" s="3"/>
      <c r="DUB206" s="3"/>
      <c r="DUC206" s="3"/>
      <c r="DUD206" s="3"/>
      <c r="DUE206" s="3"/>
      <c r="DUF206" s="3"/>
      <c r="DUG206" s="3"/>
      <c r="DUH206" s="3"/>
      <c r="DUI206" s="3"/>
      <c r="DUJ206" s="3"/>
      <c r="DUK206" s="3"/>
      <c r="DUL206" s="3"/>
      <c r="DUM206" s="3"/>
      <c r="DUN206" s="3"/>
      <c r="DUO206" s="3"/>
      <c r="DUP206" s="3"/>
      <c r="DUQ206" s="3"/>
      <c r="DUR206" s="3"/>
      <c r="DUS206" s="3"/>
      <c r="DUT206" s="3"/>
      <c r="DUU206" s="3"/>
      <c r="DUV206" s="3"/>
      <c r="DUW206" s="3"/>
      <c r="DUX206" s="3"/>
      <c r="DUY206" s="3"/>
      <c r="DUZ206" s="3"/>
      <c r="DVA206" s="3"/>
      <c r="DVB206" s="3"/>
      <c r="DVC206" s="3"/>
      <c r="DVD206" s="3"/>
      <c r="DVE206" s="3"/>
      <c r="DVF206" s="3"/>
      <c r="DVG206" s="3"/>
      <c r="DVH206" s="3"/>
      <c r="DVI206" s="3"/>
      <c r="DVJ206" s="3"/>
      <c r="DVK206" s="3"/>
      <c r="DVL206" s="3"/>
      <c r="DVM206" s="3"/>
      <c r="DVN206" s="3"/>
      <c r="DVO206" s="3"/>
      <c r="DVP206" s="3"/>
      <c r="DVQ206" s="3"/>
      <c r="DVR206" s="3"/>
      <c r="DVS206" s="3"/>
      <c r="DVT206" s="3"/>
      <c r="DVU206" s="3"/>
      <c r="DVV206" s="3"/>
      <c r="DVW206" s="3"/>
      <c r="DVX206" s="3"/>
      <c r="DVY206" s="3"/>
      <c r="DVZ206" s="3"/>
      <c r="DWA206" s="3"/>
      <c r="DWB206" s="3"/>
      <c r="DWC206" s="3"/>
      <c r="DWD206" s="3"/>
      <c r="DWE206" s="3"/>
      <c r="DWF206" s="3"/>
      <c r="DWG206" s="3"/>
      <c r="DWH206" s="3"/>
      <c r="DWI206" s="3"/>
      <c r="DWJ206" s="3"/>
      <c r="DWK206" s="3"/>
      <c r="DWL206" s="3"/>
      <c r="DWM206" s="3"/>
      <c r="DWN206" s="3"/>
      <c r="DWO206" s="3"/>
      <c r="DWP206" s="3"/>
      <c r="DWQ206" s="3"/>
      <c r="DWR206" s="3"/>
      <c r="DWS206" s="3"/>
      <c r="DWT206" s="3"/>
      <c r="DWU206" s="3"/>
      <c r="DWV206" s="3"/>
      <c r="DWW206" s="3"/>
      <c r="DWX206" s="3"/>
      <c r="DWY206" s="3"/>
      <c r="DWZ206" s="3"/>
      <c r="DXA206" s="3"/>
      <c r="DXB206" s="3"/>
      <c r="DXC206" s="3"/>
      <c r="DXD206" s="3"/>
      <c r="DXE206" s="3"/>
      <c r="DXF206" s="3"/>
      <c r="DXG206" s="3"/>
      <c r="DXH206" s="3"/>
      <c r="DXI206" s="3"/>
      <c r="DXJ206" s="3"/>
      <c r="DXK206" s="3"/>
      <c r="DXL206" s="3"/>
      <c r="DXM206" s="3"/>
      <c r="DXN206" s="3"/>
      <c r="DXO206" s="3"/>
      <c r="DXP206" s="3"/>
      <c r="DXQ206" s="3"/>
      <c r="DXR206" s="3"/>
      <c r="DXS206" s="3"/>
      <c r="DXT206" s="3"/>
      <c r="DXU206" s="3"/>
      <c r="DXV206" s="3"/>
      <c r="DXW206" s="3"/>
      <c r="DXX206" s="3"/>
      <c r="DXY206" s="3"/>
      <c r="DXZ206" s="3"/>
      <c r="DYA206" s="3"/>
      <c r="DYB206" s="3"/>
      <c r="DYC206" s="3"/>
      <c r="DYD206" s="3"/>
      <c r="DYE206" s="3"/>
      <c r="DYF206" s="3"/>
      <c r="DYG206" s="3"/>
      <c r="DYH206" s="3"/>
      <c r="DYI206" s="3"/>
      <c r="DYJ206" s="3"/>
      <c r="DYK206" s="3"/>
      <c r="DYL206" s="3"/>
      <c r="DYM206" s="3"/>
      <c r="DYN206" s="3"/>
      <c r="DYO206" s="3"/>
      <c r="DYP206" s="3"/>
      <c r="DYQ206" s="3"/>
      <c r="DYR206" s="3"/>
      <c r="DYS206" s="3"/>
      <c r="DYT206" s="3"/>
      <c r="DYU206" s="3"/>
      <c r="DYV206" s="3"/>
      <c r="DYW206" s="3"/>
      <c r="DYX206" s="3"/>
      <c r="DYY206" s="3"/>
      <c r="DYZ206" s="3"/>
      <c r="DZA206" s="3"/>
      <c r="DZB206" s="3"/>
      <c r="DZC206" s="3"/>
      <c r="DZD206" s="3"/>
      <c r="DZE206" s="3"/>
      <c r="DZF206" s="3"/>
      <c r="DZG206" s="3"/>
      <c r="DZH206" s="3"/>
      <c r="DZI206" s="3"/>
      <c r="DZJ206" s="3"/>
      <c r="DZK206" s="3"/>
      <c r="DZL206" s="3"/>
      <c r="DZM206" s="3"/>
      <c r="DZN206" s="3"/>
      <c r="DZO206" s="3"/>
      <c r="DZP206" s="3"/>
      <c r="DZQ206" s="3"/>
      <c r="DZR206" s="3"/>
      <c r="DZS206" s="3"/>
      <c r="DZT206" s="3"/>
      <c r="DZU206" s="3"/>
      <c r="DZV206" s="3"/>
      <c r="DZW206" s="3"/>
      <c r="DZX206" s="3"/>
      <c r="DZY206" s="3"/>
      <c r="DZZ206" s="3"/>
      <c r="EAA206" s="3"/>
      <c r="EAB206" s="3"/>
      <c r="EAC206" s="3"/>
      <c r="EAD206" s="3"/>
      <c r="EAE206" s="3"/>
      <c r="EAF206" s="3"/>
      <c r="EAG206" s="3"/>
      <c r="EAH206" s="3"/>
      <c r="EAI206" s="3"/>
      <c r="EAJ206" s="3"/>
      <c r="EAK206" s="3"/>
      <c r="EAL206" s="3"/>
      <c r="EAM206" s="3"/>
      <c r="EAN206" s="3"/>
      <c r="EAO206" s="3"/>
      <c r="EAP206" s="3"/>
      <c r="EAQ206" s="3"/>
      <c r="EAR206" s="3"/>
      <c r="EAS206" s="3"/>
      <c r="EAT206" s="3"/>
      <c r="EAU206" s="3"/>
      <c r="EAV206" s="3"/>
      <c r="EAW206" s="3"/>
      <c r="EAX206" s="3"/>
      <c r="EAY206" s="3"/>
      <c r="EAZ206" s="3"/>
      <c r="EBA206" s="3"/>
      <c r="EBB206" s="3"/>
      <c r="EBC206" s="3"/>
      <c r="EBD206" s="3"/>
      <c r="EBE206" s="3"/>
      <c r="EBF206" s="3"/>
      <c r="EBG206" s="3"/>
      <c r="EBH206" s="3"/>
      <c r="EBI206" s="3"/>
      <c r="EBJ206" s="3"/>
      <c r="EBK206" s="3"/>
      <c r="EBL206" s="3"/>
      <c r="EBM206" s="3"/>
      <c r="EBN206" s="3"/>
      <c r="EBO206" s="3"/>
      <c r="EBP206" s="3"/>
      <c r="EBQ206" s="3"/>
      <c r="EBR206" s="3"/>
      <c r="EBS206" s="3"/>
      <c r="EBT206" s="3"/>
      <c r="EBU206" s="3"/>
      <c r="EBV206" s="3"/>
      <c r="EBW206" s="3"/>
      <c r="EBX206" s="3"/>
      <c r="EBY206" s="3"/>
      <c r="EBZ206" s="3"/>
      <c r="ECA206" s="3"/>
      <c r="ECB206" s="3"/>
      <c r="ECC206" s="3"/>
      <c r="ECD206" s="3"/>
      <c r="ECE206" s="3"/>
      <c r="ECF206" s="3"/>
      <c r="ECG206" s="3"/>
      <c r="ECH206" s="3"/>
      <c r="ECI206" s="3"/>
      <c r="ECJ206" s="3"/>
      <c r="ECK206" s="3"/>
      <c r="ECL206" s="3"/>
      <c r="ECM206" s="3"/>
      <c r="ECN206" s="3"/>
      <c r="ECO206" s="3"/>
      <c r="ECP206" s="3"/>
      <c r="ECQ206" s="3"/>
      <c r="ECR206" s="3"/>
      <c r="ECS206" s="3"/>
      <c r="ECT206" s="3"/>
      <c r="ECU206" s="3"/>
      <c r="ECV206" s="3"/>
      <c r="ECW206" s="3"/>
      <c r="ECX206" s="3"/>
      <c r="ECY206" s="3"/>
      <c r="ECZ206" s="3"/>
      <c r="EDA206" s="3"/>
      <c r="EDB206" s="3"/>
      <c r="EDC206" s="3"/>
      <c r="EDD206" s="3"/>
      <c r="EDE206" s="3"/>
      <c r="EDF206" s="3"/>
      <c r="EDG206" s="3"/>
      <c r="EDH206" s="3"/>
      <c r="EDI206" s="3"/>
      <c r="EDJ206" s="3"/>
      <c r="EDK206" s="3"/>
      <c r="EDL206" s="3"/>
      <c r="EDM206" s="3"/>
      <c r="EDN206" s="3"/>
      <c r="EDO206" s="3"/>
      <c r="EDP206" s="3"/>
      <c r="EDQ206" s="3"/>
      <c r="EDR206" s="3"/>
      <c r="EDS206" s="3"/>
      <c r="EDT206" s="3"/>
      <c r="EDU206" s="3"/>
      <c r="EDV206" s="3"/>
      <c r="EDW206" s="3"/>
      <c r="EDX206" s="3"/>
      <c r="EDY206" s="3"/>
      <c r="EDZ206" s="3"/>
      <c r="EEA206" s="3"/>
      <c r="EEB206" s="3"/>
      <c r="EEC206" s="3"/>
      <c r="EED206" s="3"/>
      <c r="EEE206" s="3"/>
      <c r="EEF206" s="3"/>
      <c r="EEG206" s="3"/>
      <c r="EEH206" s="3"/>
      <c r="EEI206" s="3"/>
      <c r="EEJ206" s="3"/>
      <c r="EEK206" s="3"/>
      <c r="EEL206" s="3"/>
      <c r="EEM206" s="3"/>
      <c r="EEN206" s="3"/>
      <c r="EEO206" s="3"/>
      <c r="EEP206" s="3"/>
      <c r="EEQ206" s="3"/>
      <c r="EER206" s="3"/>
      <c r="EES206" s="3"/>
      <c r="EET206" s="3"/>
      <c r="EEU206" s="3"/>
      <c r="EEV206" s="3"/>
      <c r="EEW206" s="3"/>
      <c r="EEX206" s="3"/>
      <c r="EEY206" s="3"/>
      <c r="EEZ206" s="3"/>
      <c r="EFA206" s="3"/>
      <c r="EFB206" s="3"/>
      <c r="EFC206" s="3"/>
      <c r="EFD206" s="3"/>
      <c r="EFE206" s="3"/>
      <c r="EFF206" s="3"/>
      <c r="EFG206" s="3"/>
      <c r="EFH206" s="3"/>
      <c r="EFI206" s="3"/>
      <c r="EFJ206" s="3"/>
      <c r="EFK206" s="3"/>
      <c r="EFL206" s="3"/>
      <c r="EFM206" s="3"/>
      <c r="EFN206" s="3"/>
      <c r="EFO206" s="3"/>
      <c r="EFP206" s="3"/>
      <c r="EFQ206" s="3"/>
      <c r="EFR206" s="3"/>
      <c r="EFS206" s="3"/>
      <c r="EFT206" s="3"/>
      <c r="EFU206" s="3"/>
      <c r="EFV206" s="3"/>
      <c r="EFW206" s="3"/>
      <c r="EFX206" s="3"/>
      <c r="EFY206" s="3"/>
      <c r="EFZ206" s="3"/>
      <c r="EGA206" s="3"/>
      <c r="EGB206" s="3"/>
      <c r="EGC206" s="3"/>
      <c r="EGD206" s="3"/>
      <c r="EGE206" s="3"/>
      <c r="EGF206" s="3"/>
      <c r="EGG206" s="3"/>
      <c r="EGH206" s="3"/>
      <c r="EGI206" s="3"/>
      <c r="EGJ206" s="3"/>
      <c r="EGK206" s="3"/>
      <c r="EGL206" s="3"/>
      <c r="EGM206" s="3"/>
      <c r="EGN206" s="3"/>
      <c r="EGO206" s="3"/>
      <c r="EGP206" s="3"/>
      <c r="EGQ206" s="3"/>
      <c r="EGR206" s="3"/>
      <c r="EGS206" s="3"/>
      <c r="EGT206" s="3"/>
      <c r="EGU206" s="3"/>
      <c r="EGV206" s="3"/>
      <c r="EGW206" s="3"/>
      <c r="EGX206" s="3"/>
      <c r="EGY206" s="3"/>
      <c r="EGZ206" s="3"/>
      <c r="EHA206" s="3"/>
      <c r="EHB206" s="3"/>
      <c r="EHC206" s="3"/>
      <c r="EHD206" s="3"/>
      <c r="EHE206" s="3"/>
      <c r="EHF206" s="3"/>
      <c r="EHG206" s="3"/>
      <c r="EHH206" s="3"/>
      <c r="EHI206" s="3"/>
      <c r="EHJ206" s="3"/>
      <c r="EHK206" s="3"/>
      <c r="EHL206" s="3"/>
      <c r="EHM206" s="3"/>
      <c r="EHN206" s="3"/>
      <c r="EHO206" s="3"/>
      <c r="EHP206" s="3"/>
      <c r="EHQ206" s="3"/>
      <c r="EHR206" s="3"/>
      <c r="EHS206" s="3"/>
      <c r="EHT206" s="3"/>
      <c r="EHU206" s="3"/>
      <c r="EHV206" s="3"/>
      <c r="EHW206" s="3"/>
      <c r="EHX206" s="3"/>
      <c r="EHY206" s="3"/>
      <c r="EHZ206" s="3"/>
      <c r="EIA206" s="3"/>
      <c r="EIB206" s="3"/>
      <c r="EIC206" s="3"/>
      <c r="EID206" s="3"/>
      <c r="EIE206" s="3"/>
      <c r="EIF206" s="3"/>
      <c r="EIG206" s="3"/>
      <c r="EIH206" s="3"/>
      <c r="EII206" s="3"/>
      <c r="EIJ206" s="3"/>
      <c r="EIK206" s="3"/>
      <c r="EIL206" s="3"/>
      <c r="EIM206" s="3"/>
      <c r="EIN206" s="3"/>
      <c r="EIO206" s="3"/>
      <c r="EIP206" s="3"/>
      <c r="EIQ206" s="3"/>
      <c r="EIR206" s="3"/>
      <c r="EIS206" s="3"/>
      <c r="EIT206" s="3"/>
      <c r="EIU206" s="3"/>
      <c r="EIV206" s="3"/>
      <c r="EIW206" s="3"/>
      <c r="EIX206" s="3"/>
      <c r="EIY206" s="3"/>
      <c r="EIZ206" s="3"/>
      <c r="EJA206" s="3"/>
      <c r="EJB206" s="3"/>
      <c r="EJC206" s="3"/>
      <c r="EJD206" s="3"/>
      <c r="EJE206" s="3"/>
      <c r="EJF206" s="3"/>
      <c r="EJG206" s="3"/>
      <c r="EJH206" s="3"/>
      <c r="EJI206" s="3"/>
      <c r="EJJ206" s="3"/>
      <c r="EJK206" s="3"/>
      <c r="EJL206" s="3"/>
      <c r="EJM206" s="3"/>
      <c r="EJN206" s="3"/>
      <c r="EJO206" s="3"/>
      <c r="EJP206" s="3"/>
      <c r="EJQ206" s="3"/>
      <c r="EJR206" s="3"/>
      <c r="EJS206" s="3"/>
      <c r="EJT206" s="3"/>
      <c r="EJU206" s="3"/>
      <c r="EJV206" s="3"/>
      <c r="EJW206" s="3"/>
      <c r="EJX206" s="3"/>
      <c r="EJY206" s="3"/>
      <c r="EJZ206" s="3"/>
      <c r="EKA206" s="3"/>
      <c r="EKB206" s="3"/>
      <c r="EKC206" s="3"/>
      <c r="EKD206" s="3"/>
      <c r="EKE206" s="3"/>
      <c r="EKF206" s="3"/>
      <c r="EKG206" s="3"/>
      <c r="EKH206" s="3"/>
      <c r="EKI206" s="3"/>
      <c r="EKJ206" s="3"/>
      <c r="EKK206" s="3"/>
      <c r="EKL206" s="3"/>
      <c r="EKM206" s="3"/>
      <c r="EKN206" s="3"/>
      <c r="EKO206" s="3"/>
      <c r="EKP206" s="3"/>
      <c r="EKQ206" s="3"/>
      <c r="EKR206" s="3"/>
      <c r="EKS206" s="3"/>
      <c r="EKT206" s="3"/>
      <c r="EKU206" s="3"/>
      <c r="EKV206" s="3"/>
      <c r="EKW206" s="3"/>
      <c r="EKX206" s="3"/>
      <c r="EKY206" s="3"/>
      <c r="EKZ206" s="3"/>
      <c r="ELA206" s="3"/>
      <c r="ELB206" s="3"/>
      <c r="ELC206" s="3"/>
      <c r="ELD206" s="3"/>
      <c r="ELE206" s="3"/>
      <c r="ELF206" s="3"/>
      <c r="ELG206" s="3"/>
      <c r="ELH206" s="3"/>
      <c r="ELI206" s="3"/>
      <c r="ELJ206" s="3"/>
      <c r="ELK206" s="3"/>
      <c r="ELL206" s="3"/>
      <c r="ELM206" s="3"/>
      <c r="ELN206" s="3"/>
      <c r="ELO206" s="3"/>
      <c r="ELP206" s="3"/>
      <c r="ELQ206" s="3"/>
      <c r="ELR206" s="3"/>
      <c r="ELS206" s="3"/>
      <c r="ELT206" s="3"/>
      <c r="ELU206" s="3"/>
      <c r="ELV206" s="3"/>
      <c r="ELW206" s="3"/>
      <c r="ELX206" s="3"/>
      <c r="ELY206" s="3"/>
      <c r="ELZ206" s="3"/>
      <c r="EMA206" s="3"/>
      <c r="EMB206" s="3"/>
      <c r="EMC206" s="3"/>
      <c r="EMD206" s="3"/>
      <c r="EME206" s="3"/>
      <c r="EMF206" s="3"/>
      <c r="EMG206" s="3"/>
      <c r="EMH206" s="3"/>
      <c r="EMI206" s="3"/>
      <c r="EMJ206" s="3"/>
      <c r="EMK206" s="3"/>
      <c r="EML206" s="3"/>
      <c r="EMM206" s="3"/>
      <c r="EMN206" s="3"/>
      <c r="EMO206" s="3"/>
      <c r="EMP206" s="3"/>
      <c r="EMQ206" s="3"/>
      <c r="EMR206" s="3"/>
      <c r="EMS206" s="3"/>
      <c r="EMT206" s="3"/>
      <c r="EMU206" s="3"/>
      <c r="EMV206" s="3"/>
      <c r="EMW206" s="3"/>
      <c r="EMX206" s="3"/>
      <c r="EMY206" s="3"/>
      <c r="EMZ206" s="3"/>
      <c r="ENA206" s="3"/>
      <c r="ENB206" s="3"/>
      <c r="ENC206" s="3"/>
      <c r="END206" s="3"/>
      <c r="ENE206" s="3"/>
      <c r="ENF206" s="3"/>
      <c r="ENG206" s="3"/>
      <c r="ENH206" s="3"/>
      <c r="ENI206" s="3"/>
      <c r="ENJ206" s="3"/>
      <c r="ENK206" s="3"/>
      <c r="ENL206" s="3"/>
      <c r="ENM206" s="3"/>
      <c r="ENN206" s="3"/>
      <c r="ENO206" s="3"/>
      <c r="ENP206" s="3"/>
      <c r="ENQ206" s="3"/>
      <c r="ENR206" s="3"/>
      <c r="ENS206" s="3"/>
      <c r="ENT206" s="3"/>
      <c r="ENU206" s="3"/>
      <c r="ENV206" s="3"/>
      <c r="ENW206" s="3"/>
      <c r="ENX206" s="3"/>
      <c r="ENY206" s="3"/>
      <c r="ENZ206" s="3"/>
      <c r="EOA206" s="3"/>
      <c r="EOB206" s="3"/>
      <c r="EOC206" s="3"/>
      <c r="EOD206" s="3"/>
      <c r="EOE206" s="3"/>
      <c r="EOF206" s="3"/>
      <c r="EOG206" s="3"/>
      <c r="EOH206" s="3"/>
      <c r="EOI206" s="3"/>
      <c r="EOJ206" s="3"/>
      <c r="EOK206" s="3"/>
      <c r="EOL206" s="3"/>
      <c r="EOM206" s="3"/>
      <c r="EON206" s="3"/>
      <c r="EOO206" s="3"/>
      <c r="EOP206" s="3"/>
      <c r="EOQ206" s="3"/>
      <c r="EOR206" s="3"/>
      <c r="EOS206" s="3"/>
      <c r="EOT206" s="3"/>
      <c r="EOU206" s="3"/>
      <c r="EOV206" s="3"/>
      <c r="EOW206" s="3"/>
      <c r="EOX206" s="3"/>
      <c r="EOY206" s="3"/>
      <c r="EOZ206" s="3"/>
      <c r="EPA206" s="3"/>
      <c r="EPB206" s="3"/>
      <c r="EPC206" s="3"/>
      <c r="EPD206" s="3"/>
      <c r="EPE206" s="3"/>
      <c r="EPF206" s="3"/>
      <c r="EPG206" s="3"/>
      <c r="EPH206" s="3"/>
      <c r="EPI206" s="3"/>
      <c r="EPJ206" s="3"/>
      <c r="EPK206" s="3"/>
      <c r="EPL206" s="3"/>
      <c r="EPM206" s="3"/>
      <c r="EPN206" s="3"/>
      <c r="EPO206" s="3"/>
      <c r="EPP206" s="3"/>
      <c r="EPQ206" s="3"/>
      <c r="EPR206" s="3"/>
      <c r="EPS206" s="3"/>
      <c r="EPT206" s="3"/>
      <c r="EPU206" s="3"/>
      <c r="EPV206" s="3"/>
      <c r="EPW206" s="3"/>
      <c r="EPX206" s="3"/>
      <c r="EPY206" s="3"/>
      <c r="EPZ206" s="3"/>
      <c r="EQA206" s="3"/>
      <c r="EQB206" s="3"/>
      <c r="EQC206" s="3"/>
      <c r="EQD206" s="3"/>
      <c r="EQE206" s="3"/>
      <c r="EQF206" s="3"/>
      <c r="EQG206" s="3"/>
      <c r="EQH206" s="3"/>
      <c r="EQI206" s="3"/>
      <c r="EQJ206" s="3"/>
      <c r="EQK206" s="3"/>
      <c r="EQL206" s="3"/>
      <c r="EQM206" s="3"/>
      <c r="EQN206" s="3"/>
      <c r="EQO206" s="3"/>
      <c r="EQP206" s="3"/>
      <c r="EQQ206" s="3"/>
      <c r="EQR206" s="3"/>
      <c r="EQS206" s="3"/>
      <c r="EQT206" s="3"/>
      <c r="EQU206" s="3"/>
      <c r="EQV206" s="3"/>
      <c r="EQW206" s="3"/>
      <c r="EQX206" s="3"/>
      <c r="EQY206" s="3"/>
      <c r="EQZ206" s="3"/>
      <c r="ERA206" s="3"/>
      <c r="ERB206" s="3"/>
      <c r="ERC206" s="3"/>
      <c r="ERD206" s="3"/>
      <c r="ERE206" s="3"/>
      <c r="ERF206" s="3"/>
      <c r="ERG206" s="3"/>
      <c r="ERH206" s="3"/>
      <c r="ERI206" s="3"/>
      <c r="ERJ206" s="3"/>
      <c r="ERK206" s="3"/>
      <c r="ERL206" s="3"/>
      <c r="ERM206" s="3"/>
      <c r="ERN206" s="3"/>
      <c r="ERO206" s="3"/>
      <c r="ERP206" s="3"/>
      <c r="ERQ206" s="3"/>
      <c r="ERR206" s="3"/>
      <c r="ERS206" s="3"/>
      <c r="ERT206" s="3"/>
      <c r="ERU206" s="3"/>
      <c r="ERV206" s="3"/>
      <c r="ERW206" s="3"/>
      <c r="ERX206" s="3"/>
      <c r="ERY206" s="3"/>
      <c r="ERZ206" s="3"/>
      <c r="ESA206" s="3"/>
      <c r="ESB206" s="3"/>
      <c r="ESC206" s="3"/>
      <c r="ESD206" s="3"/>
      <c r="ESE206" s="3"/>
      <c r="ESF206" s="3"/>
      <c r="ESG206" s="3"/>
      <c r="ESH206" s="3"/>
      <c r="ESI206" s="3"/>
      <c r="ESJ206" s="3"/>
      <c r="ESK206" s="3"/>
      <c r="ESL206" s="3"/>
      <c r="ESM206" s="3"/>
      <c r="ESN206" s="3"/>
      <c r="ESO206" s="3"/>
      <c r="ESP206" s="3"/>
      <c r="ESQ206" s="3"/>
      <c r="ESR206" s="3"/>
      <c r="ESS206" s="3"/>
      <c r="EST206" s="3"/>
      <c r="ESU206" s="3"/>
      <c r="ESV206" s="3"/>
      <c r="ESW206" s="3"/>
      <c r="ESX206" s="3"/>
      <c r="ESY206" s="3"/>
      <c r="ESZ206" s="3"/>
      <c r="ETA206" s="3"/>
      <c r="ETB206" s="3"/>
      <c r="ETC206" s="3"/>
      <c r="ETD206" s="3"/>
      <c r="ETE206" s="3"/>
      <c r="ETF206" s="3"/>
      <c r="ETG206" s="3"/>
      <c r="ETH206" s="3"/>
      <c r="ETI206" s="3"/>
      <c r="ETJ206" s="3"/>
      <c r="ETK206" s="3"/>
      <c r="ETL206" s="3"/>
      <c r="ETM206" s="3"/>
      <c r="ETN206" s="3"/>
      <c r="ETO206" s="3"/>
      <c r="ETP206" s="3"/>
      <c r="ETQ206" s="3"/>
      <c r="ETR206" s="3"/>
      <c r="ETS206" s="3"/>
      <c r="ETT206" s="3"/>
      <c r="ETU206" s="3"/>
      <c r="ETV206" s="3"/>
      <c r="ETW206" s="3"/>
      <c r="ETX206" s="3"/>
      <c r="ETY206" s="3"/>
      <c r="ETZ206" s="3"/>
      <c r="EUA206" s="3"/>
      <c r="EUB206" s="3"/>
      <c r="EUC206" s="3"/>
      <c r="EUD206" s="3"/>
      <c r="EUE206" s="3"/>
      <c r="EUF206" s="3"/>
      <c r="EUG206" s="3"/>
      <c r="EUH206" s="3"/>
      <c r="EUI206" s="3"/>
      <c r="EUJ206" s="3"/>
      <c r="EUK206" s="3"/>
      <c r="EUL206" s="3"/>
      <c r="EUM206" s="3"/>
      <c r="EUN206" s="3"/>
      <c r="EUO206" s="3"/>
      <c r="EUP206" s="3"/>
      <c r="EUQ206" s="3"/>
      <c r="EUR206" s="3"/>
      <c r="EUS206" s="3"/>
      <c r="EUT206" s="3"/>
      <c r="EUU206" s="3"/>
      <c r="EUV206" s="3"/>
      <c r="EUW206" s="3"/>
      <c r="EUX206" s="3"/>
      <c r="EUY206" s="3"/>
      <c r="EUZ206" s="3"/>
      <c r="EVA206" s="3"/>
      <c r="EVB206" s="3"/>
      <c r="EVC206" s="3"/>
      <c r="EVD206" s="3"/>
      <c r="EVE206" s="3"/>
      <c r="EVF206" s="3"/>
      <c r="EVG206" s="3"/>
      <c r="EVH206" s="3"/>
      <c r="EVI206" s="3"/>
      <c r="EVJ206" s="3"/>
      <c r="EVK206" s="3"/>
      <c r="EVL206" s="3"/>
      <c r="EVM206" s="3"/>
      <c r="EVN206" s="3"/>
      <c r="EVO206" s="3"/>
      <c r="EVP206" s="3"/>
      <c r="EVQ206" s="3"/>
      <c r="EVR206" s="3"/>
      <c r="EVS206" s="3"/>
      <c r="EVT206" s="3"/>
      <c r="EVU206" s="3"/>
      <c r="EVV206" s="3"/>
      <c r="EVW206" s="3"/>
      <c r="EVX206" s="3"/>
      <c r="EVY206" s="3"/>
      <c r="EVZ206" s="3"/>
      <c r="EWA206" s="3"/>
      <c r="EWB206" s="3"/>
      <c r="EWC206" s="3"/>
      <c r="EWD206" s="3"/>
      <c r="EWE206" s="3"/>
      <c r="EWF206" s="3"/>
      <c r="EWG206" s="3"/>
      <c r="EWH206" s="3"/>
      <c r="EWI206" s="3"/>
      <c r="EWJ206" s="3"/>
      <c r="EWK206" s="3"/>
      <c r="EWL206" s="3"/>
      <c r="EWM206" s="3"/>
      <c r="EWN206" s="3"/>
      <c r="EWO206" s="3"/>
      <c r="EWP206" s="3"/>
      <c r="EWQ206" s="3"/>
      <c r="EWR206" s="3"/>
      <c r="EWS206" s="3"/>
      <c r="EWT206" s="3"/>
      <c r="EWU206" s="3"/>
      <c r="EWV206" s="3"/>
      <c r="EWW206" s="3"/>
      <c r="EWX206" s="3"/>
      <c r="EWY206" s="3"/>
      <c r="EWZ206" s="3"/>
      <c r="EXA206" s="3"/>
      <c r="EXB206" s="3"/>
      <c r="EXC206" s="3"/>
      <c r="EXD206" s="3"/>
      <c r="EXE206" s="3"/>
      <c r="EXF206" s="3"/>
      <c r="EXG206" s="3"/>
      <c r="EXH206" s="3"/>
      <c r="EXI206" s="3"/>
      <c r="EXJ206" s="3"/>
      <c r="EXK206" s="3"/>
      <c r="EXL206" s="3"/>
      <c r="EXM206" s="3"/>
      <c r="EXN206" s="3"/>
      <c r="EXO206" s="3"/>
      <c r="EXP206" s="3"/>
      <c r="EXQ206" s="3"/>
      <c r="EXR206" s="3"/>
      <c r="EXS206" s="3"/>
      <c r="EXT206" s="3"/>
      <c r="EXU206" s="3"/>
      <c r="EXV206" s="3"/>
      <c r="EXW206" s="3"/>
      <c r="EXX206" s="3"/>
      <c r="EXY206" s="3"/>
      <c r="EXZ206" s="3"/>
      <c r="EYA206" s="3"/>
      <c r="EYB206" s="3"/>
      <c r="EYC206" s="3"/>
      <c r="EYD206" s="3"/>
      <c r="EYE206" s="3"/>
      <c r="EYF206" s="3"/>
      <c r="EYG206" s="3"/>
      <c r="EYH206" s="3"/>
      <c r="EYI206" s="3"/>
      <c r="EYJ206" s="3"/>
      <c r="EYK206" s="3"/>
      <c r="EYL206" s="3"/>
      <c r="EYM206" s="3"/>
      <c r="EYN206" s="3"/>
      <c r="EYO206" s="3"/>
      <c r="EYP206" s="3"/>
      <c r="EYQ206" s="3"/>
      <c r="EYR206" s="3"/>
      <c r="EYS206" s="3"/>
      <c r="EYT206" s="3"/>
      <c r="EYU206" s="3"/>
      <c r="EYV206" s="3"/>
      <c r="EYW206" s="3"/>
      <c r="EYX206" s="3"/>
      <c r="EYY206" s="3"/>
      <c r="EYZ206" s="3"/>
      <c r="EZA206" s="3"/>
      <c r="EZB206" s="3"/>
      <c r="EZC206" s="3"/>
      <c r="EZD206" s="3"/>
      <c r="EZE206" s="3"/>
      <c r="EZF206" s="3"/>
      <c r="EZG206" s="3"/>
      <c r="EZH206" s="3"/>
      <c r="EZI206" s="3"/>
      <c r="EZJ206" s="3"/>
      <c r="EZK206" s="3"/>
      <c r="EZL206" s="3"/>
      <c r="EZM206" s="3"/>
      <c r="EZN206" s="3"/>
      <c r="EZO206" s="3"/>
      <c r="EZP206" s="3"/>
      <c r="EZQ206" s="3"/>
      <c r="EZR206" s="3"/>
      <c r="EZS206" s="3"/>
      <c r="EZT206" s="3"/>
      <c r="EZU206" s="3"/>
      <c r="EZV206" s="3"/>
      <c r="EZW206" s="3"/>
      <c r="EZX206" s="3"/>
      <c r="EZY206" s="3"/>
      <c r="EZZ206" s="3"/>
      <c r="FAA206" s="3"/>
      <c r="FAB206" s="3"/>
      <c r="FAC206" s="3"/>
      <c r="FAD206" s="3"/>
      <c r="FAE206" s="3"/>
      <c r="FAF206" s="3"/>
      <c r="FAG206" s="3"/>
      <c r="FAH206" s="3"/>
      <c r="FAI206" s="3"/>
      <c r="FAJ206" s="3"/>
      <c r="FAK206" s="3"/>
      <c r="FAL206" s="3"/>
      <c r="FAM206" s="3"/>
      <c r="FAN206" s="3"/>
      <c r="FAO206" s="3"/>
      <c r="FAP206" s="3"/>
      <c r="FAQ206" s="3"/>
      <c r="FAR206" s="3"/>
      <c r="FAS206" s="3"/>
      <c r="FAT206" s="3"/>
      <c r="FAU206" s="3"/>
      <c r="FAV206" s="3"/>
      <c r="FAW206" s="3"/>
      <c r="FAX206" s="3"/>
      <c r="FAY206" s="3"/>
      <c r="FAZ206" s="3"/>
      <c r="FBA206" s="3"/>
      <c r="FBB206" s="3"/>
      <c r="FBC206" s="3"/>
      <c r="FBD206" s="3"/>
      <c r="FBE206" s="3"/>
      <c r="FBF206" s="3"/>
      <c r="FBG206" s="3"/>
      <c r="FBH206" s="3"/>
      <c r="FBI206" s="3"/>
      <c r="FBJ206" s="3"/>
      <c r="FBK206" s="3"/>
      <c r="FBL206" s="3"/>
      <c r="FBM206" s="3"/>
      <c r="FBN206" s="3"/>
      <c r="FBO206" s="3"/>
      <c r="FBP206" s="3"/>
      <c r="FBQ206" s="3"/>
      <c r="FBR206" s="3"/>
      <c r="FBS206" s="3"/>
      <c r="FBT206" s="3"/>
      <c r="FBU206" s="3"/>
      <c r="FBV206" s="3"/>
      <c r="FBW206" s="3"/>
      <c r="FBX206" s="3"/>
      <c r="FBY206" s="3"/>
      <c r="FBZ206" s="3"/>
      <c r="FCA206" s="3"/>
      <c r="FCB206" s="3"/>
      <c r="FCC206" s="3"/>
      <c r="FCD206" s="3"/>
      <c r="FCE206" s="3"/>
      <c r="FCF206" s="3"/>
      <c r="FCG206" s="3"/>
      <c r="FCH206" s="3"/>
      <c r="FCI206" s="3"/>
      <c r="FCJ206" s="3"/>
      <c r="FCK206" s="3"/>
      <c r="FCL206" s="3"/>
      <c r="FCM206" s="3"/>
      <c r="FCN206" s="3"/>
      <c r="FCO206" s="3"/>
      <c r="FCP206" s="3"/>
      <c r="FCQ206" s="3"/>
      <c r="FCR206" s="3"/>
      <c r="FCS206" s="3"/>
      <c r="FCT206" s="3"/>
      <c r="FCU206" s="3"/>
      <c r="FCV206" s="3"/>
      <c r="FCW206" s="3"/>
      <c r="FCX206" s="3"/>
      <c r="FCY206" s="3"/>
      <c r="FCZ206" s="3"/>
      <c r="FDA206" s="3"/>
      <c r="FDB206" s="3"/>
      <c r="FDC206" s="3"/>
      <c r="FDD206" s="3"/>
      <c r="FDE206" s="3"/>
      <c r="FDF206" s="3"/>
      <c r="FDG206" s="3"/>
      <c r="FDH206" s="3"/>
      <c r="FDI206" s="3"/>
      <c r="FDJ206" s="3"/>
      <c r="FDK206" s="3"/>
      <c r="FDL206" s="3"/>
      <c r="FDM206" s="3"/>
      <c r="FDN206" s="3"/>
      <c r="FDO206" s="3"/>
      <c r="FDP206" s="3"/>
      <c r="FDQ206" s="3"/>
      <c r="FDR206" s="3"/>
      <c r="FDS206" s="3"/>
      <c r="FDT206" s="3"/>
      <c r="FDU206" s="3"/>
      <c r="FDV206" s="3"/>
      <c r="FDW206" s="3"/>
      <c r="FDX206" s="3"/>
      <c r="FDY206" s="3"/>
      <c r="FDZ206" s="3"/>
      <c r="FEA206" s="3"/>
      <c r="FEB206" s="3"/>
      <c r="FEC206" s="3"/>
      <c r="FED206" s="3"/>
      <c r="FEE206" s="3"/>
      <c r="FEF206" s="3"/>
      <c r="FEG206" s="3"/>
      <c r="FEH206" s="3"/>
      <c r="FEI206" s="3"/>
      <c r="FEJ206" s="3"/>
      <c r="FEK206" s="3"/>
      <c r="FEL206" s="3"/>
      <c r="FEM206" s="3"/>
      <c r="FEN206" s="3"/>
      <c r="FEO206" s="3"/>
      <c r="FEP206" s="3"/>
      <c r="FEQ206" s="3"/>
      <c r="FER206" s="3"/>
      <c r="FES206" s="3"/>
      <c r="FET206" s="3"/>
      <c r="FEU206" s="3"/>
      <c r="FEV206" s="3"/>
      <c r="FEW206" s="3"/>
      <c r="FEX206" s="3"/>
      <c r="FEY206" s="3"/>
      <c r="FEZ206" s="3"/>
      <c r="FFA206" s="3"/>
      <c r="FFB206" s="3"/>
      <c r="FFC206" s="3"/>
      <c r="FFD206" s="3"/>
      <c r="FFE206" s="3"/>
      <c r="FFF206" s="3"/>
      <c r="FFG206" s="3"/>
      <c r="FFH206" s="3"/>
      <c r="FFI206" s="3"/>
      <c r="FFJ206" s="3"/>
      <c r="FFK206" s="3"/>
      <c r="FFL206" s="3"/>
      <c r="FFM206" s="3"/>
      <c r="FFN206" s="3"/>
      <c r="FFO206" s="3"/>
      <c r="FFP206" s="3"/>
      <c r="FFQ206" s="3"/>
      <c r="FFR206" s="3"/>
      <c r="FFS206" s="3"/>
      <c r="FFT206" s="3"/>
      <c r="FFU206" s="3"/>
      <c r="FFV206" s="3"/>
      <c r="FFW206" s="3"/>
      <c r="FFX206" s="3"/>
      <c r="FFY206" s="3"/>
      <c r="FFZ206" s="3"/>
      <c r="FGA206" s="3"/>
      <c r="FGB206" s="3"/>
      <c r="FGC206" s="3"/>
      <c r="FGD206" s="3"/>
      <c r="FGE206" s="3"/>
      <c r="FGF206" s="3"/>
      <c r="FGG206" s="3"/>
      <c r="FGH206" s="3"/>
      <c r="FGI206" s="3"/>
      <c r="FGJ206" s="3"/>
      <c r="FGK206" s="3"/>
      <c r="FGL206" s="3"/>
      <c r="FGM206" s="3"/>
      <c r="FGN206" s="3"/>
      <c r="FGO206" s="3"/>
      <c r="FGP206" s="3"/>
      <c r="FGQ206" s="3"/>
      <c r="FGR206" s="3"/>
      <c r="FGS206" s="3"/>
      <c r="FGT206" s="3"/>
      <c r="FGU206" s="3"/>
      <c r="FGV206" s="3"/>
      <c r="FGW206" s="3"/>
      <c r="FGX206" s="3"/>
      <c r="FGY206" s="3"/>
      <c r="FGZ206" s="3"/>
      <c r="FHA206" s="3"/>
      <c r="FHB206" s="3"/>
      <c r="FHC206" s="3"/>
      <c r="FHD206" s="3"/>
      <c r="FHE206" s="3"/>
      <c r="FHF206" s="3"/>
      <c r="FHG206" s="3"/>
      <c r="FHH206" s="3"/>
      <c r="FHI206" s="3"/>
      <c r="FHJ206" s="3"/>
      <c r="FHK206" s="3"/>
      <c r="FHL206" s="3"/>
      <c r="FHM206" s="3"/>
      <c r="FHN206" s="3"/>
      <c r="FHO206" s="3"/>
      <c r="FHP206" s="3"/>
      <c r="FHQ206" s="3"/>
      <c r="FHR206" s="3"/>
      <c r="FHS206" s="3"/>
      <c r="FHT206" s="3"/>
      <c r="FHU206" s="3"/>
      <c r="FHV206" s="3"/>
      <c r="FHW206" s="3"/>
      <c r="FHX206" s="3"/>
      <c r="FHY206" s="3"/>
      <c r="FHZ206" s="3"/>
      <c r="FIA206" s="3"/>
      <c r="FIB206" s="3"/>
      <c r="FIC206" s="3"/>
      <c r="FID206" s="3"/>
      <c r="FIE206" s="3"/>
      <c r="FIF206" s="3"/>
      <c r="FIG206" s="3"/>
      <c r="FIH206" s="3"/>
      <c r="FII206" s="3"/>
      <c r="FIJ206" s="3"/>
      <c r="FIK206" s="3"/>
      <c r="FIL206" s="3"/>
      <c r="FIM206" s="3"/>
      <c r="FIN206" s="3"/>
      <c r="FIO206" s="3"/>
      <c r="FIP206" s="3"/>
      <c r="FIQ206" s="3"/>
      <c r="FIR206" s="3"/>
      <c r="FIS206" s="3"/>
      <c r="FIT206" s="3"/>
      <c r="FIU206" s="3"/>
      <c r="FIV206" s="3"/>
      <c r="FIW206" s="3"/>
      <c r="FIX206" s="3"/>
      <c r="FIY206" s="3"/>
      <c r="FIZ206" s="3"/>
      <c r="FJA206" s="3"/>
      <c r="FJB206" s="3"/>
      <c r="FJC206" s="3"/>
      <c r="FJD206" s="3"/>
      <c r="FJE206" s="3"/>
      <c r="FJF206" s="3"/>
      <c r="FJG206" s="3"/>
      <c r="FJH206" s="3"/>
      <c r="FJI206" s="3"/>
      <c r="FJJ206" s="3"/>
      <c r="FJK206" s="3"/>
      <c r="FJL206" s="3"/>
      <c r="FJM206" s="3"/>
      <c r="FJN206" s="3"/>
      <c r="FJO206" s="3"/>
      <c r="FJP206" s="3"/>
      <c r="FJQ206" s="3"/>
      <c r="FJR206" s="3"/>
      <c r="FJS206" s="3"/>
      <c r="FJT206" s="3"/>
      <c r="FJU206" s="3"/>
      <c r="FJV206" s="3"/>
      <c r="FJW206" s="3"/>
      <c r="FJX206" s="3"/>
      <c r="FJY206" s="3"/>
      <c r="FJZ206" s="3"/>
      <c r="FKA206" s="3"/>
      <c r="FKB206" s="3"/>
      <c r="FKC206" s="3"/>
      <c r="FKD206" s="3"/>
      <c r="FKE206" s="3"/>
      <c r="FKF206" s="3"/>
      <c r="FKG206" s="3"/>
      <c r="FKH206" s="3"/>
      <c r="FKI206" s="3"/>
      <c r="FKJ206" s="3"/>
      <c r="FKK206" s="3"/>
      <c r="FKL206" s="3"/>
      <c r="FKM206" s="3"/>
      <c r="FKN206" s="3"/>
      <c r="FKO206" s="3"/>
      <c r="FKP206" s="3"/>
      <c r="FKQ206" s="3"/>
      <c r="FKR206" s="3"/>
      <c r="FKS206" s="3"/>
      <c r="FKT206" s="3"/>
      <c r="FKU206" s="3"/>
      <c r="FKV206" s="3"/>
      <c r="FKW206" s="3"/>
      <c r="FKX206" s="3"/>
      <c r="FKY206" s="3"/>
      <c r="FKZ206" s="3"/>
      <c r="FLA206" s="3"/>
      <c r="FLB206" s="3"/>
      <c r="FLC206" s="3"/>
      <c r="FLD206" s="3"/>
      <c r="FLE206" s="3"/>
      <c r="FLF206" s="3"/>
      <c r="FLG206" s="3"/>
      <c r="FLH206" s="3"/>
      <c r="FLI206" s="3"/>
      <c r="FLJ206" s="3"/>
      <c r="FLK206" s="3"/>
      <c r="FLL206" s="3"/>
      <c r="FLM206" s="3"/>
      <c r="FLN206" s="3"/>
      <c r="FLO206" s="3"/>
      <c r="FLP206" s="3"/>
      <c r="FLQ206" s="3"/>
      <c r="FLR206" s="3"/>
      <c r="FLS206" s="3"/>
      <c r="FLT206" s="3"/>
      <c r="FLU206" s="3"/>
      <c r="FLV206" s="3"/>
      <c r="FLW206" s="3"/>
      <c r="FLX206" s="3"/>
      <c r="FLY206" s="3"/>
      <c r="FLZ206" s="3"/>
      <c r="FMA206" s="3"/>
      <c r="FMB206" s="3"/>
      <c r="FMC206" s="3"/>
      <c r="FMD206" s="3"/>
      <c r="FME206" s="3"/>
      <c r="FMF206" s="3"/>
      <c r="FMG206" s="3"/>
      <c r="FMH206" s="3"/>
      <c r="FMI206" s="3"/>
      <c r="FMJ206" s="3"/>
      <c r="FMK206" s="3"/>
      <c r="FML206" s="3"/>
      <c r="FMM206" s="3"/>
      <c r="FMN206" s="3"/>
      <c r="FMO206" s="3"/>
      <c r="FMP206" s="3"/>
      <c r="FMQ206" s="3"/>
      <c r="FMR206" s="3"/>
      <c r="FMS206" s="3"/>
      <c r="FMT206" s="3"/>
      <c r="FMU206" s="3"/>
      <c r="FMV206" s="3"/>
      <c r="FMW206" s="3"/>
      <c r="FMX206" s="3"/>
      <c r="FMY206" s="3"/>
      <c r="FMZ206" s="3"/>
      <c r="FNA206" s="3"/>
      <c r="FNB206" s="3"/>
      <c r="FNC206" s="3"/>
      <c r="FND206" s="3"/>
      <c r="FNE206" s="3"/>
      <c r="FNF206" s="3"/>
      <c r="FNG206" s="3"/>
      <c r="FNH206" s="3"/>
      <c r="FNI206" s="3"/>
      <c r="FNJ206" s="3"/>
      <c r="FNK206" s="3"/>
      <c r="FNL206" s="3"/>
      <c r="FNM206" s="3"/>
      <c r="FNN206" s="3"/>
      <c r="FNO206" s="3"/>
      <c r="FNP206" s="3"/>
      <c r="FNQ206" s="3"/>
      <c r="FNR206" s="3"/>
      <c r="FNS206" s="3"/>
      <c r="FNT206" s="3"/>
      <c r="FNU206" s="3"/>
      <c r="FNV206" s="3"/>
      <c r="FNW206" s="3"/>
      <c r="FNX206" s="3"/>
      <c r="FNY206" s="3"/>
      <c r="FNZ206" s="3"/>
      <c r="FOA206" s="3"/>
      <c r="FOB206" s="3"/>
      <c r="FOC206" s="3"/>
      <c r="FOD206" s="3"/>
      <c r="FOE206" s="3"/>
      <c r="FOF206" s="3"/>
      <c r="FOG206" s="3"/>
      <c r="FOH206" s="3"/>
      <c r="FOI206" s="3"/>
      <c r="FOJ206" s="3"/>
      <c r="FOK206" s="3"/>
      <c r="FOL206" s="3"/>
      <c r="FOM206" s="3"/>
      <c r="FON206" s="3"/>
      <c r="FOO206" s="3"/>
      <c r="FOP206" s="3"/>
      <c r="FOQ206" s="3"/>
      <c r="FOR206" s="3"/>
      <c r="FOS206" s="3"/>
      <c r="FOT206" s="3"/>
      <c r="FOU206" s="3"/>
      <c r="FOV206" s="3"/>
      <c r="FOW206" s="3"/>
      <c r="FOX206" s="3"/>
      <c r="FOY206" s="3"/>
      <c r="FOZ206" s="3"/>
      <c r="FPA206" s="3"/>
      <c r="FPB206" s="3"/>
      <c r="FPC206" s="3"/>
      <c r="FPD206" s="3"/>
      <c r="FPE206" s="3"/>
      <c r="FPF206" s="3"/>
      <c r="FPG206" s="3"/>
      <c r="FPH206" s="3"/>
      <c r="FPI206" s="3"/>
      <c r="FPJ206" s="3"/>
      <c r="FPK206" s="3"/>
      <c r="FPL206" s="3"/>
      <c r="FPM206" s="3"/>
      <c r="FPN206" s="3"/>
      <c r="FPO206" s="3"/>
      <c r="FPP206" s="3"/>
      <c r="FPQ206" s="3"/>
      <c r="FPR206" s="3"/>
      <c r="FPS206" s="3"/>
      <c r="FPT206" s="3"/>
      <c r="FPU206" s="3"/>
      <c r="FPV206" s="3"/>
      <c r="FPW206" s="3"/>
      <c r="FPX206" s="3"/>
      <c r="FPY206" s="3"/>
      <c r="FPZ206" s="3"/>
      <c r="FQA206" s="3"/>
      <c r="FQB206" s="3"/>
      <c r="FQC206" s="3"/>
      <c r="FQD206" s="3"/>
      <c r="FQE206" s="3"/>
      <c r="FQF206" s="3"/>
      <c r="FQG206" s="3"/>
      <c r="FQH206" s="3"/>
      <c r="FQI206" s="3"/>
      <c r="FQJ206" s="3"/>
      <c r="FQK206" s="3"/>
      <c r="FQL206" s="3"/>
      <c r="FQM206" s="3"/>
      <c r="FQN206" s="3"/>
      <c r="FQO206" s="3"/>
      <c r="FQP206" s="3"/>
      <c r="FQQ206" s="3"/>
      <c r="FQR206" s="3"/>
      <c r="FQS206" s="3"/>
      <c r="FQT206" s="3"/>
      <c r="FQU206" s="3"/>
      <c r="FQV206" s="3"/>
      <c r="FQW206" s="3"/>
      <c r="FQX206" s="3"/>
      <c r="FQY206" s="3"/>
      <c r="FQZ206" s="3"/>
      <c r="FRA206" s="3"/>
      <c r="FRB206" s="3"/>
      <c r="FRC206" s="3"/>
      <c r="FRD206" s="3"/>
      <c r="FRE206" s="3"/>
      <c r="FRF206" s="3"/>
      <c r="FRG206" s="3"/>
      <c r="FRH206" s="3"/>
      <c r="FRI206" s="3"/>
      <c r="FRJ206" s="3"/>
      <c r="FRK206" s="3"/>
      <c r="FRL206" s="3"/>
      <c r="FRM206" s="3"/>
      <c r="FRN206" s="3"/>
      <c r="FRO206" s="3"/>
      <c r="FRP206" s="3"/>
      <c r="FRQ206" s="3"/>
      <c r="FRR206" s="3"/>
      <c r="FRS206" s="3"/>
      <c r="FRT206" s="3"/>
      <c r="FRU206" s="3"/>
      <c r="FRV206" s="3"/>
      <c r="FRW206" s="3"/>
      <c r="FRX206" s="3"/>
      <c r="FRY206" s="3"/>
      <c r="FRZ206" s="3"/>
      <c r="FSA206" s="3"/>
      <c r="FSB206" s="3"/>
      <c r="FSC206" s="3"/>
      <c r="FSD206" s="3"/>
      <c r="FSE206" s="3"/>
      <c r="FSF206" s="3"/>
      <c r="FSG206" s="3"/>
      <c r="FSH206" s="3"/>
      <c r="FSI206" s="3"/>
      <c r="FSJ206" s="3"/>
      <c r="FSK206" s="3"/>
      <c r="FSL206" s="3"/>
      <c r="FSM206" s="3"/>
      <c r="FSN206" s="3"/>
      <c r="FSO206" s="3"/>
      <c r="FSP206" s="3"/>
      <c r="FSQ206" s="3"/>
      <c r="FSR206" s="3"/>
      <c r="FSS206" s="3"/>
      <c r="FST206" s="3"/>
      <c r="FSU206" s="3"/>
      <c r="FSV206" s="3"/>
      <c r="FSW206" s="3"/>
      <c r="FSX206" s="3"/>
      <c r="FSY206" s="3"/>
      <c r="FSZ206" s="3"/>
      <c r="FTA206" s="3"/>
      <c r="FTB206" s="3"/>
      <c r="FTC206" s="3"/>
      <c r="FTD206" s="3"/>
      <c r="FTE206" s="3"/>
      <c r="FTF206" s="3"/>
      <c r="FTG206" s="3"/>
      <c r="FTH206" s="3"/>
      <c r="FTI206" s="3"/>
      <c r="FTJ206" s="3"/>
      <c r="FTK206" s="3"/>
      <c r="FTL206" s="3"/>
      <c r="FTM206" s="3"/>
      <c r="FTN206" s="3"/>
      <c r="FTO206" s="3"/>
      <c r="FTP206" s="3"/>
      <c r="FTQ206" s="3"/>
      <c r="FTR206" s="3"/>
      <c r="FTS206" s="3"/>
      <c r="FTT206" s="3"/>
      <c r="FTU206" s="3"/>
      <c r="FTV206" s="3"/>
      <c r="FTW206" s="3"/>
      <c r="FTX206" s="3"/>
      <c r="FTY206" s="3"/>
      <c r="FTZ206" s="3"/>
      <c r="FUA206" s="3"/>
      <c r="FUB206" s="3"/>
      <c r="FUC206" s="3"/>
      <c r="FUD206" s="3"/>
      <c r="FUE206" s="3"/>
      <c r="FUF206" s="3"/>
      <c r="FUG206" s="3"/>
      <c r="FUH206" s="3"/>
      <c r="FUI206" s="3"/>
      <c r="FUJ206" s="3"/>
      <c r="FUK206" s="3"/>
      <c r="FUL206" s="3"/>
      <c r="FUM206" s="3"/>
      <c r="FUN206" s="3"/>
      <c r="FUO206" s="3"/>
      <c r="FUP206" s="3"/>
      <c r="FUQ206" s="3"/>
      <c r="FUR206" s="3"/>
      <c r="FUS206" s="3"/>
      <c r="FUT206" s="3"/>
      <c r="FUU206" s="3"/>
      <c r="FUV206" s="3"/>
      <c r="FUW206" s="3"/>
      <c r="FUX206" s="3"/>
      <c r="FUY206" s="3"/>
      <c r="FUZ206" s="3"/>
      <c r="FVA206" s="3"/>
      <c r="FVB206" s="3"/>
      <c r="FVC206" s="3"/>
      <c r="FVD206" s="3"/>
      <c r="FVE206" s="3"/>
      <c r="FVF206" s="3"/>
      <c r="FVG206" s="3"/>
      <c r="FVH206" s="3"/>
      <c r="FVI206" s="3"/>
      <c r="FVJ206" s="3"/>
      <c r="FVK206" s="3"/>
      <c r="FVL206" s="3"/>
      <c r="FVM206" s="3"/>
      <c r="FVN206" s="3"/>
      <c r="FVO206" s="3"/>
      <c r="FVP206" s="3"/>
      <c r="FVQ206" s="3"/>
      <c r="FVR206" s="3"/>
      <c r="FVS206" s="3"/>
      <c r="FVT206" s="3"/>
      <c r="FVU206" s="3"/>
      <c r="FVV206" s="3"/>
      <c r="FVW206" s="3"/>
      <c r="FVX206" s="3"/>
      <c r="FVY206" s="3"/>
      <c r="FVZ206" s="3"/>
      <c r="FWA206" s="3"/>
      <c r="FWB206" s="3"/>
      <c r="FWC206" s="3"/>
      <c r="FWD206" s="3"/>
      <c r="FWE206" s="3"/>
      <c r="FWF206" s="3"/>
      <c r="FWG206" s="3"/>
      <c r="FWH206" s="3"/>
      <c r="FWI206" s="3"/>
      <c r="FWJ206" s="3"/>
      <c r="FWK206" s="3"/>
      <c r="FWL206" s="3"/>
      <c r="FWM206" s="3"/>
      <c r="FWN206" s="3"/>
      <c r="FWO206" s="3"/>
      <c r="FWP206" s="3"/>
      <c r="FWQ206" s="3"/>
      <c r="FWR206" s="3"/>
      <c r="FWS206" s="3"/>
      <c r="FWT206" s="3"/>
      <c r="FWU206" s="3"/>
      <c r="FWV206" s="3"/>
      <c r="FWW206" s="3"/>
      <c r="FWX206" s="3"/>
      <c r="FWY206" s="3"/>
      <c r="FWZ206" s="3"/>
      <c r="FXA206" s="3"/>
      <c r="FXB206" s="3"/>
      <c r="FXC206" s="3"/>
      <c r="FXD206" s="3"/>
      <c r="FXE206" s="3"/>
      <c r="FXF206" s="3"/>
      <c r="FXG206" s="3"/>
      <c r="FXH206" s="3"/>
      <c r="FXI206" s="3"/>
      <c r="FXJ206" s="3"/>
      <c r="FXK206" s="3"/>
      <c r="FXL206" s="3"/>
      <c r="FXM206" s="3"/>
      <c r="FXN206" s="3"/>
      <c r="FXO206" s="3"/>
      <c r="FXP206" s="3"/>
      <c r="FXQ206" s="3"/>
      <c r="FXR206" s="3"/>
      <c r="FXS206" s="3"/>
      <c r="FXT206" s="3"/>
      <c r="FXU206" s="3"/>
      <c r="FXV206" s="3"/>
      <c r="FXW206" s="3"/>
      <c r="FXX206" s="3"/>
      <c r="FXY206" s="3"/>
      <c r="FXZ206" s="3"/>
      <c r="FYA206" s="3"/>
      <c r="FYB206" s="3"/>
      <c r="FYC206" s="3"/>
      <c r="FYD206" s="3"/>
      <c r="FYE206" s="3"/>
      <c r="FYF206" s="3"/>
      <c r="FYG206" s="3"/>
      <c r="FYH206" s="3"/>
      <c r="FYI206" s="3"/>
      <c r="FYJ206" s="3"/>
      <c r="FYK206" s="3"/>
      <c r="FYL206" s="3"/>
      <c r="FYM206" s="3"/>
      <c r="FYN206" s="3"/>
      <c r="FYO206" s="3"/>
      <c r="FYP206" s="3"/>
      <c r="FYQ206" s="3"/>
      <c r="FYR206" s="3"/>
      <c r="FYS206" s="3"/>
      <c r="FYT206" s="3"/>
      <c r="FYU206" s="3"/>
      <c r="FYV206" s="3"/>
      <c r="FYW206" s="3"/>
      <c r="FYX206" s="3"/>
      <c r="FYY206" s="3"/>
      <c r="FYZ206" s="3"/>
      <c r="FZA206" s="3"/>
      <c r="FZB206" s="3"/>
      <c r="FZC206" s="3"/>
      <c r="FZD206" s="3"/>
      <c r="FZE206" s="3"/>
      <c r="FZF206" s="3"/>
      <c r="FZG206" s="3"/>
      <c r="FZH206" s="3"/>
      <c r="FZI206" s="3"/>
      <c r="FZJ206" s="3"/>
      <c r="FZK206" s="3"/>
      <c r="FZL206" s="3"/>
      <c r="FZM206" s="3"/>
      <c r="FZN206" s="3"/>
      <c r="FZO206" s="3"/>
      <c r="FZP206" s="3"/>
      <c r="FZQ206" s="3"/>
      <c r="FZR206" s="3"/>
      <c r="FZS206" s="3"/>
      <c r="FZT206" s="3"/>
      <c r="FZU206" s="3"/>
      <c r="FZV206" s="3"/>
      <c r="FZW206" s="3"/>
      <c r="FZX206" s="3"/>
      <c r="FZY206" s="3"/>
      <c r="FZZ206" s="3"/>
      <c r="GAA206" s="3"/>
      <c r="GAB206" s="3"/>
      <c r="GAC206" s="3"/>
      <c r="GAD206" s="3"/>
      <c r="GAE206" s="3"/>
      <c r="GAF206" s="3"/>
      <c r="GAG206" s="3"/>
      <c r="GAH206" s="3"/>
      <c r="GAI206" s="3"/>
      <c r="GAJ206" s="3"/>
      <c r="GAK206" s="3"/>
      <c r="GAL206" s="3"/>
      <c r="GAM206" s="3"/>
      <c r="GAN206" s="3"/>
      <c r="GAO206" s="3"/>
      <c r="GAP206" s="3"/>
      <c r="GAQ206" s="3"/>
      <c r="GAR206" s="3"/>
      <c r="GAS206" s="3"/>
      <c r="GAT206" s="3"/>
      <c r="GAU206" s="3"/>
      <c r="GAV206" s="3"/>
      <c r="GAW206" s="3"/>
      <c r="GAX206" s="3"/>
      <c r="GAY206" s="3"/>
      <c r="GAZ206" s="3"/>
      <c r="GBA206" s="3"/>
      <c r="GBB206" s="3"/>
      <c r="GBC206" s="3"/>
      <c r="GBD206" s="3"/>
      <c r="GBE206" s="3"/>
      <c r="GBF206" s="3"/>
      <c r="GBG206" s="3"/>
      <c r="GBH206" s="3"/>
      <c r="GBI206" s="3"/>
      <c r="GBJ206" s="3"/>
      <c r="GBK206" s="3"/>
      <c r="GBL206" s="3"/>
      <c r="GBM206" s="3"/>
      <c r="GBN206" s="3"/>
      <c r="GBO206" s="3"/>
      <c r="GBP206" s="3"/>
      <c r="GBQ206" s="3"/>
      <c r="GBR206" s="3"/>
      <c r="GBS206" s="3"/>
      <c r="GBT206" s="3"/>
      <c r="GBU206" s="3"/>
      <c r="GBV206" s="3"/>
      <c r="GBW206" s="3"/>
      <c r="GBX206" s="3"/>
      <c r="GBY206" s="3"/>
      <c r="GBZ206" s="3"/>
      <c r="GCA206" s="3"/>
      <c r="GCB206" s="3"/>
      <c r="GCC206" s="3"/>
      <c r="GCD206" s="3"/>
      <c r="GCE206" s="3"/>
      <c r="GCF206" s="3"/>
      <c r="GCG206" s="3"/>
      <c r="GCH206" s="3"/>
      <c r="GCI206" s="3"/>
      <c r="GCJ206" s="3"/>
      <c r="GCK206" s="3"/>
      <c r="GCL206" s="3"/>
      <c r="GCM206" s="3"/>
      <c r="GCN206" s="3"/>
      <c r="GCO206" s="3"/>
      <c r="GCP206" s="3"/>
      <c r="GCQ206" s="3"/>
      <c r="GCR206" s="3"/>
      <c r="GCS206" s="3"/>
      <c r="GCT206" s="3"/>
      <c r="GCU206" s="3"/>
      <c r="GCV206" s="3"/>
      <c r="GCW206" s="3"/>
      <c r="GCX206" s="3"/>
      <c r="GCY206" s="3"/>
      <c r="GCZ206" s="3"/>
      <c r="GDA206" s="3"/>
      <c r="GDB206" s="3"/>
      <c r="GDC206" s="3"/>
      <c r="GDD206" s="3"/>
      <c r="GDE206" s="3"/>
      <c r="GDF206" s="3"/>
      <c r="GDG206" s="3"/>
      <c r="GDH206" s="3"/>
      <c r="GDI206" s="3"/>
      <c r="GDJ206" s="3"/>
      <c r="GDK206" s="3"/>
      <c r="GDL206" s="3"/>
      <c r="GDM206" s="3"/>
      <c r="GDN206" s="3"/>
      <c r="GDO206" s="3"/>
      <c r="GDP206" s="3"/>
      <c r="GDQ206" s="3"/>
      <c r="GDR206" s="3"/>
      <c r="GDS206" s="3"/>
      <c r="GDT206" s="3"/>
      <c r="GDU206" s="3"/>
      <c r="GDV206" s="3"/>
      <c r="GDW206" s="3"/>
      <c r="GDX206" s="3"/>
      <c r="GDY206" s="3"/>
      <c r="GDZ206" s="3"/>
      <c r="GEA206" s="3"/>
      <c r="GEB206" s="3"/>
      <c r="GEC206" s="3"/>
      <c r="GED206" s="3"/>
      <c r="GEE206" s="3"/>
      <c r="GEF206" s="3"/>
      <c r="GEG206" s="3"/>
      <c r="GEH206" s="3"/>
      <c r="GEI206" s="3"/>
      <c r="GEJ206" s="3"/>
      <c r="GEK206" s="3"/>
      <c r="GEL206" s="3"/>
      <c r="GEM206" s="3"/>
      <c r="GEN206" s="3"/>
      <c r="GEO206" s="3"/>
      <c r="GEP206" s="3"/>
      <c r="GEQ206" s="3"/>
      <c r="GER206" s="3"/>
      <c r="GES206" s="3"/>
      <c r="GET206" s="3"/>
      <c r="GEU206" s="3"/>
      <c r="GEV206" s="3"/>
      <c r="GEW206" s="3"/>
      <c r="GEX206" s="3"/>
      <c r="GEY206" s="3"/>
      <c r="GEZ206" s="3"/>
      <c r="GFA206" s="3"/>
      <c r="GFB206" s="3"/>
      <c r="GFC206" s="3"/>
      <c r="GFD206" s="3"/>
      <c r="GFE206" s="3"/>
      <c r="GFF206" s="3"/>
      <c r="GFG206" s="3"/>
      <c r="GFH206" s="3"/>
      <c r="GFI206" s="3"/>
      <c r="GFJ206" s="3"/>
      <c r="GFK206" s="3"/>
      <c r="GFL206" s="3"/>
      <c r="GFM206" s="3"/>
      <c r="GFN206" s="3"/>
      <c r="GFO206" s="3"/>
      <c r="GFP206" s="3"/>
      <c r="GFQ206" s="3"/>
      <c r="GFR206" s="3"/>
      <c r="GFS206" s="3"/>
      <c r="GFT206" s="3"/>
      <c r="GFU206" s="3"/>
      <c r="GFV206" s="3"/>
      <c r="GFW206" s="3"/>
      <c r="GFX206" s="3"/>
      <c r="GFY206" s="3"/>
      <c r="GFZ206" s="3"/>
      <c r="GGA206" s="3"/>
      <c r="GGB206" s="3"/>
      <c r="GGC206" s="3"/>
      <c r="GGD206" s="3"/>
      <c r="GGE206" s="3"/>
      <c r="GGF206" s="3"/>
      <c r="GGG206" s="3"/>
      <c r="GGH206" s="3"/>
      <c r="GGI206" s="3"/>
      <c r="GGJ206" s="3"/>
      <c r="GGK206" s="3"/>
      <c r="GGL206" s="3"/>
      <c r="GGM206" s="3"/>
      <c r="GGN206" s="3"/>
      <c r="GGO206" s="3"/>
      <c r="GGP206" s="3"/>
      <c r="GGQ206" s="3"/>
      <c r="GGR206" s="3"/>
      <c r="GGS206" s="3"/>
      <c r="GGT206" s="3"/>
      <c r="GGU206" s="3"/>
      <c r="GGV206" s="3"/>
      <c r="GGW206" s="3"/>
      <c r="GGX206" s="3"/>
      <c r="GGY206" s="3"/>
      <c r="GGZ206" s="3"/>
      <c r="GHA206" s="3"/>
      <c r="GHB206" s="3"/>
      <c r="GHC206" s="3"/>
      <c r="GHD206" s="3"/>
      <c r="GHE206" s="3"/>
      <c r="GHF206" s="3"/>
      <c r="GHG206" s="3"/>
      <c r="GHH206" s="3"/>
      <c r="GHI206" s="3"/>
      <c r="GHJ206" s="3"/>
      <c r="GHK206" s="3"/>
      <c r="GHL206" s="3"/>
      <c r="GHM206" s="3"/>
      <c r="GHN206" s="3"/>
      <c r="GHO206" s="3"/>
      <c r="GHP206" s="3"/>
      <c r="GHQ206" s="3"/>
      <c r="GHR206" s="3"/>
      <c r="GHS206" s="3"/>
      <c r="GHT206" s="3"/>
      <c r="GHU206" s="3"/>
      <c r="GHV206" s="3"/>
      <c r="GHW206" s="3"/>
      <c r="GHX206" s="3"/>
      <c r="GHY206" s="3"/>
      <c r="GHZ206" s="3"/>
      <c r="GIA206" s="3"/>
      <c r="GIB206" s="3"/>
      <c r="GIC206" s="3"/>
      <c r="GID206" s="3"/>
      <c r="GIE206" s="3"/>
      <c r="GIF206" s="3"/>
      <c r="GIG206" s="3"/>
      <c r="GIH206" s="3"/>
      <c r="GII206" s="3"/>
      <c r="GIJ206" s="3"/>
      <c r="GIK206" s="3"/>
      <c r="GIL206" s="3"/>
      <c r="GIM206" s="3"/>
      <c r="GIN206" s="3"/>
      <c r="GIO206" s="3"/>
      <c r="GIP206" s="3"/>
      <c r="GIQ206" s="3"/>
      <c r="GIR206" s="3"/>
      <c r="GIS206" s="3"/>
      <c r="GIT206" s="3"/>
      <c r="GIU206" s="3"/>
      <c r="GIV206" s="3"/>
      <c r="GIW206" s="3"/>
      <c r="GIX206" s="3"/>
      <c r="GIY206" s="3"/>
      <c r="GIZ206" s="3"/>
      <c r="GJA206" s="3"/>
      <c r="GJB206" s="3"/>
      <c r="GJC206" s="3"/>
      <c r="GJD206" s="3"/>
      <c r="GJE206" s="3"/>
      <c r="GJF206" s="3"/>
      <c r="GJG206" s="3"/>
      <c r="GJH206" s="3"/>
      <c r="GJI206" s="3"/>
      <c r="GJJ206" s="3"/>
      <c r="GJK206" s="3"/>
      <c r="GJL206" s="3"/>
      <c r="GJM206" s="3"/>
      <c r="GJN206" s="3"/>
      <c r="GJO206" s="3"/>
      <c r="GJP206" s="3"/>
      <c r="GJQ206" s="3"/>
      <c r="GJR206" s="3"/>
      <c r="GJS206" s="3"/>
      <c r="GJT206" s="3"/>
      <c r="GJU206" s="3"/>
      <c r="GJV206" s="3"/>
      <c r="GJW206" s="3"/>
      <c r="GJX206" s="3"/>
      <c r="GJY206" s="3"/>
      <c r="GJZ206" s="3"/>
      <c r="GKA206" s="3"/>
      <c r="GKB206" s="3"/>
      <c r="GKC206" s="3"/>
      <c r="GKD206" s="3"/>
      <c r="GKE206" s="3"/>
      <c r="GKF206" s="3"/>
      <c r="GKG206" s="3"/>
      <c r="GKH206" s="3"/>
      <c r="GKI206" s="3"/>
      <c r="GKJ206" s="3"/>
      <c r="GKK206" s="3"/>
      <c r="GKL206" s="3"/>
      <c r="GKM206" s="3"/>
      <c r="GKN206" s="3"/>
      <c r="GKO206" s="3"/>
      <c r="GKP206" s="3"/>
      <c r="GKQ206" s="3"/>
      <c r="GKR206" s="3"/>
      <c r="GKS206" s="3"/>
      <c r="GKT206" s="3"/>
      <c r="GKU206" s="3"/>
      <c r="GKV206" s="3"/>
      <c r="GKW206" s="3"/>
      <c r="GKX206" s="3"/>
      <c r="GKY206" s="3"/>
      <c r="GKZ206" s="3"/>
      <c r="GLA206" s="3"/>
      <c r="GLB206" s="3"/>
      <c r="GLC206" s="3"/>
      <c r="GLD206" s="3"/>
      <c r="GLE206" s="3"/>
      <c r="GLF206" s="3"/>
      <c r="GLG206" s="3"/>
      <c r="GLH206" s="3"/>
      <c r="GLI206" s="3"/>
      <c r="GLJ206" s="3"/>
      <c r="GLK206" s="3"/>
      <c r="GLL206" s="3"/>
      <c r="GLM206" s="3"/>
      <c r="GLN206" s="3"/>
      <c r="GLO206" s="3"/>
      <c r="GLP206" s="3"/>
      <c r="GLQ206" s="3"/>
      <c r="GLR206" s="3"/>
      <c r="GLS206" s="3"/>
      <c r="GLT206" s="3"/>
      <c r="GLU206" s="3"/>
      <c r="GLV206" s="3"/>
      <c r="GLW206" s="3"/>
      <c r="GLX206" s="3"/>
      <c r="GLY206" s="3"/>
      <c r="GLZ206" s="3"/>
      <c r="GMA206" s="3"/>
      <c r="GMB206" s="3"/>
      <c r="GMC206" s="3"/>
      <c r="GMD206" s="3"/>
      <c r="GME206" s="3"/>
      <c r="GMF206" s="3"/>
      <c r="GMG206" s="3"/>
      <c r="GMH206" s="3"/>
      <c r="GMI206" s="3"/>
      <c r="GMJ206" s="3"/>
      <c r="GMK206" s="3"/>
      <c r="GML206" s="3"/>
      <c r="GMM206" s="3"/>
      <c r="GMN206" s="3"/>
      <c r="GMO206" s="3"/>
      <c r="GMP206" s="3"/>
      <c r="GMQ206" s="3"/>
      <c r="GMR206" s="3"/>
      <c r="GMS206" s="3"/>
      <c r="GMT206" s="3"/>
      <c r="GMU206" s="3"/>
      <c r="GMV206" s="3"/>
      <c r="GMW206" s="3"/>
      <c r="GMX206" s="3"/>
      <c r="GMY206" s="3"/>
      <c r="GMZ206" s="3"/>
      <c r="GNA206" s="3"/>
      <c r="GNB206" s="3"/>
      <c r="GNC206" s="3"/>
      <c r="GND206" s="3"/>
      <c r="GNE206" s="3"/>
      <c r="GNF206" s="3"/>
      <c r="GNG206" s="3"/>
      <c r="GNH206" s="3"/>
      <c r="GNI206" s="3"/>
      <c r="GNJ206" s="3"/>
      <c r="GNK206" s="3"/>
      <c r="GNL206" s="3"/>
      <c r="GNM206" s="3"/>
      <c r="GNN206" s="3"/>
      <c r="GNO206" s="3"/>
      <c r="GNP206" s="3"/>
      <c r="GNQ206" s="3"/>
      <c r="GNR206" s="3"/>
      <c r="GNS206" s="3"/>
      <c r="GNT206" s="3"/>
      <c r="GNU206" s="3"/>
      <c r="GNV206" s="3"/>
      <c r="GNW206" s="3"/>
      <c r="GNX206" s="3"/>
      <c r="GNY206" s="3"/>
      <c r="GNZ206" s="3"/>
      <c r="GOA206" s="3"/>
      <c r="GOB206" s="3"/>
      <c r="GOC206" s="3"/>
      <c r="GOD206" s="3"/>
      <c r="GOE206" s="3"/>
      <c r="GOF206" s="3"/>
      <c r="GOG206" s="3"/>
      <c r="GOH206" s="3"/>
      <c r="GOI206" s="3"/>
      <c r="GOJ206" s="3"/>
      <c r="GOK206" s="3"/>
      <c r="GOL206" s="3"/>
      <c r="GOM206" s="3"/>
      <c r="GON206" s="3"/>
      <c r="GOO206" s="3"/>
      <c r="GOP206" s="3"/>
      <c r="GOQ206" s="3"/>
      <c r="GOR206" s="3"/>
      <c r="GOS206" s="3"/>
      <c r="GOT206" s="3"/>
      <c r="GOU206" s="3"/>
      <c r="GOV206" s="3"/>
      <c r="GOW206" s="3"/>
      <c r="GOX206" s="3"/>
      <c r="GOY206" s="3"/>
      <c r="GOZ206" s="3"/>
      <c r="GPA206" s="3"/>
      <c r="GPB206" s="3"/>
      <c r="GPC206" s="3"/>
      <c r="GPD206" s="3"/>
      <c r="GPE206" s="3"/>
      <c r="GPF206" s="3"/>
      <c r="GPG206" s="3"/>
      <c r="GPH206" s="3"/>
      <c r="GPI206" s="3"/>
      <c r="GPJ206" s="3"/>
      <c r="GPK206" s="3"/>
      <c r="GPL206" s="3"/>
      <c r="GPM206" s="3"/>
      <c r="GPN206" s="3"/>
      <c r="GPO206" s="3"/>
      <c r="GPP206" s="3"/>
      <c r="GPQ206" s="3"/>
      <c r="GPR206" s="3"/>
      <c r="GPS206" s="3"/>
      <c r="GPT206" s="3"/>
      <c r="GPU206" s="3"/>
      <c r="GPV206" s="3"/>
      <c r="GPW206" s="3"/>
      <c r="GPX206" s="3"/>
      <c r="GPY206" s="3"/>
      <c r="GPZ206" s="3"/>
      <c r="GQA206" s="3"/>
      <c r="GQB206" s="3"/>
      <c r="GQC206" s="3"/>
      <c r="GQD206" s="3"/>
      <c r="GQE206" s="3"/>
      <c r="GQF206" s="3"/>
      <c r="GQG206" s="3"/>
      <c r="GQH206" s="3"/>
      <c r="GQI206" s="3"/>
      <c r="GQJ206" s="3"/>
      <c r="GQK206" s="3"/>
      <c r="GQL206" s="3"/>
      <c r="GQM206" s="3"/>
      <c r="GQN206" s="3"/>
      <c r="GQO206" s="3"/>
      <c r="GQP206" s="3"/>
      <c r="GQQ206" s="3"/>
      <c r="GQR206" s="3"/>
      <c r="GQS206" s="3"/>
      <c r="GQT206" s="3"/>
      <c r="GQU206" s="3"/>
      <c r="GQV206" s="3"/>
      <c r="GQW206" s="3"/>
      <c r="GQX206" s="3"/>
      <c r="GQY206" s="3"/>
      <c r="GQZ206" s="3"/>
      <c r="GRA206" s="3"/>
      <c r="GRB206" s="3"/>
      <c r="GRC206" s="3"/>
      <c r="GRD206" s="3"/>
      <c r="GRE206" s="3"/>
      <c r="GRF206" s="3"/>
      <c r="GRG206" s="3"/>
      <c r="GRH206" s="3"/>
      <c r="GRI206" s="3"/>
      <c r="GRJ206" s="3"/>
      <c r="GRK206" s="3"/>
      <c r="GRL206" s="3"/>
      <c r="GRM206" s="3"/>
      <c r="GRN206" s="3"/>
      <c r="GRO206" s="3"/>
      <c r="GRP206" s="3"/>
      <c r="GRQ206" s="3"/>
      <c r="GRR206" s="3"/>
      <c r="GRS206" s="3"/>
      <c r="GRT206" s="3"/>
      <c r="GRU206" s="3"/>
      <c r="GRV206" s="3"/>
      <c r="GRW206" s="3"/>
      <c r="GRX206" s="3"/>
      <c r="GRY206" s="3"/>
      <c r="GRZ206" s="3"/>
      <c r="GSA206" s="3"/>
      <c r="GSB206" s="3"/>
      <c r="GSC206" s="3"/>
      <c r="GSD206" s="3"/>
      <c r="GSE206" s="3"/>
      <c r="GSF206" s="3"/>
      <c r="GSG206" s="3"/>
      <c r="GSH206" s="3"/>
      <c r="GSI206" s="3"/>
      <c r="GSJ206" s="3"/>
      <c r="GSK206" s="3"/>
      <c r="GSL206" s="3"/>
      <c r="GSM206" s="3"/>
      <c r="GSN206" s="3"/>
      <c r="GSO206" s="3"/>
      <c r="GSP206" s="3"/>
      <c r="GSQ206" s="3"/>
      <c r="GSR206" s="3"/>
      <c r="GSS206" s="3"/>
      <c r="GST206" s="3"/>
      <c r="GSU206" s="3"/>
      <c r="GSV206" s="3"/>
      <c r="GSW206" s="3"/>
      <c r="GSX206" s="3"/>
      <c r="GSY206" s="3"/>
      <c r="GSZ206" s="3"/>
      <c r="GTA206" s="3"/>
      <c r="GTB206" s="3"/>
      <c r="GTC206" s="3"/>
      <c r="GTD206" s="3"/>
      <c r="GTE206" s="3"/>
      <c r="GTF206" s="3"/>
      <c r="GTG206" s="3"/>
      <c r="GTH206" s="3"/>
      <c r="GTI206" s="3"/>
      <c r="GTJ206" s="3"/>
      <c r="GTK206" s="3"/>
      <c r="GTL206" s="3"/>
      <c r="GTM206" s="3"/>
      <c r="GTN206" s="3"/>
      <c r="GTO206" s="3"/>
      <c r="GTP206" s="3"/>
      <c r="GTQ206" s="3"/>
      <c r="GTR206" s="3"/>
      <c r="GTS206" s="3"/>
      <c r="GTT206" s="3"/>
      <c r="GTU206" s="3"/>
      <c r="GTV206" s="3"/>
      <c r="GTW206" s="3"/>
      <c r="GTX206" s="3"/>
      <c r="GTY206" s="3"/>
      <c r="GTZ206" s="3"/>
      <c r="GUA206" s="3"/>
      <c r="GUB206" s="3"/>
      <c r="GUC206" s="3"/>
      <c r="GUD206" s="3"/>
      <c r="GUE206" s="3"/>
      <c r="GUF206" s="3"/>
      <c r="GUG206" s="3"/>
      <c r="GUH206" s="3"/>
      <c r="GUI206" s="3"/>
      <c r="GUJ206" s="3"/>
      <c r="GUK206" s="3"/>
      <c r="GUL206" s="3"/>
      <c r="GUM206" s="3"/>
      <c r="GUN206" s="3"/>
      <c r="GUO206" s="3"/>
      <c r="GUP206" s="3"/>
      <c r="GUQ206" s="3"/>
      <c r="GUR206" s="3"/>
      <c r="GUS206" s="3"/>
      <c r="GUT206" s="3"/>
      <c r="GUU206" s="3"/>
      <c r="GUV206" s="3"/>
      <c r="GUW206" s="3"/>
      <c r="GUX206" s="3"/>
      <c r="GUY206" s="3"/>
      <c r="GUZ206" s="3"/>
      <c r="GVA206" s="3"/>
      <c r="GVB206" s="3"/>
      <c r="GVC206" s="3"/>
      <c r="GVD206" s="3"/>
      <c r="GVE206" s="3"/>
      <c r="GVF206" s="3"/>
      <c r="GVG206" s="3"/>
      <c r="GVH206" s="3"/>
      <c r="GVI206" s="3"/>
      <c r="GVJ206" s="3"/>
      <c r="GVK206" s="3"/>
      <c r="GVL206" s="3"/>
      <c r="GVM206" s="3"/>
      <c r="GVN206" s="3"/>
      <c r="GVO206" s="3"/>
      <c r="GVP206" s="3"/>
      <c r="GVQ206" s="3"/>
      <c r="GVR206" s="3"/>
      <c r="GVS206" s="3"/>
      <c r="GVT206" s="3"/>
      <c r="GVU206" s="3"/>
      <c r="GVV206" s="3"/>
      <c r="GVW206" s="3"/>
      <c r="GVX206" s="3"/>
      <c r="GVY206" s="3"/>
      <c r="GVZ206" s="3"/>
      <c r="GWA206" s="3"/>
      <c r="GWB206" s="3"/>
      <c r="GWC206" s="3"/>
      <c r="GWD206" s="3"/>
      <c r="GWE206" s="3"/>
      <c r="GWF206" s="3"/>
      <c r="GWG206" s="3"/>
      <c r="GWH206" s="3"/>
      <c r="GWI206" s="3"/>
      <c r="GWJ206" s="3"/>
      <c r="GWK206" s="3"/>
      <c r="GWL206" s="3"/>
      <c r="GWM206" s="3"/>
      <c r="GWN206" s="3"/>
      <c r="GWO206" s="3"/>
      <c r="GWP206" s="3"/>
      <c r="GWQ206" s="3"/>
      <c r="GWR206" s="3"/>
      <c r="GWS206" s="3"/>
      <c r="GWT206" s="3"/>
      <c r="GWU206" s="3"/>
      <c r="GWV206" s="3"/>
      <c r="GWW206" s="3"/>
      <c r="GWX206" s="3"/>
      <c r="GWY206" s="3"/>
      <c r="GWZ206" s="3"/>
      <c r="GXA206" s="3"/>
      <c r="GXB206" s="3"/>
      <c r="GXC206" s="3"/>
      <c r="GXD206" s="3"/>
      <c r="GXE206" s="3"/>
      <c r="GXF206" s="3"/>
      <c r="GXG206" s="3"/>
      <c r="GXH206" s="3"/>
      <c r="GXI206" s="3"/>
      <c r="GXJ206" s="3"/>
      <c r="GXK206" s="3"/>
      <c r="GXL206" s="3"/>
      <c r="GXM206" s="3"/>
      <c r="GXN206" s="3"/>
      <c r="GXO206" s="3"/>
      <c r="GXP206" s="3"/>
      <c r="GXQ206" s="3"/>
      <c r="GXR206" s="3"/>
      <c r="GXS206" s="3"/>
      <c r="GXT206" s="3"/>
      <c r="GXU206" s="3"/>
      <c r="GXV206" s="3"/>
      <c r="GXW206" s="3"/>
      <c r="GXX206" s="3"/>
      <c r="GXY206" s="3"/>
      <c r="GXZ206" s="3"/>
      <c r="GYA206" s="3"/>
      <c r="GYB206" s="3"/>
      <c r="GYC206" s="3"/>
      <c r="GYD206" s="3"/>
      <c r="GYE206" s="3"/>
      <c r="GYF206" s="3"/>
      <c r="GYG206" s="3"/>
      <c r="GYH206" s="3"/>
      <c r="GYI206" s="3"/>
      <c r="GYJ206" s="3"/>
      <c r="GYK206" s="3"/>
      <c r="GYL206" s="3"/>
      <c r="GYM206" s="3"/>
      <c r="GYN206" s="3"/>
      <c r="GYO206" s="3"/>
      <c r="GYP206" s="3"/>
      <c r="GYQ206" s="3"/>
      <c r="GYR206" s="3"/>
      <c r="GYS206" s="3"/>
      <c r="GYT206" s="3"/>
      <c r="GYU206" s="3"/>
      <c r="GYV206" s="3"/>
      <c r="GYW206" s="3"/>
      <c r="GYX206" s="3"/>
      <c r="GYY206" s="3"/>
      <c r="GYZ206" s="3"/>
      <c r="GZA206" s="3"/>
      <c r="GZB206" s="3"/>
      <c r="GZC206" s="3"/>
      <c r="GZD206" s="3"/>
      <c r="GZE206" s="3"/>
      <c r="GZF206" s="3"/>
      <c r="GZG206" s="3"/>
      <c r="GZH206" s="3"/>
      <c r="GZI206" s="3"/>
      <c r="GZJ206" s="3"/>
      <c r="GZK206" s="3"/>
      <c r="GZL206" s="3"/>
      <c r="GZM206" s="3"/>
      <c r="GZN206" s="3"/>
      <c r="GZO206" s="3"/>
      <c r="GZP206" s="3"/>
      <c r="GZQ206" s="3"/>
      <c r="GZR206" s="3"/>
      <c r="GZS206" s="3"/>
      <c r="GZT206" s="3"/>
      <c r="GZU206" s="3"/>
      <c r="GZV206" s="3"/>
      <c r="GZW206" s="3"/>
      <c r="GZX206" s="3"/>
      <c r="GZY206" s="3"/>
      <c r="GZZ206" s="3"/>
      <c r="HAA206" s="3"/>
      <c r="HAB206" s="3"/>
      <c r="HAC206" s="3"/>
      <c r="HAD206" s="3"/>
      <c r="HAE206" s="3"/>
      <c r="HAF206" s="3"/>
      <c r="HAG206" s="3"/>
      <c r="HAH206" s="3"/>
      <c r="HAI206" s="3"/>
      <c r="HAJ206" s="3"/>
      <c r="HAK206" s="3"/>
      <c r="HAL206" s="3"/>
      <c r="HAM206" s="3"/>
      <c r="HAN206" s="3"/>
      <c r="HAO206" s="3"/>
      <c r="HAP206" s="3"/>
      <c r="HAQ206" s="3"/>
      <c r="HAR206" s="3"/>
      <c r="HAS206" s="3"/>
      <c r="HAT206" s="3"/>
      <c r="HAU206" s="3"/>
      <c r="HAV206" s="3"/>
      <c r="HAW206" s="3"/>
      <c r="HAX206" s="3"/>
      <c r="HAY206" s="3"/>
      <c r="HAZ206" s="3"/>
      <c r="HBA206" s="3"/>
      <c r="HBB206" s="3"/>
      <c r="HBC206" s="3"/>
      <c r="HBD206" s="3"/>
      <c r="HBE206" s="3"/>
      <c r="HBF206" s="3"/>
      <c r="HBG206" s="3"/>
      <c r="HBH206" s="3"/>
      <c r="HBI206" s="3"/>
      <c r="HBJ206" s="3"/>
      <c r="HBK206" s="3"/>
      <c r="HBL206" s="3"/>
      <c r="HBM206" s="3"/>
      <c r="HBN206" s="3"/>
      <c r="HBO206" s="3"/>
      <c r="HBP206" s="3"/>
      <c r="HBQ206" s="3"/>
      <c r="HBR206" s="3"/>
      <c r="HBS206" s="3"/>
      <c r="HBT206" s="3"/>
      <c r="HBU206" s="3"/>
      <c r="HBV206" s="3"/>
      <c r="HBW206" s="3"/>
      <c r="HBX206" s="3"/>
      <c r="HBY206" s="3"/>
      <c r="HBZ206" s="3"/>
      <c r="HCA206" s="3"/>
      <c r="HCB206" s="3"/>
      <c r="HCC206" s="3"/>
      <c r="HCD206" s="3"/>
      <c r="HCE206" s="3"/>
      <c r="HCF206" s="3"/>
      <c r="HCG206" s="3"/>
      <c r="HCH206" s="3"/>
      <c r="HCI206" s="3"/>
      <c r="HCJ206" s="3"/>
      <c r="HCK206" s="3"/>
      <c r="HCL206" s="3"/>
      <c r="HCM206" s="3"/>
      <c r="HCN206" s="3"/>
      <c r="HCO206" s="3"/>
      <c r="HCP206" s="3"/>
      <c r="HCQ206" s="3"/>
      <c r="HCR206" s="3"/>
      <c r="HCS206" s="3"/>
      <c r="HCT206" s="3"/>
      <c r="HCU206" s="3"/>
      <c r="HCV206" s="3"/>
      <c r="HCW206" s="3"/>
      <c r="HCX206" s="3"/>
      <c r="HCY206" s="3"/>
      <c r="HCZ206" s="3"/>
      <c r="HDA206" s="3"/>
      <c r="HDB206" s="3"/>
      <c r="HDC206" s="3"/>
      <c r="HDD206" s="3"/>
      <c r="HDE206" s="3"/>
      <c r="HDF206" s="3"/>
      <c r="HDG206" s="3"/>
      <c r="HDH206" s="3"/>
      <c r="HDI206" s="3"/>
      <c r="HDJ206" s="3"/>
      <c r="HDK206" s="3"/>
      <c r="HDL206" s="3"/>
      <c r="HDM206" s="3"/>
      <c r="HDN206" s="3"/>
      <c r="HDO206" s="3"/>
      <c r="HDP206" s="3"/>
      <c r="HDQ206" s="3"/>
      <c r="HDR206" s="3"/>
      <c r="HDS206" s="3"/>
      <c r="HDT206" s="3"/>
      <c r="HDU206" s="3"/>
      <c r="HDV206" s="3"/>
      <c r="HDW206" s="3"/>
      <c r="HDX206" s="3"/>
      <c r="HDY206" s="3"/>
      <c r="HDZ206" s="3"/>
      <c r="HEA206" s="3"/>
      <c r="HEB206" s="3"/>
      <c r="HEC206" s="3"/>
      <c r="HED206" s="3"/>
      <c r="HEE206" s="3"/>
      <c r="HEF206" s="3"/>
      <c r="HEG206" s="3"/>
      <c r="HEH206" s="3"/>
      <c r="HEI206" s="3"/>
      <c r="HEJ206" s="3"/>
      <c r="HEK206" s="3"/>
      <c r="HEL206" s="3"/>
      <c r="HEM206" s="3"/>
      <c r="HEN206" s="3"/>
      <c r="HEO206" s="3"/>
      <c r="HEP206" s="3"/>
      <c r="HEQ206" s="3"/>
      <c r="HER206" s="3"/>
      <c r="HES206" s="3"/>
      <c r="HET206" s="3"/>
      <c r="HEU206" s="3"/>
      <c r="HEV206" s="3"/>
      <c r="HEW206" s="3"/>
      <c r="HEX206" s="3"/>
      <c r="HEY206" s="3"/>
      <c r="HEZ206" s="3"/>
      <c r="HFA206" s="3"/>
      <c r="HFB206" s="3"/>
      <c r="HFC206" s="3"/>
      <c r="HFD206" s="3"/>
      <c r="HFE206" s="3"/>
      <c r="HFF206" s="3"/>
      <c r="HFG206" s="3"/>
      <c r="HFH206" s="3"/>
      <c r="HFI206" s="3"/>
      <c r="HFJ206" s="3"/>
      <c r="HFK206" s="3"/>
      <c r="HFL206" s="3"/>
      <c r="HFM206" s="3"/>
      <c r="HFN206" s="3"/>
      <c r="HFO206" s="3"/>
      <c r="HFP206" s="3"/>
      <c r="HFQ206" s="3"/>
      <c r="HFR206" s="3"/>
      <c r="HFS206" s="3"/>
      <c r="HFT206" s="3"/>
      <c r="HFU206" s="3"/>
      <c r="HFV206" s="3"/>
      <c r="HFW206" s="3"/>
      <c r="HFX206" s="3"/>
      <c r="HFY206" s="3"/>
      <c r="HFZ206" s="3"/>
      <c r="HGA206" s="3"/>
      <c r="HGB206" s="3"/>
      <c r="HGC206" s="3"/>
      <c r="HGD206" s="3"/>
      <c r="HGE206" s="3"/>
      <c r="HGF206" s="3"/>
      <c r="HGG206" s="3"/>
      <c r="HGH206" s="3"/>
      <c r="HGI206" s="3"/>
      <c r="HGJ206" s="3"/>
      <c r="HGK206" s="3"/>
      <c r="HGL206" s="3"/>
      <c r="HGM206" s="3"/>
      <c r="HGN206" s="3"/>
      <c r="HGO206" s="3"/>
      <c r="HGP206" s="3"/>
      <c r="HGQ206" s="3"/>
      <c r="HGR206" s="3"/>
      <c r="HGS206" s="3"/>
      <c r="HGT206" s="3"/>
      <c r="HGU206" s="3"/>
      <c r="HGV206" s="3"/>
      <c r="HGW206" s="3"/>
      <c r="HGX206" s="3"/>
      <c r="HGY206" s="3"/>
      <c r="HGZ206" s="3"/>
      <c r="HHA206" s="3"/>
      <c r="HHB206" s="3"/>
      <c r="HHC206" s="3"/>
      <c r="HHD206" s="3"/>
      <c r="HHE206" s="3"/>
      <c r="HHF206" s="3"/>
      <c r="HHG206" s="3"/>
      <c r="HHH206" s="3"/>
      <c r="HHI206" s="3"/>
      <c r="HHJ206" s="3"/>
      <c r="HHK206" s="3"/>
      <c r="HHL206" s="3"/>
      <c r="HHM206" s="3"/>
      <c r="HHN206" s="3"/>
      <c r="HHO206" s="3"/>
      <c r="HHP206" s="3"/>
      <c r="HHQ206" s="3"/>
      <c r="HHR206" s="3"/>
      <c r="HHS206" s="3"/>
      <c r="HHT206" s="3"/>
      <c r="HHU206" s="3"/>
      <c r="HHV206" s="3"/>
      <c r="HHW206" s="3"/>
      <c r="HHX206" s="3"/>
      <c r="HHY206" s="3"/>
      <c r="HHZ206" s="3"/>
      <c r="HIA206" s="3"/>
      <c r="HIB206" s="3"/>
      <c r="HIC206" s="3"/>
      <c r="HID206" s="3"/>
      <c r="HIE206" s="3"/>
      <c r="HIF206" s="3"/>
      <c r="HIG206" s="3"/>
      <c r="HIH206" s="3"/>
      <c r="HII206" s="3"/>
      <c r="HIJ206" s="3"/>
      <c r="HIK206" s="3"/>
      <c r="HIL206" s="3"/>
      <c r="HIM206" s="3"/>
      <c r="HIN206" s="3"/>
      <c r="HIO206" s="3"/>
      <c r="HIP206" s="3"/>
      <c r="HIQ206" s="3"/>
      <c r="HIR206" s="3"/>
      <c r="HIS206" s="3"/>
      <c r="HIT206" s="3"/>
      <c r="HIU206" s="3"/>
      <c r="HIV206" s="3"/>
      <c r="HIW206" s="3"/>
      <c r="HIX206" s="3"/>
      <c r="HIY206" s="3"/>
      <c r="HIZ206" s="3"/>
      <c r="HJA206" s="3"/>
      <c r="HJB206" s="3"/>
      <c r="HJC206" s="3"/>
      <c r="HJD206" s="3"/>
      <c r="HJE206" s="3"/>
      <c r="HJF206" s="3"/>
      <c r="HJG206" s="3"/>
      <c r="HJH206" s="3"/>
      <c r="HJI206" s="3"/>
      <c r="HJJ206" s="3"/>
      <c r="HJK206" s="3"/>
      <c r="HJL206" s="3"/>
      <c r="HJM206" s="3"/>
      <c r="HJN206" s="3"/>
      <c r="HJO206" s="3"/>
      <c r="HJP206" s="3"/>
      <c r="HJQ206" s="3"/>
      <c r="HJR206" s="3"/>
      <c r="HJS206" s="3"/>
      <c r="HJT206" s="3"/>
      <c r="HJU206" s="3"/>
      <c r="HJV206" s="3"/>
      <c r="HJW206" s="3"/>
      <c r="HJX206" s="3"/>
      <c r="HJY206" s="3"/>
      <c r="HJZ206" s="3"/>
      <c r="HKA206" s="3"/>
      <c r="HKB206" s="3"/>
      <c r="HKC206" s="3"/>
      <c r="HKD206" s="3"/>
      <c r="HKE206" s="3"/>
      <c r="HKF206" s="3"/>
      <c r="HKG206" s="3"/>
      <c r="HKH206" s="3"/>
      <c r="HKI206" s="3"/>
      <c r="HKJ206" s="3"/>
      <c r="HKK206" s="3"/>
      <c r="HKL206" s="3"/>
      <c r="HKM206" s="3"/>
      <c r="HKN206" s="3"/>
      <c r="HKO206" s="3"/>
      <c r="HKP206" s="3"/>
      <c r="HKQ206" s="3"/>
      <c r="HKR206" s="3"/>
      <c r="HKS206" s="3"/>
      <c r="HKT206" s="3"/>
      <c r="HKU206" s="3"/>
      <c r="HKV206" s="3"/>
      <c r="HKW206" s="3"/>
      <c r="HKX206" s="3"/>
      <c r="HKY206" s="3"/>
      <c r="HKZ206" s="3"/>
      <c r="HLA206" s="3"/>
      <c r="HLB206" s="3"/>
      <c r="HLC206" s="3"/>
      <c r="HLD206" s="3"/>
      <c r="HLE206" s="3"/>
      <c r="HLF206" s="3"/>
      <c r="HLG206" s="3"/>
      <c r="HLH206" s="3"/>
      <c r="HLI206" s="3"/>
      <c r="HLJ206" s="3"/>
      <c r="HLK206" s="3"/>
      <c r="HLL206" s="3"/>
      <c r="HLM206" s="3"/>
      <c r="HLN206" s="3"/>
      <c r="HLO206" s="3"/>
      <c r="HLP206" s="3"/>
      <c r="HLQ206" s="3"/>
      <c r="HLR206" s="3"/>
      <c r="HLS206" s="3"/>
      <c r="HLT206" s="3"/>
      <c r="HLU206" s="3"/>
      <c r="HLV206" s="3"/>
      <c r="HLW206" s="3"/>
      <c r="HLX206" s="3"/>
      <c r="HLY206" s="3"/>
      <c r="HLZ206" s="3"/>
      <c r="HMA206" s="3"/>
      <c r="HMB206" s="3"/>
      <c r="HMC206" s="3"/>
      <c r="HMD206" s="3"/>
      <c r="HME206" s="3"/>
      <c r="HMF206" s="3"/>
      <c r="HMG206" s="3"/>
      <c r="HMH206" s="3"/>
      <c r="HMI206" s="3"/>
      <c r="HMJ206" s="3"/>
      <c r="HMK206" s="3"/>
      <c r="HML206" s="3"/>
      <c r="HMM206" s="3"/>
      <c r="HMN206" s="3"/>
      <c r="HMO206" s="3"/>
      <c r="HMP206" s="3"/>
      <c r="HMQ206" s="3"/>
      <c r="HMR206" s="3"/>
      <c r="HMS206" s="3"/>
      <c r="HMT206" s="3"/>
      <c r="HMU206" s="3"/>
      <c r="HMV206" s="3"/>
      <c r="HMW206" s="3"/>
      <c r="HMX206" s="3"/>
      <c r="HMY206" s="3"/>
      <c r="HMZ206" s="3"/>
      <c r="HNA206" s="3"/>
      <c r="HNB206" s="3"/>
      <c r="HNC206" s="3"/>
      <c r="HND206" s="3"/>
      <c r="HNE206" s="3"/>
      <c r="HNF206" s="3"/>
      <c r="HNG206" s="3"/>
      <c r="HNH206" s="3"/>
      <c r="HNI206" s="3"/>
      <c r="HNJ206" s="3"/>
      <c r="HNK206" s="3"/>
      <c r="HNL206" s="3"/>
      <c r="HNM206" s="3"/>
      <c r="HNN206" s="3"/>
      <c r="HNO206" s="3"/>
      <c r="HNP206" s="3"/>
      <c r="HNQ206" s="3"/>
      <c r="HNR206" s="3"/>
      <c r="HNS206" s="3"/>
      <c r="HNT206" s="3"/>
      <c r="HNU206" s="3"/>
      <c r="HNV206" s="3"/>
      <c r="HNW206" s="3"/>
      <c r="HNX206" s="3"/>
      <c r="HNY206" s="3"/>
      <c r="HNZ206" s="3"/>
      <c r="HOA206" s="3"/>
      <c r="HOB206" s="3"/>
      <c r="HOC206" s="3"/>
      <c r="HOD206" s="3"/>
      <c r="HOE206" s="3"/>
      <c r="HOF206" s="3"/>
      <c r="HOG206" s="3"/>
      <c r="HOH206" s="3"/>
      <c r="HOI206" s="3"/>
      <c r="HOJ206" s="3"/>
      <c r="HOK206" s="3"/>
      <c r="HOL206" s="3"/>
      <c r="HOM206" s="3"/>
      <c r="HON206" s="3"/>
      <c r="HOO206" s="3"/>
      <c r="HOP206" s="3"/>
      <c r="HOQ206" s="3"/>
      <c r="HOR206" s="3"/>
      <c r="HOS206" s="3"/>
      <c r="HOT206" s="3"/>
      <c r="HOU206" s="3"/>
      <c r="HOV206" s="3"/>
      <c r="HOW206" s="3"/>
      <c r="HOX206" s="3"/>
      <c r="HOY206" s="3"/>
      <c r="HOZ206" s="3"/>
      <c r="HPA206" s="3"/>
      <c r="HPB206" s="3"/>
      <c r="HPC206" s="3"/>
      <c r="HPD206" s="3"/>
      <c r="HPE206" s="3"/>
      <c r="HPF206" s="3"/>
      <c r="HPG206" s="3"/>
      <c r="HPH206" s="3"/>
      <c r="HPI206" s="3"/>
      <c r="HPJ206" s="3"/>
      <c r="HPK206" s="3"/>
      <c r="HPL206" s="3"/>
      <c r="HPM206" s="3"/>
      <c r="HPN206" s="3"/>
      <c r="HPO206" s="3"/>
      <c r="HPP206" s="3"/>
      <c r="HPQ206" s="3"/>
      <c r="HPR206" s="3"/>
      <c r="HPS206" s="3"/>
      <c r="HPT206" s="3"/>
      <c r="HPU206" s="3"/>
      <c r="HPV206" s="3"/>
      <c r="HPW206" s="3"/>
      <c r="HPX206" s="3"/>
      <c r="HPY206" s="3"/>
      <c r="HPZ206" s="3"/>
      <c r="HQA206" s="3"/>
      <c r="HQB206" s="3"/>
      <c r="HQC206" s="3"/>
      <c r="HQD206" s="3"/>
      <c r="HQE206" s="3"/>
      <c r="HQF206" s="3"/>
      <c r="HQG206" s="3"/>
      <c r="HQH206" s="3"/>
      <c r="HQI206" s="3"/>
      <c r="HQJ206" s="3"/>
      <c r="HQK206" s="3"/>
      <c r="HQL206" s="3"/>
      <c r="HQM206" s="3"/>
      <c r="HQN206" s="3"/>
      <c r="HQO206" s="3"/>
      <c r="HQP206" s="3"/>
      <c r="HQQ206" s="3"/>
      <c r="HQR206" s="3"/>
      <c r="HQS206" s="3"/>
      <c r="HQT206" s="3"/>
      <c r="HQU206" s="3"/>
      <c r="HQV206" s="3"/>
      <c r="HQW206" s="3"/>
      <c r="HQX206" s="3"/>
      <c r="HQY206" s="3"/>
      <c r="HQZ206" s="3"/>
      <c r="HRA206" s="3"/>
      <c r="HRB206" s="3"/>
      <c r="HRC206" s="3"/>
      <c r="HRD206" s="3"/>
      <c r="HRE206" s="3"/>
      <c r="HRF206" s="3"/>
      <c r="HRG206" s="3"/>
      <c r="HRH206" s="3"/>
      <c r="HRI206" s="3"/>
      <c r="HRJ206" s="3"/>
      <c r="HRK206" s="3"/>
      <c r="HRL206" s="3"/>
      <c r="HRM206" s="3"/>
      <c r="HRN206" s="3"/>
      <c r="HRO206" s="3"/>
      <c r="HRP206" s="3"/>
      <c r="HRQ206" s="3"/>
      <c r="HRR206" s="3"/>
      <c r="HRS206" s="3"/>
      <c r="HRT206" s="3"/>
      <c r="HRU206" s="3"/>
      <c r="HRV206" s="3"/>
      <c r="HRW206" s="3"/>
      <c r="HRX206" s="3"/>
      <c r="HRY206" s="3"/>
      <c r="HRZ206" s="3"/>
      <c r="HSA206" s="3"/>
      <c r="HSB206" s="3"/>
      <c r="HSC206" s="3"/>
      <c r="HSD206" s="3"/>
      <c r="HSE206" s="3"/>
      <c r="HSF206" s="3"/>
      <c r="HSG206" s="3"/>
      <c r="HSH206" s="3"/>
      <c r="HSI206" s="3"/>
      <c r="HSJ206" s="3"/>
      <c r="HSK206" s="3"/>
      <c r="HSL206" s="3"/>
      <c r="HSM206" s="3"/>
      <c r="HSN206" s="3"/>
      <c r="HSO206" s="3"/>
      <c r="HSP206" s="3"/>
      <c r="HSQ206" s="3"/>
      <c r="HSR206" s="3"/>
      <c r="HSS206" s="3"/>
      <c r="HST206" s="3"/>
      <c r="HSU206" s="3"/>
      <c r="HSV206" s="3"/>
      <c r="HSW206" s="3"/>
      <c r="HSX206" s="3"/>
      <c r="HSY206" s="3"/>
      <c r="HSZ206" s="3"/>
      <c r="HTA206" s="3"/>
      <c r="HTB206" s="3"/>
      <c r="HTC206" s="3"/>
      <c r="HTD206" s="3"/>
      <c r="HTE206" s="3"/>
      <c r="HTF206" s="3"/>
      <c r="HTG206" s="3"/>
      <c r="HTH206" s="3"/>
      <c r="HTI206" s="3"/>
      <c r="HTJ206" s="3"/>
      <c r="HTK206" s="3"/>
      <c r="HTL206" s="3"/>
      <c r="HTM206" s="3"/>
      <c r="HTN206" s="3"/>
      <c r="HTO206" s="3"/>
      <c r="HTP206" s="3"/>
      <c r="HTQ206" s="3"/>
      <c r="HTR206" s="3"/>
      <c r="HTS206" s="3"/>
      <c r="HTT206" s="3"/>
      <c r="HTU206" s="3"/>
      <c r="HTV206" s="3"/>
      <c r="HTW206" s="3"/>
      <c r="HTX206" s="3"/>
      <c r="HTY206" s="3"/>
      <c r="HTZ206" s="3"/>
      <c r="HUA206" s="3"/>
      <c r="HUB206" s="3"/>
      <c r="HUC206" s="3"/>
      <c r="HUD206" s="3"/>
      <c r="HUE206" s="3"/>
      <c r="HUF206" s="3"/>
      <c r="HUG206" s="3"/>
      <c r="HUH206" s="3"/>
      <c r="HUI206" s="3"/>
      <c r="HUJ206" s="3"/>
      <c r="HUK206" s="3"/>
      <c r="HUL206" s="3"/>
      <c r="HUM206" s="3"/>
      <c r="HUN206" s="3"/>
      <c r="HUO206" s="3"/>
      <c r="HUP206" s="3"/>
      <c r="HUQ206" s="3"/>
      <c r="HUR206" s="3"/>
      <c r="HUS206" s="3"/>
      <c r="HUT206" s="3"/>
      <c r="HUU206" s="3"/>
      <c r="HUV206" s="3"/>
      <c r="HUW206" s="3"/>
      <c r="HUX206" s="3"/>
      <c r="HUY206" s="3"/>
      <c r="HUZ206" s="3"/>
      <c r="HVA206" s="3"/>
      <c r="HVB206" s="3"/>
      <c r="HVC206" s="3"/>
      <c r="HVD206" s="3"/>
      <c r="HVE206" s="3"/>
      <c r="HVF206" s="3"/>
      <c r="HVG206" s="3"/>
      <c r="HVH206" s="3"/>
      <c r="HVI206" s="3"/>
      <c r="HVJ206" s="3"/>
      <c r="HVK206" s="3"/>
      <c r="HVL206" s="3"/>
      <c r="HVM206" s="3"/>
      <c r="HVN206" s="3"/>
      <c r="HVO206" s="3"/>
      <c r="HVP206" s="3"/>
      <c r="HVQ206" s="3"/>
      <c r="HVR206" s="3"/>
      <c r="HVS206" s="3"/>
      <c r="HVT206" s="3"/>
      <c r="HVU206" s="3"/>
      <c r="HVV206" s="3"/>
      <c r="HVW206" s="3"/>
      <c r="HVX206" s="3"/>
      <c r="HVY206" s="3"/>
      <c r="HVZ206" s="3"/>
      <c r="HWA206" s="3"/>
      <c r="HWB206" s="3"/>
      <c r="HWC206" s="3"/>
      <c r="HWD206" s="3"/>
      <c r="HWE206" s="3"/>
      <c r="HWF206" s="3"/>
      <c r="HWG206" s="3"/>
      <c r="HWH206" s="3"/>
      <c r="HWI206" s="3"/>
      <c r="HWJ206" s="3"/>
      <c r="HWK206" s="3"/>
      <c r="HWL206" s="3"/>
      <c r="HWM206" s="3"/>
      <c r="HWN206" s="3"/>
      <c r="HWO206" s="3"/>
      <c r="HWP206" s="3"/>
      <c r="HWQ206" s="3"/>
      <c r="HWR206" s="3"/>
      <c r="HWS206" s="3"/>
      <c r="HWT206" s="3"/>
      <c r="HWU206" s="3"/>
      <c r="HWV206" s="3"/>
      <c r="HWW206" s="3"/>
      <c r="HWX206" s="3"/>
      <c r="HWY206" s="3"/>
      <c r="HWZ206" s="3"/>
      <c r="HXA206" s="3"/>
      <c r="HXB206" s="3"/>
      <c r="HXC206" s="3"/>
      <c r="HXD206" s="3"/>
      <c r="HXE206" s="3"/>
      <c r="HXF206" s="3"/>
      <c r="HXG206" s="3"/>
      <c r="HXH206" s="3"/>
      <c r="HXI206" s="3"/>
      <c r="HXJ206" s="3"/>
      <c r="HXK206" s="3"/>
      <c r="HXL206" s="3"/>
      <c r="HXM206" s="3"/>
      <c r="HXN206" s="3"/>
      <c r="HXO206" s="3"/>
      <c r="HXP206" s="3"/>
      <c r="HXQ206" s="3"/>
      <c r="HXR206" s="3"/>
      <c r="HXS206" s="3"/>
      <c r="HXT206" s="3"/>
      <c r="HXU206" s="3"/>
      <c r="HXV206" s="3"/>
      <c r="HXW206" s="3"/>
      <c r="HXX206" s="3"/>
      <c r="HXY206" s="3"/>
      <c r="HXZ206" s="3"/>
      <c r="HYA206" s="3"/>
      <c r="HYB206" s="3"/>
      <c r="HYC206" s="3"/>
      <c r="HYD206" s="3"/>
      <c r="HYE206" s="3"/>
      <c r="HYF206" s="3"/>
      <c r="HYG206" s="3"/>
      <c r="HYH206" s="3"/>
      <c r="HYI206" s="3"/>
      <c r="HYJ206" s="3"/>
      <c r="HYK206" s="3"/>
      <c r="HYL206" s="3"/>
      <c r="HYM206" s="3"/>
      <c r="HYN206" s="3"/>
      <c r="HYO206" s="3"/>
      <c r="HYP206" s="3"/>
      <c r="HYQ206" s="3"/>
      <c r="HYR206" s="3"/>
      <c r="HYS206" s="3"/>
      <c r="HYT206" s="3"/>
      <c r="HYU206" s="3"/>
      <c r="HYV206" s="3"/>
      <c r="HYW206" s="3"/>
      <c r="HYX206" s="3"/>
      <c r="HYY206" s="3"/>
      <c r="HYZ206" s="3"/>
      <c r="HZA206" s="3"/>
      <c r="HZB206" s="3"/>
      <c r="HZC206" s="3"/>
      <c r="HZD206" s="3"/>
      <c r="HZE206" s="3"/>
      <c r="HZF206" s="3"/>
      <c r="HZG206" s="3"/>
      <c r="HZH206" s="3"/>
      <c r="HZI206" s="3"/>
      <c r="HZJ206" s="3"/>
      <c r="HZK206" s="3"/>
      <c r="HZL206" s="3"/>
      <c r="HZM206" s="3"/>
      <c r="HZN206" s="3"/>
      <c r="HZO206" s="3"/>
      <c r="HZP206" s="3"/>
      <c r="HZQ206" s="3"/>
      <c r="HZR206" s="3"/>
      <c r="HZS206" s="3"/>
      <c r="HZT206" s="3"/>
      <c r="HZU206" s="3"/>
      <c r="HZV206" s="3"/>
      <c r="HZW206" s="3"/>
      <c r="HZX206" s="3"/>
      <c r="HZY206" s="3"/>
      <c r="HZZ206" s="3"/>
      <c r="IAA206" s="3"/>
      <c r="IAB206" s="3"/>
      <c r="IAC206" s="3"/>
      <c r="IAD206" s="3"/>
      <c r="IAE206" s="3"/>
      <c r="IAF206" s="3"/>
      <c r="IAG206" s="3"/>
      <c r="IAH206" s="3"/>
      <c r="IAI206" s="3"/>
      <c r="IAJ206" s="3"/>
      <c r="IAK206" s="3"/>
      <c r="IAL206" s="3"/>
      <c r="IAM206" s="3"/>
      <c r="IAN206" s="3"/>
      <c r="IAO206" s="3"/>
      <c r="IAP206" s="3"/>
      <c r="IAQ206" s="3"/>
      <c r="IAR206" s="3"/>
      <c r="IAS206" s="3"/>
      <c r="IAT206" s="3"/>
      <c r="IAU206" s="3"/>
      <c r="IAV206" s="3"/>
      <c r="IAW206" s="3"/>
      <c r="IAX206" s="3"/>
      <c r="IAY206" s="3"/>
      <c r="IAZ206" s="3"/>
      <c r="IBA206" s="3"/>
      <c r="IBB206" s="3"/>
      <c r="IBC206" s="3"/>
      <c r="IBD206" s="3"/>
      <c r="IBE206" s="3"/>
      <c r="IBF206" s="3"/>
      <c r="IBG206" s="3"/>
      <c r="IBH206" s="3"/>
      <c r="IBI206" s="3"/>
      <c r="IBJ206" s="3"/>
      <c r="IBK206" s="3"/>
      <c r="IBL206" s="3"/>
      <c r="IBM206" s="3"/>
      <c r="IBN206" s="3"/>
      <c r="IBO206" s="3"/>
      <c r="IBP206" s="3"/>
      <c r="IBQ206" s="3"/>
      <c r="IBR206" s="3"/>
      <c r="IBS206" s="3"/>
      <c r="IBT206" s="3"/>
      <c r="IBU206" s="3"/>
      <c r="IBV206" s="3"/>
      <c r="IBW206" s="3"/>
      <c r="IBX206" s="3"/>
      <c r="IBY206" s="3"/>
      <c r="IBZ206" s="3"/>
      <c r="ICA206" s="3"/>
      <c r="ICB206" s="3"/>
      <c r="ICC206" s="3"/>
      <c r="ICD206" s="3"/>
      <c r="ICE206" s="3"/>
      <c r="ICF206" s="3"/>
      <c r="ICG206" s="3"/>
      <c r="ICH206" s="3"/>
      <c r="ICI206" s="3"/>
      <c r="ICJ206" s="3"/>
      <c r="ICK206" s="3"/>
      <c r="ICL206" s="3"/>
      <c r="ICM206" s="3"/>
      <c r="ICN206" s="3"/>
      <c r="ICO206" s="3"/>
      <c r="ICP206" s="3"/>
      <c r="ICQ206" s="3"/>
      <c r="ICR206" s="3"/>
      <c r="ICS206" s="3"/>
      <c r="ICT206" s="3"/>
      <c r="ICU206" s="3"/>
      <c r="ICV206" s="3"/>
      <c r="ICW206" s="3"/>
      <c r="ICX206" s="3"/>
      <c r="ICY206" s="3"/>
      <c r="ICZ206" s="3"/>
      <c r="IDA206" s="3"/>
      <c r="IDB206" s="3"/>
      <c r="IDC206" s="3"/>
      <c r="IDD206" s="3"/>
      <c r="IDE206" s="3"/>
      <c r="IDF206" s="3"/>
      <c r="IDG206" s="3"/>
      <c r="IDH206" s="3"/>
      <c r="IDI206" s="3"/>
      <c r="IDJ206" s="3"/>
      <c r="IDK206" s="3"/>
      <c r="IDL206" s="3"/>
      <c r="IDM206" s="3"/>
      <c r="IDN206" s="3"/>
      <c r="IDO206" s="3"/>
      <c r="IDP206" s="3"/>
      <c r="IDQ206" s="3"/>
      <c r="IDR206" s="3"/>
      <c r="IDS206" s="3"/>
      <c r="IDT206" s="3"/>
      <c r="IDU206" s="3"/>
      <c r="IDV206" s="3"/>
      <c r="IDW206" s="3"/>
      <c r="IDX206" s="3"/>
      <c r="IDY206" s="3"/>
      <c r="IDZ206" s="3"/>
      <c r="IEA206" s="3"/>
      <c r="IEB206" s="3"/>
      <c r="IEC206" s="3"/>
      <c r="IED206" s="3"/>
      <c r="IEE206" s="3"/>
      <c r="IEF206" s="3"/>
      <c r="IEG206" s="3"/>
      <c r="IEH206" s="3"/>
      <c r="IEI206" s="3"/>
      <c r="IEJ206" s="3"/>
      <c r="IEK206" s="3"/>
      <c r="IEL206" s="3"/>
      <c r="IEM206" s="3"/>
      <c r="IEN206" s="3"/>
      <c r="IEO206" s="3"/>
      <c r="IEP206" s="3"/>
      <c r="IEQ206" s="3"/>
      <c r="IER206" s="3"/>
      <c r="IES206" s="3"/>
      <c r="IET206" s="3"/>
      <c r="IEU206" s="3"/>
      <c r="IEV206" s="3"/>
      <c r="IEW206" s="3"/>
      <c r="IEX206" s="3"/>
      <c r="IEY206" s="3"/>
      <c r="IEZ206" s="3"/>
      <c r="IFA206" s="3"/>
      <c r="IFB206" s="3"/>
      <c r="IFC206" s="3"/>
      <c r="IFD206" s="3"/>
      <c r="IFE206" s="3"/>
      <c r="IFF206" s="3"/>
      <c r="IFG206" s="3"/>
      <c r="IFH206" s="3"/>
      <c r="IFI206" s="3"/>
      <c r="IFJ206" s="3"/>
      <c r="IFK206" s="3"/>
      <c r="IFL206" s="3"/>
      <c r="IFM206" s="3"/>
      <c r="IFN206" s="3"/>
      <c r="IFO206" s="3"/>
      <c r="IFP206" s="3"/>
      <c r="IFQ206" s="3"/>
      <c r="IFR206" s="3"/>
      <c r="IFS206" s="3"/>
      <c r="IFT206" s="3"/>
      <c r="IFU206" s="3"/>
      <c r="IFV206" s="3"/>
      <c r="IFW206" s="3"/>
      <c r="IFX206" s="3"/>
      <c r="IFY206" s="3"/>
      <c r="IFZ206" s="3"/>
      <c r="IGA206" s="3"/>
      <c r="IGB206" s="3"/>
      <c r="IGC206" s="3"/>
      <c r="IGD206" s="3"/>
      <c r="IGE206" s="3"/>
      <c r="IGF206" s="3"/>
      <c r="IGG206" s="3"/>
      <c r="IGH206" s="3"/>
      <c r="IGI206" s="3"/>
      <c r="IGJ206" s="3"/>
      <c r="IGK206" s="3"/>
      <c r="IGL206" s="3"/>
      <c r="IGM206" s="3"/>
      <c r="IGN206" s="3"/>
      <c r="IGO206" s="3"/>
      <c r="IGP206" s="3"/>
      <c r="IGQ206" s="3"/>
      <c r="IGR206" s="3"/>
      <c r="IGS206" s="3"/>
      <c r="IGT206" s="3"/>
      <c r="IGU206" s="3"/>
      <c r="IGV206" s="3"/>
      <c r="IGW206" s="3"/>
      <c r="IGX206" s="3"/>
      <c r="IGY206" s="3"/>
      <c r="IGZ206" s="3"/>
      <c r="IHA206" s="3"/>
      <c r="IHB206" s="3"/>
      <c r="IHC206" s="3"/>
      <c r="IHD206" s="3"/>
      <c r="IHE206" s="3"/>
      <c r="IHF206" s="3"/>
      <c r="IHG206" s="3"/>
      <c r="IHH206" s="3"/>
      <c r="IHI206" s="3"/>
      <c r="IHJ206" s="3"/>
      <c r="IHK206" s="3"/>
      <c r="IHL206" s="3"/>
      <c r="IHM206" s="3"/>
      <c r="IHN206" s="3"/>
      <c r="IHO206" s="3"/>
      <c r="IHP206" s="3"/>
      <c r="IHQ206" s="3"/>
      <c r="IHR206" s="3"/>
      <c r="IHS206" s="3"/>
      <c r="IHT206" s="3"/>
      <c r="IHU206" s="3"/>
      <c r="IHV206" s="3"/>
      <c r="IHW206" s="3"/>
      <c r="IHX206" s="3"/>
      <c r="IHY206" s="3"/>
      <c r="IHZ206" s="3"/>
      <c r="IIA206" s="3"/>
      <c r="IIB206" s="3"/>
      <c r="IIC206" s="3"/>
      <c r="IID206" s="3"/>
      <c r="IIE206" s="3"/>
      <c r="IIF206" s="3"/>
      <c r="IIG206" s="3"/>
      <c r="IIH206" s="3"/>
      <c r="III206" s="3"/>
      <c r="IIJ206" s="3"/>
      <c r="IIK206" s="3"/>
      <c r="IIL206" s="3"/>
      <c r="IIM206" s="3"/>
      <c r="IIN206" s="3"/>
      <c r="IIO206" s="3"/>
      <c r="IIP206" s="3"/>
      <c r="IIQ206" s="3"/>
      <c r="IIR206" s="3"/>
      <c r="IIS206" s="3"/>
      <c r="IIT206" s="3"/>
      <c r="IIU206" s="3"/>
      <c r="IIV206" s="3"/>
      <c r="IIW206" s="3"/>
      <c r="IIX206" s="3"/>
      <c r="IIY206" s="3"/>
      <c r="IIZ206" s="3"/>
      <c r="IJA206" s="3"/>
      <c r="IJB206" s="3"/>
      <c r="IJC206" s="3"/>
      <c r="IJD206" s="3"/>
      <c r="IJE206" s="3"/>
      <c r="IJF206" s="3"/>
      <c r="IJG206" s="3"/>
      <c r="IJH206" s="3"/>
      <c r="IJI206" s="3"/>
      <c r="IJJ206" s="3"/>
      <c r="IJK206" s="3"/>
      <c r="IJL206" s="3"/>
      <c r="IJM206" s="3"/>
      <c r="IJN206" s="3"/>
      <c r="IJO206" s="3"/>
      <c r="IJP206" s="3"/>
      <c r="IJQ206" s="3"/>
      <c r="IJR206" s="3"/>
      <c r="IJS206" s="3"/>
      <c r="IJT206" s="3"/>
      <c r="IJU206" s="3"/>
      <c r="IJV206" s="3"/>
      <c r="IJW206" s="3"/>
      <c r="IJX206" s="3"/>
      <c r="IJY206" s="3"/>
      <c r="IJZ206" s="3"/>
      <c r="IKA206" s="3"/>
      <c r="IKB206" s="3"/>
      <c r="IKC206" s="3"/>
      <c r="IKD206" s="3"/>
      <c r="IKE206" s="3"/>
      <c r="IKF206" s="3"/>
      <c r="IKG206" s="3"/>
      <c r="IKH206" s="3"/>
      <c r="IKI206" s="3"/>
      <c r="IKJ206" s="3"/>
      <c r="IKK206" s="3"/>
      <c r="IKL206" s="3"/>
      <c r="IKM206" s="3"/>
      <c r="IKN206" s="3"/>
      <c r="IKO206" s="3"/>
      <c r="IKP206" s="3"/>
      <c r="IKQ206" s="3"/>
      <c r="IKR206" s="3"/>
      <c r="IKS206" s="3"/>
      <c r="IKT206" s="3"/>
      <c r="IKU206" s="3"/>
      <c r="IKV206" s="3"/>
      <c r="IKW206" s="3"/>
      <c r="IKX206" s="3"/>
      <c r="IKY206" s="3"/>
      <c r="IKZ206" s="3"/>
      <c r="ILA206" s="3"/>
      <c r="ILB206" s="3"/>
      <c r="ILC206" s="3"/>
      <c r="ILD206" s="3"/>
      <c r="ILE206" s="3"/>
      <c r="ILF206" s="3"/>
      <c r="ILG206" s="3"/>
      <c r="ILH206" s="3"/>
      <c r="ILI206" s="3"/>
      <c r="ILJ206" s="3"/>
      <c r="ILK206" s="3"/>
      <c r="ILL206" s="3"/>
      <c r="ILM206" s="3"/>
      <c r="ILN206" s="3"/>
      <c r="ILO206" s="3"/>
      <c r="ILP206" s="3"/>
      <c r="ILQ206" s="3"/>
      <c r="ILR206" s="3"/>
      <c r="ILS206" s="3"/>
      <c r="ILT206" s="3"/>
      <c r="ILU206" s="3"/>
      <c r="ILV206" s="3"/>
      <c r="ILW206" s="3"/>
      <c r="ILX206" s="3"/>
      <c r="ILY206" s="3"/>
      <c r="ILZ206" s="3"/>
      <c r="IMA206" s="3"/>
      <c r="IMB206" s="3"/>
      <c r="IMC206" s="3"/>
      <c r="IMD206" s="3"/>
      <c r="IME206" s="3"/>
      <c r="IMF206" s="3"/>
      <c r="IMG206" s="3"/>
      <c r="IMH206" s="3"/>
      <c r="IMI206" s="3"/>
      <c r="IMJ206" s="3"/>
      <c r="IMK206" s="3"/>
      <c r="IML206" s="3"/>
      <c r="IMM206" s="3"/>
      <c r="IMN206" s="3"/>
      <c r="IMO206" s="3"/>
      <c r="IMP206" s="3"/>
      <c r="IMQ206" s="3"/>
      <c r="IMR206" s="3"/>
      <c r="IMS206" s="3"/>
      <c r="IMT206" s="3"/>
      <c r="IMU206" s="3"/>
      <c r="IMV206" s="3"/>
      <c r="IMW206" s="3"/>
      <c r="IMX206" s="3"/>
      <c r="IMY206" s="3"/>
      <c r="IMZ206" s="3"/>
      <c r="INA206" s="3"/>
      <c r="INB206" s="3"/>
      <c r="INC206" s="3"/>
      <c r="IND206" s="3"/>
      <c r="INE206" s="3"/>
      <c r="INF206" s="3"/>
      <c r="ING206" s="3"/>
      <c r="INH206" s="3"/>
      <c r="INI206" s="3"/>
      <c r="INJ206" s="3"/>
      <c r="INK206" s="3"/>
      <c r="INL206" s="3"/>
      <c r="INM206" s="3"/>
      <c r="INN206" s="3"/>
      <c r="INO206" s="3"/>
      <c r="INP206" s="3"/>
      <c r="INQ206" s="3"/>
      <c r="INR206" s="3"/>
      <c r="INS206" s="3"/>
      <c r="INT206" s="3"/>
      <c r="INU206" s="3"/>
      <c r="INV206" s="3"/>
      <c r="INW206" s="3"/>
      <c r="INX206" s="3"/>
      <c r="INY206" s="3"/>
      <c r="INZ206" s="3"/>
      <c r="IOA206" s="3"/>
      <c r="IOB206" s="3"/>
      <c r="IOC206" s="3"/>
      <c r="IOD206" s="3"/>
      <c r="IOE206" s="3"/>
      <c r="IOF206" s="3"/>
      <c r="IOG206" s="3"/>
      <c r="IOH206" s="3"/>
      <c r="IOI206" s="3"/>
      <c r="IOJ206" s="3"/>
      <c r="IOK206" s="3"/>
      <c r="IOL206" s="3"/>
      <c r="IOM206" s="3"/>
      <c r="ION206" s="3"/>
      <c r="IOO206" s="3"/>
      <c r="IOP206" s="3"/>
      <c r="IOQ206" s="3"/>
      <c r="IOR206" s="3"/>
      <c r="IOS206" s="3"/>
      <c r="IOT206" s="3"/>
      <c r="IOU206" s="3"/>
      <c r="IOV206" s="3"/>
      <c r="IOW206" s="3"/>
      <c r="IOX206" s="3"/>
      <c r="IOY206" s="3"/>
      <c r="IOZ206" s="3"/>
      <c r="IPA206" s="3"/>
      <c r="IPB206" s="3"/>
      <c r="IPC206" s="3"/>
      <c r="IPD206" s="3"/>
      <c r="IPE206" s="3"/>
      <c r="IPF206" s="3"/>
      <c r="IPG206" s="3"/>
      <c r="IPH206" s="3"/>
      <c r="IPI206" s="3"/>
      <c r="IPJ206" s="3"/>
      <c r="IPK206" s="3"/>
      <c r="IPL206" s="3"/>
      <c r="IPM206" s="3"/>
      <c r="IPN206" s="3"/>
      <c r="IPO206" s="3"/>
      <c r="IPP206" s="3"/>
      <c r="IPQ206" s="3"/>
      <c r="IPR206" s="3"/>
      <c r="IPS206" s="3"/>
      <c r="IPT206" s="3"/>
      <c r="IPU206" s="3"/>
      <c r="IPV206" s="3"/>
      <c r="IPW206" s="3"/>
      <c r="IPX206" s="3"/>
      <c r="IPY206" s="3"/>
      <c r="IPZ206" s="3"/>
      <c r="IQA206" s="3"/>
      <c r="IQB206" s="3"/>
      <c r="IQC206" s="3"/>
      <c r="IQD206" s="3"/>
      <c r="IQE206" s="3"/>
      <c r="IQF206" s="3"/>
      <c r="IQG206" s="3"/>
      <c r="IQH206" s="3"/>
      <c r="IQI206" s="3"/>
      <c r="IQJ206" s="3"/>
      <c r="IQK206" s="3"/>
      <c r="IQL206" s="3"/>
      <c r="IQM206" s="3"/>
      <c r="IQN206" s="3"/>
      <c r="IQO206" s="3"/>
      <c r="IQP206" s="3"/>
      <c r="IQQ206" s="3"/>
      <c r="IQR206" s="3"/>
      <c r="IQS206" s="3"/>
      <c r="IQT206" s="3"/>
      <c r="IQU206" s="3"/>
      <c r="IQV206" s="3"/>
      <c r="IQW206" s="3"/>
      <c r="IQX206" s="3"/>
      <c r="IQY206" s="3"/>
      <c r="IQZ206" s="3"/>
      <c r="IRA206" s="3"/>
      <c r="IRB206" s="3"/>
      <c r="IRC206" s="3"/>
      <c r="IRD206" s="3"/>
      <c r="IRE206" s="3"/>
      <c r="IRF206" s="3"/>
      <c r="IRG206" s="3"/>
      <c r="IRH206" s="3"/>
      <c r="IRI206" s="3"/>
      <c r="IRJ206" s="3"/>
      <c r="IRK206" s="3"/>
      <c r="IRL206" s="3"/>
      <c r="IRM206" s="3"/>
      <c r="IRN206" s="3"/>
      <c r="IRO206" s="3"/>
      <c r="IRP206" s="3"/>
      <c r="IRQ206" s="3"/>
      <c r="IRR206" s="3"/>
      <c r="IRS206" s="3"/>
      <c r="IRT206" s="3"/>
      <c r="IRU206" s="3"/>
      <c r="IRV206" s="3"/>
      <c r="IRW206" s="3"/>
      <c r="IRX206" s="3"/>
      <c r="IRY206" s="3"/>
      <c r="IRZ206" s="3"/>
      <c r="ISA206" s="3"/>
      <c r="ISB206" s="3"/>
      <c r="ISC206" s="3"/>
      <c r="ISD206" s="3"/>
      <c r="ISE206" s="3"/>
      <c r="ISF206" s="3"/>
      <c r="ISG206" s="3"/>
      <c r="ISH206" s="3"/>
      <c r="ISI206" s="3"/>
      <c r="ISJ206" s="3"/>
      <c r="ISK206" s="3"/>
      <c r="ISL206" s="3"/>
      <c r="ISM206" s="3"/>
      <c r="ISN206" s="3"/>
      <c r="ISO206" s="3"/>
      <c r="ISP206" s="3"/>
      <c r="ISQ206" s="3"/>
      <c r="ISR206" s="3"/>
      <c r="ISS206" s="3"/>
      <c r="IST206" s="3"/>
      <c r="ISU206" s="3"/>
      <c r="ISV206" s="3"/>
      <c r="ISW206" s="3"/>
      <c r="ISX206" s="3"/>
      <c r="ISY206" s="3"/>
      <c r="ISZ206" s="3"/>
      <c r="ITA206" s="3"/>
      <c r="ITB206" s="3"/>
      <c r="ITC206" s="3"/>
      <c r="ITD206" s="3"/>
      <c r="ITE206" s="3"/>
      <c r="ITF206" s="3"/>
      <c r="ITG206" s="3"/>
      <c r="ITH206" s="3"/>
      <c r="ITI206" s="3"/>
      <c r="ITJ206" s="3"/>
      <c r="ITK206" s="3"/>
      <c r="ITL206" s="3"/>
      <c r="ITM206" s="3"/>
      <c r="ITN206" s="3"/>
      <c r="ITO206" s="3"/>
      <c r="ITP206" s="3"/>
      <c r="ITQ206" s="3"/>
      <c r="ITR206" s="3"/>
      <c r="ITS206" s="3"/>
      <c r="ITT206" s="3"/>
      <c r="ITU206" s="3"/>
      <c r="ITV206" s="3"/>
      <c r="ITW206" s="3"/>
      <c r="ITX206" s="3"/>
      <c r="ITY206" s="3"/>
      <c r="ITZ206" s="3"/>
      <c r="IUA206" s="3"/>
      <c r="IUB206" s="3"/>
      <c r="IUC206" s="3"/>
      <c r="IUD206" s="3"/>
      <c r="IUE206" s="3"/>
      <c r="IUF206" s="3"/>
      <c r="IUG206" s="3"/>
      <c r="IUH206" s="3"/>
      <c r="IUI206" s="3"/>
      <c r="IUJ206" s="3"/>
      <c r="IUK206" s="3"/>
      <c r="IUL206" s="3"/>
      <c r="IUM206" s="3"/>
      <c r="IUN206" s="3"/>
      <c r="IUO206" s="3"/>
      <c r="IUP206" s="3"/>
      <c r="IUQ206" s="3"/>
      <c r="IUR206" s="3"/>
      <c r="IUS206" s="3"/>
      <c r="IUT206" s="3"/>
      <c r="IUU206" s="3"/>
      <c r="IUV206" s="3"/>
      <c r="IUW206" s="3"/>
      <c r="IUX206" s="3"/>
      <c r="IUY206" s="3"/>
      <c r="IUZ206" s="3"/>
      <c r="IVA206" s="3"/>
      <c r="IVB206" s="3"/>
      <c r="IVC206" s="3"/>
      <c r="IVD206" s="3"/>
      <c r="IVE206" s="3"/>
      <c r="IVF206" s="3"/>
      <c r="IVG206" s="3"/>
      <c r="IVH206" s="3"/>
      <c r="IVI206" s="3"/>
      <c r="IVJ206" s="3"/>
      <c r="IVK206" s="3"/>
      <c r="IVL206" s="3"/>
      <c r="IVM206" s="3"/>
      <c r="IVN206" s="3"/>
      <c r="IVO206" s="3"/>
      <c r="IVP206" s="3"/>
      <c r="IVQ206" s="3"/>
      <c r="IVR206" s="3"/>
      <c r="IVS206" s="3"/>
      <c r="IVT206" s="3"/>
      <c r="IVU206" s="3"/>
      <c r="IVV206" s="3"/>
      <c r="IVW206" s="3"/>
      <c r="IVX206" s="3"/>
      <c r="IVY206" s="3"/>
      <c r="IVZ206" s="3"/>
      <c r="IWA206" s="3"/>
      <c r="IWB206" s="3"/>
      <c r="IWC206" s="3"/>
      <c r="IWD206" s="3"/>
      <c r="IWE206" s="3"/>
      <c r="IWF206" s="3"/>
      <c r="IWG206" s="3"/>
      <c r="IWH206" s="3"/>
      <c r="IWI206" s="3"/>
      <c r="IWJ206" s="3"/>
      <c r="IWK206" s="3"/>
      <c r="IWL206" s="3"/>
      <c r="IWM206" s="3"/>
      <c r="IWN206" s="3"/>
      <c r="IWO206" s="3"/>
      <c r="IWP206" s="3"/>
      <c r="IWQ206" s="3"/>
      <c r="IWR206" s="3"/>
      <c r="IWS206" s="3"/>
      <c r="IWT206" s="3"/>
      <c r="IWU206" s="3"/>
      <c r="IWV206" s="3"/>
      <c r="IWW206" s="3"/>
      <c r="IWX206" s="3"/>
      <c r="IWY206" s="3"/>
      <c r="IWZ206" s="3"/>
      <c r="IXA206" s="3"/>
      <c r="IXB206" s="3"/>
      <c r="IXC206" s="3"/>
      <c r="IXD206" s="3"/>
      <c r="IXE206" s="3"/>
      <c r="IXF206" s="3"/>
      <c r="IXG206" s="3"/>
      <c r="IXH206" s="3"/>
      <c r="IXI206" s="3"/>
      <c r="IXJ206" s="3"/>
      <c r="IXK206" s="3"/>
      <c r="IXL206" s="3"/>
      <c r="IXM206" s="3"/>
      <c r="IXN206" s="3"/>
      <c r="IXO206" s="3"/>
      <c r="IXP206" s="3"/>
      <c r="IXQ206" s="3"/>
      <c r="IXR206" s="3"/>
      <c r="IXS206" s="3"/>
      <c r="IXT206" s="3"/>
      <c r="IXU206" s="3"/>
      <c r="IXV206" s="3"/>
      <c r="IXW206" s="3"/>
      <c r="IXX206" s="3"/>
      <c r="IXY206" s="3"/>
      <c r="IXZ206" s="3"/>
      <c r="IYA206" s="3"/>
      <c r="IYB206" s="3"/>
      <c r="IYC206" s="3"/>
      <c r="IYD206" s="3"/>
      <c r="IYE206" s="3"/>
      <c r="IYF206" s="3"/>
      <c r="IYG206" s="3"/>
      <c r="IYH206" s="3"/>
      <c r="IYI206" s="3"/>
      <c r="IYJ206" s="3"/>
      <c r="IYK206" s="3"/>
      <c r="IYL206" s="3"/>
      <c r="IYM206" s="3"/>
      <c r="IYN206" s="3"/>
      <c r="IYO206" s="3"/>
      <c r="IYP206" s="3"/>
      <c r="IYQ206" s="3"/>
      <c r="IYR206" s="3"/>
      <c r="IYS206" s="3"/>
      <c r="IYT206" s="3"/>
      <c r="IYU206" s="3"/>
      <c r="IYV206" s="3"/>
      <c r="IYW206" s="3"/>
      <c r="IYX206" s="3"/>
      <c r="IYY206" s="3"/>
      <c r="IYZ206" s="3"/>
      <c r="IZA206" s="3"/>
      <c r="IZB206" s="3"/>
      <c r="IZC206" s="3"/>
      <c r="IZD206" s="3"/>
      <c r="IZE206" s="3"/>
      <c r="IZF206" s="3"/>
      <c r="IZG206" s="3"/>
      <c r="IZH206" s="3"/>
      <c r="IZI206" s="3"/>
      <c r="IZJ206" s="3"/>
      <c r="IZK206" s="3"/>
      <c r="IZL206" s="3"/>
      <c r="IZM206" s="3"/>
      <c r="IZN206" s="3"/>
      <c r="IZO206" s="3"/>
      <c r="IZP206" s="3"/>
      <c r="IZQ206" s="3"/>
      <c r="IZR206" s="3"/>
      <c r="IZS206" s="3"/>
      <c r="IZT206" s="3"/>
      <c r="IZU206" s="3"/>
      <c r="IZV206" s="3"/>
      <c r="IZW206" s="3"/>
      <c r="IZX206" s="3"/>
      <c r="IZY206" s="3"/>
      <c r="IZZ206" s="3"/>
      <c r="JAA206" s="3"/>
      <c r="JAB206" s="3"/>
      <c r="JAC206" s="3"/>
      <c r="JAD206" s="3"/>
      <c r="JAE206" s="3"/>
      <c r="JAF206" s="3"/>
      <c r="JAG206" s="3"/>
      <c r="JAH206" s="3"/>
      <c r="JAI206" s="3"/>
      <c r="JAJ206" s="3"/>
      <c r="JAK206" s="3"/>
      <c r="JAL206" s="3"/>
      <c r="JAM206" s="3"/>
      <c r="JAN206" s="3"/>
      <c r="JAO206" s="3"/>
      <c r="JAP206" s="3"/>
      <c r="JAQ206" s="3"/>
      <c r="JAR206" s="3"/>
      <c r="JAS206" s="3"/>
      <c r="JAT206" s="3"/>
      <c r="JAU206" s="3"/>
      <c r="JAV206" s="3"/>
      <c r="JAW206" s="3"/>
      <c r="JAX206" s="3"/>
      <c r="JAY206" s="3"/>
      <c r="JAZ206" s="3"/>
      <c r="JBA206" s="3"/>
      <c r="JBB206" s="3"/>
      <c r="JBC206" s="3"/>
      <c r="JBD206" s="3"/>
      <c r="JBE206" s="3"/>
      <c r="JBF206" s="3"/>
      <c r="JBG206" s="3"/>
      <c r="JBH206" s="3"/>
      <c r="JBI206" s="3"/>
      <c r="JBJ206" s="3"/>
      <c r="JBK206" s="3"/>
      <c r="JBL206" s="3"/>
      <c r="JBM206" s="3"/>
      <c r="JBN206" s="3"/>
      <c r="JBO206" s="3"/>
      <c r="JBP206" s="3"/>
      <c r="JBQ206" s="3"/>
      <c r="JBR206" s="3"/>
      <c r="JBS206" s="3"/>
      <c r="JBT206" s="3"/>
      <c r="JBU206" s="3"/>
      <c r="JBV206" s="3"/>
      <c r="JBW206" s="3"/>
      <c r="JBX206" s="3"/>
      <c r="JBY206" s="3"/>
      <c r="JBZ206" s="3"/>
      <c r="JCA206" s="3"/>
      <c r="JCB206" s="3"/>
      <c r="JCC206" s="3"/>
      <c r="JCD206" s="3"/>
      <c r="JCE206" s="3"/>
      <c r="JCF206" s="3"/>
      <c r="JCG206" s="3"/>
      <c r="JCH206" s="3"/>
      <c r="JCI206" s="3"/>
      <c r="JCJ206" s="3"/>
      <c r="JCK206" s="3"/>
      <c r="JCL206" s="3"/>
      <c r="JCM206" s="3"/>
      <c r="JCN206" s="3"/>
      <c r="JCO206" s="3"/>
      <c r="JCP206" s="3"/>
      <c r="JCQ206" s="3"/>
      <c r="JCR206" s="3"/>
      <c r="JCS206" s="3"/>
      <c r="JCT206" s="3"/>
      <c r="JCU206" s="3"/>
      <c r="JCV206" s="3"/>
      <c r="JCW206" s="3"/>
      <c r="JCX206" s="3"/>
      <c r="JCY206" s="3"/>
      <c r="JCZ206" s="3"/>
      <c r="JDA206" s="3"/>
      <c r="JDB206" s="3"/>
      <c r="JDC206" s="3"/>
      <c r="JDD206" s="3"/>
      <c r="JDE206" s="3"/>
      <c r="JDF206" s="3"/>
      <c r="JDG206" s="3"/>
      <c r="JDH206" s="3"/>
      <c r="JDI206" s="3"/>
      <c r="JDJ206" s="3"/>
      <c r="JDK206" s="3"/>
      <c r="JDL206" s="3"/>
      <c r="JDM206" s="3"/>
      <c r="JDN206" s="3"/>
      <c r="JDO206" s="3"/>
      <c r="JDP206" s="3"/>
      <c r="JDQ206" s="3"/>
      <c r="JDR206" s="3"/>
      <c r="JDS206" s="3"/>
      <c r="JDT206" s="3"/>
      <c r="JDU206" s="3"/>
      <c r="JDV206" s="3"/>
      <c r="JDW206" s="3"/>
      <c r="JDX206" s="3"/>
      <c r="JDY206" s="3"/>
      <c r="JDZ206" s="3"/>
      <c r="JEA206" s="3"/>
      <c r="JEB206" s="3"/>
      <c r="JEC206" s="3"/>
      <c r="JED206" s="3"/>
      <c r="JEE206" s="3"/>
      <c r="JEF206" s="3"/>
      <c r="JEG206" s="3"/>
      <c r="JEH206" s="3"/>
      <c r="JEI206" s="3"/>
      <c r="JEJ206" s="3"/>
      <c r="JEK206" s="3"/>
      <c r="JEL206" s="3"/>
      <c r="JEM206" s="3"/>
      <c r="JEN206" s="3"/>
      <c r="JEO206" s="3"/>
      <c r="JEP206" s="3"/>
      <c r="JEQ206" s="3"/>
      <c r="JER206" s="3"/>
      <c r="JES206" s="3"/>
      <c r="JET206" s="3"/>
      <c r="JEU206" s="3"/>
      <c r="JEV206" s="3"/>
      <c r="JEW206" s="3"/>
      <c r="JEX206" s="3"/>
      <c r="JEY206" s="3"/>
      <c r="JEZ206" s="3"/>
      <c r="JFA206" s="3"/>
      <c r="JFB206" s="3"/>
      <c r="JFC206" s="3"/>
      <c r="JFD206" s="3"/>
      <c r="JFE206" s="3"/>
      <c r="JFF206" s="3"/>
      <c r="JFG206" s="3"/>
      <c r="JFH206" s="3"/>
      <c r="JFI206" s="3"/>
      <c r="JFJ206" s="3"/>
      <c r="JFK206" s="3"/>
      <c r="JFL206" s="3"/>
      <c r="JFM206" s="3"/>
      <c r="JFN206" s="3"/>
      <c r="JFO206" s="3"/>
      <c r="JFP206" s="3"/>
      <c r="JFQ206" s="3"/>
      <c r="JFR206" s="3"/>
      <c r="JFS206" s="3"/>
      <c r="JFT206" s="3"/>
      <c r="JFU206" s="3"/>
      <c r="JFV206" s="3"/>
      <c r="JFW206" s="3"/>
      <c r="JFX206" s="3"/>
      <c r="JFY206" s="3"/>
      <c r="JFZ206" s="3"/>
      <c r="JGA206" s="3"/>
      <c r="JGB206" s="3"/>
      <c r="JGC206" s="3"/>
      <c r="JGD206" s="3"/>
      <c r="JGE206" s="3"/>
      <c r="JGF206" s="3"/>
      <c r="JGG206" s="3"/>
      <c r="JGH206" s="3"/>
      <c r="JGI206" s="3"/>
      <c r="JGJ206" s="3"/>
      <c r="JGK206" s="3"/>
      <c r="JGL206" s="3"/>
      <c r="JGM206" s="3"/>
      <c r="JGN206" s="3"/>
      <c r="JGO206" s="3"/>
      <c r="JGP206" s="3"/>
      <c r="JGQ206" s="3"/>
      <c r="JGR206" s="3"/>
      <c r="JGS206" s="3"/>
      <c r="JGT206" s="3"/>
      <c r="JGU206" s="3"/>
      <c r="JGV206" s="3"/>
      <c r="JGW206" s="3"/>
      <c r="JGX206" s="3"/>
      <c r="JGY206" s="3"/>
      <c r="JGZ206" s="3"/>
      <c r="JHA206" s="3"/>
      <c r="JHB206" s="3"/>
      <c r="JHC206" s="3"/>
      <c r="JHD206" s="3"/>
      <c r="JHE206" s="3"/>
      <c r="JHF206" s="3"/>
      <c r="JHG206" s="3"/>
      <c r="JHH206" s="3"/>
      <c r="JHI206" s="3"/>
      <c r="JHJ206" s="3"/>
      <c r="JHK206" s="3"/>
      <c r="JHL206" s="3"/>
      <c r="JHM206" s="3"/>
      <c r="JHN206" s="3"/>
      <c r="JHO206" s="3"/>
      <c r="JHP206" s="3"/>
      <c r="JHQ206" s="3"/>
      <c r="JHR206" s="3"/>
      <c r="JHS206" s="3"/>
      <c r="JHT206" s="3"/>
      <c r="JHU206" s="3"/>
      <c r="JHV206" s="3"/>
      <c r="JHW206" s="3"/>
      <c r="JHX206" s="3"/>
      <c r="JHY206" s="3"/>
      <c r="JHZ206" s="3"/>
      <c r="JIA206" s="3"/>
      <c r="JIB206" s="3"/>
      <c r="JIC206" s="3"/>
      <c r="JID206" s="3"/>
      <c r="JIE206" s="3"/>
      <c r="JIF206" s="3"/>
      <c r="JIG206" s="3"/>
      <c r="JIH206" s="3"/>
      <c r="JII206" s="3"/>
      <c r="JIJ206" s="3"/>
      <c r="JIK206" s="3"/>
      <c r="JIL206" s="3"/>
      <c r="JIM206" s="3"/>
      <c r="JIN206" s="3"/>
      <c r="JIO206" s="3"/>
      <c r="JIP206" s="3"/>
      <c r="JIQ206" s="3"/>
      <c r="JIR206" s="3"/>
      <c r="JIS206" s="3"/>
      <c r="JIT206" s="3"/>
      <c r="JIU206" s="3"/>
      <c r="JIV206" s="3"/>
      <c r="JIW206" s="3"/>
      <c r="JIX206" s="3"/>
      <c r="JIY206" s="3"/>
      <c r="JIZ206" s="3"/>
      <c r="JJA206" s="3"/>
      <c r="JJB206" s="3"/>
      <c r="JJC206" s="3"/>
      <c r="JJD206" s="3"/>
      <c r="JJE206" s="3"/>
      <c r="JJF206" s="3"/>
      <c r="JJG206" s="3"/>
      <c r="JJH206" s="3"/>
      <c r="JJI206" s="3"/>
      <c r="JJJ206" s="3"/>
      <c r="JJK206" s="3"/>
      <c r="JJL206" s="3"/>
      <c r="JJM206" s="3"/>
      <c r="JJN206" s="3"/>
      <c r="JJO206" s="3"/>
      <c r="JJP206" s="3"/>
      <c r="JJQ206" s="3"/>
      <c r="JJR206" s="3"/>
      <c r="JJS206" s="3"/>
      <c r="JJT206" s="3"/>
      <c r="JJU206" s="3"/>
      <c r="JJV206" s="3"/>
      <c r="JJW206" s="3"/>
      <c r="JJX206" s="3"/>
      <c r="JJY206" s="3"/>
      <c r="JJZ206" s="3"/>
      <c r="JKA206" s="3"/>
      <c r="JKB206" s="3"/>
      <c r="JKC206" s="3"/>
      <c r="JKD206" s="3"/>
      <c r="JKE206" s="3"/>
      <c r="JKF206" s="3"/>
      <c r="JKG206" s="3"/>
      <c r="JKH206" s="3"/>
      <c r="JKI206" s="3"/>
      <c r="JKJ206" s="3"/>
      <c r="JKK206" s="3"/>
      <c r="JKL206" s="3"/>
      <c r="JKM206" s="3"/>
      <c r="JKN206" s="3"/>
      <c r="JKO206" s="3"/>
      <c r="JKP206" s="3"/>
      <c r="JKQ206" s="3"/>
      <c r="JKR206" s="3"/>
      <c r="JKS206" s="3"/>
      <c r="JKT206" s="3"/>
      <c r="JKU206" s="3"/>
      <c r="JKV206" s="3"/>
      <c r="JKW206" s="3"/>
      <c r="JKX206" s="3"/>
      <c r="JKY206" s="3"/>
      <c r="JKZ206" s="3"/>
      <c r="JLA206" s="3"/>
      <c r="JLB206" s="3"/>
      <c r="JLC206" s="3"/>
      <c r="JLD206" s="3"/>
      <c r="JLE206" s="3"/>
      <c r="JLF206" s="3"/>
      <c r="JLG206" s="3"/>
      <c r="JLH206" s="3"/>
      <c r="JLI206" s="3"/>
      <c r="JLJ206" s="3"/>
      <c r="JLK206" s="3"/>
      <c r="JLL206" s="3"/>
      <c r="JLM206" s="3"/>
      <c r="JLN206" s="3"/>
      <c r="JLO206" s="3"/>
      <c r="JLP206" s="3"/>
      <c r="JLQ206" s="3"/>
      <c r="JLR206" s="3"/>
      <c r="JLS206" s="3"/>
      <c r="JLT206" s="3"/>
      <c r="JLU206" s="3"/>
      <c r="JLV206" s="3"/>
      <c r="JLW206" s="3"/>
      <c r="JLX206" s="3"/>
      <c r="JLY206" s="3"/>
      <c r="JLZ206" s="3"/>
      <c r="JMA206" s="3"/>
      <c r="JMB206" s="3"/>
      <c r="JMC206" s="3"/>
      <c r="JMD206" s="3"/>
      <c r="JME206" s="3"/>
      <c r="JMF206" s="3"/>
      <c r="JMG206" s="3"/>
      <c r="JMH206" s="3"/>
      <c r="JMI206" s="3"/>
      <c r="JMJ206" s="3"/>
      <c r="JMK206" s="3"/>
      <c r="JML206" s="3"/>
      <c r="JMM206" s="3"/>
      <c r="JMN206" s="3"/>
      <c r="JMO206" s="3"/>
      <c r="JMP206" s="3"/>
      <c r="JMQ206" s="3"/>
      <c r="JMR206" s="3"/>
      <c r="JMS206" s="3"/>
      <c r="JMT206" s="3"/>
      <c r="JMU206" s="3"/>
      <c r="JMV206" s="3"/>
      <c r="JMW206" s="3"/>
      <c r="JMX206" s="3"/>
      <c r="JMY206" s="3"/>
      <c r="JMZ206" s="3"/>
      <c r="JNA206" s="3"/>
      <c r="JNB206" s="3"/>
      <c r="JNC206" s="3"/>
      <c r="JND206" s="3"/>
      <c r="JNE206" s="3"/>
      <c r="JNF206" s="3"/>
      <c r="JNG206" s="3"/>
      <c r="JNH206" s="3"/>
      <c r="JNI206" s="3"/>
      <c r="JNJ206" s="3"/>
      <c r="JNK206" s="3"/>
      <c r="JNL206" s="3"/>
      <c r="JNM206" s="3"/>
      <c r="JNN206" s="3"/>
      <c r="JNO206" s="3"/>
      <c r="JNP206" s="3"/>
      <c r="JNQ206" s="3"/>
      <c r="JNR206" s="3"/>
      <c r="JNS206" s="3"/>
      <c r="JNT206" s="3"/>
      <c r="JNU206" s="3"/>
      <c r="JNV206" s="3"/>
      <c r="JNW206" s="3"/>
      <c r="JNX206" s="3"/>
      <c r="JNY206" s="3"/>
      <c r="JNZ206" s="3"/>
      <c r="JOA206" s="3"/>
      <c r="JOB206" s="3"/>
      <c r="JOC206" s="3"/>
      <c r="JOD206" s="3"/>
      <c r="JOE206" s="3"/>
      <c r="JOF206" s="3"/>
      <c r="JOG206" s="3"/>
      <c r="JOH206" s="3"/>
      <c r="JOI206" s="3"/>
      <c r="JOJ206" s="3"/>
      <c r="JOK206" s="3"/>
      <c r="JOL206" s="3"/>
      <c r="JOM206" s="3"/>
      <c r="JON206" s="3"/>
      <c r="JOO206" s="3"/>
      <c r="JOP206" s="3"/>
      <c r="JOQ206" s="3"/>
      <c r="JOR206" s="3"/>
      <c r="JOS206" s="3"/>
      <c r="JOT206" s="3"/>
      <c r="JOU206" s="3"/>
      <c r="JOV206" s="3"/>
      <c r="JOW206" s="3"/>
      <c r="JOX206" s="3"/>
      <c r="JOY206" s="3"/>
      <c r="JOZ206" s="3"/>
      <c r="JPA206" s="3"/>
      <c r="JPB206" s="3"/>
      <c r="JPC206" s="3"/>
      <c r="JPD206" s="3"/>
      <c r="JPE206" s="3"/>
      <c r="JPF206" s="3"/>
      <c r="JPG206" s="3"/>
      <c r="JPH206" s="3"/>
      <c r="JPI206" s="3"/>
      <c r="JPJ206" s="3"/>
      <c r="JPK206" s="3"/>
      <c r="JPL206" s="3"/>
      <c r="JPM206" s="3"/>
      <c r="JPN206" s="3"/>
      <c r="JPO206" s="3"/>
      <c r="JPP206" s="3"/>
      <c r="JPQ206" s="3"/>
      <c r="JPR206" s="3"/>
      <c r="JPS206" s="3"/>
      <c r="JPT206" s="3"/>
      <c r="JPU206" s="3"/>
      <c r="JPV206" s="3"/>
      <c r="JPW206" s="3"/>
      <c r="JPX206" s="3"/>
      <c r="JPY206" s="3"/>
      <c r="JPZ206" s="3"/>
      <c r="JQA206" s="3"/>
      <c r="JQB206" s="3"/>
      <c r="JQC206" s="3"/>
      <c r="JQD206" s="3"/>
      <c r="JQE206" s="3"/>
      <c r="JQF206" s="3"/>
      <c r="JQG206" s="3"/>
      <c r="JQH206" s="3"/>
      <c r="JQI206" s="3"/>
      <c r="JQJ206" s="3"/>
      <c r="JQK206" s="3"/>
      <c r="JQL206" s="3"/>
      <c r="JQM206" s="3"/>
      <c r="JQN206" s="3"/>
      <c r="JQO206" s="3"/>
      <c r="JQP206" s="3"/>
      <c r="JQQ206" s="3"/>
      <c r="JQR206" s="3"/>
      <c r="JQS206" s="3"/>
      <c r="JQT206" s="3"/>
      <c r="JQU206" s="3"/>
      <c r="JQV206" s="3"/>
      <c r="JQW206" s="3"/>
      <c r="JQX206" s="3"/>
      <c r="JQY206" s="3"/>
      <c r="JQZ206" s="3"/>
      <c r="JRA206" s="3"/>
      <c r="JRB206" s="3"/>
      <c r="JRC206" s="3"/>
      <c r="JRD206" s="3"/>
      <c r="JRE206" s="3"/>
      <c r="JRF206" s="3"/>
      <c r="JRG206" s="3"/>
      <c r="JRH206" s="3"/>
      <c r="JRI206" s="3"/>
      <c r="JRJ206" s="3"/>
      <c r="JRK206" s="3"/>
      <c r="JRL206" s="3"/>
      <c r="JRM206" s="3"/>
      <c r="JRN206" s="3"/>
      <c r="JRO206" s="3"/>
      <c r="JRP206" s="3"/>
      <c r="JRQ206" s="3"/>
      <c r="JRR206" s="3"/>
      <c r="JRS206" s="3"/>
      <c r="JRT206" s="3"/>
      <c r="JRU206" s="3"/>
      <c r="JRV206" s="3"/>
      <c r="JRW206" s="3"/>
      <c r="JRX206" s="3"/>
      <c r="JRY206" s="3"/>
      <c r="JRZ206" s="3"/>
      <c r="JSA206" s="3"/>
      <c r="JSB206" s="3"/>
      <c r="JSC206" s="3"/>
      <c r="JSD206" s="3"/>
      <c r="JSE206" s="3"/>
      <c r="JSF206" s="3"/>
      <c r="JSG206" s="3"/>
      <c r="JSH206" s="3"/>
      <c r="JSI206" s="3"/>
      <c r="JSJ206" s="3"/>
      <c r="JSK206" s="3"/>
      <c r="JSL206" s="3"/>
      <c r="JSM206" s="3"/>
      <c r="JSN206" s="3"/>
      <c r="JSO206" s="3"/>
      <c r="JSP206" s="3"/>
      <c r="JSQ206" s="3"/>
      <c r="JSR206" s="3"/>
      <c r="JSS206" s="3"/>
      <c r="JST206" s="3"/>
      <c r="JSU206" s="3"/>
      <c r="JSV206" s="3"/>
      <c r="JSW206" s="3"/>
      <c r="JSX206" s="3"/>
      <c r="JSY206" s="3"/>
      <c r="JSZ206" s="3"/>
      <c r="JTA206" s="3"/>
      <c r="JTB206" s="3"/>
      <c r="JTC206" s="3"/>
      <c r="JTD206" s="3"/>
      <c r="JTE206" s="3"/>
      <c r="JTF206" s="3"/>
      <c r="JTG206" s="3"/>
      <c r="JTH206" s="3"/>
      <c r="JTI206" s="3"/>
      <c r="JTJ206" s="3"/>
      <c r="JTK206" s="3"/>
      <c r="JTL206" s="3"/>
      <c r="JTM206" s="3"/>
      <c r="JTN206" s="3"/>
      <c r="JTO206" s="3"/>
      <c r="JTP206" s="3"/>
      <c r="JTQ206" s="3"/>
      <c r="JTR206" s="3"/>
      <c r="JTS206" s="3"/>
      <c r="JTT206" s="3"/>
      <c r="JTU206" s="3"/>
      <c r="JTV206" s="3"/>
      <c r="JTW206" s="3"/>
      <c r="JTX206" s="3"/>
      <c r="JTY206" s="3"/>
      <c r="JTZ206" s="3"/>
      <c r="JUA206" s="3"/>
      <c r="JUB206" s="3"/>
      <c r="JUC206" s="3"/>
      <c r="JUD206" s="3"/>
      <c r="JUE206" s="3"/>
      <c r="JUF206" s="3"/>
      <c r="JUG206" s="3"/>
      <c r="JUH206" s="3"/>
      <c r="JUI206" s="3"/>
      <c r="JUJ206" s="3"/>
      <c r="JUK206" s="3"/>
      <c r="JUL206" s="3"/>
      <c r="JUM206" s="3"/>
      <c r="JUN206" s="3"/>
      <c r="JUO206" s="3"/>
      <c r="JUP206" s="3"/>
      <c r="JUQ206" s="3"/>
      <c r="JUR206" s="3"/>
      <c r="JUS206" s="3"/>
      <c r="JUT206" s="3"/>
      <c r="JUU206" s="3"/>
      <c r="JUV206" s="3"/>
      <c r="JUW206" s="3"/>
      <c r="JUX206" s="3"/>
      <c r="JUY206" s="3"/>
      <c r="JUZ206" s="3"/>
      <c r="JVA206" s="3"/>
      <c r="JVB206" s="3"/>
      <c r="JVC206" s="3"/>
      <c r="JVD206" s="3"/>
      <c r="JVE206" s="3"/>
      <c r="JVF206" s="3"/>
      <c r="JVG206" s="3"/>
      <c r="JVH206" s="3"/>
      <c r="JVI206" s="3"/>
      <c r="JVJ206" s="3"/>
      <c r="JVK206" s="3"/>
      <c r="JVL206" s="3"/>
      <c r="JVM206" s="3"/>
      <c r="JVN206" s="3"/>
      <c r="JVO206" s="3"/>
      <c r="JVP206" s="3"/>
      <c r="JVQ206" s="3"/>
      <c r="JVR206" s="3"/>
      <c r="JVS206" s="3"/>
      <c r="JVT206" s="3"/>
      <c r="JVU206" s="3"/>
      <c r="JVV206" s="3"/>
      <c r="JVW206" s="3"/>
      <c r="JVX206" s="3"/>
      <c r="JVY206" s="3"/>
      <c r="JVZ206" s="3"/>
      <c r="JWA206" s="3"/>
      <c r="JWB206" s="3"/>
      <c r="JWC206" s="3"/>
      <c r="JWD206" s="3"/>
      <c r="JWE206" s="3"/>
      <c r="JWF206" s="3"/>
      <c r="JWG206" s="3"/>
      <c r="JWH206" s="3"/>
      <c r="JWI206" s="3"/>
      <c r="JWJ206" s="3"/>
      <c r="JWK206" s="3"/>
      <c r="JWL206" s="3"/>
      <c r="JWM206" s="3"/>
      <c r="JWN206" s="3"/>
      <c r="JWO206" s="3"/>
      <c r="JWP206" s="3"/>
      <c r="JWQ206" s="3"/>
      <c r="JWR206" s="3"/>
      <c r="JWS206" s="3"/>
      <c r="JWT206" s="3"/>
      <c r="JWU206" s="3"/>
      <c r="JWV206" s="3"/>
      <c r="JWW206" s="3"/>
      <c r="JWX206" s="3"/>
      <c r="JWY206" s="3"/>
      <c r="JWZ206" s="3"/>
      <c r="JXA206" s="3"/>
      <c r="JXB206" s="3"/>
      <c r="JXC206" s="3"/>
      <c r="JXD206" s="3"/>
      <c r="JXE206" s="3"/>
      <c r="JXF206" s="3"/>
      <c r="JXG206" s="3"/>
      <c r="JXH206" s="3"/>
      <c r="JXI206" s="3"/>
      <c r="JXJ206" s="3"/>
      <c r="JXK206" s="3"/>
      <c r="JXL206" s="3"/>
      <c r="JXM206" s="3"/>
      <c r="JXN206" s="3"/>
      <c r="JXO206" s="3"/>
      <c r="JXP206" s="3"/>
      <c r="JXQ206" s="3"/>
      <c r="JXR206" s="3"/>
      <c r="JXS206" s="3"/>
      <c r="JXT206" s="3"/>
      <c r="JXU206" s="3"/>
      <c r="JXV206" s="3"/>
      <c r="JXW206" s="3"/>
      <c r="JXX206" s="3"/>
      <c r="JXY206" s="3"/>
      <c r="JXZ206" s="3"/>
      <c r="JYA206" s="3"/>
      <c r="JYB206" s="3"/>
      <c r="JYC206" s="3"/>
      <c r="JYD206" s="3"/>
      <c r="JYE206" s="3"/>
      <c r="JYF206" s="3"/>
      <c r="JYG206" s="3"/>
      <c r="JYH206" s="3"/>
      <c r="JYI206" s="3"/>
      <c r="JYJ206" s="3"/>
      <c r="JYK206" s="3"/>
      <c r="JYL206" s="3"/>
      <c r="JYM206" s="3"/>
      <c r="JYN206" s="3"/>
      <c r="JYO206" s="3"/>
      <c r="JYP206" s="3"/>
      <c r="JYQ206" s="3"/>
      <c r="JYR206" s="3"/>
      <c r="JYS206" s="3"/>
      <c r="JYT206" s="3"/>
      <c r="JYU206" s="3"/>
      <c r="JYV206" s="3"/>
      <c r="JYW206" s="3"/>
      <c r="JYX206" s="3"/>
      <c r="JYY206" s="3"/>
      <c r="JYZ206" s="3"/>
      <c r="JZA206" s="3"/>
      <c r="JZB206" s="3"/>
      <c r="JZC206" s="3"/>
      <c r="JZD206" s="3"/>
      <c r="JZE206" s="3"/>
      <c r="JZF206" s="3"/>
      <c r="JZG206" s="3"/>
      <c r="JZH206" s="3"/>
      <c r="JZI206" s="3"/>
      <c r="JZJ206" s="3"/>
      <c r="JZK206" s="3"/>
      <c r="JZL206" s="3"/>
      <c r="JZM206" s="3"/>
      <c r="JZN206" s="3"/>
      <c r="JZO206" s="3"/>
      <c r="JZP206" s="3"/>
      <c r="JZQ206" s="3"/>
      <c r="JZR206" s="3"/>
      <c r="JZS206" s="3"/>
      <c r="JZT206" s="3"/>
      <c r="JZU206" s="3"/>
      <c r="JZV206" s="3"/>
      <c r="JZW206" s="3"/>
      <c r="JZX206" s="3"/>
      <c r="JZY206" s="3"/>
      <c r="JZZ206" s="3"/>
      <c r="KAA206" s="3"/>
      <c r="KAB206" s="3"/>
      <c r="KAC206" s="3"/>
      <c r="KAD206" s="3"/>
      <c r="KAE206" s="3"/>
      <c r="KAF206" s="3"/>
      <c r="KAG206" s="3"/>
      <c r="KAH206" s="3"/>
      <c r="KAI206" s="3"/>
      <c r="KAJ206" s="3"/>
      <c r="KAK206" s="3"/>
      <c r="KAL206" s="3"/>
      <c r="KAM206" s="3"/>
      <c r="KAN206" s="3"/>
      <c r="KAO206" s="3"/>
      <c r="KAP206" s="3"/>
      <c r="KAQ206" s="3"/>
      <c r="KAR206" s="3"/>
      <c r="KAS206" s="3"/>
      <c r="KAT206" s="3"/>
      <c r="KAU206" s="3"/>
      <c r="KAV206" s="3"/>
      <c r="KAW206" s="3"/>
      <c r="KAX206" s="3"/>
      <c r="KAY206" s="3"/>
      <c r="KAZ206" s="3"/>
      <c r="KBA206" s="3"/>
      <c r="KBB206" s="3"/>
      <c r="KBC206" s="3"/>
      <c r="KBD206" s="3"/>
      <c r="KBE206" s="3"/>
      <c r="KBF206" s="3"/>
      <c r="KBG206" s="3"/>
      <c r="KBH206" s="3"/>
      <c r="KBI206" s="3"/>
      <c r="KBJ206" s="3"/>
      <c r="KBK206" s="3"/>
      <c r="KBL206" s="3"/>
      <c r="KBM206" s="3"/>
      <c r="KBN206" s="3"/>
      <c r="KBO206" s="3"/>
      <c r="KBP206" s="3"/>
      <c r="KBQ206" s="3"/>
      <c r="KBR206" s="3"/>
      <c r="KBS206" s="3"/>
      <c r="KBT206" s="3"/>
      <c r="KBU206" s="3"/>
      <c r="KBV206" s="3"/>
      <c r="KBW206" s="3"/>
      <c r="KBX206" s="3"/>
      <c r="KBY206" s="3"/>
      <c r="KBZ206" s="3"/>
      <c r="KCA206" s="3"/>
      <c r="KCB206" s="3"/>
      <c r="KCC206" s="3"/>
      <c r="KCD206" s="3"/>
      <c r="KCE206" s="3"/>
      <c r="KCF206" s="3"/>
      <c r="KCG206" s="3"/>
      <c r="KCH206" s="3"/>
      <c r="KCI206" s="3"/>
      <c r="KCJ206" s="3"/>
      <c r="KCK206" s="3"/>
      <c r="KCL206" s="3"/>
      <c r="KCM206" s="3"/>
      <c r="KCN206" s="3"/>
      <c r="KCO206" s="3"/>
      <c r="KCP206" s="3"/>
      <c r="KCQ206" s="3"/>
      <c r="KCR206" s="3"/>
      <c r="KCS206" s="3"/>
      <c r="KCT206" s="3"/>
      <c r="KCU206" s="3"/>
      <c r="KCV206" s="3"/>
      <c r="KCW206" s="3"/>
      <c r="KCX206" s="3"/>
      <c r="KCY206" s="3"/>
      <c r="KCZ206" s="3"/>
      <c r="KDA206" s="3"/>
      <c r="KDB206" s="3"/>
      <c r="KDC206" s="3"/>
      <c r="KDD206" s="3"/>
      <c r="KDE206" s="3"/>
      <c r="KDF206" s="3"/>
      <c r="KDG206" s="3"/>
      <c r="KDH206" s="3"/>
      <c r="KDI206" s="3"/>
      <c r="KDJ206" s="3"/>
      <c r="KDK206" s="3"/>
      <c r="KDL206" s="3"/>
      <c r="KDM206" s="3"/>
      <c r="KDN206" s="3"/>
      <c r="KDO206" s="3"/>
      <c r="KDP206" s="3"/>
      <c r="KDQ206" s="3"/>
      <c r="KDR206" s="3"/>
      <c r="KDS206" s="3"/>
      <c r="KDT206" s="3"/>
      <c r="KDU206" s="3"/>
      <c r="KDV206" s="3"/>
      <c r="KDW206" s="3"/>
      <c r="KDX206" s="3"/>
      <c r="KDY206" s="3"/>
      <c r="KDZ206" s="3"/>
      <c r="KEA206" s="3"/>
      <c r="KEB206" s="3"/>
      <c r="KEC206" s="3"/>
      <c r="KED206" s="3"/>
      <c r="KEE206" s="3"/>
      <c r="KEF206" s="3"/>
      <c r="KEG206" s="3"/>
      <c r="KEH206" s="3"/>
      <c r="KEI206" s="3"/>
      <c r="KEJ206" s="3"/>
      <c r="KEK206" s="3"/>
      <c r="KEL206" s="3"/>
      <c r="KEM206" s="3"/>
      <c r="KEN206" s="3"/>
      <c r="KEO206" s="3"/>
      <c r="KEP206" s="3"/>
      <c r="KEQ206" s="3"/>
      <c r="KER206" s="3"/>
      <c r="KES206" s="3"/>
      <c r="KET206" s="3"/>
      <c r="KEU206" s="3"/>
      <c r="KEV206" s="3"/>
      <c r="KEW206" s="3"/>
      <c r="KEX206" s="3"/>
      <c r="KEY206" s="3"/>
      <c r="KEZ206" s="3"/>
      <c r="KFA206" s="3"/>
      <c r="KFB206" s="3"/>
      <c r="KFC206" s="3"/>
      <c r="KFD206" s="3"/>
      <c r="KFE206" s="3"/>
      <c r="KFF206" s="3"/>
      <c r="KFG206" s="3"/>
      <c r="KFH206" s="3"/>
      <c r="KFI206" s="3"/>
      <c r="KFJ206" s="3"/>
      <c r="KFK206" s="3"/>
      <c r="KFL206" s="3"/>
      <c r="KFM206" s="3"/>
      <c r="KFN206" s="3"/>
      <c r="KFO206" s="3"/>
      <c r="KFP206" s="3"/>
      <c r="KFQ206" s="3"/>
      <c r="KFR206" s="3"/>
      <c r="KFS206" s="3"/>
      <c r="KFT206" s="3"/>
      <c r="KFU206" s="3"/>
      <c r="KFV206" s="3"/>
      <c r="KFW206" s="3"/>
      <c r="KFX206" s="3"/>
      <c r="KFY206" s="3"/>
      <c r="KFZ206" s="3"/>
      <c r="KGA206" s="3"/>
      <c r="KGB206" s="3"/>
      <c r="KGC206" s="3"/>
      <c r="KGD206" s="3"/>
      <c r="KGE206" s="3"/>
      <c r="KGF206" s="3"/>
      <c r="KGG206" s="3"/>
      <c r="KGH206" s="3"/>
      <c r="KGI206" s="3"/>
      <c r="KGJ206" s="3"/>
      <c r="KGK206" s="3"/>
      <c r="KGL206" s="3"/>
      <c r="KGM206" s="3"/>
      <c r="KGN206" s="3"/>
      <c r="KGO206" s="3"/>
      <c r="KGP206" s="3"/>
      <c r="KGQ206" s="3"/>
      <c r="KGR206" s="3"/>
      <c r="KGS206" s="3"/>
      <c r="KGT206" s="3"/>
      <c r="KGU206" s="3"/>
      <c r="KGV206" s="3"/>
      <c r="KGW206" s="3"/>
      <c r="KGX206" s="3"/>
      <c r="KGY206" s="3"/>
      <c r="KGZ206" s="3"/>
      <c r="KHA206" s="3"/>
      <c r="KHB206" s="3"/>
      <c r="KHC206" s="3"/>
      <c r="KHD206" s="3"/>
      <c r="KHE206" s="3"/>
      <c r="KHF206" s="3"/>
      <c r="KHG206" s="3"/>
      <c r="KHH206" s="3"/>
      <c r="KHI206" s="3"/>
      <c r="KHJ206" s="3"/>
      <c r="KHK206" s="3"/>
      <c r="KHL206" s="3"/>
      <c r="KHM206" s="3"/>
      <c r="KHN206" s="3"/>
      <c r="KHO206" s="3"/>
      <c r="KHP206" s="3"/>
      <c r="KHQ206" s="3"/>
      <c r="KHR206" s="3"/>
      <c r="KHS206" s="3"/>
      <c r="KHT206" s="3"/>
      <c r="KHU206" s="3"/>
      <c r="KHV206" s="3"/>
      <c r="KHW206" s="3"/>
      <c r="KHX206" s="3"/>
      <c r="KHY206" s="3"/>
      <c r="KHZ206" s="3"/>
      <c r="KIA206" s="3"/>
      <c r="KIB206" s="3"/>
      <c r="KIC206" s="3"/>
      <c r="KID206" s="3"/>
      <c r="KIE206" s="3"/>
      <c r="KIF206" s="3"/>
      <c r="KIG206" s="3"/>
      <c r="KIH206" s="3"/>
      <c r="KII206" s="3"/>
      <c r="KIJ206" s="3"/>
      <c r="KIK206" s="3"/>
      <c r="KIL206" s="3"/>
      <c r="KIM206" s="3"/>
      <c r="KIN206" s="3"/>
      <c r="KIO206" s="3"/>
      <c r="KIP206" s="3"/>
      <c r="KIQ206" s="3"/>
      <c r="KIR206" s="3"/>
      <c r="KIS206" s="3"/>
      <c r="KIT206" s="3"/>
      <c r="KIU206" s="3"/>
      <c r="KIV206" s="3"/>
      <c r="KIW206" s="3"/>
      <c r="KIX206" s="3"/>
      <c r="KIY206" s="3"/>
      <c r="KIZ206" s="3"/>
      <c r="KJA206" s="3"/>
      <c r="KJB206" s="3"/>
      <c r="KJC206" s="3"/>
      <c r="KJD206" s="3"/>
      <c r="KJE206" s="3"/>
      <c r="KJF206" s="3"/>
      <c r="KJG206" s="3"/>
      <c r="KJH206" s="3"/>
      <c r="KJI206" s="3"/>
      <c r="KJJ206" s="3"/>
      <c r="KJK206" s="3"/>
      <c r="KJL206" s="3"/>
      <c r="KJM206" s="3"/>
      <c r="KJN206" s="3"/>
      <c r="KJO206" s="3"/>
      <c r="KJP206" s="3"/>
      <c r="KJQ206" s="3"/>
      <c r="KJR206" s="3"/>
      <c r="KJS206" s="3"/>
      <c r="KJT206" s="3"/>
      <c r="KJU206" s="3"/>
      <c r="KJV206" s="3"/>
      <c r="KJW206" s="3"/>
      <c r="KJX206" s="3"/>
      <c r="KJY206" s="3"/>
      <c r="KJZ206" s="3"/>
      <c r="KKA206" s="3"/>
      <c r="KKB206" s="3"/>
      <c r="KKC206" s="3"/>
      <c r="KKD206" s="3"/>
      <c r="KKE206" s="3"/>
      <c r="KKF206" s="3"/>
      <c r="KKG206" s="3"/>
      <c r="KKH206" s="3"/>
      <c r="KKI206" s="3"/>
      <c r="KKJ206" s="3"/>
      <c r="KKK206" s="3"/>
      <c r="KKL206" s="3"/>
      <c r="KKM206" s="3"/>
      <c r="KKN206" s="3"/>
      <c r="KKO206" s="3"/>
      <c r="KKP206" s="3"/>
      <c r="KKQ206" s="3"/>
      <c r="KKR206" s="3"/>
      <c r="KKS206" s="3"/>
      <c r="KKT206" s="3"/>
      <c r="KKU206" s="3"/>
      <c r="KKV206" s="3"/>
      <c r="KKW206" s="3"/>
      <c r="KKX206" s="3"/>
      <c r="KKY206" s="3"/>
      <c r="KKZ206" s="3"/>
      <c r="KLA206" s="3"/>
      <c r="KLB206" s="3"/>
      <c r="KLC206" s="3"/>
      <c r="KLD206" s="3"/>
      <c r="KLE206" s="3"/>
      <c r="KLF206" s="3"/>
      <c r="KLG206" s="3"/>
      <c r="KLH206" s="3"/>
      <c r="KLI206" s="3"/>
      <c r="KLJ206" s="3"/>
      <c r="KLK206" s="3"/>
      <c r="KLL206" s="3"/>
      <c r="KLM206" s="3"/>
      <c r="KLN206" s="3"/>
      <c r="KLO206" s="3"/>
      <c r="KLP206" s="3"/>
      <c r="KLQ206" s="3"/>
      <c r="KLR206" s="3"/>
      <c r="KLS206" s="3"/>
      <c r="KLT206" s="3"/>
      <c r="KLU206" s="3"/>
      <c r="KLV206" s="3"/>
      <c r="KLW206" s="3"/>
      <c r="KLX206" s="3"/>
      <c r="KLY206" s="3"/>
      <c r="KLZ206" s="3"/>
      <c r="KMA206" s="3"/>
      <c r="KMB206" s="3"/>
      <c r="KMC206" s="3"/>
      <c r="KMD206" s="3"/>
      <c r="KME206" s="3"/>
      <c r="KMF206" s="3"/>
      <c r="KMG206" s="3"/>
      <c r="KMH206" s="3"/>
      <c r="KMI206" s="3"/>
      <c r="KMJ206" s="3"/>
      <c r="KMK206" s="3"/>
      <c r="KML206" s="3"/>
      <c r="KMM206" s="3"/>
      <c r="KMN206" s="3"/>
      <c r="KMO206" s="3"/>
      <c r="KMP206" s="3"/>
      <c r="KMQ206" s="3"/>
      <c r="KMR206" s="3"/>
      <c r="KMS206" s="3"/>
      <c r="KMT206" s="3"/>
      <c r="KMU206" s="3"/>
      <c r="KMV206" s="3"/>
      <c r="KMW206" s="3"/>
      <c r="KMX206" s="3"/>
      <c r="KMY206" s="3"/>
      <c r="KMZ206" s="3"/>
      <c r="KNA206" s="3"/>
      <c r="KNB206" s="3"/>
      <c r="KNC206" s="3"/>
      <c r="KND206" s="3"/>
      <c r="KNE206" s="3"/>
      <c r="KNF206" s="3"/>
      <c r="KNG206" s="3"/>
      <c r="KNH206" s="3"/>
      <c r="KNI206" s="3"/>
      <c r="KNJ206" s="3"/>
      <c r="KNK206" s="3"/>
      <c r="KNL206" s="3"/>
      <c r="KNM206" s="3"/>
      <c r="KNN206" s="3"/>
      <c r="KNO206" s="3"/>
      <c r="KNP206" s="3"/>
      <c r="KNQ206" s="3"/>
      <c r="KNR206" s="3"/>
      <c r="KNS206" s="3"/>
      <c r="KNT206" s="3"/>
      <c r="KNU206" s="3"/>
      <c r="KNV206" s="3"/>
      <c r="KNW206" s="3"/>
      <c r="KNX206" s="3"/>
      <c r="KNY206" s="3"/>
      <c r="KNZ206" s="3"/>
      <c r="KOA206" s="3"/>
      <c r="KOB206" s="3"/>
      <c r="KOC206" s="3"/>
      <c r="KOD206" s="3"/>
      <c r="KOE206" s="3"/>
      <c r="KOF206" s="3"/>
      <c r="KOG206" s="3"/>
      <c r="KOH206" s="3"/>
      <c r="KOI206" s="3"/>
      <c r="KOJ206" s="3"/>
      <c r="KOK206" s="3"/>
      <c r="KOL206" s="3"/>
      <c r="KOM206" s="3"/>
      <c r="KON206" s="3"/>
      <c r="KOO206" s="3"/>
      <c r="KOP206" s="3"/>
      <c r="KOQ206" s="3"/>
      <c r="KOR206" s="3"/>
      <c r="KOS206" s="3"/>
      <c r="KOT206" s="3"/>
      <c r="KOU206" s="3"/>
      <c r="KOV206" s="3"/>
      <c r="KOW206" s="3"/>
      <c r="KOX206" s="3"/>
      <c r="KOY206" s="3"/>
      <c r="KOZ206" s="3"/>
      <c r="KPA206" s="3"/>
      <c r="KPB206" s="3"/>
      <c r="KPC206" s="3"/>
      <c r="KPD206" s="3"/>
      <c r="KPE206" s="3"/>
      <c r="KPF206" s="3"/>
      <c r="KPG206" s="3"/>
      <c r="KPH206" s="3"/>
      <c r="KPI206" s="3"/>
      <c r="KPJ206" s="3"/>
      <c r="KPK206" s="3"/>
      <c r="KPL206" s="3"/>
      <c r="KPM206" s="3"/>
      <c r="KPN206" s="3"/>
      <c r="KPO206" s="3"/>
      <c r="KPP206" s="3"/>
      <c r="KPQ206" s="3"/>
      <c r="KPR206" s="3"/>
      <c r="KPS206" s="3"/>
      <c r="KPT206" s="3"/>
      <c r="KPU206" s="3"/>
      <c r="KPV206" s="3"/>
      <c r="KPW206" s="3"/>
      <c r="KPX206" s="3"/>
      <c r="KPY206" s="3"/>
      <c r="KPZ206" s="3"/>
      <c r="KQA206" s="3"/>
      <c r="KQB206" s="3"/>
      <c r="KQC206" s="3"/>
      <c r="KQD206" s="3"/>
      <c r="KQE206" s="3"/>
      <c r="KQF206" s="3"/>
      <c r="KQG206" s="3"/>
      <c r="KQH206" s="3"/>
      <c r="KQI206" s="3"/>
      <c r="KQJ206" s="3"/>
      <c r="KQK206" s="3"/>
      <c r="KQL206" s="3"/>
      <c r="KQM206" s="3"/>
      <c r="KQN206" s="3"/>
      <c r="KQO206" s="3"/>
      <c r="KQP206" s="3"/>
      <c r="KQQ206" s="3"/>
      <c r="KQR206" s="3"/>
      <c r="KQS206" s="3"/>
      <c r="KQT206" s="3"/>
      <c r="KQU206" s="3"/>
      <c r="KQV206" s="3"/>
      <c r="KQW206" s="3"/>
      <c r="KQX206" s="3"/>
      <c r="KQY206" s="3"/>
      <c r="KQZ206" s="3"/>
      <c r="KRA206" s="3"/>
      <c r="KRB206" s="3"/>
      <c r="KRC206" s="3"/>
      <c r="KRD206" s="3"/>
      <c r="KRE206" s="3"/>
      <c r="KRF206" s="3"/>
      <c r="KRG206" s="3"/>
      <c r="KRH206" s="3"/>
      <c r="KRI206" s="3"/>
      <c r="KRJ206" s="3"/>
      <c r="KRK206" s="3"/>
      <c r="KRL206" s="3"/>
      <c r="KRM206" s="3"/>
      <c r="KRN206" s="3"/>
      <c r="KRO206" s="3"/>
      <c r="KRP206" s="3"/>
      <c r="KRQ206" s="3"/>
      <c r="KRR206" s="3"/>
      <c r="KRS206" s="3"/>
      <c r="KRT206" s="3"/>
      <c r="KRU206" s="3"/>
      <c r="KRV206" s="3"/>
      <c r="KRW206" s="3"/>
      <c r="KRX206" s="3"/>
      <c r="KRY206" s="3"/>
      <c r="KRZ206" s="3"/>
      <c r="KSA206" s="3"/>
      <c r="KSB206" s="3"/>
      <c r="KSC206" s="3"/>
      <c r="KSD206" s="3"/>
      <c r="KSE206" s="3"/>
      <c r="KSF206" s="3"/>
      <c r="KSG206" s="3"/>
      <c r="KSH206" s="3"/>
      <c r="KSI206" s="3"/>
      <c r="KSJ206" s="3"/>
      <c r="KSK206" s="3"/>
      <c r="KSL206" s="3"/>
      <c r="KSM206" s="3"/>
      <c r="KSN206" s="3"/>
      <c r="KSO206" s="3"/>
      <c r="KSP206" s="3"/>
      <c r="KSQ206" s="3"/>
      <c r="KSR206" s="3"/>
      <c r="KSS206" s="3"/>
      <c r="KST206" s="3"/>
      <c r="KSU206" s="3"/>
      <c r="KSV206" s="3"/>
      <c r="KSW206" s="3"/>
      <c r="KSX206" s="3"/>
      <c r="KSY206" s="3"/>
      <c r="KSZ206" s="3"/>
      <c r="KTA206" s="3"/>
      <c r="KTB206" s="3"/>
      <c r="KTC206" s="3"/>
      <c r="KTD206" s="3"/>
      <c r="KTE206" s="3"/>
      <c r="KTF206" s="3"/>
      <c r="KTG206" s="3"/>
      <c r="KTH206" s="3"/>
      <c r="KTI206" s="3"/>
      <c r="KTJ206" s="3"/>
      <c r="KTK206" s="3"/>
      <c r="KTL206" s="3"/>
      <c r="KTM206" s="3"/>
      <c r="KTN206" s="3"/>
      <c r="KTO206" s="3"/>
      <c r="KTP206" s="3"/>
      <c r="KTQ206" s="3"/>
      <c r="KTR206" s="3"/>
      <c r="KTS206" s="3"/>
      <c r="KTT206" s="3"/>
      <c r="KTU206" s="3"/>
      <c r="KTV206" s="3"/>
      <c r="KTW206" s="3"/>
      <c r="KTX206" s="3"/>
      <c r="KTY206" s="3"/>
      <c r="KTZ206" s="3"/>
      <c r="KUA206" s="3"/>
      <c r="KUB206" s="3"/>
      <c r="KUC206" s="3"/>
      <c r="KUD206" s="3"/>
      <c r="KUE206" s="3"/>
      <c r="KUF206" s="3"/>
      <c r="KUG206" s="3"/>
      <c r="KUH206" s="3"/>
      <c r="KUI206" s="3"/>
      <c r="KUJ206" s="3"/>
      <c r="KUK206" s="3"/>
      <c r="KUL206" s="3"/>
      <c r="KUM206" s="3"/>
      <c r="KUN206" s="3"/>
      <c r="KUO206" s="3"/>
      <c r="KUP206" s="3"/>
      <c r="KUQ206" s="3"/>
      <c r="KUR206" s="3"/>
      <c r="KUS206" s="3"/>
      <c r="KUT206" s="3"/>
      <c r="KUU206" s="3"/>
      <c r="KUV206" s="3"/>
      <c r="KUW206" s="3"/>
      <c r="KUX206" s="3"/>
      <c r="KUY206" s="3"/>
      <c r="KUZ206" s="3"/>
      <c r="KVA206" s="3"/>
      <c r="KVB206" s="3"/>
      <c r="KVC206" s="3"/>
      <c r="KVD206" s="3"/>
      <c r="KVE206" s="3"/>
      <c r="KVF206" s="3"/>
      <c r="KVG206" s="3"/>
      <c r="KVH206" s="3"/>
      <c r="KVI206" s="3"/>
      <c r="KVJ206" s="3"/>
      <c r="KVK206" s="3"/>
      <c r="KVL206" s="3"/>
      <c r="KVM206" s="3"/>
      <c r="KVN206" s="3"/>
      <c r="KVO206" s="3"/>
      <c r="KVP206" s="3"/>
      <c r="KVQ206" s="3"/>
      <c r="KVR206" s="3"/>
      <c r="KVS206" s="3"/>
      <c r="KVT206" s="3"/>
      <c r="KVU206" s="3"/>
      <c r="KVV206" s="3"/>
      <c r="KVW206" s="3"/>
      <c r="KVX206" s="3"/>
      <c r="KVY206" s="3"/>
      <c r="KVZ206" s="3"/>
      <c r="KWA206" s="3"/>
      <c r="KWB206" s="3"/>
      <c r="KWC206" s="3"/>
      <c r="KWD206" s="3"/>
      <c r="KWE206" s="3"/>
      <c r="KWF206" s="3"/>
      <c r="KWG206" s="3"/>
      <c r="KWH206" s="3"/>
      <c r="KWI206" s="3"/>
      <c r="KWJ206" s="3"/>
      <c r="KWK206" s="3"/>
      <c r="KWL206" s="3"/>
      <c r="KWM206" s="3"/>
      <c r="KWN206" s="3"/>
      <c r="KWO206" s="3"/>
      <c r="KWP206" s="3"/>
      <c r="KWQ206" s="3"/>
      <c r="KWR206" s="3"/>
      <c r="KWS206" s="3"/>
      <c r="KWT206" s="3"/>
      <c r="KWU206" s="3"/>
      <c r="KWV206" s="3"/>
      <c r="KWW206" s="3"/>
      <c r="KWX206" s="3"/>
      <c r="KWY206" s="3"/>
      <c r="KWZ206" s="3"/>
      <c r="KXA206" s="3"/>
      <c r="KXB206" s="3"/>
      <c r="KXC206" s="3"/>
      <c r="KXD206" s="3"/>
      <c r="KXE206" s="3"/>
      <c r="KXF206" s="3"/>
      <c r="KXG206" s="3"/>
      <c r="KXH206" s="3"/>
      <c r="KXI206" s="3"/>
      <c r="KXJ206" s="3"/>
      <c r="KXK206" s="3"/>
      <c r="KXL206" s="3"/>
      <c r="KXM206" s="3"/>
      <c r="KXN206" s="3"/>
      <c r="KXO206" s="3"/>
      <c r="KXP206" s="3"/>
      <c r="KXQ206" s="3"/>
      <c r="KXR206" s="3"/>
      <c r="KXS206" s="3"/>
      <c r="KXT206" s="3"/>
      <c r="KXU206" s="3"/>
      <c r="KXV206" s="3"/>
      <c r="KXW206" s="3"/>
      <c r="KXX206" s="3"/>
      <c r="KXY206" s="3"/>
      <c r="KXZ206" s="3"/>
      <c r="KYA206" s="3"/>
      <c r="KYB206" s="3"/>
      <c r="KYC206" s="3"/>
      <c r="KYD206" s="3"/>
      <c r="KYE206" s="3"/>
      <c r="KYF206" s="3"/>
      <c r="KYG206" s="3"/>
      <c r="KYH206" s="3"/>
      <c r="KYI206" s="3"/>
      <c r="KYJ206" s="3"/>
      <c r="KYK206" s="3"/>
      <c r="KYL206" s="3"/>
      <c r="KYM206" s="3"/>
      <c r="KYN206" s="3"/>
      <c r="KYO206" s="3"/>
      <c r="KYP206" s="3"/>
      <c r="KYQ206" s="3"/>
      <c r="KYR206" s="3"/>
      <c r="KYS206" s="3"/>
      <c r="KYT206" s="3"/>
      <c r="KYU206" s="3"/>
      <c r="KYV206" s="3"/>
      <c r="KYW206" s="3"/>
      <c r="KYX206" s="3"/>
      <c r="KYY206" s="3"/>
      <c r="KYZ206" s="3"/>
      <c r="KZA206" s="3"/>
      <c r="KZB206" s="3"/>
      <c r="KZC206" s="3"/>
      <c r="KZD206" s="3"/>
      <c r="KZE206" s="3"/>
      <c r="KZF206" s="3"/>
      <c r="KZG206" s="3"/>
      <c r="KZH206" s="3"/>
      <c r="KZI206" s="3"/>
      <c r="KZJ206" s="3"/>
      <c r="KZK206" s="3"/>
      <c r="KZL206" s="3"/>
      <c r="KZM206" s="3"/>
      <c r="KZN206" s="3"/>
      <c r="KZO206" s="3"/>
      <c r="KZP206" s="3"/>
      <c r="KZQ206" s="3"/>
      <c r="KZR206" s="3"/>
      <c r="KZS206" s="3"/>
      <c r="KZT206" s="3"/>
      <c r="KZU206" s="3"/>
      <c r="KZV206" s="3"/>
      <c r="KZW206" s="3"/>
      <c r="KZX206" s="3"/>
      <c r="KZY206" s="3"/>
      <c r="KZZ206" s="3"/>
      <c r="LAA206" s="3"/>
      <c r="LAB206" s="3"/>
      <c r="LAC206" s="3"/>
      <c r="LAD206" s="3"/>
      <c r="LAE206" s="3"/>
      <c r="LAF206" s="3"/>
      <c r="LAG206" s="3"/>
      <c r="LAH206" s="3"/>
      <c r="LAI206" s="3"/>
      <c r="LAJ206" s="3"/>
      <c r="LAK206" s="3"/>
      <c r="LAL206" s="3"/>
      <c r="LAM206" s="3"/>
      <c r="LAN206" s="3"/>
      <c r="LAO206" s="3"/>
      <c r="LAP206" s="3"/>
      <c r="LAQ206" s="3"/>
      <c r="LAR206" s="3"/>
      <c r="LAS206" s="3"/>
      <c r="LAT206" s="3"/>
      <c r="LAU206" s="3"/>
      <c r="LAV206" s="3"/>
      <c r="LAW206" s="3"/>
      <c r="LAX206" s="3"/>
      <c r="LAY206" s="3"/>
      <c r="LAZ206" s="3"/>
      <c r="LBA206" s="3"/>
      <c r="LBB206" s="3"/>
      <c r="LBC206" s="3"/>
      <c r="LBD206" s="3"/>
      <c r="LBE206" s="3"/>
      <c r="LBF206" s="3"/>
      <c r="LBG206" s="3"/>
      <c r="LBH206" s="3"/>
      <c r="LBI206" s="3"/>
      <c r="LBJ206" s="3"/>
      <c r="LBK206" s="3"/>
      <c r="LBL206" s="3"/>
      <c r="LBM206" s="3"/>
      <c r="LBN206" s="3"/>
      <c r="LBO206" s="3"/>
      <c r="LBP206" s="3"/>
      <c r="LBQ206" s="3"/>
      <c r="LBR206" s="3"/>
      <c r="LBS206" s="3"/>
      <c r="LBT206" s="3"/>
      <c r="LBU206" s="3"/>
      <c r="LBV206" s="3"/>
      <c r="LBW206" s="3"/>
      <c r="LBX206" s="3"/>
      <c r="LBY206" s="3"/>
      <c r="LBZ206" s="3"/>
      <c r="LCA206" s="3"/>
      <c r="LCB206" s="3"/>
      <c r="LCC206" s="3"/>
      <c r="LCD206" s="3"/>
      <c r="LCE206" s="3"/>
      <c r="LCF206" s="3"/>
      <c r="LCG206" s="3"/>
      <c r="LCH206" s="3"/>
      <c r="LCI206" s="3"/>
      <c r="LCJ206" s="3"/>
      <c r="LCK206" s="3"/>
      <c r="LCL206" s="3"/>
      <c r="LCM206" s="3"/>
      <c r="LCN206" s="3"/>
      <c r="LCO206" s="3"/>
      <c r="LCP206" s="3"/>
      <c r="LCQ206" s="3"/>
      <c r="LCR206" s="3"/>
      <c r="LCS206" s="3"/>
      <c r="LCT206" s="3"/>
      <c r="LCU206" s="3"/>
      <c r="LCV206" s="3"/>
      <c r="LCW206" s="3"/>
      <c r="LCX206" s="3"/>
      <c r="LCY206" s="3"/>
      <c r="LCZ206" s="3"/>
      <c r="LDA206" s="3"/>
      <c r="LDB206" s="3"/>
      <c r="LDC206" s="3"/>
      <c r="LDD206" s="3"/>
      <c r="LDE206" s="3"/>
      <c r="LDF206" s="3"/>
      <c r="LDG206" s="3"/>
      <c r="LDH206" s="3"/>
      <c r="LDI206" s="3"/>
      <c r="LDJ206" s="3"/>
      <c r="LDK206" s="3"/>
      <c r="LDL206" s="3"/>
      <c r="LDM206" s="3"/>
      <c r="LDN206" s="3"/>
      <c r="LDO206" s="3"/>
      <c r="LDP206" s="3"/>
      <c r="LDQ206" s="3"/>
      <c r="LDR206" s="3"/>
      <c r="LDS206" s="3"/>
      <c r="LDT206" s="3"/>
      <c r="LDU206" s="3"/>
      <c r="LDV206" s="3"/>
      <c r="LDW206" s="3"/>
      <c r="LDX206" s="3"/>
      <c r="LDY206" s="3"/>
      <c r="LDZ206" s="3"/>
      <c r="LEA206" s="3"/>
      <c r="LEB206" s="3"/>
      <c r="LEC206" s="3"/>
      <c r="LED206" s="3"/>
      <c r="LEE206" s="3"/>
      <c r="LEF206" s="3"/>
      <c r="LEG206" s="3"/>
      <c r="LEH206" s="3"/>
      <c r="LEI206" s="3"/>
      <c r="LEJ206" s="3"/>
      <c r="LEK206" s="3"/>
      <c r="LEL206" s="3"/>
      <c r="LEM206" s="3"/>
      <c r="LEN206" s="3"/>
      <c r="LEO206" s="3"/>
      <c r="LEP206" s="3"/>
      <c r="LEQ206" s="3"/>
      <c r="LER206" s="3"/>
      <c r="LES206" s="3"/>
      <c r="LET206" s="3"/>
      <c r="LEU206" s="3"/>
      <c r="LEV206" s="3"/>
      <c r="LEW206" s="3"/>
      <c r="LEX206" s="3"/>
      <c r="LEY206" s="3"/>
      <c r="LEZ206" s="3"/>
      <c r="LFA206" s="3"/>
      <c r="LFB206" s="3"/>
      <c r="LFC206" s="3"/>
      <c r="LFD206" s="3"/>
      <c r="LFE206" s="3"/>
      <c r="LFF206" s="3"/>
      <c r="LFG206" s="3"/>
      <c r="LFH206" s="3"/>
      <c r="LFI206" s="3"/>
      <c r="LFJ206" s="3"/>
      <c r="LFK206" s="3"/>
      <c r="LFL206" s="3"/>
      <c r="LFM206" s="3"/>
      <c r="LFN206" s="3"/>
      <c r="LFO206" s="3"/>
      <c r="LFP206" s="3"/>
      <c r="LFQ206" s="3"/>
      <c r="LFR206" s="3"/>
      <c r="LFS206" s="3"/>
      <c r="LFT206" s="3"/>
      <c r="LFU206" s="3"/>
      <c r="LFV206" s="3"/>
      <c r="LFW206" s="3"/>
      <c r="LFX206" s="3"/>
      <c r="LFY206" s="3"/>
      <c r="LFZ206" s="3"/>
      <c r="LGA206" s="3"/>
      <c r="LGB206" s="3"/>
      <c r="LGC206" s="3"/>
      <c r="LGD206" s="3"/>
      <c r="LGE206" s="3"/>
      <c r="LGF206" s="3"/>
      <c r="LGG206" s="3"/>
      <c r="LGH206" s="3"/>
      <c r="LGI206" s="3"/>
      <c r="LGJ206" s="3"/>
      <c r="LGK206" s="3"/>
      <c r="LGL206" s="3"/>
      <c r="LGM206" s="3"/>
      <c r="LGN206" s="3"/>
      <c r="LGO206" s="3"/>
      <c r="LGP206" s="3"/>
      <c r="LGQ206" s="3"/>
      <c r="LGR206" s="3"/>
      <c r="LGS206" s="3"/>
      <c r="LGT206" s="3"/>
      <c r="LGU206" s="3"/>
      <c r="LGV206" s="3"/>
      <c r="LGW206" s="3"/>
      <c r="LGX206" s="3"/>
      <c r="LGY206" s="3"/>
      <c r="LGZ206" s="3"/>
      <c r="LHA206" s="3"/>
      <c r="LHB206" s="3"/>
      <c r="LHC206" s="3"/>
      <c r="LHD206" s="3"/>
      <c r="LHE206" s="3"/>
      <c r="LHF206" s="3"/>
      <c r="LHG206" s="3"/>
      <c r="LHH206" s="3"/>
      <c r="LHI206" s="3"/>
      <c r="LHJ206" s="3"/>
      <c r="LHK206" s="3"/>
      <c r="LHL206" s="3"/>
      <c r="LHM206" s="3"/>
      <c r="LHN206" s="3"/>
      <c r="LHO206" s="3"/>
      <c r="LHP206" s="3"/>
      <c r="LHQ206" s="3"/>
      <c r="LHR206" s="3"/>
      <c r="LHS206" s="3"/>
      <c r="LHT206" s="3"/>
      <c r="LHU206" s="3"/>
      <c r="LHV206" s="3"/>
      <c r="LHW206" s="3"/>
      <c r="LHX206" s="3"/>
      <c r="LHY206" s="3"/>
      <c r="LHZ206" s="3"/>
      <c r="LIA206" s="3"/>
      <c r="LIB206" s="3"/>
      <c r="LIC206" s="3"/>
      <c r="LID206" s="3"/>
      <c r="LIE206" s="3"/>
      <c r="LIF206" s="3"/>
      <c r="LIG206" s="3"/>
      <c r="LIH206" s="3"/>
      <c r="LII206" s="3"/>
      <c r="LIJ206" s="3"/>
      <c r="LIK206" s="3"/>
      <c r="LIL206" s="3"/>
      <c r="LIM206" s="3"/>
      <c r="LIN206" s="3"/>
      <c r="LIO206" s="3"/>
      <c r="LIP206" s="3"/>
      <c r="LIQ206" s="3"/>
      <c r="LIR206" s="3"/>
      <c r="LIS206" s="3"/>
      <c r="LIT206" s="3"/>
      <c r="LIU206" s="3"/>
      <c r="LIV206" s="3"/>
      <c r="LIW206" s="3"/>
      <c r="LIX206" s="3"/>
      <c r="LIY206" s="3"/>
      <c r="LIZ206" s="3"/>
      <c r="LJA206" s="3"/>
      <c r="LJB206" s="3"/>
      <c r="LJC206" s="3"/>
      <c r="LJD206" s="3"/>
      <c r="LJE206" s="3"/>
      <c r="LJF206" s="3"/>
      <c r="LJG206" s="3"/>
      <c r="LJH206" s="3"/>
      <c r="LJI206" s="3"/>
      <c r="LJJ206" s="3"/>
      <c r="LJK206" s="3"/>
      <c r="LJL206" s="3"/>
      <c r="LJM206" s="3"/>
      <c r="LJN206" s="3"/>
      <c r="LJO206" s="3"/>
      <c r="LJP206" s="3"/>
      <c r="LJQ206" s="3"/>
      <c r="LJR206" s="3"/>
      <c r="LJS206" s="3"/>
      <c r="LJT206" s="3"/>
      <c r="LJU206" s="3"/>
      <c r="LJV206" s="3"/>
      <c r="LJW206" s="3"/>
      <c r="LJX206" s="3"/>
      <c r="LJY206" s="3"/>
      <c r="LJZ206" s="3"/>
      <c r="LKA206" s="3"/>
      <c r="LKB206" s="3"/>
      <c r="LKC206" s="3"/>
      <c r="LKD206" s="3"/>
      <c r="LKE206" s="3"/>
      <c r="LKF206" s="3"/>
      <c r="LKG206" s="3"/>
      <c r="LKH206" s="3"/>
      <c r="LKI206" s="3"/>
      <c r="LKJ206" s="3"/>
      <c r="LKK206" s="3"/>
      <c r="LKL206" s="3"/>
      <c r="LKM206" s="3"/>
      <c r="LKN206" s="3"/>
      <c r="LKO206" s="3"/>
      <c r="LKP206" s="3"/>
      <c r="LKQ206" s="3"/>
      <c r="LKR206" s="3"/>
      <c r="LKS206" s="3"/>
      <c r="LKT206" s="3"/>
      <c r="LKU206" s="3"/>
      <c r="LKV206" s="3"/>
      <c r="LKW206" s="3"/>
      <c r="LKX206" s="3"/>
      <c r="LKY206" s="3"/>
      <c r="LKZ206" s="3"/>
      <c r="LLA206" s="3"/>
      <c r="LLB206" s="3"/>
      <c r="LLC206" s="3"/>
      <c r="LLD206" s="3"/>
      <c r="LLE206" s="3"/>
      <c r="LLF206" s="3"/>
      <c r="LLG206" s="3"/>
      <c r="LLH206" s="3"/>
      <c r="LLI206" s="3"/>
      <c r="LLJ206" s="3"/>
      <c r="LLK206" s="3"/>
      <c r="LLL206" s="3"/>
      <c r="LLM206" s="3"/>
      <c r="LLN206" s="3"/>
      <c r="LLO206" s="3"/>
      <c r="LLP206" s="3"/>
      <c r="LLQ206" s="3"/>
      <c r="LLR206" s="3"/>
      <c r="LLS206" s="3"/>
      <c r="LLT206" s="3"/>
      <c r="LLU206" s="3"/>
      <c r="LLV206" s="3"/>
      <c r="LLW206" s="3"/>
      <c r="LLX206" s="3"/>
      <c r="LLY206" s="3"/>
      <c r="LLZ206" s="3"/>
      <c r="LMA206" s="3"/>
      <c r="LMB206" s="3"/>
      <c r="LMC206" s="3"/>
      <c r="LMD206" s="3"/>
      <c r="LME206" s="3"/>
      <c r="LMF206" s="3"/>
      <c r="LMG206" s="3"/>
      <c r="LMH206" s="3"/>
      <c r="LMI206" s="3"/>
      <c r="LMJ206" s="3"/>
      <c r="LMK206" s="3"/>
      <c r="LML206" s="3"/>
      <c r="LMM206" s="3"/>
      <c r="LMN206" s="3"/>
      <c r="LMO206" s="3"/>
      <c r="LMP206" s="3"/>
      <c r="LMQ206" s="3"/>
      <c r="LMR206" s="3"/>
      <c r="LMS206" s="3"/>
      <c r="LMT206" s="3"/>
      <c r="LMU206" s="3"/>
      <c r="LMV206" s="3"/>
      <c r="LMW206" s="3"/>
      <c r="LMX206" s="3"/>
      <c r="LMY206" s="3"/>
      <c r="LMZ206" s="3"/>
      <c r="LNA206" s="3"/>
      <c r="LNB206" s="3"/>
      <c r="LNC206" s="3"/>
      <c r="LND206" s="3"/>
      <c r="LNE206" s="3"/>
      <c r="LNF206" s="3"/>
      <c r="LNG206" s="3"/>
      <c r="LNH206" s="3"/>
      <c r="LNI206" s="3"/>
      <c r="LNJ206" s="3"/>
      <c r="LNK206" s="3"/>
      <c r="LNL206" s="3"/>
      <c r="LNM206" s="3"/>
      <c r="LNN206" s="3"/>
      <c r="LNO206" s="3"/>
      <c r="LNP206" s="3"/>
      <c r="LNQ206" s="3"/>
      <c r="LNR206" s="3"/>
      <c r="LNS206" s="3"/>
      <c r="LNT206" s="3"/>
      <c r="LNU206" s="3"/>
      <c r="LNV206" s="3"/>
      <c r="LNW206" s="3"/>
      <c r="LNX206" s="3"/>
      <c r="LNY206" s="3"/>
      <c r="LNZ206" s="3"/>
      <c r="LOA206" s="3"/>
      <c r="LOB206" s="3"/>
      <c r="LOC206" s="3"/>
      <c r="LOD206" s="3"/>
      <c r="LOE206" s="3"/>
      <c r="LOF206" s="3"/>
      <c r="LOG206" s="3"/>
      <c r="LOH206" s="3"/>
      <c r="LOI206" s="3"/>
      <c r="LOJ206" s="3"/>
      <c r="LOK206" s="3"/>
      <c r="LOL206" s="3"/>
      <c r="LOM206" s="3"/>
      <c r="LON206" s="3"/>
      <c r="LOO206" s="3"/>
      <c r="LOP206" s="3"/>
      <c r="LOQ206" s="3"/>
      <c r="LOR206" s="3"/>
      <c r="LOS206" s="3"/>
      <c r="LOT206" s="3"/>
      <c r="LOU206" s="3"/>
      <c r="LOV206" s="3"/>
      <c r="LOW206" s="3"/>
      <c r="LOX206" s="3"/>
      <c r="LOY206" s="3"/>
      <c r="LOZ206" s="3"/>
      <c r="LPA206" s="3"/>
      <c r="LPB206" s="3"/>
      <c r="LPC206" s="3"/>
      <c r="LPD206" s="3"/>
      <c r="LPE206" s="3"/>
      <c r="LPF206" s="3"/>
      <c r="LPG206" s="3"/>
      <c r="LPH206" s="3"/>
      <c r="LPI206" s="3"/>
      <c r="LPJ206" s="3"/>
      <c r="LPK206" s="3"/>
      <c r="LPL206" s="3"/>
      <c r="LPM206" s="3"/>
      <c r="LPN206" s="3"/>
      <c r="LPO206" s="3"/>
      <c r="LPP206" s="3"/>
      <c r="LPQ206" s="3"/>
      <c r="LPR206" s="3"/>
      <c r="LPS206" s="3"/>
      <c r="LPT206" s="3"/>
      <c r="LPU206" s="3"/>
      <c r="LPV206" s="3"/>
      <c r="LPW206" s="3"/>
      <c r="LPX206" s="3"/>
      <c r="LPY206" s="3"/>
      <c r="LPZ206" s="3"/>
      <c r="LQA206" s="3"/>
      <c r="LQB206" s="3"/>
      <c r="LQC206" s="3"/>
      <c r="LQD206" s="3"/>
      <c r="LQE206" s="3"/>
      <c r="LQF206" s="3"/>
      <c r="LQG206" s="3"/>
      <c r="LQH206" s="3"/>
      <c r="LQI206" s="3"/>
      <c r="LQJ206" s="3"/>
      <c r="LQK206" s="3"/>
      <c r="LQL206" s="3"/>
      <c r="LQM206" s="3"/>
      <c r="LQN206" s="3"/>
      <c r="LQO206" s="3"/>
      <c r="LQP206" s="3"/>
      <c r="LQQ206" s="3"/>
      <c r="LQR206" s="3"/>
      <c r="LQS206" s="3"/>
      <c r="LQT206" s="3"/>
      <c r="LQU206" s="3"/>
      <c r="LQV206" s="3"/>
      <c r="LQW206" s="3"/>
      <c r="LQX206" s="3"/>
      <c r="LQY206" s="3"/>
      <c r="LQZ206" s="3"/>
      <c r="LRA206" s="3"/>
      <c r="LRB206" s="3"/>
      <c r="LRC206" s="3"/>
      <c r="LRD206" s="3"/>
      <c r="LRE206" s="3"/>
      <c r="LRF206" s="3"/>
      <c r="LRG206" s="3"/>
      <c r="LRH206" s="3"/>
      <c r="LRI206" s="3"/>
      <c r="LRJ206" s="3"/>
      <c r="LRK206" s="3"/>
      <c r="LRL206" s="3"/>
      <c r="LRM206" s="3"/>
      <c r="LRN206" s="3"/>
      <c r="LRO206" s="3"/>
      <c r="LRP206" s="3"/>
      <c r="LRQ206" s="3"/>
      <c r="LRR206" s="3"/>
      <c r="LRS206" s="3"/>
      <c r="LRT206" s="3"/>
      <c r="LRU206" s="3"/>
      <c r="LRV206" s="3"/>
      <c r="LRW206" s="3"/>
      <c r="LRX206" s="3"/>
      <c r="LRY206" s="3"/>
      <c r="LRZ206" s="3"/>
      <c r="LSA206" s="3"/>
      <c r="LSB206" s="3"/>
      <c r="LSC206" s="3"/>
      <c r="LSD206" s="3"/>
      <c r="LSE206" s="3"/>
      <c r="LSF206" s="3"/>
      <c r="LSG206" s="3"/>
      <c r="LSH206" s="3"/>
      <c r="LSI206" s="3"/>
      <c r="LSJ206" s="3"/>
      <c r="LSK206" s="3"/>
      <c r="LSL206" s="3"/>
      <c r="LSM206" s="3"/>
      <c r="LSN206" s="3"/>
      <c r="LSO206" s="3"/>
      <c r="LSP206" s="3"/>
      <c r="LSQ206" s="3"/>
      <c r="LSR206" s="3"/>
      <c r="LSS206" s="3"/>
      <c r="LST206" s="3"/>
      <c r="LSU206" s="3"/>
      <c r="LSV206" s="3"/>
      <c r="LSW206" s="3"/>
      <c r="LSX206" s="3"/>
      <c r="LSY206" s="3"/>
      <c r="LSZ206" s="3"/>
      <c r="LTA206" s="3"/>
      <c r="LTB206" s="3"/>
      <c r="LTC206" s="3"/>
      <c r="LTD206" s="3"/>
      <c r="LTE206" s="3"/>
      <c r="LTF206" s="3"/>
      <c r="LTG206" s="3"/>
      <c r="LTH206" s="3"/>
      <c r="LTI206" s="3"/>
      <c r="LTJ206" s="3"/>
      <c r="LTK206" s="3"/>
      <c r="LTL206" s="3"/>
      <c r="LTM206" s="3"/>
      <c r="LTN206" s="3"/>
      <c r="LTO206" s="3"/>
      <c r="LTP206" s="3"/>
      <c r="LTQ206" s="3"/>
      <c r="LTR206" s="3"/>
      <c r="LTS206" s="3"/>
      <c r="LTT206" s="3"/>
      <c r="LTU206" s="3"/>
      <c r="LTV206" s="3"/>
      <c r="LTW206" s="3"/>
      <c r="LTX206" s="3"/>
      <c r="LTY206" s="3"/>
      <c r="LTZ206" s="3"/>
      <c r="LUA206" s="3"/>
      <c r="LUB206" s="3"/>
      <c r="LUC206" s="3"/>
      <c r="LUD206" s="3"/>
      <c r="LUE206" s="3"/>
      <c r="LUF206" s="3"/>
      <c r="LUG206" s="3"/>
      <c r="LUH206" s="3"/>
      <c r="LUI206" s="3"/>
      <c r="LUJ206" s="3"/>
      <c r="LUK206" s="3"/>
      <c r="LUL206" s="3"/>
      <c r="LUM206" s="3"/>
      <c r="LUN206" s="3"/>
      <c r="LUO206" s="3"/>
      <c r="LUP206" s="3"/>
      <c r="LUQ206" s="3"/>
      <c r="LUR206" s="3"/>
      <c r="LUS206" s="3"/>
      <c r="LUT206" s="3"/>
      <c r="LUU206" s="3"/>
      <c r="LUV206" s="3"/>
      <c r="LUW206" s="3"/>
      <c r="LUX206" s="3"/>
      <c r="LUY206" s="3"/>
      <c r="LUZ206" s="3"/>
      <c r="LVA206" s="3"/>
      <c r="LVB206" s="3"/>
      <c r="LVC206" s="3"/>
      <c r="LVD206" s="3"/>
      <c r="LVE206" s="3"/>
      <c r="LVF206" s="3"/>
      <c r="LVG206" s="3"/>
      <c r="LVH206" s="3"/>
      <c r="LVI206" s="3"/>
      <c r="LVJ206" s="3"/>
      <c r="LVK206" s="3"/>
      <c r="LVL206" s="3"/>
      <c r="LVM206" s="3"/>
      <c r="LVN206" s="3"/>
      <c r="LVO206" s="3"/>
      <c r="LVP206" s="3"/>
      <c r="LVQ206" s="3"/>
      <c r="LVR206" s="3"/>
      <c r="LVS206" s="3"/>
      <c r="LVT206" s="3"/>
      <c r="LVU206" s="3"/>
      <c r="LVV206" s="3"/>
      <c r="LVW206" s="3"/>
      <c r="LVX206" s="3"/>
      <c r="LVY206" s="3"/>
      <c r="LVZ206" s="3"/>
      <c r="LWA206" s="3"/>
      <c r="LWB206" s="3"/>
      <c r="LWC206" s="3"/>
      <c r="LWD206" s="3"/>
      <c r="LWE206" s="3"/>
      <c r="LWF206" s="3"/>
      <c r="LWG206" s="3"/>
      <c r="LWH206" s="3"/>
      <c r="LWI206" s="3"/>
      <c r="LWJ206" s="3"/>
      <c r="LWK206" s="3"/>
      <c r="LWL206" s="3"/>
      <c r="LWM206" s="3"/>
      <c r="LWN206" s="3"/>
      <c r="LWO206" s="3"/>
      <c r="LWP206" s="3"/>
      <c r="LWQ206" s="3"/>
      <c r="LWR206" s="3"/>
      <c r="LWS206" s="3"/>
      <c r="LWT206" s="3"/>
      <c r="LWU206" s="3"/>
      <c r="LWV206" s="3"/>
      <c r="LWW206" s="3"/>
      <c r="LWX206" s="3"/>
      <c r="LWY206" s="3"/>
      <c r="LWZ206" s="3"/>
      <c r="LXA206" s="3"/>
      <c r="LXB206" s="3"/>
      <c r="LXC206" s="3"/>
      <c r="LXD206" s="3"/>
      <c r="LXE206" s="3"/>
      <c r="LXF206" s="3"/>
      <c r="LXG206" s="3"/>
      <c r="LXH206" s="3"/>
      <c r="LXI206" s="3"/>
      <c r="LXJ206" s="3"/>
      <c r="LXK206" s="3"/>
      <c r="LXL206" s="3"/>
      <c r="LXM206" s="3"/>
      <c r="LXN206" s="3"/>
      <c r="LXO206" s="3"/>
      <c r="LXP206" s="3"/>
      <c r="LXQ206" s="3"/>
      <c r="LXR206" s="3"/>
      <c r="LXS206" s="3"/>
      <c r="LXT206" s="3"/>
      <c r="LXU206" s="3"/>
      <c r="LXV206" s="3"/>
      <c r="LXW206" s="3"/>
      <c r="LXX206" s="3"/>
      <c r="LXY206" s="3"/>
      <c r="LXZ206" s="3"/>
      <c r="LYA206" s="3"/>
      <c r="LYB206" s="3"/>
      <c r="LYC206" s="3"/>
      <c r="LYD206" s="3"/>
      <c r="LYE206" s="3"/>
      <c r="LYF206" s="3"/>
      <c r="LYG206" s="3"/>
      <c r="LYH206" s="3"/>
      <c r="LYI206" s="3"/>
      <c r="LYJ206" s="3"/>
      <c r="LYK206" s="3"/>
      <c r="LYL206" s="3"/>
      <c r="LYM206" s="3"/>
      <c r="LYN206" s="3"/>
      <c r="LYO206" s="3"/>
      <c r="LYP206" s="3"/>
      <c r="LYQ206" s="3"/>
      <c r="LYR206" s="3"/>
      <c r="LYS206" s="3"/>
      <c r="LYT206" s="3"/>
      <c r="LYU206" s="3"/>
      <c r="LYV206" s="3"/>
      <c r="LYW206" s="3"/>
      <c r="LYX206" s="3"/>
      <c r="LYY206" s="3"/>
      <c r="LYZ206" s="3"/>
      <c r="LZA206" s="3"/>
      <c r="LZB206" s="3"/>
      <c r="LZC206" s="3"/>
      <c r="LZD206" s="3"/>
      <c r="LZE206" s="3"/>
      <c r="LZF206" s="3"/>
      <c r="LZG206" s="3"/>
      <c r="LZH206" s="3"/>
      <c r="LZI206" s="3"/>
      <c r="LZJ206" s="3"/>
      <c r="LZK206" s="3"/>
      <c r="LZL206" s="3"/>
      <c r="LZM206" s="3"/>
      <c r="LZN206" s="3"/>
      <c r="LZO206" s="3"/>
      <c r="LZP206" s="3"/>
      <c r="LZQ206" s="3"/>
      <c r="LZR206" s="3"/>
      <c r="LZS206" s="3"/>
      <c r="LZT206" s="3"/>
      <c r="LZU206" s="3"/>
      <c r="LZV206" s="3"/>
      <c r="LZW206" s="3"/>
      <c r="LZX206" s="3"/>
      <c r="LZY206" s="3"/>
      <c r="LZZ206" s="3"/>
      <c r="MAA206" s="3"/>
      <c r="MAB206" s="3"/>
      <c r="MAC206" s="3"/>
      <c r="MAD206" s="3"/>
      <c r="MAE206" s="3"/>
      <c r="MAF206" s="3"/>
      <c r="MAG206" s="3"/>
      <c r="MAH206" s="3"/>
      <c r="MAI206" s="3"/>
      <c r="MAJ206" s="3"/>
      <c r="MAK206" s="3"/>
      <c r="MAL206" s="3"/>
      <c r="MAM206" s="3"/>
      <c r="MAN206" s="3"/>
      <c r="MAO206" s="3"/>
      <c r="MAP206" s="3"/>
      <c r="MAQ206" s="3"/>
      <c r="MAR206" s="3"/>
      <c r="MAS206" s="3"/>
      <c r="MAT206" s="3"/>
      <c r="MAU206" s="3"/>
      <c r="MAV206" s="3"/>
      <c r="MAW206" s="3"/>
      <c r="MAX206" s="3"/>
      <c r="MAY206" s="3"/>
      <c r="MAZ206" s="3"/>
      <c r="MBA206" s="3"/>
      <c r="MBB206" s="3"/>
      <c r="MBC206" s="3"/>
      <c r="MBD206" s="3"/>
      <c r="MBE206" s="3"/>
      <c r="MBF206" s="3"/>
      <c r="MBG206" s="3"/>
      <c r="MBH206" s="3"/>
      <c r="MBI206" s="3"/>
      <c r="MBJ206" s="3"/>
      <c r="MBK206" s="3"/>
      <c r="MBL206" s="3"/>
      <c r="MBM206" s="3"/>
      <c r="MBN206" s="3"/>
      <c r="MBO206" s="3"/>
      <c r="MBP206" s="3"/>
      <c r="MBQ206" s="3"/>
      <c r="MBR206" s="3"/>
      <c r="MBS206" s="3"/>
      <c r="MBT206" s="3"/>
      <c r="MBU206" s="3"/>
      <c r="MBV206" s="3"/>
      <c r="MBW206" s="3"/>
      <c r="MBX206" s="3"/>
      <c r="MBY206" s="3"/>
      <c r="MBZ206" s="3"/>
      <c r="MCA206" s="3"/>
      <c r="MCB206" s="3"/>
      <c r="MCC206" s="3"/>
      <c r="MCD206" s="3"/>
      <c r="MCE206" s="3"/>
      <c r="MCF206" s="3"/>
      <c r="MCG206" s="3"/>
      <c r="MCH206" s="3"/>
      <c r="MCI206" s="3"/>
      <c r="MCJ206" s="3"/>
      <c r="MCK206" s="3"/>
      <c r="MCL206" s="3"/>
      <c r="MCM206" s="3"/>
      <c r="MCN206" s="3"/>
      <c r="MCO206" s="3"/>
      <c r="MCP206" s="3"/>
      <c r="MCQ206" s="3"/>
      <c r="MCR206" s="3"/>
      <c r="MCS206" s="3"/>
      <c r="MCT206" s="3"/>
      <c r="MCU206" s="3"/>
      <c r="MCV206" s="3"/>
      <c r="MCW206" s="3"/>
      <c r="MCX206" s="3"/>
      <c r="MCY206" s="3"/>
      <c r="MCZ206" s="3"/>
      <c r="MDA206" s="3"/>
      <c r="MDB206" s="3"/>
      <c r="MDC206" s="3"/>
      <c r="MDD206" s="3"/>
      <c r="MDE206" s="3"/>
      <c r="MDF206" s="3"/>
      <c r="MDG206" s="3"/>
      <c r="MDH206" s="3"/>
      <c r="MDI206" s="3"/>
      <c r="MDJ206" s="3"/>
      <c r="MDK206" s="3"/>
      <c r="MDL206" s="3"/>
      <c r="MDM206" s="3"/>
      <c r="MDN206" s="3"/>
      <c r="MDO206" s="3"/>
      <c r="MDP206" s="3"/>
      <c r="MDQ206" s="3"/>
      <c r="MDR206" s="3"/>
      <c r="MDS206" s="3"/>
      <c r="MDT206" s="3"/>
      <c r="MDU206" s="3"/>
      <c r="MDV206" s="3"/>
      <c r="MDW206" s="3"/>
      <c r="MDX206" s="3"/>
      <c r="MDY206" s="3"/>
      <c r="MDZ206" s="3"/>
      <c r="MEA206" s="3"/>
      <c r="MEB206" s="3"/>
      <c r="MEC206" s="3"/>
      <c r="MED206" s="3"/>
      <c r="MEE206" s="3"/>
      <c r="MEF206" s="3"/>
      <c r="MEG206" s="3"/>
      <c r="MEH206" s="3"/>
      <c r="MEI206" s="3"/>
      <c r="MEJ206" s="3"/>
      <c r="MEK206" s="3"/>
      <c r="MEL206" s="3"/>
      <c r="MEM206" s="3"/>
      <c r="MEN206" s="3"/>
      <c r="MEO206" s="3"/>
      <c r="MEP206" s="3"/>
      <c r="MEQ206" s="3"/>
      <c r="MER206" s="3"/>
      <c r="MES206" s="3"/>
      <c r="MET206" s="3"/>
      <c r="MEU206" s="3"/>
      <c r="MEV206" s="3"/>
      <c r="MEW206" s="3"/>
      <c r="MEX206" s="3"/>
      <c r="MEY206" s="3"/>
      <c r="MEZ206" s="3"/>
      <c r="MFA206" s="3"/>
      <c r="MFB206" s="3"/>
      <c r="MFC206" s="3"/>
      <c r="MFD206" s="3"/>
      <c r="MFE206" s="3"/>
      <c r="MFF206" s="3"/>
      <c r="MFG206" s="3"/>
      <c r="MFH206" s="3"/>
      <c r="MFI206" s="3"/>
      <c r="MFJ206" s="3"/>
      <c r="MFK206" s="3"/>
      <c r="MFL206" s="3"/>
      <c r="MFM206" s="3"/>
      <c r="MFN206" s="3"/>
      <c r="MFO206" s="3"/>
      <c r="MFP206" s="3"/>
      <c r="MFQ206" s="3"/>
      <c r="MFR206" s="3"/>
      <c r="MFS206" s="3"/>
      <c r="MFT206" s="3"/>
      <c r="MFU206" s="3"/>
      <c r="MFV206" s="3"/>
      <c r="MFW206" s="3"/>
      <c r="MFX206" s="3"/>
      <c r="MFY206" s="3"/>
      <c r="MFZ206" s="3"/>
      <c r="MGA206" s="3"/>
      <c r="MGB206" s="3"/>
      <c r="MGC206" s="3"/>
      <c r="MGD206" s="3"/>
      <c r="MGE206" s="3"/>
      <c r="MGF206" s="3"/>
      <c r="MGG206" s="3"/>
      <c r="MGH206" s="3"/>
      <c r="MGI206" s="3"/>
      <c r="MGJ206" s="3"/>
      <c r="MGK206" s="3"/>
      <c r="MGL206" s="3"/>
      <c r="MGM206" s="3"/>
      <c r="MGN206" s="3"/>
      <c r="MGO206" s="3"/>
      <c r="MGP206" s="3"/>
      <c r="MGQ206" s="3"/>
      <c r="MGR206" s="3"/>
      <c r="MGS206" s="3"/>
      <c r="MGT206" s="3"/>
      <c r="MGU206" s="3"/>
      <c r="MGV206" s="3"/>
      <c r="MGW206" s="3"/>
      <c r="MGX206" s="3"/>
      <c r="MGY206" s="3"/>
      <c r="MGZ206" s="3"/>
      <c r="MHA206" s="3"/>
      <c r="MHB206" s="3"/>
      <c r="MHC206" s="3"/>
      <c r="MHD206" s="3"/>
      <c r="MHE206" s="3"/>
      <c r="MHF206" s="3"/>
      <c r="MHG206" s="3"/>
      <c r="MHH206" s="3"/>
      <c r="MHI206" s="3"/>
      <c r="MHJ206" s="3"/>
      <c r="MHK206" s="3"/>
      <c r="MHL206" s="3"/>
      <c r="MHM206" s="3"/>
      <c r="MHN206" s="3"/>
      <c r="MHO206" s="3"/>
      <c r="MHP206" s="3"/>
      <c r="MHQ206" s="3"/>
      <c r="MHR206" s="3"/>
      <c r="MHS206" s="3"/>
      <c r="MHT206" s="3"/>
      <c r="MHU206" s="3"/>
      <c r="MHV206" s="3"/>
      <c r="MHW206" s="3"/>
      <c r="MHX206" s="3"/>
      <c r="MHY206" s="3"/>
      <c r="MHZ206" s="3"/>
      <c r="MIA206" s="3"/>
      <c r="MIB206" s="3"/>
      <c r="MIC206" s="3"/>
      <c r="MID206" s="3"/>
      <c r="MIE206" s="3"/>
      <c r="MIF206" s="3"/>
      <c r="MIG206" s="3"/>
      <c r="MIH206" s="3"/>
      <c r="MII206" s="3"/>
      <c r="MIJ206" s="3"/>
      <c r="MIK206" s="3"/>
      <c r="MIL206" s="3"/>
      <c r="MIM206" s="3"/>
      <c r="MIN206" s="3"/>
      <c r="MIO206" s="3"/>
      <c r="MIP206" s="3"/>
      <c r="MIQ206" s="3"/>
      <c r="MIR206" s="3"/>
      <c r="MIS206" s="3"/>
      <c r="MIT206" s="3"/>
      <c r="MIU206" s="3"/>
      <c r="MIV206" s="3"/>
      <c r="MIW206" s="3"/>
      <c r="MIX206" s="3"/>
      <c r="MIY206" s="3"/>
      <c r="MIZ206" s="3"/>
      <c r="MJA206" s="3"/>
      <c r="MJB206" s="3"/>
      <c r="MJC206" s="3"/>
      <c r="MJD206" s="3"/>
      <c r="MJE206" s="3"/>
      <c r="MJF206" s="3"/>
      <c r="MJG206" s="3"/>
      <c r="MJH206" s="3"/>
      <c r="MJI206" s="3"/>
      <c r="MJJ206" s="3"/>
      <c r="MJK206" s="3"/>
      <c r="MJL206" s="3"/>
      <c r="MJM206" s="3"/>
      <c r="MJN206" s="3"/>
      <c r="MJO206" s="3"/>
      <c r="MJP206" s="3"/>
      <c r="MJQ206" s="3"/>
      <c r="MJR206" s="3"/>
      <c r="MJS206" s="3"/>
      <c r="MJT206" s="3"/>
      <c r="MJU206" s="3"/>
      <c r="MJV206" s="3"/>
      <c r="MJW206" s="3"/>
      <c r="MJX206" s="3"/>
      <c r="MJY206" s="3"/>
      <c r="MJZ206" s="3"/>
      <c r="MKA206" s="3"/>
      <c r="MKB206" s="3"/>
      <c r="MKC206" s="3"/>
      <c r="MKD206" s="3"/>
      <c r="MKE206" s="3"/>
      <c r="MKF206" s="3"/>
      <c r="MKG206" s="3"/>
      <c r="MKH206" s="3"/>
      <c r="MKI206" s="3"/>
      <c r="MKJ206" s="3"/>
      <c r="MKK206" s="3"/>
      <c r="MKL206" s="3"/>
      <c r="MKM206" s="3"/>
      <c r="MKN206" s="3"/>
      <c r="MKO206" s="3"/>
      <c r="MKP206" s="3"/>
      <c r="MKQ206" s="3"/>
      <c r="MKR206" s="3"/>
      <c r="MKS206" s="3"/>
      <c r="MKT206" s="3"/>
      <c r="MKU206" s="3"/>
      <c r="MKV206" s="3"/>
      <c r="MKW206" s="3"/>
      <c r="MKX206" s="3"/>
      <c r="MKY206" s="3"/>
      <c r="MKZ206" s="3"/>
      <c r="MLA206" s="3"/>
      <c r="MLB206" s="3"/>
      <c r="MLC206" s="3"/>
      <c r="MLD206" s="3"/>
      <c r="MLE206" s="3"/>
      <c r="MLF206" s="3"/>
      <c r="MLG206" s="3"/>
      <c r="MLH206" s="3"/>
      <c r="MLI206" s="3"/>
      <c r="MLJ206" s="3"/>
      <c r="MLK206" s="3"/>
      <c r="MLL206" s="3"/>
      <c r="MLM206" s="3"/>
      <c r="MLN206" s="3"/>
      <c r="MLO206" s="3"/>
      <c r="MLP206" s="3"/>
      <c r="MLQ206" s="3"/>
      <c r="MLR206" s="3"/>
      <c r="MLS206" s="3"/>
      <c r="MLT206" s="3"/>
      <c r="MLU206" s="3"/>
      <c r="MLV206" s="3"/>
      <c r="MLW206" s="3"/>
      <c r="MLX206" s="3"/>
      <c r="MLY206" s="3"/>
      <c r="MLZ206" s="3"/>
      <c r="MMA206" s="3"/>
      <c r="MMB206" s="3"/>
      <c r="MMC206" s="3"/>
      <c r="MMD206" s="3"/>
      <c r="MME206" s="3"/>
      <c r="MMF206" s="3"/>
      <c r="MMG206" s="3"/>
      <c r="MMH206" s="3"/>
      <c r="MMI206" s="3"/>
      <c r="MMJ206" s="3"/>
      <c r="MMK206" s="3"/>
      <c r="MML206" s="3"/>
      <c r="MMM206" s="3"/>
      <c r="MMN206" s="3"/>
      <c r="MMO206" s="3"/>
      <c r="MMP206" s="3"/>
      <c r="MMQ206" s="3"/>
      <c r="MMR206" s="3"/>
      <c r="MMS206" s="3"/>
      <c r="MMT206" s="3"/>
      <c r="MMU206" s="3"/>
      <c r="MMV206" s="3"/>
      <c r="MMW206" s="3"/>
      <c r="MMX206" s="3"/>
      <c r="MMY206" s="3"/>
      <c r="MMZ206" s="3"/>
      <c r="MNA206" s="3"/>
      <c r="MNB206" s="3"/>
      <c r="MNC206" s="3"/>
      <c r="MND206" s="3"/>
      <c r="MNE206" s="3"/>
      <c r="MNF206" s="3"/>
      <c r="MNG206" s="3"/>
      <c r="MNH206" s="3"/>
      <c r="MNI206" s="3"/>
      <c r="MNJ206" s="3"/>
      <c r="MNK206" s="3"/>
      <c r="MNL206" s="3"/>
      <c r="MNM206" s="3"/>
      <c r="MNN206" s="3"/>
      <c r="MNO206" s="3"/>
      <c r="MNP206" s="3"/>
      <c r="MNQ206" s="3"/>
      <c r="MNR206" s="3"/>
      <c r="MNS206" s="3"/>
      <c r="MNT206" s="3"/>
      <c r="MNU206" s="3"/>
      <c r="MNV206" s="3"/>
      <c r="MNW206" s="3"/>
      <c r="MNX206" s="3"/>
      <c r="MNY206" s="3"/>
      <c r="MNZ206" s="3"/>
      <c r="MOA206" s="3"/>
      <c r="MOB206" s="3"/>
      <c r="MOC206" s="3"/>
      <c r="MOD206" s="3"/>
      <c r="MOE206" s="3"/>
      <c r="MOF206" s="3"/>
      <c r="MOG206" s="3"/>
      <c r="MOH206" s="3"/>
      <c r="MOI206" s="3"/>
      <c r="MOJ206" s="3"/>
      <c r="MOK206" s="3"/>
      <c r="MOL206" s="3"/>
      <c r="MOM206" s="3"/>
      <c r="MON206" s="3"/>
      <c r="MOO206" s="3"/>
      <c r="MOP206" s="3"/>
      <c r="MOQ206" s="3"/>
      <c r="MOR206" s="3"/>
      <c r="MOS206" s="3"/>
      <c r="MOT206" s="3"/>
      <c r="MOU206" s="3"/>
      <c r="MOV206" s="3"/>
      <c r="MOW206" s="3"/>
      <c r="MOX206" s="3"/>
      <c r="MOY206" s="3"/>
      <c r="MOZ206" s="3"/>
      <c r="MPA206" s="3"/>
      <c r="MPB206" s="3"/>
      <c r="MPC206" s="3"/>
      <c r="MPD206" s="3"/>
      <c r="MPE206" s="3"/>
      <c r="MPF206" s="3"/>
      <c r="MPG206" s="3"/>
      <c r="MPH206" s="3"/>
      <c r="MPI206" s="3"/>
      <c r="MPJ206" s="3"/>
      <c r="MPK206" s="3"/>
      <c r="MPL206" s="3"/>
      <c r="MPM206" s="3"/>
      <c r="MPN206" s="3"/>
      <c r="MPO206" s="3"/>
      <c r="MPP206" s="3"/>
      <c r="MPQ206" s="3"/>
      <c r="MPR206" s="3"/>
      <c r="MPS206" s="3"/>
      <c r="MPT206" s="3"/>
      <c r="MPU206" s="3"/>
      <c r="MPV206" s="3"/>
      <c r="MPW206" s="3"/>
      <c r="MPX206" s="3"/>
      <c r="MPY206" s="3"/>
      <c r="MPZ206" s="3"/>
      <c r="MQA206" s="3"/>
      <c r="MQB206" s="3"/>
      <c r="MQC206" s="3"/>
      <c r="MQD206" s="3"/>
      <c r="MQE206" s="3"/>
      <c r="MQF206" s="3"/>
      <c r="MQG206" s="3"/>
      <c r="MQH206" s="3"/>
      <c r="MQI206" s="3"/>
      <c r="MQJ206" s="3"/>
      <c r="MQK206" s="3"/>
      <c r="MQL206" s="3"/>
      <c r="MQM206" s="3"/>
      <c r="MQN206" s="3"/>
      <c r="MQO206" s="3"/>
      <c r="MQP206" s="3"/>
      <c r="MQQ206" s="3"/>
      <c r="MQR206" s="3"/>
      <c r="MQS206" s="3"/>
      <c r="MQT206" s="3"/>
      <c r="MQU206" s="3"/>
      <c r="MQV206" s="3"/>
      <c r="MQW206" s="3"/>
      <c r="MQX206" s="3"/>
      <c r="MQY206" s="3"/>
      <c r="MQZ206" s="3"/>
      <c r="MRA206" s="3"/>
      <c r="MRB206" s="3"/>
      <c r="MRC206" s="3"/>
      <c r="MRD206" s="3"/>
      <c r="MRE206" s="3"/>
      <c r="MRF206" s="3"/>
      <c r="MRG206" s="3"/>
      <c r="MRH206" s="3"/>
      <c r="MRI206" s="3"/>
      <c r="MRJ206" s="3"/>
      <c r="MRK206" s="3"/>
      <c r="MRL206" s="3"/>
      <c r="MRM206" s="3"/>
      <c r="MRN206" s="3"/>
      <c r="MRO206" s="3"/>
      <c r="MRP206" s="3"/>
      <c r="MRQ206" s="3"/>
      <c r="MRR206" s="3"/>
      <c r="MRS206" s="3"/>
      <c r="MRT206" s="3"/>
      <c r="MRU206" s="3"/>
      <c r="MRV206" s="3"/>
      <c r="MRW206" s="3"/>
      <c r="MRX206" s="3"/>
      <c r="MRY206" s="3"/>
      <c r="MRZ206" s="3"/>
      <c r="MSA206" s="3"/>
      <c r="MSB206" s="3"/>
      <c r="MSC206" s="3"/>
      <c r="MSD206" s="3"/>
      <c r="MSE206" s="3"/>
      <c r="MSF206" s="3"/>
      <c r="MSG206" s="3"/>
      <c r="MSH206" s="3"/>
      <c r="MSI206" s="3"/>
      <c r="MSJ206" s="3"/>
      <c r="MSK206" s="3"/>
      <c r="MSL206" s="3"/>
      <c r="MSM206" s="3"/>
      <c r="MSN206" s="3"/>
      <c r="MSO206" s="3"/>
      <c r="MSP206" s="3"/>
      <c r="MSQ206" s="3"/>
      <c r="MSR206" s="3"/>
      <c r="MSS206" s="3"/>
      <c r="MST206" s="3"/>
      <c r="MSU206" s="3"/>
      <c r="MSV206" s="3"/>
      <c r="MSW206" s="3"/>
      <c r="MSX206" s="3"/>
      <c r="MSY206" s="3"/>
      <c r="MSZ206" s="3"/>
      <c r="MTA206" s="3"/>
      <c r="MTB206" s="3"/>
      <c r="MTC206" s="3"/>
      <c r="MTD206" s="3"/>
      <c r="MTE206" s="3"/>
      <c r="MTF206" s="3"/>
      <c r="MTG206" s="3"/>
      <c r="MTH206" s="3"/>
      <c r="MTI206" s="3"/>
      <c r="MTJ206" s="3"/>
      <c r="MTK206" s="3"/>
      <c r="MTL206" s="3"/>
      <c r="MTM206" s="3"/>
      <c r="MTN206" s="3"/>
      <c r="MTO206" s="3"/>
      <c r="MTP206" s="3"/>
      <c r="MTQ206" s="3"/>
      <c r="MTR206" s="3"/>
      <c r="MTS206" s="3"/>
      <c r="MTT206" s="3"/>
      <c r="MTU206" s="3"/>
      <c r="MTV206" s="3"/>
      <c r="MTW206" s="3"/>
      <c r="MTX206" s="3"/>
      <c r="MTY206" s="3"/>
      <c r="MTZ206" s="3"/>
      <c r="MUA206" s="3"/>
      <c r="MUB206" s="3"/>
      <c r="MUC206" s="3"/>
      <c r="MUD206" s="3"/>
      <c r="MUE206" s="3"/>
      <c r="MUF206" s="3"/>
      <c r="MUG206" s="3"/>
      <c r="MUH206" s="3"/>
      <c r="MUI206" s="3"/>
      <c r="MUJ206" s="3"/>
      <c r="MUK206" s="3"/>
      <c r="MUL206" s="3"/>
      <c r="MUM206" s="3"/>
      <c r="MUN206" s="3"/>
      <c r="MUO206" s="3"/>
      <c r="MUP206" s="3"/>
      <c r="MUQ206" s="3"/>
      <c r="MUR206" s="3"/>
      <c r="MUS206" s="3"/>
      <c r="MUT206" s="3"/>
      <c r="MUU206" s="3"/>
      <c r="MUV206" s="3"/>
      <c r="MUW206" s="3"/>
      <c r="MUX206" s="3"/>
      <c r="MUY206" s="3"/>
      <c r="MUZ206" s="3"/>
      <c r="MVA206" s="3"/>
      <c r="MVB206" s="3"/>
      <c r="MVC206" s="3"/>
      <c r="MVD206" s="3"/>
      <c r="MVE206" s="3"/>
      <c r="MVF206" s="3"/>
      <c r="MVG206" s="3"/>
      <c r="MVH206" s="3"/>
      <c r="MVI206" s="3"/>
      <c r="MVJ206" s="3"/>
      <c r="MVK206" s="3"/>
      <c r="MVL206" s="3"/>
      <c r="MVM206" s="3"/>
      <c r="MVN206" s="3"/>
      <c r="MVO206" s="3"/>
      <c r="MVP206" s="3"/>
      <c r="MVQ206" s="3"/>
      <c r="MVR206" s="3"/>
      <c r="MVS206" s="3"/>
      <c r="MVT206" s="3"/>
      <c r="MVU206" s="3"/>
      <c r="MVV206" s="3"/>
      <c r="MVW206" s="3"/>
      <c r="MVX206" s="3"/>
      <c r="MVY206" s="3"/>
      <c r="MVZ206" s="3"/>
      <c r="MWA206" s="3"/>
      <c r="MWB206" s="3"/>
      <c r="MWC206" s="3"/>
      <c r="MWD206" s="3"/>
      <c r="MWE206" s="3"/>
      <c r="MWF206" s="3"/>
      <c r="MWG206" s="3"/>
      <c r="MWH206" s="3"/>
      <c r="MWI206" s="3"/>
      <c r="MWJ206" s="3"/>
      <c r="MWK206" s="3"/>
      <c r="MWL206" s="3"/>
      <c r="MWM206" s="3"/>
      <c r="MWN206" s="3"/>
      <c r="MWO206" s="3"/>
      <c r="MWP206" s="3"/>
      <c r="MWQ206" s="3"/>
      <c r="MWR206" s="3"/>
      <c r="MWS206" s="3"/>
      <c r="MWT206" s="3"/>
      <c r="MWU206" s="3"/>
      <c r="MWV206" s="3"/>
      <c r="MWW206" s="3"/>
      <c r="MWX206" s="3"/>
      <c r="MWY206" s="3"/>
      <c r="MWZ206" s="3"/>
      <c r="MXA206" s="3"/>
      <c r="MXB206" s="3"/>
      <c r="MXC206" s="3"/>
      <c r="MXD206" s="3"/>
      <c r="MXE206" s="3"/>
      <c r="MXF206" s="3"/>
      <c r="MXG206" s="3"/>
      <c r="MXH206" s="3"/>
      <c r="MXI206" s="3"/>
      <c r="MXJ206" s="3"/>
      <c r="MXK206" s="3"/>
      <c r="MXL206" s="3"/>
      <c r="MXM206" s="3"/>
      <c r="MXN206" s="3"/>
      <c r="MXO206" s="3"/>
      <c r="MXP206" s="3"/>
      <c r="MXQ206" s="3"/>
      <c r="MXR206" s="3"/>
      <c r="MXS206" s="3"/>
      <c r="MXT206" s="3"/>
      <c r="MXU206" s="3"/>
      <c r="MXV206" s="3"/>
      <c r="MXW206" s="3"/>
      <c r="MXX206" s="3"/>
      <c r="MXY206" s="3"/>
      <c r="MXZ206" s="3"/>
      <c r="MYA206" s="3"/>
      <c r="MYB206" s="3"/>
      <c r="MYC206" s="3"/>
      <c r="MYD206" s="3"/>
      <c r="MYE206" s="3"/>
      <c r="MYF206" s="3"/>
      <c r="MYG206" s="3"/>
      <c r="MYH206" s="3"/>
      <c r="MYI206" s="3"/>
      <c r="MYJ206" s="3"/>
      <c r="MYK206" s="3"/>
      <c r="MYL206" s="3"/>
      <c r="MYM206" s="3"/>
      <c r="MYN206" s="3"/>
      <c r="MYO206" s="3"/>
      <c r="MYP206" s="3"/>
      <c r="MYQ206" s="3"/>
      <c r="MYR206" s="3"/>
      <c r="MYS206" s="3"/>
      <c r="MYT206" s="3"/>
      <c r="MYU206" s="3"/>
      <c r="MYV206" s="3"/>
      <c r="MYW206" s="3"/>
      <c r="MYX206" s="3"/>
      <c r="MYY206" s="3"/>
      <c r="MYZ206" s="3"/>
      <c r="MZA206" s="3"/>
      <c r="MZB206" s="3"/>
      <c r="MZC206" s="3"/>
      <c r="MZD206" s="3"/>
      <c r="MZE206" s="3"/>
      <c r="MZF206" s="3"/>
      <c r="MZG206" s="3"/>
      <c r="MZH206" s="3"/>
      <c r="MZI206" s="3"/>
      <c r="MZJ206" s="3"/>
      <c r="MZK206" s="3"/>
      <c r="MZL206" s="3"/>
      <c r="MZM206" s="3"/>
      <c r="MZN206" s="3"/>
      <c r="MZO206" s="3"/>
      <c r="MZP206" s="3"/>
      <c r="MZQ206" s="3"/>
      <c r="MZR206" s="3"/>
      <c r="MZS206" s="3"/>
      <c r="MZT206" s="3"/>
      <c r="MZU206" s="3"/>
      <c r="MZV206" s="3"/>
      <c r="MZW206" s="3"/>
      <c r="MZX206" s="3"/>
      <c r="MZY206" s="3"/>
      <c r="MZZ206" s="3"/>
      <c r="NAA206" s="3"/>
      <c r="NAB206" s="3"/>
      <c r="NAC206" s="3"/>
      <c r="NAD206" s="3"/>
      <c r="NAE206" s="3"/>
      <c r="NAF206" s="3"/>
      <c r="NAG206" s="3"/>
      <c r="NAH206" s="3"/>
      <c r="NAI206" s="3"/>
      <c r="NAJ206" s="3"/>
      <c r="NAK206" s="3"/>
      <c r="NAL206" s="3"/>
      <c r="NAM206" s="3"/>
      <c r="NAN206" s="3"/>
      <c r="NAO206" s="3"/>
      <c r="NAP206" s="3"/>
      <c r="NAQ206" s="3"/>
      <c r="NAR206" s="3"/>
      <c r="NAS206" s="3"/>
      <c r="NAT206" s="3"/>
      <c r="NAU206" s="3"/>
      <c r="NAV206" s="3"/>
      <c r="NAW206" s="3"/>
      <c r="NAX206" s="3"/>
      <c r="NAY206" s="3"/>
      <c r="NAZ206" s="3"/>
      <c r="NBA206" s="3"/>
      <c r="NBB206" s="3"/>
      <c r="NBC206" s="3"/>
      <c r="NBD206" s="3"/>
      <c r="NBE206" s="3"/>
      <c r="NBF206" s="3"/>
      <c r="NBG206" s="3"/>
      <c r="NBH206" s="3"/>
      <c r="NBI206" s="3"/>
      <c r="NBJ206" s="3"/>
      <c r="NBK206" s="3"/>
      <c r="NBL206" s="3"/>
      <c r="NBM206" s="3"/>
      <c r="NBN206" s="3"/>
      <c r="NBO206" s="3"/>
      <c r="NBP206" s="3"/>
      <c r="NBQ206" s="3"/>
      <c r="NBR206" s="3"/>
      <c r="NBS206" s="3"/>
      <c r="NBT206" s="3"/>
      <c r="NBU206" s="3"/>
      <c r="NBV206" s="3"/>
      <c r="NBW206" s="3"/>
      <c r="NBX206" s="3"/>
      <c r="NBY206" s="3"/>
      <c r="NBZ206" s="3"/>
      <c r="NCA206" s="3"/>
      <c r="NCB206" s="3"/>
      <c r="NCC206" s="3"/>
      <c r="NCD206" s="3"/>
      <c r="NCE206" s="3"/>
      <c r="NCF206" s="3"/>
      <c r="NCG206" s="3"/>
      <c r="NCH206" s="3"/>
      <c r="NCI206" s="3"/>
      <c r="NCJ206" s="3"/>
      <c r="NCK206" s="3"/>
      <c r="NCL206" s="3"/>
      <c r="NCM206" s="3"/>
      <c r="NCN206" s="3"/>
      <c r="NCO206" s="3"/>
      <c r="NCP206" s="3"/>
      <c r="NCQ206" s="3"/>
      <c r="NCR206" s="3"/>
      <c r="NCS206" s="3"/>
      <c r="NCT206" s="3"/>
      <c r="NCU206" s="3"/>
      <c r="NCV206" s="3"/>
      <c r="NCW206" s="3"/>
      <c r="NCX206" s="3"/>
      <c r="NCY206" s="3"/>
      <c r="NCZ206" s="3"/>
      <c r="NDA206" s="3"/>
      <c r="NDB206" s="3"/>
      <c r="NDC206" s="3"/>
      <c r="NDD206" s="3"/>
      <c r="NDE206" s="3"/>
      <c r="NDF206" s="3"/>
      <c r="NDG206" s="3"/>
      <c r="NDH206" s="3"/>
      <c r="NDI206" s="3"/>
      <c r="NDJ206" s="3"/>
      <c r="NDK206" s="3"/>
      <c r="NDL206" s="3"/>
      <c r="NDM206" s="3"/>
      <c r="NDN206" s="3"/>
      <c r="NDO206" s="3"/>
      <c r="NDP206" s="3"/>
      <c r="NDQ206" s="3"/>
      <c r="NDR206" s="3"/>
      <c r="NDS206" s="3"/>
      <c r="NDT206" s="3"/>
      <c r="NDU206" s="3"/>
      <c r="NDV206" s="3"/>
      <c r="NDW206" s="3"/>
      <c r="NDX206" s="3"/>
      <c r="NDY206" s="3"/>
      <c r="NDZ206" s="3"/>
      <c r="NEA206" s="3"/>
      <c r="NEB206" s="3"/>
      <c r="NEC206" s="3"/>
      <c r="NED206" s="3"/>
      <c r="NEE206" s="3"/>
      <c r="NEF206" s="3"/>
      <c r="NEG206" s="3"/>
      <c r="NEH206" s="3"/>
      <c r="NEI206" s="3"/>
      <c r="NEJ206" s="3"/>
      <c r="NEK206" s="3"/>
      <c r="NEL206" s="3"/>
      <c r="NEM206" s="3"/>
      <c r="NEN206" s="3"/>
      <c r="NEO206" s="3"/>
      <c r="NEP206" s="3"/>
      <c r="NEQ206" s="3"/>
      <c r="NER206" s="3"/>
      <c r="NES206" s="3"/>
      <c r="NET206" s="3"/>
      <c r="NEU206" s="3"/>
      <c r="NEV206" s="3"/>
      <c r="NEW206" s="3"/>
      <c r="NEX206" s="3"/>
      <c r="NEY206" s="3"/>
      <c r="NEZ206" s="3"/>
      <c r="NFA206" s="3"/>
      <c r="NFB206" s="3"/>
      <c r="NFC206" s="3"/>
      <c r="NFD206" s="3"/>
      <c r="NFE206" s="3"/>
      <c r="NFF206" s="3"/>
      <c r="NFG206" s="3"/>
      <c r="NFH206" s="3"/>
      <c r="NFI206" s="3"/>
      <c r="NFJ206" s="3"/>
      <c r="NFK206" s="3"/>
      <c r="NFL206" s="3"/>
      <c r="NFM206" s="3"/>
      <c r="NFN206" s="3"/>
      <c r="NFO206" s="3"/>
      <c r="NFP206" s="3"/>
      <c r="NFQ206" s="3"/>
      <c r="NFR206" s="3"/>
      <c r="NFS206" s="3"/>
      <c r="NFT206" s="3"/>
      <c r="NFU206" s="3"/>
      <c r="NFV206" s="3"/>
      <c r="NFW206" s="3"/>
      <c r="NFX206" s="3"/>
      <c r="NFY206" s="3"/>
      <c r="NFZ206" s="3"/>
      <c r="NGA206" s="3"/>
      <c r="NGB206" s="3"/>
      <c r="NGC206" s="3"/>
      <c r="NGD206" s="3"/>
      <c r="NGE206" s="3"/>
      <c r="NGF206" s="3"/>
      <c r="NGG206" s="3"/>
      <c r="NGH206" s="3"/>
      <c r="NGI206" s="3"/>
      <c r="NGJ206" s="3"/>
      <c r="NGK206" s="3"/>
      <c r="NGL206" s="3"/>
      <c r="NGM206" s="3"/>
      <c r="NGN206" s="3"/>
      <c r="NGO206" s="3"/>
      <c r="NGP206" s="3"/>
      <c r="NGQ206" s="3"/>
      <c r="NGR206" s="3"/>
      <c r="NGS206" s="3"/>
      <c r="NGT206" s="3"/>
      <c r="NGU206" s="3"/>
      <c r="NGV206" s="3"/>
      <c r="NGW206" s="3"/>
      <c r="NGX206" s="3"/>
      <c r="NGY206" s="3"/>
      <c r="NGZ206" s="3"/>
      <c r="NHA206" s="3"/>
      <c r="NHB206" s="3"/>
      <c r="NHC206" s="3"/>
      <c r="NHD206" s="3"/>
      <c r="NHE206" s="3"/>
      <c r="NHF206" s="3"/>
      <c r="NHG206" s="3"/>
      <c r="NHH206" s="3"/>
      <c r="NHI206" s="3"/>
      <c r="NHJ206" s="3"/>
      <c r="NHK206" s="3"/>
      <c r="NHL206" s="3"/>
      <c r="NHM206" s="3"/>
      <c r="NHN206" s="3"/>
      <c r="NHO206" s="3"/>
      <c r="NHP206" s="3"/>
      <c r="NHQ206" s="3"/>
      <c r="NHR206" s="3"/>
      <c r="NHS206" s="3"/>
      <c r="NHT206" s="3"/>
      <c r="NHU206" s="3"/>
      <c r="NHV206" s="3"/>
      <c r="NHW206" s="3"/>
      <c r="NHX206" s="3"/>
      <c r="NHY206" s="3"/>
      <c r="NHZ206" s="3"/>
      <c r="NIA206" s="3"/>
      <c r="NIB206" s="3"/>
      <c r="NIC206" s="3"/>
      <c r="NID206" s="3"/>
      <c r="NIE206" s="3"/>
      <c r="NIF206" s="3"/>
      <c r="NIG206" s="3"/>
      <c r="NIH206" s="3"/>
      <c r="NII206" s="3"/>
      <c r="NIJ206" s="3"/>
      <c r="NIK206" s="3"/>
      <c r="NIL206" s="3"/>
      <c r="NIM206" s="3"/>
      <c r="NIN206" s="3"/>
      <c r="NIO206" s="3"/>
      <c r="NIP206" s="3"/>
      <c r="NIQ206" s="3"/>
      <c r="NIR206" s="3"/>
      <c r="NIS206" s="3"/>
      <c r="NIT206" s="3"/>
      <c r="NIU206" s="3"/>
      <c r="NIV206" s="3"/>
      <c r="NIW206" s="3"/>
      <c r="NIX206" s="3"/>
      <c r="NIY206" s="3"/>
      <c r="NIZ206" s="3"/>
      <c r="NJA206" s="3"/>
      <c r="NJB206" s="3"/>
      <c r="NJC206" s="3"/>
      <c r="NJD206" s="3"/>
      <c r="NJE206" s="3"/>
      <c r="NJF206" s="3"/>
      <c r="NJG206" s="3"/>
      <c r="NJH206" s="3"/>
      <c r="NJI206" s="3"/>
      <c r="NJJ206" s="3"/>
      <c r="NJK206" s="3"/>
      <c r="NJL206" s="3"/>
      <c r="NJM206" s="3"/>
      <c r="NJN206" s="3"/>
      <c r="NJO206" s="3"/>
      <c r="NJP206" s="3"/>
      <c r="NJQ206" s="3"/>
      <c r="NJR206" s="3"/>
      <c r="NJS206" s="3"/>
      <c r="NJT206" s="3"/>
      <c r="NJU206" s="3"/>
      <c r="NJV206" s="3"/>
      <c r="NJW206" s="3"/>
      <c r="NJX206" s="3"/>
      <c r="NJY206" s="3"/>
      <c r="NJZ206" s="3"/>
      <c r="NKA206" s="3"/>
      <c r="NKB206" s="3"/>
      <c r="NKC206" s="3"/>
      <c r="NKD206" s="3"/>
      <c r="NKE206" s="3"/>
      <c r="NKF206" s="3"/>
      <c r="NKG206" s="3"/>
      <c r="NKH206" s="3"/>
      <c r="NKI206" s="3"/>
      <c r="NKJ206" s="3"/>
      <c r="NKK206" s="3"/>
      <c r="NKL206" s="3"/>
      <c r="NKM206" s="3"/>
      <c r="NKN206" s="3"/>
      <c r="NKO206" s="3"/>
      <c r="NKP206" s="3"/>
      <c r="NKQ206" s="3"/>
      <c r="NKR206" s="3"/>
      <c r="NKS206" s="3"/>
      <c r="NKT206" s="3"/>
      <c r="NKU206" s="3"/>
      <c r="NKV206" s="3"/>
      <c r="NKW206" s="3"/>
      <c r="NKX206" s="3"/>
      <c r="NKY206" s="3"/>
      <c r="NKZ206" s="3"/>
      <c r="NLA206" s="3"/>
      <c r="NLB206" s="3"/>
      <c r="NLC206" s="3"/>
      <c r="NLD206" s="3"/>
      <c r="NLE206" s="3"/>
      <c r="NLF206" s="3"/>
      <c r="NLG206" s="3"/>
      <c r="NLH206" s="3"/>
      <c r="NLI206" s="3"/>
      <c r="NLJ206" s="3"/>
      <c r="NLK206" s="3"/>
      <c r="NLL206" s="3"/>
      <c r="NLM206" s="3"/>
      <c r="NLN206" s="3"/>
      <c r="NLO206" s="3"/>
      <c r="NLP206" s="3"/>
      <c r="NLQ206" s="3"/>
      <c r="NLR206" s="3"/>
      <c r="NLS206" s="3"/>
      <c r="NLT206" s="3"/>
      <c r="NLU206" s="3"/>
      <c r="NLV206" s="3"/>
      <c r="NLW206" s="3"/>
      <c r="NLX206" s="3"/>
      <c r="NLY206" s="3"/>
      <c r="NLZ206" s="3"/>
      <c r="NMA206" s="3"/>
      <c r="NMB206" s="3"/>
      <c r="NMC206" s="3"/>
      <c r="NMD206" s="3"/>
      <c r="NME206" s="3"/>
      <c r="NMF206" s="3"/>
      <c r="NMG206" s="3"/>
      <c r="NMH206" s="3"/>
      <c r="NMI206" s="3"/>
      <c r="NMJ206" s="3"/>
      <c r="NMK206" s="3"/>
      <c r="NML206" s="3"/>
      <c r="NMM206" s="3"/>
      <c r="NMN206" s="3"/>
      <c r="NMO206" s="3"/>
      <c r="NMP206" s="3"/>
      <c r="NMQ206" s="3"/>
      <c r="NMR206" s="3"/>
      <c r="NMS206" s="3"/>
      <c r="NMT206" s="3"/>
      <c r="NMU206" s="3"/>
      <c r="NMV206" s="3"/>
      <c r="NMW206" s="3"/>
      <c r="NMX206" s="3"/>
      <c r="NMY206" s="3"/>
      <c r="NMZ206" s="3"/>
      <c r="NNA206" s="3"/>
      <c r="NNB206" s="3"/>
      <c r="NNC206" s="3"/>
      <c r="NND206" s="3"/>
      <c r="NNE206" s="3"/>
      <c r="NNF206" s="3"/>
      <c r="NNG206" s="3"/>
      <c r="NNH206" s="3"/>
      <c r="NNI206" s="3"/>
      <c r="NNJ206" s="3"/>
      <c r="NNK206" s="3"/>
      <c r="NNL206" s="3"/>
      <c r="NNM206" s="3"/>
      <c r="NNN206" s="3"/>
      <c r="NNO206" s="3"/>
      <c r="NNP206" s="3"/>
      <c r="NNQ206" s="3"/>
      <c r="NNR206" s="3"/>
      <c r="NNS206" s="3"/>
      <c r="NNT206" s="3"/>
      <c r="NNU206" s="3"/>
      <c r="NNV206" s="3"/>
      <c r="NNW206" s="3"/>
      <c r="NNX206" s="3"/>
      <c r="NNY206" s="3"/>
      <c r="NNZ206" s="3"/>
      <c r="NOA206" s="3"/>
      <c r="NOB206" s="3"/>
      <c r="NOC206" s="3"/>
      <c r="NOD206" s="3"/>
      <c r="NOE206" s="3"/>
      <c r="NOF206" s="3"/>
      <c r="NOG206" s="3"/>
      <c r="NOH206" s="3"/>
      <c r="NOI206" s="3"/>
      <c r="NOJ206" s="3"/>
      <c r="NOK206" s="3"/>
      <c r="NOL206" s="3"/>
      <c r="NOM206" s="3"/>
      <c r="NON206" s="3"/>
      <c r="NOO206" s="3"/>
      <c r="NOP206" s="3"/>
      <c r="NOQ206" s="3"/>
      <c r="NOR206" s="3"/>
      <c r="NOS206" s="3"/>
      <c r="NOT206" s="3"/>
      <c r="NOU206" s="3"/>
      <c r="NOV206" s="3"/>
      <c r="NOW206" s="3"/>
      <c r="NOX206" s="3"/>
      <c r="NOY206" s="3"/>
      <c r="NOZ206" s="3"/>
      <c r="NPA206" s="3"/>
      <c r="NPB206" s="3"/>
      <c r="NPC206" s="3"/>
      <c r="NPD206" s="3"/>
      <c r="NPE206" s="3"/>
      <c r="NPF206" s="3"/>
      <c r="NPG206" s="3"/>
      <c r="NPH206" s="3"/>
      <c r="NPI206" s="3"/>
      <c r="NPJ206" s="3"/>
      <c r="NPK206" s="3"/>
      <c r="NPL206" s="3"/>
      <c r="NPM206" s="3"/>
      <c r="NPN206" s="3"/>
      <c r="NPO206" s="3"/>
      <c r="NPP206" s="3"/>
      <c r="NPQ206" s="3"/>
      <c r="NPR206" s="3"/>
      <c r="NPS206" s="3"/>
      <c r="NPT206" s="3"/>
      <c r="NPU206" s="3"/>
      <c r="NPV206" s="3"/>
      <c r="NPW206" s="3"/>
      <c r="NPX206" s="3"/>
      <c r="NPY206" s="3"/>
      <c r="NPZ206" s="3"/>
      <c r="NQA206" s="3"/>
      <c r="NQB206" s="3"/>
      <c r="NQC206" s="3"/>
      <c r="NQD206" s="3"/>
      <c r="NQE206" s="3"/>
      <c r="NQF206" s="3"/>
      <c r="NQG206" s="3"/>
      <c r="NQH206" s="3"/>
      <c r="NQI206" s="3"/>
      <c r="NQJ206" s="3"/>
      <c r="NQK206" s="3"/>
      <c r="NQL206" s="3"/>
      <c r="NQM206" s="3"/>
      <c r="NQN206" s="3"/>
      <c r="NQO206" s="3"/>
      <c r="NQP206" s="3"/>
      <c r="NQQ206" s="3"/>
      <c r="NQR206" s="3"/>
      <c r="NQS206" s="3"/>
      <c r="NQT206" s="3"/>
      <c r="NQU206" s="3"/>
      <c r="NQV206" s="3"/>
      <c r="NQW206" s="3"/>
      <c r="NQX206" s="3"/>
      <c r="NQY206" s="3"/>
      <c r="NQZ206" s="3"/>
      <c r="NRA206" s="3"/>
      <c r="NRB206" s="3"/>
      <c r="NRC206" s="3"/>
      <c r="NRD206" s="3"/>
      <c r="NRE206" s="3"/>
      <c r="NRF206" s="3"/>
      <c r="NRG206" s="3"/>
      <c r="NRH206" s="3"/>
      <c r="NRI206" s="3"/>
      <c r="NRJ206" s="3"/>
      <c r="NRK206" s="3"/>
      <c r="NRL206" s="3"/>
      <c r="NRM206" s="3"/>
      <c r="NRN206" s="3"/>
      <c r="NRO206" s="3"/>
      <c r="NRP206" s="3"/>
      <c r="NRQ206" s="3"/>
      <c r="NRR206" s="3"/>
      <c r="NRS206" s="3"/>
      <c r="NRT206" s="3"/>
      <c r="NRU206" s="3"/>
      <c r="NRV206" s="3"/>
      <c r="NRW206" s="3"/>
      <c r="NRX206" s="3"/>
      <c r="NRY206" s="3"/>
      <c r="NRZ206" s="3"/>
      <c r="NSA206" s="3"/>
      <c r="NSB206" s="3"/>
      <c r="NSC206" s="3"/>
      <c r="NSD206" s="3"/>
      <c r="NSE206" s="3"/>
      <c r="NSF206" s="3"/>
      <c r="NSG206" s="3"/>
      <c r="NSH206" s="3"/>
      <c r="NSI206" s="3"/>
      <c r="NSJ206" s="3"/>
      <c r="NSK206" s="3"/>
      <c r="NSL206" s="3"/>
      <c r="NSM206" s="3"/>
      <c r="NSN206" s="3"/>
      <c r="NSO206" s="3"/>
      <c r="NSP206" s="3"/>
      <c r="NSQ206" s="3"/>
      <c r="NSR206" s="3"/>
      <c r="NSS206" s="3"/>
      <c r="NST206" s="3"/>
      <c r="NSU206" s="3"/>
      <c r="NSV206" s="3"/>
      <c r="NSW206" s="3"/>
      <c r="NSX206" s="3"/>
      <c r="NSY206" s="3"/>
      <c r="NSZ206" s="3"/>
      <c r="NTA206" s="3"/>
      <c r="NTB206" s="3"/>
      <c r="NTC206" s="3"/>
      <c r="NTD206" s="3"/>
      <c r="NTE206" s="3"/>
      <c r="NTF206" s="3"/>
      <c r="NTG206" s="3"/>
      <c r="NTH206" s="3"/>
      <c r="NTI206" s="3"/>
      <c r="NTJ206" s="3"/>
      <c r="NTK206" s="3"/>
      <c r="NTL206" s="3"/>
      <c r="NTM206" s="3"/>
      <c r="NTN206" s="3"/>
      <c r="NTO206" s="3"/>
      <c r="NTP206" s="3"/>
      <c r="NTQ206" s="3"/>
      <c r="NTR206" s="3"/>
      <c r="NTS206" s="3"/>
      <c r="NTT206" s="3"/>
      <c r="NTU206" s="3"/>
      <c r="NTV206" s="3"/>
      <c r="NTW206" s="3"/>
      <c r="NTX206" s="3"/>
      <c r="NTY206" s="3"/>
      <c r="NTZ206" s="3"/>
      <c r="NUA206" s="3"/>
      <c r="NUB206" s="3"/>
      <c r="NUC206" s="3"/>
      <c r="NUD206" s="3"/>
      <c r="NUE206" s="3"/>
      <c r="NUF206" s="3"/>
      <c r="NUG206" s="3"/>
      <c r="NUH206" s="3"/>
      <c r="NUI206" s="3"/>
      <c r="NUJ206" s="3"/>
      <c r="NUK206" s="3"/>
      <c r="NUL206" s="3"/>
      <c r="NUM206" s="3"/>
      <c r="NUN206" s="3"/>
      <c r="NUO206" s="3"/>
      <c r="NUP206" s="3"/>
      <c r="NUQ206" s="3"/>
      <c r="NUR206" s="3"/>
      <c r="NUS206" s="3"/>
      <c r="NUT206" s="3"/>
      <c r="NUU206" s="3"/>
      <c r="NUV206" s="3"/>
      <c r="NUW206" s="3"/>
      <c r="NUX206" s="3"/>
      <c r="NUY206" s="3"/>
      <c r="NUZ206" s="3"/>
      <c r="NVA206" s="3"/>
      <c r="NVB206" s="3"/>
      <c r="NVC206" s="3"/>
      <c r="NVD206" s="3"/>
      <c r="NVE206" s="3"/>
      <c r="NVF206" s="3"/>
      <c r="NVG206" s="3"/>
      <c r="NVH206" s="3"/>
      <c r="NVI206" s="3"/>
      <c r="NVJ206" s="3"/>
      <c r="NVK206" s="3"/>
      <c r="NVL206" s="3"/>
      <c r="NVM206" s="3"/>
      <c r="NVN206" s="3"/>
      <c r="NVO206" s="3"/>
      <c r="NVP206" s="3"/>
      <c r="NVQ206" s="3"/>
      <c r="NVR206" s="3"/>
      <c r="NVS206" s="3"/>
      <c r="NVT206" s="3"/>
      <c r="NVU206" s="3"/>
      <c r="NVV206" s="3"/>
      <c r="NVW206" s="3"/>
      <c r="NVX206" s="3"/>
      <c r="NVY206" s="3"/>
      <c r="NVZ206" s="3"/>
      <c r="NWA206" s="3"/>
      <c r="NWB206" s="3"/>
      <c r="NWC206" s="3"/>
      <c r="NWD206" s="3"/>
      <c r="NWE206" s="3"/>
      <c r="NWF206" s="3"/>
      <c r="NWG206" s="3"/>
      <c r="NWH206" s="3"/>
      <c r="NWI206" s="3"/>
      <c r="NWJ206" s="3"/>
      <c r="NWK206" s="3"/>
      <c r="NWL206" s="3"/>
      <c r="NWM206" s="3"/>
      <c r="NWN206" s="3"/>
      <c r="NWO206" s="3"/>
      <c r="NWP206" s="3"/>
      <c r="NWQ206" s="3"/>
      <c r="NWR206" s="3"/>
      <c r="NWS206" s="3"/>
      <c r="NWT206" s="3"/>
      <c r="NWU206" s="3"/>
      <c r="NWV206" s="3"/>
      <c r="NWW206" s="3"/>
      <c r="NWX206" s="3"/>
      <c r="NWY206" s="3"/>
      <c r="NWZ206" s="3"/>
      <c r="NXA206" s="3"/>
      <c r="NXB206" s="3"/>
      <c r="NXC206" s="3"/>
      <c r="NXD206" s="3"/>
      <c r="NXE206" s="3"/>
      <c r="NXF206" s="3"/>
      <c r="NXG206" s="3"/>
      <c r="NXH206" s="3"/>
      <c r="NXI206" s="3"/>
      <c r="NXJ206" s="3"/>
      <c r="NXK206" s="3"/>
      <c r="NXL206" s="3"/>
      <c r="NXM206" s="3"/>
      <c r="NXN206" s="3"/>
      <c r="NXO206" s="3"/>
      <c r="NXP206" s="3"/>
      <c r="NXQ206" s="3"/>
      <c r="NXR206" s="3"/>
      <c r="NXS206" s="3"/>
      <c r="NXT206" s="3"/>
      <c r="NXU206" s="3"/>
      <c r="NXV206" s="3"/>
      <c r="NXW206" s="3"/>
      <c r="NXX206" s="3"/>
      <c r="NXY206" s="3"/>
      <c r="NXZ206" s="3"/>
      <c r="NYA206" s="3"/>
      <c r="NYB206" s="3"/>
      <c r="NYC206" s="3"/>
      <c r="NYD206" s="3"/>
      <c r="NYE206" s="3"/>
      <c r="NYF206" s="3"/>
      <c r="NYG206" s="3"/>
      <c r="NYH206" s="3"/>
      <c r="NYI206" s="3"/>
      <c r="NYJ206" s="3"/>
      <c r="NYK206" s="3"/>
      <c r="NYL206" s="3"/>
      <c r="NYM206" s="3"/>
      <c r="NYN206" s="3"/>
      <c r="NYO206" s="3"/>
      <c r="NYP206" s="3"/>
      <c r="NYQ206" s="3"/>
      <c r="NYR206" s="3"/>
      <c r="NYS206" s="3"/>
      <c r="NYT206" s="3"/>
      <c r="NYU206" s="3"/>
      <c r="NYV206" s="3"/>
      <c r="NYW206" s="3"/>
      <c r="NYX206" s="3"/>
      <c r="NYY206" s="3"/>
      <c r="NYZ206" s="3"/>
      <c r="NZA206" s="3"/>
      <c r="NZB206" s="3"/>
      <c r="NZC206" s="3"/>
      <c r="NZD206" s="3"/>
      <c r="NZE206" s="3"/>
      <c r="NZF206" s="3"/>
      <c r="NZG206" s="3"/>
      <c r="NZH206" s="3"/>
      <c r="NZI206" s="3"/>
      <c r="NZJ206" s="3"/>
      <c r="NZK206" s="3"/>
      <c r="NZL206" s="3"/>
      <c r="NZM206" s="3"/>
      <c r="NZN206" s="3"/>
      <c r="NZO206" s="3"/>
      <c r="NZP206" s="3"/>
      <c r="NZQ206" s="3"/>
      <c r="NZR206" s="3"/>
      <c r="NZS206" s="3"/>
      <c r="NZT206" s="3"/>
      <c r="NZU206" s="3"/>
      <c r="NZV206" s="3"/>
      <c r="NZW206" s="3"/>
      <c r="NZX206" s="3"/>
      <c r="NZY206" s="3"/>
      <c r="NZZ206" s="3"/>
      <c r="OAA206" s="3"/>
      <c r="OAB206" s="3"/>
      <c r="OAC206" s="3"/>
      <c r="OAD206" s="3"/>
      <c r="OAE206" s="3"/>
      <c r="OAF206" s="3"/>
      <c r="OAG206" s="3"/>
      <c r="OAH206" s="3"/>
      <c r="OAI206" s="3"/>
      <c r="OAJ206" s="3"/>
      <c r="OAK206" s="3"/>
      <c r="OAL206" s="3"/>
      <c r="OAM206" s="3"/>
      <c r="OAN206" s="3"/>
      <c r="OAO206" s="3"/>
      <c r="OAP206" s="3"/>
      <c r="OAQ206" s="3"/>
      <c r="OAR206" s="3"/>
      <c r="OAS206" s="3"/>
      <c r="OAT206" s="3"/>
      <c r="OAU206" s="3"/>
      <c r="OAV206" s="3"/>
      <c r="OAW206" s="3"/>
      <c r="OAX206" s="3"/>
      <c r="OAY206" s="3"/>
      <c r="OAZ206" s="3"/>
      <c r="OBA206" s="3"/>
      <c r="OBB206" s="3"/>
      <c r="OBC206" s="3"/>
      <c r="OBD206" s="3"/>
      <c r="OBE206" s="3"/>
      <c r="OBF206" s="3"/>
      <c r="OBG206" s="3"/>
      <c r="OBH206" s="3"/>
      <c r="OBI206" s="3"/>
      <c r="OBJ206" s="3"/>
      <c r="OBK206" s="3"/>
      <c r="OBL206" s="3"/>
      <c r="OBM206" s="3"/>
      <c r="OBN206" s="3"/>
      <c r="OBO206" s="3"/>
      <c r="OBP206" s="3"/>
      <c r="OBQ206" s="3"/>
      <c r="OBR206" s="3"/>
      <c r="OBS206" s="3"/>
      <c r="OBT206" s="3"/>
      <c r="OBU206" s="3"/>
      <c r="OBV206" s="3"/>
      <c r="OBW206" s="3"/>
      <c r="OBX206" s="3"/>
      <c r="OBY206" s="3"/>
      <c r="OBZ206" s="3"/>
      <c r="OCA206" s="3"/>
      <c r="OCB206" s="3"/>
      <c r="OCC206" s="3"/>
      <c r="OCD206" s="3"/>
      <c r="OCE206" s="3"/>
      <c r="OCF206" s="3"/>
      <c r="OCG206" s="3"/>
      <c r="OCH206" s="3"/>
      <c r="OCI206" s="3"/>
      <c r="OCJ206" s="3"/>
      <c r="OCK206" s="3"/>
      <c r="OCL206" s="3"/>
      <c r="OCM206" s="3"/>
      <c r="OCN206" s="3"/>
      <c r="OCO206" s="3"/>
      <c r="OCP206" s="3"/>
      <c r="OCQ206" s="3"/>
      <c r="OCR206" s="3"/>
      <c r="OCS206" s="3"/>
      <c r="OCT206" s="3"/>
      <c r="OCU206" s="3"/>
      <c r="OCV206" s="3"/>
      <c r="OCW206" s="3"/>
      <c r="OCX206" s="3"/>
      <c r="OCY206" s="3"/>
      <c r="OCZ206" s="3"/>
      <c r="ODA206" s="3"/>
      <c r="ODB206" s="3"/>
      <c r="ODC206" s="3"/>
      <c r="ODD206" s="3"/>
      <c r="ODE206" s="3"/>
      <c r="ODF206" s="3"/>
      <c r="ODG206" s="3"/>
      <c r="ODH206" s="3"/>
      <c r="ODI206" s="3"/>
      <c r="ODJ206" s="3"/>
      <c r="ODK206" s="3"/>
      <c r="ODL206" s="3"/>
      <c r="ODM206" s="3"/>
      <c r="ODN206" s="3"/>
      <c r="ODO206" s="3"/>
      <c r="ODP206" s="3"/>
      <c r="ODQ206" s="3"/>
      <c r="ODR206" s="3"/>
      <c r="ODS206" s="3"/>
      <c r="ODT206" s="3"/>
      <c r="ODU206" s="3"/>
      <c r="ODV206" s="3"/>
      <c r="ODW206" s="3"/>
      <c r="ODX206" s="3"/>
      <c r="ODY206" s="3"/>
      <c r="ODZ206" s="3"/>
      <c r="OEA206" s="3"/>
      <c r="OEB206" s="3"/>
      <c r="OEC206" s="3"/>
      <c r="OED206" s="3"/>
      <c r="OEE206" s="3"/>
      <c r="OEF206" s="3"/>
      <c r="OEG206" s="3"/>
      <c r="OEH206" s="3"/>
      <c r="OEI206" s="3"/>
      <c r="OEJ206" s="3"/>
      <c r="OEK206" s="3"/>
      <c r="OEL206" s="3"/>
      <c r="OEM206" s="3"/>
      <c r="OEN206" s="3"/>
      <c r="OEO206" s="3"/>
      <c r="OEP206" s="3"/>
      <c r="OEQ206" s="3"/>
      <c r="OER206" s="3"/>
      <c r="OES206" s="3"/>
      <c r="OET206" s="3"/>
      <c r="OEU206" s="3"/>
      <c r="OEV206" s="3"/>
      <c r="OEW206" s="3"/>
      <c r="OEX206" s="3"/>
      <c r="OEY206" s="3"/>
      <c r="OEZ206" s="3"/>
      <c r="OFA206" s="3"/>
      <c r="OFB206" s="3"/>
      <c r="OFC206" s="3"/>
      <c r="OFD206" s="3"/>
      <c r="OFE206" s="3"/>
      <c r="OFF206" s="3"/>
      <c r="OFG206" s="3"/>
      <c r="OFH206" s="3"/>
      <c r="OFI206" s="3"/>
      <c r="OFJ206" s="3"/>
      <c r="OFK206" s="3"/>
      <c r="OFL206" s="3"/>
      <c r="OFM206" s="3"/>
      <c r="OFN206" s="3"/>
      <c r="OFO206" s="3"/>
      <c r="OFP206" s="3"/>
      <c r="OFQ206" s="3"/>
      <c r="OFR206" s="3"/>
      <c r="OFS206" s="3"/>
      <c r="OFT206" s="3"/>
      <c r="OFU206" s="3"/>
      <c r="OFV206" s="3"/>
      <c r="OFW206" s="3"/>
      <c r="OFX206" s="3"/>
      <c r="OFY206" s="3"/>
      <c r="OFZ206" s="3"/>
      <c r="OGA206" s="3"/>
      <c r="OGB206" s="3"/>
      <c r="OGC206" s="3"/>
      <c r="OGD206" s="3"/>
      <c r="OGE206" s="3"/>
      <c r="OGF206" s="3"/>
      <c r="OGG206" s="3"/>
      <c r="OGH206" s="3"/>
      <c r="OGI206" s="3"/>
      <c r="OGJ206" s="3"/>
      <c r="OGK206" s="3"/>
      <c r="OGL206" s="3"/>
      <c r="OGM206" s="3"/>
      <c r="OGN206" s="3"/>
      <c r="OGO206" s="3"/>
      <c r="OGP206" s="3"/>
      <c r="OGQ206" s="3"/>
      <c r="OGR206" s="3"/>
      <c r="OGS206" s="3"/>
      <c r="OGT206" s="3"/>
      <c r="OGU206" s="3"/>
      <c r="OGV206" s="3"/>
      <c r="OGW206" s="3"/>
      <c r="OGX206" s="3"/>
      <c r="OGY206" s="3"/>
      <c r="OGZ206" s="3"/>
      <c r="OHA206" s="3"/>
      <c r="OHB206" s="3"/>
      <c r="OHC206" s="3"/>
      <c r="OHD206" s="3"/>
      <c r="OHE206" s="3"/>
      <c r="OHF206" s="3"/>
      <c r="OHG206" s="3"/>
      <c r="OHH206" s="3"/>
      <c r="OHI206" s="3"/>
      <c r="OHJ206" s="3"/>
      <c r="OHK206" s="3"/>
      <c r="OHL206" s="3"/>
      <c r="OHM206" s="3"/>
      <c r="OHN206" s="3"/>
      <c r="OHO206" s="3"/>
      <c r="OHP206" s="3"/>
      <c r="OHQ206" s="3"/>
      <c r="OHR206" s="3"/>
      <c r="OHS206" s="3"/>
      <c r="OHT206" s="3"/>
      <c r="OHU206" s="3"/>
      <c r="OHV206" s="3"/>
      <c r="OHW206" s="3"/>
      <c r="OHX206" s="3"/>
      <c r="OHY206" s="3"/>
      <c r="OHZ206" s="3"/>
      <c r="OIA206" s="3"/>
      <c r="OIB206" s="3"/>
      <c r="OIC206" s="3"/>
      <c r="OID206" s="3"/>
      <c r="OIE206" s="3"/>
      <c r="OIF206" s="3"/>
      <c r="OIG206" s="3"/>
      <c r="OIH206" s="3"/>
      <c r="OII206" s="3"/>
      <c r="OIJ206" s="3"/>
      <c r="OIK206" s="3"/>
      <c r="OIL206" s="3"/>
      <c r="OIM206" s="3"/>
      <c r="OIN206" s="3"/>
      <c r="OIO206" s="3"/>
      <c r="OIP206" s="3"/>
      <c r="OIQ206" s="3"/>
      <c r="OIR206" s="3"/>
      <c r="OIS206" s="3"/>
      <c r="OIT206" s="3"/>
      <c r="OIU206" s="3"/>
      <c r="OIV206" s="3"/>
      <c r="OIW206" s="3"/>
      <c r="OIX206" s="3"/>
      <c r="OIY206" s="3"/>
      <c r="OIZ206" s="3"/>
      <c r="OJA206" s="3"/>
      <c r="OJB206" s="3"/>
      <c r="OJC206" s="3"/>
      <c r="OJD206" s="3"/>
      <c r="OJE206" s="3"/>
      <c r="OJF206" s="3"/>
      <c r="OJG206" s="3"/>
      <c r="OJH206" s="3"/>
      <c r="OJI206" s="3"/>
      <c r="OJJ206" s="3"/>
      <c r="OJK206" s="3"/>
      <c r="OJL206" s="3"/>
      <c r="OJM206" s="3"/>
      <c r="OJN206" s="3"/>
      <c r="OJO206" s="3"/>
      <c r="OJP206" s="3"/>
      <c r="OJQ206" s="3"/>
      <c r="OJR206" s="3"/>
      <c r="OJS206" s="3"/>
      <c r="OJT206" s="3"/>
      <c r="OJU206" s="3"/>
      <c r="OJV206" s="3"/>
      <c r="OJW206" s="3"/>
      <c r="OJX206" s="3"/>
      <c r="OJY206" s="3"/>
      <c r="OJZ206" s="3"/>
      <c r="OKA206" s="3"/>
      <c r="OKB206" s="3"/>
      <c r="OKC206" s="3"/>
      <c r="OKD206" s="3"/>
      <c r="OKE206" s="3"/>
      <c r="OKF206" s="3"/>
      <c r="OKG206" s="3"/>
      <c r="OKH206" s="3"/>
      <c r="OKI206" s="3"/>
      <c r="OKJ206" s="3"/>
      <c r="OKK206" s="3"/>
      <c r="OKL206" s="3"/>
      <c r="OKM206" s="3"/>
      <c r="OKN206" s="3"/>
      <c r="OKO206" s="3"/>
      <c r="OKP206" s="3"/>
      <c r="OKQ206" s="3"/>
      <c r="OKR206" s="3"/>
      <c r="OKS206" s="3"/>
      <c r="OKT206" s="3"/>
      <c r="OKU206" s="3"/>
      <c r="OKV206" s="3"/>
      <c r="OKW206" s="3"/>
      <c r="OKX206" s="3"/>
      <c r="OKY206" s="3"/>
      <c r="OKZ206" s="3"/>
      <c r="OLA206" s="3"/>
      <c r="OLB206" s="3"/>
      <c r="OLC206" s="3"/>
      <c r="OLD206" s="3"/>
      <c r="OLE206" s="3"/>
      <c r="OLF206" s="3"/>
      <c r="OLG206" s="3"/>
      <c r="OLH206" s="3"/>
      <c r="OLI206" s="3"/>
      <c r="OLJ206" s="3"/>
      <c r="OLK206" s="3"/>
      <c r="OLL206" s="3"/>
      <c r="OLM206" s="3"/>
      <c r="OLN206" s="3"/>
      <c r="OLO206" s="3"/>
      <c r="OLP206" s="3"/>
      <c r="OLQ206" s="3"/>
      <c r="OLR206" s="3"/>
      <c r="OLS206" s="3"/>
      <c r="OLT206" s="3"/>
      <c r="OLU206" s="3"/>
      <c r="OLV206" s="3"/>
      <c r="OLW206" s="3"/>
      <c r="OLX206" s="3"/>
      <c r="OLY206" s="3"/>
      <c r="OLZ206" s="3"/>
      <c r="OMA206" s="3"/>
      <c r="OMB206" s="3"/>
      <c r="OMC206" s="3"/>
      <c r="OMD206" s="3"/>
      <c r="OME206" s="3"/>
      <c r="OMF206" s="3"/>
      <c r="OMG206" s="3"/>
      <c r="OMH206" s="3"/>
      <c r="OMI206" s="3"/>
      <c r="OMJ206" s="3"/>
      <c r="OMK206" s="3"/>
      <c r="OML206" s="3"/>
      <c r="OMM206" s="3"/>
      <c r="OMN206" s="3"/>
      <c r="OMO206" s="3"/>
      <c r="OMP206" s="3"/>
      <c r="OMQ206" s="3"/>
      <c r="OMR206" s="3"/>
      <c r="OMS206" s="3"/>
      <c r="OMT206" s="3"/>
      <c r="OMU206" s="3"/>
      <c r="OMV206" s="3"/>
      <c r="OMW206" s="3"/>
      <c r="OMX206" s="3"/>
      <c r="OMY206" s="3"/>
      <c r="OMZ206" s="3"/>
      <c r="ONA206" s="3"/>
      <c r="ONB206" s="3"/>
      <c r="ONC206" s="3"/>
      <c r="OND206" s="3"/>
      <c r="ONE206" s="3"/>
      <c r="ONF206" s="3"/>
      <c r="ONG206" s="3"/>
      <c r="ONH206" s="3"/>
      <c r="ONI206" s="3"/>
      <c r="ONJ206" s="3"/>
      <c r="ONK206" s="3"/>
      <c r="ONL206" s="3"/>
      <c r="ONM206" s="3"/>
      <c r="ONN206" s="3"/>
      <c r="ONO206" s="3"/>
      <c r="ONP206" s="3"/>
      <c r="ONQ206" s="3"/>
      <c r="ONR206" s="3"/>
      <c r="ONS206" s="3"/>
      <c r="ONT206" s="3"/>
      <c r="ONU206" s="3"/>
      <c r="ONV206" s="3"/>
      <c r="ONW206" s="3"/>
      <c r="ONX206" s="3"/>
      <c r="ONY206" s="3"/>
      <c r="ONZ206" s="3"/>
      <c r="OOA206" s="3"/>
      <c r="OOB206" s="3"/>
      <c r="OOC206" s="3"/>
      <c r="OOD206" s="3"/>
      <c r="OOE206" s="3"/>
      <c r="OOF206" s="3"/>
      <c r="OOG206" s="3"/>
      <c r="OOH206" s="3"/>
      <c r="OOI206" s="3"/>
      <c r="OOJ206" s="3"/>
      <c r="OOK206" s="3"/>
      <c r="OOL206" s="3"/>
      <c r="OOM206" s="3"/>
      <c r="OON206" s="3"/>
      <c r="OOO206" s="3"/>
      <c r="OOP206" s="3"/>
      <c r="OOQ206" s="3"/>
      <c r="OOR206" s="3"/>
      <c r="OOS206" s="3"/>
      <c r="OOT206" s="3"/>
      <c r="OOU206" s="3"/>
      <c r="OOV206" s="3"/>
      <c r="OOW206" s="3"/>
      <c r="OOX206" s="3"/>
      <c r="OOY206" s="3"/>
      <c r="OOZ206" s="3"/>
      <c r="OPA206" s="3"/>
      <c r="OPB206" s="3"/>
      <c r="OPC206" s="3"/>
      <c r="OPD206" s="3"/>
      <c r="OPE206" s="3"/>
      <c r="OPF206" s="3"/>
      <c r="OPG206" s="3"/>
      <c r="OPH206" s="3"/>
      <c r="OPI206" s="3"/>
      <c r="OPJ206" s="3"/>
      <c r="OPK206" s="3"/>
      <c r="OPL206" s="3"/>
      <c r="OPM206" s="3"/>
      <c r="OPN206" s="3"/>
      <c r="OPO206" s="3"/>
      <c r="OPP206" s="3"/>
      <c r="OPQ206" s="3"/>
      <c r="OPR206" s="3"/>
      <c r="OPS206" s="3"/>
      <c r="OPT206" s="3"/>
      <c r="OPU206" s="3"/>
      <c r="OPV206" s="3"/>
      <c r="OPW206" s="3"/>
      <c r="OPX206" s="3"/>
      <c r="OPY206" s="3"/>
      <c r="OPZ206" s="3"/>
      <c r="OQA206" s="3"/>
      <c r="OQB206" s="3"/>
      <c r="OQC206" s="3"/>
      <c r="OQD206" s="3"/>
      <c r="OQE206" s="3"/>
      <c r="OQF206" s="3"/>
      <c r="OQG206" s="3"/>
      <c r="OQH206" s="3"/>
      <c r="OQI206" s="3"/>
      <c r="OQJ206" s="3"/>
      <c r="OQK206" s="3"/>
      <c r="OQL206" s="3"/>
      <c r="OQM206" s="3"/>
      <c r="OQN206" s="3"/>
      <c r="OQO206" s="3"/>
      <c r="OQP206" s="3"/>
      <c r="OQQ206" s="3"/>
      <c r="OQR206" s="3"/>
      <c r="OQS206" s="3"/>
      <c r="OQT206" s="3"/>
      <c r="OQU206" s="3"/>
      <c r="OQV206" s="3"/>
      <c r="OQW206" s="3"/>
      <c r="OQX206" s="3"/>
      <c r="OQY206" s="3"/>
      <c r="OQZ206" s="3"/>
      <c r="ORA206" s="3"/>
      <c r="ORB206" s="3"/>
      <c r="ORC206" s="3"/>
      <c r="ORD206" s="3"/>
      <c r="ORE206" s="3"/>
      <c r="ORF206" s="3"/>
      <c r="ORG206" s="3"/>
      <c r="ORH206" s="3"/>
      <c r="ORI206" s="3"/>
      <c r="ORJ206" s="3"/>
      <c r="ORK206" s="3"/>
      <c r="ORL206" s="3"/>
      <c r="ORM206" s="3"/>
      <c r="ORN206" s="3"/>
      <c r="ORO206" s="3"/>
      <c r="ORP206" s="3"/>
      <c r="ORQ206" s="3"/>
      <c r="ORR206" s="3"/>
      <c r="ORS206" s="3"/>
      <c r="ORT206" s="3"/>
      <c r="ORU206" s="3"/>
      <c r="ORV206" s="3"/>
      <c r="ORW206" s="3"/>
      <c r="ORX206" s="3"/>
      <c r="ORY206" s="3"/>
      <c r="ORZ206" s="3"/>
      <c r="OSA206" s="3"/>
      <c r="OSB206" s="3"/>
      <c r="OSC206" s="3"/>
      <c r="OSD206" s="3"/>
      <c r="OSE206" s="3"/>
      <c r="OSF206" s="3"/>
      <c r="OSG206" s="3"/>
      <c r="OSH206" s="3"/>
      <c r="OSI206" s="3"/>
      <c r="OSJ206" s="3"/>
      <c r="OSK206" s="3"/>
      <c r="OSL206" s="3"/>
      <c r="OSM206" s="3"/>
      <c r="OSN206" s="3"/>
      <c r="OSO206" s="3"/>
      <c r="OSP206" s="3"/>
      <c r="OSQ206" s="3"/>
      <c r="OSR206" s="3"/>
      <c r="OSS206" s="3"/>
      <c r="OST206" s="3"/>
      <c r="OSU206" s="3"/>
      <c r="OSV206" s="3"/>
      <c r="OSW206" s="3"/>
      <c r="OSX206" s="3"/>
      <c r="OSY206" s="3"/>
      <c r="OSZ206" s="3"/>
      <c r="OTA206" s="3"/>
      <c r="OTB206" s="3"/>
      <c r="OTC206" s="3"/>
      <c r="OTD206" s="3"/>
      <c r="OTE206" s="3"/>
      <c r="OTF206" s="3"/>
      <c r="OTG206" s="3"/>
      <c r="OTH206" s="3"/>
      <c r="OTI206" s="3"/>
      <c r="OTJ206" s="3"/>
      <c r="OTK206" s="3"/>
      <c r="OTL206" s="3"/>
      <c r="OTM206" s="3"/>
      <c r="OTN206" s="3"/>
      <c r="OTO206" s="3"/>
      <c r="OTP206" s="3"/>
      <c r="OTQ206" s="3"/>
      <c r="OTR206" s="3"/>
      <c r="OTS206" s="3"/>
      <c r="OTT206" s="3"/>
      <c r="OTU206" s="3"/>
      <c r="OTV206" s="3"/>
      <c r="OTW206" s="3"/>
      <c r="OTX206" s="3"/>
      <c r="OTY206" s="3"/>
      <c r="OTZ206" s="3"/>
      <c r="OUA206" s="3"/>
      <c r="OUB206" s="3"/>
      <c r="OUC206" s="3"/>
      <c r="OUD206" s="3"/>
      <c r="OUE206" s="3"/>
      <c r="OUF206" s="3"/>
      <c r="OUG206" s="3"/>
      <c r="OUH206" s="3"/>
      <c r="OUI206" s="3"/>
      <c r="OUJ206" s="3"/>
      <c r="OUK206" s="3"/>
      <c r="OUL206" s="3"/>
      <c r="OUM206" s="3"/>
      <c r="OUN206" s="3"/>
      <c r="OUO206" s="3"/>
      <c r="OUP206" s="3"/>
      <c r="OUQ206" s="3"/>
      <c r="OUR206" s="3"/>
      <c r="OUS206" s="3"/>
      <c r="OUT206" s="3"/>
      <c r="OUU206" s="3"/>
      <c r="OUV206" s="3"/>
      <c r="OUW206" s="3"/>
      <c r="OUX206" s="3"/>
      <c r="OUY206" s="3"/>
      <c r="OUZ206" s="3"/>
      <c r="OVA206" s="3"/>
      <c r="OVB206" s="3"/>
      <c r="OVC206" s="3"/>
      <c r="OVD206" s="3"/>
      <c r="OVE206" s="3"/>
      <c r="OVF206" s="3"/>
      <c r="OVG206" s="3"/>
      <c r="OVH206" s="3"/>
      <c r="OVI206" s="3"/>
      <c r="OVJ206" s="3"/>
      <c r="OVK206" s="3"/>
      <c r="OVL206" s="3"/>
      <c r="OVM206" s="3"/>
      <c r="OVN206" s="3"/>
      <c r="OVO206" s="3"/>
      <c r="OVP206" s="3"/>
      <c r="OVQ206" s="3"/>
      <c r="OVR206" s="3"/>
      <c r="OVS206" s="3"/>
      <c r="OVT206" s="3"/>
      <c r="OVU206" s="3"/>
      <c r="OVV206" s="3"/>
      <c r="OVW206" s="3"/>
      <c r="OVX206" s="3"/>
      <c r="OVY206" s="3"/>
      <c r="OVZ206" s="3"/>
      <c r="OWA206" s="3"/>
      <c r="OWB206" s="3"/>
      <c r="OWC206" s="3"/>
      <c r="OWD206" s="3"/>
      <c r="OWE206" s="3"/>
      <c r="OWF206" s="3"/>
      <c r="OWG206" s="3"/>
      <c r="OWH206" s="3"/>
      <c r="OWI206" s="3"/>
      <c r="OWJ206" s="3"/>
      <c r="OWK206" s="3"/>
      <c r="OWL206" s="3"/>
      <c r="OWM206" s="3"/>
      <c r="OWN206" s="3"/>
      <c r="OWO206" s="3"/>
      <c r="OWP206" s="3"/>
      <c r="OWQ206" s="3"/>
      <c r="OWR206" s="3"/>
      <c r="OWS206" s="3"/>
      <c r="OWT206" s="3"/>
      <c r="OWU206" s="3"/>
      <c r="OWV206" s="3"/>
      <c r="OWW206" s="3"/>
      <c r="OWX206" s="3"/>
      <c r="OWY206" s="3"/>
      <c r="OWZ206" s="3"/>
      <c r="OXA206" s="3"/>
      <c r="OXB206" s="3"/>
      <c r="OXC206" s="3"/>
      <c r="OXD206" s="3"/>
      <c r="OXE206" s="3"/>
      <c r="OXF206" s="3"/>
      <c r="OXG206" s="3"/>
      <c r="OXH206" s="3"/>
      <c r="OXI206" s="3"/>
      <c r="OXJ206" s="3"/>
      <c r="OXK206" s="3"/>
      <c r="OXL206" s="3"/>
      <c r="OXM206" s="3"/>
      <c r="OXN206" s="3"/>
      <c r="OXO206" s="3"/>
      <c r="OXP206" s="3"/>
      <c r="OXQ206" s="3"/>
      <c r="OXR206" s="3"/>
      <c r="OXS206" s="3"/>
      <c r="OXT206" s="3"/>
      <c r="OXU206" s="3"/>
      <c r="OXV206" s="3"/>
      <c r="OXW206" s="3"/>
      <c r="OXX206" s="3"/>
      <c r="OXY206" s="3"/>
      <c r="OXZ206" s="3"/>
      <c r="OYA206" s="3"/>
      <c r="OYB206" s="3"/>
      <c r="OYC206" s="3"/>
      <c r="OYD206" s="3"/>
      <c r="OYE206" s="3"/>
      <c r="OYF206" s="3"/>
      <c r="OYG206" s="3"/>
      <c r="OYH206" s="3"/>
      <c r="OYI206" s="3"/>
      <c r="OYJ206" s="3"/>
      <c r="OYK206" s="3"/>
      <c r="OYL206" s="3"/>
      <c r="OYM206" s="3"/>
      <c r="OYN206" s="3"/>
      <c r="OYO206" s="3"/>
      <c r="OYP206" s="3"/>
      <c r="OYQ206" s="3"/>
      <c r="OYR206" s="3"/>
      <c r="OYS206" s="3"/>
      <c r="OYT206" s="3"/>
      <c r="OYU206" s="3"/>
      <c r="OYV206" s="3"/>
      <c r="OYW206" s="3"/>
      <c r="OYX206" s="3"/>
      <c r="OYY206" s="3"/>
      <c r="OYZ206" s="3"/>
      <c r="OZA206" s="3"/>
      <c r="OZB206" s="3"/>
      <c r="OZC206" s="3"/>
      <c r="OZD206" s="3"/>
      <c r="OZE206" s="3"/>
      <c r="OZF206" s="3"/>
      <c r="OZG206" s="3"/>
      <c r="OZH206" s="3"/>
      <c r="OZI206" s="3"/>
      <c r="OZJ206" s="3"/>
      <c r="OZK206" s="3"/>
      <c r="OZL206" s="3"/>
      <c r="OZM206" s="3"/>
      <c r="OZN206" s="3"/>
      <c r="OZO206" s="3"/>
      <c r="OZP206" s="3"/>
      <c r="OZQ206" s="3"/>
      <c r="OZR206" s="3"/>
      <c r="OZS206" s="3"/>
      <c r="OZT206" s="3"/>
      <c r="OZU206" s="3"/>
      <c r="OZV206" s="3"/>
      <c r="OZW206" s="3"/>
      <c r="OZX206" s="3"/>
      <c r="OZY206" s="3"/>
      <c r="OZZ206" s="3"/>
      <c r="PAA206" s="3"/>
      <c r="PAB206" s="3"/>
      <c r="PAC206" s="3"/>
      <c r="PAD206" s="3"/>
      <c r="PAE206" s="3"/>
      <c r="PAF206" s="3"/>
      <c r="PAG206" s="3"/>
      <c r="PAH206" s="3"/>
      <c r="PAI206" s="3"/>
      <c r="PAJ206" s="3"/>
      <c r="PAK206" s="3"/>
      <c r="PAL206" s="3"/>
      <c r="PAM206" s="3"/>
      <c r="PAN206" s="3"/>
      <c r="PAO206" s="3"/>
      <c r="PAP206" s="3"/>
      <c r="PAQ206" s="3"/>
      <c r="PAR206" s="3"/>
      <c r="PAS206" s="3"/>
      <c r="PAT206" s="3"/>
      <c r="PAU206" s="3"/>
      <c r="PAV206" s="3"/>
      <c r="PAW206" s="3"/>
      <c r="PAX206" s="3"/>
      <c r="PAY206" s="3"/>
      <c r="PAZ206" s="3"/>
      <c r="PBA206" s="3"/>
      <c r="PBB206" s="3"/>
      <c r="PBC206" s="3"/>
      <c r="PBD206" s="3"/>
      <c r="PBE206" s="3"/>
      <c r="PBF206" s="3"/>
      <c r="PBG206" s="3"/>
      <c r="PBH206" s="3"/>
      <c r="PBI206" s="3"/>
      <c r="PBJ206" s="3"/>
      <c r="PBK206" s="3"/>
      <c r="PBL206" s="3"/>
      <c r="PBM206" s="3"/>
      <c r="PBN206" s="3"/>
      <c r="PBO206" s="3"/>
      <c r="PBP206" s="3"/>
      <c r="PBQ206" s="3"/>
      <c r="PBR206" s="3"/>
      <c r="PBS206" s="3"/>
      <c r="PBT206" s="3"/>
      <c r="PBU206" s="3"/>
      <c r="PBV206" s="3"/>
      <c r="PBW206" s="3"/>
      <c r="PBX206" s="3"/>
      <c r="PBY206" s="3"/>
      <c r="PBZ206" s="3"/>
      <c r="PCA206" s="3"/>
      <c r="PCB206" s="3"/>
      <c r="PCC206" s="3"/>
      <c r="PCD206" s="3"/>
      <c r="PCE206" s="3"/>
      <c r="PCF206" s="3"/>
      <c r="PCG206" s="3"/>
      <c r="PCH206" s="3"/>
      <c r="PCI206" s="3"/>
      <c r="PCJ206" s="3"/>
      <c r="PCK206" s="3"/>
      <c r="PCL206" s="3"/>
      <c r="PCM206" s="3"/>
      <c r="PCN206" s="3"/>
      <c r="PCO206" s="3"/>
      <c r="PCP206" s="3"/>
      <c r="PCQ206" s="3"/>
      <c r="PCR206" s="3"/>
      <c r="PCS206" s="3"/>
      <c r="PCT206" s="3"/>
      <c r="PCU206" s="3"/>
      <c r="PCV206" s="3"/>
      <c r="PCW206" s="3"/>
      <c r="PCX206" s="3"/>
      <c r="PCY206" s="3"/>
      <c r="PCZ206" s="3"/>
      <c r="PDA206" s="3"/>
      <c r="PDB206" s="3"/>
      <c r="PDC206" s="3"/>
      <c r="PDD206" s="3"/>
      <c r="PDE206" s="3"/>
      <c r="PDF206" s="3"/>
      <c r="PDG206" s="3"/>
      <c r="PDH206" s="3"/>
      <c r="PDI206" s="3"/>
      <c r="PDJ206" s="3"/>
      <c r="PDK206" s="3"/>
      <c r="PDL206" s="3"/>
      <c r="PDM206" s="3"/>
      <c r="PDN206" s="3"/>
      <c r="PDO206" s="3"/>
      <c r="PDP206" s="3"/>
      <c r="PDQ206" s="3"/>
      <c r="PDR206" s="3"/>
      <c r="PDS206" s="3"/>
      <c r="PDT206" s="3"/>
      <c r="PDU206" s="3"/>
      <c r="PDV206" s="3"/>
      <c r="PDW206" s="3"/>
      <c r="PDX206" s="3"/>
      <c r="PDY206" s="3"/>
      <c r="PDZ206" s="3"/>
      <c r="PEA206" s="3"/>
      <c r="PEB206" s="3"/>
      <c r="PEC206" s="3"/>
      <c r="PED206" s="3"/>
      <c r="PEE206" s="3"/>
      <c r="PEF206" s="3"/>
      <c r="PEG206" s="3"/>
      <c r="PEH206" s="3"/>
      <c r="PEI206" s="3"/>
      <c r="PEJ206" s="3"/>
      <c r="PEK206" s="3"/>
      <c r="PEL206" s="3"/>
      <c r="PEM206" s="3"/>
      <c r="PEN206" s="3"/>
      <c r="PEO206" s="3"/>
      <c r="PEP206" s="3"/>
      <c r="PEQ206" s="3"/>
      <c r="PER206" s="3"/>
      <c r="PES206" s="3"/>
      <c r="PET206" s="3"/>
      <c r="PEU206" s="3"/>
      <c r="PEV206" s="3"/>
      <c r="PEW206" s="3"/>
      <c r="PEX206" s="3"/>
      <c r="PEY206" s="3"/>
      <c r="PEZ206" s="3"/>
      <c r="PFA206" s="3"/>
      <c r="PFB206" s="3"/>
      <c r="PFC206" s="3"/>
      <c r="PFD206" s="3"/>
      <c r="PFE206" s="3"/>
      <c r="PFF206" s="3"/>
      <c r="PFG206" s="3"/>
      <c r="PFH206" s="3"/>
      <c r="PFI206" s="3"/>
      <c r="PFJ206" s="3"/>
      <c r="PFK206" s="3"/>
      <c r="PFL206" s="3"/>
      <c r="PFM206" s="3"/>
      <c r="PFN206" s="3"/>
      <c r="PFO206" s="3"/>
      <c r="PFP206" s="3"/>
      <c r="PFQ206" s="3"/>
      <c r="PFR206" s="3"/>
      <c r="PFS206" s="3"/>
      <c r="PFT206" s="3"/>
      <c r="PFU206" s="3"/>
      <c r="PFV206" s="3"/>
      <c r="PFW206" s="3"/>
      <c r="PFX206" s="3"/>
      <c r="PFY206" s="3"/>
      <c r="PFZ206" s="3"/>
      <c r="PGA206" s="3"/>
      <c r="PGB206" s="3"/>
      <c r="PGC206" s="3"/>
      <c r="PGD206" s="3"/>
      <c r="PGE206" s="3"/>
      <c r="PGF206" s="3"/>
      <c r="PGG206" s="3"/>
      <c r="PGH206" s="3"/>
      <c r="PGI206" s="3"/>
      <c r="PGJ206" s="3"/>
      <c r="PGK206" s="3"/>
      <c r="PGL206" s="3"/>
      <c r="PGM206" s="3"/>
      <c r="PGN206" s="3"/>
      <c r="PGO206" s="3"/>
      <c r="PGP206" s="3"/>
      <c r="PGQ206" s="3"/>
      <c r="PGR206" s="3"/>
      <c r="PGS206" s="3"/>
      <c r="PGT206" s="3"/>
      <c r="PGU206" s="3"/>
      <c r="PGV206" s="3"/>
      <c r="PGW206" s="3"/>
      <c r="PGX206" s="3"/>
      <c r="PGY206" s="3"/>
      <c r="PGZ206" s="3"/>
      <c r="PHA206" s="3"/>
      <c r="PHB206" s="3"/>
      <c r="PHC206" s="3"/>
      <c r="PHD206" s="3"/>
      <c r="PHE206" s="3"/>
      <c r="PHF206" s="3"/>
      <c r="PHG206" s="3"/>
      <c r="PHH206" s="3"/>
      <c r="PHI206" s="3"/>
      <c r="PHJ206" s="3"/>
      <c r="PHK206" s="3"/>
      <c r="PHL206" s="3"/>
      <c r="PHM206" s="3"/>
      <c r="PHN206" s="3"/>
      <c r="PHO206" s="3"/>
      <c r="PHP206" s="3"/>
      <c r="PHQ206" s="3"/>
      <c r="PHR206" s="3"/>
      <c r="PHS206" s="3"/>
      <c r="PHT206" s="3"/>
      <c r="PHU206" s="3"/>
      <c r="PHV206" s="3"/>
      <c r="PHW206" s="3"/>
      <c r="PHX206" s="3"/>
      <c r="PHY206" s="3"/>
      <c r="PHZ206" s="3"/>
      <c r="PIA206" s="3"/>
      <c r="PIB206" s="3"/>
      <c r="PIC206" s="3"/>
      <c r="PID206" s="3"/>
      <c r="PIE206" s="3"/>
      <c r="PIF206" s="3"/>
      <c r="PIG206" s="3"/>
      <c r="PIH206" s="3"/>
      <c r="PII206" s="3"/>
      <c r="PIJ206" s="3"/>
      <c r="PIK206" s="3"/>
      <c r="PIL206" s="3"/>
      <c r="PIM206" s="3"/>
      <c r="PIN206" s="3"/>
      <c r="PIO206" s="3"/>
      <c r="PIP206" s="3"/>
      <c r="PIQ206" s="3"/>
      <c r="PIR206" s="3"/>
      <c r="PIS206" s="3"/>
      <c r="PIT206" s="3"/>
      <c r="PIU206" s="3"/>
      <c r="PIV206" s="3"/>
      <c r="PIW206" s="3"/>
      <c r="PIX206" s="3"/>
      <c r="PIY206" s="3"/>
      <c r="PIZ206" s="3"/>
      <c r="PJA206" s="3"/>
      <c r="PJB206" s="3"/>
      <c r="PJC206" s="3"/>
      <c r="PJD206" s="3"/>
      <c r="PJE206" s="3"/>
      <c r="PJF206" s="3"/>
      <c r="PJG206" s="3"/>
      <c r="PJH206" s="3"/>
      <c r="PJI206" s="3"/>
      <c r="PJJ206" s="3"/>
      <c r="PJK206" s="3"/>
      <c r="PJL206" s="3"/>
      <c r="PJM206" s="3"/>
      <c r="PJN206" s="3"/>
      <c r="PJO206" s="3"/>
      <c r="PJP206" s="3"/>
      <c r="PJQ206" s="3"/>
      <c r="PJR206" s="3"/>
      <c r="PJS206" s="3"/>
      <c r="PJT206" s="3"/>
      <c r="PJU206" s="3"/>
      <c r="PJV206" s="3"/>
      <c r="PJW206" s="3"/>
      <c r="PJX206" s="3"/>
      <c r="PJY206" s="3"/>
      <c r="PJZ206" s="3"/>
      <c r="PKA206" s="3"/>
      <c r="PKB206" s="3"/>
      <c r="PKC206" s="3"/>
      <c r="PKD206" s="3"/>
      <c r="PKE206" s="3"/>
      <c r="PKF206" s="3"/>
      <c r="PKG206" s="3"/>
      <c r="PKH206" s="3"/>
      <c r="PKI206" s="3"/>
      <c r="PKJ206" s="3"/>
      <c r="PKK206" s="3"/>
      <c r="PKL206" s="3"/>
      <c r="PKM206" s="3"/>
      <c r="PKN206" s="3"/>
      <c r="PKO206" s="3"/>
      <c r="PKP206" s="3"/>
      <c r="PKQ206" s="3"/>
      <c r="PKR206" s="3"/>
      <c r="PKS206" s="3"/>
      <c r="PKT206" s="3"/>
      <c r="PKU206" s="3"/>
      <c r="PKV206" s="3"/>
      <c r="PKW206" s="3"/>
      <c r="PKX206" s="3"/>
      <c r="PKY206" s="3"/>
      <c r="PKZ206" s="3"/>
      <c r="PLA206" s="3"/>
      <c r="PLB206" s="3"/>
      <c r="PLC206" s="3"/>
      <c r="PLD206" s="3"/>
      <c r="PLE206" s="3"/>
      <c r="PLF206" s="3"/>
      <c r="PLG206" s="3"/>
      <c r="PLH206" s="3"/>
      <c r="PLI206" s="3"/>
      <c r="PLJ206" s="3"/>
      <c r="PLK206" s="3"/>
      <c r="PLL206" s="3"/>
      <c r="PLM206" s="3"/>
      <c r="PLN206" s="3"/>
      <c r="PLO206" s="3"/>
      <c r="PLP206" s="3"/>
      <c r="PLQ206" s="3"/>
      <c r="PLR206" s="3"/>
      <c r="PLS206" s="3"/>
      <c r="PLT206" s="3"/>
      <c r="PLU206" s="3"/>
      <c r="PLV206" s="3"/>
      <c r="PLW206" s="3"/>
      <c r="PLX206" s="3"/>
      <c r="PLY206" s="3"/>
      <c r="PLZ206" s="3"/>
      <c r="PMA206" s="3"/>
      <c r="PMB206" s="3"/>
      <c r="PMC206" s="3"/>
      <c r="PMD206" s="3"/>
      <c r="PME206" s="3"/>
      <c r="PMF206" s="3"/>
      <c r="PMG206" s="3"/>
      <c r="PMH206" s="3"/>
      <c r="PMI206" s="3"/>
      <c r="PMJ206" s="3"/>
      <c r="PMK206" s="3"/>
      <c r="PML206" s="3"/>
      <c r="PMM206" s="3"/>
      <c r="PMN206" s="3"/>
      <c r="PMO206" s="3"/>
      <c r="PMP206" s="3"/>
      <c r="PMQ206" s="3"/>
      <c r="PMR206" s="3"/>
      <c r="PMS206" s="3"/>
      <c r="PMT206" s="3"/>
      <c r="PMU206" s="3"/>
      <c r="PMV206" s="3"/>
      <c r="PMW206" s="3"/>
      <c r="PMX206" s="3"/>
      <c r="PMY206" s="3"/>
      <c r="PMZ206" s="3"/>
      <c r="PNA206" s="3"/>
      <c r="PNB206" s="3"/>
      <c r="PNC206" s="3"/>
      <c r="PND206" s="3"/>
      <c r="PNE206" s="3"/>
      <c r="PNF206" s="3"/>
      <c r="PNG206" s="3"/>
      <c r="PNH206" s="3"/>
      <c r="PNI206" s="3"/>
      <c r="PNJ206" s="3"/>
      <c r="PNK206" s="3"/>
      <c r="PNL206" s="3"/>
      <c r="PNM206" s="3"/>
      <c r="PNN206" s="3"/>
      <c r="PNO206" s="3"/>
      <c r="PNP206" s="3"/>
      <c r="PNQ206" s="3"/>
      <c r="PNR206" s="3"/>
      <c r="PNS206" s="3"/>
      <c r="PNT206" s="3"/>
      <c r="PNU206" s="3"/>
      <c r="PNV206" s="3"/>
      <c r="PNW206" s="3"/>
      <c r="PNX206" s="3"/>
      <c r="PNY206" s="3"/>
      <c r="PNZ206" s="3"/>
      <c r="POA206" s="3"/>
      <c r="POB206" s="3"/>
      <c r="POC206" s="3"/>
      <c r="POD206" s="3"/>
      <c r="POE206" s="3"/>
      <c r="POF206" s="3"/>
      <c r="POG206" s="3"/>
      <c r="POH206" s="3"/>
      <c r="POI206" s="3"/>
      <c r="POJ206" s="3"/>
      <c r="POK206" s="3"/>
      <c r="POL206" s="3"/>
      <c r="POM206" s="3"/>
      <c r="PON206" s="3"/>
      <c r="POO206" s="3"/>
      <c r="POP206" s="3"/>
      <c r="POQ206" s="3"/>
      <c r="POR206" s="3"/>
      <c r="POS206" s="3"/>
      <c r="POT206" s="3"/>
      <c r="POU206" s="3"/>
      <c r="POV206" s="3"/>
      <c r="POW206" s="3"/>
      <c r="POX206" s="3"/>
      <c r="POY206" s="3"/>
      <c r="POZ206" s="3"/>
      <c r="PPA206" s="3"/>
      <c r="PPB206" s="3"/>
      <c r="PPC206" s="3"/>
      <c r="PPD206" s="3"/>
      <c r="PPE206" s="3"/>
      <c r="PPF206" s="3"/>
      <c r="PPG206" s="3"/>
      <c r="PPH206" s="3"/>
      <c r="PPI206" s="3"/>
      <c r="PPJ206" s="3"/>
      <c r="PPK206" s="3"/>
      <c r="PPL206" s="3"/>
      <c r="PPM206" s="3"/>
      <c r="PPN206" s="3"/>
      <c r="PPO206" s="3"/>
      <c r="PPP206" s="3"/>
      <c r="PPQ206" s="3"/>
      <c r="PPR206" s="3"/>
      <c r="PPS206" s="3"/>
      <c r="PPT206" s="3"/>
      <c r="PPU206" s="3"/>
      <c r="PPV206" s="3"/>
      <c r="PPW206" s="3"/>
      <c r="PPX206" s="3"/>
      <c r="PPY206" s="3"/>
      <c r="PPZ206" s="3"/>
      <c r="PQA206" s="3"/>
      <c r="PQB206" s="3"/>
      <c r="PQC206" s="3"/>
      <c r="PQD206" s="3"/>
      <c r="PQE206" s="3"/>
      <c r="PQF206" s="3"/>
      <c r="PQG206" s="3"/>
      <c r="PQH206" s="3"/>
      <c r="PQI206" s="3"/>
      <c r="PQJ206" s="3"/>
      <c r="PQK206" s="3"/>
      <c r="PQL206" s="3"/>
      <c r="PQM206" s="3"/>
      <c r="PQN206" s="3"/>
      <c r="PQO206" s="3"/>
      <c r="PQP206" s="3"/>
      <c r="PQQ206" s="3"/>
      <c r="PQR206" s="3"/>
      <c r="PQS206" s="3"/>
      <c r="PQT206" s="3"/>
      <c r="PQU206" s="3"/>
      <c r="PQV206" s="3"/>
      <c r="PQW206" s="3"/>
      <c r="PQX206" s="3"/>
      <c r="PQY206" s="3"/>
      <c r="PQZ206" s="3"/>
      <c r="PRA206" s="3"/>
      <c r="PRB206" s="3"/>
      <c r="PRC206" s="3"/>
      <c r="PRD206" s="3"/>
      <c r="PRE206" s="3"/>
      <c r="PRF206" s="3"/>
      <c r="PRG206" s="3"/>
      <c r="PRH206" s="3"/>
      <c r="PRI206" s="3"/>
      <c r="PRJ206" s="3"/>
      <c r="PRK206" s="3"/>
      <c r="PRL206" s="3"/>
      <c r="PRM206" s="3"/>
      <c r="PRN206" s="3"/>
      <c r="PRO206" s="3"/>
      <c r="PRP206" s="3"/>
      <c r="PRQ206" s="3"/>
      <c r="PRR206" s="3"/>
      <c r="PRS206" s="3"/>
      <c r="PRT206" s="3"/>
      <c r="PRU206" s="3"/>
      <c r="PRV206" s="3"/>
      <c r="PRW206" s="3"/>
      <c r="PRX206" s="3"/>
      <c r="PRY206" s="3"/>
      <c r="PRZ206" s="3"/>
      <c r="PSA206" s="3"/>
      <c r="PSB206" s="3"/>
      <c r="PSC206" s="3"/>
      <c r="PSD206" s="3"/>
      <c r="PSE206" s="3"/>
      <c r="PSF206" s="3"/>
      <c r="PSG206" s="3"/>
      <c r="PSH206" s="3"/>
      <c r="PSI206" s="3"/>
      <c r="PSJ206" s="3"/>
      <c r="PSK206" s="3"/>
      <c r="PSL206" s="3"/>
      <c r="PSM206" s="3"/>
      <c r="PSN206" s="3"/>
      <c r="PSO206" s="3"/>
      <c r="PSP206" s="3"/>
      <c r="PSQ206" s="3"/>
      <c r="PSR206" s="3"/>
      <c r="PSS206" s="3"/>
      <c r="PST206" s="3"/>
      <c r="PSU206" s="3"/>
      <c r="PSV206" s="3"/>
      <c r="PSW206" s="3"/>
      <c r="PSX206" s="3"/>
      <c r="PSY206" s="3"/>
      <c r="PSZ206" s="3"/>
      <c r="PTA206" s="3"/>
      <c r="PTB206" s="3"/>
      <c r="PTC206" s="3"/>
      <c r="PTD206" s="3"/>
      <c r="PTE206" s="3"/>
      <c r="PTF206" s="3"/>
      <c r="PTG206" s="3"/>
      <c r="PTH206" s="3"/>
      <c r="PTI206" s="3"/>
      <c r="PTJ206" s="3"/>
      <c r="PTK206" s="3"/>
      <c r="PTL206" s="3"/>
      <c r="PTM206" s="3"/>
      <c r="PTN206" s="3"/>
      <c r="PTO206" s="3"/>
      <c r="PTP206" s="3"/>
      <c r="PTQ206" s="3"/>
      <c r="PTR206" s="3"/>
      <c r="PTS206" s="3"/>
      <c r="PTT206" s="3"/>
      <c r="PTU206" s="3"/>
      <c r="PTV206" s="3"/>
      <c r="PTW206" s="3"/>
      <c r="PTX206" s="3"/>
      <c r="PTY206" s="3"/>
      <c r="PTZ206" s="3"/>
      <c r="PUA206" s="3"/>
      <c r="PUB206" s="3"/>
      <c r="PUC206" s="3"/>
      <c r="PUD206" s="3"/>
      <c r="PUE206" s="3"/>
      <c r="PUF206" s="3"/>
      <c r="PUG206" s="3"/>
      <c r="PUH206" s="3"/>
      <c r="PUI206" s="3"/>
      <c r="PUJ206" s="3"/>
      <c r="PUK206" s="3"/>
      <c r="PUL206" s="3"/>
      <c r="PUM206" s="3"/>
      <c r="PUN206" s="3"/>
      <c r="PUO206" s="3"/>
      <c r="PUP206" s="3"/>
      <c r="PUQ206" s="3"/>
      <c r="PUR206" s="3"/>
      <c r="PUS206" s="3"/>
      <c r="PUT206" s="3"/>
      <c r="PUU206" s="3"/>
      <c r="PUV206" s="3"/>
      <c r="PUW206" s="3"/>
      <c r="PUX206" s="3"/>
      <c r="PUY206" s="3"/>
      <c r="PUZ206" s="3"/>
      <c r="PVA206" s="3"/>
      <c r="PVB206" s="3"/>
      <c r="PVC206" s="3"/>
      <c r="PVD206" s="3"/>
      <c r="PVE206" s="3"/>
      <c r="PVF206" s="3"/>
      <c r="PVG206" s="3"/>
      <c r="PVH206" s="3"/>
      <c r="PVI206" s="3"/>
      <c r="PVJ206" s="3"/>
      <c r="PVK206" s="3"/>
      <c r="PVL206" s="3"/>
      <c r="PVM206" s="3"/>
      <c r="PVN206" s="3"/>
      <c r="PVO206" s="3"/>
      <c r="PVP206" s="3"/>
      <c r="PVQ206" s="3"/>
      <c r="PVR206" s="3"/>
      <c r="PVS206" s="3"/>
      <c r="PVT206" s="3"/>
      <c r="PVU206" s="3"/>
      <c r="PVV206" s="3"/>
      <c r="PVW206" s="3"/>
      <c r="PVX206" s="3"/>
      <c r="PVY206" s="3"/>
      <c r="PVZ206" s="3"/>
      <c r="PWA206" s="3"/>
      <c r="PWB206" s="3"/>
      <c r="PWC206" s="3"/>
      <c r="PWD206" s="3"/>
      <c r="PWE206" s="3"/>
      <c r="PWF206" s="3"/>
      <c r="PWG206" s="3"/>
      <c r="PWH206" s="3"/>
      <c r="PWI206" s="3"/>
      <c r="PWJ206" s="3"/>
      <c r="PWK206" s="3"/>
      <c r="PWL206" s="3"/>
      <c r="PWM206" s="3"/>
      <c r="PWN206" s="3"/>
      <c r="PWO206" s="3"/>
      <c r="PWP206" s="3"/>
      <c r="PWQ206" s="3"/>
      <c r="PWR206" s="3"/>
      <c r="PWS206" s="3"/>
      <c r="PWT206" s="3"/>
      <c r="PWU206" s="3"/>
      <c r="PWV206" s="3"/>
      <c r="PWW206" s="3"/>
      <c r="PWX206" s="3"/>
      <c r="PWY206" s="3"/>
      <c r="PWZ206" s="3"/>
      <c r="PXA206" s="3"/>
      <c r="PXB206" s="3"/>
      <c r="PXC206" s="3"/>
      <c r="PXD206" s="3"/>
      <c r="PXE206" s="3"/>
      <c r="PXF206" s="3"/>
      <c r="PXG206" s="3"/>
      <c r="PXH206" s="3"/>
      <c r="PXI206" s="3"/>
      <c r="PXJ206" s="3"/>
      <c r="PXK206" s="3"/>
      <c r="PXL206" s="3"/>
      <c r="PXM206" s="3"/>
      <c r="PXN206" s="3"/>
      <c r="PXO206" s="3"/>
      <c r="PXP206" s="3"/>
      <c r="PXQ206" s="3"/>
      <c r="PXR206" s="3"/>
      <c r="PXS206" s="3"/>
      <c r="PXT206" s="3"/>
      <c r="PXU206" s="3"/>
      <c r="PXV206" s="3"/>
      <c r="PXW206" s="3"/>
      <c r="PXX206" s="3"/>
      <c r="PXY206" s="3"/>
      <c r="PXZ206" s="3"/>
      <c r="PYA206" s="3"/>
      <c r="PYB206" s="3"/>
      <c r="PYC206" s="3"/>
      <c r="PYD206" s="3"/>
      <c r="PYE206" s="3"/>
      <c r="PYF206" s="3"/>
      <c r="PYG206" s="3"/>
      <c r="PYH206" s="3"/>
      <c r="PYI206" s="3"/>
      <c r="PYJ206" s="3"/>
      <c r="PYK206" s="3"/>
      <c r="PYL206" s="3"/>
      <c r="PYM206" s="3"/>
      <c r="PYN206" s="3"/>
      <c r="PYO206" s="3"/>
      <c r="PYP206" s="3"/>
      <c r="PYQ206" s="3"/>
      <c r="PYR206" s="3"/>
      <c r="PYS206" s="3"/>
      <c r="PYT206" s="3"/>
      <c r="PYU206" s="3"/>
      <c r="PYV206" s="3"/>
      <c r="PYW206" s="3"/>
      <c r="PYX206" s="3"/>
      <c r="PYY206" s="3"/>
      <c r="PYZ206" s="3"/>
      <c r="PZA206" s="3"/>
      <c r="PZB206" s="3"/>
      <c r="PZC206" s="3"/>
      <c r="PZD206" s="3"/>
      <c r="PZE206" s="3"/>
      <c r="PZF206" s="3"/>
      <c r="PZG206" s="3"/>
      <c r="PZH206" s="3"/>
      <c r="PZI206" s="3"/>
      <c r="PZJ206" s="3"/>
      <c r="PZK206" s="3"/>
      <c r="PZL206" s="3"/>
      <c r="PZM206" s="3"/>
      <c r="PZN206" s="3"/>
      <c r="PZO206" s="3"/>
      <c r="PZP206" s="3"/>
      <c r="PZQ206" s="3"/>
      <c r="PZR206" s="3"/>
      <c r="PZS206" s="3"/>
      <c r="PZT206" s="3"/>
      <c r="PZU206" s="3"/>
      <c r="PZV206" s="3"/>
      <c r="PZW206" s="3"/>
      <c r="PZX206" s="3"/>
      <c r="PZY206" s="3"/>
      <c r="PZZ206" s="3"/>
      <c r="QAA206" s="3"/>
      <c r="QAB206" s="3"/>
      <c r="QAC206" s="3"/>
      <c r="QAD206" s="3"/>
      <c r="QAE206" s="3"/>
      <c r="QAF206" s="3"/>
      <c r="QAG206" s="3"/>
      <c r="QAH206" s="3"/>
      <c r="QAI206" s="3"/>
      <c r="QAJ206" s="3"/>
      <c r="QAK206" s="3"/>
      <c r="QAL206" s="3"/>
      <c r="QAM206" s="3"/>
      <c r="QAN206" s="3"/>
      <c r="QAO206" s="3"/>
      <c r="QAP206" s="3"/>
      <c r="QAQ206" s="3"/>
      <c r="QAR206" s="3"/>
      <c r="QAS206" s="3"/>
      <c r="QAT206" s="3"/>
      <c r="QAU206" s="3"/>
      <c r="QAV206" s="3"/>
      <c r="QAW206" s="3"/>
      <c r="QAX206" s="3"/>
      <c r="QAY206" s="3"/>
      <c r="QAZ206" s="3"/>
      <c r="QBA206" s="3"/>
      <c r="QBB206" s="3"/>
      <c r="QBC206" s="3"/>
      <c r="QBD206" s="3"/>
      <c r="QBE206" s="3"/>
      <c r="QBF206" s="3"/>
      <c r="QBG206" s="3"/>
      <c r="QBH206" s="3"/>
      <c r="QBI206" s="3"/>
      <c r="QBJ206" s="3"/>
      <c r="QBK206" s="3"/>
      <c r="QBL206" s="3"/>
      <c r="QBM206" s="3"/>
      <c r="QBN206" s="3"/>
      <c r="QBO206" s="3"/>
      <c r="QBP206" s="3"/>
      <c r="QBQ206" s="3"/>
      <c r="QBR206" s="3"/>
      <c r="QBS206" s="3"/>
      <c r="QBT206" s="3"/>
      <c r="QBU206" s="3"/>
      <c r="QBV206" s="3"/>
      <c r="QBW206" s="3"/>
      <c r="QBX206" s="3"/>
      <c r="QBY206" s="3"/>
      <c r="QBZ206" s="3"/>
      <c r="QCA206" s="3"/>
      <c r="QCB206" s="3"/>
      <c r="QCC206" s="3"/>
      <c r="QCD206" s="3"/>
      <c r="QCE206" s="3"/>
      <c r="QCF206" s="3"/>
      <c r="QCG206" s="3"/>
      <c r="QCH206" s="3"/>
      <c r="QCI206" s="3"/>
      <c r="QCJ206" s="3"/>
      <c r="QCK206" s="3"/>
      <c r="QCL206" s="3"/>
      <c r="QCM206" s="3"/>
      <c r="QCN206" s="3"/>
      <c r="QCO206" s="3"/>
      <c r="QCP206" s="3"/>
      <c r="QCQ206" s="3"/>
      <c r="QCR206" s="3"/>
      <c r="QCS206" s="3"/>
      <c r="QCT206" s="3"/>
      <c r="QCU206" s="3"/>
      <c r="QCV206" s="3"/>
      <c r="QCW206" s="3"/>
      <c r="QCX206" s="3"/>
      <c r="QCY206" s="3"/>
      <c r="QCZ206" s="3"/>
      <c r="QDA206" s="3"/>
      <c r="QDB206" s="3"/>
      <c r="QDC206" s="3"/>
      <c r="QDD206" s="3"/>
      <c r="QDE206" s="3"/>
      <c r="QDF206" s="3"/>
      <c r="QDG206" s="3"/>
      <c r="QDH206" s="3"/>
      <c r="QDI206" s="3"/>
      <c r="QDJ206" s="3"/>
      <c r="QDK206" s="3"/>
      <c r="QDL206" s="3"/>
      <c r="QDM206" s="3"/>
      <c r="QDN206" s="3"/>
      <c r="QDO206" s="3"/>
      <c r="QDP206" s="3"/>
      <c r="QDQ206" s="3"/>
      <c r="QDR206" s="3"/>
      <c r="QDS206" s="3"/>
      <c r="QDT206" s="3"/>
      <c r="QDU206" s="3"/>
      <c r="QDV206" s="3"/>
      <c r="QDW206" s="3"/>
      <c r="QDX206" s="3"/>
      <c r="QDY206" s="3"/>
      <c r="QDZ206" s="3"/>
      <c r="QEA206" s="3"/>
      <c r="QEB206" s="3"/>
      <c r="QEC206" s="3"/>
      <c r="QED206" s="3"/>
      <c r="QEE206" s="3"/>
      <c r="QEF206" s="3"/>
      <c r="QEG206" s="3"/>
      <c r="QEH206" s="3"/>
      <c r="QEI206" s="3"/>
      <c r="QEJ206" s="3"/>
      <c r="QEK206" s="3"/>
      <c r="QEL206" s="3"/>
      <c r="QEM206" s="3"/>
      <c r="QEN206" s="3"/>
      <c r="QEO206" s="3"/>
      <c r="QEP206" s="3"/>
      <c r="QEQ206" s="3"/>
      <c r="QER206" s="3"/>
      <c r="QES206" s="3"/>
      <c r="QET206" s="3"/>
      <c r="QEU206" s="3"/>
      <c r="QEV206" s="3"/>
      <c r="QEW206" s="3"/>
      <c r="QEX206" s="3"/>
      <c r="QEY206" s="3"/>
      <c r="QEZ206" s="3"/>
      <c r="QFA206" s="3"/>
      <c r="QFB206" s="3"/>
      <c r="QFC206" s="3"/>
      <c r="QFD206" s="3"/>
      <c r="QFE206" s="3"/>
      <c r="QFF206" s="3"/>
      <c r="QFG206" s="3"/>
      <c r="QFH206" s="3"/>
      <c r="QFI206" s="3"/>
      <c r="QFJ206" s="3"/>
      <c r="QFK206" s="3"/>
      <c r="QFL206" s="3"/>
      <c r="QFM206" s="3"/>
      <c r="QFN206" s="3"/>
      <c r="QFO206" s="3"/>
      <c r="QFP206" s="3"/>
      <c r="QFQ206" s="3"/>
      <c r="QFR206" s="3"/>
      <c r="QFS206" s="3"/>
      <c r="QFT206" s="3"/>
      <c r="QFU206" s="3"/>
      <c r="QFV206" s="3"/>
      <c r="QFW206" s="3"/>
      <c r="QFX206" s="3"/>
      <c r="QFY206" s="3"/>
      <c r="QFZ206" s="3"/>
      <c r="QGA206" s="3"/>
      <c r="QGB206" s="3"/>
      <c r="QGC206" s="3"/>
      <c r="QGD206" s="3"/>
      <c r="QGE206" s="3"/>
      <c r="QGF206" s="3"/>
      <c r="QGG206" s="3"/>
      <c r="QGH206" s="3"/>
      <c r="QGI206" s="3"/>
      <c r="QGJ206" s="3"/>
      <c r="QGK206" s="3"/>
      <c r="QGL206" s="3"/>
      <c r="QGM206" s="3"/>
      <c r="QGN206" s="3"/>
      <c r="QGO206" s="3"/>
      <c r="QGP206" s="3"/>
      <c r="QGQ206" s="3"/>
      <c r="QGR206" s="3"/>
      <c r="QGS206" s="3"/>
      <c r="QGT206" s="3"/>
      <c r="QGU206" s="3"/>
      <c r="QGV206" s="3"/>
      <c r="QGW206" s="3"/>
      <c r="QGX206" s="3"/>
      <c r="QGY206" s="3"/>
      <c r="QGZ206" s="3"/>
      <c r="QHA206" s="3"/>
      <c r="QHB206" s="3"/>
      <c r="QHC206" s="3"/>
      <c r="QHD206" s="3"/>
      <c r="QHE206" s="3"/>
      <c r="QHF206" s="3"/>
      <c r="QHG206" s="3"/>
      <c r="QHH206" s="3"/>
      <c r="QHI206" s="3"/>
      <c r="QHJ206" s="3"/>
      <c r="QHK206" s="3"/>
      <c r="QHL206" s="3"/>
      <c r="QHM206" s="3"/>
      <c r="QHN206" s="3"/>
      <c r="QHO206" s="3"/>
      <c r="QHP206" s="3"/>
      <c r="QHQ206" s="3"/>
      <c r="QHR206" s="3"/>
      <c r="QHS206" s="3"/>
      <c r="QHT206" s="3"/>
      <c r="QHU206" s="3"/>
      <c r="QHV206" s="3"/>
      <c r="QHW206" s="3"/>
      <c r="QHX206" s="3"/>
      <c r="QHY206" s="3"/>
      <c r="QHZ206" s="3"/>
      <c r="QIA206" s="3"/>
      <c r="QIB206" s="3"/>
      <c r="QIC206" s="3"/>
      <c r="QID206" s="3"/>
      <c r="QIE206" s="3"/>
      <c r="QIF206" s="3"/>
      <c r="QIG206" s="3"/>
      <c r="QIH206" s="3"/>
      <c r="QII206" s="3"/>
      <c r="QIJ206" s="3"/>
      <c r="QIK206" s="3"/>
      <c r="QIL206" s="3"/>
      <c r="QIM206" s="3"/>
      <c r="QIN206" s="3"/>
      <c r="QIO206" s="3"/>
      <c r="QIP206" s="3"/>
      <c r="QIQ206" s="3"/>
      <c r="QIR206" s="3"/>
      <c r="QIS206" s="3"/>
      <c r="QIT206" s="3"/>
      <c r="QIU206" s="3"/>
      <c r="QIV206" s="3"/>
      <c r="QIW206" s="3"/>
      <c r="QIX206" s="3"/>
      <c r="QIY206" s="3"/>
      <c r="QIZ206" s="3"/>
      <c r="QJA206" s="3"/>
      <c r="QJB206" s="3"/>
      <c r="QJC206" s="3"/>
      <c r="QJD206" s="3"/>
      <c r="QJE206" s="3"/>
      <c r="QJF206" s="3"/>
      <c r="QJG206" s="3"/>
      <c r="QJH206" s="3"/>
      <c r="QJI206" s="3"/>
      <c r="QJJ206" s="3"/>
      <c r="QJK206" s="3"/>
      <c r="QJL206" s="3"/>
      <c r="QJM206" s="3"/>
      <c r="QJN206" s="3"/>
      <c r="QJO206" s="3"/>
      <c r="QJP206" s="3"/>
      <c r="QJQ206" s="3"/>
      <c r="QJR206" s="3"/>
      <c r="QJS206" s="3"/>
      <c r="QJT206" s="3"/>
      <c r="QJU206" s="3"/>
      <c r="QJV206" s="3"/>
      <c r="QJW206" s="3"/>
      <c r="QJX206" s="3"/>
      <c r="QJY206" s="3"/>
      <c r="QJZ206" s="3"/>
      <c r="QKA206" s="3"/>
      <c r="QKB206" s="3"/>
      <c r="QKC206" s="3"/>
      <c r="QKD206" s="3"/>
      <c r="QKE206" s="3"/>
      <c r="QKF206" s="3"/>
      <c r="QKG206" s="3"/>
      <c r="QKH206" s="3"/>
      <c r="QKI206" s="3"/>
      <c r="QKJ206" s="3"/>
      <c r="QKK206" s="3"/>
      <c r="QKL206" s="3"/>
      <c r="QKM206" s="3"/>
      <c r="QKN206" s="3"/>
      <c r="QKO206" s="3"/>
      <c r="QKP206" s="3"/>
      <c r="QKQ206" s="3"/>
      <c r="QKR206" s="3"/>
      <c r="QKS206" s="3"/>
      <c r="QKT206" s="3"/>
      <c r="QKU206" s="3"/>
      <c r="QKV206" s="3"/>
      <c r="QKW206" s="3"/>
      <c r="QKX206" s="3"/>
      <c r="QKY206" s="3"/>
      <c r="QKZ206" s="3"/>
      <c r="QLA206" s="3"/>
      <c r="QLB206" s="3"/>
      <c r="QLC206" s="3"/>
      <c r="QLD206" s="3"/>
      <c r="QLE206" s="3"/>
      <c r="QLF206" s="3"/>
      <c r="QLG206" s="3"/>
      <c r="QLH206" s="3"/>
      <c r="QLI206" s="3"/>
      <c r="QLJ206" s="3"/>
      <c r="QLK206" s="3"/>
      <c r="QLL206" s="3"/>
      <c r="QLM206" s="3"/>
      <c r="QLN206" s="3"/>
      <c r="QLO206" s="3"/>
      <c r="QLP206" s="3"/>
      <c r="QLQ206" s="3"/>
      <c r="QLR206" s="3"/>
      <c r="QLS206" s="3"/>
      <c r="QLT206" s="3"/>
      <c r="QLU206" s="3"/>
      <c r="QLV206" s="3"/>
      <c r="QLW206" s="3"/>
      <c r="QLX206" s="3"/>
      <c r="QLY206" s="3"/>
      <c r="QLZ206" s="3"/>
      <c r="QMA206" s="3"/>
      <c r="QMB206" s="3"/>
      <c r="QMC206" s="3"/>
      <c r="QMD206" s="3"/>
      <c r="QME206" s="3"/>
      <c r="QMF206" s="3"/>
      <c r="QMG206" s="3"/>
      <c r="QMH206" s="3"/>
      <c r="QMI206" s="3"/>
      <c r="QMJ206" s="3"/>
      <c r="QMK206" s="3"/>
      <c r="QML206" s="3"/>
      <c r="QMM206" s="3"/>
      <c r="QMN206" s="3"/>
      <c r="QMO206" s="3"/>
      <c r="QMP206" s="3"/>
      <c r="QMQ206" s="3"/>
      <c r="QMR206" s="3"/>
      <c r="QMS206" s="3"/>
      <c r="QMT206" s="3"/>
      <c r="QMU206" s="3"/>
      <c r="QMV206" s="3"/>
      <c r="QMW206" s="3"/>
      <c r="QMX206" s="3"/>
      <c r="QMY206" s="3"/>
      <c r="QMZ206" s="3"/>
      <c r="QNA206" s="3"/>
      <c r="QNB206" s="3"/>
      <c r="QNC206" s="3"/>
      <c r="QND206" s="3"/>
      <c r="QNE206" s="3"/>
      <c r="QNF206" s="3"/>
      <c r="QNG206" s="3"/>
      <c r="QNH206" s="3"/>
      <c r="QNI206" s="3"/>
      <c r="QNJ206" s="3"/>
      <c r="QNK206" s="3"/>
      <c r="QNL206" s="3"/>
      <c r="QNM206" s="3"/>
      <c r="QNN206" s="3"/>
      <c r="QNO206" s="3"/>
      <c r="QNP206" s="3"/>
      <c r="QNQ206" s="3"/>
      <c r="QNR206" s="3"/>
      <c r="QNS206" s="3"/>
      <c r="QNT206" s="3"/>
      <c r="QNU206" s="3"/>
      <c r="QNV206" s="3"/>
      <c r="QNW206" s="3"/>
      <c r="QNX206" s="3"/>
      <c r="QNY206" s="3"/>
      <c r="QNZ206" s="3"/>
      <c r="QOA206" s="3"/>
      <c r="QOB206" s="3"/>
      <c r="QOC206" s="3"/>
      <c r="QOD206" s="3"/>
      <c r="QOE206" s="3"/>
      <c r="QOF206" s="3"/>
      <c r="QOG206" s="3"/>
      <c r="QOH206" s="3"/>
      <c r="QOI206" s="3"/>
      <c r="QOJ206" s="3"/>
      <c r="QOK206" s="3"/>
      <c r="QOL206" s="3"/>
      <c r="QOM206" s="3"/>
      <c r="QON206" s="3"/>
      <c r="QOO206" s="3"/>
      <c r="QOP206" s="3"/>
      <c r="QOQ206" s="3"/>
      <c r="QOR206" s="3"/>
      <c r="QOS206" s="3"/>
      <c r="QOT206" s="3"/>
      <c r="QOU206" s="3"/>
      <c r="QOV206" s="3"/>
      <c r="QOW206" s="3"/>
      <c r="QOX206" s="3"/>
      <c r="QOY206" s="3"/>
      <c r="QOZ206" s="3"/>
      <c r="QPA206" s="3"/>
      <c r="QPB206" s="3"/>
      <c r="QPC206" s="3"/>
      <c r="QPD206" s="3"/>
      <c r="QPE206" s="3"/>
      <c r="QPF206" s="3"/>
      <c r="QPG206" s="3"/>
      <c r="QPH206" s="3"/>
      <c r="QPI206" s="3"/>
      <c r="QPJ206" s="3"/>
      <c r="QPK206" s="3"/>
      <c r="QPL206" s="3"/>
      <c r="QPM206" s="3"/>
      <c r="QPN206" s="3"/>
      <c r="QPO206" s="3"/>
      <c r="QPP206" s="3"/>
      <c r="QPQ206" s="3"/>
      <c r="QPR206" s="3"/>
      <c r="QPS206" s="3"/>
      <c r="QPT206" s="3"/>
      <c r="QPU206" s="3"/>
      <c r="QPV206" s="3"/>
      <c r="QPW206" s="3"/>
      <c r="QPX206" s="3"/>
      <c r="QPY206" s="3"/>
      <c r="QPZ206" s="3"/>
      <c r="QQA206" s="3"/>
      <c r="QQB206" s="3"/>
      <c r="QQC206" s="3"/>
      <c r="QQD206" s="3"/>
      <c r="QQE206" s="3"/>
      <c r="QQF206" s="3"/>
      <c r="QQG206" s="3"/>
      <c r="QQH206" s="3"/>
      <c r="QQI206" s="3"/>
      <c r="QQJ206" s="3"/>
      <c r="QQK206" s="3"/>
      <c r="QQL206" s="3"/>
      <c r="QQM206" s="3"/>
      <c r="QQN206" s="3"/>
      <c r="QQO206" s="3"/>
      <c r="QQP206" s="3"/>
      <c r="QQQ206" s="3"/>
      <c r="QQR206" s="3"/>
      <c r="QQS206" s="3"/>
      <c r="QQT206" s="3"/>
      <c r="QQU206" s="3"/>
      <c r="QQV206" s="3"/>
      <c r="QQW206" s="3"/>
      <c r="QQX206" s="3"/>
      <c r="QQY206" s="3"/>
      <c r="QQZ206" s="3"/>
      <c r="QRA206" s="3"/>
      <c r="QRB206" s="3"/>
      <c r="QRC206" s="3"/>
      <c r="QRD206" s="3"/>
      <c r="QRE206" s="3"/>
      <c r="QRF206" s="3"/>
      <c r="QRG206" s="3"/>
      <c r="QRH206" s="3"/>
      <c r="QRI206" s="3"/>
      <c r="QRJ206" s="3"/>
      <c r="QRK206" s="3"/>
      <c r="QRL206" s="3"/>
      <c r="QRM206" s="3"/>
      <c r="QRN206" s="3"/>
      <c r="QRO206" s="3"/>
      <c r="QRP206" s="3"/>
      <c r="QRQ206" s="3"/>
      <c r="QRR206" s="3"/>
      <c r="QRS206" s="3"/>
      <c r="QRT206" s="3"/>
      <c r="QRU206" s="3"/>
      <c r="QRV206" s="3"/>
      <c r="QRW206" s="3"/>
      <c r="QRX206" s="3"/>
      <c r="QRY206" s="3"/>
      <c r="QRZ206" s="3"/>
      <c r="QSA206" s="3"/>
      <c r="QSB206" s="3"/>
      <c r="QSC206" s="3"/>
      <c r="QSD206" s="3"/>
      <c r="QSE206" s="3"/>
      <c r="QSF206" s="3"/>
      <c r="QSG206" s="3"/>
      <c r="QSH206" s="3"/>
      <c r="QSI206" s="3"/>
      <c r="QSJ206" s="3"/>
      <c r="QSK206" s="3"/>
      <c r="QSL206" s="3"/>
      <c r="QSM206" s="3"/>
      <c r="QSN206" s="3"/>
      <c r="QSO206" s="3"/>
      <c r="QSP206" s="3"/>
      <c r="QSQ206" s="3"/>
      <c r="QSR206" s="3"/>
      <c r="QSS206" s="3"/>
      <c r="QST206" s="3"/>
      <c r="QSU206" s="3"/>
      <c r="QSV206" s="3"/>
      <c r="QSW206" s="3"/>
      <c r="QSX206" s="3"/>
      <c r="QSY206" s="3"/>
      <c r="QSZ206" s="3"/>
      <c r="QTA206" s="3"/>
      <c r="QTB206" s="3"/>
      <c r="QTC206" s="3"/>
      <c r="QTD206" s="3"/>
      <c r="QTE206" s="3"/>
      <c r="QTF206" s="3"/>
      <c r="QTG206" s="3"/>
      <c r="QTH206" s="3"/>
      <c r="QTI206" s="3"/>
      <c r="QTJ206" s="3"/>
      <c r="QTK206" s="3"/>
      <c r="QTL206" s="3"/>
      <c r="QTM206" s="3"/>
      <c r="QTN206" s="3"/>
      <c r="QTO206" s="3"/>
      <c r="QTP206" s="3"/>
      <c r="QTQ206" s="3"/>
      <c r="QTR206" s="3"/>
      <c r="QTS206" s="3"/>
      <c r="QTT206" s="3"/>
      <c r="QTU206" s="3"/>
      <c r="QTV206" s="3"/>
      <c r="QTW206" s="3"/>
      <c r="QTX206" s="3"/>
      <c r="QTY206" s="3"/>
      <c r="QTZ206" s="3"/>
      <c r="QUA206" s="3"/>
      <c r="QUB206" s="3"/>
      <c r="QUC206" s="3"/>
      <c r="QUD206" s="3"/>
      <c r="QUE206" s="3"/>
      <c r="QUF206" s="3"/>
      <c r="QUG206" s="3"/>
      <c r="QUH206" s="3"/>
      <c r="QUI206" s="3"/>
      <c r="QUJ206" s="3"/>
      <c r="QUK206" s="3"/>
      <c r="QUL206" s="3"/>
      <c r="QUM206" s="3"/>
      <c r="QUN206" s="3"/>
      <c r="QUO206" s="3"/>
      <c r="QUP206" s="3"/>
      <c r="QUQ206" s="3"/>
      <c r="QUR206" s="3"/>
      <c r="QUS206" s="3"/>
      <c r="QUT206" s="3"/>
      <c r="QUU206" s="3"/>
      <c r="QUV206" s="3"/>
      <c r="QUW206" s="3"/>
      <c r="QUX206" s="3"/>
      <c r="QUY206" s="3"/>
      <c r="QUZ206" s="3"/>
      <c r="QVA206" s="3"/>
      <c r="QVB206" s="3"/>
      <c r="QVC206" s="3"/>
      <c r="QVD206" s="3"/>
      <c r="QVE206" s="3"/>
      <c r="QVF206" s="3"/>
      <c r="QVG206" s="3"/>
      <c r="QVH206" s="3"/>
      <c r="QVI206" s="3"/>
      <c r="QVJ206" s="3"/>
      <c r="QVK206" s="3"/>
      <c r="QVL206" s="3"/>
      <c r="QVM206" s="3"/>
      <c r="QVN206" s="3"/>
      <c r="QVO206" s="3"/>
      <c r="QVP206" s="3"/>
      <c r="QVQ206" s="3"/>
      <c r="QVR206" s="3"/>
      <c r="QVS206" s="3"/>
      <c r="QVT206" s="3"/>
      <c r="QVU206" s="3"/>
      <c r="QVV206" s="3"/>
      <c r="QVW206" s="3"/>
      <c r="QVX206" s="3"/>
      <c r="QVY206" s="3"/>
      <c r="QVZ206" s="3"/>
      <c r="QWA206" s="3"/>
      <c r="QWB206" s="3"/>
      <c r="QWC206" s="3"/>
      <c r="QWD206" s="3"/>
      <c r="QWE206" s="3"/>
      <c r="QWF206" s="3"/>
      <c r="QWG206" s="3"/>
      <c r="QWH206" s="3"/>
      <c r="QWI206" s="3"/>
      <c r="QWJ206" s="3"/>
      <c r="QWK206" s="3"/>
      <c r="QWL206" s="3"/>
      <c r="QWM206" s="3"/>
      <c r="QWN206" s="3"/>
      <c r="QWO206" s="3"/>
      <c r="QWP206" s="3"/>
      <c r="QWQ206" s="3"/>
      <c r="QWR206" s="3"/>
      <c r="QWS206" s="3"/>
      <c r="QWT206" s="3"/>
      <c r="QWU206" s="3"/>
      <c r="QWV206" s="3"/>
      <c r="QWW206" s="3"/>
      <c r="QWX206" s="3"/>
      <c r="QWY206" s="3"/>
      <c r="QWZ206" s="3"/>
      <c r="QXA206" s="3"/>
      <c r="QXB206" s="3"/>
      <c r="QXC206" s="3"/>
      <c r="QXD206" s="3"/>
      <c r="QXE206" s="3"/>
      <c r="QXF206" s="3"/>
      <c r="QXG206" s="3"/>
      <c r="QXH206" s="3"/>
      <c r="QXI206" s="3"/>
      <c r="QXJ206" s="3"/>
      <c r="QXK206" s="3"/>
      <c r="QXL206" s="3"/>
      <c r="QXM206" s="3"/>
      <c r="QXN206" s="3"/>
      <c r="QXO206" s="3"/>
      <c r="QXP206" s="3"/>
      <c r="QXQ206" s="3"/>
      <c r="QXR206" s="3"/>
      <c r="QXS206" s="3"/>
      <c r="QXT206" s="3"/>
      <c r="QXU206" s="3"/>
      <c r="QXV206" s="3"/>
      <c r="QXW206" s="3"/>
      <c r="QXX206" s="3"/>
      <c r="QXY206" s="3"/>
      <c r="QXZ206" s="3"/>
      <c r="QYA206" s="3"/>
      <c r="QYB206" s="3"/>
      <c r="QYC206" s="3"/>
      <c r="QYD206" s="3"/>
      <c r="QYE206" s="3"/>
      <c r="QYF206" s="3"/>
      <c r="QYG206" s="3"/>
      <c r="QYH206" s="3"/>
      <c r="QYI206" s="3"/>
      <c r="QYJ206" s="3"/>
      <c r="QYK206" s="3"/>
      <c r="QYL206" s="3"/>
      <c r="QYM206" s="3"/>
      <c r="QYN206" s="3"/>
      <c r="QYO206" s="3"/>
      <c r="QYP206" s="3"/>
      <c r="QYQ206" s="3"/>
      <c r="QYR206" s="3"/>
      <c r="QYS206" s="3"/>
      <c r="QYT206" s="3"/>
      <c r="QYU206" s="3"/>
      <c r="QYV206" s="3"/>
      <c r="QYW206" s="3"/>
      <c r="QYX206" s="3"/>
      <c r="QYY206" s="3"/>
      <c r="QYZ206" s="3"/>
      <c r="QZA206" s="3"/>
      <c r="QZB206" s="3"/>
      <c r="QZC206" s="3"/>
      <c r="QZD206" s="3"/>
      <c r="QZE206" s="3"/>
      <c r="QZF206" s="3"/>
      <c r="QZG206" s="3"/>
      <c r="QZH206" s="3"/>
      <c r="QZI206" s="3"/>
      <c r="QZJ206" s="3"/>
      <c r="QZK206" s="3"/>
      <c r="QZL206" s="3"/>
      <c r="QZM206" s="3"/>
      <c r="QZN206" s="3"/>
      <c r="QZO206" s="3"/>
      <c r="QZP206" s="3"/>
      <c r="QZQ206" s="3"/>
      <c r="QZR206" s="3"/>
      <c r="QZS206" s="3"/>
      <c r="QZT206" s="3"/>
      <c r="QZU206" s="3"/>
      <c r="QZV206" s="3"/>
      <c r="QZW206" s="3"/>
      <c r="QZX206" s="3"/>
      <c r="QZY206" s="3"/>
      <c r="QZZ206" s="3"/>
      <c r="RAA206" s="3"/>
      <c r="RAB206" s="3"/>
      <c r="RAC206" s="3"/>
      <c r="RAD206" s="3"/>
      <c r="RAE206" s="3"/>
      <c r="RAF206" s="3"/>
      <c r="RAG206" s="3"/>
      <c r="RAH206" s="3"/>
      <c r="RAI206" s="3"/>
      <c r="RAJ206" s="3"/>
      <c r="RAK206" s="3"/>
      <c r="RAL206" s="3"/>
      <c r="RAM206" s="3"/>
      <c r="RAN206" s="3"/>
      <c r="RAO206" s="3"/>
      <c r="RAP206" s="3"/>
      <c r="RAQ206" s="3"/>
      <c r="RAR206" s="3"/>
      <c r="RAS206" s="3"/>
      <c r="RAT206" s="3"/>
      <c r="RAU206" s="3"/>
      <c r="RAV206" s="3"/>
      <c r="RAW206" s="3"/>
      <c r="RAX206" s="3"/>
      <c r="RAY206" s="3"/>
      <c r="RAZ206" s="3"/>
      <c r="RBA206" s="3"/>
      <c r="RBB206" s="3"/>
      <c r="RBC206" s="3"/>
      <c r="RBD206" s="3"/>
      <c r="RBE206" s="3"/>
      <c r="RBF206" s="3"/>
      <c r="RBG206" s="3"/>
      <c r="RBH206" s="3"/>
      <c r="RBI206" s="3"/>
      <c r="RBJ206" s="3"/>
      <c r="RBK206" s="3"/>
      <c r="RBL206" s="3"/>
      <c r="RBM206" s="3"/>
      <c r="RBN206" s="3"/>
      <c r="RBO206" s="3"/>
      <c r="RBP206" s="3"/>
      <c r="RBQ206" s="3"/>
      <c r="RBR206" s="3"/>
      <c r="RBS206" s="3"/>
      <c r="RBT206" s="3"/>
      <c r="RBU206" s="3"/>
      <c r="RBV206" s="3"/>
      <c r="RBW206" s="3"/>
      <c r="RBX206" s="3"/>
      <c r="RBY206" s="3"/>
      <c r="RBZ206" s="3"/>
      <c r="RCA206" s="3"/>
      <c r="RCB206" s="3"/>
      <c r="RCC206" s="3"/>
      <c r="RCD206" s="3"/>
      <c r="RCE206" s="3"/>
      <c r="RCF206" s="3"/>
      <c r="RCG206" s="3"/>
      <c r="RCH206" s="3"/>
      <c r="RCI206" s="3"/>
      <c r="RCJ206" s="3"/>
      <c r="RCK206" s="3"/>
      <c r="RCL206" s="3"/>
      <c r="RCM206" s="3"/>
      <c r="RCN206" s="3"/>
      <c r="RCO206" s="3"/>
      <c r="RCP206" s="3"/>
      <c r="RCQ206" s="3"/>
      <c r="RCR206" s="3"/>
      <c r="RCS206" s="3"/>
      <c r="RCT206" s="3"/>
      <c r="RCU206" s="3"/>
      <c r="RCV206" s="3"/>
      <c r="RCW206" s="3"/>
      <c r="RCX206" s="3"/>
      <c r="RCY206" s="3"/>
      <c r="RCZ206" s="3"/>
      <c r="RDA206" s="3"/>
      <c r="RDB206" s="3"/>
      <c r="RDC206" s="3"/>
      <c r="RDD206" s="3"/>
      <c r="RDE206" s="3"/>
      <c r="RDF206" s="3"/>
      <c r="RDG206" s="3"/>
      <c r="RDH206" s="3"/>
      <c r="RDI206" s="3"/>
      <c r="RDJ206" s="3"/>
      <c r="RDK206" s="3"/>
      <c r="RDL206" s="3"/>
      <c r="RDM206" s="3"/>
      <c r="RDN206" s="3"/>
      <c r="RDO206" s="3"/>
      <c r="RDP206" s="3"/>
      <c r="RDQ206" s="3"/>
      <c r="RDR206" s="3"/>
      <c r="RDS206" s="3"/>
      <c r="RDT206" s="3"/>
      <c r="RDU206" s="3"/>
      <c r="RDV206" s="3"/>
      <c r="RDW206" s="3"/>
      <c r="RDX206" s="3"/>
      <c r="RDY206" s="3"/>
      <c r="RDZ206" s="3"/>
      <c r="REA206" s="3"/>
      <c r="REB206" s="3"/>
      <c r="REC206" s="3"/>
      <c r="RED206" s="3"/>
      <c r="REE206" s="3"/>
      <c r="REF206" s="3"/>
      <c r="REG206" s="3"/>
      <c r="REH206" s="3"/>
      <c r="REI206" s="3"/>
      <c r="REJ206" s="3"/>
      <c r="REK206" s="3"/>
      <c r="REL206" s="3"/>
      <c r="REM206" s="3"/>
      <c r="REN206" s="3"/>
      <c r="REO206" s="3"/>
      <c r="REP206" s="3"/>
      <c r="REQ206" s="3"/>
      <c r="RER206" s="3"/>
      <c r="RES206" s="3"/>
      <c r="RET206" s="3"/>
      <c r="REU206" s="3"/>
      <c r="REV206" s="3"/>
      <c r="REW206" s="3"/>
      <c r="REX206" s="3"/>
      <c r="REY206" s="3"/>
      <c r="REZ206" s="3"/>
      <c r="RFA206" s="3"/>
      <c r="RFB206" s="3"/>
      <c r="RFC206" s="3"/>
      <c r="RFD206" s="3"/>
      <c r="RFE206" s="3"/>
      <c r="RFF206" s="3"/>
      <c r="RFG206" s="3"/>
      <c r="RFH206" s="3"/>
      <c r="RFI206" s="3"/>
      <c r="RFJ206" s="3"/>
      <c r="RFK206" s="3"/>
      <c r="RFL206" s="3"/>
      <c r="RFM206" s="3"/>
      <c r="RFN206" s="3"/>
      <c r="RFO206" s="3"/>
      <c r="RFP206" s="3"/>
      <c r="RFQ206" s="3"/>
      <c r="RFR206" s="3"/>
      <c r="RFS206" s="3"/>
      <c r="RFT206" s="3"/>
      <c r="RFU206" s="3"/>
      <c r="RFV206" s="3"/>
      <c r="RFW206" s="3"/>
      <c r="RFX206" s="3"/>
      <c r="RFY206" s="3"/>
      <c r="RFZ206" s="3"/>
      <c r="RGA206" s="3"/>
      <c r="RGB206" s="3"/>
      <c r="RGC206" s="3"/>
      <c r="RGD206" s="3"/>
      <c r="RGE206" s="3"/>
      <c r="RGF206" s="3"/>
      <c r="RGG206" s="3"/>
      <c r="RGH206" s="3"/>
      <c r="RGI206" s="3"/>
      <c r="RGJ206" s="3"/>
      <c r="RGK206" s="3"/>
      <c r="RGL206" s="3"/>
      <c r="RGM206" s="3"/>
      <c r="RGN206" s="3"/>
      <c r="RGO206" s="3"/>
      <c r="RGP206" s="3"/>
      <c r="RGQ206" s="3"/>
      <c r="RGR206" s="3"/>
      <c r="RGS206" s="3"/>
      <c r="RGT206" s="3"/>
      <c r="RGU206" s="3"/>
      <c r="RGV206" s="3"/>
      <c r="RGW206" s="3"/>
      <c r="RGX206" s="3"/>
      <c r="RGY206" s="3"/>
      <c r="RGZ206" s="3"/>
      <c r="RHA206" s="3"/>
      <c r="RHB206" s="3"/>
      <c r="RHC206" s="3"/>
      <c r="RHD206" s="3"/>
      <c r="RHE206" s="3"/>
      <c r="RHF206" s="3"/>
      <c r="RHG206" s="3"/>
      <c r="RHH206" s="3"/>
      <c r="RHI206" s="3"/>
      <c r="RHJ206" s="3"/>
      <c r="RHK206" s="3"/>
      <c r="RHL206" s="3"/>
      <c r="RHM206" s="3"/>
      <c r="RHN206" s="3"/>
      <c r="RHO206" s="3"/>
      <c r="RHP206" s="3"/>
      <c r="RHQ206" s="3"/>
      <c r="RHR206" s="3"/>
      <c r="RHS206" s="3"/>
      <c r="RHT206" s="3"/>
      <c r="RHU206" s="3"/>
      <c r="RHV206" s="3"/>
      <c r="RHW206" s="3"/>
      <c r="RHX206" s="3"/>
      <c r="RHY206" s="3"/>
      <c r="RHZ206" s="3"/>
      <c r="RIA206" s="3"/>
      <c r="RIB206" s="3"/>
      <c r="RIC206" s="3"/>
      <c r="RID206" s="3"/>
      <c r="RIE206" s="3"/>
      <c r="RIF206" s="3"/>
      <c r="RIG206" s="3"/>
      <c r="RIH206" s="3"/>
      <c r="RII206" s="3"/>
      <c r="RIJ206" s="3"/>
      <c r="RIK206" s="3"/>
      <c r="RIL206" s="3"/>
      <c r="RIM206" s="3"/>
      <c r="RIN206" s="3"/>
      <c r="RIO206" s="3"/>
      <c r="RIP206" s="3"/>
      <c r="RIQ206" s="3"/>
      <c r="RIR206" s="3"/>
      <c r="RIS206" s="3"/>
      <c r="RIT206" s="3"/>
      <c r="RIU206" s="3"/>
      <c r="RIV206" s="3"/>
      <c r="RIW206" s="3"/>
      <c r="RIX206" s="3"/>
      <c r="RIY206" s="3"/>
      <c r="RIZ206" s="3"/>
      <c r="RJA206" s="3"/>
      <c r="RJB206" s="3"/>
      <c r="RJC206" s="3"/>
      <c r="RJD206" s="3"/>
      <c r="RJE206" s="3"/>
      <c r="RJF206" s="3"/>
      <c r="RJG206" s="3"/>
      <c r="RJH206" s="3"/>
      <c r="RJI206" s="3"/>
      <c r="RJJ206" s="3"/>
      <c r="RJK206" s="3"/>
      <c r="RJL206" s="3"/>
      <c r="RJM206" s="3"/>
      <c r="RJN206" s="3"/>
      <c r="RJO206" s="3"/>
      <c r="RJP206" s="3"/>
      <c r="RJQ206" s="3"/>
      <c r="RJR206" s="3"/>
      <c r="RJS206" s="3"/>
      <c r="RJT206" s="3"/>
      <c r="RJU206" s="3"/>
      <c r="RJV206" s="3"/>
      <c r="RJW206" s="3"/>
      <c r="RJX206" s="3"/>
      <c r="RJY206" s="3"/>
      <c r="RJZ206" s="3"/>
      <c r="RKA206" s="3"/>
      <c r="RKB206" s="3"/>
      <c r="RKC206" s="3"/>
      <c r="RKD206" s="3"/>
      <c r="RKE206" s="3"/>
      <c r="RKF206" s="3"/>
      <c r="RKG206" s="3"/>
      <c r="RKH206" s="3"/>
      <c r="RKI206" s="3"/>
      <c r="RKJ206" s="3"/>
      <c r="RKK206" s="3"/>
      <c r="RKL206" s="3"/>
      <c r="RKM206" s="3"/>
      <c r="RKN206" s="3"/>
      <c r="RKO206" s="3"/>
      <c r="RKP206" s="3"/>
      <c r="RKQ206" s="3"/>
      <c r="RKR206" s="3"/>
      <c r="RKS206" s="3"/>
      <c r="RKT206" s="3"/>
      <c r="RKU206" s="3"/>
      <c r="RKV206" s="3"/>
      <c r="RKW206" s="3"/>
      <c r="RKX206" s="3"/>
      <c r="RKY206" s="3"/>
      <c r="RKZ206" s="3"/>
      <c r="RLA206" s="3"/>
      <c r="RLB206" s="3"/>
      <c r="RLC206" s="3"/>
      <c r="RLD206" s="3"/>
      <c r="RLE206" s="3"/>
      <c r="RLF206" s="3"/>
      <c r="RLG206" s="3"/>
      <c r="RLH206" s="3"/>
      <c r="RLI206" s="3"/>
      <c r="RLJ206" s="3"/>
      <c r="RLK206" s="3"/>
      <c r="RLL206" s="3"/>
      <c r="RLM206" s="3"/>
      <c r="RLN206" s="3"/>
      <c r="RLO206" s="3"/>
      <c r="RLP206" s="3"/>
      <c r="RLQ206" s="3"/>
      <c r="RLR206" s="3"/>
      <c r="RLS206" s="3"/>
      <c r="RLT206" s="3"/>
      <c r="RLU206" s="3"/>
      <c r="RLV206" s="3"/>
      <c r="RLW206" s="3"/>
      <c r="RLX206" s="3"/>
      <c r="RLY206" s="3"/>
      <c r="RLZ206" s="3"/>
      <c r="RMA206" s="3"/>
      <c r="RMB206" s="3"/>
      <c r="RMC206" s="3"/>
      <c r="RMD206" s="3"/>
      <c r="RME206" s="3"/>
      <c r="RMF206" s="3"/>
      <c r="RMG206" s="3"/>
      <c r="RMH206" s="3"/>
      <c r="RMI206" s="3"/>
      <c r="RMJ206" s="3"/>
      <c r="RMK206" s="3"/>
      <c r="RML206" s="3"/>
      <c r="RMM206" s="3"/>
      <c r="RMN206" s="3"/>
      <c r="RMO206" s="3"/>
      <c r="RMP206" s="3"/>
      <c r="RMQ206" s="3"/>
      <c r="RMR206" s="3"/>
      <c r="RMS206" s="3"/>
      <c r="RMT206" s="3"/>
      <c r="RMU206" s="3"/>
      <c r="RMV206" s="3"/>
      <c r="RMW206" s="3"/>
      <c r="RMX206" s="3"/>
      <c r="RMY206" s="3"/>
      <c r="RMZ206" s="3"/>
      <c r="RNA206" s="3"/>
      <c r="RNB206" s="3"/>
      <c r="RNC206" s="3"/>
      <c r="RND206" s="3"/>
      <c r="RNE206" s="3"/>
      <c r="RNF206" s="3"/>
      <c r="RNG206" s="3"/>
      <c r="RNH206" s="3"/>
      <c r="RNI206" s="3"/>
      <c r="RNJ206" s="3"/>
      <c r="RNK206" s="3"/>
      <c r="RNL206" s="3"/>
      <c r="RNM206" s="3"/>
      <c r="RNN206" s="3"/>
      <c r="RNO206" s="3"/>
      <c r="RNP206" s="3"/>
      <c r="RNQ206" s="3"/>
      <c r="RNR206" s="3"/>
      <c r="RNS206" s="3"/>
      <c r="RNT206" s="3"/>
      <c r="RNU206" s="3"/>
      <c r="RNV206" s="3"/>
      <c r="RNW206" s="3"/>
      <c r="RNX206" s="3"/>
      <c r="RNY206" s="3"/>
      <c r="RNZ206" s="3"/>
      <c r="ROA206" s="3"/>
      <c r="ROB206" s="3"/>
      <c r="ROC206" s="3"/>
      <c r="ROD206" s="3"/>
      <c r="ROE206" s="3"/>
      <c r="ROF206" s="3"/>
      <c r="ROG206" s="3"/>
      <c r="ROH206" s="3"/>
      <c r="ROI206" s="3"/>
      <c r="ROJ206" s="3"/>
      <c r="ROK206" s="3"/>
      <c r="ROL206" s="3"/>
      <c r="ROM206" s="3"/>
      <c r="RON206" s="3"/>
      <c r="ROO206" s="3"/>
      <c r="ROP206" s="3"/>
      <c r="ROQ206" s="3"/>
      <c r="ROR206" s="3"/>
      <c r="ROS206" s="3"/>
      <c r="ROT206" s="3"/>
      <c r="ROU206" s="3"/>
      <c r="ROV206" s="3"/>
      <c r="ROW206" s="3"/>
      <c r="ROX206" s="3"/>
      <c r="ROY206" s="3"/>
      <c r="ROZ206" s="3"/>
      <c r="RPA206" s="3"/>
      <c r="RPB206" s="3"/>
      <c r="RPC206" s="3"/>
      <c r="RPD206" s="3"/>
      <c r="RPE206" s="3"/>
      <c r="RPF206" s="3"/>
      <c r="RPG206" s="3"/>
      <c r="RPH206" s="3"/>
      <c r="RPI206" s="3"/>
      <c r="RPJ206" s="3"/>
      <c r="RPK206" s="3"/>
      <c r="RPL206" s="3"/>
      <c r="RPM206" s="3"/>
      <c r="RPN206" s="3"/>
      <c r="RPO206" s="3"/>
      <c r="RPP206" s="3"/>
      <c r="RPQ206" s="3"/>
      <c r="RPR206" s="3"/>
      <c r="RPS206" s="3"/>
      <c r="RPT206" s="3"/>
      <c r="RPU206" s="3"/>
      <c r="RPV206" s="3"/>
      <c r="RPW206" s="3"/>
      <c r="RPX206" s="3"/>
      <c r="RPY206" s="3"/>
      <c r="RPZ206" s="3"/>
      <c r="RQA206" s="3"/>
      <c r="RQB206" s="3"/>
      <c r="RQC206" s="3"/>
      <c r="RQD206" s="3"/>
      <c r="RQE206" s="3"/>
      <c r="RQF206" s="3"/>
      <c r="RQG206" s="3"/>
      <c r="RQH206" s="3"/>
      <c r="RQI206" s="3"/>
      <c r="RQJ206" s="3"/>
      <c r="RQK206" s="3"/>
      <c r="RQL206" s="3"/>
      <c r="RQM206" s="3"/>
      <c r="RQN206" s="3"/>
      <c r="RQO206" s="3"/>
      <c r="RQP206" s="3"/>
      <c r="RQQ206" s="3"/>
      <c r="RQR206" s="3"/>
      <c r="RQS206" s="3"/>
      <c r="RQT206" s="3"/>
      <c r="RQU206" s="3"/>
      <c r="RQV206" s="3"/>
      <c r="RQW206" s="3"/>
      <c r="RQX206" s="3"/>
      <c r="RQY206" s="3"/>
      <c r="RQZ206" s="3"/>
      <c r="RRA206" s="3"/>
      <c r="RRB206" s="3"/>
      <c r="RRC206" s="3"/>
      <c r="RRD206" s="3"/>
      <c r="RRE206" s="3"/>
      <c r="RRF206" s="3"/>
      <c r="RRG206" s="3"/>
      <c r="RRH206" s="3"/>
      <c r="RRI206" s="3"/>
      <c r="RRJ206" s="3"/>
      <c r="RRK206" s="3"/>
      <c r="RRL206" s="3"/>
      <c r="RRM206" s="3"/>
      <c r="RRN206" s="3"/>
      <c r="RRO206" s="3"/>
      <c r="RRP206" s="3"/>
      <c r="RRQ206" s="3"/>
      <c r="RRR206" s="3"/>
      <c r="RRS206" s="3"/>
      <c r="RRT206" s="3"/>
      <c r="RRU206" s="3"/>
      <c r="RRV206" s="3"/>
      <c r="RRW206" s="3"/>
      <c r="RRX206" s="3"/>
      <c r="RRY206" s="3"/>
      <c r="RRZ206" s="3"/>
      <c r="RSA206" s="3"/>
      <c r="RSB206" s="3"/>
      <c r="RSC206" s="3"/>
      <c r="RSD206" s="3"/>
      <c r="RSE206" s="3"/>
      <c r="RSF206" s="3"/>
      <c r="RSG206" s="3"/>
      <c r="RSH206" s="3"/>
      <c r="RSI206" s="3"/>
      <c r="RSJ206" s="3"/>
      <c r="RSK206" s="3"/>
      <c r="RSL206" s="3"/>
      <c r="RSM206" s="3"/>
      <c r="RSN206" s="3"/>
      <c r="RSO206" s="3"/>
      <c r="RSP206" s="3"/>
      <c r="RSQ206" s="3"/>
      <c r="RSR206" s="3"/>
      <c r="RSS206" s="3"/>
      <c r="RST206" s="3"/>
      <c r="RSU206" s="3"/>
      <c r="RSV206" s="3"/>
      <c r="RSW206" s="3"/>
      <c r="RSX206" s="3"/>
      <c r="RSY206" s="3"/>
      <c r="RSZ206" s="3"/>
      <c r="RTA206" s="3"/>
      <c r="RTB206" s="3"/>
      <c r="RTC206" s="3"/>
      <c r="RTD206" s="3"/>
      <c r="RTE206" s="3"/>
      <c r="RTF206" s="3"/>
      <c r="RTG206" s="3"/>
      <c r="RTH206" s="3"/>
      <c r="RTI206" s="3"/>
      <c r="RTJ206" s="3"/>
      <c r="RTK206" s="3"/>
      <c r="RTL206" s="3"/>
      <c r="RTM206" s="3"/>
      <c r="RTN206" s="3"/>
      <c r="RTO206" s="3"/>
      <c r="RTP206" s="3"/>
      <c r="RTQ206" s="3"/>
      <c r="RTR206" s="3"/>
      <c r="RTS206" s="3"/>
      <c r="RTT206" s="3"/>
      <c r="RTU206" s="3"/>
      <c r="RTV206" s="3"/>
      <c r="RTW206" s="3"/>
      <c r="RTX206" s="3"/>
      <c r="RTY206" s="3"/>
      <c r="RTZ206" s="3"/>
      <c r="RUA206" s="3"/>
      <c r="RUB206" s="3"/>
      <c r="RUC206" s="3"/>
      <c r="RUD206" s="3"/>
      <c r="RUE206" s="3"/>
      <c r="RUF206" s="3"/>
      <c r="RUG206" s="3"/>
      <c r="RUH206" s="3"/>
      <c r="RUI206" s="3"/>
      <c r="RUJ206" s="3"/>
      <c r="RUK206" s="3"/>
      <c r="RUL206" s="3"/>
      <c r="RUM206" s="3"/>
      <c r="RUN206" s="3"/>
      <c r="RUO206" s="3"/>
      <c r="RUP206" s="3"/>
      <c r="RUQ206" s="3"/>
      <c r="RUR206" s="3"/>
      <c r="RUS206" s="3"/>
      <c r="RUT206" s="3"/>
      <c r="RUU206" s="3"/>
      <c r="RUV206" s="3"/>
      <c r="RUW206" s="3"/>
      <c r="RUX206" s="3"/>
      <c r="RUY206" s="3"/>
      <c r="RUZ206" s="3"/>
      <c r="RVA206" s="3"/>
      <c r="RVB206" s="3"/>
      <c r="RVC206" s="3"/>
      <c r="RVD206" s="3"/>
      <c r="RVE206" s="3"/>
      <c r="RVF206" s="3"/>
      <c r="RVG206" s="3"/>
      <c r="RVH206" s="3"/>
      <c r="RVI206" s="3"/>
      <c r="RVJ206" s="3"/>
      <c r="RVK206" s="3"/>
      <c r="RVL206" s="3"/>
      <c r="RVM206" s="3"/>
      <c r="RVN206" s="3"/>
      <c r="RVO206" s="3"/>
      <c r="RVP206" s="3"/>
      <c r="RVQ206" s="3"/>
      <c r="RVR206" s="3"/>
      <c r="RVS206" s="3"/>
      <c r="RVT206" s="3"/>
      <c r="RVU206" s="3"/>
      <c r="RVV206" s="3"/>
      <c r="RVW206" s="3"/>
      <c r="RVX206" s="3"/>
      <c r="RVY206" s="3"/>
      <c r="RVZ206" s="3"/>
      <c r="RWA206" s="3"/>
      <c r="RWB206" s="3"/>
      <c r="RWC206" s="3"/>
      <c r="RWD206" s="3"/>
      <c r="RWE206" s="3"/>
      <c r="RWF206" s="3"/>
      <c r="RWG206" s="3"/>
      <c r="RWH206" s="3"/>
      <c r="RWI206" s="3"/>
      <c r="RWJ206" s="3"/>
      <c r="RWK206" s="3"/>
      <c r="RWL206" s="3"/>
      <c r="RWM206" s="3"/>
      <c r="RWN206" s="3"/>
      <c r="RWO206" s="3"/>
      <c r="RWP206" s="3"/>
      <c r="RWQ206" s="3"/>
      <c r="RWR206" s="3"/>
      <c r="RWS206" s="3"/>
      <c r="RWT206" s="3"/>
      <c r="RWU206" s="3"/>
      <c r="RWV206" s="3"/>
      <c r="RWW206" s="3"/>
      <c r="RWX206" s="3"/>
      <c r="RWY206" s="3"/>
      <c r="RWZ206" s="3"/>
      <c r="RXA206" s="3"/>
      <c r="RXB206" s="3"/>
      <c r="RXC206" s="3"/>
      <c r="RXD206" s="3"/>
      <c r="RXE206" s="3"/>
      <c r="RXF206" s="3"/>
      <c r="RXG206" s="3"/>
      <c r="RXH206" s="3"/>
      <c r="RXI206" s="3"/>
      <c r="RXJ206" s="3"/>
      <c r="RXK206" s="3"/>
      <c r="RXL206" s="3"/>
      <c r="RXM206" s="3"/>
      <c r="RXN206" s="3"/>
      <c r="RXO206" s="3"/>
      <c r="RXP206" s="3"/>
      <c r="RXQ206" s="3"/>
      <c r="RXR206" s="3"/>
      <c r="RXS206" s="3"/>
      <c r="RXT206" s="3"/>
      <c r="RXU206" s="3"/>
      <c r="RXV206" s="3"/>
      <c r="RXW206" s="3"/>
      <c r="RXX206" s="3"/>
      <c r="RXY206" s="3"/>
      <c r="RXZ206" s="3"/>
      <c r="RYA206" s="3"/>
      <c r="RYB206" s="3"/>
      <c r="RYC206" s="3"/>
      <c r="RYD206" s="3"/>
      <c r="RYE206" s="3"/>
      <c r="RYF206" s="3"/>
      <c r="RYG206" s="3"/>
      <c r="RYH206" s="3"/>
      <c r="RYI206" s="3"/>
      <c r="RYJ206" s="3"/>
      <c r="RYK206" s="3"/>
      <c r="RYL206" s="3"/>
      <c r="RYM206" s="3"/>
      <c r="RYN206" s="3"/>
      <c r="RYO206" s="3"/>
      <c r="RYP206" s="3"/>
      <c r="RYQ206" s="3"/>
      <c r="RYR206" s="3"/>
      <c r="RYS206" s="3"/>
      <c r="RYT206" s="3"/>
      <c r="RYU206" s="3"/>
      <c r="RYV206" s="3"/>
      <c r="RYW206" s="3"/>
      <c r="RYX206" s="3"/>
      <c r="RYY206" s="3"/>
      <c r="RYZ206" s="3"/>
      <c r="RZA206" s="3"/>
      <c r="RZB206" s="3"/>
      <c r="RZC206" s="3"/>
      <c r="RZD206" s="3"/>
      <c r="RZE206" s="3"/>
      <c r="RZF206" s="3"/>
      <c r="RZG206" s="3"/>
      <c r="RZH206" s="3"/>
      <c r="RZI206" s="3"/>
      <c r="RZJ206" s="3"/>
      <c r="RZK206" s="3"/>
      <c r="RZL206" s="3"/>
      <c r="RZM206" s="3"/>
      <c r="RZN206" s="3"/>
      <c r="RZO206" s="3"/>
      <c r="RZP206" s="3"/>
      <c r="RZQ206" s="3"/>
      <c r="RZR206" s="3"/>
      <c r="RZS206" s="3"/>
      <c r="RZT206" s="3"/>
      <c r="RZU206" s="3"/>
      <c r="RZV206" s="3"/>
      <c r="RZW206" s="3"/>
      <c r="RZX206" s="3"/>
      <c r="RZY206" s="3"/>
      <c r="RZZ206" s="3"/>
      <c r="SAA206" s="3"/>
      <c r="SAB206" s="3"/>
      <c r="SAC206" s="3"/>
      <c r="SAD206" s="3"/>
      <c r="SAE206" s="3"/>
      <c r="SAF206" s="3"/>
      <c r="SAG206" s="3"/>
      <c r="SAH206" s="3"/>
      <c r="SAI206" s="3"/>
      <c r="SAJ206" s="3"/>
      <c r="SAK206" s="3"/>
      <c r="SAL206" s="3"/>
      <c r="SAM206" s="3"/>
      <c r="SAN206" s="3"/>
      <c r="SAO206" s="3"/>
      <c r="SAP206" s="3"/>
      <c r="SAQ206" s="3"/>
      <c r="SAR206" s="3"/>
      <c r="SAS206" s="3"/>
      <c r="SAT206" s="3"/>
      <c r="SAU206" s="3"/>
      <c r="SAV206" s="3"/>
      <c r="SAW206" s="3"/>
      <c r="SAX206" s="3"/>
      <c r="SAY206" s="3"/>
      <c r="SAZ206" s="3"/>
      <c r="SBA206" s="3"/>
      <c r="SBB206" s="3"/>
      <c r="SBC206" s="3"/>
      <c r="SBD206" s="3"/>
      <c r="SBE206" s="3"/>
      <c r="SBF206" s="3"/>
      <c r="SBG206" s="3"/>
      <c r="SBH206" s="3"/>
      <c r="SBI206" s="3"/>
      <c r="SBJ206" s="3"/>
      <c r="SBK206" s="3"/>
      <c r="SBL206" s="3"/>
      <c r="SBM206" s="3"/>
      <c r="SBN206" s="3"/>
      <c r="SBO206" s="3"/>
      <c r="SBP206" s="3"/>
      <c r="SBQ206" s="3"/>
      <c r="SBR206" s="3"/>
      <c r="SBS206" s="3"/>
      <c r="SBT206" s="3"/>
      <c r="SBU206" s="3"/>
      <c r="SBV206" s="3"/>
      <c r="SBW206" s="3"/>
      <c r="SBX206" s="3"/>
      <c r="SBY206" s="3"/>
      <c r="SBZ206" s="3"/>
      <c r="SCA206" s="3"/>
      <c r="SCB206" s="3"/>
      <c r="SCC206" s="3"/>
      <c r="SCD206" s="3"/>
      <c r="SCE206" s="3"/>
      <c r="SCF206" s="3"/>
      <c r="SCG206" s="3"/>
      <c r="SCH206" s="3"/>
      <c r="SCI206" s="3"/>
      <c r="SCJ206" s="3"/>
      <c r="SCK206" s="3"/>
      <c r="SCL206" s="3"/>
      <c r="SCM206" s="3"/>
      <c r="SCN206" s="3"/>
      <c r="SCO206" s="3"/>
      <c r="SCP206" s="3"/>
      <c r="SCQ206" s="3"/>
      <c r="SCR206" s="3"/>
      <c r="SCS206" s="3"/>
      <c r="SCT206" s="3"/>
      <c r="SCU206" s="3"/>
      <c r="SCV206" s="3"/>
      <c r="SCW206" s="3"/>
      <c r="SCX206" s="3"/>
      <c r="SCY206" s="3"/>
      <c r="SCZ206" s="3"/>
      <c r="SDA206" s="3"/>
      <c r="SDB206" s="3"/>
      <c r="SDC206" s="3"/>
      <c r="SDD206" s="3"/>
      <c r="SDE206" s="3"/>
      <c r="SDF206" s="3"/>
      <c r="SDG206" s="3"/>
      <c r="SDH206" s="3"/>
      <c r="SDI206" s="3"/>
      <c r="SDJ206" s="3"/>
      <c r="SDK206" s="3"/>
      <c r="SDL206" s="3"/>
      <c r="SDM206" s="3"/>
      <c r="SDN206" s="3"/>
      <c r="SDO206" s="3"/>
      <c r="SDP206" s="3"/>
      <c r="SDQ206" s="3"/>
      <c r="SDR206" s="3"/>
      <c r="SDS206" s="3"/>
      <c r="SDT206" s="3"/>
      <c r="SDU206" s="3"/>
      <c r="SDV206" s="3"/>
      <c r="SDW206" s="3"/>
      <c r="SDX206" s="3"/>
      <c r="SDY206" s="3"/>
      <c r="SDZ206" s="3"/>
      <c r="SEA206" s="3"/>
      <c r="SEB206" s="3"/>
      <c r="SEC206" s="3"/>
      <c r="SED206" s="3"/>
      <c r="SEE206" s="3"/>
      <c r="SEF206" s="3"/>
      <c r="SEG206" s="3"/>
      <c r="SEH206" s="3"/>
      <c r="SEI206" s="3"/>
      <c r="SEJ206" s="3"/>
      <c r="SEK206" s="3"/>
      <c r="SEL206" s="3"/>
      <c r="SEM206" s="3"/>
      <c r="SEN206" s="3"/>
      <c r="SEO206" s="3"/>
      <c r="SEP206" s="3"/>
      <c r="SEQ206" s="3"/>
      <c r="SER206" s="3"/>
      <c r="SES206" s="3"/>
      <c r="SET206" s="3"/>
      <c r="SEU206" s="3"/>
      <c r="SEV206" s="3"/>
      <c r="SEW206" s="3"/>
      <c r="SEX206" s="3"/>
      <c r="SEY206" s="3"/>
      <c r="SEZ206" s="3"/>
      <c r="SFA206" s="3"/>
      <c r="SFB206" s="3"/>
      <c r="SFC206" s="3"/>
      <c r="SFD206" s="3"/>
      <c r="SFE206" s="3"/>
      <c r="SFF206" s="3"/>
      <c r="SFG206" s="3"/>
      <c r="SFH206" s="3"/>
      <c r="SFI206" s="3"/>
      <c r="SFJ206" s="3"/>
      <c r="SFK206" s="3"/>
      <c r="SFL206" s="3"/>
      <c r="SFM206" s="3"/>
      <c r="SFN206" s="3"/>
      <c r="SFO206" s="3"/>
      <c r="SFP206" s="3"/>
      <c r="SFQ206" s="3"/>
      <c r="SFR206" s="3"/>
      <c r="SFS206" s="3"/>
      <c r="SFT206" s="3"/>
      <c r="SFU206" s="3"/>
      <c r="SFV206" s="3"/>
      <c r="SFW206" s="3"/>
      <c r="SFX206" s="3"/>
      <c r="SFY206" s="3"/>
      <c r="SFZ206" s="3"/>
      <c r="SGA206" s="3"/>
      <c r="SGB206" s="3"/>
      <c r="SGC206" s="3"/>
      <c r="SGD206" s="3"/>
      <c r="SGE206" s="3"/>
      <c r="SGF206" s="3"/>
      <c r="SGG206" s="3"/>
      <c r="SGH206" s="3"/>
      <c r="SGI206" s="3"/>
      <c r="SGJ206" s="3"/>
      <c r="SGK206" s="3"/>
      <c r="SGL206" s="3"/>
      <c r="SGM206" s="3"/>
      <c r="SGN206" s="3"/>
      <c r="SGO206" s="3"/>
      <c r="SGP206" s="3"/>
      <c r="SGQ206" s="3"/>
      <c r="SGR206" s="3"/>
      <c r="SGS206" s="3"/>
      <c r="SGT206" s="3"/>
      <c r="SGU206" s="3"/>
      <c r="SGV206" s="3"/>
      <c r="SGW206" s="3"/>
      <c r="SGX206" s="3"/>
      <c r="SGY206" s="3"/>
      <c r="SGZ206" s="3"/>
      <c r="SHA206" s="3"/>
      <c r="SHB206" s="3"/>
      <c r="SHC206" s="3"/>
      <c r="SHD206" s="3"/>
      <c r="SHE206" s="3"/>
      <c r="SHF206" s="3"/>
      <c r="SHG206" s="3"/>
      <c r="SHH206" s="3"/>
      <c r="SHI206" s="3"/>
      <c r="SHJ206" s="3"/>
      <c r="SHK206" s="3"/>
      <c r="SHL206" s="3"/>
      <c r="SHM206" s="3"/>
      <c r="SHN206" s="3"/>
      <c r="SHO206" s="3"/>
      <c r="SHP206" s="3"/>
      <c r="SHQ206" s="3"/>
      <c r="SHR206" s="3"/>
      <c r="SHS206" s="3"/>
      <c r="SHT206" s="3"/>
      <c r="SHU206" s="3"/>
      <c r="SHV206" s="3"/>
      <c r="SHW206" s="3"/>
      <c r="SHX206" s="3"/>
      <c r="SHY206" s="3"/>
      <c r="SHZ206" s="3"/>
      <c r="SIA206" s="3"/>
      <c r="SIB206" s="3"/>
      <c r="SIC206" s="3"/>
      <c r="SID206" s="3"/>
      <c r="SIE206" s="3"/>
      <c r="SIF206" s="3"/>
      <c r="SIG206" s="3"/>
      <c r="SIH206" s="3"/>
      <c r="SII206" s="3"/>
      <c r="SIJ206" s="3"/>
      <c r="SIK206" s="3"/>
      <c r="SIL206" s="3"/>
      <c r="SIM206" s="3"/>
      <c r="SIN206" s="3"/>
      <c r="SIO206" s="3"/>
      <c r="SIP206" s="3"/>
      <c r="SIQ206" s="3"/>
      <c r="SIR206" s="3"/>
      <c r="SIS206" s="3"/>
      <c r="SIT206" s="3"/>
      <c r="SIU206" s="3"/>
      <c r="SIV206" s="3"/>
      <c r="SIW206" s="3"/>
      <c r="SIX206" s="3"/>
      <c r="SIY206" s="3"/>
      <c r="SIZ206" s="3"/>
      <c r="SJA206" s="3"/>
      <c r="SJB206" s="3"/>
      <c r="SJC206" s="3"/>
      <c r="SJD206" s="3"/>
      <c r="SJE206" s="3"/>
      <c r="SJF206" s="3"/>
      <c r="SJG206" s="3"/>
      <c r="SJH206" s="3"/>
      <c r="SJI206" s="3"/>
      <c r="SJJ206" s="3"/>
      <c r="SJK206" s="3"/>
      <c r="SJL206" s="3"/>
      <c r="SJM206" s="3"/>
      <c r="SJN206" s="3"/>
      <c r="SJO206" s="3"/>
      <c r="SJP206" s="3"/>
      <c r="SJQ206" s="3"/>
      <c r="SJR206" s="3"/>
      <c r="SJS206" s="3"/>
      <c r="SJT206" s="3"/>
      <c r="SJU206" s="3"/>
      <c r="SJV206" s="3"/>
      <c r="SJW206" s="3"/>
      <c r="SJX206" s="3"/>
      <c r="SJY206" s="3"/>
      <c r="SJZ206" s="3"/>
      <c r="SKA206" s="3"/>
      <c r="SKB206" s="3"/>
      <c r="SKC206" s="3"/>
      <c r="SKD206" s="3"/>
      <c r="SKE206" s="3"/>
      <c r="SKF206" s="3"/>
      <c r="SKG206" s="3"/>
      <c r="SKH206" s="3"/>
      <c r="SKI206" s="3"/>
      <c r="SKJ206" s="3"/>
      <c r="SKK206" s="3"/>
      <c r="SKL206" s="3"/>
      <c r="SKM206" s="3"/>
      <c r="SKN206" s="3"/>
      <c r="SKO206" s="3"/>
      <c r="SKP206" s="3"/>
      <c r="SKQ206" s="3"/>
      <c r="SKR206" s="3"/>
      <c r="SKS206" s="3"/>
      <c r="SKT206" s="3"/>
      <c r="SKU206" s="3"/>
      <c r="SKV206" s="3"/>
      <c r="SKW206" s="3"/>
      <c r="SKX206" s="3"/>
      <c r="SKY206" s="3"/>
      <c r="SKZ206" s="3"/>
      <c r="SLA206" s="3"/>
      <c r="SLB206" s="3"/>
      <c r="SLC206" s="3"/>
      <c r="SLD206" s="3"/>
      <c r="SLE206" s="3"/>
      <c r="SLF206" s="3"/>
      <c r="SLG206" s="3"/>
      <c r="SLH206" s="3"/>
      <c r="SLI206" s="3"/>
      <c r="SLJ206" s="3"/>
      <c r="SLK206" s="3"/>
      <c r="SLL206" s="3"/>
      <c r="SLM206" s="3"/>
      <c r="SLN206" s="3"/>
      <c r="SLO206" s="3"/>
      <c r="SLP206" s="3"/>
      <c r="SLQ206" s="3"/>
      <c r="SLR206" s="3"/>
      <c r="SLS206" s="3"/>
      <c r="SLT206" s="3"/>
      <c r="SLU206" s="3"/>
      <c r="SLV206" s="3"/>
      <c r="SLW206" s="3"/>
      <c r="SLX206" s="3"/>
      <c r="SLY206" s="3"/>
      <c r="SLZ206" s="3"/>
      <c r="SMA206" s="3"/>
      <c r="SMB206" s="3"/>
      <c r="SMC206" s="3"/>
      <c r="SMD206" s="3"/>
      <c r="SME206" s="3"/>
      <c r="SMF206" s="3"/>
      <c r="SMG206" s="3"/>
      <c r="SMH206" s="3"/>
      <c r="SMI206" s="3"/>
      <c r="SMJ206" s="3"/>
      <c r="SMK206" s="3"/>
      <c r="SML206" s="3"/>
      <c r="SMM206" s="3"/>
      <c r="SMN206" s="3"/>
      <c r="SMO206" s="3"/>
      <c r="SMP206" s="3"/>
      <c r="SMQ206" s="3"/>
      <c r="SMR206" s="3"/>
      <c r="SMS206" s="3"/>
      <c r="SMT206" s="3"/>
      <c r="SMU206" s="3"/>
      <c r="SMV206" s="3"/>
      <c r="SMW206" s="3"/>
      <c r="SMX206" s="3"/>
      <c r="SMY206" s="3"/>
      <c r="SMZ206" s="3"/>
      <c r="SNA206" s="3"/>
      <c r="SNB206" s="3"/>
      <c r="SNC206" s="3"/>
      <c r="SND206" s="3"/>
      <c r="SNE206" s="3"/>
      <c r="SNF206" s="3"/>
      <c r="SNG206" s="3"/>
      <c r="SNH206" s="3"/>
      <c r="SNI206" s="3"/>
      <c r="SNJ206" s="3"/>
      <c r="SNK206" s="3"/>
      <c r="SNL206" s="3"/>
      <c r="SNM206" s="3"/>
      <c r="SNN206" s="3"/>
      <c r="SNO206" s="3"/>
      <c r="SNP206" s="3"/>
      <c r="SNQ206" s="3"/>
      <c r="SNR206" s="3"/>
      <c r="SNS206" s="3"/>
      <c r="SNT206" s="3"/>
      <c r="SNU206" s="3"/>
      <c r="SNV206" s="3"/>
      <c r="SNW206" s="3"/>
      <c r="SNX206" s="3"/>
      <c r="SNY206" s="3"/>
      <c r="SNZ206" s="3"/>
      <c r="SOA206" s="3"/>
      <c r="SOB206" s="3"/>
      <c r="SOC206" s="3"/>
      <c r="SOD206" s="3"/>
      <c r="SOE206" s="3"/>
      <c r="SOF206" s="3"/>
      <c r="SOG206" s="3"/>
      <c r="SOH206" s="3"/>
      <c r="SOI206" s="3"/>
      <c r="SOJ206" s="3"/>
      <c r="SOK206" s="3"/>
      <c r="SOL206" s="3"/>
      <c r="SOM206" s="3"/>
      <c r="SON206" s="3"/>
      <c r="SOO206" s="3"/>
      <c r="SOP206" s="3"/>
      <c r="SOQ206" s="3"/>
      <c r="SOR206" s="3"/>
      <c r="SOS206" s="3"/>
      <c r="SOT206" s="3"/>
      <c r="SOU206" s="3"/>
      <c r="SOV206" s="3"/>
      <c r="SOW206" s="3"/>
      <c r="SOX206" s="3"/>
      <c r="SOY206" s="3"/>
      <c r="SOZ206" s="3"/>
      <c r="SPA206" s="3"/>
      <c r="SPB206" s="3"/>
      <c r="SPC206" s="3"/>
      <c r="SPD206" s="3"/>
      <c r="SPE206" s="3"/>
      <c r="SPF206" s="3"/>
      <c r="SPG206" s="3"/>
      <c r="SPH206" s="3"/>
      <c r="SPI206" s="3"/>
      <c r="SPJ206" s="3"/>
      <c r="SPK206" s="3"/>
      <c r="SPL206" s="3"/>
      <c r="SPM206" s="3"/>
      <c r="SPN206" s="3"/>
      <c r="SPO206" s="3"/>
      <c r="SPP206" s="3"/>
      <c r="SPQ206" s="3"/>
      <c r="SPR206" s="3"/>
      <c r="SPS206" s="3"/>
      <c r="SPT206" s="3"/>
      <c r="SPU206" s="3"/>
      <c r="SPV206" s="3"/>
      <c r="SPW206" s="3"/>
      <c r="SPX206" s="3"/>
      <c r="SPY206" s="3"/>
      <c r="SPZ206" s="3"/>
      <c r="SQA206" s="3"/>
      <c r="SQB206" s="3"/>
      <c r="SQC206" s="3"/>
      <c r="SQD206" s="3"/>
      <c r="SQE206" s="3"/>
      <c r="SQF206" s="3"/>
      <c r="SQG206" s="3"/>
      <c r="SQH206" s="3"/>
      <c r="SQI206" s="3"/>
      <c r="SQJ206" s="3"/>
      <c r="SQK206" s="3"/>
      <c r="SQL206" s="3"/>
      <c r="SQM206" s="3"/>
      <c r="SQN206" s="3"/>
      <c r="SQO206" s="3"/>
      <c r="SQP206" s="3"/>
      <c r="SQQ206" s="3"/>
      <c r="SQR206" s="3"/>
      <c r="SQS206" s="3"/>
      <c r="SQT206" s="3"/>
      <c r="SQU206" s="3"/>
      <c r="SQV206" s="3"/>
      <c r="SQW206" s="3"/>
      <c r="SQX206" s="3"/>
      <c r="SQY206" s="3"/>
      <c r="SQZ206" s="3"/>
      <c r="SRA206" s="3"/>
      <c r="SRB206" s="3"/>
      <c r="SRC206" s="3"/>
      <c r="SRD206" s="3"/>
      <c r="SRE206" s="3"/>
      <c r="SRF206" s="3"/>
      <c r="SRG206" s="3"/>
      <c r="SRH206" s="3"/>
      <c r="SRI206" s="3"/>
      <c r="SRJ206" s="3"/>
      <c r="SRK206" s="3"/>
      <c r="SRL206" s="3"/>
      <c r="SRM206" s="3"/>
      <c r="SRN206" s="3"/>
      <c r="SRO206" s="3"/>
      <c r="SRP206" s="3"/>
      <c r="SRQ206" s="3"/>
      <c r="SRR206" s="3"/>
      <c r="SRS206" s="3"/>
      <c r="SRT206" s="3"/>
      <c r="SRU206" s="3"/>
      <c r="SRV206" s="3"/>
      <c r="SRW206" s="3"/>
      <c r="SRX206" s="3"/>
      <c r="SRY206" s="3"/>
      <c r="SRZ206" s="3"/>
      <c r="SSA206" s="3"/>
      <c r="SSB206" s="3"/>
      <c r="SSC206" s="3"/>
      <c r="SSD206" s="3"/>
      <c r="SSE206" s="3"/>
      <c r="SSF206" s="3"/>
      <c r="SSG206" s="3"/>
      <c r="SSH206" s="3"/>
      <c r="SSI206" s="3"/>
      <c r="SSJ206" s="3"/>
      <c r="SSK206" s="3"/>
      <c r="SSL206" s="3"/>
      <c r="SSM206" s="3"/>
      <c r="SSN206" s="3"/>
      <c r="SSO206" s="3"/>
      <c r="SSP206" s="3"/>
      <c r="SSQ206" s="3"/>
      <c r="SSR206" s="3"/>
      <c r="SSS206" s="3"/>
      <c r="SST206" s="3"/>
      <c r="SSU206" s="3"/>
      <c r="SSV206" s="3"/>
      <c r="SSW206" s="3"/>
      <c r="SSX206" s="3"/>
      <c r="SSY206" s="3"/>
      <c r="SSZ206" s="3"/>
      <c r="STA206" s="3"/>
      <c r="STB206" s="3"/>
      <c r="STC206" s="3"/>
      <c r="STD206" s="3"/>
      <c r="STE206" s="3"/>
      <c r="STF206" s="3"/>
      <c r="STG206" s="3"/>
      <c r="STH206" s="3"/>
      <c r="STI206" s="3"/>
      <c r="STJ206" s="3"/>
      <c r="STK206" s="3"/>
      <c r="STL206" s="3"/>
      <c r="STM206" s="3"/>
      <c r="STN206" s="3"/>
      <c r="STO206" s="3"/>
      <c r="STP206" s="3"/>
      <c r="STQ206" s="3"/>
      <c r="STR206" s="3"/>
      <c r="STS206" s="3"/>
      <c r="STT206" s="3"/>
      <c r="STU206" s="3"/>
      <c r="STV206" s="3"/>
      <c r="STW206" s="3"/>
      <c r="STX206" s="3"/>
      <c r="STY206" s="3"/>
      <c r="STZ206" s="3"/>
      <c r="SUA206" s="3"/>
      <c r="SUB206" s="3"/>
      <c r="SUC206" s="3"/>
      <c r="SUD206" s="3"/>
      <c r="SUE206" s="3"/>
      <c r="SUF206" s="3"/>
      <c r="SUG206" s="3"/>
      <c r="SUH206" s="3"/>
      <c r="SUI206" s="3"/>
      <c r="SUJ206" s="3"/>
      <c r="SUK206" s="3"/>
      <c r="SUL206" s="3"/>
      <c r="SUM206" s="3"/>
      <c r="SUN206" s="3"/>
      <c r="SUO206" s="3"/>
      <c r="SUP206" s="3"/>
      <c r="SUQ206" s="3"/>
      <c r="SUR206" s="3"/>
      <c r="SUS206" s="3"/>
      <c r="SUT206" s="3"/>
      <c r="SUU206" s="3"/>
      <c r="SUV206" s="3"/>
      <c r="SUW206" s="3"/>
      <c r="SUX206" s="3"/>
      <c r="SUY206" s="3"/>
      <c r="SUZ206" s="3"/>
      <c r="SVA206" s="3"/>
      <c r="SVB206" s="3"/>
      <c r="SVC206" s="3"/>
      <c r="SVD206" s="3"/>
      <c r="SVE206" s="3"/>
      <c r="SVF206" s="3"/>
      <c r="SVG206" s="3"/>
      <c r="SVH206" s="3"/>
      <c r="SVI206" s="3"/>
      <c r="SVJ206" s="3"/>
      <c r="SVK206" s="3"/>
      <c r="SVL206" s="3"/>
      <c r="SVM206" s="3"/>
      <c r="SVN206" s="3"/>
      <c r="SVO206" s="3"/>
      <c r="SVP206" s="3"/>
      <c r="SVQ206" s="3"/>
      <c r="SVR206" s="3"/>
      <c r="SVS206" s="3"/>
      <c r="SVT206" s="3"/>
      <c r="SVU206" s="3"/>
      <c r="SVV206" s="3"/>
      <c r="SVW206" s="3"/>
      <c r="SVX206" s="3"/>
      <c r="SVY206" s="3"/>
      <c r="SVZ206" s="3"/>
      <c r="SWA206" s="3"/>
      <c r="SWB206" s="3"/>
      <c r="SWC206" s="3"/>
      <c r="SWD206" s="3"/>
      <c r="SWE206" s="3"/>
      <c r="SWF206" s="3"/>
      <c r="SWG206" s="3"/>
      <c r="SWH206" s="3"/>
      <c r="SWI206" s="3"/>
      <c r="SWJ206" s="3"/>
      <c r="SWK206" s="3"/>
      <c r="SWL206" s="3"/>
      <c r="SWM206" s="3"/>
      <c r="SWN206" s="3"/>
      <c r="SWO206" s="3"/>
      <c r="SWP206" s="3"/>
      <c r="SWQ206" s="3"/>
      <c r="SWR206" s="3"/>
      <c r="SWS206" s="3"/>
      <c r="SWT206" s="3"/>
      <c r="SWU206" s="3"/>
      <c r="SWV206" s="3"/>
      <c r="SWW206" s="3"/>
      <c r="SWX206" s="3"/>
      <c r="SWY206" s="3"/>
      <c r="SWZ206" s="3"/>
      <c r="SXA206" s="3"/>
      <c r="SXB206" s="3"/>
      <c r="SXC206" s="3"/>
      <c r="SXD206" s="3"/>
      <c r="SXE206" s="3"/>
      <c r="SXF206" s="3"/>
      <c r="SXG206" s="3"/>
      <c r="SXH206" s="3"/>
      <c r="SXI206" s="3"/>
      <c r="SXJ206" s="3"/>
      <c r="SXK206" s="3"/>
      <c r="SXL206" s="3"/>
      <c r="SXM206" s="3"/>
      <c r="SXN206" s="3"/>
      <c r="SXO206" s="3"/>
      <c r="SXP206" s="3"/>
      <c r="SXQ206" s="3"/>
      <c r="SXR206" s="3"/>
      <c r="SXS206" s="3"/>
      <c r="SXT206" s="3"/>
      <c r="SXU206" s="3"/>
      <c r="SXV206" s="3"/>
      <c r="SXW206" s="3"/>
      <c r="SXX206" s="3"/>
      <c r="SXY206" s="3"/>
      <c r="SXZ206" s="3"/>
      <c r="SYA206" s="3"/>
      <c r="SYB206" s="3"/>
      <c r="SYC206" s="3"/>
      <c r="SYD206" s="3"/>
      <c r="SYE206" s="3"/>
      <c r="SYF206" s="3"/>
      <c r="SYG206" s="3"/>
      <c r="SYH206" s="3"/>
      <c r="SYI206" s="3"/>
      <c r="SYJ206" s="3"/>
      <c r="SYK206" s="3"/>
      <c r="SYL206" s="3"/>
      <c r="SYM206" s="3"/>
      <c r="SYN206" s="3"/>
      <c r="SYO206" s="3"/>
      <c r="SYP206" s="3"/>
      <c r="SYQ206" s="3"/>
      <c r="SYR206" s="3"/>
      <c r="SYS206" s="3"/>
      <c r="SYT206" s="3"/>
      <c r="SYU206" s="3"/>
      <c r="SYV206" s="3"/>
      <c r="SYW206" s="3"/>
      <c r="SYX206" s="3"/>
      <c r="SYY206" s="3"/>
      <c r="SYZ206" s="3"/>
      <c r="SZA206" s="3"/>
      <c r="SZB206" s="3"/>
      <c r="SZC206" s="3"/>
      <c r="SZD206" s="3"/>
      <c r="SZE206" s="3"/>
      <c r="SZF206" s="3"/>
      <c r="SZG206" s="3"/>
      <c r="SZH206" s="3"/>
      <c r="SZI206" s="3"/>
      <c r="SZJ206" s="3"/>
      <c r="SZK206" s="3"/>
      <c r="SZL206" s="3"/>
      <c r="SZM206" s="3"/>
      <c r="SZN206" s="3"/>
      <c r="SZO206" s="3"/>
      <c r="SZP206" s="3"/>
      <c r="SZQ206" s="3"/>
      <c r="SZR206" s="3"/>
      <c r="SZS206" s="3"/>
      <c r="SZT206" s="3"/>
      <c r="SZU206" s="3"/>
      <c r="SZV206" s="3"/>
      <c r="SZW206" s="3"/>
      <c r="SZX206" s="3"/>
      <c r="SZY206" s="3"/>
      <c r="SZZ206" s="3"/>
      <c r="TAA206" s="3"/>
      <c r="TAB206" s="3"/>
      <c r="TAC206" s="3"/>
      <c r="TAD206" s="3"/>
      <c r="TAE206" s="3"/>
      <c r="TAF206" s="3"/>
      <c r="TAG206" s="3"/>
      <c r="TAH206" s="3"/>
      <c r="TAI206" s="3"/>
      <c r="TAJ206" s="3"/>
      <c r="TAK206" s="3"/>
      <c r="TAL206" s="3"/>
      <c r="TAM206" s="3"/>
      <c r="TAN206" s="3"/>
      <c r="TAO206" s="3"/>
      <c r="TAP206" s="3"/>
      <c r="TAQ206" s="3"/>
      <c r="TAR206" s="3"/>
      <c r="TAS206" s="3"/>
      <c r="TAT206" s="3"/>
      <c r="TAU206" s="3"/>
      <c r="TAV206" s="3"/>
      <c r="TAW206" s="3"/>
      <c r="TAX206" s="3"/>
      <c r="TAY206" s="3"/>
      <c r="TAZ206" s="3"/>
      <c r="TBA206" s="3"/>
      <c r="TBB206" s="3"/>
      <c r="TBC206" s="3"/>
      <c r="TBD206" s="3"/>
      <c r="TBE206" s="3"/>
      <c r="TBF206" s="3"/>
      <c r="TBG206" s="3"/>
      <c r="TBH206" s="3"/>
      <c r="TBI206" s="3"/>
      <c r="TBJ206" s="3"/>
      <c r="TBK206" s="3"/>
      <c r="TBL206" s="3"/>
      <c r="TBM206" s="3"/>
      <c r="TBN206" s="3"/>
      <c r="TBO206" s="3"/>
      <c r="TBP206" s="3"/>
      <c r="TBQ206" s="3"/>
      <c r="TBR206" s="3"/>
      <c r="TBS206" s="3"/>
      <c r="TBT206" s="3"/>
      <c r="TBU206" s="3"/>
      <c r="TBV206" s="3"/>
      <c r="TBW206" s="3"/>
      <c r="TBX206" s="3"/>
      <c r="TBY206" s="3"/>
      <c r="TBZ206" s="3"/>
      <c r="TCA206" s="3"/>
      <c r="TCB206" s="3"/>
      <c r="TCC206" s="3"/>
      <c r="TCD206" s="3"/>
      <c r="TCE206" s="3"/>
      <c r="TCF206" s="3"/>
      <c r="TCG206" s="3"/>
      <c r="TCH206" s="3"/>
      <c r="TCI206" s="3"/>
      <c r="TCJ206" s="3"/>
      <c r="TCK206" s="3"/>
      <c r="TCL206" s="3"/>
      <c r="TCM206" s="3"/>
      <c r="TCN206" s="3"/>
      <c r="TCO206" s="3"/>
      <c r="TCP206" s="3"/>
      <c r="TCQ206" s="3"/>
      <c r="TCR206" s="3"/>
      <c r="TCS206" s="3"/>
      <c r="TCT206" s="3"/>
      <c r="TCU206" s="3"/>
      <c r="TCV206" s="3"/>
      <c r="TCW206" s="3"/>
      <c r="TCX206" s="3"/>
      <c r="TCY206" s="3"/>
      <c r="TCZ206" s="3"/>
      <c r="TDA206" s="3"/>
      <c r="TDB206" s="3"/>
      <c r="TDC206" s="3"/>
      <c r="TDD206" s="3"/>
      <c r="TDE206" s="3"/>
      <c r="TDF206" s="3"/>
      <c r="TDG206" s="3"/>
      <c r="TDH206" s="3"/>
      <c r="TDI206" s="3"/>
      <c r="TDJ206" s="3"/>
      <c r="TDK206" s="3"/>
      <c r="TDL206" s="3"/>
      <c r="TDM206" s="3"/>
      <c r="TDN206" s="3"/>
      <c r="TDO206" s="3"/>
      <c r="TDP206" s="3"/>
      <c r="TDQ206" s="3"/>
      <c r="TDR206" s="3"/>
      <c r="TDS206" s="3"/>
      <c r="TDT206" s="3"/>
      <c r="TDU206" s="3"/>
      <c r="TDV206" s="3"/>
      <c r="TDW206" s="3"/>
      <c r="TDX206" s="3"/>
      <c r="TDY206" s="3"/>
      <c r="TDZ206" s="3"/>
      <c r="TEA206" s="3"/>
      <c r="TEB206" s="3"/>
      <c r="TEC206" s="3"/>
      <c r="TED206" s="3"/>
      <c r="TEE206" s="3"/>
      <c r="TEF206" s="3"/>
      <c r="TEG206" s="3"/>
      <c r="TEH206" s="3"/>
      <c r="TEI206" s="3"/>
      <c r="TEJ206" s="3"/>
      <c r="TEK206" s="3"/>
      <c r="TEL206" s="3"/>
      <c r="TEM206" s="3"/>
      <c r="TEN206" s="3"/>
      <c r="TEO206" s="3"/>
      <c r="TEP206" s="3"/>
      <c r="TEQ206" s="3"/>
      <c r="TER206" s="3"/>
      <c r="TES206" s="3"/>
      <c r="TET206" s="3"/>
      <c r="TEU206" s="3"/>
      <c r="TEV206" s="3"/>
      <c r="TEW206" s="3"/>
      <c r="TEX206" s="3"/>
      <c r="TEY206" s="3"/>
      <c r="TEZ206" s="3"/>
      <c r="TFA206" s="3"/>
      <c r="TFB206" s="3"/>
      <c r="TFC206" s="3"/>
      <c r="TFD206" s="3"/>
      <c r="TFE206" s="3"/>
      <c r="TFF206" s="3"/>
      <c r="TFG206" s="3"/>
      <c r="TFH206" s="3"/>
      <c r="TFI206" s="3"/>
      <c r="TFJ206" s="3"/>
      <c r="TFK206" s="3"/>
      <c r="TFL206" s="3"/>
      <c r="TFM206" s="3"/>
      <c r="TFN206" s="3"/>
      <c r="TFO206" s="3"/>
      <c r="TFP206" s="3"/>
      <c r="TFQ206" s="3"/>
      <c r="TFR206" s="3"/>
      <c r="TFS206" s="3"/>
      <c r="TFT206" s="3"/>
      <c r="TFU206" s="3"/>
      <c r="TFV206" s="3"/>
      <c r="TFW206" s="3"/>
      <c r="TFX206" s="3"/>
      <c r="TFY206" s="3"/>
      <c r="TFZ206" s="3"/>
      <c r="TGA206" s="3"/>
      <c r="TGB206" s="3"/>
      <c r="TGC206" s="3"/>
      <c r="TGD206" s="3"/>
      <c r="TGE206" s="3"/>
      <c r="TGF206" s="3"/>
      <c r="TGG206" s="3"/>
      <c r="TGH206" s="3"/>
      <c r="TGI206" s="3"/>
      <c r="TGJ206" s="3"/>
      <c r="TGK206" s="3"/>
      <c r="TGL206" s="3"/>
      <c r="TGM206" s="3"/>
      <c r="TGN206" s="3"/>
      <c r="TGO206" s="3"/>
      <c r="TGP206" s="3"/>
      <c r="TGQ206" s="3"/>
      <c r="TGR206" s="3"/>
      <c r="TGS206" s="3"/>
      <c r="TGT206" s="3"/>
      <c r="TGU206" s="3"/>
      <c r="TGV206" s="3"/>
      <c r="TGW206" s="3"/>
      <c r="TGX206" s="3"/>
      <c r="TGY206" s="3"/>
      <c r="TGZ206" s="3"/>
      <c r="THA206" s="3"/>
      <c r="THB206" s="3"/>
      <c r="THC206" s="3"/>
      <c r="THD206" s="3"/>
      <c r="THE206" s="3"/>
      <c r="THF206" s="3"/>
      <c r="THG206" s="3"/>
      <c r="THH206" s="3"/>
      <c r="THI206" s="3"/>
      <c r="THJ206" s="3"/>
      <c r="THK206" s="3"/>
      <c r="THL206" s="3"/>
      <c r="THM206" s="3"/>
      <c r="THN206" s="3"/>
      <c r="THO206" s="3"/>
      <c r="THP206" s="3"/>
      <c r="THQ206" s="3"/>
      <c r="THR206" s="3"/>
      <c r="THS206" s="3"/>
      <c r="THT206" s="3"/>
      <c r="THU206" s="3"/>
      <c r="THV206" s="3"/>
      <c r="THW206" s="3"/>
      <c r="THX206" s="3"/>
      <c r="THY206" s="3"/>
      <c r="THZ206" s="3"/>
      <c r="TIA206" s="3"/>
      <c r="TIB206" s="3"/>
      <c r="TIC206" s="3"/>
      <c r="TID206" s="3"/>
      <c r="TIE206" s="3"/>
      <c r="TIF206" s="3"/>
      <c r="TIG206" s="3"/>
      <c r="TIH206" s="3"/>
      <c r="TII206" s="3"/>
      <c r="TIJ206" s="3"/>
      <c r="TIK206" s="3"/>
      <c r="TIL206" s="3"/>
      <c r="TIM206" s="3"/>
      <c r="TIN206" s="3"/>
      <c r="TIO206" s="3"/>
      <c r="TIP206" s="3"/>
      <c r="TIQ206" s="3"/>
      <c r="TIR206" s="3"/>
      <c r="TIS206" s="3"/>
      <c r="TIT206" s="3"/>
      <c r="TIU206" s="3"/>
      <c r="TIV206" s="3"/>
      <c r="TIW206" s="3"/>
      <c r="TIX206" s="3"/>
      <c r="TIY206" s="3"/>
      <c r="TIZ206" s="3"/>
      <c r="TJA206" s="3"/>
      <c r="TJB206" s="3"/>
      <c r="TJC206" s="3"/>
      <c r="TJD206" s="3"/>
      <c r="TJE206" s="3"/>
      <c r="TJF206" s="3"/>
      <c r="TJG206" s="3"/>
      <c r="TJH206" s="3"/>
      <c r="TJI206" s="3"/>
      <c r="TJJ206" s="3"/>
      <c r="TJK206" s="3"/>
      <c r="TJL206" s="3"/>
      <c r="TJM206" s="3"/>
      <c r="TJN206" s="3"/>
      <c r="TJO206" s="3"/>
      <c r="TJP206" s="3"/>
      <c r="TJQ206" s="3"/>
      <c r="TJR206" s="3"/>
      <c r="TJS206" s="3"/>
      <c r="TJT206" s="3"/>
      <c r="TJU206" s="3"/>
      <c r="TJV206" s="3"/>
      <c r="TJW206" s="3"/>
      <c r="TJX206" s="3"/>
      <c r="TJY206" s="3"/>
      <c r="TJZ206" s="3"/>
      <c r="TKA206" s="3"/>
      <c r="TKB206" s="3"/>
      <c r="TKC206" s="3"/>
      <c r="TKD206" s="3"/>
      <c r="TKE206" s="3"/>
      <c r="TKF206" s="3"/>
      <c r="TKG206" s="3"/>
      <c r="TKH206" s="3"/>
      <c r="TKI206" s="3"/>
      <c r="TKJ206" s="3"/>
      <c r="TKK206" s="3"/>
      <c r="TKL206" s="3"/>
      <c r="TKM206" s="3"/>
      <c r="TKN206" s="3"/>
      <c r="TKO206" s="3"/>
      <c r="TKP206" s="3"/>
      <c r="TKQ206" s="3"/>
      <c r="TKR206" s="3"/>
      <c r="TKS206" s="3"/>
      <c r="TKT206" s="3"/>
      <c r="TKU206" s="3"/>
      <c r="TKV206" s="3"/>
      <c r="TKW206" s="3"/>
      <c r="TKX206" s="3"/>
      <c r="TKY206" s="3"/>
      <c r="TKZ206" s="3"/>
      <c r="TLA206" s="3"/>
      <c r="TLB206" s="3"/>
      <c r="TLC206" s="3"/>
      <c r="TLD206" s="3"/>
      <c r="TLE206" s="3"/>
      <c r="TLF206" s="3"/>
      <c r="TLG206" s="3"/>
      <c r="TLH206" s="3"/>
      <c r="TLI206" s="3"/>
      <c r="TLJ206" s="3"/>
      <c r="TLK206" s="3"/>
      <c r="TLL206" s="3"/>
      <c r="TLM206" s="3"/>
      <c r="TLN206" s="3"/>
      <c r="TLO206" s="3"/>
      <c r="TLP206" s="3"/>
      <c r="TLQ206" s="3"/>
      <c r="TLR206" s="3"/>
      <c r="TLS206" s="3"/>
      <c r="TLT206" s="3"/>
      <c r="TLU206" s="3"/>
      <c r="TLV206" s="3"/>
      <c r="TLW206" s="3"/>
      <c r="TLX206" s="3"/>
      <c r="TLY206" s="3"/>
      <c r="TLZ206" s="3"/>
      <c r="TMA206" s="3"/>
      <c r="TMB206" s="3"/>
      <c r="TMC206" s="3"/>
      <c r="TMD206" s="3"/>
      <c r="TME206" s="3"/>
      <c r="TMF206" s="3"/>
      <c r="TMG206" s="3"/>
      <c r="TMH206" s="3"/>
      <c r="TMI206" s="3"/>
      <c r="TMJ206" s="3"/>
      <c r="TMK206" s="3"/>
      <c r="TML206" s="3"/>
      <c r="TMM206" s="3"/>
      <c r="TMN206" s="3"/>
      <c r="TMO206" s="3"/>
      <c r="TMP206" s="3"/>
      <c r="TMQ206" s="3"/>
      <c r="TMR206" s="3"/>
      <c r="TMS206" s="3"/>
      <c r="TMT206" s="3"/>
      <c r="TMU206" s="3"/>
      <c r="TMV206" s="3"/>
      <c r="TMW206" s="3"/>
      <c r="TMX206" s="3"/>
      <c r="TMY206" s="3"/>
      <c r="TMZ206" s="3"/>
      <c r="TNA206" s="3"/>
      <c r="TNB206" s="3"/>
      <c r="TNC206" s="3"/>
      <c r="TND206" s="3"/>
      <c r="TNE206" s="3"/>
      <c r="TNF206" s="3"/>
      <c r="TNG206" s="3"/>
      <c r="TNH206" s="3"/>
      <c r="TNI206" s="3"/>
      <c r="TNJ206" s="3"/>
      <c r="TNK206" s="3"/>
      <c r="TNL206" s="3"/>
      <c r="TNM206" s="3"/>
      <c r="TNN206" s="3"/>
      <c r="TNO206" s="3"/>
      <c r="TNP206" s="3"/>
      <c r="TNQ206" s="3"/>
      <c r="TNR206" s="3"/>
      <c r="TNS206" s="3"/>
      <c r="TNT206" s="3"/>
      <c r="TNU206" s="3"/>
      <c r="TNV206" s="3"/>
      <c r="TNW206" s="3"/>
      <c r="TNX206" s="3"/>
      <c r="TNY206" s="3"/>
      <c r="TNZ206" s="3"/>
      <c r="TOA206" s="3"/>
      <c r="TOB206" s="3"/>
      <c r="TOC206" s="3"/>
      <c r="TOD206" s="3"/>
      <c r="TOE206" s="3"/>
      <c r="TOF206" s="3"/>
      <c r="TOG206" s="3"/>
      <c r="TOH206" s="3"/>
      <c r="TOI206" s="3"/>
      <c r="TOJ206" s="3"/>
      <c r="TOK206" s="3"/>
      <c r="TOL206" s="3"/>
      <c r="TOM206" s="3"/>
      <c r="TON206" s="3"/>
      <c r="TOO206" s="3"/>
      <c r="TOP206" s="3"/>
      <c r="TOQ206" s="3"/>
      <c r="TOR206" s="3"/>
      <c r="TOS206" s="3"/>
      <c r="TOT206" s="3"/>
      <c r="TOU206" s="3"/>
      <c r="TOV206" s="3"/>
      <c r="TOW206" s="3"/>
      <c r="TOX206" s="3"/>
      <c r="TOY206" s="3"/>
      <c r="TOZ206" s="3"/>
      <c r="TPA206" s="3"/>
      <c r="TPB206" s="3"/>
      <c r="TPC206" s="3"/>
      <c r="TPD206" s="3"/>
      <c r="TPE206" s="3"/>
      <c r="TPF206" s="3"/>
      <c r="TPG206" s="3"/>
      <c r="TPH206" s="3"/>
      <c r="TPI206" s="3"/>
      <c r="TPJ206" s="3"/>
      <c r="TPK206" s="3"/>
      <c r="TPL206" s="3"/>
      <c r="TPM206" s="3"/>
      <c r="TPN206" s="3"/>
      <c r="TPO206" s="3"/>
      <c r="TPP206" s="3"/>
      <c r="TPQ206" s="3"/>
      <c r="TPR206" s="3"/>
      <c r="TPS206" s="3"/>
      <c r="TPT206" s="3"/>
      <c r="TPU206" s="3"/>
      <c r="TPV206" s="3"/>
      <c r="TPW206" s="3"/>
      <c r="TPX206" s="3"/>
      <c r="TPY206" s="3"/>
      <c r="TPZ206" s="3"/>
      <c r="TQA206" s="3"/>
      <c r="TQB206" s="3"/>
      <c r="TQC206" s="3"/>
      <c r="TQD206" s="3"/>
      <c r="TQE206" s="3"/>
      <c r="TQF206" s="3"/>
      <c r="TQG206" s="3"/>
      <c r="TQH206" s="3"/>
      <c r="TQI206" s="3"/>
      <c r="TQJ206" s="3"/>
      <c r="TQK206" s="3"/>
      <c r="TQL206" s="3"/>
      <c r="TQM206" s="3"/>
      <c r="TQN206" s="3"/>
      <c r="TQO206" s="3"/>
      <c r="TQP206" s="3"/>
      <c r="TQQ206" s="3"/>
      <c r="TQR206" s="3"/>
      <c r="TQS206" s="3"/>
      <c r="TQT206" s="3"/>
      <c r="TQU206" s="3"/>
      <c r="TQV206" s="3"/>
      <c r="TQW206" s="3"/>
      <c r="TQX206" s="3"/>
      <c r="TQY206" s="3"/>
      <c r="TQZ206" s="3"/>
      <c r="TRA206" s="3"/>
      <c r="TRB206" s="3"/>
      <c r="TRC206" s="3"/>
      <c r="TRD206" s="3"/>
      <c r="TRE206" s="3"/>
      <c r="TRF206" s="3"/>
      <c r="TRG206" s="3"/>
      <c r="TRH206" s="3"/>
      <c r="TRI206" s="3"/>
      <c r="TRJ206" s="3"/>
      <c r="TRK206" s="3"/>
      <c r="TRL206" s="3"/>
      <c r="TRM206" s="3"/>
      <c r="TRN206" s="3"/>
      <c r="TRO206" s="3"/>
      <c r="TRP206" s="3"/>
      <c r="TRQ206" s="3"/>
      <c r="TRR206" s="3"/>
      <c r="TRS206" s="3"/>
      <c r="TRT206" s="3"/>
      <c r="TRU206" s="3"/>
      <c r="TRV206" s="3"/>
      <c r="TRW206" s="3"/>
      <c r="TRX206" s="3"/>
      <c r="TRY206" s="3"/>
      <c r="TRZ206" s="3"/>
      <c r="TSA206" s="3"/>
      <c r="TSB206" s="3"/>
      <c r="TSC206" s="3"/>
      <c r="TSD206" s="3"/>
      <c r="TSE206" s="3"/>
      <c r="TSF206" s="3"/>
      <c r="TSG206" s="3"/>
      <c r="TSH206" s="3"/>
      <c r="TSI206" s="3"/>
      <c r="TSJ206" s="3"/>
      <c r="TSK206" s="3"/>
      <c r="TSL206" s="3"/>
      <c r="TSM206" s="3"/>
      <c r="TSN206" s="3"/>
      <c r="TSO206" s="3"/>
      <c r="TSP206" s="3"/>
      <c r="TSQ206" s="3"/>
      <c r="TSR206" s="3"/>
      <c r="TSS206" s="3"/>
      <c r="TST206" s="3"/>
      <c r="TSU206" s="3"/>
      <c r="TSV206" s="3"/>
      <c r="TSW206" s="3"/>
      <c r="TSX206" s="3"/>
      <c r="TSY206" s="3"/>
      <c r="TSZ206" s="3"/>
      <c r="TTA206" s="3"/>
      <c r="TTB206" s="3"/>
      <c r="TTC206" s="3"/>
      <c r="TTD206" s="3"/>
      <c r="TTE206" s="3"/>
      <c r="TTF206" s="3"/>
      <c r="TTG206" s="3"/>
      <c r="TTH206" s="3"/>
      <c r="TTI206" s="3"/>
      <c r="TTJ206" s="3"/>
      <c r="TTK206" s="3"/>
      <c r="TTL206" s="3"/>
      <c r="TTM206" s="3"/>
      <c r="TTN206" s="3"/>
      <c r="TTO206" s="3"/>
      <c r="TTP206" s="3"/>
      <c r="TTQ206" s="3"/>
      <c r="TTR206" s="3"/>
      <c r="TTS206" s="3"/>
      <c r="TTT206" s="3"/>
      <c r="TTU206" s="3"/>
      <c r="TTV206" s="3"/>
      <c r="TTW206" s="3"/>
      <c r="TTX206" s="3"/>
      <c r="TTY206" s="3"/>
      <c r="TTZ206" s="3"/>
      <c r="TUA206" s="3"/>
      <c r="TUB206" s="3"/>
      <c r="TUC206" s="3"/>
      <c r="TUD206" s="3"/>
      <c r="TUE206" s="3"/>
      <c r="TUF206" s="3"/>
      <c r="TUG206" s="3"/>
      <c r="TUH206" s="3"/>
      <c r="TUI206" s="3"/>
      <c r="TUJ206" s="3"/>
      <c r="TUK206" s="3"/>
      <c r="TUL206" s="3"/>
      <c r="TUM206" s="3"/>
      <c r="TUN206" s="3"/>
      <c r="TUO206" s="3"/>
      <c r="TUP206" s="3"/>
      <c r="TUQ206" s="3"/>
      <c r="TUR206" s="3"/>
      <c r="TUS206" s="3"/>
      <c r="TUT206" s="3"/>
      <c r="TUU206" s="3"/>
      <c r="TUV206" s="3"/>
      <c r="TUW206" s="3"/>
      <c r="TUX206" s="3"/>
      <c r="TUY206" s="3"/>
      <c r="TUZ206" s="3"/>
      <c r="TVA206" s="3"/>
      <c r="TVB206" s="3"/>
      <c r="TVC206" s="3"/>
      <c r="TVD206" s="3"/>
      <c r="TVE206" s="3"/>
      <c r="TVF206" s="3"/>
      <c r="TVG206" s="3"/>
      <c r="TVH206" s="3"/>
      <c r="TVI206" s="3"/>
      <c r="TVJ206" s="3"/>
      <c r="TVK206" s="3"/>
      <c r="TVL206" s="3"/>
      <c r="TVM206" s="3"/>
      <c r="TVN206" s="3"/>
      <c r="TVO206" s="3"/>
      <c r="TVP206" s="3"/>
      <c r="TVQ206" s="3"/>
      <c r="TVR206" s="3"/>
      <c r="TVS206" s="3"/>
      <c r="TVT206" s="3"/>
      <c r="TVU206" s="3"/>
      <c r="TVV206" s="3"/>
      <c r="TVW206" s="3"/>
      <c r="TVX206" s="3"/>
      <c r="TVY206" s="3"/>
      <c r="TVZ206" s="3"/>
      <c r="TWA206" s="3"/>
      <c r="TWB206" s="3"/>
      <c r="TWC206" s="3"/>
      <c r="TWD206" s="3"/>
      <c r="TWE206" s="3"/>
      <c r="TWF206" s="3"/>
      <c r="TWG206" s="3"/>
      <c r="TWH206" s="3"/>
      <c r="TWI206" s="3"/>
      <c r="TWJ206" s="3"/>
      <c r="TWK206" s="3"/>
      <c r="TWL206" s="3"/>
      <c r="TWM206" s="3"/>
      <c r="TWN206" s="3"/>
      <c r="TWO206" s="3"/>
      <c r="TWP206" s="3"/>
      <c r="TWQ206" s="3"/>
      <c r="TWR206" s="3"/>
      <c r="TWS206" s="3"/>
      <c r="TWT206" s="3"/>
      <c r="TWU206" s="3"/>
      <c r="TWV206" s="3"/>
      <c r="TWW206" s="3"/>
      <c r="TWX206" s="3"/>
      <c r="TWY206" s="3"/>
      <c r="TWZ206" s="3"/>
      <c r="TXA206" s="3"/>
      <c r="TXB206" s="3"/>
      <c r="TXC206" s="3"/>
      <c r="TXD206" s="3"/>
      <c r="TXE206" s="3"/>
      <c r="TXF206" s="3"/>
      <c r="TXG206" s="3"/>
      <c r="TXH206" s="3"/>
      <c r="TXI206" s="3"/>
      <c r="TXJ206" s="3"/>
      <c r="TXK206" s="3"/>
      <c r="TXL206" s="3"/>
      <c r="TXM206" s="3"/>
      <c r="TXN206" s="3"/>
      <c r="TXO206" s="3"/>
      <c r="TXP206" s="3"/>
      <c r="TXQ206" s="3"/>
      <c r="TXR206" s="3"/>
      <c r="TXS206" s="3"/>
      <c r="TXT206" s="3"/>
      <c r="TXU206" s="3"/>
      <c r="TXV206" s="3"/>
      <c r="TXW206" s="3"/>
      <c r="TXX206" s="3"/>
      <c r="TXY206" s="3"/>
      <c r="TXZ206" s="3"/>
      <c r="TYA206" s="3"/>
      <c r="TYB206" s="3"/>
      <c r="TYC206" s="3"/>
      <c r="TYD206" s="3"/>
      <c r="TYE206" s="3"/>
      <c r="TYF206" s="3"/>
      <c r="TYG206" s="3"/>
      <c r="TYH206" s="3"/>
      <c r="TYI206" s="3"/>
      <c r="TYJ206" s="3"/>
      <c r="TYK206" s="3"/>
      <c r="TYL206" s="3"/>
      <c r="TYM206" s="3"/>
      <c r="TYN206" s="3"/>
      <c r="TYO206" s="3"/>
      <c r="TYP206" s="3"/>
      <c r="TYQ206" s="3"/>
      <c r="TYR206" s="3"/>
      <c r="TYS206" s="3"/>
      <c r="TYT206" s="3"/>
      <c r="TYU206" s="3"/>
      <c r="TYV206" s="3"/>
      <c r="TYW206" s="3"/>
      <c r="TYX206" s="3"/>
      <c r="TYY206" s="3"/>
      <c r="TYZ206" s="3"/>
      <c r="TZA206" s="3"/>
      <c r="TZB206" s="3"/>
      <c r="TZC206" s="3"/>
      <c r="TZD206" s="3"/>
      <c r="TZE206" s="3"/>
      <c r="TZF206" s="3"/>
      <c r="TZG206" s="3"/>
      <c r="TZH206" s="3"/>
      <c r="TZI206" s="3"/>
      <c r="TZJ206" s="3"/>
      <c r="TZK206" s="3"/>
      <c r="TZL206" s="3"/>
      <c r="TZM206" s="3"/>
      <c r="TZN206" s="3"/>
      <c r="TZO206" s="3"/>
      <c r="TZP206" s="3"/>
      <c r="TZQ206" s="3"/>
      <c r="TZR206" s="3"/>
      <c r="TZS206" s="3"/>
      <c r="TZT206" s="3"/>
      <c r="TZU206" s="3"/>
      <c r="TZV206" s="3"/>
      <c r="TZW206" s="3"/>
      <c r="TZX206" s="3"/>
      <c r="TZY206" s="3"/>
      <c r="TZZ206" s="3"/>
      <c r="UAA206" s="3"/>
      <c r="UAB206" s="3"/>
      <c r="UAC206" s="3"/>
      <c r="UAD206" s="3"/>
      <c r="UAE206" s="3"/>
      <c r="UAF206" s="3"/>
      <c r="UAG206" s="3"/>
      <c r="UAH206" s="3"/>
      <c r="UAI206" s="3"/>
      <c r="UAJ206" s="3"/>
      <c r="UAK206" s="3"/>
      <c r="UAL206" s="3"/>
      <c r="UAM206" s="3"/>
      <c r="UAN206" s="3"/>
      <c r="UAO206" s="3"/>
      <c r="UAP206" s="3"/>
      <c r="UAQ206" s="3"/>
      <c r="UAR206" s="3"/>
      <c r="UAS206" s="3"/>
      <c r="UAT206" s="3"/>
      <c r="UAU206" s="3"/>
      <c r="UAV206" s="3"/>
      <c r="UAW206" s="3"/>
      <c r="UAX206" s="3"/>
      <c r="UAY206" s="3"/>
      <c r="UAZ206" s="3"/>
      <c r="UBA206" s="3"/>
      <c r="UBB206" s="3"/>
      <c r="UBC206" s="3"/>
      <c r="UBD206" s="3"/>
      <c r="UBE206" s="3"/>
      <c r="UBF206" s="3"/>
      <c r="UBG206" s="3"/>
      <c r="UBH206" s="3"/>
      <c r="UBI206" s="3"/>
      <c r="UBJ206" s="3"/>
      <c r="UBK206" s="3"/>
      <c r="UBL206" s="3"/>
      <c r="UBM206" s="3"/>
      <c r="UBN206" s="3"/>
      <c r="UBO206" s="3"/>
      <c r="UBP206" s="3"/>
      <c r="UBQ206" s="3"/>
      <c r="UBR206" s="3"/>
      <c r="UBS206" s="3"/>
      <c r="UBT206" s="3"/>
      <c r="UBU206" s="3"/>
      <c r="UBV206" s="3"/>
      <c r="UBW206" s="3"/>
      <c r="UBX206" s="3"/>
      <c r="UBY206" s="3"/>
      <c r="UBZ206" s="3"/>
      <c r="UCA206" s="3"/>
      <c r="UCB206" s="3"/>
      <c r="UCC206" s="3"/>
      <c r="UCD206" s="3"/>
      <c r="UCE206" s="3"/>
      <c r="UCF206" s="3"/>
      <c r="UCG206" s="3"/>
      <c r="UCH206" s="3"/>
      <c r="UCI206" s="3"/>
      <c r="UCJ206" s="3"/>
      <c r="UCK206" s="3"/>
      <c r="UCL206" s="3"/>
      <c r="UCM206" s="3"/>
      <c r="UCN206" s="3"/>
      <c r="UCO206" s="3"/>
      <c r="UCP206" s="3"/>
      <c r="UCQ206" s="3"/>
      <c r="UCR206" s="3"/>
      <c r="UCS206" s="3"/>
      <c r="UCT206" s="3"/>
      <c r="UCU206" s="3"/>
      <c r="UCV206" s="3"/>
      <c r="UCW206" s="3"/>
      <c r="UCX206" s="3"/>
      <c r="UCY206" s="3"/>
      <c r="UCZ206" s="3"/>
      <c r="UDA206" s="3"/>
      <c r="UDB206" s="3"/>
      <c r="UDC206" s="3"/>
      <c r="UDD206" s="3"/>
      <c r="UDE206" s="3"/>
      <c r="UDF206" s="3"/>
      <c r="UDG206" s="3"/>
      <c r="UDH206" s="3"/>
      <c r="UDI206" s="3"/>
      <c r="UDJ206" s="3"/>
      <c r="UDK206" s="3"/>
      <c r="UDL206" s="3"/>
      <c r="UDM206" s="3"/>
      <c r="UDN206" s="3"/>
      <c r="UDO206" s="3"/>
      <c r="UDP206" s="3"/>
      <c r="UDQ206" s="3"/>
      <c r="UDR206" s="3"/>
      <c r="UDS206" s="3"/>
      <c r="UDT206" s="3"/>
      <c r="UDU206" s="3"/>
      <c r="UDV206" s="3"/>
      <c r="UDW206" s="3"/>
      <c r="UDX206" s="3"/>
      <c r="UDY206" s="3"/>
      <c r="UDZ206" s="3"/>
      <c r="UEA206" s="3"/>
      <c r="UEB206" s="3"/>
      <c r="UEC206" s="3"/>
      <c r="UED206" s="3"/>
      <c r="UEE206" s="3"/>
      <c r="UEF206" s="3"/>
      <c r="UEG206" s="3"/>
      <c r="UEH206" s="3"/>
      <c r="UEI206" s="3"/>
      <c r="UEJ206" s="3"/>
      <c r="UEK206" s="3"/>
      <c r="UEL206" s="3"/>
      <c r="UEM206" s="3"/>
      <c r="UEN206" s="3"/>
      <c r="UEO206" s="3"/>
      <c r="UEP206" s="3"/>
      <c r="UEQ206" s="3"/>
      <c r="UER206" s="3"/>
      <c r="UES206" s="3"/>
      <c r="UET206" s="3"/>
      <c r="UEU206" s="3"/>
      <c r="UEV206" s="3"/>
      <c r="UEW206" s="3"/>
      <c r="UEX206" s="3"/>
      <c r="UEY206" s="3"/>
      <c r="UEZ206" s="3"/>
      <c r="UFA206" s="3"/>
      <c r="UFB206" s="3"/>
      <c r="UFC206" s="3"/>
      <c r="UFD206" s="3"/>
      <c r="UFE206" s="3"/>
      <c r="UFF206" s="3"/>
      <c r="UFG206" s="3"/>
      <c r="UFH206" s="3"/>
      <c r="UFI206" s="3"/>
      <c r="UFJ206" s="3"/>
      <c r="UFK206" s="3"/>
      <c r="UFL206" s="3"/>
      <c r="UFM206" s="3"/>
      <c r="UFN206" s="3"/>
      <c r="UFO206" s="3"/>
      <c r="UFP206" s="3"/>
      <c r="UFQ206" s="3"/>
      <c r="UFR206" s="3"/>
      <c r="UFS206" s="3"/>
      <c r="UFT206" s="3"/>
      <c r="UFU206" s="3"/>
      <c r="UFV206" s="3"/>
      <c r="UFW206" s="3"/>
      <c r="UFX206" s="3"/>
      <c r="UFY206" s="3"/>
      <c r="UFZ206" s="3"/>
      <c r="UGA206" s="3"/>
      <c r="UGB206" s="3"/>
      <c r="UGC206" s="3"/>
      <c r="UGD206" s="3"/>
      <c r="UGE206" s="3"/>
      <c r="UGF206" s="3"/>
      <c r="UGG206" s="3"/>
      <c r="UGH206" s="3"/>
      <c r="UGI206" s="3"/>
      <c r="UGJ206" s="3"/>
      <c r="UGK206" s="3"/>
      <c r="UGL206" s="3"/>
      <c r="UGM206" s="3"/>
      <c r="UGN206" s="3"/>
      <c r="UGO206" s="3"/>
      <c r="UGP206" s="3"/>
      <c r="UGQ206" s="3"/>
      <c r="UGR206" s="3"/>
      <c r="UGS206" s="3"/>
      <c r="UGT206" s="3"/>
      <c r="UGU206" s="3"/>
      <c r="UGV206" s="3"/>
      <c r="UGW206" s="3"/>
      <c r="UGX206" s="3"/>
      <c r="UGY206" s="3"/>
      <c r="UGZ206" s="3"/>
      <c r="UHA206" s="3"/>
      <c r="UHB206" s="3"/>
      <c r="UHC206" s="3"/>
      <c r="UHD206" s="3"/>
      <c r="UHE206" s="3"/>
      <c r="UHF206" s="3"/>
      <c r="UHG206" s="3"/>
      <c r="UHH206" s="3"/>
      <c r="UHI206" s="3"/>
      <c r="UHJ206" s="3"/>
      <c r="UHK206" s="3"/>
      <c r="UHL206" s="3"/>
      <c r="UHM206" s="3"/>
      <c r="UHN206" s="3"/>
      <c r="UHO206" s="3"/>
      <c r="UHP206" s="3"/>
      <c r="UHQ206" s="3"/>
      <c r="UHR206" s="3"/>
      <c r="UHS206" s="3"/>
      <c r="UHT206" s="3"/>
      <c r="UHU206" s="3"/>
      <c r="UHV206" s="3"/>
      <c r="UHW206" s="3"/>
      <c r="UHX206" s="3"/>
      <c r="UHY206" s="3"/>
      <c r="UHZ206" s="3"/>
      <c r="UIA206" s="3"/>
      <c r="UIB206" s="3"/>
      <c r="UIC206" s="3"/>
      <c r="UID206" s="3"/>
      <c r="UIE206" s="3"/>
      <c r="UIF206" s="3"/>
      <c r="UIG206" s="3"/>
      <c r="UIH206" s="3"/>
      <c r="UII206" s="3"/>
      <c r="UIJ206" s="3"/>
      <c r="UIK206" s="3"/>
      <c r="UIL206" s="3"/>
      <c r="UIM206" s="3"/>
      <c r="UIN206" s="3"/>
      <c r="UIO206" s="3"/>
      <c r="UIP206" s="3"/>
      <c r="UIQ206" s="3"/>
      <c r="UIR206" s="3"/>
      <c r="UIS206" s="3"/>
      <c r="UIT206" s="3"/>
      <c r="UIU206" s="3"/>
      <c r="UIV206" s="3"/>
      <c r="UIW206" s="3"/>
      <c r="UIX206" s="3"/>
      <c r="UIY206" s="3"/>
      <c r="UIZ206" s="3"/>
      <c r="UJA206" s="3"/>
      <c r="UJB206" s="3"/>
      <c r="UJC206" s="3"/>
      <c r="UJD206" s="3"/>
      <c r="UJE206" s="3"/>
      <c r="UJF206" s="3"/>
      <c r="UJG206" s="3"/>
      <c r="UJH206" s="3"/>
      <c r="UJI206" s="3"/>
      <c r="UJJ206" s="3"/>
      <c r="UJK206" s="3"/>
      <c r="UJL206" s="3"/>
      <c r="UJM206" s="3"/>
      <c r="UJN206" s="3"/>
      <c r="UJO206" s="3"/>
      <c r="UJP206" s="3"/>
      <c r="UJQ206" s="3"/>
      <c r="UJR206" s="3"/>
      <c r="UJS206" s="3"/>
      <c r="UJT206" s="3"/>
      <c r="UJU206" s="3"/>
      <c r="UJV206" s="3"/>
      <c r="UJW206" s="3"/>
      <c r="UJX206" s="3"/>
      <c r="UJY206" s="3"/>
      <c r="UJZ206" s="3"/>
      <c r="UKA206" s="3"/>
      <c r="UKB206" s="3"/>
      <c r="UKC206" s="3"/>
      <c r="UKD206" s="3"/>
      <c r="UKE206" s="3"/>
      <c r="UKF206" s="3"/>
      <c r="UKG206" s="3"/>
      <c r="UKH206" s="3"/>
      <c r="UKI206" s="3"/>
      <c r="UKJ206" s="3"/>
      <c r="UKK206" s="3"/>
      <c r="UKL206" s="3"/>
      <c r="UKM206" s="3"/>
      <c r="UKN206" s="3"/>
      <c r="UKO206" s="3"/>
      <c r="UKP206" s="3"/>
      <c r="UKQ206" s="3"/>
      <c r="UKR206" s="3"/>
      <c r="UKS206" s="3"/>
      <c r="UKT206" s="3"/>
      <c r="UKU206" s="3"/>
      <c r="UKV206" s="3"/>
      <c r="UKW206" s="3"/>
      <c r="UKX206" s="3"/>
      <c r="UKY206" s="3"/>
      <c r="UKZ206" s="3"/>
      <c r="ULA206" s="3"/>
      <c r="ULB206" s="3"/>
      <c r="ULC206" s="3"/>
      <c r="ULD206" s="3"/>
      <c r="ULE206" s="3"/>
      <c r="ULF206" s="3"/>
      <c r="ULG206" s="3"/>
      <c r="ULH206" s="3"/>
      <c r="ULI206" s="3"/>
      <c r="ULJ206" s="3"/>
      <c r="ULK206" s="3"/>
      <c r="ULL206" s="3"/>
      <c r="ULM206" s="3"/>
      <c r="ULN206" s="3"/>
      <c r="ULO206" s="3"/>
      <c r="ULP206" s="3"/>
      <c r="ULQ206" s="3"/>
      <c r="ULR206" s="3"/>
      <c r="ULS206" s="3"/>
      <c r="ULT206" s="3"/>
      <c r="ULU206" s="3"/>
      <c r="ULV206" s="3"/>
      <c r="ULW206" s="3"/>
      <c r="ULX206" s="3"/>
      <c r="ULY206" s="3"/>
      <c r="ULZ206" s="3"/>
      <c r="UMA206" s="3"/>
      <c r="UMB206" s="3"/>
      <c r="UMC206" s="3"/>
      <c r="UMD206" s="3"/>
      <c r="UME206" s="3"/>
      <c r="UMF206" s="3"/>
      <c r="UMG206" s="3"/>
      <c r="UMH206" s="3"/>
      <c r="UMI206" s="3"/>
      <c r="UMJ206" s="3"/>
      <c r="UMK206" s="3"/>
      <c r="UML206" s="3"/>
      <c r="UMM206" s="3"/>
      <c r="UMN206" s="3"/>
      <c r="UMO206" s="3"/>
      <c r="UMP206" s="3"/>
      <c r="UMQ206" s="3"/>
      <c r="UMR206" s="3"/>
      <c r="UMS206" s="3"/>
      <c r="UMT206" s="3"/>
      <c r="UMU206" s="3"/>
      <c r="UMV206" s="3"/>
      <c r="UMW206" s="3"/>
      <c r="UMX206" s="3"/>
      <c r="UMY206" s="3"/>
      <c r="UMZ206" s="3"/>
      <c r="UNA206" s="3"/>
      <c r="UNB206" s="3"/>
      <c r="UNC206" s="3"/>
      <c r="UND206" s="3"/>
      <c r="UNE206" s="3"/>
      <c r="UNF206" s="3"/>
      <c r="UNG206" s="3"/>
      <c r="UNH206" s="3"/>
      <c r="UNI206" s="3"/>
      <c r="UNJ206" s="3"/>
      <c r="UNK206" s="3"/>
      <c r="UNL206" s="3"/>
      <c r="UNM206" s="3"/>
      <c r="UNN206" s="3"/>
      <c r="UNO206" s="3"/>
      <c r="UNP206" s="3"/>
      <c r="UNQ206" s="3"/>
      <c r="UNR206" s="3"/>
      <c r="UNS206" s="3"/>
      <c r="UNT206" s="3"/>
      <c r="UNU206" s="3"/>
      <c r="UNV206" s="3"/>
      <c r="UNW206" s="3"/>
      <c r="UNX206" s="3"/>
      <c r="UNY206" s="3"/>
      <c r="UNZ206" s="3"/>
      <c r="UOA206" s="3"/>
      <c r="UOB206" s="3"/>
      <c r="UOC206" s="3"/>
      <c r="UOD206" s="3"/>
      <c r="UOE206" s="3"/>
      <c r="UOF206" s="3"/>
      <c r="UOG206" s="3"/>
      <c r="UOH206" s="3"/>
      <c r="UOI206" s="3"/>
      <c r="UOJ206" s="3"/>
      <c r="UOK206" s="3"/>
      <c r="UOL206" s="3"/>
      <c r="UOM206" s="3"/>
      <c r="UON206" s="3"/>
      <c r="UOO206" s="3"/>
      <c r="UOP206" s="3"/>
      <c r="UOQ206" s="3"/>
      <c r="UOR206" s="3"/>
      <c r="UOS206" s="3"/>
      <c r="UOT206" s="3"/>
      <c r="UOU206" s="3"/>
      <c r="UOV206" s="3"/>
      <c r="UOW206" s="3"/>
      <c r="UOX206" s="3"/>
      <c r="UOY206" s="3"/>
      <c r="UOZ206" s="3"/>
      <c r="UPA206" s="3"/>
      <c r="UPB206" s="3"/>
      <c r="UPC206" s="3"/>
      <c r="UPD206" s="3"/>
      <c r="UPE206" s="3"/>
      <c r="UPF206" s="3"/>
      <c r="UPG206" s="3"/>
      <c r="UPH206" s="3"/>
      <c r="UPI206" s="3"/>
      <c r="UPJ206" s="3"/>
      <c r="UPK206" s="3"/>
      <c r="UPL206" s="3"/>
      <c r="UPM206" s="3"/>
      <c r="UPN206" s="3"/>
      <c r="UPO206" s="3"/>
      <c r="UPP206" s="3"/>
      <c r="UPQ206" s="3"/>
      <c r="UPR206" s="3"/>
      <c r="UPS206" s="3"/>
      <c r="UPT206" s="3"/>
      <c r="UPU206" s="3"/>
      <c r="UPV206" s="3"/>
      <c r="UPW206" s="3"/>
      <c r="UPX206" s="3"/>
      <c r="UPY206" s="3"/>
      <c r="UPZ206" s="3"/>
      <c r="UQA206" s="3"/>
      <c r="UQB206" s="3"/>
      <c r="UQC206" s="3"/>
      <c r="UQD206" s="3"/>
      <c r="UQE206" s="3"/>
      <c r="UQF206" s="3"/>
      <c r="UQG206" s="3"/>
      <c r="UQH206" s="3"/>
      <c r="UQI206" s="3"/>
      <c r="UQJ206" s="3"/>
      <c r="UQK206" s="3"/>
      <c r="UQL206" s="3"/>
      <c r="UQM206" s="3"/>
      <c r="UQN206" s="3"/>
      <c r="UQO206" s="3"/>
      <c r="UQP206" s="3"/>
      <c r="UQQ206" s="3"/>
      <c r="UQR206" s="3"/>
      <c r="UQS206" s="3"/>
      <c r="UQT206" s="3"/>
      <c r="UQU206" s="3"/>
      <c r="UQV206" s="3"/>
      <c r="UQW206" s="3"/>
      <c r="UQX206" s="3"/>
      <c r="UQY206" s="3"/>
      <c r="UQZ206" s="3"/>
      <c r="URA206" s="3"/>
      <c r="URB206" s="3"/>
      <c r="URC206" s="3"/>
      <c r="URD206" s="3"/>
      <c r="URE206" s="3"/>
      <c r="URF206" s="3"/>
      <c r="URG206" s="3"/>
      <c r="URH206" s="3"/>
      <c r="URI206" s="3"/>
      <c r="URJ206" s="3"/>
      <c r="URK206" s="3"/>
      <c r="URL206" s="3"/>
      <c r="URM206" s="3"/>
      <c r="URN206" s="3"/>
      <c r="URO206" s="3"/>
      <c r="URP206" s="3"/>
      <c r="URQ206" s="3"/>
      <c r="URR206" s="3"/>
      <c r="URS206" s="3"/>
      <c r="URT206" s="3"/>
      <c r="URU206" s="3"/>
      <c r="URV206" s="3"/>
      <c r="URW206" s="3"/>
      <c r="URX206" s="3"/>
      <c r="URY206" s="3"/>
      <c r="URZ206" s="3"/>
      <c r="USA206" s="3"/>
      <c r="USB206" s="3"/>
      <c r="USC206" s="3"/>
      <c r="USD206" s="3"/>
      <c r="USE206" s="3"/>
      <c r="USF206" s="3"/>
      <c r="USG206" s="3"/>
      <c r="USH206" s="3"/>
      <c r="USI206" s="3"/>
      <c r="USJ206" s="3"/>
      <c r="USK206" s="3"/>
      <c r="USL206" s="3"/>
      <c r="USM206" s="3"/>
      <c r="USN206" s="3"/>
      <c r="USO206" s="3"/>
      <c r="USP206" s="3"/>
      <c r="USQ206" s="3"/>
      <c r="USR206" s="3"/>
      <c r="USS206" s="3"/>
      <c r="UST206" s="3"/>
      <c r="USU206" s="3"/>
      <c r="USV206" s="3"/>
      <c r="USW206" s="3"/>
      <c r="USX206" s="3"/>
      <c r="USY206" s="3"/>
      <c r="USZ206" s="3"/>
      <c r="UTA206" s="3"/>
      <c r="UTB206" s="3"/>
      <c r="UTC206" s="3"/>
      <c r="UTD206" s="3"/>
      <c r="UTE206" s="3"/>
      <c r="UTF206" s="3"/>
      <c r="UTG206" s="3"/>
      <c r="UTH206" s="3"/>
      <c r="UTI206" s="3"/>
      <c r="UTJ206" s="3"/>
      <c r="UTK206" s="3"/>
      <c r="UTL206" s="3"/>
      <c r="UTM206" s="3"/>
      <c r="UTN206" s="3"/>
      <c r="UTO206" s="3"/>
      <c r="UTP206" s="3"/>
      <c r="UTQ206" s="3"/>
      <c r="UTR206" s="3"/>
      <c r="UTS206" s="3"/>
      <c r="UTT206" s="3"/>
      <c r="UTU206" s="3"/>
      <c r="UTV206" s="3"/>
      <c r="UTW206" s="3"/>
      <c r="UTX206" s="3"/>
      <c r="UTY206" s="3"/>
      <c r="UTZ206" s="3"/>
      <c r="UUA206" s="3"/>
      <c r="UUB206" s="3"/>
      <c r="UUC206" s="3"/>
      <c r="UUD206" s="3"/>
      <c r="UUE206" s="3"/>
      <c r="UUF206" s="3"/>
      <c r="UUG206" s="3"/>
      <c r="UUH206" s="3"/>
      <c r="UUI206" s="3"/>
      <c r="UUJ206" s="3"/>
      <c r="UUK206" s="3"/>
      <c r="UUL206" s="3"/>
      <c r="UUM206" s="3"/>
      <c r="UUN206" s="3"/>
      <c r="UUO206" s="3"/>
      <c r="UUP206" s="3"/>
      <c r="UUQ206" s="3"/>
      <c r="UUR206" s="3"/>
      <c r="UUS206" s="3"/>
      <c r="UUT206" s="3"/>
      <c r="UUU206" s="3"/>
      <c r="UUV206" s="3"/>
      <c r="UUW206" s="3"/>
      <c r="UUX206" s="3"/>
      <c r="UUY206" s="3"/>
      <c r="UUZ206" s="3"/>
      <c r="UVA206" s="3"/>
      <c r="UVB206" s="3"/>
      <c r="UVC206" s="3"/>
      <c r="UVD206" s="3"/>
      <c r="UVE206" s="3"/>
      <c r="UVF206" s="3"/>
      <c r="UVG206" s="3"/>
      <c r="UVH206" s="3"/>
      <c r="UVI206" s="3"/>
      <c r="UVJ206" s="3"/>
      <c r="UVK206" s="3"/>
      <c r="UVL206" s="3"/>
      <c r="UVM206" s="3"/>
      <c r="UVN206" s="3"/>
      <c r="UVO206" s="3"/>
      <c r="UVP206" s="3"/>
      <c r="UVQ206" s="3"/>
      <c r="UVR206" s="3"/>
      <c r="UVS206" s="3"/>
      <c r="UVT206" s="3"/>
      <c r="UVU206" s="3"/>
      <c r="UVV206" s="3"/>
      <c r="UVW206" s="3"/>
      <c r="UVX206" s="3"/>
      <c r="UVY206" s="3"/>
      <c r="UVZ206" s="3"/>
      <c r="UWA206" s="3"/>
      <c r="UWB206" s="3"/>
      <c r="UWC206" s="3"/>
      <c r="UWD206" s="3"/>
      <c r="UWE206" s="3"/>
      <c r="UWF206" s="3"/>
      <c r="UWG206" s="3"/>
      <c r="UWH206" s="3"/>
      <c r="UWI206" s="3"/>
      <c r="UWJ206" s="3"/>
      <c r="UWK206" s="3"/>
      <c r="UWL206" s="3"/>
      <c r="UWM206" s="3"/>
      <c r="UWN206" s="3"/>
      <c r="UWO206" s="3"/>
      <c r="UWP206" s="3"/>
      <c r="UWQ206" s="3"/>
      <c r="UWR206" s="3"/>
      <c r="UWS206" s="3"/>
      <c r="UWT206" s="3"/>
      <c r="UWU206" s="3"/>
      <c r="UWV206" s="3"/>
      <c r="UWW206" s="3"/>
      <c r="UWX206" s="3"/>
      <c r="UWY206" s="3"/>
      <c r="UWZ206" s="3"/>
      <c r="UXA206" s="3"/>
      <c r="UXB206" s="3"/>
      <c r="UXC206" s="3"/>
      <c r="UXD206" s="3"/>
      <c r="UXE206" s="3"/>
      <c r="UXF206" s="3"/>
      <c r="UXG206" s="3"/>
      <c r="UXH206" s="3"/>
      <c r="UXI206" s="3"/>
      <c r="UXJ206" s="3"/>
      <c r="UXK206" s="3"/>
      <c r="UXL206" s="3"/>
      <c r="UXM206" s="3"/>
      <c r="UXN206" s="3"/>
      <c r="UXO206" s="3"/>
      <c r="UXP206" s="3"/>
      <c r="UXQ206" s="3"/>
      <c r="UXR206" s="3"/>
      <c r="UXS206" s="3"/>
      <c r="UXT206" s="3"/>
      <c r="UXU206" s="3"/>
      <c r="UXV206" s="3"/>
      <c r="UXW206" s="3"/>
      <c r="UXX206" s="3"/>
      <c r="UXY206" s="3"/>
      <c r="UXZ206" s="3"/>
      <c r="UYA206" s="3"/>
      <c r="UYB206" s="3"/>
      <c r="UYC206" s="3"/>
      <c r="UYD206" s="3"/>
      <c r="UYE206" s="3"/>
      <c r="UYF206" s="3"/>
      <c r="UYG206" s="3"/>
      <c r="UYH206" s="3"/>
      <c r="UYI206" s="3"/>
      <c r="UYJ206" s="3"/>
      <c r="UYK206" s="3"/>
      <c r="UYL206" s="3"/>
      <c r="UYM206" s="3"/>
      <c r="UYN206" s="3"/>
      <c r="UYO206" s="3"/>
      <c r="UYP206" s="3"/>
      <c r="UYQ206" s="3"/>
      <c r="UYR206" s="3"/>
      <c r="UYS206" s="3"/>
      <c r="UYT206" s="3"/>
      <c r="UYU206" s="3"/>
      <c r="UYV206" s="3"/>
      <c r="UYW206" s="3"/>
      <c r="UYX206" s="3"/>
      <c r="UYY206" s="3"/>
      <c r="UYZ206" s="3"/>
      <c r="UZA206" s="3"/>
      <c r="UZB206" s="3"/>
      <c r="UZC206" s="3"/>
      <c r="UZD206" s="3"/>
      <c r="UZE206" s="3"/>
      <c r="UZF206" s="3"/>
      <c r="UZG206" s="3"/>
      <c r="UZH206" s="3"/>
      <c r="UZI206" s="3"/>
      <c r="UZJ206" s="3"/>
      <c r="UZK206" s="3"/>
      <c r="UZL206" s="3"/>
      <c r="UZM206" s="3"/>
      <c r="UZN206" s="3"/>
      <c r="UZO206" s="3"/>
      <c r="UZP206" s="3"/>
      <c r="UZQ206" s="3"/>
      <c r="UZR206" s="3"/>
      <c r="UZS206" s="3"/>
      <c r="UZT206" s="3"/>
      <c r="UZU206" s="3"/>
      <c r="UZV206" s="3"/>
      <c r="UZW206" s="3"/>
      <c r="UZX206" s="3"/>
      <c r="UZY206" s="3"/>
      <c r="UZZ206" s="3"/>
      <c r="VAA206" s="3"/>
      <c r="VAB206" s="3"/>
      <c r="VAC206" s="3"/>
      <c r="VAD206" s="3"/>
      <c r="VAE206" s="3"/>
      <c r="VAF206" s="3"/>
      <c r="VAG206" s="3"/>
      <c r="VAH206" s="3"/>
      <c r="VAI206" s="3"/>
      <c r="VAJ206" s="3"/>
      <c r="VAK206" s="3"/>
      <c r="VAL206" s="3"/>
      <c r="VAM206" s="3"/>
      <c r="VAN206" s="3"/>
      <c r="VAO206" s="3"/>
      <c r="VAP206" s="3"/>
      <c r="VAQ206" s="3"/>
      <c r="VAR206" s="3"/>
      <c r="VAS206" s="3"/>
      <c r="VAT206" s="3"/>
      <c r="VAU206" s="3"/>
      <c r="VAV206" s="3"/>
      <c r="VAW206" s="3"/>
      <c r="VAX206" s="3"/>
      <c r="VAY206" s="3"/>
      <c r="VAZ206" s="3"/>
      <c r="VBA206" s="3"/>
      <c r="VBB206" s="3"/>
      <c r="VBC206" s="3"/>
      <c r="VBD206" s="3"/>
      <c r="VBE206" s="3"/>
      <c r="VBF206" s="3"/>
      <c r="VBG206" s="3"/>
      <c r="VBH206" s="3"/>
      <c r="VBI206" s="3"/>
      <c r="VBJ206" s="3"/>
      <c r="VBK206" s="3"/>
      <c r="VBL206" s="3"/>
      <c r="VBM206" s="3"/>
      <c r="VBN206" s="3"/>
      <c r="VBO206" s="3"/>
      <c r="VBP206" s="3"/>
      <c r="VBQ206" s="3"/>
      <c r="VBR206" s="3"/>
      <c r="VBS206" s="3"/>
      <c r="VBT206" s="3"/>
      <c r="VBU206" s="3"/>
      <c r="VBV206" s="3"/>
      <c r="VBW206" s="3"/>
      <c r="VBX206" s="3"/>
      <c r="VBY206" s="3"/>
      <c r="VBZ206" s="3"/>
      <c r="VCA206" s="3"/>
      <c r="VCB206" s="3"/>
      <c r="VCC206" s="3"/>
      <c r="VCD206" s="3"/>
      <c r="VCE206" s="3"/>
      <c r="VCF206" s="3"/>
      <c r="VCG206" s="3"/>
      <c r="VCH206" s="3"/>
      <c r="VCI206" s="3"/>
      <c r="VCJ206" s="3"/>
      <c r="VCK206" s="3"/>
      <c r="VCL206" s="3"/>
      <c r="VCM206" s="3"/>
      <c r="VCN206" s="3"/>
      <c r="VCO206" s="3"/>
      <c r="VCP206" s="3"/>
      <c r="VCQ206" s="3"/>
      <c r="VCR206" s="3"/>
      <c r="VCS206" s="3"/>
      <c r="VCT206" s="3"/>
      <c r="VCU206" s="3"/>
      <c r="VCV206" s="3"/>
      <c r="VCW206" s="3"/>
      <c r="VCX206" s="3"/>
      <c r="VCY206" s="3"/>
      <c r="VCZ206" s="3"/>
      <c r="VDA206" s="3"/>
      <c r="VDB206" s="3"/>
      <c r="VDC206" s="3"/>
      <c r="VDD206" s="3"/>
      <c r="VDE206" s="3"/>
      <c r="VDF206" s="3"/>
      <c r="VDG206" s="3"/>
      <c r="VDH206" s="3"/>
      <c r="VDI206" s="3"/>
      <c r="VDJ206" s="3"/>
      <c r="VDK206" s="3"/>
      <c r="VDL206" s="3"/>
      <c r="VDM206" s="3"/>
      <c r="VDN206" s="3"/>
      <c r="VDO206" s="3"/>
      <c r="VDP206" s="3"/>
      <c r="VDQ206" s="3"/>
      <c r="VDR206" s="3"/>
      <c r="VDS206" s="3"/>
      <c r="VDT206" s="3"/>
      <c r="VDU206" s="3"/>
      <c r="VDV206" s="3"/>
      <c r="VDW206" s="3"/>
      <c r="VDX206" s="3"/>
      <c r="VDY206" s="3"/>
      <c r="VDZ206" s="3"/>
      <c r="VEA206" s="3"/>
      <c r="VEB206" s="3"/>
      <c r="VEC206" s="3"/>
      <c r="VED206" s="3"/>
      <c r="VEE206" s="3"/>
      <c r="VEF206" s="3"/>
      <c r="VEG206" s="3"/>
      <c r="VEH206" s="3"/>
      <c r="VEI206" s="3"/>
      <c r="VEJ206" s="3"/>
      <c r="VEK206" s="3"/>
      <c r="VEL206" s="3"/>
      <c r="VEM206" s="3"/>
      <c r="VEN206" s="3"/>
      <c r="VEO206" s="3"/>
      <c r="VEP206" s="3"/>
      <c r="VEQ206" s="3"/>
      <c r="VER206" s="3"/>
      <c r="VES206" s="3"/>
      <c r="VET206" s="3"/>
      <c r="VEU206" s="3"/>
      <c r="VEV206" s="3"/>
      <c r="VEW206" s="3"/>
      <c r="VEX206" s="3"/>
      <c r="VEY206" s="3"/>
      <c r="VEZ206" s="3"/>
      <c r="VFA206" s="3"/>
      <c r="VFB206" s="3"/>
      <c r="VFC206" s="3"/>
      <c r="VFD206" s="3"/>
      <c r="VFE206" s="3"/>
      <c r="VFF206" s="3"/>
      <c r="VFG206" s="3"/>
      <c r="VFH206" s="3"/>
      <c r="VFI206" s="3"/>
      <c r="VFJ206" s="3"/>
      <c r="VFK206" s="3"/>
      <c r="VFL206" s="3"/>
      <c r="VFM206" s="3"/>
      <c r="VFN206" s="3"/>
      <c r="VFO206" s="3"/>
      <c r="VFP206" s="3"/>
      <c r="VFQ206" s="3"/>
      <c r="VFR206" s="3"/>
      <c r="VFS206" s="3"/>
      <c r="VFT206" s="3"/>
      <c r="VFU206" s="3"/>
      <c r="VFV206" s="3"/>
      <c r="VFW206" s="3"/>
      <c r="VFX206" s="3"/>
      <c r="VFY206" s="3"/>
      <c r="VFZ206" s="3"/>
      <c r="VGA206" s="3"/>
      <c r="VGB206" s="3"/>
      <c r="VGC206" s="3"/>
      <c r="VGD206" s="3"/>
      <c r="VGE206" s="3"/>
      <c r="VGF206" s="3"/>
      <c r="VGG206" s="3"/>
      <c r="VGH206" s="3"/>
      <c r="VGI206" s="3"/>
      <c r="VGJ206" s="3"/>
      <c r="VGK206" s="3"/>
      <c r="VGL206" s="3"/>
      <c r="VGM206" s="3"/>
      <c r="VGN206" s="3"/>
      <c r="VGO206" s="3"/>
      <c r="VGP206" s="3"/>
      <c r="VGQ206" s="3"/>
      <c r="VGR206" s="3"/>
      <c r="VGS206" s="3"/>
      <c r="VGT206" s="3"/>
      <c r="VGU206" s="3"/>
      <c r="VGV206" s="3"/>
      <c r="VGW206" s="3"/>
      <c r="VGX206" s="3"/>
      <c r="VGY206" s="3"/>
      <c r="VGZ206" s="3"/>
      <c r="VHA206" s="3"/>
      <c r="VHB206" s="3"/>
      <c r="VHC206" s="3"/>
      <c r="VHD206" s="3"/>
      <c r="VHE206" s="3"/>
      <c r="VHF206" s="3"/>
      <c r="VHG206" s="3"/>
      <c r="VHH206" s="3"/>
      <c r="VHI206" s="3"/>
      <c r="VHJ206" s="3"/>
      <c r="VHK206" s="3"/>
      <c r="VHL206" s="3"/>
      <c r="VHM206" s="3"/>
      <c r="VHN206" s="3"/>
      <c r="VHO206" s="3"/>
      <c r="VHP206" s="3"/>
      <c r="VHQ206" s="3"/>
      <c r="VHR206" s="3"/>
      <c r="VHS206" s="3"/>
      <c r="VHT206" s="3"/>
      <c r="VHU206" s="3"/>
      <c r="VHV206" s="3"/>
      <c r="VHW206" s="3"/>
      <c r="VHX206" s="3"/>
      <c r="VHY206" s="3"/>
      <c r="VHZ206" s="3"/>
      <c r="VIA206" s="3"/>
      <c r="VIB206" s="3"/>
      <c r="VIC206" s="3"/>
      <c r="VID206" s="3"/>
      <c r="VIE206" s="3"/>
      <c r="VIF206" s="3"/>
      <c r="VIG206" s="3"/>
      <c r="VIH206" s="3"/>
      <c r="VII206" s="3"/>
      <c r="VIJ206" s="3"/>
      <c r="VIK206" s="3"/>
      <c r="VIL206" s="3"/>
      <c r="VIM206" s="3"/>
      <c r="VIN206" s="3"/>
      <c r="VIO206" s="3"/>
      <c r="VIP206" s="3"/>
      <c r="VIQ206" s="3"/>
      <c r="VIR206" s="3"/>
      <c r="VIS206" s="3"/>
      <c r="VIT206" s="3"/>
      <c r="VIU206" s="3"/>
      <c r="VIV206" s="3"/>
      <c r="VIW206" s="3"/>
      <c r="VIX206" s="3"/>
      <c r="VIY206" s="3"/>
      <c r="VIZ206" s="3"/>
      <c r="VJA206" s="3"/>
      <c r="VJB206" s="3"/>
      <c r="VJC206" s="3"/>
      <c r="VJD206" s="3"/>
      <c r="VJE206" s="3"/>
      <c r="VJF206" s="3"/>
      <c r="VJG206" s="3"/>
      <c r="VJH206" s="3"/>
      <c r="VJI206" s="3"/>
      <c r="VJJ206" s="3"/>
      <c r="VJK206" s="3"/>
      <c r="VJL206" s="3"/>
      <c r="VJM206" s="3"/>
      <c r="VJN206" s="3"/>
      <c r="VJO206" s="3"/>
      <c r="VJP206" s="3"/>
      <c r="VJQ206" s="3"/>
      <c r="VJR206" s="3"/>
      <c r="VJS206" s="3"/>
      <c r="VJT206" s="3"/>
      <c r="VJU206" s="3"/>
      <c r="VJV206" s="3"/>
      <c r="VJW206" s="3"/>
      <c r="VJX206" s="3"/>
      <c r="VJY206" s="3"/>
      <c r="VJZ206" s="3"/>
      <c r="VKA206" s="3"/>
      <c r="VKB206" s="3"/>
      <c r="VKC206" s="3"/>
      <c r="VKD206" s="3"/>
      <c r="VKE206" s="3"/>
      <c r="VKF206" s="3"/>
      <c r="VKG206" s="3"/>
      <c r="VKH206" s="3"/>
      <c r="VKI206" s="3"/>
      <c r="VKJ206" s="3"/>
      <c r="VKK206" s="3"/>
      <c r="VKL206" s="3"/>
      <c r="VKM206" s="3"/>
      <c r="VKN206" s="3"/>
      <c r="VKO206" s="3"/>
      <c r="VKP206" s="3"/>
      <c r="VKQ206" s="3"/>
      <c r="VKR206" s="3"/>
      <c r="VKS206" s="3"/>
      <c r="VKT206" s="3"/>
      <c r="VKU206" s="3"/>
      <c r="VKV206" s="3"/>
      <c r="VKW206" s="3"/>
      <c r="VKX206" s="3"/>
      <c r="VKY206" s="3"/>
      <c r="VKZ206" s="3"/>
      <c r="VLA206" s="3"/>
      <c r="VLB206" s="3"/>
      <c r="VLC206" s="3"/>
      <c r="VLD206" s="3"/>
      <c r="VLE206" s="3"/>
      <c r="VLF206" s="3"/>
      <c r="VLG206" s="3"/>
      <c r="VLH206" s="3"/>
      <c r="VLI206" s="3"/>
      <c r="VLJ206" s="3"/>
      <c r="VLK206" s="3"/>
      <c r="VLL206" s="3"/>
      <c r="VLM206" s="3"/>
      <c r="VLN206" s="3"/>
      <c r="VLO206" s="3"/>
      <c r="VLP206" s="3"/>
      <c r="VLQ206" s="3"/>
      <c r="VLR206" s="3"/>
      <c r="VLS206" s="3"/>
      <c r="VLT206" s="3"/>
      <c r="VLU206" s="3"/>
      <c r="VLV206" s="3"/>
      <c r="VLW206" s="3"/>
      <c r="VLX206" s="3"/>
      <c r="VLY206" s="3"/>
      <c r="VLZ206" s="3"/>
      <c r="VMA206" s="3"/>
      <c r="VMB206" s="3"/>
      <c r="VMC206" s="3"/>
      <c r="VMD206" s="3"/>
      <c r="VME206" s="3"/>
      <c r="VMF206" s="3"/>
      <c r="VMG206" s="3"/>
      <c r="VMH206" s="3"/>
      <c r="VMI206" s="3"/>
      <c r="VMJ206" s="3"/>
      <c r="VMK206" s="3"/>
      <c r="VML206" s="3"/>
      <c r="VMM206" s="3"/>
      <c r="VMN206" s="3"/>
      <c r="VMO206" s="3"/>
      <c r="VMP206" s="3"/>
      <c r="VMQ206" s="3"/>
      <c r="VMR206" s="3"/>
      <c r="VMS206" s="3"/>
      <c r="VMT206" s="3"/>
      <c r="VMU206" s="3"/>
      <c r="VMV206" s="3"/>
      <c r="VMW206" s="3"/>
      <c r="VMX206" s="3"/>
      <c r="VMY206" s="3"/>
      <c r="VMZ206" s="3"/>
      <c r="VNA206" s="3"/>
      <c r="VNB206" s="3"/>
      <c r="VNC206" s="3"/>
      <c r="VND206" s="3"/>
      <c r="VNE206" s="3"/>
      <c r="VNF206" s="3"/>
      <c r="VNG206" s="3"/>
      <c r="VNH206" s="3"/>
      <c r="VNI206" s="3"/>
      <c r="VNJ206" s="3"/>
      <c r="VNK206" s="3"/>
      <c r="VNL206" s="3"/>
      <c r="VNM206" s="3"/>
      <c r="VNN206" s="3"/>
      <c r="VNO206" s="3"/>
      <c r="VNP206" s="3"/>
      <c r="VNQ206" s="3"/>
      <c r="VNR206" s="3"/>
      <c r="VNS206" s="3"/>
      <c r="VNT206" s="3"/>
      <c r="VNU206" s="3"/>
      <c r="VNV206" s="3"/>
      <c r="VNW206" s="3"/>
      <c r="VNX206" s="3"/>
      <c r="VNY206" s="3"/>
      <c r="VNZ206" s="3"/>
      <c r="VOA206" s="3"/>
      <c r="VOB206" s="3"/>
      <c r="VOC206" s="3"/>
      <c r="VOD206" s="3"/>
      <c r="VOE206" s="3"/>
      <c r="VOF206" s="3"/>
      <c r="VOG206" s="3"/>
      <c r="VOH206" s="3"/>
      <c r="VOI206" s="3"/>
      <c r="VOJ206" s="3"/>
      <c r="VOK206" s="3"/>
      <c r="VOL206" s="3"/>
      <c r="VOM206" s="3"/>
      <c r="VON206" s="3"/>
      <c r="VOO206" s="3"/>
      <c r="VOP206" s="3"/>
      <c r="VOQ206" s="3"/>
      <c r="VOR206" s="3"/>
      <c r="VOS206" s="3"/>
      <c r="VOT206" s="3"/>
      <c r="VOU206" s="3"/>
      <c r="VOV206" s="3"/>
      <c r="VOW206" s="3"/>
      <c r="VOX206" s="3"/>
      <c r="VOY206" s="3"/>
      <c r="VOZ206" s="3"/>
      <c r="VPA206" s="3"/>
      <c r="VPB206" s="3"/>
      <c r="VPC206" s="3"/>
      <c r="VPD206" s="3"/>
      <c r="VPE206" s="3"/>
      <c r="VPF206" s="3"/>
      <c r="VPG206" s="3"/>
      <c r="VPH206" s="3"/>
      <c r="VPI206" s="3"/>
      <c r="VPJ206" s="3"/>
      <c r="VPK206" s="3"/>
      <c r="VPL206" s="3"/>
      <c r="VPM206" s="3"/>
      <c r="VPN206" s="3"/>
      <c r="VPO206" s="3"/>
      <c r="VPP206" s="3"/>
      <c r="VPQ206" s="3"/>
      <c r="VPR206" s="3"/>
      <c r="VPS206" s="3"/>
      <c r="VPT206" s="3"/>
      <c r="VPU206" s="3"/>
      <c r="VPV206" s="3"/>
      <c r="VPW206" s="3"/>
      <c r="VPX206" s="3"/>
      <c r="VPY206" s="3"/>
      <c r="VPZ206" s="3"/>
      <c r="VQA206" s="3"/>
      <c r="VQB206" s="3"/>
      <c r="VQC206" s="3"/>
      <c r="VQD206" s="3"/>
      <c r="VQE206" s="3"/>
      <c r="VQF206" s="3"/>
      <c r="VQG206" s="3"/>
      <c r="VQH206" s="3"/>
      <c r="VQI206" s="3"/>
      <c r="VQJ206" s="3"/>
      <c r="VQK206" s="3"/>
      <c r="VQL206" s="3"/>
      <c r="VQM206" s="3"/>
      <c r="VQN206" s="3"/>
      <c r="VQO206" s="3"/>
      <c r="VQP206" s="3"/>
      <c r="VQQ206" s="3"/>
      <c r="VQR206" s="3"/>
      <c r="VQS206" s="3"/>
      <c r="VQT206" s="3"/>
      <c r="VQU206" s="3"/>
      <c r="VQV206" s="3"/>
      <c r="VQW206" s="3"/>
      <c r="VQX206" s="3"/>
      <c r="VQY206" s="3"/>
      <c r="VQZ206" s="3"/>
      <c r="VRA206" s="3"/>
      <c r="VRB206" s="3"/>
      <c r="VRC206" s="3"/>
      <c r="VRD206" s="3"/>
      <c r="VRE206" s="3"/>
      <c r="VRF206" s="3"/>
      <c r="VRG206" s="3"/>
      <c r="VRH206" s="3"/>
      <c r="VRI206" s="3"/>
      <c r="VRJ206" s="3"/>
      <c r="VRK206" s="3"/>
      <c r="VRL206" s="3"/>
      <c r="VRM206" s="3"/>
      <c r="VRN206" s="3"/>
      <c r="VRO206" s="3"/>
      <c r="VRP206" s="3"/>
      <c r="VRQ206" s="3"/>
      <c r="VRR206" s="3"/>
      <c r="VRS206" s="3"/>
      <c r="VRT206" s="3"/>
      <c r="VRU206" s="3"/>
      <c r="VRV206" s="3"/>
      <c r="VRW206" s="3"/>
      <c r="VRX206" s="3"/>
      <c r="VRY206" s="3"/>
      <c r="VRZ206" s="3"/>
      <c r="VSA206" s="3"/>
      <c r="VSB206" s="3"/>
      <c r="VSC206" s="3"/>
      <c r="VSD206" s="3"/>
      <c r="VSE206" s="3"/>
      <c r="VSF206" s="3"/>
      <c r="VSG206" s="3"/>
      <c r="VSH206" s="3"/>
      <c r="VSI206" s="3"/>
      <c r="VSJ206" s="3"/>
      <c r="VSK206" s="3"/>
      <c r="VSL206" s="3"/>
      <c r="VSM206" s="3"/>
      <c r="VSN206" s="3"/>
      <c r="VSO206" s="3"/>
      <c r="VSP206" s="3"/>
      <c r="VSQ206" s="3"/>
      <c r="VSR206" s="3"/>
      <c r="VSS206" s="3"/>
      <c r="VST206" s="3"/>
      <c r="VSU206" s="3"/>
      <c r="VSV206" s="3"/>
      <c r="VSW206" s="3"/>
      <c r="VSX206" s="3"/>
      <c r="VSY206" s="3"/>
      <c r="VSZ206" s="3"/>
      <c r="VTA206" s="3"/>
      <c r="VTB206" s="3"/>
      <c r="VTC206" s="3"/>
      <c r="VTD206" s="3"/>
      <c r="VTE206" s="3"/>
      <c r="VTF206" s="3"/>
      <c r="VTG206" s="3"/>
      <c r="VTH206" s="3"/>
      <c r="VTI206" s="3"/>
      <c r="VTJ206" s="3"/>
      <c r="VTK206" s="3"/>
      <c r="VTL206" s="3"/>
      <c r="VTM206" s="3"/>
      <c r="VTN206" s="3"/>
      <c r="VTO206" s="3"/>
      <c r="VTP206" s="3"/>
      <c r="VTQ206" s="3"/>
      <c r="VTR206" s="3"/>
      <c r="VTS206" s="3"/>
      <c r="VTT206" s="3"/>
      <c r="VTU206" s="3"/>
      <c r="VTV206" s="3"/>
      <c r="VTW206" s="3"/>
      <c r="VTX206" s="3"/>
      <c r="VTY206" s="3"/>
      <c r="VTZ206" s="3"/>
      <c r="VUA206" s="3"/>
      <c r="VUB206" s="3"/>
      <c r="VUC206" s="3"/>
      <c r="VUD206" s="3"/>
      <c r="VUE206" s="3"/>
      <c r="VUF206" s="3"/>
      <c r="VUG206" s="3"/>
      <c r="VUH206" s="3"/>
      <c r="VUI206" s="3"/>
      <c r="VUJ206" s="3"/>
      <c r="VUK206" s="3"/>
      <c r="VUL206" s="3"/>
      <c r="VUM206" s="3"/>
      <c r="VUN206" s="3"/>
      <c r="VUO206" s="3"/>
      <c r="VUP206" s="3"/>
      <c r="VUQ206" s="3"/>
      <c r="VUR206" s="3"/>
      <c r="VUS206" s="3"/>
      <c r="VUT206" s="3"/>
      <c r="VUU206" s="3"/>
      <c r="VUV206" s="3"/>
      <c r="VUW206" s="3"/>
      <c r="VUX206" s="3"/>
      <c r="VUY206" s="3"/>
      <c r="VUZ206" s="3"/>
      <c r="VVA206" s="3"/>
      <c r="VVB206" s="3"/>
      <c r="VVC206" s="3"/>
      <c r="VVD206" s="3"/>
      <c r="VVE206" s="3"/>
      <c r="VVF206" s="3"/>
      <c r="VVG206" s="3"/>
      <c r="VVH206" s="3"/>
      <c r="VVI206" s="3"/>
      <c r="VVJ206" s="3"/>
      <c r="VVK206" s="3"/>
      <c r="VVL206" s="3"/>
      <c r="VVM206" s="3"/>
      <c r="VVN206" s="3"/>
      <c r="VVO206" s="3"/>
      <c r="VVP206" s="3"/>
      <c r="VVQ206" s="3"/>
      <c r="VVR206" s="3"/>
      <c r="VVS206" s="3"/>
      <c r="VVT206" s="3"/>
      <c r="VVU206" s="3"/>
      <c r="VVV206" s="3"/>
      <c r="VVW206" s="3"/>
      <c r="VVX206" s="3"/>
      <c r="VVY206" s="3"/>
      <c r="VVZ206" s="3"/>
      <c r="VWA206" s="3"/>
      <c r="VWB206" s="3"/>
      <c r="VWC206" s="3"/>
      <c r="VWD206" s="3"/>
      <c r="VWE206" s="3"/>
      <c r="VWF206" s="3"/>
      <c r="VWG206" s="3"/>
      <c r="VWH206" s="3"/>
      <c r="VWI206" s="3"/>
      <c r="VWJ206" s="3"/>
      <c r="VWK206" s="3"/>
      <c r="VWL206" s="3"/>
      <c r="VWM206" s="3"/>
      <c r="VWN206" s="3"/>
      <c r="VWO206" s="3"/>
      <c r="VWP206" s="3"/>
      <c r="VWQ206" s="3"/>
      <c r="VWR206" s="3"/>
      <c r="VWS206" s="3"/>
      <c r="VWT206" s="3"/>
      <c r="VWU206" s="3"/>
      <c r="VWV206" s="3"/>
      <c r="VWW206" s="3"/>
      <c r="VWX206" s="3"/>
      <c r="VWY206" s="3"/>
      <c r="VWZ206" s="3"/>
      <c r="VXA206" s="3"/>
      <c r="VXB206" s="3"/>
      <c r="VXC206" s="3"/>
      <c r="VXD206" s="3"/>
      <c r="VXE206" s="3"/>
      <c r="VXF206" s="3"/>
      <c r="VXG206" s="3"/>
      <c r="VXH206" s="3"/>
      <c r="VXI206" s="3"/>
      <c r="VXJ206" s="3"/>
      <c r="VXK206" s="3"/>
      <c r="VXL206" s="3"/>
      <c r="VXM206" s="3"/>
      <c r="VXN206" s="3"/>
      <c r="VXO206" s="3"/>
      <c r="VXP206" s="3"/>
      <c r="VXQ206" s="3"/>
      <c r="VXR206" s="3"/>
      <c r="VXS206" s="3"/>
      <c r="VXT206" s="3"/>
      <c r="VXU206" s="3"/>
      <c r="VXV206" s="3"/>
      <c r="VXW206" s="3"/>
      <c r="VXX206" s="3"/>
      <c r="VXY206" s="3"/>
      <c r="VXZ206" s="3"/>
      <c r="VYA206" s="3"/>
      <c r="VYB206" s="3"/>
      <c r="VYC206" s="3"/>
      <c r="VYD206" s="3"/>
      <c r="VYE206" s="3"/>
      <c r="VYF206" s="3"/>
      <c r="VYG206" s="3"/>
      <c r="VYH206" s="3"/>
      <c r="VYI206" s="3"/>
      <c r="VYJ206" s="3"/>
      <c r="VYK206" s="3"/>
      <c r="VYL206" s="3"/>
      <c r="VYM206" s="3"/>
      <c r="VYN206" s="3"/>
      <c r="VYO206" s="3"/>
      <c r="VYP206" s="3"/>
      <c r="VYQ206" s="3"/>
      <c r="VYR206" s="3"/>
      <c r="VYS206" s="3"/>
      <c r="VYT206" s="3"/>
      <c r="VYU206" s="3"/>
      <c r="VYV206" s="3"/>
      <c r="VYW206" s="3"/>
      <c r="VYX206" s="3"/>
      <c r="VYY206" s="3"/>
      <c r="VYZ206" s="3"/>
      <c r="VZA206" s="3"/>
      <c r="VZB206" s="3"/>
      <c r="VZC206" s="3"/>
      <c r="VZD206" s="3"/>
      <c r="VZE206" s="3"/>
      <c r="VZF206" s="3"/>
      <c r="VZG206" s="3"/>
      <c r="VZH206" s="3"/>
      <c r="VZI206" s="3"/>
      <c r="VZJ206" s="3"/>
      <c r="VZK206" s="3"/>
      <c r="VZL206" s="3"/>
      <c r="VZM206" s="3"/>
      <c r="VZN206" s="3"/>
      <c r="VZO206" s="3"/>
      <c r="VZP206" s="3"/>
      <c r="VZQ206" s="3"/>
      <c r="VZR206" s="3"/>
      <c r="VZS206" s="3"/>
      <c r="VZT206" s="3"/>
      <c r="VZU206" s="3"/>
      <c r="VZV206" s="3"/>
      <c r="VZW206" s="3"/>
      <c r="VZX206" s="3"/>
      <c r="VZY206" s="3"/>
      <c r="VZZ206" s="3"/>
      <c r="WAA206" s="3"/>
      <c r="WAB206" s="3"/>
      <c r="WAC206" s="3"/>
      <c r="WAD206" s="3"/>
      <c r="WAE206" s="3"/>
      <c r="WAF206" s="3"/>
      <c r="WAG206" s="3"/>
      <c r="WAH206" s="3"/>
      <c r="WAI206" s="3"/>
      <c r="WAJ206" s="3"/>
      <c r="WAK206" s="3"/>
      <c r="WAL206" s="3"/>
      <c r="WAM206" s="3"/>
      <c r="WAN206" s="3"/>
      <c r="WAO206" s="3"/>
      <c r="WAP206" s="3"/>
      <c r="WAQ206" s="3"/>
      <c r="WAR206" s="3"/>
      <c r="WAS206" s="3"/>
      <c r="WAT206" s="3"/>
      <c r="WAU206" s="3"/>
      <c r="WAV206" s="3"/>
      <c r="WAW206" s="3"/>
      <c r="WAX206" s="3"/>
      <c r="WAY206" s="3"/>
      <c r="WAZ206" s="3"/>
      <c r="WBA206" s="3"/>
      <c r="WBB206" s="3"/>
      <c r="WBC206" s="3"/>
      <c r="WBD206" s="3"/>
      <c r="WBE206" s="3"/>
      <c r="WBF206" s="3"/>
      <c r="WBG206" s="3"/>
      <c r="WBH206" s="3"/>
      <c r="WBI206" s="3"/>
      <c r="WBJ206" s="3"/>
      <c r="WBK206" s="3"/>
      <c r="WBL206" s="3"/>
      <c r="WBM206" s="3"/>
      <c r="WBN206" s="3"/>
      <c r="WBO206" s="3"/>
      <c r="WBP206" s="3"/>
      <c r="WBQ206" s="3"/>
      <c r="WBR206" s="3"/>
      <c r="WBS206" s="3"/>
      <c r="WBT206" s="3"/>
      <c r="WBU206" s="3"/>
      <c r="WBV206" s="3"/>
      <c r="WBW206" s="3"/>
      <c r="WBX206" s="3"/>
      <c r="WBY206" s="3"/>
      <c r="WBZ206" s="3"/>
      <c r="WCA206" s="3"/>
      <c r="WCB206" s="3"/>
      <c r="WCC206" s="3"/>
      <c r="WCD206" s="3"/>
      <c r="WCE206" s="3"/>
      <c r="WCF206" s="3"/>
      <c r="WCG206" s="3"/>
      <c r="WCH206" s="3"/>
      <c r="WCI206" s="3"/>
      <c r="WCJ206" s="3"/>
      <c r="WCK206" s="3"/>
      <c r="WCL206" s="3"/>
      <c r="WCM206" s="3"/>
      <c r="WCN206" s="3"/>
      <c r="WCO206" s="3"/>
      <c r="WCP206" s="3"/>
      <c r="WCQ206" s="3"/>
      <c r="WCR206" s="3"/>
      <c r="WCS206" s="3"/>
      <c r="WCT206" s="3"/>
      <c r="WCU206" s="3"/>
      <c r="WCV206" s="3"/>
      <c r="WCW206" s="3"/>
      <c r="WCX206" s="3"/>
      <c r="WCY206" s="3"/>
      <c r="WCZ206" s="3"/>
      <c r="WDA206" s="3"/>
      <c r="WDB206" s="3"/>
      <c r="WDC206" s="3"/>
      <c r="WDD206" s="3"/>
      <c r="WDE206" s="3"/>
      <c r="WDF206" s="3"/>
      <c r="WDG206" s="3"/>
      <c r="WDH206" s="3"/>
      <c r="WDI206" s="3"/>
      <c r="WDJ206" s="3"/>
      <c r="WDK206" s="3"/>
      <c r="WDL206" s="3"/>
      <c r="WDM206" s="3"/>
      <c r="WDN206" s="3"/>
      <c r="WDO206" s="3"/>
      <c r="WDP206" s="3"/>
      <c r="WDQ206" s="3"/>
      <c r="WDR206" s="3"/>
      <c r="WDS206" s="3"/>
      <c r="WDT206" s="3"/>
      <c r="WDU206" s="3"/>
      <c r="WDV206" s="3"/>
      <c r="WDW206" s="3"/>
      <c r="WDX206" s="3"/>
      <c r="WDY206" s="3"/>
      <c r="WDZ206" s="3"/>
      <c r="WEA206" s="3"/>
      <c r="WEB206" s="3"/>
      <c r="WEC206" s="3"/>
      <c r="WED206" s="3"/>
      <c r="WEE206" s="3"/>
      <c r="WEF206" s="3"/>
      <c r="WEG206" s="3"/>
      <c r="WEH206" s="3"/>
      <c r="WEI206" s="3"/>
      <c r="WEJ206" s="3"/>
      <c r="WEK206" s="3"/>
      <c r="WEL206" s="3"/>
      <c r="WEM206" s="3"/>
      <c r="WEN206" s="3"/>
      <c r="WEO206" s="3"/>
      <c r="WEP206" s="3"/>
      <c r="WEQ206" s="3"/>
      <c r="WER206" s="3"/>
      <c r="WES206" s="3"/>
      <c r="WET206" s="3"/>
      <c r="WEU206" s="3"/>
      <c r="WEV206" s="3"/>
      <c r="WEW206" s="3"/>
      <c r="WEX206" s="3"/>
      <c r="WEY206" s="3"/>
      <c r="WEZ206" s="3"/>
      <c r="WFA206" s="3"/>
      <c r="WFB206" s="3"/>
      <c r="WFC206" s="3"/>
      <c r="WFD206" s="3"/>
      <c r="WFE206" s="3"/>
      <c r="WFF206" s="3"/>
      <c r="WFG206" s="3"/>
      <c r="WFH206" s="3"/>
      <c r="WFI206" s="3"/>
      <c r="WFJ206" s="3"/>
      <c r="WFK206" s="3"/>
      <c r="WFL206" s="3"/>
      <c r="WFM206" s="3"/>
      <c r="WFN206" s="3"/>
      <c r="WFO206" s="3"/>
      <c r="WFP206" s="3"/>
      <c r="WFQ206" s="3"/>
      <c r="WFR206" s="3"/>
      <c r="WFS206" s="3"/>
      <c r="WFT206" s="3"/>
      <c r="WFU206" s="3"/>
      <c r="WFV206" s="3"/>
      <c r="WFW206" s="3"/>
      <c r="WFX206" s="3"/>
      <c r="WFY206" s="3"/>
      <c r="WFZ206" s="3"/>
      <c r="WGA206" s="3"/>
      <c r="WGB206" s="3"/>
      <c r="WGC206" s="3"/>
      <c r="WGD206" s="3"/>
      <c r="WGE206" s="3"/>
      <c r="WGF206" s="3"/>
      <c r="WGG206" s="3"/>
      <c r="WGH206" s="3"/>
      <c r="WGI206" s="3"/>
      <c r="WGJ206" s="3"/>
      <c r="WGK206" s="3"/>
      <c r="WGL206" s="3"/>
      <c r="WGM206" s="3"/>
      <c r="WGN206" s="3"/>
      <c r="WGO206" s="3"/>
      <c r="WGP206" s="3"/>
      <c r="WGQ206" s="3"/>
      <c r="WGR206" s="3"/>
      <c r="WGS206" s="3"/>
      <c r="WGT206" s="3"/>
      <c r="WGU206" s="3"/>
      <c r="WGV206" s="3"/>
      <c r="WGW206" s="3"/>
      <c r="WGX206" s="3"/>
      <c r="WGY206" s="3"/>
      <c r="WGZ206" s="3"/>
      <c r="WHA206" s="3"/>
      <c r="WHB206" s="3"/>
      <c r="WHC206" s="3"/>
      <c r="WHD206" s="3"/>
      <c r="WHE206" s="3"/>
      <c r="WHF206" s="3"/>
      <c r="WHG206" s="3"/>
      <c r="WHH206" s="3"/>
      <c r="WHI206" s="3"/>
      <c r="WHJ206" s="3"/>
      <c r="WHK206" s="3"/>
      <c r="WHL206" s="3"/>
      <c r="WHM206" s="3"/>
      <c r="WHN206" s="3"/>
      <c r="WHO206" s="3"/>
      <c r="WHP206" s="3"/>
      <c r="WHQ206" s="3"/>
      <c r="WHR206" s="3"/>
      <c r="WHS206" s="3"/>
      <c r="WHT206" s="3"/>
      <c r="WHU206" s="3"/>
      <c r="WHV206" s="3"/>
      <c r="WHW206" s="3"/>
      <c r="WHX206" s="3"/>
      <c r="WHY206" s="3"/>
      <c r="WHZ206" s="3"/>
      <c r="WIA206" s="3"/>
      <c r="WIB206" s="3"/>
      <c r="WIC206" s="3"/>
      <c r="WID206" s="3"/>
      <c r="WIE206" s="3"/>
      <c r="WIF206" s="3"/>
      <c r="WIG206" s="3"/>
      <c r="WIH206" s="3"/>
      <c r="WII206" s="3"/>
      <c r="WIJ206" s="3"/>
      <c r="WIK206" s="3"/>
      <c r="WIL206" s="3"/>
      <c r="WIM206" s="3"/>
      <c r="WIN206" s="3"/>
      <c r="WIO206" s="3"/>
      <c r="WIP206" s="3"/>
      <c r="WIQ206" s="3"/>
      <c r="WIR206" s="3"/>
      <c r="WIS206" s="3"/>
      <c r="WIT206" s="3"/>
      <c r="WIU206" s="3"/>
      <c r="WIV206" s="3"/>
      <c r="WIW206" s="3"/>
      <c r="WIX206" s="3"/>
      <c r="WIY206" s="3"/>
      <c r="WIZ206" s="3"/>
      <c r="WJA206" s="3"/>
      <c r="WJB206" s="3"/>
      <c r="WJC206" s="3"/>
      <c r="WJD206" s="3"/>
      <c r="WJE206" s="3"/>
      <c r="WJF206" s="3"/>
      <c r="WJG206" s="3"/>
      <c r="WJH206" s="3"/>
      <c r="WJI206" s="3"/>
      <c r="WJJ206" s="3"/>
      <c r="WJK206" s="3"/>
      <c r="WJL206" s="3"/>
      <c r="WJM206" s="3"/>
      <c r="WJN206" s="3"/>
      <c r="WJO206" s="3"/>
      <c r="WJP206" s="3"/>
      <c r="WJQ206" s="3"/>
      <c r="WJR206" s="3"/>
      <c r="WJS206" s="3"/>
      <c r="WJT206" s="3"/>
      <c r="WJU206" s="3"/>
      <c r="WJV206" s="3"/>
      <c r="WJW206" s="3"/>
      <c r="WJX206" s="3"/>
      <c r="WJY206" s="3"/>
      <c r="WJZ206" s="3"/>
      <c r="WKA206" s="3"/>
      <c r="WKB206" s="3"/>
      <c r="WKC206" s="3"/>
      <c r="WKD206" s="3"/>
      <c r="WKE206" s="3"/>
      <c r="WKF206" s="3"/>
      <c r="WKG206" s="3"/>
      <c r="WKH206" s="3"/>
      <c r="WKI206" s="3"/>
      <c r="WKJ206" s="3"/>
      <c r="WKK206" s="3"/>
      <c r="WKL206" s="3"/>
      <c r="WKM206" s="3"/>
      <c r="WKN206" s="3"/>
      <c r="WKO206" s="3"/>
      <c r="WKP206" s="3"/>
      <c r="WKQ206" s="3"/>
      <c r="WKR206" s="3"/>
      <c r="WKS206" s="3"/>
      <c r="WKT206" s="3"/>
      <c r="WKU206" s="3"/>
      <c r="WKV206" s="3"/>
      <c r="WKW206" s="3"/>
      <c r="WKX206" s="3"/>
      <c r="WKY206" s="3"/>
      <c r="WKZ206" s="3"/>
      <c r="WLA206" s="3"/>
      <c r="WLB206" s="3"/>
      <c r="WLC206" s="3"/>
      <c r="WLD206" s="3"/>
      <c r="WLE206" s="3"/>
      <c r="WLF206" s="3"/>
      <c r="WLG206" s="3"/>
      <c r="WLH206" s="3"/>
      <c r="WLI206" s="3"/>
      <c r="WLJ206" s="3"/>
      <c r="WLK206" s="3"/>
      <c r="WLL206" s="3"/>
      <c r="WLM206" s="3"/>
      <c r="WLN206" s="3"/>
      <c r="WLO206" s="3"/>
      <c r="WLP206" s="3"/>
      <c r="WLQ206" s="3"/>
      <c r="WLR206" s="3"/>
      <c r="WLS206" s="3"/>
      <c r="WLT206" s="3"/>
      <c r="WLU206" s="3"/>
      <c r="WLV206" s="3"/>
      <c r="WLW206" s="3"/>
      <c r="WLX206" s="3"/>
      <c r="WLY206" s="3"/>
      <c r="WLZ206" s="3"/>
      <c r="WMA206" s="3"/>
      <c r="WMB206" s="3"/>
      <c r="WMC206" s="3"/>
      <c r="WMD206" s="3"/>
      <c r="WME206" s="3"/>
      <c r="WMF206" s="3"/>
      <c r="WMG206" s="3"/>
      <c r="WMH206" s="3"/>
      <c r="WMI206" s="3"/>
      <c r="WMJ206" s="3"/>
      <c r="WMK206" s="3"/>
      <c r="WML206" s="3"/>
      <c r="WMM206" s="3"/>
      <c r="WMN206" s="3"/>
      <c r="WMO206" s="3"/>
      <c r="WMP206" s="3"/>
      <c r="WMQ206" s="3"/>
      <c r="WMR206" s="3"/>
      <c r="WMS206" s="3"/>
      <c r="WMT206" s="3"/>
      <c r="WMU206" s="3"/>
      <c r="WMV206" s="3"/>
      <c r="WMW206" s="3"/>
      <c r="WMX206" s="3"/>
      <c r="WMY206" s="3"/>
      <c r="WMZ206" s="3"/>
      <c r="WNA206" s="3"/>
      <c r="WNB206" s="3"/>
      <c r="WNC206" s="3"/>
      <c r="WND206" s="3"/>
      <c r="WNE206" s="3"/>
      <c r="WNF206" s="3"/>
      <c r="WNG206" s="3"/>
      <c r="WNH206" s="3"/>
      <c r="WNI206" s="3"/>
      <c r="WNJ206" s="3"/>
      <c r="WNK206" s="3"/>
      <c r="WNL206" s="3"/>
      <c r="WNM206" s="3"/>
      <c r="WNN206" s="3"/>
      <c r="WNO206" s="3"/>
      <c r="WNP206" s="3"/>
      <c r="WNQ206" s="3"/>
      <c r="WNR206" s="3"/>
      <c r="WNS206" s="3"/>
      <c r="WNT206" s="3"/>
      <c r="WNU206" s="3"/>
      <c r="WNV206" s="3"/>
      <c r="WNW206" s="3"/>
      <c r="WNX206" s="3"/>
      <c r="WNY206" s="3"/>
      <c r="WNZ206" s="3"/>
      <c r="WOA206" s="3"/>
      <c r="WOB206" s="3"/>
      <c r="WOC206" s="3"/>
      <c r="WOD206" s="3"/>
      <c r="WOE206" s="3"/>
      <c r="WOF206" s="3"/>
      <c r="WOG206" s="3"/>
      <c r="WOH206" s="3"/>
      <c r="WOI206" s="3"/>
      <c r="WOJ206" s="3"/>
      <c r="WOK206" s="3"/>
      <c r="WOL206" s="3"/>
      <c r="WOM206" s="3"/>
      <c r="WON206" s="3"/>
      <c r="WOO206" s="3"/>
      <c r="WOP206" s="3"/>
      <c r="WOQ206" s="3"/>
      <c r="WOR206" s="3"/>
      <c r="WOS206" s="3"/>
      <c r="WOT206" s="3"/>
      <c r="WOU206" s="3"/>
      <c r="WOV206" s="3"/>
      <c r="WOW206" s="3"/>
      <c r="WOX206" s="3"/>
      <c r="WOY206" s="3"/>
      <c r="WOZ206" s="3"/>
      <c r="WPA206" s="3"/>
      <c r="WPB206" s="3"/>
      <c r="WPC206" s="3"/>
      <c r="WPD206" s="3"/>
      <c r="WPE206" s="3"/>
      <c r="WPF206" s="3"/>
      <c r="WPG206" s="3"/>
      <c r="WPH206" s="3"/>
      <c r="WPI206" s="3"/>
      <c r="WPJ206" s="3"/>
      <c r="WPK206" s="3"/>
      <c r="WPL206" s="3"/>
      <c r="WPM206" s="3"/>
      <c r="WPN206" s="3"/>
      <c r="WPO206" s="3"/>
      <c r="WPP206" s="3"/>
      <c r="WPQ206" s="3"/>
      <c r="WPR206" s="3"/>
      <c r="WPS206" s="3"/>
      <c r="WPT206" s="3"/>
      <c r="WPU206" s="3"/>
      <c r="WPV206" s="3"/>
      <c r="WPW206" s="3"/>
      <c r="WPX206" s="3"/>
      <c r="WPY206" s="3"/>
      <c r="WPZ206" s="3"/>
      <c r="WQA206" s="3"/>
      <c r="WQB206" s="3"/>
      <c r="WQC206" s="3"/>
      <c r="WQD206" s="3"/>
      <c r="WQE206" s="3"/>
      <c r="WQF206" s="3"/>
      <c r="WQG206" s="3"/>
      <c r="WQH206" s="3"/>
      <c r="WQI206" s="3"/>
      <c r="WQJ206" s="3"/>
      <c r="WQK206" s="3"/>
      <c r="WQL206" s="3"/>
      <c r="WQM206" s="3"/>
      <c r="WQN206" s="3"/>
      <c r="WQO206" s="3"/>
      <c r="WQP206" s="3"/>
      <c r="WQQ206" s="3"/>
      <c r="WQR206" s="3"/>
      <c r="WQS206" s="3"/>
      <c r="WQT206" s="3"/>
      <c r="WQU206" s="3"/>
      <c r="WQV206" s="3"/>
      <c r="WQW206" s="3"/>
      <c r="WQX206" s="3"/>
      <c r="WQY206" s="3"/>
      <c r="WQZ206" s="3"/>
      <c r="WRA206" s="3"/>
      <c r="WRB206" s="3"/>
      <c r="WRC206" s="3"/>
      <c r="WRD206" s="3"/>
      <c r="WRE206" s="3"/>
      <c r="WRF206" s="3"/>
      <c r="WRG206" s="3"/>
      <c r="WRH206" s="3"/>
      <c r="WRI206" s="3"/>
      <c r="WRJ206" s="3"/>
      <c r="WRK206" s="3"/>
      <c r="WRL206" s="3"/>
      <c r="WRM206" s="3"/>
      <c r="WRN206" s="3"/>
      <c r="WRO206" s="3"/>
      <c r="WRP206" s="3"/>
      <c r="WRQ206" s="3"/>
      <c r="WRR206" s="3"/>
      <c r="WRS206" s="3"/>
      <c r="WRT206" s="3"/>
      <c r="WRU206" s="3"/>
      <c r="WRV206" s="3"/>
      <c r="WRW206" s="3"/>
      <c r="WRX206" s="3"/>
      <c r="WRY206" s="3"/>
      <c r="WRZ206" s="3"/>
      <c r="WSA206" s="3"/>
      <c r="WSB206" s="3"/>
      <c r="WSC206" s="3"/>
      <c r="WSD206" s="3"/>
      <c r="WSE206" s="3"/>
      <c r="WSF206" s="3"/>
      <c r="WSG206" s="3"/>
      <c r="WSH206" s="3"/>
      <c r="WSI206" s="3"/>
      <c r="WSJ206" s="3"/>
      <c r="WSK206" s="3"/>
      <c r="WSL206" s="3"/>
      <c r="WSM206" s="3"/>
      <c r="WSN206" s="3"/>
      <c r="WSO206" s="3"/>
      <c r="WSP206" s="3"/>
      <c r="WSQ206" s="3"/>
      <c r="WSR206" s="3"/>
      <c r="WSS206" s="3"/>
      <c r="WST206" s="3"/>
      <c r="WSU206" s="3"/>
      <c r="WSV206" s="3"/>
      <c r="WSW206" s="3"/>
      <c r="WSX206" s="3"/>
      <c r="WSY206" s="3"/>
      <c r="WSZ206" s="3"/>
      <c r="WTA206" s="3"/>
      <c r="WTB206" s="3"/>
      <c r="WTC206" s="3"/>
      <c r="WTD206" s="3"/>
      <c r="WTE206" s="3"/>
      <c r="WTF206" s="3"/>
      <c r="WTG206" s="3"/>
      <c r="WTH206" s="3"/>
      <c r="WTI206" s="3"/>
      <c r="WTJ206" s="3"/>
      <c r="WTK206" s="3"/>
      <c r="WTL206" s="3"/>
      <c r="WTM206" s="3"/>
      <c r="WTN206" s="3"/>
      <c r="WTO206" s="3"/>
      <c r="WTP206" s="3"/>
      <c r="WTQ206" s="3"/>
      <c r="WTR206" s="3"/>
      <c r="WTS206" s="3"/>
      <c r="WTT206" s="3"/>
      <c r="WTU206" s="3"/>
      <c r="WTV206" s="3"/>
      <c r="WTW206" s="3"/>
      <c r="WTX206" s="3"/>
      <c r="WTY206" s="3"/>
      <c r="WTZ206" s="3"/>
      <c r="WUA206" s="3"/>
      <c r="WUB206" s="3"/>
      <c r="WUC206" s="3"/>
      <c r="WUD206" s="3"/>
      <c r="WUE206" s="3"/>
      <c r="WUF206" s="3"/>
      <c r="WUG206" s="3"/>
      <c r="WUH206" s="3"/>
      <c r="WUI206" s="3"/>
      <c r="WUJ206" s="3"/>
      <c r="WUK206" s="3"/>
      <c r="WUL206" s="3"/>
      <c r="WUM206" s="3"/>
      <c r="WUN206" s="3"/>
      <c r="WUO206" s="3"/>
      <c r="WUP206" s="3"/>
      <c r="WUQ206" s="3"/>
      <c r="WUR206" s="3"/>
      <c r="WUS206" s="3"/>
      <c r="WUT206" s="3"/>
      <c r="WUU206" s="3"/>
      <c r="WUV206" s="3"/>
      <c r="WUW206" s="3"/>
      <c r="WUX206" s="3"/>
      <c r="WUY206" s="3"/>
      <c r="WUZ206" s="3"/>
      <c r="WVA206" s="3"/>
      <c r="WVB206" s="3"/>
      <c r="WVC206" s="3"/>
      <c r="WVD206" s="3"/>
      <c r="WVE206" s="3"/>
      <c r="WVF206" s="3"/>
      <c r="WVG206" s="3"/>
      <c r="WVH206" s="3"/>
      <c r="WVI206" s="3"/>
      <c r="WVJ206" s="3"/>
      <c r="WVK206" s="3"/>
      <c r="WVL206" s="3"/>
      <c r="WVM206" s="3"/>
      <c r="WVN206" s="3"/>
      <c r="WVO206" s="3"/>
      <c r="WVP206" s="3"/>
      <c r="WVQ206" s="3"/>
      <c r="WVR206" s="3"/>
      <c r="WVS206" s="3"/>
      <c r="WVT206" s="3"/>
      <c r="WVU206" s="3"/>
      <c r="WVV206" s="3"/>
      <c r="WVW206" s="3"/>
      <c r="WVX206" s="3"/>
      <c r="WVY206" s="3"/>
      <c r="WVZ206" s="3"/>
      <c r="WWA206" s="3"/>
      <c r="WWB206" s="3"/>
      <c r="WWC206" s="3"/>
      <c r="WWD206" s="3"/>
      <c r="WWE206" s="3"/>
      <c r="WWF206" s="3"/>
      <c r="WWG206" s="3"/>
      <c r="WWH206" s="3"/>
      <c r="WWI206" s="3"/>
      <c r="WWJ206" s="3"/>
      <c r="WWK206" s="3"/>
      <c r="WWL206" s="3"/>
      <c r="WWM206" s="3"/>
      <c r="WWN206" s="3"/>
      <c r="WWO206" s="3"/>
      <c r="WWP206" s="3"/>
      <c r="WWQ206" s="3"/>
      <c r="WWR206" s="3"/>
      <c r="WWS206" s="3"/>
      <c r="WWT206" s="3"/>
      <c r="WWU206" s="3"/>
      <c r="WWV206" s="3"/>
      <c r="WWW206" s="3"/>
      <c r="WWX206" s="3"/>
      <c r="WWY206" s="3"/>
      <c r="WWZ206" s="3"/>
      <c r="WXA206" s="3"/>
      <c r="WXB206" s="3"/>
      <c r="WXC206" s="3"/>
      <c r="WXD206" s="3"/>
      <c r="WXE206" s="3"/>
      <c r="WXF206" s="3"/>
      <c r="WXG206" s="3"/>
      <c r="WXH206" s="3"/>
      <c r="WXI206" s="3"/>
      <c r="WXJ206" s="3"/>
      <c r="WXK206" s="3"/>
      <c r="WXL206" s="3"/>
      <c r="WXM206" s="3"/>
      <c r="WXN206" s="3"/>
      <c r="WXO206" s="3"/>
      <c r="WXP206" s="3"/>
      <c r="WXQ206" s="3"/>
      <c r="WXR206" s="3"/>
      <c r="WXS206" s="3"/>
      <c r="WXT206" s="3"/>
      <c r="WXU206" s="3"/>
      <c r="WXV206" s="3"/>
      <c r="WXW206" s="3"/>
      <c r="WXX206" s="3"/>
      <c r="WXY206" s="3"/>
      <c r="WXZ206" s="3"/>
      <c r="WYA206" s="3"/>
      <c r="WYB206" s="3"/>
      <c r="WYC206" s="3"/>
      <c r="WYD206" s="3"/>
      <c r="WYE206" s="3"/>
      <c r="WYF206" s="3"/>
      <c r="WYG206" s="3"/>
      <c r="WYH206" s="3"/>
      <c r="WYI206" s="3"/>
      <c r="WYJ206" s="3"/>
      <c r="WYK206" s="3"/>
      <c r="WYL206" s="3"/>
      <c r="WYM206" s="3"/>
      <c r="WYN206" s="3"/>
      <c r="WYO206" s="3"/>
      <c r="WYP206" s="3"/>
      <c r="WYQ206" s="3"/>
      <c r="WYR206" s="3"/>
      <c r="WYS206" s="3"/>
      <c r="WYT206" s="3"/>
      <c r="WYU206" s="3"/>
      <c r="WYV206" s="3"/>
      <c r="WYW206" s="3"/>
      <c r="WYX206" s="3"/>
      <c r="WYY206" s="3"/>
      <c r="WYZ206" s="3"/>
      <c r="WZA206" s="3"/>
      <c r="WZB206" s="3"/>
      <c r="WZC206" s="3"/>
      <c r="WZD206" s="3"/>
      <c r="WZE206" s="3"/>
      <c r="WZF206" s="3"/>
      <c r="WZG206" s="3"/>
      <c r="WZH206" s="3"/>
      <c r="WZI206" s="3"/>
      <c r="WZJ206" s="3"/>
      <c r="WZK206" s="3"/>
      <c r="WZL206" s="3"/>
      <c r="WZM206" s="3"/>
      <c r="WZN206" s="3"/>
      <c r="WZO206" s="3"/>
      <c r="WZP206" s="3"/>
      <c r="WZQ206" s="3"/>
      <c r="WZR206" s="3"/>
      <c r="WZS206" s="3"/>
      <c r="WZT206" s="3"/>
      <c r="WZU206" s="3"/>
      <c r="WZV206" s="3"/>
      <c r="WZW206" s="3"/>
      <c r="WZX206" s="3"/>
      <c r="WZY206" s="3"/>
      <c r="WZZ206" s="3"/>
      <c r="XAA206" s="3"/>
      <c r="XAB206" s="3"/>
      <c r="XAC206" s="3"/>
      <c r="XAD206" s="3"/>
      <c r="XAE206" s="3"/>
      <c r="XAF206" s="3"/>
      <c r="XAG206" s="3"/>
      <c r="XAH206" s="3"/>
      <c r="XAI206" s="3"/>
      <c r="XAJ206" s="3"/>
      <c r="XAK206" s="3"/>
      <c r="XAL206" s="3"/>
      <c r="XAM206" s="3"/>
      <c r="XAN206" s="3"/>
      <c r="XAO206" s="3"/>
      <c r="XAP206" s="3"/>
      <c r="XAQ206" s="3"/>
      <c r="XAR206" s="3"/>
      <c r="XAS206" s="3"/>
      <c r="XAT206" s="3"/>
      <c r="XAU206" s="3"/>
      <c r="XAV206" s="3"/>
      <c r="XAW206" s="3"/>
      <c r="XAX206" s="3"/>
      <c r="XAY206" s="3"/>
      <c r="XAZ206" s="3"/>
      <c r="XBA206" s="3"/>
      <c r="XBB206" s="3"/>
      <c r="XBC206" s="3"/>
      <c r="XBD206" s="3"/>
      <c r="XBE206" s="3"/>
      <c r="XBF206" s="3"/>
      <c r="XBG206" s="3"/>
      <c r="XBH206" s="3"/>
      <c r="XBI206" s="3"/>
      <c r="XBJ206" s="3"/>
      <c r="XBK206" s="3"/>
      <c r="XBL206" s="3"/>
      <c r="XBM206" s="3"/>
      <c r="XBN206" s="3"/>
      <c r="XBO206" s="3"/>
      <c r="XBP206" s="3"/>
      <c r="XBQ206" s="3"/>
      <c r="XBR206" s="3"/>
      <c r="XBS206" s="3"/>
      <c r="XBT206" s="3"/>
      <c r="XBU206" s="3"/>
      <c r="XBV206" s="3"/>
      <c r="XBW206" s="3"/>
      <c r="XBX206" s="3"/>
      <c r="XBY206" s="3"/>
      <c r="XBZ206" s="3"/>
      <c r="XCA206" s="3"/>
      <c r="XCB206" s="3"/>
      <c r="XCC206" s="3"/>
      <c r="XCD206" s="3"/>
      <c r="XCE206" s="3"/>
      <c r="XCF206" s="3"/>
      <c r="XCG206" s="3"/>
      <c r="XCH206" s="3"/>
      <c r="XCI206" s="3"/>
      <c r="XCJ206" s="3"/>
      <c r="XCK206" s="3"/>
      <c r="XCL206" s="3"/>
      <c r="XCM206" s="3"/>
      <c r="XCN206" s="3"/>
      <c r="XCO206" s="3"/>
      <c r="XCP206" s="3"/>
      <c r="XCQ206" s="3"/>
      <c r="XCR206" s="3"/>
      <c r="XCS206" s="3"/>
      <c r="XCT206" s="3"/>
      <c r="XCU206" s="3"/>
      <c r="XCV206" s="3"/>
      <c r="XCW206" s="3"/>
      <c r="XCX206" s="3"/>
      <c r="XCY206" s="3"/>
      <c r="XCZ206" s="3"/>
      <c r="XDA206" s="3"/>
      <c r="XDB206" s="3"/>
      <c r="XDC206" s="3"/>
      <c r="XDD206" s="3"/>
      <c r="XDE206" s="3"/>
      <c r="XDF206" s="3"/>
      <c r="XDG206" s="3"/>
      <c r="XDH206" s="3"/>
      <c r="XDI206" s="3"/>
      <c r="XDJ206" s="3"/>
      <c r="XDK206" s="3"/>
      <c r="XDL206" s="3"/>
      <c r="XDM206" s="3"/>
      <c r="XDN206" s="3"/>
      <c r="XDO206" s="3"/>
      <c r="XDP206" s="3"/>
      <c r="XDQ206" s="3"/>
      <c r="XDR206" s="3"/>
      <c r="XDS206" s="3"/>
      <c r="XDT206" s="3"/>
      <c r="XDU206" s="3"/>
      <c r="XDV206" s="3"/>
      <c r="XDW206" s="3"/>
      <c r="XDX206" s="3"/>
    </row>
    <row r="207" spans="1:16352" hidden="1" x14ac:dyDescent="0.3">
      <c r="A207" s="122"/>
      <c r="B207" s="123"/>
      <c r="C207" s="124"/>
      <c r="D207" s="72" t="s">
        <v>214</v>
      </c>
      <c r="E207" s="73"/>
      <c r="F207" s="73"/>
      <c r="G207" s="73"/>
      <c r="H207" s="73">
        <f t="shared" ref="H207:AI207" si="33">COUNTIFS(H4:H206,"Public")</f>
        <v>0</v>
      </c>
      <c r="I207" s="73">
        <f t="shared" si="33"/>
        <v>0</v>
      </c>
      <c r="J207" s="73">
        <f t="shared" si="33"/>
        <v>0</v>
      </c>
      <c r="K207" s="73">
        <f t="shared" si="33"/>
        <v>0</v>
      </c>
      <c r="L207" s="73">
        <f t="shared" si="33"/>
        <v>0</v>
      </c>
      <c r="M207" s="73">
        <f t="shared" si="33"/>
        <v>0</v>
      </c>
      <c r="N207" s="73">
        <f t="shared" si="33"/>
        <v>0</v>
      </c>
      <c r="O207" s="73">
        <f t="shared" si="33"/>
        <v>0</v>
      </c>
      <c r="P207" s="73">
        <f t="shared" si="33"/>
        <v>0</v>
      </c>
      <c r="Q207" s="73">
        <f t="shared" si="33"/>
        <v>0</v>
      </c>
      <c r="R207" s="73">
        <f t="shared" si="33"/>
        <v>0</v>
      </c>
      <c r="S207" s="73">
        <f t="shared" si="33"/>
        <v>0</v>
      </c>
      <c r="T207" s="73">
        <f t="shared" si="33"/>
        <v>0</v>
      </c>
      <c r="U207" s="73">
        <f t="shared" si="33"/>
        <v>0</v>
      </c>
      <c r="V207" s="73">
        <f t="shared" si="33"/>
        <v>0</v>
      </c>
      <c r="W207" s="73">
        <f t="shared" si="33"/>
        <v>0</v>
      </c>
      <c r="X207" s="73">
        <f t="shared" si="33"/>
        <v>0</v>
      </c>
      <c r="Y207" s="73">
        <f t="shared" si="33"/>
        <v>0</v>
      </c>
      <c r="Z207" s="73">
        <f t="shared" si="33"/>
        <v>0</v>
      </c>
      <c r="AA207" s="73">
        <f t="shared" si="33"/>
        <v>0</v>
      </c>
      <c r="AB207" s="73">
        <f t="shared" si="33"/>
        <v>0</v>
      </c>
      <c r="AC207" s="73">
        <f t="shared" si="33"/>
        <v>0</v>
      </c>
      <c r="AD207" s="73">
        <f t="shared" si="33"/>
        <v>0</v>
      </c>
      <c r="AE207" s="73">
        <f t="shared" si="33"/>
        <v>0</v>
      </c>
      <c r="AF207" s="73">
        <f t="shared" si="33"/>
        <v>0</v>
      </c>
      <c r="AG207" s="73">
        <f t="shared" si="33"/>
        <v>0</v>
      </c>
      <c r="AH207" s="73">
        <f t="shared" si="33"/>
        <v>0</v>
      </c>
      <c r="AI207" s="73">
        <f t="shared" si="33"/>
        <v>0</v>
      </c>
    </row>
    <row r="208" spans="1:16352" hidden="1" x14ac:dyDescent="0.3">
      <c r="A208" s="122"/>
      <c r="B208" s="123"/>
      <c r="C208" s="124"/>
      <c r="D208" s="72" t="s">
        <v>215</v>
      </c>
      <c r="E208" s="73"/>
      <c r="F208" s="73"/>
      <c r="G208" s="73"/>
      <c r="H208" s="73">
        <f t="shared" ref="H208:AI208" si="34">COUNTIFS(H5:H207,"Optional")</f>
        <v>0</v>
      </c>
      <c r="I208" s="73">
        <f t="shared" si="34"/>
        <v>0</v>
      </c>
      <c r="J208" s="73">
        <f t="shared" si="34"/>
        <v>0</v>
      </c>
      <c r="K208" s="73">
        <f t="shared" si="34"/>
        <v>0</v>
      </c>
      <c r="L208" s="73">
        <f t="shared" si="34"/>
        <v>0</v>
      </c>
      <c r="M208" s="73">
        <f t="shared" si="34"/>
        <v>0</v>
      </c>
      <c r="N208" s="73">
        <f t="shared" si="34"/>
        <v>0</v>
      </c>
      <c r="O208" s="73">
        <f t="shared" si="34"/>
        <v>0</v>
      </c>
      <c r="P208" s="73">
        <f t="shared" si="34"/>
        <v>0</v>
      </c>
      <c r="Q208" s="73">
        <f t="shared" si="34"/>
        <v>0</v>
      </c>
      <c r="R208" s="73">
        <f t="shared" si="34"/>
        <v>0</v>
      </c>
      <c r="S208" s="73">
        <f t="shared" si="34"/>
        <v>0</v>
      </c>
      <c r="T208" s="73">
        <f t="shared" si="34"/>
        <v>0</v>
      </c>
      <c r="U208" s="73">
        <f t="shared" si="34"/>
        <v>0</v>
      </c>
      <c r="V208" s="73">
        <f t="shared" si="34"/>
        <v>0</v>
      </c>
      <c r="W208" s="73">
        <f t="shared" si="34"/>
        <v>0</v>
      </c>
      <c r="X208" s="73">
        <f t="shared" si="34"/>
        <v>0</v>
      </c>
      <c r="Y208" s="73">
        <f t="shared" si="34"/>
        <v>0</v>
      </c>
      <c r="Z208" s="73">
        <f t="shared" si="34"/>
        <v>0</v>
      </c>
      <c r="AA208" s="73">
        <f t="shared" si="34"/>
        <v>0</v>
      </c>
      <c r="AB208" s="73">
        <f t="shared" si="34"/>
        <v>0</v>
      </c>
      <c r="AC208" s="73">
        <f t="shared" si="34"/>
        <v>0</v>
      </c>
      <c r="AD208" s="73">
        <f t="shared" si="34"/>
        <v>0</v>
      </c>
      <c r="AE208" s="73">
        <f t="shared" si="34"/>
        <v>0</v>
      </c>
      <c r="AF208" s="73">
        <f t="shared" si="34"/>
        <v>0</v>
      </c>
      <c r="AG208" s="73">
        <f t="shared" si="34"/>
        <v>0</v>
      </c>
      <c r="AH208" s="73">
        <f t="shared" si="34"/>
        <v>0</v>
      </c>
      <c r="AI208" s="73">
        <f t="shared" si="34"/>
        <v>0</v>
      </c>
    </row>
    <row r="209" spans="1:35" hidden="1" x14ac:dyDescent="0.3">
      <c r="A209" s="122"/>
      <c r="B209" s="123"/>
      <c r="C209" s="124"/>
      <c r="D209" s="72" t="s">
        <v>218</v>
      </c>
      <c r="E209" s="73"/>
      <c r="F209" s="73"/>
      <c r="G209" s="73"/>
      <c r="H209" s="73">
        <f t="shared" ref="H209:AI209" si="35">COUNTIFS(H6:H208,"National-WE")</f>
        <v>0</v>
      </c>
      <c r="I209" s="73">
        <f t="shared" si="35"/>
        <v>0</v>
      </c>
      <c r="J209" s="73">
        <f t="shared" si="35"/>
        <v>0</v>
      </c>
      <c r="K209" s="73">
        <f t="shared" si="35"/>
        <v>0</v>
      </c>
      <c r="L209" s="73">
        <f t="shared" si="35"/>
        <v>0</v>
      </c>
      <c r="M209" s="73">
        <f t="shared" si="35"/>
        <v>0</v>
      </c>
      <c r="N209" s="73">
        <f t="shared" si="35"/>
        <v>0</v>
      </c>
      <c r="O209" s="73">
        <f t="shared" si="35"/>
        <v>0</v>
      </c>
      <c r="P209" s="73">
        <f t="shared" si="35"/>
        <v>0</v>
      </c>
      <c r="Q209" s="73">
        <f t="shared" si="35"/>
        <v>0</v>
      </c>
      <c r="R209" s="73">
        <f t="shared" si="35"/>
        <v>0</v>
      </c>
      <c r="S209" s="73">
        <f t="shared" si="35"/>
        <v>0</v>
      </c>
      <c r="T209" s="73">
        <f t="shared" si="35"/>
        <v>0</v>
      </c>
      <c r="U209" s="73">
        <f t="shared" si="35"/>
        <v>0</v>
      </c>
      <c r="V209" s="73">
        <f t="shared" si="35"/>
        <v>0</v>
      </c>
      <c r="W209" s="73">
        <f t="shared" si="35"/>
        <v>0</v>
      </c>
      <c r="X209" s="73">
        <f t="shared" si="35"/>
        <v>0</v>
      </c>
      <c r="Y209" s="73">
        <f t="shared" si="35"/>
        <v>0</v>
      </c>
      <c r="Z209" s="73">
        <f t="shared" si="35"/>
        <v>0</v>
      </c>
      <c r="AA209" s="73">
        <f t="shared" si="35"/>
        <v>0</v>
      </c>
      <c r="AB209" s="73">
        <f t="shared" si="35"/>
        <v>0</v>
      </c>
      <c r="AC209" s="73">
        <f t="shared" si="35"/>
        <v>0</v>
      </c>
      <c r="AD209" s="73">
        <f t="shared" si="35"/>
        <v>0</v>
      </c>
      <c r="AE209" s="73">
        <f t="shared" si="35"/>
        <v>0</v>
      </c>
      <c r="AF209" s="73">
        <f t="shared" si="35"/>
        <v>0</v>
      </c>
      <c r="AG209" s="73">
        <f t="shared" si="35"/>
        <v>0</v>
      </c>
      <c r="AH209" s="73">
        <f t="shared" si="35"/>
        <v>0</v>
      </c>
      <c r="AI209" s="73">
        <f t="shared" si="35"/>
        <v>0</v>
      </c>
    </row>
    <row r="210" spans="1:35" hidden="1" x14ac:dyDescent="0.3">
      <c r="A210" s="122"/>
      <c r="B210" s="123"/>
      <c r="C210" s="124"/>
      <c r="D210" s="72" t="s">
        <v>219</v>
      </c>
      <c r="E210" s="73"/>
      <c r="F210" s="73"/>
      <c r="G210" s="73"/>
      <c r="H210" s="73">
        <f t="shared" ref="H210:AI210" si="36">COUNTIFS(H8:H209,"Regional-WE")</f>
        <v>0</v>
      </c>
      <c r="I210" s="73">
        <f t="shared" si="36"/>
        <v>0</v>
      </c>
      <c r="J210" s="73">
        <f t="shared" si="36"/>
        <v>0</v>
      </c>
      <c r="K210" s="73">
        <f t="shared" si="36"/>
        <v>0</v>
      </c>
      <c r="L210" s="73">
        <f t="shared" si="36"/>
        <v>0</v>
      </c>
      <c r="M210" s="73">
        <f t="shared" si="36"/>
        <v>0</v>
      </c>
      <c r="N210" s="73">
        <f t="shared" si="36"/>
        <v>0</v>
      </c>
      <c r="O210" s="73">
        <f t="shared" si="36"/>
        <v>0</v>
      </c>
      <c r="P210" s="73">
        <f t="shared" si="36"/>
        <v>0</v>
      </c>
      <c r="Q210" s="73">
        <f t="shared" si="36"/>
        <v>0</v>
      </c>
      <c r="R210" s="73">
        <f t="shared" si="36"/>
        <v>0</v>
      </c>
      <c r="S210" s="73">
        <f t="shared" si="36"/>
        <v>0</v>
      </c>
      <c r="T210" s="73">
        <f t="shared" si="36"/>
        <v>0</v>
      </c>
      <c r="U210" s="73">
        <f t="shared" si="36"/>
        <v>0</v>
      </c>
      <c r="V210" s="73">
        <f t="shared" si="36"/>
        <v>0</v>
      </c>
      <c r="W210" s="73">
        <f t="shared" si="36"/>
        <v>0</v>
      </c>
      <c r="X210" s="73">
        <f t="shared" si="36"/>
        <v>0</v>
      </c>
      <c r="Y210" s="73">
        <f t="shared" si="36"/>
        <v>0</v>
      </c>
      <c r="Z210" s="73">
        <f t="shared" si="36"/>
        <v>0</v>
      </c>
      <c r="AA210" s="73">
        <f t="shared" si="36"/>
        <v>0</v>
      </c>
      <c r="AB210" s="73">
        <f t="shared" si="36"/>
        <v>0</v>
      </c>
      <c r="AC210" s="73">
        <f t="shared" si="36"/>
        <v>0</v>
      </c>
      <c r="AD210" s="73">
        <f t="shared" si="36"/>
        <v>0</v>
      </c>
      <c r="AE210" s="73">
        <f t="shared" si="36"/>
        <v>0</v>
      </c>
      <c r="AF210" s="73">
        <f t="shared" si="36"/>
        <v>0</v>
      </c>
      <c r="AG210" s="73">
        <f t="shared" si="36"/>
        <v>0</v>
      </c>
      <c r="AH210" s="73">
        <f t="shared" si="36"/>
        <v>0</v>
      </c>
      <c r="AI210" s="73">
        <f t="shared" si="36"/>
        <v>0</v>
      </c>
    </row>
    <row r="211" spans="1:35" hidden="1" x14ac:dyDescent="0.3">
      <c r="A211" s="122"/>
      <c r="B211" s="123"/>
      <c r="C211" s="124"/>
      <c r="D211" s="72" t="s">
        <v>220</v>
      </c>
      <c r="E211" s="73"/>
      <c r="F211" s="73"/>
      <c r="G211" s="73"/>
      <c r="H211" s="73">
        <f t="shared" ref="H211:AI211" si="37">COUNTIFS(H9:H210,"Public-WE")</f>
        <v>0</v>
      </c>
      <c r="I211" s="73">
        <f t="shared" si="37"/>
        <v>0</v>
      </c>
      <c r="J211" s="73">
        <f t="shared" si="37"/>
        <v>0</v>
      </c>
      <c r="K211" s="73">
        <f t="shared" si="37"/>
        <v>0</v>
      </c>
      <c r="L211" s="73">
        <f t="shared" si="37"/>
        <v>0</v>
      </c>
      <c r="M211" s="73">
        <f t="shared" si="37"/>
        <v>0</v>
      </c>
      <c r="N211" s="73">
        <f t="shared" si="37"/>
        <v>0</v>
      </c>
      <c r="O211" s="73">
        <f t="shared" si="37"/>
        <v>0</v>
      </c>
      <c r="P211" s="73">
        <f t="shared" si="37"/>
        <v>0</v>
      </c>
      <c r="Q211" s="73">
        <f t="shared" si="37"/>
        <v>0</v>
      </c>
      <c r="R211" s="73">
        <f t="shared" si="37"/>
        <v>0</v>
      </c>
      <c r="S211" s="73">
        <f t="shared" si="37"/>
        <v>0</v>
      </c>
      <c r="T211" s="73">
        <f t="shared" si="37"/>
        <v>0</v>
      </c>
      <c r="U211" s="73">
        <f t="shared" si="37"/>
        <v>0</v>
      </c>
      <c r="V211" s="73">
        <f t="shared" si="37"/>
        <v>0</v>
      </c>
      <c r="W211" s="73">
        <f t="shared" si="37"/>
        <v>0</v>
      </c>
      <c r="X211" s="73">
        <f t="shared" si="37"/>
        <v>0</v>
      </c>
      <c r="Y211" s="73">
        <f t="shared" si="37"/>
        <v>0</v>
      </c>
      <c r="Z211" s="73">
        <f t="shared" si="37"/>
        <v>0</v>
      </c>
      <c r="AA211" s="73">
        <f t="shared" si="37"/>
        <v>0</v>
      </c>
      <c r="AB211" s="73">
        <f t="shared" si="37"/>
        <v>0</v>
      </c>
      <c r="AC211" s="73">
        <f t="shared" si="37"/>
        <v>0</v>
      </c>
      <c r="AD211" s="73">
        <f t="shared" si="37"/>
        <v>0</v>
      </c>
      <c r="AE211" s="73">
        <f t="shared" si="37"/>
        <v>0</v>
      </c>
      <c r="AF211" s="73">
        <f t="shared" si="37"/>
        <v>0</v>
      </c>
      <c r="AG211" s="73">
        <f t="shared" si="37"/>
        <v>0</v>
      </c>
      <c r="AH211" s="73">
        <f t="shared" si="37"/>
        <v>0</v>
      </c>
      <c r="AI211" s="73">
        <f t="shared" si="37"/>
        <v>0</v>
      </c>
    </row>
    <row r="212" spans="1:35" hidden="1" x14ac:dyDescent="0.3">
      <c r="A212" s="125"/>
      <c r="B212" s="126"/>
      <c r="C212" s="127"/>
      <c r="D212" s="72" t="s">
        <v>221</v>
      </c>
      <c r="E212" s="73"/>
      <c r="F212" s="73"/>
      <c r="G212" s="73"/>
      <c r="H212" s="73">
        <f t="shared" ref="H212:AI212" si="38">COUNTIFS(H10:H211,"Optional-WE")</f>
        <v>0</v>
      </c>
      <c r="I212" s="73">
        <f t="shared" si="38"/>
        <v>0</v>
      </c>
      <c r="J212" s="73">
        <f t="shared" si="38"/>
        <v>0</v>
      </c>
      <c r="K212" s="73">
        <f t="shared" si="38"/>
        <v>0</v>
      </c>
      <c r="L212" s="73">
        <f t="shared" si="38"/>
        <v>0</v>
      </c>
      <c r="M212" s="73">
        <f t="shared" si="38"/>
        <v>0</v>
      </c>
      <c r="N212" s="73">
        <f t="shared" si="38"/>
        <v>0</v>
      </c>
      <c r="O212" s="73">
        <f t="shared" si="38"/>
        <v>0</v>
      </c>
      <c r="P212" s="73">
        <f t="shared" si="38"/>
        <v>0</v>
      </c>
      <c r="Q212" s="73">
        <f t="shared" si="38"/>
        <v>0</v>
      </c>
      <c r="R212" s="73">
        <f t="shared" si="38"/>
        <v>0</v>
      </c>
      <c r="S212" s="73">
        <f t="shared" si="38"/>
        <v>0</v>
      </c>
      <c r="T212" s="73">
        <f t="shared" si="38"/>
        <v>0</v>
      </c>
      <c r="U212" s="73">
        <f t="shared" si="38"/>
        <v>0</v>
      </c>
      <c r="V212" s="73">
        <f t="shared" si="38"/>
        <v>0</v>
      </c>
      <c r="W212" s="73">
        <f t="shared" si="38"/>
        <v>0</v>
      </c>
      <c r="X212" s="73">
        <f t="shared" si="38"/>
        <v>0</v>
      </c>
      <c r="Y212" s="73">
        <f t="shared" si="38"/>
        <v>0</v>
      </c>
      <c r="Z212" s="73">
        <f t="shared" si="38"/>
        <v>0</v>
      </c>
      <c r="AA212" s="73">
        <f t="shared" si="38"/>
        <v>0</v>
      </c>
      <c r="AB212" s="73">
        <f t="shared" si="38"/>
        <v>0</v>
      </c>
      <c r="AC212" s="73">
        <f t="shared" si="38"/>
        <v>0</v>
      </c>
      <c r="AD212" s="73">
        <f t="shared" si="38"/>
        <v>0</v>
      </c>
      <c r="AE212" s="73">
        <f t="shared" si="38"/>
        <v>0</v>
      </c>
      <c r="AF212" s="73">
        <f t="shared" si="38"/>
        <v>0</v>
      </c>
      <c r="AG212" s="73">
        <f t="shared" si="38"/>
        <v>0</v>
      </c>
      <c r="AH212" s="73">
        <f t="shared" si="38"/>
        <v>0</v>
      </c>
      <c r="AI212" s="73">
        <f t="shared" si="38"/>
        <v>0</v>
      </c>
    </row>
    <row r="213" spans="1:35" ht="14.5" x14ac:dyDescent="0.35">
      <c r="D213"/>
    </row>
    <row r="214" spans="1:35" ht="14.5" x14ac:dyDescent="0.35">
      <c r="D214"/>
    </row>
    <row r="217" spans="1:35" ht="14.5" x14ac:dyDescent="0.35">
      <c r="A217" s="25" t="s">
        <v>208</v>
      </c>
      <c r="B217" s="61" t="s">
        <v>362</v>
      </c>
    </row>
  </sheetData>
  <autoFilter ref="A1:XDX195" xr:uid="{A3101696-FDE1-46DC-8747-91DB2590844D}"/>
  <mergeCells count="1">
    <mergeCell ref="A197:C212"/>
  </mergeCells>
  <hyperlinks>
    <hyperlink ref="B217" r:id="rId1" xr:uid="{160D123F-E862-4C33-9D67-F3C3CD54852C}"/>
  </hyperlinks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DBE4DD-CB80-4856-9016-33DBABEF462E}">
          <x14:formula1>
            <xm:f>Sheet2!$A$1:$A$8</xm:f>
          </x14:formula1>
          <xm:sqref>J122 J37 R78:R121 R152:R164 R123:R139 R171:R189 R22:R36 R166:R169 R3:R11 R141:R150 R191:R195 R13:R20 R54:R70 R72:R76 R38:R44 R46:R52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BFC8-0A89-41AF-BB9A-A436247A11ED}">
  <sheetPr>
    <tabColor theme="6" tint="-0.499984740745262"/>
  </sheetPr>
  <dimension ref="A1:XDX216"/>
  <sheetViews>
    <sheetView tabSelected="1" zoomScale="90" zoomScaleNormal="90" workbookViewId="0">
      <pane xSplit="4" ySplit="1" topLeftCell="Z2" activePane="bottomRight" state="frozen"/>
      <selection pane="topRight" activeCell="E1" sqref="E1"/>
      <selection pane="bottomLeft" activeCell="A2" sqref="A2"/>
      <selection pane="bottomRight" activeCell="A12" sqref="A12:XFD13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42.453125" style="25" customWidth="1"/>
    <col min="4" max="4" width="17.90625" style="25" customWidth="1"/>
    <col min="5" max="5" width="9.453125" style="3" customWidth="1"/>
    <col min="6" max="6" width="10.36328125" style="3" customWidth="1"/>
    <col min="7" max="10" width="9.453125" style="3" customWidth="1"/>
    <col min="11" max="11" width="12.26953125" style="3" customWidth="1"/>
    <col min="12" max="13" width="11.26953125" style="3" customWidth="1"/>
    <col min="14" max="14" width="12.26953125" style="3" customWidth="1"/>
    <col min="15" max="15" width="11.36328125" style="3" customWidth="1"/>
    <col min="16" max="16" width="14.90625" style="3" customWidth="1"/>
    <col min="17" max="19" width="9.453125" style="3" customWidth="1"/>
    <col min="20" max="20" width="11.08984375" style="3" customWidth="1"/>
    <col min="21" max="21" width="16.54296875" style="3" customWidth="1"/>
    <col min="22" max="23" width="9.453125" style="3" customWidth="1"/>
    <col min="24" max="24" width="12.1796875" style="3" customWidth="1"/>
    <col min="25" max="27" width="9.453125" style="3" customWidth="1"/>
    <col min="28" max="28" width="9.1796875" style="3" customWidth="1"/>
    <col min="29" max="29" width="9.26953125" style="3" customWidth="1"/>
    <col min="30" max="30" width="10.36328125" style="3" customWidth="1"/>
    <col min="31" max="31" width="9.6328125" style="3" customWidth="1"/>
    <col min="32" max="32" width="15.1796875" style="3" customWidth="1"/>
    <col min="33" max="36" width="9.453125" style="3" customWidth="1"/>
    <col min="37" max="37" width="11.6328125" style="3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9 16352:16352" ht="14.5" x14ac:dyDescent="0.35">
      <c r="A1" s="71" t="s">
        <v>318</v>
      </c>
      <c r="B1" s="71" t="s">
        <v>6</v>
      </c>
      <c r="C1" s="71" t="s">
        <v>7</v>
      </c>
      <c r="D1" s="71" t="s">
        <v>8</v>
      </c>
      <c r="E1" s="39" t="s">
        <v>22</v>
      </c>
      <c r="F1" s="39" t="s">
        <v>70</v>
      </c>
      <c r="G1" s="39" t="s">
        <v>23</v>
      </c>
      <c r="H1" s="39" t="s">
        <v>69</v>
      </c>
      <c r="I1" s="39" t="s">
        <v>85</v>
      </c>
      <c r="J1" s="39" t="s">
        <v>86</v>
      </c>
      <c r="K1" s="39" t="s">
        <v>24</v>
      </c>
      <c r="L1" s="39" t="s">
        <v>67</v>
      </c>
      <c r="M1" s="39" t="s">
        <v>66</v>
      </c>
      <c r="N1" s="39" t="s">
        <v>25</v>
      </c>
      <c r="O1" s="39" t="s">
        <v>71</v>
      </c>
      <c r="P1" s="39" t="s">
        <v>14</v>
      </c>
      <c r="Q1" s="39" t="s">
        <v>72</v>
      </c>
      <c r="R1" s="39" t="s">
        <v>13</v>
      </c>
      <c r="S1" s="39" t="s">
        <v>18</v>
      </c>
      <c r="T1" s="39" t="s">
        <v>19</v>
      </c>
      <c r="U1" s="39" t="s">
        <v>80</v>
      </c>
      <c r="V1" s="39" t="s">
        <v>17</v>
      </c>
      <c r="W1" s="39" t="s">
        <v>79</v>
      </c>
      <c r="X1" s="39" t="s">
        <v>16</v>
      </c>
      <c r="Y1" s="39" t="s">
        <v>90</v>
      </c>
      <c r="Z1" s="39" t="s">
        <v>91</v>
      </c>
      <c r="AA1" s="39" t="s">
        <v>92</v>
      </c>
      <c r="AB1" s="39" t="s">
        <v>15</v>
      </c>
      <c r="AC1" s="39" t="s">
        <v>73</v>
      </c>
      <c r="AD1" s="39" t="s">
        <v>11</v>
      </c>
      <c r="AE1" s="39" t="s">
        <v>10</v>
      </c>
      <c r="AF1" s="39" t="s">
        <v>94</v>
      </c>
      <c r="AG1" s="39" t="s">
        <v>12</v>
      </c>
      <c r="AH1" s="39" t="s">
        <v>9</v>
      </c>
      <c r="AI1" s="39" t="s">
        <v>78</v>
      </c>
      <c r="AJ1" s="39" t="s">
        <v>20</v>
      </c>
      <c r="AK1" s="39" t="s">
        <v>65</v>
      </c>
      <c r="XDX1" s="3" t="s">
        <v>26</v>
      </c>
    </row>
    <row r="2" spans="1:39 16352:16352" x14ac:dyDescent="0.3">
      <c r="A2" s="65">
        <v>1</v>
      </c>
      <c r="B2" s="63">
        <v>46023</v>
      </c>
      <c r="C2" s="66" t="s">
        <v>121</v>
      </c>
      <c r="D2" s="66" t="s">
        <v>96</v>
      </c>
      <c r="E2" s="67"/>
      <c r="F2" s="96"/>
      <c r="G2" s="92" t="s">
        <v>358</v>
      </c>
      <c r="H2" s="69"/>
      <c r="I2" s="92" t="s">
        <v>358</v>
      </c>
      <c r="J2" s="67"/>
      <c r="K2" s="92" t="s">
        <v>358</v>
      </c>
      <c r="L2" s="67"/>
      <c r="M2" s="92" t="s">
        <v>358</v>
      </c>
      <c r="N2" s="92" t="s">
        <v>358</v>
      </c>
      <c r="O2" s="75"/>
      <c r="P2" s="92" t="s">
        <v>358</v>
      </c>
      <c r="Q2" s="75"/>
      <c r="R2" s="67"/>
      <c r="T2" s="75"/>
      <c r="U2" s="92" t="s">
        <v>358</v>
      </c>
      <c r="V2" s="67"/>
      <c r="W2" s="75"/>
      <c r="X2" s="75"/>
      <c r="Y2" s="75"/>
      <c r="Z2" s="92" t="s">
        <v>358</v>
      </c>
      <c r="AA2" s="75"/>
      <c r="AC2" s="75"/>
      <c r="AD2" s="92" t="s">
        <v>358</v>
      </c>
      <c r="AE2" s="69"/>
      <c r="AF2" s="75"/>
      <c r="AG2" s="92" t="s">
        <v>358</v>
      </c>
      <c r="AH2" s="92" t="s">
        <v>358</v>
      </c>
      <c r="AI2" s="92" t="s">
        <v>358</v>
      </c>
      <c r="AJ2" s="58"/>
      <c r="AK2" s="94" t="s">
        <v>358</v>
      </c>
    </row>
    <row r="3" spans="1:39 16352:16352" x14ac:dyDescent="0.3">
      <c r="A3" s="65">
        <v>2</v>
      </c>
      <c r="B3" s="63">
        <v>46024</v>
      </c>
      <c r="C3" s="66" t="s">
        <v>128</v>
      </c>
      <c r="D3" s="66" t="s">
        <v>127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75"/>
      <c r="T3" s="67"/>
      <c r="U3" s="67"/>
      <c r="V3" s="67"/>
      <c r="W3" s="67"/>
      <c r="X3" s="67"/>
      <c r="Y3" s="75"/>
      <c r="Z3" s="67"/>
      <c r="AA3" s="67"/>
      <c r="AB3" s="67"/>
      <c r="AC3" s="67"/>
      <c r="AD3" s="67"/>
      <c r="AE3" s="67"/>
      <c r="AF3" s="75"/>
      <c r="AG3" s="67"/>
      <c r="AH3" s="67"/>
      <c r="AI3" s="67"/>
      <c r="AJ3" s="62"/>
      <c r="AK3" s="62"/>
    </row>
    <row r="4" spans="1:39 16352:16352" x14ac:dyDescent="0.3">
      <c r="A4" s="65">
        <v>3</v>
      </c>
      <c r="B4" s="63">
        <v>46025</v>
      </c>
      <c r="C4" s="66" t="s">
        <v>237</v>
      </c>
      <c r="D4" s="66" t="s">
        <v>64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75"/>
      <c r="T4" s="67"/>
      <c r="U4" s="67"/>
      <c r="V4" s="67"/>
      <c r="W4" s="67"/>
      <c r="X4" s="67"/>
      <c r="Y4" s="76"/>
      <c r="Z4" s="67"/>
      <c r="AA4" s="67"/>
      <c r="AB4" s="67"/>
      <c r="AC4" s="67"/>
      <c r="AD4" s="67"/>
      <c r="AE4" s="67"/>
      <c r="AF4" s="75"/>
      <c r="AG4" s="67"/>
      <c r="AH4" s="67"/>
      <c r="AI4" s="67"/>
      <c r="AJ4" s="62"/>
      <c r="AK4" s="62"/>
    </row>
    <row r="5" spans="1:39 16352:16352" x14ac:dyDescent="0.3">
      <c r="A5" s="65">
        <v>4</v>
      </c>
      <c r="B5" s="63">
        <v>46027</v>
      </c>
      <c r="C5" s="66" t="s">
        <v>176</v>
      </c>
      <c r="D5" s="66" t="s">
        <v>101</v>
      </c>
      <c r="E5" s="67"/>
      <c r="F5" s="67"/>
      <c r="G5" s="67"/>
      <c r="H5" s="67"/>
      <c r="I5" s="67"/>
      <c r="J5" s="69"/>
      <c r="K5" s="67"/>
      <c r="L5" s="67"/>
      <c r="M5" s="67"/>
      <c r="N5" s="67"/>
      <c r="O5" s="67"/>
      <c r="P5" s="67"/>
      <c r="Q5" s="67"/>
      <c r="R5" s="67"/>
      <c r="S5" s="75"/>
      <c r="T5" s="67"/>
      <c r="U5" s="67"/>
      <c r="V5" s="67"/>
      <c r="W5" s="67"/>
      <c r="X5" s="67"/>
      <c r="Y5" s="76"/>
      <c r="Z5" s="67"/>
      <c r="AA5" s="67"/>
      <c r="AB5" s="67"/>
      <c r="AC5" s="67"/>
      <c r="AD5" s="67"/>
      <c r="AE5" s="67"/>
      <c r="AF5" s="75"/>
      <c r="AG5" s="67"/>
      <c r="AH5" s="67"/>
      <c r="AI5" s="67"/>
      <c r="AJ5" s="62"/>
      <c r="AK5" s="62"/>
    </row>
    <row r="6" spans="1:39 16352:16352" x14ac:dyDescent="0.3">
      <c r="A6" s="65">
        <v>5</v>
      </c>
      <c r="B6" s="63">
        <v>46029</v>
      </c>
      <c r="C6" s="66" t="s">
        <v>238</v>
      </c>
      <c r="D6" s="66" t="s">
        <v>97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75"/>
      <c r="T6" s="67"/>
      <c r="U6" s="67"/>
      <c r="V6" s="67"/>
      <c r="W6" s="67"/>
      <c r="X6" s="67"/>
      <c r="Y6" s="76"/>
      <c r="Z6" s="67"/>
      <c r="AA6" s="67"/>
      <c r="AB6" s="67"/>
      <c r="AC6" s="67"/>
      <c r="AD6" s="67"/>
      <c r="AE6" s="67"/>
      <c r="AF6" s="75"/>
      <c r="AG6" s="67"/>
      <c r="AH6" s="67"/>
      <c r="AI6" s="67"/>
      <c r="AJ6" s="62"/>
      <c r="AK6" s="62"/>
    </row>
    <row r="7" spans="1:39 16352:16352" x14ac:dyDescent="0.3">
      <c r="A7" s="65">
        <v>6</v>
      </c>
      <c r="B7" s="63">
        <v>46031</v>
      </c>
      <c r="C7" s="66" t="s">
        <v>344</v>
      </c>
      <c r="D7" s="66" t="s">
        <v>127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75"/>
      <c r="T7" s="67"/>
      <c r="U7" s="67"/>
      <c r="V7" s="67"/>
      <c r="W7" s="67"/>
      <c r="X7" s="67"/>
      <c r="Y7" s="76"/>
      <c r="Z7" s="67"/>
      <c r="AA7" s="67"/>
      <c r="AB7" s="67"/>
      <c r="AC7" s="67"/>
      <c r="AD7" s="67"/>
      <c r="AE7" s="67"/>
      <c r="AF7" s="75"/>
      <c r="AG7" s="67"/>
      <c r="AH7" s="67"/>
      <c r="AI7" s="67"/>
      <c r="AJ7" s="62"/>
      <c r="AK7" s="62"/>
    </row>
    <row r="8" spans="1:39 16352:16352" x14ac:dyDescent="0.3">
      <c r="A8" s="65">
        <v>7</v>
      </c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75"/>
      <c r="T8" s="67"/>
      <c r="U8" s="67"/>
      <c r="V8" s="67"/>
      <c r="W8" s="67"/>
      <c r="X8" s="67"/>
      <c r="Y8" s="76"/>
      <c r="Z8" s="67"/>
      <c r="AA8" s="67"/>
      <c r="AB8" s="67"/>
      <c r="AC8" s="67"/>
      <c r="AD8" s="67"/>
      <c r="AE8" s="67"/>
      <c r="AF8" s="75"/>
      <c r="AG8" s="67"/>
      <c r="AH8" s="67"/>
      <c r="AI8" s="67"/>
      <c r="AJ8" s="62"/>
      <c r="AK8" s="62"/>
    </row>
    <row r="9" spans="1:39 16352:16352" x14ac:dyDescent="0.3">
      <c r="A9" s="65">
        <v>8</v>
      </c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/>
      <c r="T9" s="67"/>
      <c r="U9" s="67"/>
      <c r="V9" s="67"/>
      <c r="W9" s="67"/>
      <c r="X9" s="67"/>
      <c r="Y9" s="75"/>
      <c r="Z9" s="67"/>
      <c r="AA9" s="67"/>
      <c r="AB9" s="67"/>
      <c r="AC9" s="67"/>
      <c r="AD9" s="67"/>
      <c r="AE9" s="67"/>
      <c r="AF9" s="75"/>
      <c r="AG9" s="67"/>
      <c r="AH9" s="67"/>
      <c r="AI9" s="67"/>
      <c r="AJ9" s="62"/>
      <c r="AK9" s="62"/>
    </row>
    <row r="10" spans="1:39 16352:16352" x14ac:dyDescent="0.3">
      <c r="A10" s="65">
        <v>9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5"/>
      <c r="T10" s="67"/>
      <c r="U10" s="67"/>
      <c r="V10" s="67"/>
      <c r="W10" s="67"/>
      <c r="X10" s="67"/>
      <c r="Y10" s="76"/>
      <c r="Z10" s="67"/>
      <c r="AA10" s="67"/>
      <c r="AB10" s="67"/>
      <c r="AC10" s="67"/>
      <c r="AD10" s="67"/>
      <c r="AE10" s="67"/>
      <c r="AF10" s="75"/>
      <c r="AG10" s="67"/>
      <c r="AH10" s="67"/>
      <c r="AI10" s="67"/>
      <c r="AJ10" s="62"/>
      <c r="AK10" s="62"/>
    </row>
    <row r="11" spans="1:39 16352:16352" x14ac:dyDescent="0.3">
      <c r="A11" s="65">
        <v>10</v>
      </c>
      <c r="B11" s="63">
        <v>46035</v>
      </c>
      <c r="C11" s="66" t="s">
        <v>168</v>
      </c>
      <c r="D11" s="66" t="s">
        <v>101</v>
      </c>
      <c r="E11" s="67"/>
      <c r="F11" s="67"/>
      <c r="G11" s="92" t="s">
        <v>358</v>
      </c>
      <c r="H11" s="67"/>
      <c r="I11" s="96"/>
      <c r="J11" s="67"/>
      <c r="K11" s="96"/>
      <c r="L11" s="67"/>
      <c r="M11" s="67"/>
      <c r="N11" s="67"/>
      <c r="O11" s="67"/>
      <c r="P11" s="67"/>
      <c r="Q11" s="67"/>
      <c r="R11" s="67"/>
      <c r="S11" s="75"/>
      <c r="T11" s="67"/>
      <c r="U11" s="67"/>
      <c r="V11" s="67"/>
      <c r="W11" s="67"/>
      <c r="X11" s="67"/>
      <c r="Y11" s="76"/>
      <c r="Z11" s="67"/>
      <c r="AA11" s="67"/>
      <c r="AB11" s="67"/>
      <c r="AC11" s="67"/>
      <c r="AD11" s="67"/>
      <c r="AE11" s="67"/>
      <c r="AF11" s="75"/>
      <c r="AG11" s="67"/>
      <c r="AH11" s="67"/>
      <c r="AI11" s="67"/>
      <c r="AJ11" s="62"/>
      <c r="AK11" s="62"/>
    </row>
    <row r="12" spans="1:39 16352:16352" s="140" customFormat="1" x14ac:dyDescent="0.3">
      <c r="A12" s="135">
        <v>11</v>
      </c>
      <c r="B12" s="136">
        <v>46036</v>
      </c>
      <c r="C12" s="137" t="s">
        <v>186</v>
      </c>
      <c r="D12" s="137" t="s">
        <v>97</v>
      </c>
      <c r="E12" s="138"/>
      <c r="F12" s="139" t="str">
        <f>VLOOKUP(C12,'All ecxept A grades - 13 days'!C11:F205,4,0)</f>
        <v>Digi_Festival</v>
      </c>
      <c r="G12" s="138"/>
      <c r="H12" s="139"/>
      <c r="I12" s="138"/>
      <c r="J12" s="138"/>
      <c r="K12" s="138"/>
      <c r="L12" s="138"/>
      <c r="M12" s="139"/>
      <c r="N12" s="138"/>
      <c r="O12" s="139" t="s">
        <v>358</v>
      </c>
      <c r="P12" s="139"/>
      <c r="Q12" s="139" t="s">
        <v>358</v>
      </c>
      <c r="R12" s="139" t="s">
        <v>358</v>
      </c>
      <c r="S12" s="139"/>
      <c r="T12" s="138"/>
      <c r="W12" s="138"/>
      <c r="X12" s="138"/>
      <c r="Y12" s="141"/>
      <c r="Z12" s="139" t="s">
        <v>358</v>
      </c>
      <c r="AA12" s="138"/>
      <c r="AB12" s="139" t="s">
        <v>358</v>
      </c>
      <c r="AC12" s="142"/>
      <c r="AD12" s="142"/>
      <c r="AE12" s="138"/>
      <c r="AF12" s="138"/>
      <c r="AG12" s="138"/>
      <c r="AI12" s="138"/>
      <c r="AJ12" s="143" t="s">
        <v>358</v>
      </c>
      <c r="AK12" s="144"/>
    </row>
    <row r="13" spans="1:39 16352:16352" s="140" customFormat="1" x14ac:dyDescent="0.3">
      <c r="A13" s="135">
        <v>12</v>
      </c>
      <c r="B13" s="136">
        <v>46037</v>
      </c>
      <c r="C13" s="137" t="s">
        <v>142</v>
      </c>
      <c r="D13" s="137" t="s">
        <v>96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41"/>
      <c r="Z13" s="138"/>
      <c r="AA13" s="139" t="s">
        <v>358</v>
      </c>
      <c r="AB13" s="138"/>
      <c r="AC13" s="139" t="str">
        <f>VLOOKUP(B12,'All ecxept A grades - 13 days'!B11:AC205,28,0)</f>
        <v>Digi_Festival</v>
      </c>
      <c r="AD13" s="139" t="s">
        <v>358</v>
      </c>
      <c r="AE13" s="139" t="s">
        <v>358</v>
      </c>
      <c r="AF13" s="138"/>
      <c r="AG13" s="139" t="s">
        <v>358</v>
      </c>
      <c r="AH13" s="139" t="s">
        <v>358</v>
      </c>
      <c r="AI13" s="138"/>
      <c r="AJ13" s="144"/>
      <c r="AK13" s="144"/>
    </row>
    <row r="14" spans="1:39 16352:16352" x14ac:dyDescent="0.3">
      <c r="A14" s="65">
        <v>13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5"/>
      <c r="T14" s="67"/>
      <c r="U14" s="67"/>
      <c r="V14" s="67"/>
      <c r="W14" s="67"/>
      <c r="X14" s="67"/>
      <c r="Y14" s="76"/>
      <c r="Z14" s="67"/>
      <c r="AA14" s="67"/>
      <c r="AB14" s="67"/>
      <c r="AC14" s="69"/>
      <c r="AD14" s="67"/>
      <c r="AE14" s="92" t="s">
        <v>358</v>
      </c>
      <c r="AF14" s="92" t="s">
        <v>358</v>
      </c>
      <c r="AG14" s="92" t="s">
        <v>358</v>
      </c>
      <c r="AH14" s="69"/>
      <c r="AI14" s="67"/>
      <c r="AJ14" s="62"/>
      <c r="AK14" s="62"/>
    </row>
    <row r="15" spans="1:39 16352:16352" x14ac:dyDescent="0.3">
      <c r="A15" s="65">
        <v>14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5"/>
      <c r="T15" s="67"/>
      <c r="U15" s="67"/>
      <c r="V15" s="67"/>
      <c r="W15" s="67"/>
      <c r="X15" s="67"/>
      <c r="Y15" s="76"/>
      <c r="Z15" s="67"/>
      <c r="AA15" s="67"/>
      <c r="AB15" s="67"/>
      <c r="AC15" s="67"/>
      <c r="AD15" s="67"/>
      <c r="AE15" s="67"/>
      <c r="AF15" s="75"/>
      <c r="AG15" s="67"/>
      <c r="AH15" s="67"/>
      <c r="AI15" s="67"/>
      <c r="AJ15" s="62"/>
      <c r="AK15" s="62"/>
    </row>
    <row r="16" spans="1:39 16352:16352" s="48" customFormat="1" x14ac:dyDescent="0.3">
      <c r="A16" s="65">
        <v>15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5"/>
      <c r="T16" s="67"/>
      <c r="U16" s="67"/>
      <c r="V16" s="67"/>
      <c r="W16" s="67"/>
      <c r="X16" s="67"/>
      <c r="Y16" s="76"/>
      <c r="Z16" s="67"/>
      <c r="AA16" s="67"/>
      <c r="AB16" s="67"/>
      <c r="AC16" s="67"/>
      <c r="AD16" s="67"/>
      <c r="AE16" s="67"/>
      <c r="AF16" s="75"/>
      <c r="AG16" s="67"/>
      <c r="AH16" s="67"/>
      <c r="AI16" s="67"/>
      <c r="AJ16" s="62"/>
      <c r="AK16" s="62"/>
      <c r="AL16" s="3"/>
      <c r="AM16" s="3"/>
    </row>
    <row r="17" spans="1:38" s="48" customFormat="1" x14ac:dyDescent="0.3">
      <c r="A17" s="65">
        <v>16</v>
      </c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75"/>
      <c r="T17" s="67"/>
      <c r="U17" s="67"/>
      <c r="V17" s="67"/>
      <c r="W17" s="67"/>
      <c r="X17" s="67"/>
      <c r="Y17" s="76"/>
      <c r="Z17" s="67"/>
      <c r="AA17" s="67"/>
      <c r="AB17" s="67"/>
      <c r="AC17" s="67"/>
      <c r="AD17" s="67"/>
      <c r="AE17" s="67"/>
      <c r="AF17" s="75"/>
      <c r="AG17" s="67"/>
      <c r="AH17" s="67"/>
      <c r="AI17" s="67"/>
      <c r="AJ17" s="62"/>
      <c r="AK17" s="62"/>
      <c r="AL17" s="3"/>
    </row>
    <row r="18" spans="1:38" x14ac:dyDescent="0.3">
      <c r="A18" s="65">
        <v>17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9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75"/>
      <c r="T18" s="69"/>
      <c r="U18" s="67"/>
      <c r="V18" s="67"/>
      <c r="W18" s="67"/>
      <c r="X18" s="67"/>
      <c r="Y18" s="76"/>
      <c r="Z18" s="67"/>
      <c r="AA18" s="67"/>
      <c r="AB18" s="67"/>
      <c r="AC18" s="67"/>
      <c r="AD18" s="67"/>
      <c r="AE18" s="67"/>
      <c r="AF18" s="75"/>
      <c r="AG18" s="67"/>
      <c r="AH18" s="67"/>
      <c r="AI18" s="67"/>
      <c r="AJ18" s="62"/>
      <c r="AK18" s="62"/>
    </row>
    <row r="19" spans="1:38" x14ac:dyDescent="0.3">
      <c r="A19" s="65">
        <v>18</v>
      </c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75"/>
      <c r="T19" s="67"/>
      <c r="U19" s="67"/>
      <c r="V19" s="67"/>
      <c r="W19" s="67"/>
      <c r="X19" s="67"/>
      <c r="Y19" s="76"/>
      <c r="Z19" s="67"/>
      <c r="AA19" s="67"/>
      <c r="AB19" s="67"/>
      <c r="AC19" s="67"/>
      <c r="AD19" s="67"/>
      <c r="AE19" s="67"/>
      <c r="AF19" s="75"/>
      <c r="AG19" s="67"/>
      <c r="AH19" s="67"/>
      <c r="AI19" s="67"/>
      <c r="AJ19" s="62"/>
      <c r="AK19" s="62"/>
    </row>
    <row r="20" spans="1:38" x14ac:dyDescent="0.3">
      <c r="A20" s="65">
        <v>19</v>
      </c>
      <c r="B20" s="63">
        <v>46047</v>
      </c>
      <c r="C20" s="66" t="s">
        <v>231</v>
      </c>
      <c r="D20" s="66" t="s">
        <v>63</v>
      </c>
      <c r="E20" s="67"/>
      <c r="F20" s="67"/>
      <c r="G20" s="67"/>
      <c r="H20" s="69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75"/>
      <c r="T20" s="67"/>
      <c r="U20" s="67"/>
      <c r="V20" s="67"/>
      <c r="W20" s="67"/>
      <c r="X20" s="67"/>
      <c r="Y20" s="76"/>
      <c r="Z20" s="67"/>
      <c r="AA20" s="67"/>
      <c r="AB20" s="67"/>
      <c r="AC20" s="67"/>
      <c r="AD20" s="67"/>
      <c r="AE20" s="67"/>
      <c r="AF20" s="75"/>
      <c r="AG20" s="67"/>
      <c r="AH20" s="67"/>
      <c r="AI20" s="67"/>
      <c r="AJ20" s="62"/>
      <c r="AK20" s="62"/>
    </row>
    <row r="21" spans="1:38" x14ac:dyDescent="0.3">
      <c r="A21" s="65">
        <v>20</v>
      </c>
      <c r="B21" s="63">
        <v>46048</v>
      </c>
      <c r="C21" s="66" t="s">
        <v>30</v>
      </c>
      <c r="D21" s="66" t="s">
        <v>98</v>
      </c>
      <c r="E21" s="92" t="str">
        <f>VLOOKUP(B21,'All ecxept A grades - 13 days'!B20:E214,4,0)</f>
        <v>Digi_National</v>
      </c>
      <c r="F21" s="92" t="str">
        <f>VLOOKUP(C21,'All ecxept A grades - 13 days'!C20:F214,4,0)</f>
        <v>Digi_National</v>
      </c>
      <c r="G21" s="92" t="s">
        <v>357</v>
      </c>
      <c r="H21" s="92" t="s">
        <v>357</v>
      </c>
      <c r="I21" s="92" t="s">
        <v>357</v>
      </c>
      <c r="J21" s="92" t="s">
        <v>357</v>
      </c>
      <c r="K21" s="92" t="s">
        <v>357</v>
      </c>
      <c r="L21" s="92" t="s">
        <v>357</v>
      </c>
      <c r="M21" s="92" t="s">
        <v>357</v>
      </c>
      <c r="N21" s="92" t="s">
        <v>357</v>
      </c>
      <c r="O21" s="92" t="s">
        <v>357</v>
      </c>
      <c r="P21" s="92" t="s">
        <v>357</v>
      </c>
      <c r="Q21" s="92" t="s">
        <v>357</v>
      </c>
      <c r="R21" s="92" t="s">
        <v>357</v>
      </c>
      <c r="S21" s="92" t="s">
        <v>357</v>
      </c>
      <c r="T21" s="92" t="s">
        <v>357</v>
      </c>
      <c r="U21" s="92" t="s">
        <v>357</v>
      </c>
      <c r="V21" s="92" t="s">
        <v>357</v>
      </c>
      <c r="W21" s="92" t="s">
        <v>357</v>
      </c>
      <c r="X21" s="92" t="s">
        <v>357</v>
      </c>
      <c r="Y21" s="92" t="s">
        <v>357</v>
      </c>
      <c r="Z21" s="92" t="s">
        <v>357</v>
      </c>
      <c r="AA21" s="92" t="s">
        <v>357</v>
      </c>
      <c r="AB21" s="92" t="s">
        <v>357</v>
      </c>
      <c r="AC21" s="92" t="str">
        <f>VLOOKUP(B21,'All ecxept A grades - 13 days'!B20:AC214,28,0)</f>
        <v>Digi_National</v>
      </c>
      <c r="AD21" s="92" t="s">
        <v>357</v>
      </c>
      <c r="AE21" s="92" t="s">
        <v>357</v>
      </c>
      <c r="AF21" s="92" t="s">
        <v>357</v>
      </c>
      <c r="AG21" s="92" t="s">
        <v>357</v>
      </c>
      <c r="AH21" s="92" t="str">
        <f>VLOOKUP(B21,'All ecxept A grades - 13 days'!B20:AH214,33,0)</f>
        <v>Digi_National</v>
      </c>
      <c r="AI21" s="92" t="s">
        <v>357</v>
      </c>
      <c r="AJ21" s="92" t="s">
        <v>357</v>
      </c>
      <c r="AK21" s="92" t="s">
        <v>357</v>
      </c>
    </row>
    <row r="22" spans="1:38" x14ac:dyDescent="0.3">
      <c r="A22" s="65">
        <v>21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5"/>
      <c r="T22" s="67"/>
      <c r="U22" s="67"/>
      <c r="V22" s="67"/>
      <c r="W22" s="67"/>
      <c r="X22" s="67"/>
      <c r="Y22" s="76"/>
      <c r="Z22" s="67"/>
      <c r="AA22" s="67"/>
      <c r="AB22" s="67"/>
      <c r="AC22" s="67"/>
      <c r="AD22" s="67"/>
      <c r="AE22" s="67"/>
      <c r="AF22" s="75"/>
      <c r="AG22" s="67"/>
      <c r="AH22" s="67"/>
      <c r="AI22" s="67"/>
      <c r="AJ22" s="62"/>
      <c r="AK22" s="62"/>
    </row>
    <row r="23" spans="1:38" x14ac:dyDescent="0.3">
      <c r="A23" s="65">
        <v>22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5"/>
      <c r="T23" s="67"/>
      <c r="U23" s="67"/>
      <c r="V23" s="67"/>
      <c r="W23" s="67"/>
      <c r="X23" s="67"/>
      <c r="Y23" s="76"/>
      <c r="Z23" s="67"/>
      <c r="AA23" s="67"/>
      <c r="AB23" s="67"/>
      <c r="AC23" s="67"/>
      <c r="AD23" s="67"/>
      <c r="AE23" s="67"/>
      <c r="AF23" s="75"/>
      <c r="AG23" s="67"/>
      <c r="AH23" s="67"/>
      <c r="AI23" s="67"/>
      <c r="AJ23" s="62"/>
      <c r="AK23" s="62"/>
    </row>
    <row r="24" spans="1:38" x14ac:dyDescent="0.3">
      <c r="A24" s="65">
        <v>23</v>
      </c>
      <c r="B24" s="63">
        <v>46053</v>
      </c>
      <c r="C24" s="66" t="s">
        <v>330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5"/>
      <c r="T24" s="67"/>
      <c r="U24" s="67"/>
      <c r="V24" s="67"/>
      <c r="W24" s="67"/>
      <c r="X24" s="67"/>
      <c r="Y24" s="76"/>
      <c r="Z24" s="67"/>
      <c r="AA24" s="67"/>
      <c r="AB24" s="67"/>
      <c r="AC24" s="67"/>
      <c r="AD24" s="67"/>
      <c r="AE24" s="67"/>
      <c r="AF24" s="75"/>
      <c r="AG24" s="67"/>
      <c r="AH24" s="67"/>
      <c r="AI24" s="67"/>
      <c r="AJ24" s="62"/>
      <c r="AK24" s="62"/>
    </row>
    <row r="25" spans="1:38" x14ac:dyDescent="0.3">
      <c r="A25" s="65">
        <v>24</v>
      </c>
      <c r="B25" s="63">
        <v>46054</v>
      </c>
      <c r="C25" s="66" t="s">
        <v>371</v>
      </c>
      <c r="D25" s="66" t="s">
        <v>63</v>
      </c>
      <c r="E25" s="67"/>
      <c r="F25" s="67"/>
      <c r="G25" s="67"/>
      <c r="H25" s="69"/>
      <c r="I25" s="67"/>
      <c r="J25" s="67"/>
      <c r="K25" s="96"/>
      <c r="L25" s="67"/>
      <c r="M25" s="67"/>
      <c r="N25" s="67"/>
      <c r="O25" s="67"/>
      <c r="P25" s="67"/>
      <c r="Q25" s="67"/>
      <c r="R25" s="67"/>
      <c r="S25" s="75"/>
      <c r="T25" s="67"/>
      <c r="U25" s="67"/>
      <c r="V25" s="67"/>
      <c r="W25" s="67"/>
      <c r="X25" s="67"/>
      <c r="Y25" s="76"/>
      <c r="Z25" s="67"/>
      <c r="AA25" s="67"/>
      <c r="AB25" s="67"/>
      <c r="AC25" s="67"/>
      <c r="AD25" s="67"/>
      <c r="AE25" s="67"/>
      <c r="AF25" s="75"/>
      <c r="AG25" s="67"/>
      <c r="AH25" s="67"/>
      <c r="AI25" s="67"/>
      <c r="AJ25" s="62"/>
      <c r="AK25" s="62"/>
    </row>
    <row r="26" spans="1:38" x14ac:dyDescent="0.3">
      <c r="A26" s="65">
        <v>25</v>
      </c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75"/>
      <c r="T26" s="67"/>
      <c r="U26" s="67"/>
      <c r="V26" s="67"/>
      <c r="W26" s="67"/>
      <c r="X26" s="67"/>
      <c r="Y26" s="76"/>
      <c r="Z26" s="67"/>
      <c r="AA26" s="67"/>
      <c r="AB26" s="67"/>
      <c r="AC26" s="67"/>
      <c r="AD26" s="67"/>
      <c r="AE26" s="67"/>
      <c r="AF26" s="75"/>
      <c r="AG26" s="67"/>
      <c r="AH26" s="67"/>
      <c r="AI26" s="67"/>
      <c r="AJ26" s="62"/>
      <c r="AK26" s="62"/>
    </row>
    <row r="27" spans="1:38" x14ac:dyDescent="0.3">
      <c r="A27" s="65">
        <v>26</v>
      </c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75"/>
      <c r="T27" s="67"/>
      <c r="U27" s="67"/>
      <c r="V27" s="67"/>
      <c r="W27" s="67"/>
      <c r="X27" s="67"/>
      <c r="Y27" s="76"/>
      <c r="Z27" s="67"/>
      <c r="AA27" s="67"/>
      <c r="AB27" s="67"/>
      <c r="AC27" s="67"/>
      <c r="AD27" s="67"/>
      <c r="AE27" s="67"/>
      <c r="AF27" s="75"/>
      <c r="AG27" s="67"/>
      <c r="AH27" s="67"/>
      <c r="AI27" s="67"/>
      <c r="AJ27" s="62"/>
      <c r="AK27" s="62"/>
    </row>
    <row r="28" spans="1:38" x14ac:dyDescent="0.3">
      <c r="A28" s="65">
        <v>27</v>
      </c>
      <c r="B28" s="63">
        <v>46065</v>
      </c>
      <c r="C28" s="66" t="s">
        <v>242</v>
      </c>
      <c r="D28" s="66" t="s">
        <v>96</v>
      </c>
      <c r="E28" s="67"/>
      <c r="F28" s="67"/>
      <c r="G28" s="67"/>
      <c r="H28" s="6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75"/>
      <c r="T28" s="67"/>
      <c r="U28" s="67"/>
      <c r="V28" s="67"/>
      <c r="W28" s="67"/>
      <c r="X28" s="67"/>
      <c r="Y28" s="76"/>
      <c r="Z28" s="67"/>
      <c r="AA28" s="67"/>
      <c r="AB28" s="67"/>
      <c r="AC28" s="67"/>
      <c r="AD28" s="67"/>
      <c r="AE28" s="67"/>
      <c r="AF28" s="75"/>
      <c r="AG28" s="67"/>
      <c r="AH28" s="67"/>
      <c r="AI28" s="67"/>
      <c r="AJ28" s="62"/>
      <c r="AK28" s="62"/>
    </row>
    <row r="29" spans="1:38" x14ac:dyDescent="0.3">
      <c r="A29" s="65">
        <v>28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9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76"/>
      <c r="Z29" s="67"/>
      <c r="AA29" s="67"/>
      <c r="AB29" s="67"/>
      <c r="AC29" s="67"/>
      <c r="AD29" s="67"/>
      <c r="AE29" s="67"/>
      <c r="AF29" s="75"/>
      <c r="AG29" s="67"/>
      <c r="AH29" s="67"/>
      <c r="AI29" s="67"/>
      <c r="AJ29" s="62"/>
      <c r="AK29" s="62"/>
    </row>
    <row r="30" spans="1:38" x14ac:dyDescent="0.3">
      <c r="A30" s="65">
        <v>29</v>
      </c>
      <c r="B30" s="63">
        <v>46069</v>
      </c>
      <c r="C30" s="66" t="s">
        <v>341</v>
      </c>
      <c r="D30" s="69" t="s">
        <v>98</v>
      </c>
      <c r="E30" s="67"/>
      <c r="F30" s="67"/>
      <c r="G30" s="67"/>
      <c r="H30" s="67"/>
      <c r="I30" s="67"/>
      <c r="J30" s="75"/>
      <c r="K30" s="67"/>
      <c r="L30" s="67"/>
      <c r="M30" s="67"/>
      <c r="N30" s="67"/>
      <c r="O30" s="67"/>
      <c r="P30" s="67"/>
      <c r="Q30" s="75"/>
      <c r="R30" s="67"/>
      <c r="S30" s="75"/>
      <c r="T30" s="67"/>
      <c r="U30" s="67"/>
      <c r="V30" s="67"/>
      <c r="W30" s="67"/>
      <c r="X30" s="67"/>
      <c r="Y30" s="76"/>
      <c r="Z30" s="67"/>
      <c r="AA30" s="67"/>
      <c r="AB30" s="67"/>
      <c r="AC30" s="67"/>
      <c r="AD30" s="67"/>
      <c r="AE30" s="67"/>
      <c r="AF30" s="75"/>
      <c r="AG30" s="67"/>
      <c r="AH30" s="67"/>
      <c r="AI30" s="67"/>
      <c r="AJ30" s="62"/>
      <c r="AK30" s="62"/>
    </row>
    <row r="31" spans="1:38" s="48" customFormat="1" x14ac:dyDescent="0.3">
      <c r="A31" s="65">
        <v>30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5"/>
      <c r="T31" s="67"/>
      <c r="U31" s="67"/>
      <c r="V31" s="67"/>
      <c r="W31" s="67"/>
      <c r="X31" s="67"/>
      <c r="Y31" s="76"/>
      <c r="Z31" s="67"/>
      <c r="AA31" s="92" t="s">
        <v>358</v>
      </c>
      <c r="AB31" s="67"/>
      <c r="AC31" s="67"/>
      <c r="AD31" s="67"/>
      <c r="AE31" s="67"/>
      <c r="AF31" s="75"/>
      <c r="AG31" s="67"/>
      <c r="AH31" s="67"/>
      <c r="AI31" s="67"/>
      <c r="AJ31" s="62"/>
      <c r="AK31" s="62"/>
      <c r="AL31" s="3"/>
    </row>
    <row r="32" spans="1:38" s="48" customFormat="1" x14ac:dyDescent="0.3">
      <c r="A32" s="65">
        <v>31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75"/>
      <c r="T32" s="67"/>
      <c r="U32" s="67"/>
      <c r="V32" s="67"/>
      <c r="W32" s="67"/>
      <c r="X32" s="67"/>
      <c r="Y32" s="76"/>
      <c r="Z32" s="67"/>
      <c r="AA32" s="67"/>
      <c r="AB32" s="67"/>
      <c r="AC32" s="67"/>
      <c r="AD32" s="67"/>
      <c r="AE32" s="67"/>
      <c r="AF32" s="75"/>
      <c r="AG32" s="67"/>
      <c r="AH32" s="67"/>
      <c r="AI32" s="67"/>
      <c r="AJ32" s="62"/>
      <c r="AK32" s="62"/>
      <c r="AL32" s="3"/>
    </row>
    <row r="33" spans="1:37" x14ac:dyDescent="0.3">
      <c r="A33" s="65">
        <v>32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5"/>
      <c r="T33" s="67"/>
      <c r="U33" s="92" t="s">
        <v>357</v>
      </c>
      <c r="V33" s="67"/>
      <c r="W33" s="67"/>
      <c r="X33" s="67"/>
      <c r="Y33" s="92" t="s">
        <v>358</v>
      </c>
      <c r="Z33" s="67"/>
      <c r="AA33" s="67"/>
      <c r="AB33" s="67"/>
      <c r="AC33" s="67"/>
      <c r="AD33" s="67"/>
      <c r="AE33" s="67"/>
      <c r="AF33" s="75"/>
      <c r="AG33" s="67"/>
      <c r="AH33" s="67"/>
      <c r="AI33" s="67"/>
      <c r="AJ33" s="62"/>
      <c r="AK33" s="62"/>
    </row>
    <row r="34" spans="1:37" x14ac:dyDescent="0.3">
      <c r="A34" s="65">
        <v>33</v>
      </c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5"/>
      <c r="T34" s="67"/>
      <c r="U34" s="67"/>
      <c r="V34" s="67"/>
      <c r="W34" s="67"/>
      <c r="X34" s="67"/>
      <c r="Y34" s="76"/>
      <c r="Z34" s="67"/>
      <c r="AA34" s="67"/>
      <c r="AB34" s="67"/>
      <c r="AC34" s="67"/>
      <c r="AD34" s="67"/>
      <c r="AE34" s="67"/>
      <c r="AF34" s="75"/>
      <c r="AG34" s="67"/>
      <c r="AH34" s="67"/>
      <c r="AI34" s="67"/>
      <c r="AJ34" s="62"/>
      <c r="AK34" s="62"/>
    </row>
    <row r="35" spans="1:37" x14ac:dyDescent="0.3">
      <c r="A35" s="65">
        <v>34</v>
      </c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75"/>
      <c r="T35" s="67"/>
      <c r="U35" s="67"/>
      <c r="V35" s="67"/>
      <c r="W35" s="67"/>
      <c r="X35" s="67"/>
      <c r="Y35" s="76"/>
      <c r="Z35" s="67"/>
      <c r="AA35" s="67"/>
      <c r="AB35" s="67"/>
      <c r="AC35" s="67"/>
      <c r="AD35" s="75"/>
      <c r="AE35" s="67"/>
      <c r="AF35" s="75"/>
      <c r="AG35" s="67"/>
      <c r="AH35" s="67"/>
      <c r="AI35" s="67"/>
      <c r="AJ35" s="62"/>
      <c r="AK35" s="62"/>
    </row>
    <row r="36" spans="1:37" x14ac:dyDescent="0.3">
      <c r="A36" s="65">
        <v>35</v>
      </c>
      <c r="B36" s="63">
        <v>46084</v>
      </c>
      <c r="C36" s="66" t="s">
        <v>342</v>
      </c>
      <c r="D36" s="66" t="s">
        <v>101</v>
      </c>
      <c r="E36" s="67"/>
      <c r="F36" s="67"/>
      <c r="G36" s="67"/>
      <c r="H36" s="67"/>
      <c r="I36" s="67"/>
      <c r="J36" s="67"/>
      <c r="K36" s="67"/>
      <c r="L36" s="92" t="s">
        <v>358</v>
      </c>
      <c r="M36" s="67"/>
      <c r="N36" s="67"/>
      <c r="O36" s="67"/>
      <c r="P36" s="67"/>
      <c r="Q36" s="92" t="s">
        <v>358</v>
      </c>
      <c r="R36" s="67"/>
      <c r="S36" s="75"/>
      <c r="T36" s="92" t="s">
        <v>358</v>
      </c>
      <c r="U36" s="67"/>
      <c r="V36" s="92" t="s">
        <v>358</v>
      </c>
      <c r="W36" s="92" t="s">
        <v>358</v>
      </c>
      <c r="X36" s="67"/>
      <c r="Y36" s="76"/>
      <c r="Z36" s="67"/>
      <c r="AA36" s="92" t="s">
        <v>358</v>
      </c>
      <c r="AB36" s="67"/>
      <c r="AC36" s="92" t="str">
        <f>VLOOKUP(B36,'All ecxept A grades - 13 days'!B35:AC229,28,0)</f>
        <v>Digi_Festival</v>
      </c>
      <c r="AD36" s="67"/>
      <c r="AE36" s="67"/>
      <c r="AF36" s="75"/>
      <c r="AG36" s="67"/>
      <c r="AH36" s="69"/>
      <c r="AI36" s="69"/>
      <c r="AJ36" s="62"/>
      <c r="AK36" s="69"/>
    </row>
    <row r="37" spans="1:37" x14ac:dyDescent="0.3">
      <c r="A37" s="65">
        <v>36</v>
      </c>
      <c r="B37" s="63">
        <v>46085</v>
      </c>
      <c r="C37" s="66" t="s">
        <v>99</v>
      </c>
      <c r="D37" s="66" t="s">
        <v>97</v>
      </c>
      <c r="E37" s="92" t="str">
        <f>VLOOKUP(B37,'All ecxept A grades - 13 days'!B36:E230,4,0)</f>
        <v>Digi_Festival</v>
      </c>
      <c r="F37" s="92" t="str">
        <f>VLOOKUP(C37,'All ecxept A grades - 13 days'!C36:F230,4,0)</f>
        <v>Digi_Festival</v>
      </c>
      <c r="G37" s="92" t="s">
        <v>358</v>
      </c>
      <c r="H37" s="92" t="s">
        <v>358</v>
      </c>
      <c r="I37" s="92" t="s">
        <v>358</v>
      </c>
      <c r="J37" s="75"/>
      <c r="K37" s="92" t="s">
        <v>358</v>
      </c>
      <c r="L37" s="67"/>
      <c r="M37" s="92" t="s">
        <v>358</v>
      </c>
      <c r="N37" s="92" t="s">
        <v>358</v>
      </c>
      <c r="O37" s="92" t="s">
        <v>358</v>
      </c>
      <c r="P37" s="92" t="s">
        <v>358</v>
      </c>
      <c r="Q37" s="67"/>
      <c r="R37" s="92" t="s">
        <v>358</v>
      </c>
      <c r="S37" s="92" t="s">
        <v>358</v>
      </c>
      <c r="T37" s="67"/>
      <c r="U37" s="92" t="s">
        <v>358</v>
      </c>
      <c r="V37" s="67"/>
      <c r="W37" s="67"/>
      <c r="X37" s="92" t="s">
        <v>358</v>
      </c>
      <c r="Y37" s="92" t="s">
        <v>358</v>
      </c>
      <c r="Z37" s="92" t="s">
        <v>358</v>
      </c>
      <c r="AA37" s="67"/>
      <c r="AB37" s="92" t="s">
        <v>358</v>
      </c>
      <c r="AC37" s="67"/>
      <c r="AD37" s="67"/>
      <c r="AE37" s="67"/>
      <c r="AF37" s="75"/>
      <c r="AG37" s="67"/>
      <c r="AH37" s="67"/>
      <c r="AI37" s="67"/>
      <c r="AJ37" s="94" t="s">
        <v>358</v>
      </c>
      <c r="AK37" s="94" t="s">
        <v>358</v>
      </c>
    </row>
    <row r="38" spans="1:37" x14ac:dyDescent="0.3">
      <c r="A38" s="65">
        <v>37</v>
      </c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75"/>
      <c r="T38" s="67"/>
      <c r="U38" s="67"/>
      <c r="V38" s="67"/>
      <c r="W38" s="67"/>
      <c r="X38" s="67"/>
      <c r="Y38" s="76"/>
      <c r="Z38" s="67"/>
      <c r="AA38" s="67"/>
      <c r="AB38" s="67"/>
      <c r="AC38" s="67"/>
      <c r="AD38" s="67"/>
      <c r="AE38" s="67"/>
      <c r="AF38" s="75"/>
      <c r="AG38" s="67"/>
      <c r="AH38" s="67"/>
      <c r="AI38" s="67"/>
      <c r="AJ38" s="62"/>
      <c r="AK38" s="62"/>
    </row>
    <row r="39" spans="1:37" x14ac:dyDescent="0.3">
      <c r="A39" s="65">
        <v>38</v>
      </c>
      <c r="B39" s="63">
        <v>46091</v>
      </c>
      <c r="C39" s="66" t="s">
        <v>367</v>
      </c>
      <c r="D39" s="66" t="s">
        <v>101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5"/>
      <c r="T39" s="67"/>
      <c r="U39" s="67"/>
      <c r="V39" s="67"/>
      <c r="W39" s="67"/>
      <c r="X39" s="67"/>
      <c r="Y39" s="76"/>
      <c r="Z39" s="67"/>
      <c r="AA39" s="67"/>
      <c r="AB39" s="67"/>
      <c r="AC39" s="67"/>
      <c r="AD39" s="67"/>
      <c r="AE39" s="67"/>
      <c r="AF39" s="75"/>
      <c r="AG39" s="67"/>
      <c r="AH39" s="67"/>
      <c r="AI39" s="67"/>
      <c r="AJ39" s="62"/>
      <c r="AK39" s="62"/>
    </row>
    <row r="40" spans="1:37" x14ac:dyDescent="0.3">
      <c r="A40" s="65">
        <v>39</v>
      </c>
      <c r="B40" s="63">
        <v>46092</v>
      </c>
      <c r="C40" s="66" t="s">
        <v>331</v>
      </c>
      <c r="D40" s="66" t="s">
        <v>97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75"/>
      <c r="T40" s="67"/>
      <c r="U40" s="67"/>
      <c r="V40" s="67"/>
      <c r="W40" s="67"/>
      <c r="X40" s="67"/>
      <c r="Y40" s="76"/>
      <c r="Z40" s="67"/>
      <c r="AA40" s="67"/>
      <c r="AB40" s="67"/>
      <c r="AC40" s="67"/>
      <c r="AD40" s="67"/>
      <c r="AE40" s="67"/>
      <c r="AF40" s="75"/>
      <c r="AG40" s="67"/>
      <c r="AH40" s="67"/>
      <c r="AI40" s="67"/>
      <c r="AJ40" s="62"/>
      <c r="AK40" s="62"/>
    </row>
    <row r="41" spans="1:37" x14ac:dyDescent="0.3">
      <c r="A41" s="65">
        <v>40</v>
      </c>
      <c r="B41" s="63">
        <v>46094</v>
      </c>
      <c r="C41" s="66" t="s">
        <v>163</v>
      </c>
      <c r="D41" s="66" t="s">
        <v>127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5"/>
      <c r="T41" s="67"/>
      <c r="U41" s="67"/>
      <c r="V41" s="67"/>
      <c r="W41" s="67"/>
      <c r="X41" s="67"/>
      <c r="Y41" s="75"/>
      <c r="Z41" s="67"/>
      <c r="AA41" s="67"/>
      <c r="AB41" s="67"/>
      <c r="AC41" s="67"/>
      <c r="AD41" s="67"/>
      <c r="AE41" s="67"/>
      <c r="AF41" s="75"/>
      <c r="AG41" s="67"/>
      <c r="AH41" s="67"/>
      <c r="AI41" s="67"/>
      <c r="AJ41" s="62"/>
      <c r="AK41" s="62"/>
    </row>
    <row r="42" spans="1:37" x14ac:dyDescent="0.3">
      <c r="A42" s="65">
        <v>41</v>
      </c>
      <c r="B42" s="63">
        <v>46098</v>
      </c>
      <c r="C42" s="66" t="s">
        <v>174</v>
      </c>
      <c r="D42" s="66" t="s">
        <v>101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75"/>
      <c r="T42" s="67"/>
      <c r="U42" s="67"/>
      <c r="V42" s="67"/>
      <c r="W42" s="67"/>
      <c r="X42" s="67"/>
      <c r="Y42" s="76"/>
      <c r="Z42" s="67"/>
      <c r="AA42" s="67"/>
      <c r="AB42" s="67"/>
      <c r="AC42" s="67"/>
      <c r="AD42" s="67"/>
      <c r="AE42" s="67"/>
      <c r="AF42" s="75"/>
      <c r="AG42" s="67"/>
      <c r="AH42" s="67"/>
      <c r="AI42" s="67"/>
      <c r="AJ42" s="62"/>
      <c r="AK42" s="62"/>
    </row>
    <row r="43" spans="1:37" x14ac:dyDescent="0.3">
      <c r="A43" s="65">
        <v>42</v>
      </c>
      <c r="B43" s="63">
        <v>46100</v>
      </c>
      <c r="C43" s="66" t="s">
        <v>328</v>
      </c>
      <c r="D43" s="66" t="s">
        <v>96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75"/>
      <c r="T43" s="67"/>
      <c r="U43" s="67"/>
      <c r="V43" s="67"/>
      <c r="W43" s="67"/>
      <c r="X43" s="67"/>
      <c r="Y43" s="76"/>
      <c r="Z43" s="67"/>
      <c r="AA43" s="67"/>
      <c r="AB43" s="67"/>
      <c r="AC43" s="92" t="str">
        <f>VLOOKUP(B43,'All ecxept A grades - 13 days'!B42:AC235,28,0)</f>
        <v>Digi_Festival</v>
      </c>
      <c r="AD43" s="92" t="s">
        <v>358</v>
      </c>
      <c r="AE43" s="92" t="s">
        <v>358</v>
      </c>
      <c r="AF43" s="75"/>
      <c r="AG43" s="62"/>
      <c r="AH43" s="92" t="str">
        <f>VLOOKUP(B43,'All ecxept A grades - 13 days'!B42:AH236,33,0)</f>
        <v>Digi_Festival</v>
      </c>
      <c r="AI43" s="92" t="s">
        <v>358</v>
      </c>
      <c r="AJ43" s="62"/>
      <c r="AK43" s="58"/>
    </row>
    <row r="44" spans="1:37" x14ac:dyDescent="0.3">
      <c r="A44" s="65">
        <v>43</v>
      </c>
      <c r="B44" s="63">
        <v>46101</v>
      </c>
      <c r="C44" s="66" t="s">
        <v>245</v>
      </c>
      <c r="D44" s="66" t="s">
        <v>127</v>
      </c>
      <c r="E44" s="67"/>
      <c r="F44" s="67"/>
      <c r="G44" s="67"/>
      <c r="H44" s="67"/>
      <c r="I44" s="92" t="s">
        <v>358</v>
      </c>
      <c r="J44" s="67"/>
      <c r="K44" s="67"/>
      <c r="L44" s="69"/>
      <c r="M44" s="67"/>
      <c r="N44" s="67"/>
      <c r="O44" s="75"/>
      <c r="P44" s="67"/>
      <c r="Q44" s="67"/>
      <c r="R44" s="67"/>
      <c r="S44" s="75"/>
      <c r="T44" s="67"/>
      <c r="U44" s="67"/>
      <c r="V44" s="67"/>
      <c r="W44" s="67"/>
      <c r="X44" s="67"/>
      <c r="Y44" s="76"/>
      <c r="Z44" s="67"/>
      <c r="AA44" s="67"/>
      <c r="AB44" s="67"/>
      <c r="AC44" s="67"/>
      <c r="AD44" s="67"/>
      <c r="AE44" s="67"/>
      <c r="AF44" s="75"/>
      <c r="AG44" s="67"/>
      <c r="AH44" s="67"/>
      <c r="AI44" s="67"/>
      <c r="AJ44" s="62"/>
      <c r="AK44" s="62"/>
    </row>
    <row r="45" spans="1:37" s="104" customFormat="1" x14ac:dyDescent="0.3">
      <c r="A45" s="98">
        <v>44</v>
      </c>
      <c r="B45" s="99">
        <v>46102</v>
      </c>
      <c r="C45" s="100" t="s">
        <v>141</v>
      </c>
      <c r="D45" s="101" t="s">
        <v>64</v>
      </c>
      <c r="E45" s="102" t="str">
        <f>VLOOKUP(B45,'All ecxept A grades - 13 days'!B44:E237,4,0)</f>
        <v>Digi_Festival</v>
      </c>
      <c r="F45" s="101"/>
      <c r="G45" s="101"/>
      <c r="H45" s="102"/>
      <c r="I45" s="101"/>
      <c r="J45" s="101"/>
      <c r="K45" s="101"/>
      <c r="L45" s="101"/>
      <c r="M45" s="101"/>
      <c r="N45" s="101"/>
      <c r="O45" s="101"/>
      <c r="P45" s="101"/>
      <c r="Q45" s="92" t="s">
        <v>358</v>
      </c>
      <c r="R45" s="92" t="s">
        <v>358</v>
      </c>
      <c r="S45" s="92" t="s">
        <v>358</v>
      </c>
      <c r="T45" s="92" t="s">
        <v>358</v>
      </c>
      <c r="U45" s="92" t="s">
        <v>358</v>
      </c>
      <c r="V45" s="92" t="s">
        <v>358</v>
      </c>
      <c r="W45" s="92" t="s">
        <v>358</v>
      </c>
      <c r="X45" s="92" t="s">
        <v>358</v>
      </c>
      <c r="Y45" s="92" t="s">
        <v>358</v>
      </c>
      <c r="Z45" s="92" t="s">
        <v>358</v>
      </c>
      <c r="AA45" s="92" t="s">
        <v>358</v>
      </c>
      <c r="AB45" s="92" t="s">
        <v>358</v>
      </c>
      <c r="AC45" s="101"/>
      <c r="AD45" s="102"/>
      <c r="AE45" s="101"/>
      <c r="AF45" s="101"/>
      <c r="AG45" s="101"/>
      <c r="AH45" s="102" t="s">
        <v>358</v>
      </c>
      <c r="AI45" s="101"/>
      <c r="AJ45" s="103"/>
      <c r="AK45" s="103"/>
    </row>
    <row r="46" spans="1:37" x14ac:dyDescent="0.3">
      <c r="A46" s="65">
        <v>45</v>
      </c>
      <c r="B46" s="63">
        <v>46103</v>
      </c>
      <c r="C46" s="66" t="s">
        <v>280</v>
      </c>
      <c r="D46" s="66" t="s">
        <v>63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75"/>
      <c r="T46" s="67"/>
      <c r="U46" s="67"/>
      <c r="V46" s="67"/>
      <c r="W46" s="67"/>
      <c r="X46" s="67"/>
      <c r="Y46" s="76"/>
      <c r="Z46" s="67"/>
      <c r="AA46" s="67"/>
      <c r="AB46" s="67"/>
      <c r="AC46" s="67"/>
      <c r="AD46" s="67"/>
      <c r="AE46" s="67"/>
      <c r="AF46" s="75"/>
      <c r="AG46" s="67"/>
      <c r="AH46" s="67"/>
      <c r="AI46" s="67"/>
      <c r="AJ46" s="62"/>
      <c r="AK46" s="62"/>
    </row>
    <row r="47" spans="1:37" x14ac:dyDescent="0.3">
      <c r="A47" s="65">
        <v>46</v>
      </c>
      <c r="B47" s="63">
        <v>46104</v>
      </c>
      <c r="C47" s="66" t="s">
        <v>246</v>
      </c>
      <c r="D47" s="66" t="s">
        <v>98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75"/>
      <c r="T47" s="67"/>
      <c r="U47" s="67"/>
      <c r="V47" s="67"/>
      <c r="W47" s="67"/>
      <c r="X47" s="67"/>
      <c r="Y47" s="76"/>
      <c r="Z47" s="67"/>
      <c r="AA47" s="67"/>
      <c r="AB47" s="67"/>
      <c r="AC47" s="67"/>
      <c r="AD47" s="67"/>
      <c r="AE47" s="67"/>
      <c r="AF47" s="75"/>
      <c r="AG47" s="67"/>
      <c r="AH47" s="67"/>
      <c r="AI47" s="67"/>
      <c r="AJ47" s="62"/>
      <c r="AK47" s="62"/>
    </row>
    <row r="48" spans="1:37" x14ac:dyDescent="0.3">
      <c r="A48" s="65">
        <v>47</v>
      </c>
      <c r="B48" s="63">
        <v>46107</v>
      </c>
      <c r="C48" s="66" t="s">
        <v>281</v>
      </c>
      <c r="D48" s="66" t="s">
        <v>96</v>
      </c>
      <c r="E48" s="75"/>
      <c r="F48" s="96"/>
      <c r="G48" s="96"/>
      <c r="H48" s="69"/>
      <c r="I48" s="67"/>
      <c r="J48" s="67"/>
      <c r="K48" s="67"/>
      <c r="L48" s="67"/>
      <c r="M48" s="96"/>
      <c r="N48" s="67"/>
      <c r="O48" s="67"/>
      <c r="P48" s="96"/>
      <c r="Q48" s="67"/>
      <c r="R48" s="67"/>
      <c r="S48" s="75"/>
      <c r="T48" s="67"/>
      <c r="U48" s="96"/>
      <c r="V48" s="67"/>
      <c r="W48" s="67"/>
      <c r="X48" s="67"/>
      <c r="Y48" s="75"/>
      <c r="Z48" s="96"/>
      <c r="AA48" s="67"/>
      <c r="AB48" s="96"/>
      <c r="AC48" s="67"/>
      <c r="AD48" s="67"/>
      <c r="AE48" s="67"/>
      <c r="AF48" s="75"/>
      <c r="AG48" s="67"/>
      <c r="AH48" s="67"/>
      <c r="AI48" s="67"/>
      <c r="AJ48" s="62"/>
      <c r="AK48" s="62"/>
    </row>
    <row r="49" spans="1:37" x14ac:dyDescent="0.3">
      <c r="A49" s="65">
        <v>48</v>
      </c>
      <c r="B49" s="63">
        <v>46108</v>
      </c>
      <c r="C49" s="66" t="s">
        <v>149</v>
      </c>
      <c r="D49" s="66" t="s">
        <v>127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75"/>
      <c r="T49" s="67"/>
      <c r="U49" s="67"/>
      <c r="V49" s="67"/>
      <c r="W49" s="67"/>
      <c r="X49" s="67"/>
      <c r="Y49" s="76"/>
      <c r="Z49" s="67"/>
      <c r="AA49" s="67"/>
      <c r="AB49" s="67"/>
      <c r="AC49" s="67"/>
      <c r="AD49" s="67"/>
      <c r="AE49" s="67"/>
      <c r="AF49" s="75"/>
      <c r="AG49" s="67"/>
      <c r="AH49" s="67"/>
      <c r="AI49" s="67"/>
      <c r="AJ49" s="62"/>
      <c r="AK49" s="62"/>
    </row>
    <row r="50" spans="1:37" x14ac:dyDescent="0.3">
      <c r="A50" s="65">
        <v>49</v>
      </c>
      <c r="B50" s="63">
        <v>46112</v>
      </c>
      <c r="C50" s="66" t="s">
        <v>35</v>
      </c>
      <c r="D50" s="66" t="s">
        <v>101</v>
      </c>
      <c r="E50" s="67"/>
      <c r="F50" s="67"/>
      <c r="G50" s="67"/>
      <c r="H50" s="69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75"/>
      <c r="T50" s="67"/>
      <c r="U50" s="67"/>
      <c r="V50" s="67"/>
      <c r="W50" s="67"/>
      <c r="X50" s="67"/>
      <c r="Y50" s="75"/>
      <c r="Z50" s="67"/>
      <c r="AA50" s="67"/>
      <c r="AB50" s="67"/>
      <c r="AC50" s="67"/>
      <c r="AD50" s="67"/>
      <c r="AE50" s="67"/>
      <c r="AF50" s="75"/>
      <c r="AG50" s="67"/>
      <c r="AH50" s="67"/>
      <c r="AI50" s="67"/>
      <c r="AJ50" s="62"/>
      <c r="AK50" s="62"/>
    </row>
    <row r="51" spans="1:37" x14ac:dyDescent="0.3">
      <c r="A51" s="65">
        <v>50</v>
      </c>
      <c r="B51" s="63">
        <v>46113</v>
      </c>
      <c r="C51" s="66" t="s">
        <v>247</v>
      </c>
      <c r="D51" s="66" t="s">
        <v>97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75"/>
      <c r="T51" s="67"/>
      <c r="U51" s="67"/>
      <c r="V51" s="67"/>
      <c r="W51" s="67"/>
      <c r="X51" s="67"/>
      <c r="Y51" s="76"/>
      <c r="Z51" s="67"/>
      <c r="AA51" s="67"/>
      <c r="AB51" s="67"/>
      <c r="AC51" s="67"/>
      <c r="AD51" s="67"/>
      <c r="AE51" s="67"/>
      <c r="AF51" s="75"/>
      <c r="AG51" s="67"/>
      <c r="AH51" s="67"/>
      <c r="AI51" s="67"/>
      <c r="AJ51" s="62"/>
      <c r="AK51" s="62"/>
    </row>
    <row r="52" spans="1:37" x14ac:dyDescent="0.3">
      <c r="A52" s="65">
        <v>51</v>
      </c>
      <c r="B52" s="63">
        <v>46114</v>
      </c>
      <c r="C52" s="66" t="s">
        <v>248</v>
      </c>
      <c r="D52" s="66" t="s">
        <v>96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75"/>
      <c r="T52" s="67"/>
      <c r="U52" s="67"/>
      <c r="V52" s="67"/>
      <c r="W52" s="67"/>
      <c r="X52" s="67"/>
      <c r="Y52" s="76"/>
      <c r="Z52" s="67"/>
      <c r="AA52" s="67"/>
      <c r="AB52" s="67"/>
      <c r="AC52" s="67"/>
      <c r="AD52" s="67"/>
      <c r="AE52" s="67"/>
      <c r="AF52" s="75"/>
      <c r="AG52" s="67"/>
      <c r="AH52" s="67"/>
      <c r="AI52" s="67"/>
      <c r="AJ52" s="62"/>
      <c r="AK52" s="62"/>
    </row>
    <row r="53" spans="1:37" x14ac:dyDescent="0.3">
      <c r="A53" s="65">
        <v>52</v>
      </c>
      <c r="B53" s="63">
        <v>46115</v>
      </c>
      <c r="C53" s="66" t="s">
        <v>38</v>
      </c>
      <c r="D53" s="66" t="s">
        <v>127</v>
      </c>
      <c r="E53" s="92" t="str">
        <f>VLOOKUP(B53,'All ecxept A grades - 13 days'!B52:E245,4,0)</f>
        <v>Digi_Festival</v>
      </c>
      <c r="F53" s="92" t="str">
        <f>VLOOKUP(C53,'All ecxept A grades - 13 days'!C52:F246,4,0)</f>
        <v>Digi_Festival</v>
      </c>
      <c r="G53" s="92" t="s">
        <v>358</v>
      </c>
      <c r="H53" s="92" t="s">
        <v>358</v>
      </c>
      <c r="I53" s="92" t="s">
        <v>358</v>
      </c>
      <c r="J53" s="67"/>
      <c r="K53" s="92" t="s">
        <v>358</v>
      </c>
      <c r="L53" s="92" t="s">
        <v>358</v>
      </c>
      <c r="M53" s="92" t="s">
        <v>358</v>
      </c>
      <c r="N53" s="92" t="s">
        <v>358</v>
      </c>
      <c r="O53" s="92" t="s">
        <v>358</v>
      </c>
      <c r="P53" s="92" t="s">
        <v>358</v>
      </c>
      <c r="Q53" s="92" t="s">
        <v>358</v>
      </c>
      <c r="R53" s="92" t="s">
        <v>358</v>
      </c>
      <c r="S53" s="92" t="s">
        <v>358</v>
      </c>
      <c r="T53" s="92" t="s">
        <v>358</v>
      </c>
      <c r="U53" s="92" t="s">
        <v>358</v>
      </c>
      <c r="V53" s="92" t="s">
        <v>358</v>
      </c>
      <c r="W53" s="92" t="s">
        <v>358</v>
      </c>
      <c r="X53" s="92" t="s">
        <v>358</v>
      </c>
      <c r="Y53" s="92" t="s">
        <v>358</v>
      </c>
      <c r="Z53" s="92" t="s">
        <v>358</v>
      </c>
      <c r="AA53" s="92" t="s">
        <v>358</v>
      </c>
      <c r="AB53" s="92" t="s">
        <v>358</v>
      </c>
      <c r="AC53" s="92" t="str">
        <f>VLOOKUP(B53,'All ecxept A grades - 13 days'!B52:AC245,28,0)</f>
        <v>Digi_Festival</v>
      </c>
      <c r="AD53" s="92" t="s">
        <v>358</v>
      </c>
      <c r="AE53" s="92" t="s">
        <v>358</v>
      </c>
      <c r="AF53" s="92" t="s">
        <v>358</v>
      </c>
      <c r="AG53" s="92" t="s">
        <v>358</v>
      </c>
      <c r="AH53" s="92" t="str">
        <f>VLOOKUP(B53,'All ecxept A grades - 13 days'!B52:AH246,33,0)</f>
        <v>Digi_Festival</v>
      </c>
      <c r="AI53" s="92" t="s">
        <v>358</v>
      </c>
      <c r="AJ53" s="94" t="s">
        <v>358</v>
      </c>
      <c r="AK53" s="94" t="s">
        <v>358</v>
      </c>
    </row>
    <row r="54" spans="1:37" x14ac:dyDescent="0.3">
      <c r="A54" s="65">
        <v>53</v>
      </c>
      <c r="B54" s="63">
        <v>46116</v>
      </c>
      <c r="C54" s="66" t="s">
        <v>222</v>
      </c>
      <c r="D54" s="66" t="s">
        <v>64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75"/>
      <c r="T54" s="67"/>
      <c r="U54" s="67"/>
      <c r="V54" s="67"/>
      <c r="W54" s="67"/>
      <c r="X54" s="67"/>
      <c r="Y54" s="76"/>
      <c r="Z54" s="67"/>
      <c r="AA54" s="67"/>
      <c r="AB54" s="67"/>
      <c r="AC54" s="67"/>
      <c r="AD54" s="67"/>
      <c r="AE54" s="67"/>
      <c r="AF54" s="75"/>
      <c r="AG54" s="67"/>
      <c r="AH54" s="67"/>
      <c r="AI54" s="67"/>
      <c r="AJ54" s="62"/>
      <c r="AK54" s="62"/>
    </row>
    <row r="55" spans="1:37" x14ac:dyDescent="0.3">
      <c r="A55" s="65">
        <v>54</v>
      </c>
      <c r="B55" s="63">
        <v>46117</v>
      </c>
      <c r="C55" s="66" t="s">
        <v>135</v>
      </c>
      <c r="D55" s="66" t="s">
        <v>63</v>
      </c>
      <c r="E55" s="67"/>
      <c r="F55" s="67"/>
      <c r="G55" s="67"/>
      <c r="H55" s="69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75"/>
      <c r="T55" s="67"/>
      <c r="U55" s="67"/>
      <c r="V55" s="67"/>
      <c r="W55" s="67"/>
      <c r="X55" s="67"/>
      <c r="Y55" s="76"/>
      <c r="Z55" s="67"/>
      <c r="AA55" s="67"/>
      <c r="AB55" s="67"/>
      <c r="AC55" s="67"/>
      <c r="AD55" s="67"/>
      <c r="AE55" s="67"/>
      <c r="AF55" s="75"/>
      <c r="AG55" s="67"/>
      <c r="AH55" s="67"/>
      <c r="AI55" s="67"/>
      <c r="AJ55" s="62"/>
      <c r="AK55" s="62"/>
    </row>
    <row r="56" spans="1:37" x14ac:dyDescent="0.3">
      <c r="A56" s="65">
        <v>55</v>
      </c>
      <c r="B56" s="63">
        <v>46118</v>
      </c>
      <c r="C56" s="66" t="s">
        <v>346</v>
      </c>
      <c r="D56" s="66" t="s">
        <v>98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75"/>
      <c r="T56" s="67"/>
      <c r="U56" s="67"/>
      <c r="V56" s="67"/>
      <c r="W56" s="67"/>
      <c r="X56" s="67"/>
      <c r="Y56" s="76"/>
      <c r="Z56" s="67"/>
      <c r="AA56" s="67"/>
      <c r="AB56" s="67"/>
      <c r="AC56" s="67"/>
      <c r="AD56" s="67"/>
      <c r="AE56" s="67"/>
      <c r="AF56" s="75"/>
      <c r="AG56" s="67"/>
      <c r="AH56" s="67"/>
      <c r="AI56" s="67"/>
      <c r="AJ56" s="62"/>
      <c r="AK56" s="62"/>
    </row>
    <row r="57" spans="1:37" x14ac:dyDescent="0.3">
      <c r="A57" s="65">
        <v>56</v>
      </c>
      <c r="B57" s="63">
        <v>46123</v>
      </c>
      <c r="C57" s="66" t="s">
        <v>232</v>
      </c>
      <c r="D57" s="66" t="s">
        <v>64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75"/>
      <c r="T57" s="67"/>
      <c r="U57" s="67"/>
      <c r="V57" s="67"/>
      <c r="W57" s="67"/>
      <c r="X57" s="67"/>
      <c r="Y57" s="76"/>
      <c r="Z57" s="67"/>
      <c r="AA57" s="67"/>
      <c r="AB57" s="67"/>
      <c r="AC57" s="67"/>
      <c r="AD57" s="67"/>
      <c r="AE57" s="67"/>
      <c r="AF57" s="75"/>
      <c r="AG57" s="67"/>
      <c r="AH57" s="67"/>
      <c r="AI57" s="67"/>
      <c r="AJ57" s="62"/>
      <c r="AK57" s="62"/>
    </row>
    <row r="58" spans="1:37" x14ac:dyDescent="0.3">
      <c r="A58" s="65">
        <v>57</v>
      </c>
      <c r="B58" s="63">
        <v>46125</v>
      </c>
      <c r="C58" s="66" t="s">
        <v>372</v>
      </c>
      <c r="D58" s="66" t="s">
        <v>98</v>
      </c>
      <c r="E58" s="67"/>
      <c r="F58" s="67"/>
      <c r="G58" s="67"/>
      <c r="H58" s="67"/>
      <c r="I58" s="67"/>
      <c r="J58" s="67"/>
      <c r="K58" s="92" t="s">
        <v>358</v>
      </c>
      <c r="L58" s="67"/>
      <c r="M58" s="67"/>
      <c r="N58" s="67"/>
      <c r="O58" s="67"/>
      <c r="P58" s="67"/>
      <c r="Q58" s="67"/>
      <c r="R58" s="67"/>
      <c r="S58" s="75"/>
      <c r="T58" s="67"/>
      <c r="U58" s="67"/>
      <c r="V58" s="67"/>
      <c r="W58" s="67"/>
      <c r="X58" s="67"/>
      <c r="Y58" s="76"/>
      <c r="Z58" s="67"/>
      <c r="AA58" s="67"/>
      <c r="AB58" s="67"/>
      <c r="AC58" s="67"/>
      <c r="AD58" s="67"/>
      <c r="AE58" s="67"/>
      <c r="AF58" s="75"/>
      <c r="AG58" s="67"/>
      <c r="AH58" s="67"/>
      <c r="AI58" s="67"/>
      <c r="AJ58" s="62"/>
      <c r="AK58" s="62"/>
    </row>
    <row r="59" spans="1:37" ht="21.5" customHeight="1" x14ac:dyDescent="0.3">
      <c r="A59" s="65">
        <v>58</v>
      </c>
      <c r="B59" s="63">
        <v>46126</v>
      </c>
      <c r="C59" s="79" t="s">
        <v>250</v>
      </c>
      <c r="D59" s="66" t="s">
        <v>101</v>
      </c>
      <c r="E59" s="67"/>
      <c r="F59" s="67"/>
      <c r="G59" s="67"/>
      <c r="H59" s="67"/>
      <c r="I59" s="67"/>
      <c r="J59" s="92" t="s">
        <v>358</v>
      </c>
      <c r="K59" s="67"/>
      <c r="L59" s="92" t="s">
        <v>357</v>
      </c>
      <c r="M59" s="67"/>
      <c r="N59" s="67"/>
      <c r="O59" s="67"/>
      <c r="P59" s="67"/>
      <c r="Q59" s="67"/>
      <c r="R59" s="67"/>
      <c r="S59" s="67"/>
      <c r="T59" s="67"/>
      <c r="U59" s="67"/>
      <c r="V59" s="92" t="s">
        <v>358</v>
      </c>
      <c r="W59" s="92" t="s">
        <v>358</v>
      </c>
      <c r="X59" s="67"/>
      <c r="Y59" s="76"/>
      <c r="Z59" s="67"/>
      <c r="AA59" s="67"/>
      <c r="AB59" s="67"/>
      <c r="AC59" s="67"/>
      <c r="AD59" s="67"/>
      <c r="AE59" s="75"/>
      <c r="AF59" s="75"/>
      <c r="AG59" s="92" t="s">
        <v>358</v>
      </c>
      <c r="AH59" s="69"/>
      <c r="AI59" s="67"/>
      <c r="AJ59" s="62"/>
      <c r="AK59" s="62"/>
    </row>
    <row r="60" spans="1:37" x14ac:dyDescent="0.3">
      <c r="A60" s="65">
        <v>59</v>
      </c>
      <c r="B60" s="63">
        <v>46127</v>
      </c>
      <c r="C60" s="66" t="s">
        <v>327</v>
      </c>
      <c r="D60" s="66" t="s">
        <v>97</v>
      </c>
      <c r="E60" s="67"/>
      <c r="F60" s="67"/>
      <c r="G60" s="67"/>
      <c r="H60" s="92" t="s">
        <v>358</v>
      </c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75"/>
      <c r="T60" s="67"/>
      <c r="U60" s="67"/>
      <c r="V60" s="69"/>
      <c r="W60" s="67"/>
      <c r="X60" s="67"/>
      <c r="Y60" s="76"/>
      <c r="Z60" s="67"/>
      <c r="AA60" s="67"/>
      <c r="AB60" s="67"/>
      <c r="AC60" s="67"/>
      <c r="AD60" s="67"/>
      <c r="AE60" s="67"/>
      <c r="AF60" s="75"/>
      <c r="AG60" s="67"/>
      <c r="AH60" s="67"/>
      <c r="AI60" s="67"/>
      <c r="AJ60" s="62"/>
      <c r="AK60" s="62"/>
    </row>
    <row r="61" spans="1:37" x14ac:dyDescent="0.3">
      <c r="A61" s="65">
        <v>60</v>
      </c>
      <c r="B61" s="63">
        <v>46128</v>
      </c>
      <c r="C61" s="66" t="s">
        <v>188</v>
      </c>
      <c r="D61" s="66" t="s">
        <v>96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75"/>
      <c r="T61" s="67"/>
      <c r="U61" s="67"/>
      <c r="V61" s="67"/>
      <c r="W61" s="67"/>
      <c r="X61" s="67"/>
      <c r="Y61" s="76"/>
      <c r="Z61" s="67"/>
      <c r="AA61" s="67"/>
      <c r="AB61" s="67"/>
      <c r="AC61" s="67"/>
      <c r="AD61" s="67"/>
      <c r="AE61" s="67"/>
      <c r="AF61" s="75"/>
      <c r="AG61" s="67"/>
      <c r="AH61" s="67"/>
      <c r="AI61" s="67"/>
      <c r="AJ61" s="62"/>
      <c r="AK61" s="62"/>
    </row>
    <row r="62" spans="1:37" x14ac:dyDescent="0.3">
      <c r="A62" s="65">
        <v>61</v>
      </c>
      <c r="B62" s="63">
        <v>46129</v>
      </c>
      <c r="C62" s="66" t="s">
        <v>347</v>
      </c>
      <c r="D62" s="66" t="s">
        <v>127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5"/>
      <c r="T62" s="67"/>
      <c r="U62" s="67"/>
      <c r="V62" s="67"/>
      <c r="W62" s="67"/>
      <c r="X62" s="67"/>
      <c r="Y62" s="76"/>
      <c r="Z62" s="67"/>
      <c r="AA62" s="67"/>
      <c r="AB62" s="67"/>
      <c r="AC62" s="67"/>
      <c r="AD62" s="67"/>
      <c r="AE62" s="67"/>
      <c r="AF62" s="75"/>
      <c r="AG62" s="67"/>
      <c r="AH62" s="67"/>
      <c r="AI62" s="67"/>
      <c r="AJ62" s="62"/>
      <c r="AK62" s="62"/>
    </row>
    <row r="63" spans="1:37" x14ac:dyDescent="0.3">
      <c r="A63" s="65">
        <v>62</v>
      </c>
      <c r="B63" s="63">
        <v>46130</v>
      </c>
      <c r="C63" s="66" t="s">
        <v>297</v>
      </c>
      <c r="D63" s="66" t="s">
        <v>64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75"/>
      <c r="T63" s="67"/>
      <c r="U63" s="67"/>
      <c r="V63" s="67"/>
      <c r="W63" s="67"/>
      <c r="X63" s="67"/>
      <c r="Y63" s="76"/>
      <c r="Z63" s="67"/>
      <c r="AA63" s="67"/>
      <c r="AB63" s="67"/>
      <c r="AC63" s="67"/>
      <c r="AD63" s="67"/>
      <c r="AE63" s="67"/>
      <c r="AF63" s="75"/>
      <c r="AG63" s="67"/>
      <c r="AH63" s="67"/>
      <c r="AI63" s="67"/>
      <c r="AJ63" s="62"/>
      <c r="AK63" s="62"/>
    </row>
    <row r="64" spans="1:37" x14ac:dyDescent="0.3">
      <c r="A64" s="65">
        <v>63</v>
      </c>
      <c r="B64" s="63">
        <v>46131</v>
      </c>
      <c r="C64" s="66" t="s">
        <v>233</v>
      </c>
      <c r="D64" s="66" t="s">
        <v>63</v>
      </c>
      <c r="E64" s="67"/>
      <c r="F64" s="67"/>
      <c r="G64" s="67"/>
      <c r="H64" s="69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75"/>
      <c r="T64" s="67"/>
      <c r="U64" s="67"/>
      <c r="V64" s="67"/>
      <c r="W64" s="67"/>
      <c r="X64" s="67"/>
      <c r="Y64" s="76"/>
      <c r="Z64" s="67"/>
      <c r="AA64" s="67"/>
      <c r="AB64" s="67"/>
      <c r="AC64" s="67"/>
      <c r="AD64" s="67"/>
      <c r="AE64" s="67"/>
      <c r="AF64" s="75"/>
      <c r="AG64" s="67"/>
      <c r="AH64" s="67"/>
      <c r="AI64" s="67"/>
      <c r="AJ64" s="62"/>
      <c r="AK64" s="62"/>
    </row>
    <row r="65" spans="1:37" x14ac:dyDescent="0.3">
      <c r="A65" s="65">
        <v>64</v>
      </c>
      <c r="B65" s="63">
        <v>46132</v>
      </c>
      <c r="C65" s="66" t="s">
        <v>251</v>
      </c>
      <c r="D65" s="66" t="s">
        <v>98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75"/>
      <c r="T65" s="67"/>
      <c r="U65" s="67"/>
      <c r="V65" s="67"/>
      <c r="W65" s="67"/>
      <c r="X65" s="67"/>
      <c r="Y65" s="76"/>
      <c r="Z65" s="67"/>
      <c r="AA65" s="67"/>
      <c r="AB65" s="67"/>
      <c r="AC65" s="67"/>
      <c r="AD65" s="67"/>
      <c r="AE65" s="67"/>
      <c r="AF65" s="75"/>
      <c r="AG65" s="67"/>
      <c r="AH65" s="67"/>
      <c r="AI65" s="67"/>
      <c r="AJ65" s="62"/>
      <c r="AK65" s="62"/>
    </row>
    <row r="66" spans="1:37" x14ac:dyDescent="0.3">
      <c r="A66" s="65">
        <v>65</v>
      </c>
      <c r="B66" s="63">
        <v>46133</v>
      </c>
      <c r="C66" s="66" t="s">
        <v>223</v>
      </c>
      <c r="D66" s="66" t="s">
        <v>101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75"/>
      <c r="T66" s="67"/>
      <c r="U66" s="67"/>
      <c r="V66" s="67"/>
      <c r="W66" s="67"/>
      <c r="X66" s="67"/>
      <c r="Y66" s="76"/>
      <c r="Z66" s="67"/>
      <c r="AA66" s="67"/>
      <c r="AB66" s="67"/>
      <c r="AC66" s="67"/>
      <c r="AD66" s="67"/>
      <c r="AE66" s="67"/>
      <c r="AF66" s="75"/>
      <c r="AG66" s="67"/>
      <c r="AH66" s="67"/>
      <c r="AI66" s="67"/>
      <c r="AJ66" s="62"/>
      <c r="AK66" s="62"/>
    </row>
    <row r="67" spans="1:37" x14ac:dyDescent="0.3">
      <c r="A67" s="65">
        <v>66</v>
      </c>
      <c r="B67" s="63">
        <v>46134</v>
      </c>
      <c r="C67" s="66" t="s">
        <v>252</v>
      </c>
      <c r="D67" s="66" t="s">
        <v>97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75"/>
      <c r="T67" s="67"/>
      <c r="U67" s="67"/>
      <c r="V67" s="67"/>
      <c r="W67" s="67"/>
      <c r="X67" s="67"/>
      <c r="Y67" s="76"/>
      <c r="Z67" s="67"/>
      <c r="AA67" s="67"/>
      <c r="AB67" s="67"/>
      <c r="AC67" s="67"/>
      <c r="AD67" s="67"/>
      <c r="AE67" s="67"/>
      <c r="AF67" s="75"/>
      <c r="AG67" s="67"/>
      <c r="AH67" s="67"/>
      <c r="AI67" s="67"/>
      <c r="AJ67" s="62"/>
      <c r="AK67" s="62"/>
    </row>
    <row r="68" spans="1:37" x14ac:dyDescent="0.3">
      <c r="A68" s="65">
        <v>67</v>
      </c>
      <c r="B68" s="63">
        <v>46135</v>
      </c>
      <c r="C68" s="66" t="s">
        <v>282</v>
      </c>
      <c r="D68" s="66" t="s">
        <v>96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75"/>
      <c r="T68" s="67"/>
      <c r="U68" s="67"/>
      <c r="V68" s="67"/>
      <c r="W68" s="67"/>
      <c r="X68" s="67"/>
      <c r="Y68" s="76"/>
      <c r="Z68" s="67"/>
      <c r="AA68" s="67"/>
      <c r="AB68" s="67"/>
      <c r="AC68" s="67"/>
      <c r="AD68" s="67"/>
      <c r="AE68" s="67"/>
      <c r="AF68" s="75"/>
      <c r="AG68" s="67"/>
      <c r="AH68" s="67"/>
      <c r="AI68" s="67"/>
      <c r="AJ68" s="62"/>
      <c r="AK68" s="62"/>
    </row>
    <row r="69" spans="1:37" x14ac:dyDescent="0.3">
      <c r="A69" s="65">
        <v>68</v>
      </c>
      <c r="B69" s="63">
        <v>46137</v>
      </c>
      <c r="C69" s="66" t="s">
        <v>283</v>
      </c>
      <c r="D69" s="66" t="s">
        <v>64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75"/>
      <c r="T69" s="67"/>
      <c r="U69" s="67"/>
      <c r="V69" s="67"/>
      <c r="W69" s="67"/>
      <c r="X69" s="67"/>
      <c r="Y69" s="76"/>
      <c r="Z69" s="67"/>
      <c r="AA69" s="67"/>
      <c r="AB69" s="67"/>
      <c r="AC69" s="67"/>
      <c r="AD69" s="67"/>
      <c r="AE69" s="67"/>
      <c r="AF69" s="75"/>
      <c r="AG69" s="67"/>
      <c r="AH69" s="67"/>
      <c r="AI69" s="67"/>
      <c r="AJ69" s="62"/>
      <c r="AK69" s="62"/>
    </row>
    <row r="70" spans="1:37" x14ac:dyDescent="0.3">
      <c r="A70" s="65">
        <v>69</v>
      </c>
      <c r="B70" s="63">
        <v>46139</v>
      </c>
      <c r="C70" s="66" t="s">
        <v>284</v>
      </c>
      <c r="D70" s="66" t="s">
        <v>98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75"/>
      <c r="T70" s="67"/>
      <c r="U70" s="67"/>
      <c r="V70" s="67"/>
      <c r="W70" s="67"/>
      <c r="X70" s="67"/>
      <c r="Y70" s="76"/>
      <c r="Z70" s="67"/>
      <c r="AA70" s="67"/>
      <c r="AB70" s="67"/>
      <c r="AC70" s="67"/>
      <c r="AD70" s="67"/>
      <c r="AE70" s="67"/>
      <c r="AF70" s="75"/>
      <c r="AG70" s="67"/>
      <c r="AH70" s="69"/>
      <c r="AI70" s="67"/>
      <c r="AJ70" s="62"/>
      <c r="AK70" s="62"/>
    </row>
    <row r="71" spans="1:37" x14ac:dyDescent="0.3">
      <c r="A71" s="65">
        <v>70</v>
      </c>
      <c r="B71" s="63">
        <v>46143</v>
      </c>
      <c r="C71" s="66" t="s">
        <v>207</v>
      </c>
      <c r="D71" s="66" t="s">
        <v>127</v>
      </c>
      <c r="E71" s="69"/>
      <c r="F71" s="92" t="str">
        <f>VLOOKUP(C71,'All ecxept A grades - 13 days'!C70:F264,4,0)</f>
        <v>Digi_Festival</v>
      </c>
      <c r="G71" s="92" t="s">
        <v>358</v>
      </c>
      <c r="H71" s="92" t="s">
        <v>358</v>
      </c>
      <c r="I71" s="96"/>
      <c r="J71" s="92" t="s">
        <v>358</v>
      </c>
      <c r="K71" s="96"/>
      <c r="L71" s="67"/>
      <c r="M71" s="92" t="s">
        <v>357</v>
      </c>
      <c r="N71" s="92" t="s">
        <v>358</v>
      </c>
      <c r="O71" s="69"/>
      <c r="P71" s="92" t="s">
        <v>358</v>
      </c>
      <c r="Q71" s="69"/>
      <c r="R71" s="67"/>
      <c r="S71" s="92" t="s">
        <v>357</v>
      </c>
      <c r="T71" s="75"/>
      <c r="U71" s="96"/>
      <c r="V71" s="92" t="s">
        <v>357</v>
      </c>
      <c r="W71" s="75"/>
      <c r="X71" s="92" t="s">
        <v>357</v>
      </c>
      <c r="Y71" s="92" t="s">
        <v>358</v>
      </c>
      <c r="Z71" s="92" t="s">
        <v>358</v>
      </c>
      <c r="AA71" s="67"/>
      <c r="AB71" s="92" t="s">
        <v>358</v>
      </c>
      <c r="AC71" s="92" t="str">
        <f>VLOOKUP(B71,'All ecxept A grades - 13 days'!B70:AC263,28,0)</f>
        <v>Digi_National</v>
      </c>
      <c r="AD71" s="92" t="s">
        <v>357</v>
      </c>
      <c r="AE71" s="92" t="s">
        <v>357</v>
      </c>
      <c r="AF71" s="92" t="s">
        <v>357</v>
      </c>
      <c r="AG71" s="92" t="s">
        <v>357</v>
      </c>
      <c r="AH71" s="69"/>
      <c r="AI71" s="92" t="s">
        <v>357</v>
      </c>
      <c r="AJ71" s="94" t="s">
        <v>358</v>
      </c>
      <c r="AK71" s="92" t="s">
        <v>357</v>
      </c>
    </row>
    <row r="72" spans="1:37" x14ac:dyDescent="0.3">
      <c r="A72" s="65">
        <v>71</v>
      </c>
      <c r="B72" s="63">
        <v>46149</v>
      </c>
      <c r="C72" s="66" t="s">
        <v>203</v>
      </c>
      <c r="D72" s="66" t="s">
        <v>96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75"/>
      <c r="T72" s="67"/>
      <c r="U72" s="67"/>
      <c r="V72" s="67"/>
      <c r="W72" s="67"/>
      <c r="X72" s="67"/>
      <c r="Y72" s="76"/>
      <c r="Z72" s="67"/>
      <c r="AA72" s="67"/>
      <c r="AB72" s="67"/>
      <c r="AC72" s="67"/>
      <c r="AD72" s="67"/>
      <c r="AE72" s="67"/>
      <c r="AF72" s="75"/>
      <c r="AG72" s="67"/>
      <c r="AH72" s="67"/>
      <c r="AI72" s="67"/>
      <c r="AJ72" s="62"/>
      <c r="AK72" s="62"/>
    </row>
    <row r="73" spans="1:37" x14ac:dyDescent="0.3">
      <c r="A73" s="65">
        <v>72</v>
      </c>
      <c r="B73" s="63">
        <v>46150</v>
      </c>
      <c r="C73" s="66" t="s">
        <v>183</v>
      </c>
      <c r="D73" s="66" t="s">
        <v>127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75"/>
      <c r="T73" s="67"/>
      <c r="U73" s="67"/>
      <c r="V73" s="67"/>
      <c r="W73" s="67"/>
      <c r="X73" s="67"/>
      <c r="Y73" s="76"/>
      <c r="Z73" s="67"/>
      <c r="AA73" s="67"/>
      <c r="AB73" s="67"/>
      <c r="AC73" s="67"/>
      <c r="AD73" s="67"/>
      <c r="AE73" s="67"/>
      <c r="AF73" s="75"/>
      <c r="AG73" s="67"/>
      <c r="AH73" s="67"/>
      <c r="AI73" s="67"/>
      <c r="AJ73" s="62"/>
      <c r="AK73" s="62"/>
    </row>
    <row r="74" spans="1:37" x14ac:dyDescent="0.3">
      <c r="A74" s="65">
        <v>73</v>
      </c>
      <c r="B74" s="63">
        <v>46151</v>
      </c>
      <c r="C74" s="66" t="s">
        <v>183</v>
      </c>
      <c r="D74" s="66" t="s">
        <v>64</v>
      </c>
      <c r="E74" s="67"/>
      <c r="F74" s="67"/>
      <c r="G74" s="67"/>
      <c r="H74" s="69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75"/>
      <c r="T74" s="67"/>
      <c r="U74" s="67"/>
      <c r="V74" s="67"/>
      <c r="W74" s="67"/>
      <c r="X74" s="67"/>
      <c r="Y74" s="76"/>
      <c r="Z74" s="67"/>
      <c r="AA74" s="67"/>
      <c r="AB74" s="67"/>
      <c r="AC74" s="67"/>
      <c r="AD74" s="67"/>
      <c r="AE74" s="67"/>
      <c r="AF74" s="75"/>
      <c r="AG74" s="67"/>
      <c r="AH74" s="67"/>
      <c r="AI74" s="67"/>
      <c r="AJ74" s="62"/>
      <c r="AK74" s="62"/>
    </row>
    <row r="75" spans="1:37" x14ac:dyDescent="0.3">
      <c r="A75" s="65">
        <v>74</v>
      </c>
      <c r="B75" s="63">
        <v>46158</v>
      </c>
      <c r="C75" s="66" t="s">
        <v>196</v>
      </c>
      <c r="D75" s="66" t="s">
        <v>64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75"/>
      <c r="T75" s="67"/>
      <c r="U75" s="67"/>
      <c r="V75" s="67"/>
      <c r="W75" s="67"/>
      <c r="X75" s="67"/>
      <c r="Y75" s="76"/>
      <c r="Z75" s="67"/>
      <c r="AA75" s="67"/>
      <c r="AB75" s="67"/>
      <c r="AC75" s="67"/>
      <c r="AD75" s="67"/>
      <c r="AE75" s="67"/>
      <c r="AF75" s="75"/>
      <c r="AG75" s="67"/>
      <c r="AH75" s="67"/>
      <c r="AI75" s="67"/>
      <c r="AJ75" s="62"/>
      <c r="AK75" s="62"/>
    </row>
    <row r="76" spans="1:37" x14ac:dyDescent="0.3">
      <c r="A76" s="65">
        <v>75</v>
      </c>
      <c r="B76" s="63">
        <v>46164</v>
      </c>
      <c r="C76" s="66" t="s">
        <v>332</v>
      </c>
      <c r="D76" s="66" t="s">
        <v>127</v>
      </c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75"/>
      <c r="T76" s="67"/>
      <c r="U76" s="67"/>
      <c r="V76" s="67"/>
      <c r="W76" s="67"/>
      <c r="X76" s="67"/>
      <c r="Y76" s="76"/>
      <c r="Z76" s="67"/>
      <c r="AA76" s="67"/>
      <c r="AB76" s="67"/>
      <c r="AC76" s="67"/>
      <c r="AD76" s="67"/>
      <c r="AE76" s="67"/>
      <c r="AF76" s="75"/>
      <c r="AG76" s="67"/>
      <c r="AH76" s="67"/>
      <c r="AI76" s="67"/>
      <c r="AJ76" s="67"/>
      <c r="AK76" s="62"/>
    </row>
    <row r="77" spans="1:37" x14ac:dyDescent="0.3">
      <c r="A77" s="65">
        <v>76</v>
      </c>
      <c r="B77" s="63">
        <v>46169</v>
      </c>
      <c r="C77" s="66" t="s">
        <v>193</v>
      </c>
      <c r="D77" s="66" t="s">
        <v>97</v>
      </c>
      <c r="E77" s="92" t="str">
        <f>VLOOKUP(B77,'All ecxept A grades - 13 days'!B76:E269,4,0)</f>
        <v>Digi_Festival</v>
      </c>
      <c r="F77" s="92" t="str">
        <f>VLOOKUP(C77,'All ecxept A grades - 13 days'!C76:F270,4,0)</f>
        <v>Digi_Festival</v>
      </c>
      <c r="G77" s="96"/>
      <c r="H77" s="92" t="s">
        <v>358</v>
      </c>
      <c r="I77" s="92" t="s">
        <v>358</v>
      </c>
      <c r="J77" s="92" t="s">
        <v>358</v>
      </c>
      <c r="K77" s="92" t="s">
        <v>358</v>
      </c>
      <c r="L77" s="67"/>
      <c r="M77" s="92" t="s">
        <v>358</v>
      </c>
      <c r="N77" s="67"/>
      <c r="O77" s="67"/>
      <c r="P77" s="92" t="s">
        <v>358</v>
      </c>
      <c r="Q77" s="67"/>
      <c r="S77" s="75"/>
      <c r="T77" s="67"/>
      <c r="U77" s="92" t="s">
        <v>358</v>
      </c>
      <c r="V77" s="75"/>
      <c r="AA77" s="67"/>
      <c r="AB77" s="96"/>
      <c r="AC77" s="67"/>
      <c r="AD77" s="67"/>
      <c r="AE77" s="67"/>
      <c r="AF77" s="92" t="s">
        <v>358</v>
      </c>
      <c r="AG77" s="67"/>
      <c r="AH77" s="69"/>
      <c r="AI77" s="67"/>
      <c r="AJ77" s="62"/>
      <c r="AK77" s="62"/>
    </row>
    <row r="78" spans="1:37" x14ac:dyDescent="0.3">
      <c r="A78" s="65">
        <v>77</v>
      </c>
      <c r="B78" s="63">
        <v>46170</v>
      </c>
      <c r="C78" s="66" t="s">
        <v>138</v>
      </c>
      <c r="D78" s="66" t="s">
        <v>96</v>
      </c>
      <c r="E78" s="67"/>
      <c r="F78" s="67"/>
      <c r="G78" s="67"/>
      <c r="H78" s="67"/>
      <c r="I78" s="67"/>
      <c r="J78" s="67"/>
      <c r="K78" s="67"/>
      <c r="L78" s="92" t="s">
        <v>358</v>
      </c>
      <c r="M78" s="67"/>
      <c r="N78" s="67"/>
      <c r="O78" s="67"/>
      <c r="P78" s="67"/>
      <c r="R78" s="67"/>
      <c r="S78" s="75"/>
      <c r="T78" s="67"/>
      <c r="U78" s="67"/>
      <c r="V78" s="67"/>
      <c r="W78" s="67"/>
      <c r="X78" s="67"/>
      <c r="Y78" s="76"/>
      <c r="Z78" s="67"/>
      <c r="AB78" s="67"/>
      <c r="AC78" s="67"/>
      <c r="AD78" s="69"/>
      <c r="AE78" s="92" t="s">
        <v>358</v>
      </c>
      <c r="AF78" s="75"/>
      <c r="AG78" s="69"/>
      <c r="AH78" s="67"/>
      <c r="AI78" s="92" t="s">
        <v>358</v>
      </c>
      <c r="AJ78" s="62"/>
      <c r="AK78" s="62"/>
    </row>
    <row r="79" spans="1:37" ht="13" thickBot="1" x14ac:dyDescent="0.35">
      <c r="A79" s="65">
        <v>78</v>
      </c>
      <c r="B79" s="63">
        <v>46174</v>
      </c>
      <c r="C79" s="66" t="s">
        <v>298</v>
      </c>
      <c r="D79" s="66" t="s">
        <v>98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75"/>
      <c r="T79" s="67"/>
      <c r="U79" s="67"/>
      <c r="V79" s="67"/>
      <c r="W79" s="67"/>
      <c r="X79" s="67"/>
      <c r="Y79" s="76"/>
      <c r="Z79" s="67"/>
      <c r="AA79" s="67"/>
      <c r="AB79" s="67"/>
      <c r="AC79" s="67"/>
      <c r="AD79" s="67"/>
      <c r="AE79" s="67"/>
      <c r="AF79" s="75"/>
      <c r="AG79" s="67"/>
      <c r="AH79" s="67"/>
      <c r="AI79" s="67"/>
      <c r="AJ79" s="62"/>
      <c r="AK79" s="62"/>
    </row>
    <row r="80" spans="1:37" ht="13" thickBot="1" x14ac:dyDescent="0.35">
      <c r="A80" s="65">
        <v>79</v>
      </c>
      <c r="B80" s="63">
        <v>46176</v>
      </c>
      <c r="C80" s="95" t="s">
        <v>363</v>
      </c>
      <c r="D80" s="66" t="s">
        <v>97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75"/>
      <c r="T80" s="67"/>
      <c r="U80" s="67"/>
      <c r="V80" s="67"/>
      <c r="W80" s="67"/>
      <c r="X80" s="67"/>
      <c r="Y80" s="76"/>
      <c r="Z80" s="67"/>
      <c r="AA80" s="67"/>
      <c r="AB80" s="67"/>
      <c r="AC80" s="67"/>
      <c r="AD80" s="67"/>
      <c r="AE80" s="67"/>
      <c r="AF80" s="75"/>
      <c r="AG80" s="67"/>
      <c r="AH80" s="67"/>
      <c r="AI80" s="67"/>
      <c r="AJ80" s="62"/>
      <c r="AK80" s="62"/>
    </row>
    <row r="81" spans="1:37" x14ac:dyDescent="0.3">
      <c r="A81" s="65">
        <v>80</v>
      </c>
      <c r="B81" s="63">
        <v>46177</v>
      </c>
      <c r="C81" s="66" t="s">
        <v>307</v>
      </c>
      <c r="D81" s="66" t="s">
        <v>96</v>
      </c>
      <c r="E81" s="67"/>
      <c r="F81" s="67"/>
      <c r="G81" s="67"/>
      <c r="H81" s="67"/>
      <c r="I81" s="67"/>
      <c r="J81" s="92" t="s">
        <v>358</v>
      </c>
      <c r="K81" s="67"/>
      <c r="L81" s="67"/>
      <c r="M81" s="67"/>
      <c r="N81" s="67"/>
      <c r="O81" s="67"/>
      <c r="P81" s="67"/>
      <c r="Q81" s="67"/>
      <c r="R81" s="67"/>
      <c r="S81" s="75"/>
      <c r="T81" s="67"/>
      <c r="U81" s="67"/>
      <c r="V81" s="67"/>
      <c r="W81" s="67"/>
      <c r="X81" s="67"/>
      <c r="Y81" s="76"/>
      <c r="Z81" s="67"/>
      <c r="AA81" s="67"/>
      <c r="AB81" s="67"/>
      <c r="AC81" s="67"/>
      <c r="AD81" s="67"/>
      <c r="AE81" s="67"/>
      <c r="AF81" s="75"/>
      <c r="AG81" s="67"/>
      <c r="AH81" s="67"/>
      <c r="AI81" s="67"/>
      <c r="AJ81" s="62"/>
      <c r="AK81" s="62"/>
    </row>
    <row r="82" spans="1:37" x14ac:dyDescent="0.3">
      <c r="A82" s="65">
        <v>81</v>
      </c>
      <c r="B82" s="63">
        <v>46188</v>
      </c>
      <c r="C82" s="66" t="s">
        <v>164</v>
      </c>
      <c r="D82" s="66" t="s">
        <v>98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75"/>
      <c r="T82" s="67"/>
      <c r="U82" s="67"/>
      <c r="V82" s="67"/>
      <c r="W82" s="67"/>
      <c r="X82" s="67"/>
      <c r="Y82" s="75"/>
      <c r="Z82" s="67"/>
      <c r="AA82" s="67"/>
      <c r="AB82" s="67"/>
      <c r="AC82" s="67"/>
      <c r="AD82" s="67"/>
      <c r="AE82" s="67"/>
      <c r="AF82" s="75"/>
      <c r="AG82" s="67"/>
      <c r="AH82" s="67"/>
      <c r="AI82" s="67"/>
      <c r="AJ82" s="62"/>
      <c r="AK82" s="62"/>
    </row>
    <row r="83" spans="1:37" x14ac:dyDescent="0.3">
      <c r="A83" s="65">
        <v>82</v>
      </c>
      <c r="B83" s="63">
        <v>46189</v>
      </c>
      <c r="C83" s="66" t="s">
        <v>364</v>
      </c>
      <c r="D83" s="66" t="s">
        <v>101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75"/>
      <c r="T83" s="67"/>
      <c r="U83" s="67"/>
      <c r="V83" s="67"/>
      <c r="W83" s="67"/>
      <c r="X83" s="67"/>
      <c r="Y83" s="75"/>
      <c r="Z83" s="67"/>
      <c r="AA83" s="67"/>
      <c r="AB83" s="67"/>
      <c r="AC83" s="67"/>
      <c r="AD83" s="67"/>
      <c r="AE83" s="67"/>
      <c r="AF83" s="75"/>
      <c r="AG83" s="67"/>
      <c r="AH83" s="67"/>
      <c r="AI83" s="67"/>
      <c r="AJ83" s="62"/>
      <c r="AK83" s="62"/>
    </row>
    <row r="84" spans="1:37" x14ac:dyDescent="0.3">
      <c r="A84" s="65">
        <v>83</v>
      </c>
      <c r="B84" s="63">
        <v>46190</v>
      </c>
      <c r="C84" s="66" t="s">
        <v>253</v>
      </c>
      <c r="D84" s="66" t="s">
        <v>97</v>
      </c>
      <c r="E84" s="67"/>
      <c r="F84" s="67"/>
      <c r="G84" s="67"/>
      <c r="H84" s="69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75"/>
      <c r="T84" s="67"/>
      <c r="U84" s="67"/>
      <c r="V84" s="67"/>
      <c r="W84" s="67"/>
      <c r="X84" s="67"/>
      <c r="Y84" s="76"/>
      <c r="Z84" s="67"/>
      <c r="AA84" s="67"/>
      <c r="AB84" s="67"/>
      <c r="AC84" s="67"/>
      <c r="AD84" s="67"/>
      <c r="AE84" s="67"/>
      <c r="AF84" s="75"/>
      <c r="AG84" s="67"/>
      <c r="AH84" s="67"/>
      <c r="AI84" s="67"/>
      <c r="AJ84" s="62"/>
      <c r="AK84" s="62"/>
    </row>
    <row r="85" spans="1:37" x14ac:dyDescent="0.3">
      <c r="A85" s="65">
        <v>84</v>
      </c>
      <c r="B85" s="63">
        <v>46191</v>
      </c>
      <c r="C85" s="66" t="s">
        <v>285</v>
      </c>
      <c r="D85" s="66" t="s">
        <v>96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75"/>
      <c r="T85" s="67"/>
      <c r="U85" s="67"/>
      <c r="V85" s="67"/>
      <c r="W85" s="67"/>
      <c r="X85" s="67"/>
      <c r="Y85" s="76"/>
      <c r="Z85" s="67"/>
      <c r="AA85" s="67"/>
      <c r="AB85" s="67"/>
      <c r="AC85" s="67"/>
      <c r="AD85" s="67"/>
      <c r="AE85" s="67"/>
      <c r="AF85" s="75"/>
      <c r="AG85" s="67"/>
      <c r="AH85" s="67"/>
      <c r="AI85" s="67"/>
      <c r="AJ85" s="62"/>
      <c r="AK85" s="62"/>
    </row>
    <row r="86" spans="1:37" x14ac:dyDescent="0.3">
      <c r="A86" s="65">
        <v>85</v>
      </c>
      <c r="B86" s="63">
        <v>46195</v>
      </c>
      <c r="C86" s="66" t="s">
        <v>303</v>
      </c>
      <c r="D86" s="66" t="s">
        <v>98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75"/>
      <c r="T86" s="67"/>
      <c r="U86" s="67"/>
      <c r="V86" s="67"/>
      <c r="W86" s="67"/>
      <c r="X86" s="75"/>
      <c r="Y86" s="76"/>
      <c r="Z86" s="67"/>
      <c r="AA86" s="67"/>
      <c r="AB86" s="67"/>
      <c r="AC86" s="67"/>
      <c r="AD86" s="67"/>
      <c r="AE86" s="67"/>
      <c r="AF86" s="75"/>
      <c r="AG86" s="67"/>
      <c r="AH86" s="67"/>
      <c r="AI86" s="67"/>
      <c r="AJ86" s="62"/>
      <c r="AK86" s="62"/>
    </row>
    <row r="87" spans="1:37" x14ac:dyDescent="0.3">
      <c r="A87" s="65">
        <v>86</v>
      </c>
      <c r="B87" s="63">
        <v>46196</v>
      </c>
      <c r="C87" s="66" t="s">
        <v>254</v>
      </c>
      <c r="D87" s="66" t="s">
        <v>101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75"/>
      <c r="T87" s="67"/>
      <c r="U87" s="67"/>
      <c r="V87" s="67"/>
      <c r="W87" s="67"/>
      <c r="X87" s="67"/>
      <c r="Y87" s="76"/>
      <c r="Z87" s="67"/>
      <c r="AA87" s="67"/>
      <c r="AB87" s="67"/>
      <c r="AC87" s="67"/>
      <c r="AD87" s="67"/>
      <c r="AE87" s="67"/>
      <c r="AF87" s="75"/>
      <c r="AG87" s="67"/>
      <c r="AH87" s="67"/>
      <c r="AI87" s="67"/>
      <c r="AJ87" s="62"/>
      <c r="AK87" s="62"/>
    </row>
    <row r="88" spans="1:37" x14ac:dyDescent="0.3">
      <c r="A88" s="65">
        <v>87</v>
      </c>
      <c r="B88" s="63">
        <v>46197</v>
      </c>
      <c r="C88" s="66" t="s">
        <v>255</v>
      </c>
      <c r="D88" s="66" t="s">
        <v>97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75"/>
      <c r="T88" s="67"/>
      <c r="U88" s="67"/>
      <c r="V88" s="67"/>
      <c r="W88" s="67"/>
      <c r="X88" s="67"/>
      <c r="Y88" s="76"/>
      <c r="Z88" s="67"/>
      <c r="AA88" s="67"/>
      <c r="AB88" s="67"/>
      <c r="AC88" s="67"/>
      <c r="AD88" s="67"/>
      <c r="AE88" s="67"/>
      <c r="AF88" s="75"/>
      <c r="AG88" s="67"/>
      <c r="AH88" s="67"/>
      <c r="AI88" s="67"/>
      <c r="AJ88" s="62"/>
      <c r="AK88" s="62"/>
    </row>
    <row r="89" spans="1:37" x14ac:dyDescent="0.3">
      <c r="A89" s="65">
        <v>88</v>
      </c>
      <c r="B89" s="63">
        <v>46198</v>
      </c>
      <c r="C89" s="66" t="s">
        <v>122</v>
      </c>
      <c r="D89" s="66" t="s">
        <v>96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75"/>
      <c r="T89" s="67"/>
      <c r="U89" s="67"/>
      <c r="V89" s="67"/>
      <c r="W89" s="67"/>
      <c r="X89" s="67"/>
      <c r="Y89" s="76"/>
      <c r="Z89" s="67"/>
      <c r="AA89" s="67"/>
      <c r="AB89" s="67"/>
      <c r="AC89" s="67"/>
      <c r="AD89" s="67"/>
      <c r="AE89" s="67"/>
      <c r="AF89" s="75"/>
      <c r="AG89" s="67"/>
      <c r="AH89" s="67"/>
      <c r="AI89" s="67"/>
      <c r="AJ89" s="62"/>
      <c r="AK89" s="62"/>
    </row>
    <row r="90" spans="1:37" x14ac:dyDescent="0.3">
      <c r="A90" s="65">
        <v>89</v>
      </c>
      <c r="B90" s="63">
        <v>46199</v>
      </c>
      <c r="C90" s="66" t="s">
        <v>122</v>
      </c>
      <c r="D90" s="66" t="s">
        <v>127</v>
      </c>
      <c r="E90" s="92" t="str">
        <f>VLOOKUP(B90,'All ecxept A grades - 13 days'!B89:E280,4,0)</f>
        <v>Digi_Festival</v>
      </c>
      <c r="F90" s="67"/>
      <c r="G90" s="67"/>
      <c r="H90" s="69"/>
      <c r="I90" s="67"/>
      <c r="J90" s="67"/>
      <c r="K90" s="67"/>
      <c r="L90" s="67"/>
      <c r="M90" s="67"/>
      <c r="N90" s="67"/>
      <c r="O90" s="92" t="s">
        <v>358</v>
      </c>
      <c r="P90" s="67"/>
      <c r="Q90" s="92" t="s">
        <v>358</v>
      </c>
      <c r="R90" s="67"/>
      <c r="S90" s="75"/>
      <c r="T90" s="92" t="s">
        <v>358</v>
      </c>
      <c r="U90" s="67"/>
      <c r="V90" s="67"/>
      <c r="W90" s="67"/>
      <c r="X90" s="67"/>
      <c r="Y90" s="75"/>
      <c r="Z90" s="67"/>
      <c r="AA90" s="67"/>
      <c r="AB90" s="67"/>
      <c r="AC90" s="67"/>
      <c r="AD90" s="69"/>
      <c r="AE90" s="92" t="s">
        <v>358</v>
      </c>
      <c r="AF90" s="92" t="s">
        <v>358</v>
      </c>
      <c r="AG90" s="75"/>
      <c r="AH90" s="67"/>
      <c r="AI90" s="67"/>
      <c r="AJ90" s="94" t="s">
        <v>358</v>
      </c>
      <c r="AK90" s="94" t="s">
        <v>358</v>
      </c>
    </row>
    <row r="91" spans="1:37" x14ac:dyDescent="0.3">
      <c r="A91" s="65">
        <v>90</v>
      </c>
      <c r="B91" s="63">
        <v>46200</v>
      </c>
      <c r="C91" s="66" t="s">
        <v>122</v>
      </c>
      <c r="D91" s="66" t="s">
        <v>64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75"/>
      <c r="T91" s="67"/>
      <c r="U91" s="67"/>
      <c r="V91" s="67"/>
      <c r="W91" s="67"/>
      <c r="X91" s="67"/>
      <c r="Y91" s="76"/>
      <c r="Z91" s="67"/>
      <c r="AA91" s="67"/>
      <c r="AB91" s="67"/>
      <c r="AC91" s="67"/>
      <c r="AD91" s="67"/>
      <c r="AE91" s="67"/>
      <c r="AF91" s="75"/>
      <c r="AG91" s="67"/>
      <c r="AH91" s="67"/>
      <c r="AI91" s="67"/>
      <c r="AJ91" s="62"/>
      <c r="AK91" s="62"/>
    </row>
    <row r="92" spans="1:37" x14ac:dyDescent="0.3">
      <c r="A92" s="65">
        <v>91</v>
      </c>
      <c r="B92" s="63">
        <v>46202</v>
      </c>
      <c r="C92" s="66" t="s">
        <v>173</v>
      </c>
      <c r="D92" s="66" t="s">
        <v>98</v>
      </c>
      <c r="E92" s="67"/>
      <c r="F92" s="67"/>
      <c r="G92" s="67"/>
      <c r="H92" s="69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75"/>
      <c r="T92" s="67"/>
      <c r="U92" s="67"/>
      <c r="V92" s="67"/>
      <c r="W92" s="67"/>
      <c r="X92" s="67"/>
      <c r="Y92" s="76"/>
      <c r="Z92" s="67"/>
      <c r="AA92" s="67"/>
      <c r="AB92" s="67"/>
      <c r="AC92" s="67"/>
      <c r="AD92" s="67"/>
      <c r="AE92" s="67"/>
      <c r="AF92" s="75"/>
      <c r="AG92" s="67"/>
      <c r="AH92" s="67"/>
      <c r="AI92" s="67"/>
      <c r="AJ92" s="62"/>
      <c r="AK92" s="62"/>
    </row>
    <row r="93" spans="1:37" x14ac:dyDescent="0.3">
      <c r="A93" s="65">
        <v>92</v>
      </c>
      <c r="B93" s="63">
        <v>46203</v>
      </c>
      <c r="C93" s="66" t="s">
        <v>165</v>
      </c>
      <c r="D93" s="66" t="s">
        <v>101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75"/>
      <c r="T93" s="67"/>
      <c r="U93" s="67"/>
      <c r="V93" s="67"/>
      <c r="W93" s="67"/>
      <c r="X93" s="67"/>
      <c r="Y93" s="75"/>
      <c r="Z93" s="67"/>
      <c r="AA93" s="67"/>
      <c r="AB93" s="67"/>
      <c r="AC93" s="67"/>
      <c r="AD93" s="67"/>
      <c r="AE93" s="67"/>
      <c r="AF93" s="75"/>
      <c r="AG93" s="67"/>
      <c r="AH93" s="67"/>
      <c r="AI93" s="67"/>
      <c r="AJ93" s="62"/>
      <c r="AK93" s="62"/>
    </row>
    <row r="94" spans="1:37" x14ac:dyDescent="0.3">
      <c r="A94" s="65">
        <v>93</v>
      </c>
      <c r="B94" s="63">
        <v>46204</v>
      </c>
      <c r="C94" s="66" t="s">
        <v>175</v>
      </c>
      <c r="D94" s="66" t="s">
        <v>97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75"/>
      <c r="T94" s="67"/>
      <c r="U94" s="67"/>
      <c r="V94" s="67"/>
      <c r="W94" s="67"/>
      <c r="X94" s="67"/>
      <c r="Y94" s="76"/>
      <c r="Z94" s="67"/>
      <c r="AA94" s="67"/>
      <c r="AB94" s="67"/>
      <c r="AC94" s="67"/>
      <c r="AD94" s="67"/>
      <c r="AE94" s="67"/>
      <c r="AF94" s="75"/>
      <c r="AG94" s="67"/>
      <c r="AH94" s="67"/>
      <c r="AI94" s="67"/>
      <c r="AJ94" s="62"/>
      <c r="AK94" s="62"/>
    </row>
    <row r="95" spans="1:37" x14ac:dyDescent="0.3">
      <c r="A95" s="65">
        <v>94</v>
      </c>
      <c r="B95" s="63">
        <v>46208</v>
      </c>
      <c r="C95" s="66" t="s">
        <v>175</v>
      </c>
      <c r="D95" s="66" t="s">
        <v>63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75"/>
      <c r="T95" s="67"/>
      <c r="U95" s="67"/>
      <c r="V95" s="67"/>
      <c r="W95" s="67"/>
      <c r="X95" s="67"/>
      <c r="Y95" s="76"/>
      <c r="Z95" s="67"/>
      <c r="AA95" s="67"/>
      <c r="AB95" s="67"/>
      <c r="AC95" s="67"/>
      <c r="AD95" s="67"/>
      <c r="AE95" s="67"/>
      <c r="AF95" s="75"/>
      <c r="AG95" s="67"/>
      <c r="AH95" s="67"/>
      <c r="AI95" s="67"/>
      <c r="AJ95" s="62"/>
      <c r="AK95" s="62"/>
    </row>
    <row r="96" spans="1:37" x14ac:dyDescent="0.3">
      <c r="A96" s="65">
        <v>95</v>
      </c>
      <c r="B96" s="63">
        <v>46209</v>
      </c>
      <c r="C96" s="66" t="s">
        <v>166</v>
      </c>
      <c r="D96" s="66" t="s">
        <v>98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75"/>
      <c r="T96" s="67"/>
      <c r="U96" s="67"/>
      <c r="V96" s="67"/>
      <c r="W96" s="67"/>
      <c r="X96" s="67"/>
      <c r="Y96" s="75"/>
      <c r="Z96" s="67"/>
      <c r="AA96" s="67"/>
      <c r="AB96" s="67"/>
      <c r="AC96" s="67"/>
      <c r="AD96" s="67"/>
      <c r="AE96" s="67"/>
      <c r="AF96" s="75"/>
      <c r="AG96" s="67"/>
      <c r="AH96" s="67"/>
      <c r="AI96" s="67"/>
      <c r="AJ96" s="62"/>
      <c r="AK96" s="62"/>
    </row>
    <row r="97" spans="1:37" x14ac:dyDescent="0.3">
      <c r="A97" s="65">
        <v>96</v>
      </c>
      <c r="B97" s="63">
        <v>46212</v>
      </c>
      <c r="C97" s="66" t="s">
        <v>155</v>
      </c>
      <c r="D97" s="66" t="s">
        <v>96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75"/>
      <c r="T97" s="67"/>
      <c r="U97" s="67"/>
      <c r="V97" s="67"/>
      <c r="W97" s="67"/>
      <c r="X97" s="75"/>
      <c r="Y97" s="76"/>
      <c r="Z97" s="67"/>
      <c r="AA97" s="67"/>
      <c r="AB97" s="67"/>
      <c r="AC97" s="67"/>
      <c r="AD97" s="67"/>
      <c r="AE97" s="67"/>
      <c r="AF97" s="75"/>
      <c r="AG97" s="67"/>
      <c r="AH97" s="67"/>
      <c r="AI97" s="67"/>
      <c r="AJ97" s="62"/>
      <c r="AK97" s="62"/>
    </row>
    <row r="98" spans="1:37" x14ac:dyDescent="0.3">
      <c r="A98" s="65">
        <v>97</v>
      </c>
      <c r="B98" s="63">
        <v>46216</v>
      </c>
      <c r="C98" s="66" t="s">
        <v>359</v>
      </c>
      <c r="D98" s="66" t="s">
        <v>98</v>
      </c>
      <c r="E98" s="67"/>
      <c r="F98" s="67"/>
      <c r="G98" s="67"/>
      <c r="H98" s="67"/>
      <c r="I98" s="67"/>
      <c r="J98" s="92" t="s">
        <v>357</v>
      </c>
      <c r="K98" s="67"/>
      <c r="L98" s="67"/>
      <c r="M98" s="67"/>
      <c r="N98" s="67"/>
      <c r="O98" s="67"/>
      <c r="P98" s="67"/>
      <c r="Q98" s="67"/>
      <c r="R98" s="67"/>
      <c r="S98" s="75"/>
      <c r="T98" s="67"/>
      <c r="U98" s="67"/>
      <c r="V98" s="67"/>
      <c r="W98" s="67"/>
      <c r="X98" s="75"/>
      <c r="Y98" s="76"/>
      <c r="Z98" s="67"/>
      <c r="AA98" s="67"/>
      <c r="AB98" s="67"/>
      <c r="AC98" s="67"/>
      <c r="AD98" s="67"/>
      <c r="AE98" s="67"/>
      <c r="AF98" s="75"/>
      <c r="AG98" s="67"/>
      <c r="AH98" s="67"/>
      <c r="AI98" s="67"/>
      <c r="AJ98" s="62"/>
      <c r="AK98" s="62"/>
    </row>
    <row r="99" spans="1:37" x14ac:dyDescent="0.3">
      <c r="A99" s="65">
        <v>98</v>
      </c>
      <c r="B99" s="63">
        <v>46218</v>
      </c>
      <c r="C99" s="66" t="s">
        <v>334</v>
      </c>
      <c r="D99" s="66" t="s">
        <v>97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75"/>
      <c r="T99" s="67"/>
      <c r="U99" s="67"/>
      <c r="V99" s="67"/>
      <c r="W99" s="67"/>
      <c r="X99" s="75"/>
      <c r="Y99" s="76"/>
      <c r="Z99" s="67"/>
      <c r="AA99" s="67"/>
      <c r="AB99" s="67"/>
      <c r="AC99" s="67"/>
      <c r="AD99" s="67"/>
      <c r="AE99" s="67"/>
      <c r="AF99" s="75"/>
      <c r="AG99" s="67"/>
      <c r="AH99" s="67"/>
      <c r="AI99" s="67"/>
      <c r="AJ99" s="62"/>
      <c r="AK99" s="62"/>
    </row>
    <row r="100" spans="1:37" x14ac:dyDescent="0.3">
      <c r="A100" s="65">
        <v>99</v>
      </c>
      <c r="B100" s="63">
        <v>46219</v>
      </c>
      <c r="C100" s="66" t="s">
        <v>257</v>
      </c>
      <c r="D100" s="66" t="s">
        <v>96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92" t="s">
        <v>358</v>
      </c>
      <c r="T100" s="67"/>
      <c r="U100" s="67"/>
      <c r="V100" s="67"/>
      <c r="W100" s="69"/>
      <c r="X100" s="67"/>
      <c r="Y100" s="76"/>
      <c r="Z100" s="67"/>
      <c r="AA100" s="67"/>
      <c r="AB100" s="67"/>
      <c r="AC100" s="67"/>
      <c r="AD100" s="67"/>
      <c r="AE100" s="67"/>
      <c r="AF100" s="75"/>
      <c r="AG100" s="67"/>
      <c r="AH100" s="67"/>
      <c r="AI100" s="67"/>
      <c r="AJ100" s="62"/>
      <c r="AK100" s="62"/>
    </row>
    <row r="101" spans="1:37" x14ac:dyDescent="0.3">
      <c r="A101" s="65">
        <v>100</v>
      </c>
      <c r="B101" s="63">
        <v>46220</v>
      </c>
      <c r="C101" s="66" t="s">
        <v>156</v>
      </c>
      <c r="D101" s="66" t="s">
        <v>127</v>
      </c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75"/>
      <c r="T101" s="67"/>
      <c r="U101" s="67"/>
      <c r="V101" s="67"/>
      <c r="W101" s="67"/>
      <c r="X101" s="67"/>
      <c r="Y101" s="76"/>
      <c r="Z101" s="67"/>
      <c r="AA101" s="67"/>
      <c r="AB101" s="67"/>
      <c r="AC101" s="67"/>
      <c r="AD101" s="67"/>
      <c r="AE101" s="67"/>
      <c r="AF101" s="75"/>
      <c r="AG101" s="67"/>
      <c r="AH101" s="67"/>
      <c r="AI101" s="67"/>
      <c r="AJ101" s="62"/>
      <c r="AK101" s="62"/>
    </row>
    <row r="102" spans="1:37" x14ac:dyDescent="0.3">
      <c r="A102" s="65">
        <v>101</v>
      </c>
      <c r="B102" s="63">
        <v>46224</v>
      </c>
      <c r="C102" s="66" t="s">
        <v>335</v>
      </c>
      <c r="D102" s="66" t="s">
        <v>101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75"/>
      <c r="T102" s="67"/>
      <c r="U102" s="67"/>
      <c r="V102" s="67"/>
      <c r="W102" s="67"/>
      <c r="X102" s="67"/>
      <c r="Y102" s="76"/>
      <c r="Z102" s="67"/>
      <c r="AA102" s="67"/>
      <c r="AB102" s="67"/>
      <c r="AC102" s="67"/>
      <c r="AD102" s="67"/>
      <c r="AE102" s="67"/>
      <c r="AF102" s="75"/>
      <c r="AG102" s="67"/>
      <c r="AH102" s="67"/>
      <c r="AI102" s="67"/>
      <c r="AJ102" s="62"/>
      <c r="AK102" s="62"/>
    </row>
    <row r="103" spans="1:37" x14ac:dyDescent="0.3">
      <c r="A103" s="65">
        <v>102</v>
      </c>
      <c r="B103" s="63">
        <v>46226</v>
      </c>
      <c r="C103" s="66" t="s">
        <v>339</v>
      </c>
      <c r="D103" s="66" t="s">
        <v>96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75"/>
      <c r="T103" s="67"/>
      <c r="U103" s="67"/>
      <c r="V103" s="67"/>
      <c r="W103" s="67"/>
      <c r="X103" s="67"/>
      <c r="Y103" s="76"/>
      <c r="Z103" s="67"/>
      <c r="AA103" s="67"/>
      <c r="AB103" s="67"/>
      <c r="AC103" s="67"/>
      <c r="AD103" s="67"/>
      <c r="AE103" s="67"/>
      <c r="AF103" s="75"/>
      <c r="AG103" s="67"/>
      <c r="AH103" s="67"/>
      <c r="AI103" s="67"/>
      <c r="AJ103" s="62"/>
      <c r="AK103" s="62"/>
    </row>
    <row r="104" spans="1:37" x14ac:dyDescent="0.3">
      <c r="A104" s="65">
        <v>103</v>
      </c>
      <c r="B104" s="63">
        <v>46238</v>
      </c>
      <c r="C104" s="66" t="s">
        <v>286</v>
      </c>
      <c r="D104" s="66" t="s">
        <v>101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75"/>
      <c r="T104" s="67"/>
      <c r="U104" s="67"/>
      <c r="V104" s="67"/>
      <c r="W104" s="67"/>
      <c r="X104" s="67"/>
      <c r="Y104" s="76"/>
      <c r="Z104" s="67"/>
      <c r="AA104" s="67"/>
      <c r="AB104" s="67"/>
      <c r="AC104" s="67"/>
      <c r="AD104" s="67"/>
      <c r="AE104" s="67"/>
      <c r="AF104" s="75"/>
      <c r="AG104" s="67"/>
      <c r="AH104" s="67"/>
      <c r="AI104" s="67"/>
      <c r="AJ104" s="62"/>
      <c r="AK104" s="62"/>
    </row>
    <row r="105" spans="1:37" x14ac:dyDescent="0.3">
      <c r="A105" s="65">
        <v>104</v>
      </c>
      <c r="B105" s="63">
        <v>46243</v>
      </c>
      <c r="C105" s="66" t="s">
        <v>234</v>
      </c>
      <c r="D105" s="66" t="s">
        <v>63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75"/>
      <c r="T105" s="67"/>
      <c r="U105" s="67"/>
      <c r="V105" s="67"/>
      <c r="W105" s="67"/>
      <c r="X105" s="67"/>
      <c r="Y105" s="76"/>
      <c r="Z105" s="67"/>
      <c r="AA105" s="67"/>
      <c r="AB105" s="67"/>
      <c r="AC105" s="67"/>
      <c r="AD105" s="67"/>
      <c r="AE105" s="67"/>
      <c r="AF105" s="75"/>
      <c r="AG105" s="67"/>
      <c r="AH105" s="67"/>
      <c r="AI105" s="67"/>
      <c r="AJ105" s="62"/>
      <c r="AK105" s="62"/>
    </row>
    <row r="106" spans="1:37" x14ac:dyDescent="0.3">
      <c r="A106" s="65">
        <v>105</v>
      </c>
      <c r="B106" s="63">
        <v>46244</v>
      </c>
      <c r="C106" s="66" t="s">
        <v>368</v>
      </c>
      <c r="D106" s="66" t="s">
        <v>98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75"/>
      <c r="T106" s="67"/>
      <c r="U106" s="67"/>
      <c r="V106" s="67"/>
      <c r="W106" s="67"/>
      <c r="X106" s="67"/>
      <c r="Y106" s="76"/>
      <c r="Z106" s="67"/>
      <c r="AA106" s="67"/>
      <c r="AB106" s="67"/>
      <c r="AC106" s="67"/>
      <c r="AD106" s="67"/>
      <c r="AE106" s="67"/>
      <c r="AF106" s="75"/>
      <c r="AG106" s="67"/>
      <c r="AH106" s="67"/>
      <c r="AI106" s="67"/>
      <c r="AJ106" s="62"/>
      <c r="AK106" s="62"/>
    </row>
    <row r="107" spans="1:37" x14ac:dyDescent="0.3">
      <c r="A107" s="65">
        <v>106</v>
      </c>
      <c r="B107" s="63">
        <v>46246</v>
      </c>
      <c r="C107" s="66" t="s">
        <v>256</v>
      </c>
      <c r="D107" s="66" t="s">
        <v>97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75"/>
      <c r="T107" s="67"/>
      <c r="U107" s="67"/>
      <c r="V107" s="67"/>
      <c r="W107" s="67"/>
      <c r="X107" s="67"/>
      <c r="Y107" s="76"/>
      <c r="Z107" s="67"/>
      <c r="AA107" s="67"/>
      <c r="AB107" s="67"/>
      <c r="AC107" s="67"/>
      <c r="AD107" s="67"/>
      <c r="AE107" s="67"/>
      <c r="AF107" s="75"/>
      <c r="AG107" s="67"/>
      <c r="AH107" s="67"/>
      <c r="AI107" s="67"/>
      <c r="AJ107" s="62"/>
      <c r="AK107" s="62"/>
    </row>
    <row r="108" spans="1:37" x14ac:dyDescent="0.3">
      <c r="A108" s="65">
        <v>107</v>
      </c>
      <c r="B108" s="63">
        <v>46247</v>
      </c>
      <c r="C108" s="66" t="s">
        <v>343</v>
      </c>
      <c r="D108" s="66" t="s">
        <v>96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75"/>
      <c r="T108" s="67"/>
      <c r="U108" s="67"/>
      <c r="V108" s="67"/>
      <c r="W108" s="92" t="s">
        <v>358</v>
      </c>
      <c r="X108" s="67"/>
      <c r="Y108" s="76"/>
      <c r="Z108" s="67"/>
      <c r="AA108" s="67"/>
      <c r="AB108" s="67"/>
      <c r="AC108" s="67"/>
      <c r="AD108" s="67"/>
      <c r="AE108" s="67"/>
      <c r="AF108" s="75"/>
      <c r="AG108" s="67"/>
      <c r="AH108" s="67"/>
      <c r="AI108" s="67"/>
      <c r="AJ108" s="62"/>
      <c r="AK108" s="62"/>
    </row>
    <row r="109" spans="1:37" x14ac:dyDescent="0.3">
      <c r="A109" s="65">
        <v>108</v>
      </c>
      <c r="B109" s="63">
        <v>46248</v>
      </c>
      <c r="C109" s="66" t="s">
        <v>336</v>
      </c>
      <c r="D109" s="66" t="s">
        <v>127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75"/>
      <c r="T109" s="67"/>
      <c r="U109" s="67"/>
      <c r="V109" s="67"/>
      <c r="W109" s="67"/>
      <c r="X109" s="67"/>
      <c r="Y109" s="76"/>
      <c r="Z109" s="67"/>
      <c r="AA109" s="67"/>
      <c r="AB109" s="67"/>
      <c r="AC109" s="67"/>
      <c r="AD109" s="67"/>
      <c r="AE109" s="67"/>
      <c r="AF109" s="75"/>
      <c r="AG109" s="67"/>
      <c r="AH109" s="67"/>
      <c r="AI109" s="67"/>
      <c r="AJ109" s="62"/>
      <c r="AK109" s="62"/>
    </row>
    <row r="110" spans="1:37" x14ac:dyDescent="0.3">
      <c r="A110" s="65">
        <v>109</v>
      </c>
      <c r="B110" s="63">
        <v>46249</v>
      </c>
      <c r="C110" s="66" t="s">
        <v>46</v>
      </c>
      <c r="D110" s="67" t="s">
        <v>64</v>
      </c>
      <c r="E110" s="92" t="s">
        <v>357</v>
      </c>
      <c r="F110" s="92" t="s">
        <v>357</v>
      </c>
      <c r="G110" s="92" t="s">
        <v>357</v>
      </c>
      <c r="H110" s="92" t="s">
        <v>357</v>
      </c>
      <c r="I110" s="92" t="s">
        <v>357</v>
      </c>
      <c r="J110" s="92" t="s">
        <v>357</v>
      </c>
      <c r="K110" s="92" t="s">
        <v>357</v>
      </c>
      <c r="L110" s="92" t="s">
        <v>357</v>
      </c>
      <c r="M110" s="92" t="s">
        <v>357</v>
      </c>
      <c r="N110" s="92" t="s">
        <v>357</v>
      </c>
      <c r="O110" s="92" t="s">
        <v>357</v>
      </c>
      <c r="P110" s="92" t="s">
        <v>357</v>
      </c>
      <c r="Q110" s="92" t="s">
        <v>357</v>
      </c>
      <c r="R110" s="92" t="s">
        <v>357</v>
      </c>
      <c r="S110" s="92" t="s">
        <v>357</v>
      </c>
      <c r="T110" s="92" t="s">
        <v>357</v>
      </c>
      <c r="U110" s="92" t="s">
        <v>357</v>
      </c>
      <c r="V110" s="92" t="s">
        <v>357</v>
      </c>
      <c r="W110" s="92" t="s">
        <v>357</v>
      </c>
      <c r="X110" s="92" t="s">
        <v>357</v>
      </c>
      <c r="Y110" s="92" t="s">
        <v>357</v>
      </c>
      <c r="Z110" s="92" t="s">
        <v>357</v>
      </c>
      <c r="AA110" s="92" t="s">
        <v>357</v>
      </c>
      <c r="AB110" s="92" t="s">
        <v>357</v>
      </c>
      <c r="AC110" s="92" t="s">
        <v>357</v>
      </c>
      <c r="AD110" s="92" t="s">
        <v>357</v>
      </c>
      <c r="AE110" s="92" t="s">
        <v>357</v>
      </c>
      <c r="AF110" s="92" t="s">
        <v>357</v>
      </c>
      <c r="AG110" s="92" t="s">
        <v>357</v>
      </c>
      <c r="AH110" s="92" t="s">
        <v>357</v>
      </c>
      <c r="AI110" s="92" t="s">
        <v>357</v>
      </c>
      <c r="AJ110" s="92" t="s">
        <v>357</v>
      </c>
      <c r="AK110" s="92" t="s">
        <v>357</v>
      </c>
    </row>
    <row r="111" spans="1:37" x14ac:dyDescent="0.3">
      <c r="A111" s="65">
        <v>110</v>
      </c>
      <c r="B111" s="63">
        <v>46250</v>
      </c>
      <c r="C111" s="93" t="s">
        <v>361</v>
      </c>
      <c r="D111" s="67" t="s">
        <v>63</v>
      </c>
      <c r="E111" s="67"/>
      <c r="F111" s="67"/>
      <c r="G111" s="67"/>
      <c r="H111" s="69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2"/>
      <c r="AK111" s="62"/>
    </row>
    <row r="112" spans="1:37" x14ac:dyDescent="0.3">
      <c r="A112" s="65">
        <v>111</v>
      </c>
      <c r="B112" s="63">
        <v>46251</v>
      </c>
      <c r="C112" s="66" t="s">
        <v>258</v>
      </c>
      <c r="D112" s="69" t="s">
        <v>98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75"/>
      <c r="T112" s="67"/>
      <c r="U112" s="67"/>
      <c r="V112" s="67"/>
      <c r="W112" s="67"/>
      <c r="X112" s="67"/>
      <c r="Y112" s="76"/>
      <c r="Z112" s="67"/>
      <c r="AA112" s="67"/>
      <c r="AB112" s="67"/>
      <c r="AC112" s="67"/>
      <c r="AD112" s="67"/>
      <c r="AE112" s="67"/>
      <c r="AF112" s="75"/>
      <c r="AG112" s="67"/>
      <c r="AH112" s="67"/>
      <c r="AI112" s="67"/>
      <c r="AJ112" s="62"/>
      <c r="AK112" s="62"/>
    </row>
    <row r="113" spans="1:37" x14ac:dyDescent="0.3">
      <c r="A113" s="65">
        <v>112</v>
      </c>
      <c r="B113" s="63">
        <v>46255</v>
      </c>
      <c r="C113" s="66" t="s">
        <v>224</v>
      </c>
      <c r="D113" s="69" t="s">
        <v>127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75"/>
      <c r="T113" s="67"/>
      <c r="U113" s="67"/>
      <c r="V113" s="67"/>
      <c r="W113" s="67"/>
      <c r="X113" s="67"/>
      <c r="Y113" s="76"/>
      <c r="Z113" s="67"/>
      <c r="AA113" s="67"/>
      <c r="AB113" s="67"/>
      <c r="AC113" s="67"/>
      <c r="AD113" s="67"/>
      <c r="AE113" s="67"/>
      <c r="AF113" s="75"/>
      <c r="AG113" s="67"/>
      <c r="AH113" s="67"/>
      <c r="AI113" s="67"/>
      <c r="AJ113" s="62"/>
      <c r="AK113" s="62"/>
    </row>
    <row r="114" spans="1:37" x14ac:dyDescent="0.3">
      <c r="A114" s="65">
        <v>113</v>
      </c>
      <c r="B114" s="63">
        <v>46258</v>
      </c>
      <c r="C114" s="66" t="s">
        <v>287</v>
      </c>
      <c r="D114" s="69" t="s">
        <v>98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75"/>
      <c r="T114" s="67"/>
      <c r="U114" s="67"/>
      <c r="V114" s="67"/>
      <c r="W114" s="67"/>
      <c r="X114" s="67"/>
      <c r="Y114" s="76"/>
      <c r="Z114" s="67"/>
      <c r="AA114" s="67"/>
      <c r="AB114" s="67"/>
      <c r="AC114" s="67"/>
      <c r="AD114" s="67"/>
      <c r="AE114" s="67"/>
      <c r="AF114" s="75"/>
      <c r="AG114" s="67"/>
      <c r="AH114" s="67"/>
      <c r="AI114" s="67"/>
      <c r="AJ114" s="62"/>
      <c r="AK114" s="62"/>
    </row>
    <row r="115" spans="1:37" x14ac:dyDescent="0.3">
      <c r="A115" s="65">
        <v>114</v>
      </c>
      <c r="B115" s="63">
        <v>46259</v>
      </c>
      <c r="C115" s="66" t="s">
        <v>131</v>
      </c>
      <c r="D115" s="66" t="s">
        <v>101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75"/>
      <c r="T115" s="67"/>
      <c r="U115" s="67"/>
      <c r="V115" s="67"/>
      <c r="W115" s="67"/>
      <c r="X115" s="67"/>
      <c r="Y115" s="76"/>
      <c r="Z115" s="67"/>
      <c r="AA115" s="67"/>
      <c r="AB115" s="67"/>
      <c r="AC115" s="67"/>
      <c r="AD115" s="67"/>
      <c r="AE115" s="67"/>
      <c r="AF115" s="75"/>
      <c r="AG115" s="67"/>
      <c r="AH115" s="67"/>
      <c r="AI115" s="67"/>
      <c r="AJ115" s="62"/>
      <c r="AK115" s="62"/>
    </row>
    <row r="116" spans="1:37" x14ac:dyDescent="0.3">
      <c r="A116" s="65">
        <v>115</v>
      </c>
      <c r="B116" s="63">
        <v>46260</v>
      </c>
      <c r="C116" s="66" t="s">
        <v>259</v>
      </c>
      <c r="D116" s="66" t="s">
        <v>97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75"/>
      <c r="T116" s="67"/>
      <c r="U116" s="67"/>
      <c r="V116" s="67"/>
      <c r="W116" s="92" t="s">
        <v>358</v>
      </c>
      <c r="X116" s="67"/>
      <c r="Y116" s="75"/>
      <c r="Z116" s="67"/>
      <c r="AA116" s="67"/>
      <c r="AB116" s="67"/>
      <c r="AC116" s="67"/>
      <c r="AD116" s="67"/>
      <c r="AE116" s="92" t="s">
        <v>358</v>
      </c>
      <c r="AF116" s="75"/>
      <c r="AG116" s="67"/>
      <c r="AH116" s="67"/>
      <c r="AI116" s="67"/>
      <c r="AJ116" s="62"/>
      <c r="AK116" s="62"/>
    </row>
    <row r="117" spans="1:37" x14ac:dyDescent="0.3">
      <c r="A117" s="65">
        <v>116</v>
      </c>
      <c r="B117" s="63">
        <v>46261</v>
      </c>
      <c r="C117" s="66" t="s">
        <v>225</v>
      </c>
      <c r="D117" s="66" t="s">
        <v>96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75"/>
      <c r="T117" s="67"/>
      <c r="U117" s="67"/>
      <c r="V117" s="67"/>
      <c r="W117" s="67"/>
      <c r="X117" s="67"/>
      <c r="Y117" s="76"/>
      <c r="Z117" s="67"/>
      <c r="AA117" s="67"/>
      <c r="AB117" s="67"/>
      <c r="AC117" s="67"/>
      <c r="AD117" s="67"/>
      <c r="AE117" s="67"/>
      <c r="AF117" s="75"/>
      <c r="AG117" s="67"/>
      <c r="AH117" s="67"/>
      <c r="AI117" s="67"/>
      <c r="AJ117" s="62"/>
      <c r="AK117" s="62"/>
    </row>
    <row r="118" spans="1:37" x14ac:dyDescent="0.3">
      <c r="A118" s="65">
        <v>117</v>
      </c>
      <c r="B118" s="63">
        <v>46262</v>
      </c>
      <c r="C118" s="66" t="s">
        <v>288</v>
      </c>
      <c r="D118" s="66" t="s">
        <v>127</v>
      </c>
      <c r="E118" s="67"/>
      <c r="F118" s="67"/>
      <c r="G118" s="67"/>
      <c r="H118" s="67"/>
      <c r="I118" s="67"/>
      <c r="J118" s="67"/>
      <c r="K118" s="67"/>
      <c r="L118" s="92" t="s">
        <v>358</v>
      </c>
      <c r="M118" s="67"/>
      <c r="N118" s="92" t="s">
        <v>358</v>
      </c>
      <c r="O118" s="75"/>
      <c r="P118" s="67"/>
      <c r="Q118" s="75"/>
      <c r="R118" s="67"/>
      <c r="S118" s="75"/>
      <c r="T118" s="67"/>
      <c r="U118" s="67"/>
      <c r="V118" s="67"/>
      <c r="W118" s="67"/>
      <c r="X118" s="67"/>
      <c r="Y118" s="76"/>
      <c r="Z118" s="67"/>
      <c r="AA118" s="67"/>
      <c r="AB118" s="67"/>
      <c r="AC118" s="67"/>
      <c r="AD118" s="67"/>
      <c r="AE118" s="67"/>
      <c r="AF118" s="75"/>
      <c r="AG118" s="67"/>
      <c r="AH118" s="67"/>
      <c r="AI118" s="67"/>
      <c r="AJ118" s="62"/>
      <c r="AK118" s="62"/>
    </row>
    <row r="119" spans="1:37" x14ac:dyDescent="0.3">
      <c r="A119" s="65">
        <v>118</v>
      </c>
      <c r="B119" s="63">
        <v>46265</v>
      </c>
      <c r="C119" s="66" t="s">
        <v>337</v>
      </c>
      <c r="D119" s="66" t="s">
        <v>98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75"/>
      <c r="R119" s="67"/>
      <c r="S119" s="75"/>
      <c r="T119" s="67"/>
      <c r="U119" s="67"/>
      <c r="V119" s="67"/>
      <c r="W119" s="67"/>
      <c r="X119" s="67"/>
      <c r="Y119" s="76"/>
      <c r="Z119" s="67"/>
      <c r="AA119" s="67"/>
      <c r="AB119" s="67"/>
      <c r="AC119" s="67"/>
      <c r="AD119" s="67"/>
      <c r="AE119" s="67"/>
      <c r="AF119" s="75"/>
      <c r="AG119" s="67"/>
      <c r="AH119" s="67"/>
      <c r="AI119" s="67"/>
      <c r="AJ119" s="62"/>
      <c r="AK119" s="62"/>
    </row>
    <row r="120" spans="1:37" x14ac:dyDescent="0.3">
      <c r="A120" s="65">
        <v>119</v>
      </c>
      <c r="B120" s="63">
        <v>46266</v>
      </c>
      <c r="C120" s="66" t="s">
        <v>299</v>
      </c>
      <c r="D120" s="66" t="s">
        <v>101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75"/>
      <c r="T120" s="67"/>
      <c r="U120" s="67"/>
      <c r="V120" s="67"/>
      <c r="W120" s="67"/>
      <c r="X120" s="67"/>
      <c r="Y120" s="76"/>
      <c r="Z120" s="67"/>
      <c r="AA120" s="67"/>
      <c r="AB120" s="67"/>
      <c r="AC120" s="67"/>
      <c r="AD120" s="67"/>
      <c r="AE120" s="67"/>
      <c r="AF120" s="75"/>
      <c r="AG120" s="67"/>
      <c r="AH120" s="67"/>
      <c r="AI120" s="67"/>
      <c r="AJ120" s="62"/>
      <c r="AK120" s="62"/>
    </row>
    <row r="121" spans="1:37" x14ac:dyDescent="0.3">
      <c r="A121" s="65">
        <v>120</v>
      </c>
      <c r="B121" s="63">
        <v>46267</v>
      </c>
      <c r="C121" s="66" t="s">
        <v>260</v>
      </c>
      <c r="D121" s="66" t="s">
        <v>97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75"/>
      <c r="T121" s="67"/>
      <c r="U121" s="67"/>
      <c r="V121" s="67"/>
      <c r="W121" s="67"/>
      <c r="X121" s="67"/>
      <c r="Y121" s="76"/>
      <c r="Z121" s="67"/>
      <c r="AA121" s="67"/>
      <c r="AB121" s="67"/>
      <c r="AC121" s="67"/>
      <c r="AD121" s="67"/>
      <c r="AE121" s="67"/>
      <c r="AF121" s="75"/>
      <c r="AG121" s="67"/>
      <c r="AH121" s="67"/>
      <c r="AI121" s="67"/>
      <c r="AJ121" s="62"/>
      <c r="AK121" s="62"/>
    </row>
    <row r="122" spans="1:37" x14ac:dyDescent="0.3">
      <c r="A122" s="65">
        <v>121</v>
      </c>
      <c r="B122" s="63">
        <v>46269</v>
      </c>
      <c r="C122" s="66" t="s">
        <v>123</v>
      </c>
      <c r="D122" s="66" t="s">
        <v>127</v>
      </c>
      <c r="E122" s="75"/>
      <c r="F122" s="67"/>
      <c r="G122" s="67"/>
      <c r="H122" s="69"/>
      <c r="I122" s="96"/>
      <c r="J122" s="75"/>
      <c r="K122" s="67"/>
      <c r="L122" s="75"/>
      <c r="M122" s="67"/>
      <c r="N122" s="67"/>
      <c r="O122" s="67"/>
      <c r="P122" s="67"/>
      <c r="Q122" s="75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75"/>
      <c r="AG122" s="67"/>
      <c r="AH122" s="67"/>
      <c r="AI122" s="67"/>
      <c r="AJ122" s="67"/>
      <c r="AK122" s="58"/>
    </row>
    <row r="123" spans="1:37" x14ac:dyDescent="0.3">
      <c r="A123" s="65">
        <v>122</v>
      </c>
      <c r="B123" s="63">
        <v>46270</v>
      </c>
      <c r="C123" s="66" t="s">
        <v>338</v>
      </c>
      <c r="D123" s="66" t="s">
        <v>64</v>
      </c>
      <c r="E123" s="67"/>
      <c r="F123" s="67"/>
      <c r="G123" s="67"/>
      <c r="H123" s="67"/>
      <c r="I123" s="67"/>
      <c r="J123" s="67"/>
      <c r="K123" s="67"/>
      <c r="L123" s="75"/>
      <c r="M123" s="67"/>
      <c r="N123" s="67"/>
      <c r="O123" s="75"/>
      <c r="P123" s="67"/>
      <c r="Q123" s="75"/>
      <c r="R123" s="67"/>
      <c r="S123" s="75"/>
      <c r="T123" s="67"/>
      <c r="U123" s="67"/>
      <c r="V123" s="67"/>
      <c r="W123" s="67"/>
      <c r="X123" s="75"/>
      <c r="Y123" s="75"/>
      <c r="Z123" s="67"/>
      <c r="AA123" s="67"/>
      <c r="AB123" s="67"/>
      <c r="AC123" s="67"/>
      <c r="AD123" s="67"/>
      <c r="AE123" s="67"/>
      <c r="AF123" s="75"/>
      <c r="AG123" s="67"/>
      <c r="AH123" s="67"/>
      <c r="AI123" s="67"/>
      <c r="AJ123" s="62"/>
      <c r="AK123" s="62"/>
    </row>
    <row r="124" spans="1:37" x14ac:dyDescent="0.3">
      <c r="A124" s="65">
        <v>123</v>
      </c>
      <c r="B124" s="63">
        <v>46273</v>
      </c>
      <c r="C124" s="66" t="s">
        <v>226</v>
      </c>
      <c r="D124" s="66" t="s">
        <v>101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75"/>
      <c r="T124" s="67"/>
      <c r="U124" s="67"/>
      <c r="V124" s="67"/>
      <c r="W124" s="67"/>
      <c r="X124" s="67"/>
      <c r="Y124" s="76"/>
      <c r="Z124" s="67"/>
      <c r="AA124" s="67"/>
      <c r="AB124" s="67"/>
      <c r="AC124" s="67"/>
      <c r="AD124" s="67"/>
      <c r="AE124" s="67"/>
      <c r="AF124" s="75"/>
      <c r="AG124" s="67"/>
      <c r="AH124" s="67"/>
      <c r="AI124" s="67"/>
      <c r="AJ124" s="62"/>
      <c r="AK124" s="62"/>
    </row>
    <row r="125" spans="1:37" x14ac:dyDescent="0.3">
      <c r="A125" s="65">
        <v>124</v>
      </c>
      <c r="B125" s="63">
        <v>46275</v>
      </c>
      <c r="C125" s="66" t="s">
        <v>261</v>
      </c>
      <c r="D125" s="66" t="s">
        <v>96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75"/>
      <c r="T125" s="67"/>
      <c r="U125" s="67"/>
      <c r="V125" s="67"/>
      <c r="W125" s="67"/>
      <c r="X125" s="67"/>
      <c r="Y125" s="76"/>
      <c r="Z125" s="67"/>
      <c r="AA125" s="67"/>
      <c r="AB125" s="67"/>
      <c r="AC125" s="67"/>
      <c r="AD125" s="67"/>
      <c r="AE125" s="67"/>
      <c r="AF125" s="75"/>
      <c r="AG125" s="67"/>
      <c r="AH125" s="67"/>
      <c r="AI125" s="67"/>
      <c r="AJ125" s="62"/>
      <c r="AK125" s="62"/>
    </row>
    <row r="126" spans="1:37" x14ac:dyDescent="0.3">
      <c r="A126" s="65">
        <v>125</v>
      </c>
      <c r="B126" s="63">
        <v>46277</v>
      </c>
      <c r="C126" s="66" t="s">
        <v>300</v>
      </c>
      <c r="D126" s="66" t="s">
        <v>64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75"/>
      <c r="T126" s="67"/>
      <c r="U126" s="67"/>
      <c r="V126" s="67"/>
      <c r="W126" s="67"/>
      <c r="X126" s="67"/>
      <c r="Y126" s="76"/>
      <c r="Z126" s="67"/>
      <c r="AA126" s="67"/>
      <c r="AB126" s="67"/>
      <c r="AC126" s="67"/>
      <c r="AD126" s="67"/>
      <c r="AE126" s="67"/>
      <c r="AF126" s="75"/>
      <c r="AG126" s="67"/>
      <c r="AH126" s="67"/>
      <c r="AI126" s="67"/>
      <c r="AJ126" s="62"/>
      <c r="AK126" s="62"/>
    </row>
    <row r="127" spans="1:37" x14ac:dyDescent="0.3">
      <c r="A127" s="65">
        <v>126</v>
      </c>
      <c r="B127" s="63">
        <v>46279</v>
      </c>
      <c r="C127" s="66" t="s">
        <v>262</v>
      </c>
      <c r="D127" s="66" t="s">
        <v>98</v>
      </c>
      <c r="E127" s="67"/>
      <c r="F127" s="96"/>
      <c r="G127" s="96"/>
      <c r="H127" s="69"/>
      <c r="I127" s="67"/>
      <c r="J127" s="67"/>
      <c r="K127" s="67"/>
      <c r="L127" s="67"/>
      <c r="M127" s="96"/>
      <c r="N127" s="67"/>
      <c r="O127" s="67"/>
      <c r="P127" s="96"/>
      <c r="Q127" s="75"/>
      <c r="R127" s="67"/>
      <c r="S127" s="75"/>
      <c r="T127" s="67"/>
      <c r="U127" s="96"/>
      <c r="V127" s="67"/>
      <c r="W127" s="67"/>
      <c r="X127" s="67"/>
      <c r="Y127" s="76"/>
      <c r="Z127" s="96"/>
      <c r="AA127" s="67"/>
      <c r="AB127" s="96"/>
      <c r="AC127" s="67"/>
      <c r="AD127" s="92" t="s">
        <v>358</v>
      </c>
      <c r="AE127" s="92" t="s">
        <v>358</v>
      </c>
      <c r="AF127" s="75"/>
      <c r="AG127" s="62"/>
      <c r="AH127" s="92" t="s">
        <v>358</v>
      </c>
      <c r="AI127" s="62"/>
      <c r="AJ127" s="62"/>
      <c r="AK127" s="94" t="s">
        <v>358</v>
      </c>
    </row>
    <row r="128" spans="1:37" x14ac:dyDescent="0.3">
      <c r="A128" s="65">
        <v>127</v>
      </c>
      <c r="B128" s="63">
        <v>46280</v>
      </c>
      <c r="C128" s="66" t="s">
        <v>150</v>
      </c>
      <c r="D128" s="66" t="s">
        <v>101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75"/>
      <c r="T128" s="67"/>
      <c r="U128" s="67"/>
      <c r="V128" s="67"/>
      <c r="W128" s="67"/>
      <c r="X128" s="67"/>
      <c r="Y128" s="76"/>
      <c r="Z128" s="67"/>
      <c r="AA128" s="67"/>
      <c r="AB128" s="67"/>
      <c r="AC128" s="67"/>
      <c r="AD128" s="67"/>
      <c r="AE128" s="67"/>
      <c r="AF128" s="75"/>
      <c r="AG128" s="67"/>
      <c r="AH128" s="67"/>
      <c r="AI128" s="96"/>
      <c r="AJ128" s="62"/>
      <c r="AK128" s="62"/>
    </row>
    <row r="129" spans="1:37" x14ac:dyDescent="0.3">
      <c r="A129" s="65">
        <v>128</v>
      </c>
      <c r="B129" s="63">
        <v>46282</v>
      </c>
      <c r="C129" s="66" t="s">
        <v>227</v>
      </c>
      <c r="D129" s="66" t="s">
        <v>96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75"/>
      <c r="T129" s="67"/>
      <c r="U129" s="67"/>
      <c r="V129" s="67"/>
      <c r="W129" s="67"/>
      <c r="X129" s="67"/>
      <c r="Y129" s="76"/>
      <c r="Z129" s="67"/>
      <c r="AA129" s="67"/>
      <c r="AB129" s="67"/>
      <c r="AC129" s="67"/>
      <c r="AD129" s="67"/>
      <c r="AE129" s="67"/>
      <c r="AF129" s="75"/>
      <c r="AG129" s="67"/>
      <c r="AH129" s="67"/>
      <c r="AI129" s="67"/>
      <c r="AJ129" s="62"/>
      <c r="AK129" s="62"/>
    </row>
    <row r="130" spans="1:37" x14ac:dyDescent="0.3">
      <c r="A130" s="65">
        <v>129</v>
      </c>
      <c r="B130" s="63">
        <v>46283</v>
      </c>
      <c r="C130" s="66" t="s">
        <v>263</v>
      </c>
      <c r="D130" s="66" t="s">
        <v>127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75"/>
      <c r="T130" s="67"/>
      <c r="U130" s="67"/>
      <c r="V130" s="67"/>
      <c r="W130" s="67"/>
      <c r="X130" s="67"/>
      <c r="Y130" s="76"/>
      <c r="Z130" s="67"/>
      <c r="AA130" s="67"/>
      <c r="AB130" s="67"/>
      <c r="AC130" s="67"/>
      <c r="AD130" s="67"/>
      <c r="AE130" s="67"/>
      <c r="AF130" s="75"/>
      <c r="AG130" s="67"/>
      <c r="AH130" s="67"/>
      <c r="AI130" s="67"/>
      <c r="AJ130" s="62"/>
      <c r="AK130" s="62"/>
    </row>
    <row r="131" spans="1:37" x14ac:dyDescent="0.3">
      <c r="A131" s="65">
        <v>130</v>
      </c>
      <c r="B131" s="63">
        <v>46286</v>
      </c>
      <c r="C131" s="66" t="s">
        <v>235</v>
      </c>
      <c r="D131" s="66" t="s">
        <v>98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75"/>
      <c r="T131" s="67"/>
      <c r="U131" s="67"/>
      <c r="V131" s="67"/>
      <c r="W131" s="67"/>
      <c r="X131" s="67"/>
      <c r="Y131" s="76"/>
      <c r="Z131" s="67"/>
      <c r="AA131" s="67"/>
      <c r="AB131" s="67"/>
      <c r="AC131" s="67"/>
      <c r="AD131" s="67"/>
      <c r="AE131" s="67"/>
      <c r="AF131" s="75"/>
      <c r="AG131" s="67"/>
      <c r="AH131" s="67"/>
      <c r="AI131" s="67"/>
      <c r="AJ131" s="62"/>
      <c r="AK131" s="62"/>
    </row>
    <row r="132" spans="1:37" x14ac:dyDescent="0.3">
      <c r="A132" s="65">
        <v>131</v>
      </c>
      <c r="B132" s="63">
        <v>46287</v>
      </c>
      <c r="C132" s="66" t="s">
        <v>264</v>
      </c>
      <c r="D132" s="66" t="s">
        <v>101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75"/>
      <c r="T132" s="67"/>
      <c r="U132" s="67"/>
      <c r="V132" s="67"/>
      <c r="W132" s="67"/>
      <c r="X132" s="67"/>
      <c r="Y132" s="76"/>
      <c r="Z132" s="67"/>
      <c r="AA132" s="67"/>
      <c r="AB132" s="67"/>
      <c r="AC132" s="67"/>
      <c r="AD132" s="67"/>
      <c r="AE132" s="67"/>
      <c r="AF132" s="75"/>
      <c r="AG132" s="67"/>
      <c r="AH132" s="67"/>
      <c r="AI132" s="67"/>
      <c r="AJ132" s="62"/>
      <c r="AK132" s="62"/>
    </row>
    <row r="133" spans="1:37" x14ac:dyDescent="0.3">
      <c r="A133" s="65">
        <v>132</v>
      </c>
      <c r="B133" s="63">
        <v>46288</v>
      </c>
      <c r="C133" s="66" t="s">
        <v>369</v>
      </c>
      <c r="D133" s="66" t="s">
        <v>97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75"/>
      <c r="T133" s="67"/>
      <c r="U133" s="67"/>
      <c r="V133" s="67"/>
      <c r="W133" s="67"/>
      <c r="X133" s="67"/>
      <c r="Y133" s="76"/>
      <c r="Z133" s="67"/>
      <c r="AA133" s="67"/>
      <c r="AB133" s="67"/>
      <c r="AC133" s="67"/>
      <c r="AD133" s="67"/>
      <c r="AE133" s="67"/>
      <c r="AF133" s="75"/>
      <c r="AG133" s="67"/>
      <c r="AH133" s="67"/>
      <c r="AI133" s="67"/>
      <c r="AJ133" s="62"/>
      <c r="AK133" s="62"/>
    </row>
    <row r="134" spans="1:37" x14ac:dyDescent="0.3">
      <c r="A134" s="65">
        <v>133</v>
      </c>
      <c r="B134" s="63">
        <v>46290</v>
      </c>
      <c r="C134" s="66" t="s">
        <v>228</v>
      </c>
      <c r="D134" s="66" t="s">
        <v>127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75"/>
      <c r="T134" s="67"/>
      <c r="U134" s="67"/>
      <c r="V134" s="67"/>
      <c r="W134" s="67"/>
      <c r="X134" s="67"/>
      <c r="Y134" s="76"/>
      <c r="Z134" s="67"/>
      <c r="AA134" s="67"/>
      <c r="AB134" s="67"/>
      <c r="AC134" s="67"/>
      <c r="AD134" s="75"/>
      <c r="AE134" s="67"/>
      <c r="AF134" s="75"/>
      <c r="AG134" s="67"/>
      <c r="AH134" s="67"/>
      <c r="AI134" s="67"/>
      <c r="AJ134" s="62"/>
      <c r="AK134" s="62"/>
    </row>
    <row r="135" spans="1:37" x14ac:dyDescent="0.3">
      <c r="A135" s="65">
        <v>134</v>
      </c>
      <c r="B135" s="63">
        <v>46291</v>
      </c>
      <c r="C135" s="66" t="s">
        <v>308</v>
      </c>
      <c r="D135" s="66" t="s">
        <v>64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75"/>
      <c r="T135" s="67"/>
      <c r="U135" s="67"/>
      <c r="V135" s="67"/>
      <c r="W135" s="67"/>
      <c r="X135" s="67"/>
      <c r="Y135" s="76"/>
      <c r="Z135" s="67"/>
      <c r="AA135" s="67"/>
      <c r="AB135" s="67"/>
      <c r="AC135" s="67"/>
      <c r="AD135" s="67"/>
      <c r="AE135" s="67"/>
      <c r="AF135" s="75"/>
      <c r="AG135" s="67"/>
      <c r="AH135" s="67"/>
      <c r="AI135" s="67"/>
      <c r="AJ135" s="62"/>
      <c r="AK135" s="62"/>
    </row>
    <row r="136" spans="1:37" x14ac:dyDescent="0.3">
      <c r="A136" s="65">
        <v>135</v>
      </c>
      <c r="B136" s="63">
        <v>46292</v>
      </c>
      <c r="C136" s="66" t="s">
        <v>308</v>
      </c>
      <c r="D136" s="66" t="s">
        <v>63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75"/>
      <c r="T136" s="67"/>
      <c r="U136" s="67"/>
      <c r="V136" s="67"/>
      <c r="W136" s="67"/>
      <c r="X136" s="67"/>
      <c r="Y136" s="76"/>
      <c r="Z136" s="67"/>
      <c r="AA136" s="67"/>
      <c r="AB136" s="67"/>
      <c r="AC136" s="67"/>
      <c r="AD136" s="67"/>
      <c r="AE136" s="67"/>
      <c r="AF136" s="75"/>
      <c r="AG136" s="67"/>
      <c r="AH136" s="67"/>
      <c r="AI136" s="67"/>
      <c r="AJ136" s="62"/>
      <c r="AK136" s="62"/>
    </row>
    <row r="137" spans="1:37" x14ac:dyDescent="0.3">
      <c r="A137" s="65">
        <v>136</v>
      </c>
      <c r="B137" s="63">
        <v>46293</v>
      </c>
      <c r="C137" s="66" t="s">
        <v>308</v>
      </c>
      <c r="D137" s="66" t="s">
        <v>98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75"/>
      <c r="T137" s="67"/>
      <c r="U137" s="67"/>
      <c r="V137" s="67"/>
      <c r="W137" s="67"/>
      <c r="X137" s="67"/>
      <c r="Y137" s="76"/>
      <c r="Z137" s="67"/>
      <c r="AA137" s="67"/>
      <c r="AB137" s="67"/>
      <c r="AC137" s="67"/>
      <c r="AD137" s="67"/>
      <c r="AE137" s="67"/>
      <c r="AF137" s="75"/>
      <c r="AG137" s="67"/>
      <c r="AH137" s="67"/>
      <c r="AI137" s="67"/>
      <c r="AJ137" s="62"/>
      <c r="AK137" s="62"/>
    </row>
    <row r="138" spans="1:37" x14ac:dyDescent="0.3">
      <c r="A138" s="65">
        <v>137</v>
      </c>
      <c r="B138" s="63">
        <v>46295</v>
      </c>
      <c r="C138" s="66" t="s">
        <v>345</v>
      </c>
      <c r="D138" s="66" t="s">
        <v>97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75"/>
      <c r="T138" s="67"/>
      <c r="U138" s="67"/>
      <c r="V138" s="67"/>
      <c r="W138" s="67"/>
      <c r="X138" s="67"/>
      <c r="Y138" s="76"/>
      <c r="Z138" s="67"/>
      <c r="AA138" s="67"/>
      <c r="AB138" s="67"/>
      <c r="AC138" s="67"/>
      <c r="AD138" s="67"/>
      <c r="AE138" s="67"/>
      <c r="AF138" s="75"/>
      <c r="AG138" s="67"/>
      <c r="AH138" s="67"/>
      <c r="AI138" s="67"/>
      <c r="AJ138" s="62"/>
      <c r="AK138" s="62"/>
    </row>
    <row r="139" spans="1:37" x14ac:dyDescent="0.3">
      <c r="A139" s="65">
        <v>138</v>
      </c>
      <c r="B139" s="63">
        <v>46296</v>
      </c>
      <c r="C139" s="66" t="s">
        <v>265</v>
      </c>
      <c r="D139" s="66" t="s">
        <v>96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75"/>
      <c r="T139" s="67"/>
      <c r="U139" s="67"/>
      <c r="V139" s="67"/>
      <c r="W139" s="67"/>
      <c r="X139" s="67"/>
      <c r="Y139" s="76"/>
      <c r="Z139" s="67"/>
      <c r="AA139" s="67"/>
      <c r="AB139" s="67"/>
      <c r="AC139" s="67"/>
      <c r="AD139" s="67"/>
      <c r="AE139" s="67"/>
      <c r="AF139" s="75"/>
      <c r="AG139" s="67"/>
      <c r="AH139" s="67"/>
      <c r="AI139" s="67"/>
      <c r="AJ139" s="62"/>
      <c r="AK139" s="62"/>
    </row>
    <row r="140" spans="1:37" x14ac:dyDescent="0.3">
      <c r="A140" s="65">
        <v>139</v>
      </c>
      <c r="B140" s="63">
        <v>46297</v>
      </c>
      <c r="C140" s="66" t="s">
        <v>124</v>
      </c>
      <c r="D140" s="66" t="s">
        <v>127</v>
      </c>
      <c r="E140" s="92" t="str">
        <f>VLOOKUP(B140,'All ecxept A grades - 13 days'!B139:E328,4,0)</f>
        <v>Digi_National</v>
      </c>
      <c r="F140" s="92" t="str">
        <f>VLOOKUP(C140,'All ecxept A grades - 13 days'!C139:F333,4,0)</f>
        <v>Digi_National</v>
      </c>
      <c r="G140" s="92" t="s">
        <v>357</v>
      </c>
      <c r="H140" s="92" t="s">
        <v>357</v>
      </c>
      <c r="I140" s="92" t="s">
        <v>357</v>
      </c>
      <c r="J140" s="92" t="s">
        <v>357</v>
      </c>
      <c r="K140" s="92" t="s">
        <v>357</v>
      </c>
      <c r="L140" s="92" t="s">
        <v>357</v>
      </c>
      <c r="M140" s="92" t="s">
        <v>357</v>
      </c>
      <c r="N140" s="92" t="s">
        <v>357</v>
      </c>
      <c r="O140" s="92" t="s">
        <v>357</v>
      </c>
      <c r="P140" s="92" t="s">
        <v>357</v>
      </c>
      <c r="Q140" s="92" t="s">
        <v>357</v>
      </c>
      <c r="R140" s="92" t="s">
        <v>357</v>
      </c>
      <c r="S140" s="92" t="s">
        <v>357</v>
      </c>
      <c r="T140" s="92" t="s">
        <v>357</v>
      </c>
      <c r="U140" s="92" t="s">
        <v>357</v>
      </c>
      <c r="V140" s="92" t="s">
        <v>357</v>
      </c>
      <c r="W140" s="92" t="s">
        <v>357</v>
      </c>
      <c r="X140" s="92" t="s">
        <v>357</v>
      </c>
      <c r="Y140" s="92" t="s">
        <v>357</v>
      </c>
      <c r="Z140" s="92" t="s">
        <v>357</v>
      </c>
      <c r="AA140" s="92" t="s">
        <v>357</v>
      </c>
      <c r="AB140" s="92" t="s">
        <v>357</v>
      </c>
      <c r="AC140" s="92" t="str">
        <f>VLOOKUP(B140,'All ecxept A grades - 13 days'!B139:AC330,28,0)</f>
        <v>Digi_National</v>
      </c>
      <c r="AD140" s="92" t="s">
        <v>357</v>
      </c>
      <c r="AE140" s="92" t="s">
        <v>357</v>
      </c>
      <c r="AF140" s="92" t="s">
        <v>357</v>
      </c>
      <c r="AG140" s="92" t="s">
        <v>357</v>
      </c>
      <c r="AH140" s="92" t="str">
        <f>VLOOKUP(B140,'All ecxept A grades - 13 days'!B139:AH333,33,0)</f>
        <v>Digi_National</v>
      </c>
      <c r="AI140" s="92" t="s">
        <v>357</v>
      </c>
      <c r="AJ140" s="92" t="s">
        <v>357</v>
      </c>
      <c r="AK140" s="92" t="s">
        <v>357</v>
      </c>
    </row>
    <row r="141" spans="1:37" x14ac:dyDescent="0.3">
      <c r="A141" s="65">
        <v>140</v>
      </c>
      <c r="B141" s="63">
        <v>46299</v>
      </c>
      <c r="C141" s="66" t="s">
        <v>289</v>
      </c>
      <c r="D141" s="66" t="s">
        <v>63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75"/>
      <c r="T141" s="67"/>
      <c r="U141" s="67"/>
      <c r="V141" s="67"/>
      <c r="W141" s="67"/>
      <c r="X141" s="67"/>
      <c r="Y141" s="76"/>
      <c r="Z141" s="67"/>
      <c r="AA141" s="67"/>
      <c r="AB141" s="67"/>
      <c r="AC141" s="67"/>
      <c r="AD141" s="67"/>
      <c r="AE141" s="67"/>
      <c r="AF141" s="75"/>
      <c r="AG141" s="67"/>
      <c r="AH141" s="67"/>
      <c r="AI141" s="67"/>
      <c r="AJ141" s="62"/>
      <c r="AK141" s="62"/>
    </row>
    <row r="142" spans="1:37" x14ac:dyDescent="0.3">
      <c r="A142" s="65">
        <v>141</v>
      </c>
      <c r="B142" s="63">
        <v>46304</v>
      </c>
      <c r="C142" s="66" t="s">
        <v>266</v>
      </c>
      <c r="D142" s="66" t="s">
        <v>127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75"/>
      <c r="T142" s="67"/>
      <c r="U142" s="67"/>
      <c r="V142" s="67"/>
      <c r="W142" s="67"/>
      <c r="X142" s="67"/>
      <c r="Y142" s="76"/>
      <c r="Z142" s="67"/>
      <c r="AA142" s="67"/>
      <c r="AB142" s="67"/>
      <c r="AC142" s="67"/>
      <c r="AD142" s="67"/>
      <c r="AE142" s="67"/>
      <c r="AF142" s="75"/>
      <c r="AG142" s="67"/>
      <c r="AH142" s="67"/>
      <c r="AI142" s="67"/>
      <c r="AJ142" s="62"/>
      <c r="AK142" s="62"/>
    </row>
    <row r="143" spans="1:37" x14ac:dyDescent="0.3">
      <c r="A143" s="65">
        <v>142</v>
      </c>
      <c r="B143" s="63">
        <v>46305</v>
      </c>
      <c r="C143" s="66" t="s">
        <v>267</v>
      </c>
      <c r="D143" s="66" t="s">
        <v>64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75"/>
      <c r="T143" s="67"/>
      <c r="U143" s="67"/>
      <c r="V143" s="67"/>
      <c r="W143" s="67"/>
      <c r="X143" s="67"/>
      <c r="Y143" s="76"/>
      <c r="Z143" s="67"/>
      <c r="AA143" s="67"/>
      <c r="AB143" s="67"/>
      <c r="AC143" s="67"/>
      <c r="AD143" s="67"/>
      <c r="AE143" s="67"/>
      <c r="AF143" s="75"/>
      <c r="AG143" s="67"/>
      <c r="AH143" s="67"/>
      <c r="AI143" s="67"/>
      <c r="AJ143" s="62"/>
      <c r="AK143" s="62"/>
    </row>
    <row r="144" spans="1:37" x14ac:dyDescent="0.3">
      <c r="A144" s="65">
        <v>143</v>
      </c>
      <c r="B144" s="63">
        <v>46306</v>
      </c>
      <c r="C144" s="66" t="s">
        <v>290</v>
      </c>
      <c r="D144" s="66" t="s">
        <v>63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75"/>
      <c r="T144" s="67"/>
      <c r="U144" s="67"/>
      <c r="V144" s="67"/>
      <c r="W144" s="67"/>
      <c r="X144" s="67"/>
      <c r="Y144" s="76"/>
      <c r="Z144" s="67"/>
      <c r="AA144" s="67"/>
      <c r="AB144" s="67"/>
      <c r="AC144" s="67"/>
      <c r="AD144" s="67"/>
      <c r="AE144" s="67"/>
      <c r="AF144" s="75"/>
      <c r="AG144" s="67"/>
      <c r="AH144" s="67"/>
      <c r="AI144" s="67"/>
      <c r="AJ144" s="62"/>
      <c r="AK144" s="62"/>
    </row>
    <row r="145" spans="1:37" x14ac:dyDescent="0.3">
      <c r="A145" s="65">
        <v>144</v>
      </c>
      <c r="B145" s="63">
        <v>46308</v>
      </c>
      <c r="C145" s="66" t="s">
        <v>309</v>
      </c>
      <c r="D145" s="66" t="s">
        <v>101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75"/>
      <c r="T145" s="67"/>
      <c r="U145" s="67"/>
      <c r="V145" s="67"/>
      <c r="W145" s="67"/>
      <c r="X145" s="67"/>
      <c r="Y145" s="76"/>
      <c r="Z145" s="67"/>
      <c r="AA145" s="92" t="s">
        <v>358</v>
      </c>
      <c r="AB145" s="67"/>
      <c r="AC145" s="67"/>
      <c r="AD145" s="67"/>
      <c r="AE145" s="67"/>
      <c r="AF145" s="75"/>
      <c r="AG145" s="67"/>
      <c r="AH145" s="67"/>
      <c r="AI145" s="67"/>
      <c r="AJ145" s="62"/>
      <c r="AK145" s="62"/>
    </row>
    <row r="146" spans="1:37" x14ac:dyDescent="0.3">
      <c r="A146" s="65">
        <v>145</v>
      </c>
      <c r="B146" s="63">
        <v>46309</v>
      </c>
      <c r="C146" s="66" t="s">
        <v>291</v>
      </c>
      <c r="D146" s="66" t="s">
        <v>97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75"/>
      <c r="R146" s="67"/>
      <c r="S146" s="75"/>
      <c r="T146" s="67"/>
      <c r="U146" s="67"/>
      <c r="V146" s="67"/>
      <c r="W146" s="67"/>
      <c r="X146" s="67"/>
      <c r="Y146" s="76"/>
      <c r="Z146" s="67"/>
      <c r="AA146" s="67"/>
      <c r="AB146" s="67"/>
      <c r="AC146" s="67"/>
      <c r="AD146" s="67"/>
      <c r="AE146" s="67"/>
      <c r="AF146" s="75"/>
      <c r="AG146" s="67"/>
      <c r="AH146" s="67"/>
      <c r="AI146" s="67"/>
      <c r="AJ146" s="62"/>
      <c r="AK146" s="62"/>
    </row>
    <row r="147" spans="1:37" x14ac:dyDescent="0.3">
      <c r="A147" s="65">
        <v>146</v>
      </c>
      <c r="B147" s="63">
        <v>46310</v>
      </c>
      <c r="C147" s="66" t="s">
        <v>316</v>
      </c>
      <c r="D147" s="66" t="s">
        <v>96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75"/>
      <c r="T147" s="67"/>
      <c r="U147" s="67"/>
      <c r="V147" s="67"/>
      <c r="W147" s="67"/>
      <c r="X147" s="67"/>
      <c r="Y147" s="76"/>
      <c r="Z147" s="67"/>
      <c r="AA147" s="67"/>
      <c r="AB147" s="67"/>
      <c r="AC147" s="67"/>
      <c r="AD147" s="67"/>
      <c r="AE147" s="67"/>
      <c r="AF147" s="75"/>
      <c r="AG147" s="67"/>
      <c r="AH147" s="67"/>
      <c r="AI147" s="67"/>
      <c r="AJ147" s="62"/>
      <c r="AK147" s="62"/>
    </row>
    <row r="148" spans="1:37" x14ac:dyDescent="0.3">
      <c r="A148" s="65">
        <v>147</v>
      </c>
      <c r="B148" s="63">
        <v>46311</v>
      </c>
      <c r="C148" s="66" t="s">
        <v>310</v>
      </c>
      <c r="D148" s="66" t="s">
        <v>127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75"/>
      <c r="T148" s="67"/>
      <c r="U148" s="67"/>
      <c r="V148" s="67"/>
      <c r="W148" s="67"/>
      <c r="X148" s="67"/>
      <c r="Y148" s="76"/>
      <c r="Z148" s="67"/>
      <c r="AA148" s="69"/>
      <c r="AB148" s="67"/>
      <c r="AC148" s="67"/>
      <c r="AD148" s="67"/>
      <c r="AE148" s="67"/>
      <c r="AF148" s="75"/>
      <c r="AG148" s="67"/>
      <c r="AH148" s="67"/>
      <c r="AI148" s="67"/>
      <c r="AJ148" s="62"/>
      <c r="AK148" s="62"/>
    </row>
    <row r="149" spans="1:37" x14ac:dyDescent="0.3">
      <c r="A149" s="65">
        <v>148</v>
      </c>
      <c r="B149" s="63">
        <v>46312</v>
      </c>
      <c r="C149" s="66" t="s">
        <v>292</v>
      </c>
      <c r="D149" s="66" t="s">
        <v>64</v>
      </c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75"/>
      <c r="T149" s="67"/>
      <c r="U149" s="67"/>
      <c r="V149" s="67"/>
      <c r="W149" s="67"/>
      <c r="X149" s="67"/>
      <c r="Y149" s="76"/>
      <c r="Z149" s="67"/>
      <c r="AA149" s="67"/>
      <c r="AB149" s="67"/>
      <c r="AC149" s="67"/>
      <c r="AD149" s="67"/>
      <c r="AE149" s="67"/>
      <c r="AF149" s="75"/>
      <c r="AG149" s="67"/>
      <c r="AH149" s="67"/>
      <c r="AI149" s="67"/>
      <c r="AJ149" s="62"/>
      <c r="AK149" s="62"/>
    </row>
    <row r="150" spans="1:37" x14ac:dyDescent="0.3">
      <c r="A150" s="65">
        <v>149</v>
      </c>
      <c r="B150" s="63">
        <v>46313</v>
      </c>
      <c r="C150" s="66" t="s">
        <v>153</v>
      </c>
      <c r="D150" s="67" t="s">
        <v>63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76"/>
      <c r="Z150" s="67"/>
      <c r="AA150" s="67"/>
      <c r="AB150" s="67"/>
      <c r="AC150" s="67"/>
      <c r="AD150" s="67"/>
      <c r="AE150" s="67"/>
      <c r="AF150" s="75"/>
      <c r="AG150" s="67"/>
      <c r="AH150" s="67"/>
      <c r="AI150" s="67"/>
      <c r="AJ150" s="62"/>
      <c r="AK150" s="62"/>
    </row>
    <row r="151" spans="1:37" x14ac:dyDescent="0.3">
      <c r="A151" s="65">
        <v>150</v>
      </c>
      <c r="B151" s="63">
        <v>46314</v>
      </c>
      <c r="C151" s="66" t="s">
        <v>236</v>
      </c>
      <c r="D151" s="66" t="s">
        <v>98</v>
      </c>
      <c r="E151" s="67"/>
      <c r="F151" s="67"/>
      <c r="G151" s="67"/>
      <c r="H151" s="69"/>
      <c r="I151" s="67"/>
      <c r="J151" s="67"/>
      <c r="K151" s="67"/>
      <c r="L151" s="92" t="s">
        <v>358</v>
      </c>
      <c r="M151" s="67"/>
      <c r="N151" s="92" t="s">
        <v>358</v>
      </c>
      <c r="O151" s="92" t="s">
        <v>358</v>
      </c>
      <c r="P151" s="67"/>
      <c r="Q151" s="92" t="s">
        <v>358</v>
      </c>
      <c r="R151" s="92" t="s">
        <v>358</v>
      </c>
      <c r="S151" s="92" t="s">
        <v>358</v>
      </c>
      <c r="T151" s="92" t="s">
        <v>358</v>
      </c>
      <c r="U151" s="67"/>
      <c r="V151" s="92" t="s">
        <v>358</v>
      </c>
      <c r="W151" s="92" t="s">
        <v>358</v>
      </c>
      <c r="X151" s="92" t="s">
        <v>358</v>
      </c>
      <c r="Y151" s="76"/>
      <c r="Z151" s="67"/>
      <c r="AA151" s="67"/>
      <c r="AB151" s="67"/>
      <c r="AC151" s="67"/>
      <c r="AD151" s="67"/>
      <c r="AE151" s="92" t="s">
        <v>358</v>
      </c>
      <c r="AF151" s="92" t="s">
        <v>358</v>
      </c>
      <c r="AG151" s="69"/>
      <c r="AH151" s="69"/>
      <c r="AI151" s="67"/>
      <c r="AJ151" s="62"/>
      <c r="AK151" s="62"/>
    </row>
    <row r="152" spans="1:37" x14ac:dyDescent="0.3">
      <c r="A152" s="65">
        <v>151</v>
      </c>
      <c r="B152" s="63">
        <v>46315</v>
      </c>
      <c r="C152" s="66" t="s">
        <v>169</v>
      </c>
      <c r="D152" s="66" t="s">
        <v>101</v>
      </c>
      <c r="E152" s="92" t="str">
        <f>VLOOKUP(B152,'All ecxept A grades - 13 days'!B151:E340,4,0)</f>
        <v>Digi_Festival</v>
      </c>
      <c r="F152" s="92" t="str">
        <f>VLOOKUP(C152,'All ecxept A grades - 13 days'!C151:F345,4,0)</f>
        <v>Digi_Festival</v>
      </c>
      <c r="G152" s="92" t="s">
        <v>358</v>
      </c>
      <c r="H152" s="92" t="s">
        <v>358</v>
      </c>
      <c r="I152" s="92" t="s">
        <v>358</v>
      </c>
      <c r="J152" s="92" t="s">
        <v>358</v>
      </c>
      <c r="K152" s="92" t="s">
        <v>358</v>
      </c>
      <c r="L152" s="75"/>
      <c r="M152" s="92" t="s">
        <v>358</v>
      </c>
      <c r="N152" s="92" t="s">
        <v>358</v>
      </c>
      <c r="O152" s="92" t="s">
        <v>358</v>
      </c>
      <c r="P152" s="92" t="s">
        <v>358</v>
      </c>
      <c r="Q152" s="67"/>
      <c r="R152" s="67"/>
      <c r="S152" s="92" t="s">
        <v>358</v>
      </c>
      <c r="T152" s="92" t="s">
        <v>358</v>
      </c>
      <c r="U152" s="92" t="s">
        <v>358</v>
      </c>
      <c r="V152" s="92" t="s">
        <v>358</v>
      </c>
      <c r="W152" s="67"/>
      <c r="X152" s="92" t="s">
        <v>358</v>
      </c>
      <c r="Y152" s="92" t="s">
        <v>358</v>
      </c>
      <c r="Z152" s="92" t="s">
        <v>358</v>
      </c>
      <c r="AA152" s="67"/>
      <c r="AB152" s="92" t="s">
        <v>358</v>
      </c>
      <c r="AC152" s="92" t="str">
        <f>VLOOKUP(B152,'All ecxept A grades - 13 days'!B151:AC342,28,0)</f>
        <v>Digi_Festival</v>
      </c>
      <c r="AD152" s="92" t="s">
        <v>358</v>
      </c>
      <c r="AE152" s="67"/>
      <c r="AF152" s="92" t="s">
        <v>358</v>
      </c>
      <c r="AG152" s="92" t="s">
        <v>358</v>
      </c>
      <c r="AH152" s="92" t="s">
        <v>358</v>
      </c>
      <c r="AI152" s="92" t="s">
        <v>358</v>
      </c>
      <c r="AJ152" s="94" t="s">
        <v>358</v>
      </c>
      <c r="AK152" s="94" t="s">
        <v>358</v>
      </c>
    </row>
    <row r="153" spans="1:37" x14ac:dyDescent="0.3">
      <c r="A153" s="65">
        <v>152</v>
      </c>
      <c r="B153" s="63">
        <v>46316</v>
      </c>
      <c r="C153" s="66" t="s">
        <v>293</v>
      </c>
      <c r="D153" s="66" t="s">
        <v>97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75"/>
      <c r="T153" s="69"/>
      <c r="U153" s="67"/>
      <c r="V153" s="67"/>
      <c r="W153" s="67"/>
      <c r="X153" s="67"/>
      <c r="Y153" s="76"/>
      <c r="Z153" s="67"/>
      <c r="AA153" s="67"/>
      <c r="AB153" s="67"/>
      <c r="AC153" s="67"/>
      <c r="AD153" s="67"/>
      <c r="AE153" s="67"/>
      <c r="AF153" s="75"/>
      <c r="AG153" s="67"/>
      <c r="AH153" s="67"/>
      <c r="AI153" s="67"/>
      <c r="AJ153" s="62"/>
      <c r="AK153" s="62"/>
    </row>
    <row r="154" spans="1:37" x14ac:dyDescent="0.3">
      <c r="A154" s="65">
        <v>153</v>
      </c>
      <c r="B154" s="63">
        <v>46320</v>
      </c>
      <c r="C154" s="66" t="s">
        <v>325</v>
      </c>
      <c r="D154" s="66" t="s">
        <v>63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75"/>
      <c r="T154" s="67"/>
      <c r="U154" s="67"/>
      <c r="V154" s="67"/>
      <c r="W154" s="67"/>
      <c r="X154" s="67"/>
      <c r="Y154" s="76"/>
      <c r="Z154" s="67"/>
      <c r="AA154" s="67"/>
      <c r="AB154" s="67"/>
      <c r="AC154" s="67"/>
      <c r="AD154" s="67"/>
      <c r="AE154" s="67"/>
      <c r="AF154" s="75"/>
      <c r="AG154" s="67"/>
      <c r="AH154" s="67"/>
      <c r="AI154" s="67"/>
      <c r="AJ154" s="62"/>
      <c r="AK154" s="62"/>
    </row>
    <row r="155" spans="1:37" x14ac:dyDescent="0.3">
      <c r="A155" s="65">
        <v>154</v>
      </c>
      <c r="B155" s="63">
        <v>46321</v>
      </c>
      <c r="C155" s="66" t="s">
        <v>317</v>
      </c>
      <c r="D155" s="66" t="s">
        <v>98</v>
      </c>
      <c r="E155" s="67"/>
      <c r="F155" s="67"/>
      <c r="G155" s="67"/>
      <c r="H155" s="69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75"/>
      <c r="T155" s="67"/>
      <c r="U155" s="67"/>
      <c r="V155" s="67"/>
      <c r="W155" s="67"/>
      <c r="X155" s="67"/>
      <c r="Y155" s="76"/>
      <c r="Z155" s="67"/>
      <c r="AA155" s="67"/>
      <c r="AB155" s="67"/>
      <c r="AC155" s="67"/>
      <c r="AD155" s="67"/>
      <c r="AE155" s="67"/>
      <c r="AF155" s="75"/>
      <c r="AG155" s="67"/>
      <c r="AH155" s="67"/>
      <c r="AI155" s="67"/>
      <c r="AJ155" s="62"/>
      <c r="AK155" s="62"/>
    </row>
    <row r="156" spans="1:37" x14ac:dyDescent="0.3">
      <c r="A156" s="65">
        <v>155</v>
      </c>
      <c r="B156" s="63">
        <v>46322</v>
      </c>
      <c r="C156" s="66" t="s">
        <v>365</v>
      </c>
      <c r="D156" s="66" t="s">
        <v>101</v>
      </c>
      <c r="E156" s="67"/>
      <c r="F156" s="67"/>
      <c r="G156" s="67"/>
      <c r="H156" s="69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75"/>
      <c r="T156" s="67"/>
      <c r="U156" s="67"/>
      <c r="V156" s="67"/>
      <c r="W156" s="67"/>
      <c r="X156" s="67"/>
      <c r="Y156" s="76"/>
      <c r="Z156" s="67"/>
      <c r="AA156" s="67"/>
      <c r="AB156" s="67"/>
      <c r="AC156" s="67"/>
      <c r="AD156" s="67"/>
      <c r="AE156" s="67"/>
      <c r="AF156" s="75"/>
      <c r="AG156" s="67"/>
      <c r="AH156" s="67"/>
      <c r="AI156" s="67"/>
      <c r="AJ156" s="62"/>
      <c r="AK156" s="62"/>
    </row>
    <row r="157" spans="1:37" x14ac:dyDescent="0.3">
      <c r="A157" s="65">
        <v>156</v>
      </c>
      <c r="B157" s="63">
        <v>46324</v>
      </c>
      <c r="C157" s="66" t="s">
        <v>268</v>
      </c>
      <c r="D157" s="66" t="s">
        <v>96</v>
      </c>
      <c r="E157" s="67"/>
      <c r="F157" s="67"/>
      <c r="G157" s="67"/>
      <c r="H157" s="69"/>
      <c r="I157" s="67"/>
      <c r="J157" s="67"/>
      <c r="K157" s="96"/>
      <c r="L157" s="67"/>
      <c r="M157" s="67"/>
      <c r="N157" s="67"/>
      <c r="O157" s="67"/>
      <c r="P157" s="67"/>
      <c r="Q157" s="67"/>
      <c r="R157" s="67"/>
      <c r="S157" s="75"/>
      <c r="T157" s="67"/>
      <c r="U157" s="67"/>
      <c r="V157" s="67"/>
      <c r="W157" s="67"/>
      <c r="X157" s="67"/>
      <c r="Y157" s="76"/>
      <c r="Z157" s="67"/>
      <c r="AA157" s="67"/>
      <c r="AB157" s="67"/>
      <c r="AC157" s="67"/>
      <c r="AD157" s="67"/>
      <c r="AE157" s="67"/>
      <c r="AF157" s="75"/>
      <c r="AG157" s="67"/>
      <c r="AH157" s="67"/>
      <c r="AI157" s="67"/>
      <c r="AJ157" s="62"/>
      <c r="AK157" s="62"/>
    </row>
    <row r="158" spans="1:37" x14ac:dyDescent="0.3">
      <c r="A158" s="65">
        <v>157</v>
      </c>
      <c r="B158" s="63">
        <v>46326</v>
      </c>
      <c r="C158" s="66" t="s">
        <v>329</v>
      </c>
      <c r="D158" s="66" t="s">
        <v>64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75"/>
      <c r="T158" s="67"/>
      <c r="U158" s="67"/>
      <c r="V158" s="67"/>
      <c r="W158" s="67"/>
      <c r="X158" s="67"/>
      <c r="Y158" s="76"/>
      <c r="Z158" s="67"/>
      <c r="AA158" s="67"/>
      <c r="AB158" s="67"/>
      <c r="AC158" s="67"/>
      <c r="AD158" s="67"/>
      <c r="AE158" s="67"/>
      <c r="AF158" s="75"/>
      <c r="AG158" s="67"/>
      <c r="AH158" s="67"/>
      <c r="AI158" s="67"/>
      <c r="AJ158" s="62"/>
      <c r="AK158" s="62"/>
    </row>
    <row r="159" spans="1:37" x14ac:dyDescent="0.3">
      <c r="A159" s="65">
        <v>158</v>
      </c>
      <c r="B159" s="63">
        <v>46327</v>
      </c>
      <c r="C159" s="66" t="s">
        <v>320</v>
      </c>
      <c r="D159" s="66" t="s">
        <v>63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75"/>
      <c r="T159" s="67"/>
      <c r="U159" s="67"/>
      <c r="V159" s="67"/>
      <c r="W159" s="67"/>
      <c r="X159" s="67"/>
      <c r="Y159" s="76"/>
      <c r="Z159" s="67"/>
      <c r="AA159" s="67"/>
      <c r="AB159" s="67"/>
      <c r="AC159" s="67"/>
      <c r="AD159" s="69"/>
      <c r="AE159" s="67"/>
      <c r="AF159" s="67"/>
      <c r="AG159" s="67"/>
      <c r="AH159" s="67"/>
      <c r="AI159" s="67"/>
      <c r="AJ159" s="62"/>
      <c r="AK159" s="62"/>
    </row>
    <row r="160" spans="1:37" x14ac:dyDescent="0.3">
      <c r="A160" s="65">
        <v>159</v>
      </c>
      <c r="B160" s="63">
        <v>46328</v>
      </c>
      <c r="C160" s="66" t="s">
        <v>311</v>
      </c>
      <c r="D160" s="66" t="s">
        <v>98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75"/>
      <c r="T160" s="67"/>
      <c r="U160" s="67"/>
      <c r="V160" s="67"/>
      <c r="W160" s="67"/>
      <c r="X160" s="67"/>
      <c r="Y160" s="76"/>
      <c r="Z160" s="67"/>
      <c r="AA160" s="67"/>
      <c r="AB160" s="67"/>
      <c r="AC160" s="67"/>
      <c r="AD160" s="67"/>
      <c r="AE160" s="67"/>
      <c r="AF160" s="75"/>
      <c r="AG160" s="67"/>
      <c r="AH160" s="67"/>
      <c r="AI160" s="67"/>
      <c r="AJ160" s="62"/>
      <c r="AK160" s="62"/>
    </row>
    <row r="161" spans="1:37" x14ac:dyDescent="0.3">
      <c r="A161" s="65">
        <v>160</v>
      </c>
      <c r="B161" s="63">
        <v>46330</v>
      </c>
      <c r="C161" s="66" t="s">
        <v>370</v>
      </c>
      <c r="D161" s="66" t="s">
        <v>97</v>
      </c>
      <c r="E161" s="67"/>
      <c r="F161" s="67"/>
      <c r="G161" s="67"/>
      <c r="H161" s="67"/>
      <c r="I161" s="67"/>
      <c r="J161" s="67"/>
      <c r="K161" s="96"/>
      <c r="L161" s="67"/>
      <c r="M161" s="67"/>
      <c r="N161" s="67"/>
      <c r="O161" s="67"/>
      <c r="P161" s="67"/>
      <c r="Q161" s="67"/>
      <c r="R161" s="67"/>
      <c r="S161" s="75"/>
      <c r="T161" s="67"/>
      <c r="U161" s="67"/>
      <c r="V161" s="67"/>
      <c r="W161" s="67"/>
      <c r="X161" s="67"/>
      <c r="Y161" s="76"/>
      <c r="Z161" s="67"/>
      <c r="AA161" s="67"/>
      <c r="AB161" s="67"/>
      <c r="AC161" s="67"/>
      <c r="AD161" s="67"/>
      <c r="AE161" s="67"/>
      <c r="AF161" s="75"/>
      <c r="AG161" s="67"/>
      <c r="AH161" s="67"/>
      <c r="AI161" s="67"/>
      <c r="AJ161" s="62"/>
      <c r="AK161" s="62"/>
    </row>
    <row r="162" spans="1:37" x14ac:dyDescent="0.3">
      <c r="A162" s="65">
        <v>161</v>
      </c>
      <c r="B162" s="63">
        <v>46333</v>
      </c>
      <c r="C162" s="66" t="s">
        <v>269</v>
      </c>
      <c r="D162" s="66" t="s">
        <v>64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75"/>
      <c r="T162" s="67"/>
      <c r="U162" s="67"/>
      <c r="V162" s="67"/>
      <c r="W162" s="67"/>
      <c r="X162" s="67"/>
      <c r="Y162" s="76"/>
      <c r="Z162" s="67"/>
      <c r="AA162" s="67"/>
      <c r="AB162" s="67"/>
      <c r="AC162" s="67"/>
      <c r="AD162" s="67"/>
      <c r="AE162" s="67"/>
      <c r="AF162" s="75"/>
      <c r="AG162" s="67"/>
      <c r="AH162" s="67"/>
      <c r="AI162" s="67"/>
      <c r="AJ162" s="62"/>
      <c r="AK162" s="62"/>
    </row>
    <row r="163" spans="1:37" ht="20" customHeight="1" x14ac:dyDescent="0.3">
      <c r="A163" s="65">
        <v>162</v>
      </c>
      <c r="B163" s="63">
        <v>46334</v>
      </c>
      <c r="C163" s="66" t="s">
        <v>184</v>
      </c>
      <c r="D163" s="67" t="s">
        <v>63</v>
      </c>
      <c r="E163" s="67"/>
      <c r="F163" s="67"/>
      <c r="G163" s="67"/>
      <c r="H163" s="69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75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2"/>
      <c r="AK163" s="62"/>
    </row>
    <row r="164" spans="1:37" ht="20" customHeight="1" x14ac:dyDescent="0.3">
      <c r="A164" s="65">
        <v>163</v>
      </c>
      <c r="B164" s="63">
        <v>46335</v>
      </c>
      <c r="C164" s="66" t="s">
        <v>205</v>
      </c>
      <c r="D164" s="66" t="s">
        <v>98</v>
      </c>
      <c r="E164" s="67"/>
      <c r="F164" s="67"/>
      <c r="G164" s="67"/>
      <c r="H164" s="69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75"/>
      <c r="T164" s="67"/>
      <c r="U164" s="67"/>
      <c r="V164" s="67"/>
      <c r="W164" s="75"/>
      <c r="X164" s="67"/>
      <c r="Y164" s="76"/>
      <c r="Z164" s="67"/>
      <c r="AA164" s="67"/>
      <c r="AB164" s="67"/>
      <c r="AC164" s="67"/>
      <c r="AD164" s="67"/>
      <c r="AE164" s="67"/>
      <c r="AF164" s="75"/>
      <c r="AG164" s="67"/>
      <c r="AH164" s="67"/>
      <c r="AI164" s="67"/>
      <c r="AJ164" s="62"/>
      <c r="AK164" s="62"/>
    </row>
    <row r="165" spans="1:37" x14ac:dyDescent="0.3">
      <c r="A165" s="65">
        <v>164</v>
      </c>
      <c r="B165" s="63">
        <v>46336</v>
      </c>
      <c r="C165" s="66" t="s">
        <v>171</v>
      </c>
      <c r="D165" s="66" t="s">
        <v>101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75"/>
      <c r="R165" s="67"/>
      <c r="S165" s="75"/>
      <c r="T165" s="67"/>
      <c r="U165" s="67"/>
      <c r="V165" s="67"/>
      <c r="W165" s="67"/>
      <c r="X165" s="67"/>
      <c r="Y165" s="76"/>
      <c r="Z165" s="67"/>
      <c r="AA165" s="67"/>
      <c r="AB165" s="67"/>
      <c r="AC165" s="67"/>
      <c r="AD165" s="67"/>
      <c r="AE165" s="67"/>
      <c r="AF165" s="75"/>
      <c r="AG165" s="67"/>
      <c r="AH165" s="67"/>
      <c r="AI165" s="67"/>
      <c r="AJ165" s="62"/>
      <c r="AK165" s="58"/>
    </row>
    <row r="166" spans="1:37" x14ac:dyDescent="0.3">
      <c r="A166" s="65">
        <v>165</v>
      </c>
      <c r="B166" s="63">
        <v>46337</v>
      </c>
      <c r="C166" s="66" t="s">
        <v>197</v>
      </c>
      <c r="D166" s="66" t="s">
        <v>97</v>
      </c>
      <c r="E166" s="67"/>
      <c r="F166" s="67"/>
      <c r="G166" s="67"/>
      <c r="H166" s="69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75"/>
      <c r="T166" s="67"/>
      <c r="U166" s="67"/>
      <c r="V166" s="67"/>
      <c r="W166" s="67"/>
      <c r="X166" s="67"/>
      <c r="Y166" s="76"/>
      <c r="Z166" s="67"/>
      <c r="AA166" s="67"/>
      <c r="AB166" s="67"/>
      <c r="AC166" s="67"/>
      <c r="AD166" s="67"/>
      <c r="AE166" s="67"/>
      <c r="AF166" s="75"/>
      <c r="AG166" s="67"/>
      <c r="AH166" s="67"/>
      <c r="AI166" s="67"/>
      <c r="AJ166" s="62"/>
      <c r="AK166" s="62"/>
    </row>
    <row r="167" spans="1:37" x14ac:dyDescent="0.3">
      <c r="A167" s="65">
        <v>166</v>
      </c>
      <c r="B167" s="63">
        <v>46338</v>
      </c>
      <c r="C167" s="66" t="s">
        <v>190</v>
      </c>
      <c r="D167" s="66" t="s">
        <v>191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75"/>
      <c r="T167" s="67"/>
      <c r="U167" s="67"/>
      <c r="V167" s="67"/>
      <c r="W167" s="67"/>
      <c r="X167" s="67"/>
      <c r="Y167" s="76"/>
      <c r="Z167" s="67"/>
      <c r="AA167" s="67"/>
      <c r="AB167" s="67"/>
      <c r="AC167" s="67"/>
      <c r="AD167" s="67"/>
      <c r="AE167" s="67"/>
      <c r="AF167" s="75"/>
      <c r="AG167" s="67"/>
      <c r="AH167" s="67"/>
      <c r="AI167" s="67"/>
      <c r="AJ167" s="62"/>
      <c r="AK167" s="62"/>
    </row>
    <row r="168" spans="1:37" x14ac:dyDescent="0.3">
      <c r="A168" s="65">
        <v>167</v>
      </c>
      <c r="B168" s="63">
        <v>46339</v>
      </c>
      <c r="C168" s="66" t="s">
        <v>157</v>
      </c>
      <c r="D168" s="66" t="s">
        <v>127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75"/>
      <c r="T168" s="67"/>
      <c r="U168" s="67"/>
      <c r="V168" s="67"/>
      <c r="W168" s="67"/>
      <c r="X168" s="92" t="s">
        <v>358</v>
      </c>
      <c r="Y168" s="76"/>
      <c r="Z168" s="67"/>
      <c r="AA168" s="67"/>
      <c r="AB168" s="67"/>
      <c r="AC168" s="67"/>
      <c r="AD168" s="67"/>
      <c r="AE168" s="67"/>
      <c r="AF168" s="75"/>
      <c r="AG168" s="67"/>
      <c r="AH168" s="67"/>
      <c r="AI168" s="67"/>
      <c r="AJ168" s="62"/>
      <c r="AK168" s="62"/>
    </row>
    <row r="169" spans="1:37" x14ac:dyDescent="0.3">
      <c r="A169" s="65">
        <v>168</v>
      </c>
      <c r="B169" s="63">
        <v>46341</v>
      </c>
      <c r="C169" s="66" t="s">
        <v>154</v>
      </c>
      <c r="D169" s="66" t="s">
        <v>63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75"/>
      <c r="T169" s="67"/>
      <c r="U169" s="67"/>
      <c r="V169" s="67"/>
      <c r="W169" s="67"/>
      <c r="X169" s="67"/>
      <c r="Y169" s="76"/>
      <c r="Z169" s="67"/>
      <c r="AA169" s="67"/>
      <c r="AB169" s="67"/>
      <c r="AC169" s="67"/>
      <c r="AD169" s="67"/>
      <c r="AE169" s="67"/>
      <c r="AF169" s="75"/>
      <c r="AG169" s="67"/>
      <c r="AH169" s="67"/>
      <c r="AI169" s="67"/>
      <c r="AJ169" s="62"/>
      <c r="AK169" s="62"/>
    </row>
    <row r="170" spans="1:37" x14ac:dyDescent="0.3">
      <c r="A170" s="65">
        <v>169</v>
      </c>
      <c r="B170" s="63">
        <v>46342</v>
      </c>
      <c r="C170" s="66" t="s">
        <v>270</v>
      </c>
      <c r="D170" s="66" t="s">
        <v>98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92" t="s">
        <v>358</v>
      </c>
      <c r="R170" s="92" t="s">
        <v>358</v>
      </c>
      <c r="S170" s="75"/>
      <c r="T170" s="67"/>
      <c r="U170" s="67"/>
      <c r="V170" s="67"/>
      <c r="W170" s="67"/>
      <c r="X170" s="67"/>
      <c r="Y170" s="76"/>
      <c r="Z170" s="67"/>
      <c r="AA170" s="67"/>
      <c r="AB170" s="67"/>
      <c r="AC170" s="67"/>
      <c r="AD170" s="67"/>
      <c r="AE170" s="67"/>
      <c r="AF170" s="75"/>
      <c r="AG170" s="67"/>
      <c r="AH170" s="67"/>
      <c r="AI170" s="67"/>
      <c r="AJ170" s="62"/>
      <c r="AK170" s="62"/>
    </row>
    <row r="171" spans="1:37" x14ac:dyDescent="0.3">
      <c r="A171" s="65">
        <v>170</v>
      </c>
      <c r="B171" s="63">
        <v>46346</v>
      </c>
      <c r="C171" s="66" t="s">
        <v>271</v>
      </c>
      <c r="D171" s="66" t="s">
        <v>127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75"/>
      <c r="T171" s="67"/>
      <c r="U171" s="67"/>
      <c r="V171" s="67"/>
      <c r="W171" s="67"/>
      <c r="X171" s="67"/>
      <c r="Y171" s="76"/>
      <c r="Z171" s="67"/>
      <c r="AA171" s="67"/>
      <c r="AB171" s="67"/>
      <c r="AC171" s="67"/>
      <c r="AD171" s="67"/>
      <c r="AE171" s="67"/>
      <c r="AF171" s="75"/>
      <c r="AG171" s="67"/>
      <c r="AH171" s="67"/>
      <c r="AI171" s="67"/>
      <c r="AJ171" s="62"/>
      <c r="AK171" s="62"/>
    </row>
    <row r="172" spans="1:37" x14ac:dyDescent="0.3">
      <c r="A172" s="65">
        <v>171</v>
      </c>
      <c r="B172" s="63">
        <v>46349</v>
      </c>
      <c r="C172" s="66" t="s">
        <v>158</v>
      </c>
      <c r="D172" s="66" t="s">
        <v>98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75"/>
      <c r="T172" s="67"/>
      <c r="U172" s="67"/>
      <c r="V172" s="67"/>
      <c r="W172" s="67"/>
      <c r="X172" s="67"/>
      <c r="Y172" s="76"/>
      <c r="Z172" s="67"/>
      <c r="AA172" s="67"/>
      <c r="AB172" s="67"/>
      <c r="AC172" s="67"/>
      <c r="AD172" s="67"/>
      <c r="AE172" s="67"/>
      <c r="AF172" s="75"/>
      <c r="AG172" s="67"/>
      <c r="AH172" s="67"/>
      <c r="AI172" s="67"/>
      <c r="AJ172" s="62"/>
      <c r="AK172" s="62"/>
    </row>
    <row r="173" spans="1:37" x14ac:dyDescent="0.3">
      <c r="A173" s="65">
        <v>172</v>
      </c>
      <c r="B173" s="63">
        <v>46350</v>
      </c>
      <c r="C173" s="66" t="s">
        <v>295</v>
      </c>
      <c r="D173" s="66" t="s">
        <v>101</v>
      </c>
      <c r="E173" s="92" t="str">
        <f>VLOOKUP(B173,'All ecxept A grades - 13 days'!B172:E359,4,0)</f>
        <v>Digi_Festival</v>
      </c>
      <c r="F173" s="92" t="str">
        <f>VLOOKUP(C173,'All ecxept A grades - 13 days'!C172:F366,4,0)</f>
        <v>Digi_Festival</v>
      </c>
      <c r="G173" s="92" t="s">
        <v>358</v>
      </c>
      <c r="H173" s="92" t="s">
        <v>358</v>
      </c>
      <c r="I173" s="92" t="s">
        <v>358</v>
      </c>
      <c r="J173" s="67"/>
      <c r="K173" s="92" t="s">
        <v>358</v>
      </c>
      <c r="L173" s="92" t="s">
        <v>358</v>
      </c>
      <c r="M173" s="92" t="s">
        <v>358</v>
      </c>
      <c r="N173" s="69"/>
      <c r="O173" s="92" t="s">
        <v>358</v>
      </c>
      <c r="P173" s="92" t="s">
        <v>358</v>
      </c>
      <c r="Q173" s="67"/>
      <c r="R173" s="92" t="s">
        <v>358</v>
      </c>
      <c r="S173" s="69"/>
      <c r="T173" s="92" t="s">
        <v>358</v>
      </c>
      <c r="U173" s="96"/>
      <c r="V173" s="67"/>
      <c r="W173" s="67"/>
      <c r="X173" s="67"/>
      <c r="Y173" s="69"/>
      <c r="Z173" s="96"/>
      <c r="AA173" s="92" t="s">
        <v>358</v>
      </c>
      <c r="AB173" s="92" t="s">
        <v>358</v>
      </c>
      <c r="AC173" s="92" t="str">
        <f>VLOOKUP(B173,'All ecxept A grades - 13 days'!B172:AC362,28,0)</f>
        <v>Digi_Festival</v>
      </c>
      <c r="AD173" s="67"/>
      <c r="AE173" s="67"/>
      <c r="AF173" s="69"/>
      <c r="AG173" s="67"/>
      <c r="AH173" s="67"/>
      <c r="AI173" s="67"/>
      <c r="AJ173" s="94" t="s">
        <v>358</v>
      </c>
      <c r="AK173" s="69"/>
    </row>
    <row r="174" spans="1:37" x14ac:dyDescent="0.3">
      <c r="A174" s="65">
        <v>173</v>
      </c>
      <c r="B174" s="63">
        <v>46352</v>
      </c>
      <c r="C174" s="66" t="s">
        <v>229</v>
      </c>
      <c r="D174" s="66" t="s">
        <v>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75"/>
      <c r="T174" s="67"/>
      <c r="U174" s="67"/>
      <c r="V174" s="67"/>
      <c r="W174" s="67"/>
      <c r="X174" s="67"/>
      <c r="Y174" s="76"/>
      <c r="Z174" s="67"/>
      <c r="AA174" s="67"/>
      <c r="AB174" s="67"/>
      <c r="AC174" s="67"/>
      <c r="AD174" s="67"/>
      <c r="AE174" s="67"/>
      <c r="AF174" s="75"/>
      <c r="AG174" s="67"/>
      <c r="AH174" s="67"/>
      <c r="AI174" s="67"/>
      <c r="AJ174" s="62"/>
      <c r="AK174" s="62"/>
    </row>
    <row r="175" spans="1:37" x14ac:dyDescent="0.3">
      <c r="A175" s="65">
        <v>174</v>
      </c>
      <c r="B175" s="63">
        <v>46353</v>
      </c>
      <c r="C175" s="66" t="s">
        <v>140</v>
      </c>
      <c r="D175" s="66" t="s">
        <v>127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75"/>
      <c r="T175" s="67"/>
      <c r="U175" s="67"/>
      <c r="V175" s="67"/>
      <c r="W175" s="67"/>
      <c r="X175" s="67"/>
      <c r="Y175" s="76"/>
      <c r="Z175" s="67"/>
      <c r="AA175" s="67"/>
      <c r="AB175" s="67"/>
      <c r="AC175" s="67"/>
      <c r="AD175" s="67"/>
      <c r="AE175" s="67"/>
      <c r="AF175" s="75"/>
      <c r="AG175" s="67"/>
      <c r="AH175" s="67"/>
      <c r="AI175" s="67"/>
      <c r="AJ175" s="62"/>
      <c r="AK175" s="62"/>
    </row>
    <row r="176" spans="1:37" x14ac:dyDescent="0.3">
      <c r="A176" s="65">
        <v>175</v>
      </c>
      <c r="B176" s="63">
        <v>46358</v>
      </c>
      <c r="C176" s="66" t="s">
        <v>301</v>
      </c>
      <c r="D176" s="66" t="s">
        <v>97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75"/>
      <c r="T176" s="67"/>
      <c r="U176" s="67"/>
      <c r="V176" s="67"/>
      <c r="W176" s="67"/>
      <c r="X176" s="67"/>
      <c r="Y176" s="76"/>
      <c r="Z176" s="67"/>
      <c r="AA176" s="67"/>
      <c r="AB176" s="67"/>
      <c r="AC176" s="67"/>
      <c r="AD176" s="67"/>
      <c r="AE176" s="67"/>
      <c r="AF176" s="75"/>
      <c r="AG176" s="67"/>
      <c r="AH176" s="67"/>
      <c r="AI176" s="67"/>
      <c r="AJ176" s="62"/>
      <c r="AK176" s="62"/>
    </row>
    <row r="177" spans="1:37" x14ac:dyDescent="0.3">
      <c r="A177" s="65">
        <v>176</v>
      </c>
      <c r="B177" s="63">
        <v>46359</v>
      </c>
      <c r="C177" s="66" t="s">
        <v>147</v>
      </c>
      <c r="D177" s="66" t="s">
        <v>96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75"/>
      <c r="T177" s="67"/>
      <c r="U177" s="67"/>
      <c r="V177" s="67"/>
      <c r="W177" s="67"/>
      <c r="X177" s="67"/>
      <c r="Y177" s="76"/>
      <c r="Z177" s="67"/>
      <c r="AA177" s="67"/>
      <c r="AB177" s="67"/>
      <c r="AC177" s="67"/>
      <c r="AD177" s="67"/>
      <c r="AE177" s="67"/>
      <c r="AF177" s="75"/>
      <c r="AG177" s="67"/>
      <c r="AH177" s="67"/>
      <c r="AI177" s="62"/>
      <c r="AJ177" s="62"/>
      <c r="AK177" s="62"/>
    </row>
    <row r="178" spans="1:37" x14ac:dyDescent="0.3">
      <c r="A178" s="65">
        <v>177</v>
      </c>
      <c r="B178" s="63">
        <v>46365</v>
      </c>
      <c r="C178" s="66" t="s">
        <v>195</v>
      </c>
      <c r="D178" s="66" t="s">
        <v>97</v>
      </c>
      <c r="E178" s="67"/>
      <c r="F178" s="67"/>
      <c r="G178" s="67"/>
      <c r="H178" s="67"/>
      <c r="I178" s="67"/>
      <c r="J178" s="92" t="s">
        <v>358</v>
      </c>
      <c r="K178" s="67"/>
      <c r="L178" s="67"/>
      <c r="M178" s="67"/>
      <c r="N178" s="67"/>
      <c r="O178" s="67"/>
      <c r="P178" s="67"/>
      <c r="Q178" s="67"/>
      <c r="R178" s="67"/>
      <c r="S178" s="75"/>
      <c r="T178" s="67"/>
      <c r="U178" s="67"/>
      <c r="V178" s="67"/>
      <c r="W178" s="67"/>
      <c r="X178" s="67"/>
      <c r="Y178" s="76"/>
      <c r="Z178" s="67"/>
      <c r="AA178" s="67"/>
      <c r="AB178" s="67"/>
      <c r="AC178" s="67"/>
      <c r="AD178" s="67"/>
      <c r="AE178" s="67"/>
      <c r="AF178" s="75"/>
      <c r="AG178" s="67"/>
      <c r="AH178" s="67"/>
      <c r="AI178" s="75"/>
      <c r="AJ178" s="62"/>
      <c r="AK178" s="62"/>
    </row>
    <row r="179" spans="1:37" x14ac:dyDescent="0.3">
      <c r="A179" s="65">
        <v>178</v>
      </c>
      <c r="B179" s="63">
        <v>46366</v>
      </c>
      <c r="C179" s="66" t="s">
        <v>319</v>
      </c>
      <c r="D179" s="66" t="s">
        <v>96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75"/>
      <c r="T179" s="67"/>
      <c r="U179" s="67"/>
      <c r="V179" s="67"/>
      <c r="W179" s="67"/>
      <c r="X179" s="67"/>
      <c r="Y179" s="76"/>
      <c r="Z179" s="67"/>
      <c r="AA179" s="75"/>
      <c r="AB179" s="67"/>
      <c r="AC179" s="67"/>
      <c r="AD179" s="67"/>
      <c r="AE179" s="67"/>
      <c r="AF179" s="75"/>
      <c r="AG179" s="67"/>
      <c r="AH179" s="67"/>
      <c r="AI179" s="67"/>
      <c r="AJ179" s="62"/>
      <c r="AK179" s="62"/>
    </row>
    <row r="180" spans="1:37" x14ac:dyDescent="0.3">
      <c r="A180" s="65">
        <v>179</v>
      </c>
      <c r="B180" s="63">
        <v>46367</v>
      </c>
      <c r="C180" s="66" t="s">
        <v>312</v>
      </c>
      <c r="D180" s="66" t="s">
        <v>127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75"/>
      <c r="T180" s="67"/>
      <c r="U180" s="67"/>
      <c r="V180" s="67"/>
      <c r="W180" s="67"/>
      <c r="X180" s="67"/>
      <c r="Y180" s="76"/>
      <c r="Z180" s="67"/>
      <c r="AA180" s="75"/>
      <c r="AB180" s="67"/>
      <c r="AC180" s="67"/>
      <c r="AD180" s="67"/>
      <c r="AE180" s="67"/>
      <c r="AF180" s="75"/>
      <c r="AG180" s="67"/>
      <c r="AH180" s="67"/>
      <c r="AI180" s="67"/>
      <c r="AJ180" s="62"/>
      <c r="AK180" s="62"/>
    </row>
    <row r="181" spans="1:37" x14ac:dyDescent="0.3">
      <c r="A181" s="65">
        <v>180</v>
      </c>
      <c r="B181" s="63">
        <v>46368</v>
      </c>
      <c r="C181" s="66" t="s">
        <v>159</v>
      </c>
      <c r="D181" s="66" t="s">
        <v>64</v>
      </c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75"/>
      <c r="T181" s="67"/>
      <c r="U181" s="67"/>
      <c r="V181" s="67"/>
      <c r="W181" s="67"/>
      <c r="X181" s="67"/>
      <c r="Y181" s="76"/>
      <c r="Z181" s="67"/>
      <c r="AA181" s="67"/>
      <c r="AB181" s="67"/>
      <c r="AC181" s="67"/>
      <c r="AD181" s="67"/>
      <c r="AE181" s="67"/>
      <c r="AF181" s="75"/>
      <c r="AG181" s="67"/>
      <c r="AH181" s="67"/>
      <c r="AI181" s="67"/>
      <c r="AJ181" s="62"/>
      <c r="AK181" s="62"/>
    </row>
    <row r="182" spans="1:37" x14ac:dyDescent="0.3">
      <c r="A182" s="65">
        <v>181</v>
      </c>
      <c r="B182" s="63">
        <v>46369</v>
      </c>
      <c r="C182" s="66" t="s">
        <v>294</v>
      </c>
      <c r="D182" s="66" t="s">
        <v>96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75"/>
      <c r="T182" s="67"/>
      <c r="U182" s="67"/>
      <c r="V182" s="67"/>
      <c r="W182" s="67"/>
      <c r="X182" s="67"/>
      <c r="Y182" s="76"/>
      <c r="Z182" s="67"/>
      <c r="AA182" s="67"/>
      <c r="AB182" s="67"/>
      <c r="AC182" s="67"/>
      <c r="AD182" s="67"/>
      <c r="AE182" s="67"/>
      <c r="AF182" s="75"/>
      <c r="AG182" s="67"/>
      <c r="AH182" s="67"/>
      <c r="AI182" s="67"/>
      <c r="AJ182" s="62"/>
      <c r="AK182" s="62"/>
    </row>
    <row r="183" spans="1:37" x14ac:dyDescent="0.3">
      <c r="A183" s="65">
        <v>182</v>
      </c>
      <c r="B183" s="63">
        <v>46370</v>
      </c>
      <c r="C183" s="66" t="s">
        <v>273</v>
      </c>
      <c r="D183" s="66" t="s">
        <v>98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75"/>
      <c r="T183" s="67"/>
      <c r="U183" s="67"/>
      <c r="V183" s="67"/>
      <c r="W183" s="67"/>
      <c r="X183" s="67"/>
      <c r="Y183" s="76"/>
      <c r="Z183" s="67"/>
      <c r="AA183" s="67"/>
      <c r="AB183" s="67"/>
      <c r="AC183" s="67"/>
      <c r="AD183" s="67"/>
      <c r="AE183" s="67"/>
      <c r="AF183" s="75"/>
      <c r="AG183" s="67"/>
      <c r="AH183" s="67"/>
      <c r="AI183" s="67"/>
      <c r="AJ183" s="62"/>
      <c r="AK183" s="62"/>
    </row>
    <row r="184" spans="1:37" x14ac:dyDescent="0.3">
      <c r="A184" s="65">
        <v>183</v>
      </c>
      <c r="B184" s="63">
        <v>46371</v>
      </c>
      <c r="C184" s="66" t="s">
        <v>313</v>
      </c>
      <c r="D184" s="66" t="s">
        <v>101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75"/>
      <c r="T184" s="67"/>
      <c r="U184" s="67"/>
      <c r="V184" s="67"/>
      <c r="W184" s="67"/>
      <c r="X184" s="67"/>
      <c r="Y184" s="76"/>
      <c r="Z184" s="67"/>
      <c r="AA184" s="67"/>
      <c r="AB184" s="67"/>
      <c r="AC184" s="67"/>
      <c r="AD184" s="67"/>
      <c r="AE184" s="67"/>
      <c r="AF184" s="75"/>
      <c r="AG184" s="67"/>
      <c r="AH184" s="67"/>
      <c r="AI184" s="67"/>
      <c r="AJ184" s="62"/>
      <c r="AK184" s="62"/>
    </row>
    <row r="185" spans="1:37" x14ac:dyDescent="0.3">
      <c r="A185" s="65">
        <v>184</v>
      </c>
      <c r="B185" s="63">
        <v>46372</v>
      </c>
      <c r="C185" s="66" t="s">
        <v>314</v>
      </c>
      <c r="D185" s="66" t="s">
        <v>97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75"/>
      <c r="T185" s="67"/>
      <c r="U185" s="67"/>
      <c r="V185" s="67"/>
      <c r="W185" s="67"/>
      <c r="X185" s="67"/>
      <c r="Y185" s="76"/>
      <c r="Z185" s="67"/>
      <c r="AA185" s="67"/>
      <c r="AB185" s="67"/>
      <c r="AC185" s="67"/>
      <c r="AD185" s="67"/>
      <c r="AE185" s="67"/>
      <c r="AF185" s="75"/>
      <c r="AG185" s="67"/>
      <c r="AH185" s="67"/>
      <c r="AI185" s="67"/>
      <c r="AJ185" s="62"/>
      <c r="AK185" s="62"/>
    </row>
    <row r="186" spans="1:37" x14ac:dyDescent="0.3">
      <c r="A186" s="65">
        <v>185</v>
      </c>
      <c r="B186" s="63">
        <v>46374</v>
      </c>
      <c r="C186" s="66" t="s">
        <v>274</v>
      </c>
      <c r="D186" s="66" t="s">
        <v>127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75"/>
      <c r="T186" s="67"/>
      <c r="U186" s="67"/>
      <c r="V186" s="67"/>
      <c r="W186" s="67"/>
      <c r="X186" s="67"/>
      <c r="Y186" s="76"/>
      <c r="Z186" s="67"/>
      <c r="AA186" s="67"/>
      <c r="AB186" s="67"/>
      <c r="AC186" s="67"/>
      <c r="AD186" s="67"/>
      <c r="AE186" s="67"/>
      <c r="AF186" s="75"/>
      <c r="AG186" s="67"/>
      <c r="AH186" s="67"/>
      <c r="AI186" s="67"/>
      <c r="AJ186" s="62"/>
      <c r="AK186" s="62"/>
    </row>
    <row r="187" spans="1:37" x14ac:dyDescent="0.3">
      <c r="A187" s="65">
        <v>186</v>
      </c>
      <c r="B187" s="63">
        <v>46375</v>
      </c>
      <c r="C187" s="66" t="s">
        <v>148</v>
      </c>
      <c r="D187" s="66" t="s">
        <v>64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75"/>
      <c r="T187" s="67"/>
      <c r="U187" s="67"/>
      <c r="V187" s="67"/>
      <c r="W187" s="67"/>
      <c r="X187" s="67"/>
      <c r="Y187" s="76"/>
      <c r="Z187" s="67"/>
      <c r="AA187" s="67"/>
      <c r="AB187" s="67"/>
      <c r="AC187" s="67"/>
      <c r="AD187" s="67"/>
      <c r="AE187" s="67"/>
      <c r="AF187" s="75"/>
      <c r="AG187" s="67"/>
      <c r="AH187" s="67"/>
      <c r="AI187" s="92" t="s">
        <v>357</v>
      </c>
      <c r="AJ187" s="62"/>
      <c r="AK187" s="62"/>
    </row>
    <row r="188" spans="1:37" x14ac:dyDescent="0.3">
      <c r="A188" s="65">
        <v>187</v>
      </c>
      <c r="B188" s="63">
        <v>46379</v>
      </c>
      <c r="C188" s="66" t="s">
        <v>275</v>
      </c>
      <c r="D188" s="66" t="s">
        <v>97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75"/>
      <c r="T188" s="67"/>
      <c r="U188" s="67"/>
      <c r="V188" s="67"/>
      <c r="W188" s="67"/>
      <c r="X188" s="67"/>
      <c r="Y188" s="76"/>
      <c r="Z188" s="67"/>
      <c r="AA188" s="67"/>
      <c r="AB188" s="67"/>
      <c r="AC188" s="67"/>
      <c r="AD188" s="67"/>
      <c r="AE188" s="67"/>
      <c r="AF188" s="75"/>
      <c r="AG188" s="67"/>
      <c r="AH188" s="67"/>
      <c r="AI188" s="67"/>
      <c r="AJ188" s="62"/>
      <c r="AK188" s="62"/>
    </row>
    <row r="189" spans="1:37" x14ac:dyDescent="0.3">
      <c r="A189" s="65">
        <v>188</v>
      </c>
      <c r="B189" s="63">
        <v>46380</v>
      </c>
      <c r="C189" s="66" t="s">
        <v>230</v>
      </c>
      <c r="D189" s="66" t="s">
        <v>96</v>
      </c>
      <c r="E189" s="67"/>
      <c r="F189" s="67"/>
      <c r="G189" s="67"/>
      <c r="H189" s="69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75"/>
      <c r="T189" s="67"/>
      <c r="U189" s="67"/>
      <c r="V189" s="67"/>
      <c r="W189" s="67"/>
      <c r="X189" s="69"/>
      <c r="Y189" s="75"/>
      <c r="Z189" s="67"/>
      <c r="AA189" s="67"/>
      <c r="AB189" s="67"/>
      <c r="AC189" s="67"/>
      <c r="AD189" s="67"/>
      <c r="AE189" s="67"/>
      <c r="AF189" s="75"/>
      <c r="AG189" s="67"/>
      <c r="AH189" s="67"/>
      <c r="AI189" s="67"/>
      <c r="AJ189" s="62"/>
      <c r="AK189" s="62"/>
    </row>
    <row r="190" spans="1:37" x14ac:dyDescent="0.3">
      <c r="A190" s="65">
        <v>189</v>
      </c>
      <c r="B190" s="63">
        <v>46381</v>
      </c>
      <c r="C190" s="66" t="s">
        <v>126</v>
      </c>
      <c r="D190" s="66" t="s">
        <v>127</v>
      </c>
      <c r="E190" s="92" t="str">
        <f>VLOOKUP(B190,'All ecxept A grades - 13 days'!B189:E376,4,0)</f>
        <v>Digi_Festival</v>
      </c>
      <c r="F190" s="92" t="str">
        <f>VLOOKUP(C190,'All ecxept A grades - 13 days'!C189:F383,4,0)</f>
        <v>Digi_Festival</v>
      </c>
      <c r="G190" s="92" t="s">
        <v>358</v>
      </c>
      <c r="H190" s="92" t="s">
        <v>358</v>
      </c>
      <c r="I190" s="92" t="s">
        <v>358</v>
      </c>
      <c r="J190" s="92" t="s">
        <v>358</v>
      </c>
      <c r="K190" s="92" t="s">
        <v>358</v>
      </c>
      <c r="L190" s="92" t="s">
        <v>358</v>
      </c>
      <c r="M190" s="92" t="s">
        <v>358</v>
      </c>
      <c r="N190" s="92" t="s">
        <v>358</v>
      </c>
      <c r="O190" s="92" t="s">
        <v>358</v>
      </c>
      <c r="P190" s="92" t="s">
        <v>358</v>
      </c>
      <c r="Q190" s="92" t="s">
        <v>358</v>
      </c>
      <c r="R190" s="92" t="s">
        <v>358</v>
      </c>
      <c r="S190" s="92" t="s">
        <v>358</v>
      </c>
      <c r="T190" s="92" t="s">
        <v>358</v>
      </c>
      <c r="U190" s="92" t="s">
        <v>358</v>
      </c>
      <c r="V190" s="92" t="s">
        <v>358</v>
      </c>
      <c r="W190" s="92" t="s">
        <v>358</v>
      </c>
      <c r="X190" s="92" t="s">
        <v>358</v>
      </c>
      <c r="Y190" s="92" t="s">
        <v>358</v>
      </c>
      <c r="Z190" s="92" t="s">
        <v>358</v>
      </c>
      <c r="AA190" s="92" t="s">
        <v>358</v>
      </c>
      <c r="AB190" s="92" t="s">
        <v>358</v>
      </c>
      <c r="AC190" s="92" t="str">
        <f>VLOOKUP(B190,'All ecxept A grades - 13 days'!B189:AC379,28,0)</f>
        <v>Digi_Festival</v>
      </c>
      <c r="AD190" s="92" t="s">
        <v>358</v>
      </c>
      <c r="AE190" s="67"/>
      <c r="AF190" s="92" t="s">
        <v>358</v>
      </c>
      <c r="AG190" s="92" t="s">
        <v>358</v>
      </c>
      <c r="AH190" s="92" t="str">
        <f>VLOOKUP(B190,'All ecxept A grades - 13 days'!B189:AH382,33,0)</f>
        <v>Digi_Festival</v>
      </c>
      <c r="AI190" s="92" t="s">
        <v>358</v>
      </c>
      <c r="AJ190" s="94" t="s">
        <v>358</v>
      </c>
      <c r="AK190" s="94" t="s">
        <v>358</v>
      </c>
    </row>
    <row r="191" spans="1:37" x14ac:dyDescent="0.3">
      <c r="A191" s="65">
        <v>190</v>
      </c>
      <c r="B191" s="63">
        <v>46382</v>
      </c>
      <c r="C191" s="66" t="s">
        <v>304</v>
      </c>
      <c r="D191" s="66" t="s">
        <v>64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75"/>
      <c r="T191" s="67"/>
      <c r="U191" s="67"/>
      <c r="V191" s="67"/>
      <c r="W191" s="67"/>
      <c r="X191" s="67"/>
      <c r="Y191" s="75"/>
      <c r="Z191" s="67"/>
      <c r="AA191" s="67"/>
      <c r="AB191" s="67"/>
      <c r="AC191" s="67"/>
      <c r="AD191" s="67"/>
      <c r="AE191" s="67"/>
      <c r="AF191" s="75"/>
      <c r="AG191" s="67"/>
      <c r="AH191" s="67"/>
      <c r="AI191" s="67"/>
      <c r="AJ191" s="62"/>
      <c r="AK191" s="62"/>
    </row>
    <row r="192" spans="1:37" x14ac:dyDescent="0.3">
      <c r="A192" s="65">
        <v>191</v>
      </c>
      <c r="B192" s="63">
        <v>46383</v>
      </c>
      <c r="C192" s="66" t="s">
        <v>304</v>
      </c>
      <c r="D192" s="66" t="s">
        <v>63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75"/>
      <c r="T192" s="67"/>
      <c r="U192" s="67"/>
      <c r="V192" s="67"/>
      <c r="W192" s="67"/>
      <c r="X192" s="67"/>
      <c r="Y192" s="76"/>
      <c r="Z192" s="67"/>
      <c r="AA192" s="67"/>
      <c r="AB192" s="67"/>
      <c r="AC192" s="67"/>
      <c r="AD192" s="67"/>
      <c r="AE192" s="67"/>
      <c r="AF192" s="75"/>
      <c r="AG192" s="67"/>
      <c r="AH192" s="67"/>
      <c r="AI192" s="67"/>
      <c r="AJ192" s="62"/>
      <c r="AK192" s="62"/>
    </row>
    <row r="193" spans="1:16352" x14ac:dyDescent="0.3">
      <c r="A193" s="65">
        <v>192</v>
      </c>
      <c r="B193" s="63">
        <v>46384</v>
      </c>
      <c r="C193" s="66" t="s">
        <v>315</v>
      </c>
      <c r="D193" s="66" t="s">
        <v>98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75"/>
      <c r="T193" s="67"/>
      <c r="U193" s="67"/>
      <c r="V193" s="67"/>
      <c r="W193" s="67"/>
      <c r="X193" s="67"/>
      <c r="Y193" s="76"/>
      <c r="Z193" s="67"/>
      <c r="AA193" s="67"/>
      <c r="AB193" s="67"/>
      <c r="AC193" s="67"/>
      <c r="AD193" s="67"/>
      <c r="AE193" s="67"/>
      <c r="AF193" s="75"/>
      <c r="AG193" s="67"/>
      <c r="AH193" s="67"/>
      <c r="AI193" s="67"/>
      <c r="AJ193" s="62"/>
      <c r="AK193" s="62"/>
    </row>
    <row r="194" spans="1:16352" x14ac:dyDescent="0.3">
      <c r="A194" s="65">
        <v>193</v>
      </c>
      <c r="B194" s="64">
        <v>46386</v>
      </c>
      <c r="C194" s="65" t="s">
        <v>161</v>
      </c>
      <c r="D194" s="65" t="s">
        <v>97</v>
      </c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75"/>
      <c r="T194" s="67"/>
      <c r="U194" s="67"/>
      <c r="V194" s="67"/>
      <c r="W194" s="67"/>
      <c r="X194" s="67"/>
      <c r="Y194" s="76"/>
      <c r="Z194" s="67"/>
      <c r="AA194" s="67"/>
      <c r="AB194" s="67"/>
      <c r="AC194" s="67"/>
      <c r="AD194" s="67"/>
      <c r="AE194" s="67"/>
      <c r="AF194" s="75"/>
      <c r="AG194" s="67"/>
      <c r="AH194" s="67"/>
      <c r="AI194" s="67"/>
      <c r="AJ194" s="62"/>
      <c r="AK194" s="62"/>
    </row>
    <row r="195" spans="1:16352" x14ac:dyDescent="0.3">
      <c r="A195" s="65">
        <v>194</v>
      </c>
      <c r="B195" s="64">
        <v>46387</v>
      </c>
      <c r="C195" s="65" t="s">
        <v>167</v>
      </c>
      <c r="D195" s="65" t="s">
        <v>96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75"/>
      <c r="T195" s="67"/>
      <c r="U195" s="67"/>
      <c r="V195" s="67"/>
      <c r="W195" s="67"/>
      <c r="X195" s="67"/>
      <c r="Y195" s="92" t="s">
        <v>358</v>
      </c>
      <c r="Z195" s="67"/>
      <c r="AA195" s="67"/>
      <c r="AB195" s="67"/>
      <c r="AC195" s="67"/>
      <c r="AD195" s="67"/>
      <c r="AE195" s="67"/>
      <c r="AF195" s="75"/>
      <c r="AG195" s="67"/>
      <c r="AH195" s="67"/>
      <c r="AI195" s="67"/>
      <c r="AJ195" s="62"/>
      <c r="AK195" s="62"/>
    </row>
    <row r="196" spans="1:16352" s="85" customFormat="1" ht="12.5" customHeight="1" x14ac:dyDescent="0.35">
      <c r="A196" s="83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  <c r="FU196" s="84"/>
      <c r="FV196" s="84"/>
      <c r="FW196" s="84"/>
      <c r="FX196" s="84"/>
      <c r="FY196" s="84"/>
      <c r="FZ196" s="84"/>
      <c r="GA196" s="84"/>
      <c r="GB196" s="84"/>
      <c r="GC196" s="84"/>
      <c r="GD196" s="84"/>
      <c r="GE196" s="84"/>
      <c r="GF196" s="84"/>
      <c r="GG196" s="84"/>
      <c r="GH196" s="84"/>
      <c r="GI196" s="84"/>
      <c r="GJ196" s="84"/>
      <c r="GK196" s="84"/>
      <c r="GL196" s="84"/>
      <c r="GM196" s="84"/>
      <c r="GN196" s="84"/>
      <c r="GO196" s="84"/>
      <c r="GP196" s="84"/>
      <c r="GQ196" s="84"/>
      <c r="GR196" s="84"/>
      <c r="GS196" s="84"/>
      <c r="GT196" s="84"/>
      <c r="GU196" s="84"/>
      <c r="GV196" s="84"/>
      <c r="GW196" s="84"/>
      <c r="GX196" s="84"/>
      <c r="GY196" s="84"/>
      <c r="GZ196" s="84"/>
      <c r="HA196" s="84"/>
      <c r="HB196" s="84"/>
      <c r="HC196" s="84"/>
      <c r="HD196" s="84"/>
      <c r="HE196" s="84"/>
      <c r="HF196" s="84"/>
      <c r="HG196" s="84"/>
      <c r="HH196" s="84"/>
      <c r="HI196" s="84"/>
      <c r="HJ196" s="84"/>
      <c r="HK196" s="84"/>
      <c r="HL196" s="84"/>
      <c r="HM196" s="84"/>
      <c r="HN196" s="84"/>
      <c r="HO196" s="84"/>
      <c r="HP196" s="84"/>
      <c r="HQ196" s="84"/>
      <c r="HR196" s="84"/>
      <c r="HS196" s="84"/>
      <c r="HT196" s="84"/>
      <c r="HU196" s="84"/>
      <c r="HV196" s="84"/>
      <c r="HW196" s="84"/>
      <c r="HX196" s="84"/>
      <c r="HY196" s="84"/>
      <c r="HZ196" s="84"/>
      <c r="IA196" s="84"/>
      <c r="IB196" s="84"/>
      <c r="IC196" s="84"/>
      <c r="ID196" s="84"/>
      <c r="IE196" s="84"/>
      <c r="IF196" s="84"/>
      <c r="IG196" s="84"/>
      <c r="IH196" s="84"/>
      <c r="II196" s="84"/>
      <c r="IJ196" s="84"/>
      <c r="IK196" s="84"/>
      <c r="IL196" s="84"/>
      <c r="IM196" s="84"/>
      <c r="IN196" s="84"/>
      <c r="IO196" s="84"/>
      <c r="IP196" s="84"/>
      <c r="IQ196" s="84"/>
      <c r="IR196" s="84"/>
      <c r="IS196" s="84"/>
      <c r="IT196" s="84"/>
      <c r="IU196" s="84"/>
      <c r="IV196" s="84"/>
      <c r="IW196" s="84"/>
      <c r="IX196" s="84"/>
      <c r="IY196" s="84"/>
      <c r="IZ196" s="84"/>
      <c r="JA196" s="84"/>
      <c r="JB196" s="84"/>
      <c r="JC196" s="84"/>
      <c r="JD196" s="84"/>
      <c r="JE196" s="84"/>
      <c r="JF196" s="84"/>
      <c r="JG196" s="84"/>
      <c r="JH196" s="84"/>
      <c r="JI196" s="84"/>
      <c r="JJ196" s="84"/>
      <c r="JK196" s="84"/>
      <c r="JL196" s="84"/>
      <c r="JM196" s="84"/>
      <c r="JN196" s="84"/>
      <c r="JO196" s="84"/>
      <c r="JP196" s="84"/>
      <c r="JQ196" s="84"/>
      <c r="JR196" s="84"/>
      <c r="JS196" s="84"/>
      <c r="JT196" s="84"/>
      <c r="JU196" s="84"/>
      <c r="JV196" s="84"/>
      <c r="JW196" s="84"/>
      <c r="JX196" s="84"/>
      <c r="JY196" s="84"/>
      <c r="JZ196" s="84"/>
      <c r="KA196" s="84"/>
      <c r="KB196" s="84"/>
      <c r="KC196" s="84"/>
      <c r="KD196" s="84"/>
      <c r="KE196" s="84"/>
      <c r="KF196" s="84"/>
      <c r="KG196" s="84"/>
      <c r="KH196" s="84"/>
      <c r="KI196" s="84"/>
      <c r="KJ196" s="84"/>
      <c r="KK196" s="84"/>
      <c r="KL196" s="84"/>
      <c r="KM196" s="84"/>
      <c r="KN196" s="84"/>
      <c r="KO196" s="84"/>
      <c r="KP196" s="84"/>
      <c r="KQ196" s="84"/>
      <c r="KR196" s="84"/>
      <c r="KS196" s="84"/>
      <c r="KT196" s="84"/>
      <c r="KU196" s="84"/>
      <c r="KV196" s="84"/>
      <c r="KW196" s="84"/>
      <c r="KX196" s="84"/>
      <c r="KY196" s="84"/>
      <c r="KZ196" s="84"/>
      <c r="LA196" s="84"/>
      <c r="LB196" s="84"/>
      <c r="LC196" s="84"/>
      <c r="LD196" s="84"/>
      <c r="LE196" s="84"/>
      <c r="LF196" s="84"/>
      <c r="LG196" s="84"/>
      <c r="LH196" s="84"/>
      <c r="LI196" s="84"/>
      <c r="LJ196" s="84"/>
      <c r="LK196" s="84"/>
      <c r="LL196" s="84"/>
      <c r="LM196" s="84"/>
      <c r="LN196" s="84"/>
      <c r="LO196" s="84"/>
      <c r="LP196" s="84"/>
      <c r="LQ196" s="84"/>
      <c r="LR196" s="84"/>
      <c r="LS196" s="84"/>
      <c r="LT196" s="84"/>
      <c r="LU196" s="84"/>
      <c r="LV196" s="84"/>
      <c r="LW196" s="84"/>
      <c r="LX196" s="84"/>
      <c r="LY196" s="84"/>
      <c r="LZ196" s="84"/>
      <c r="MA196" s="84"/>
      <c r="MB196" s="84"/>
      <c r="MC196" s="84"/>
      <c r="MD196" s="84"/>
      <c r="ME196" s="84"/>
      <c r="MF196" s="84"/>
      <c r="MG196" s="84"/>
      <c r="MH196" s="84"/>
      <c r="MI196" s="84"/>
      <c r="MJ196" s="84"/>
      <c r="MK196" s="84"/>
      <c r="ML196" s="84"/>
      <c r="MM196" s="84"/>
      <c r="MN196" s="84"/>
      <c r="MO196" s="84"/>
      <c r="MP196" s="84"/>
      <c r="MQ196" s="84"/>
      <c r="MR196" s="84"/>
      <c r="MS196" s="84"/>
      <c r="MT196" s="84"/>
      <c r="MU196" s="84"/>
      <c r="MV196" s="84"/>
      <c r="MW196" s="84"/>
      <c r="MX196" s="84"/>
      <c r="MY196" s="84"/>
      <c r="MZ196" s="84"/>
      <c r="NA196" s="84"/>
      <c r="NB196" s="84"/>
      <c r="NC196" s="84"/>
      <c r="ND196" s="84"/>
      <c r="NE196" s="84"/>
      <c r="NF196" s="84"/>
      <c r="NG196" s="84"/>
      <c r="NH196" s="84"/>
      <c r="NI196" s="84"/>
      <c r="NJ196" s="84"/>
      <c r="NK196" s="84"/>
      <c r="NL196" s="84"/>
      <c r="NM196" s="84"/>
      <c r="NN196" s="84"/>
      <c r="NO196" s="84"/>
      <c r="NP196" s="84"/>
      <c r="NQ196" s="84"/>
      <c r="NR196" s="84"/>
      <c r="NS196" s="84"/>
      <c r="NT196" s="84"/>
      <c r="NU196" s="84"/>
      <c r="NV196" s="84"/>
      <c r="NW196" s="84"/>
      <c r="NX196" s="84"/>
      <c r="NY196" s="84"/>
      <c r="NZ196" s="84"/>
      <c r="OA196" s="84"/>
      <c r="OB196" s="84"/>
      <c r="OC196" s="84"/>
      <c r="OD196" s="84"/>
      <c r="OE196" s="84"/>
      <c r="OF196" s="84"/>
      <c r="OG196" s="84"/>
      <c r="OH196" s="84"/>
      <c r="OI196" s="84"/>
      <c r="OJ196" s="84"/>
      <c r="OK196" s="84"/>
      <c r="OL196" s="84"/>
      <c r="OM196" s="84"/>
      <c r="ON196" s="84"/>
      <c r="OO196" s="84"/>
      <c r="OP196" s="84"/>
      <c r="OQ196" s="84"/>
      <c r="OR196" s="84"/>
      <c r="OS196" s="84"/>
      <c r="OT196" s="84"/>
      <c r="OU196" s="84"/>
      <c r="OV196" s="84"/>
      <c r="OW196" s="84"/>
      <c r="OX196" s="84"/>
      <c r="OY196" s="84"/>
      <c r="OZ196" s="84"/>
      <c r="PA196" s="84"/>
      <c r="PB196" s="84"/>
      <c r="PC196" s="84"/>
      <c r="PD196" s="84"/>
      <c r="PE196" s="84"/>
      <c r="PF196" s="84"/>
      <c r="PG196" s="84"/>
      <c r="PH196" s="84"/>
      <c r="PI196" s="84"/>
      <c r="PJ196" s="84"/>
      <c r="PK196" s="84"/>
      <c r="PL196" s="84"/>
      <c r="PM196" s="84"/>
      <c r="PN196" s="84"/>
      <c r="PO196" s="84"/>
      <c r="PP196" s="84"/>
      <c r="PQ196" s="84"/>
      <c r="PR196" s="84"/>
      <c r="PS196" s="84"/>
      <c r="PT196" s="84"/>
      <c r="PU196" s="84"/>
      <c r="PV196" s="84"/>
      <c r="PW196" s="84"/>
      <c r="PX196" s="84"/>
      <c r="PY196" s="84"/>
      <c r="PZ196" s="84"/>
      <c r="QA196" s="84"/>
      <c r="QB196" s="84"/>
      <c r="QC196" s="84"/>
      <c r="QD196" s="84"/>
      <c r="QE196" s="84"/>
      <c r="QF196" s="84"/>
      <c r="QG196" s="84"/>
      <c r="QH196" s="84"/>
      <c r="QI196" s="84"/>
      <c r="QJ196" s="84"/>
      <c r="QK196" s="84"/>
      <c r="QL196" s="84"/>
      <c r="QM196" s="84"/>
      <c r="QN196" s="84"/>
      <c r="QO196" s="84"/>
      <c r="QP196" s="84"/>
      <c r="QQ196" s="84"/>
      <c r="QR196" s="84"/>
      <c r="QS196" s="84"/>
      <c r="QT196" s="84"/>
      <c r="QU196" s="84"/>
      <c r="QV196" s="84"/>
      <c r="QW196" s="84"/>
      <c r="QX196" s="84"/>
      <c r="QY196" s="84"/>
      <c r="QZ196" s="84"/>
      <c r="RA196" s="84"/>
      <c r="RB196" s="84"/>
      <c r="RC196" s="84"/>
      <c r="RD196" s="84"/>
      <c r="RE196" s="84"/>
      <c r="RF196" s="84"/>
      <c r="RG196" s="84"/>
      <c r="RH196" s="84"/>
      <c r="RI196" s="84"/>
      <c r="RJ196" s="84"/>
      <c r="RK196" s="84"/>
      <c r="RL196" s="84"/>
      <c r="RM196" s="84"/>
      <c r="RN196" s="84"/>
      <c r="RO196" s="84"/>
      <c r="RP196" s="84"/>
      <c r="RQ196" s="84"/>
      <c r="RR196" s="84"/>
      <c r="RS196" s="84"/>
      <c r="RT196" s="84"/>
      <c r="RU196" s="84"/>
      <c r="RV196" s="84"/>
      <c r="RW196" s="84"/>
      <c r="RX196" s="84"/>
      <c r="RY196" s="84"/>
      <c r="RZ196" s="84"/>
      <c r="SA196" s="84"/>
      <c r="SB196" s="84"/>
      <c r="SC196" s="84"/>
      <c r="SD196" s="84"/>
      <c r="SE196" s="84"/>
      <c r="SF196" s="84"/>
      <c r="SG196" s="84"/>
      <c r="SH196" s="84"/>
      <c r="SI196" s="84"/>
      <c r="SJ196" s="84"/>
      <c r="SK196" s="84"/>
      <c r="SL196" s="84"/>
      <c r="SM196" s="84"/>
      <c r="SN196" s="84"/>
      <c r="SO196" s="84"/>
      <c r="SP196" s="84"/>
      <c r="SQ196" s="84"/>
      <c r="SR196" s="84"/>
      <c r="SS196" s="84"/>
      <c r="ST196" s="84"/>
      <c r="SU196" s="84"/>
      <c r="SV196" s="84"/>
      <c r="SW196" s="84"/>
      <c r="SX196" s="84"/>
      <c r="SY196" s="84"/>
      <c r="SZ196" s="84"/>
      <c r="TA196" s="84"/>
      <c r="TB196" s="84"/>
      <c r="TC196" s="84"/>
      <c r="TD196" s="84"/>
      <c r="TE196" s="84"/>
      <c r="TF196" s="84"/>
      <c r="TG196" s="84"/>
      <c r="TH196" s="84"/>
      <c r="TI196" s="84"/>
      <c r="TJ196" s="84"/>
      <c r="TK196" s="84"/>
      <c r="TL196" s="84"/>
      <c r="TM196" s="84"/>
      <c r="TN196" s="84"/>
      <c r="TO196" s="84"/>
      <c r="TP196" s="84"/>
      <c r="TQ196" s="84"/>
      <c r="TR196" s="84"/>
      <c r="TS196" s="84"/>
      <c r="TT196" s="84"/>
      <c r="TU196" s="84"/>
      <c r="TV196" s="84"/>
      <c r="TW196" s="84"/>
      <c r="TX196" s="84"/>
      <c r="TY196" s="84"/>
      <c r="TZ196" s="84"/>
      <c r="UA196" s="84"/>
      <c r="UB196" s="84"/>
      <c r="UC196" s="84"/>
      <c r="UD196" s="84"/>
      <c r="UE196" s="84"/>
      <c r="UF196" s="84"/>
      <c r="UG196" s="84"/>
      <c r="UH196" s="84"/>
      <c r="UI196" s="84"/>
      <c r="UJ196" s="84"/>
      <c r="UK196" s="84"/>
      <c r="UL196" s="84"/>
      <c r="UM196" s="84"/>
      <c r="UN196" s="84"/>
      <c r="UO196" s="84"/>
      <c r="UP196" s="84"/>
      <c r="UQ196" s="84"/>
      <c r="UR196" s="84"/>
      <c r="US196" s="84"/>
      <c r="UT196" s="84"/>
      <c r="UU196" s="84"/>
      <c r="UV196" s="84"/>
      <c r="UW196" s="84"/>
      <c r="UX196" s="84"/>
      <c r="UY196" s="84"/>
      <c r="UZ196" s="84"/>
      <c r="VA196" s="84"/>
      <c r="VB196" s="84"/>
      <c r="VC196" s="84"/>
      <c r="VD196" s="84"/>
      <c r="VE196" s="84"/>
      <c r="VF196" s="84"/>
      <c r="VG196" s="84"/>
      <c r="VH196" s="84"/>
      <c r="VI196" s="84"/>
      <c r="VJ196" s="84"/>
      <c r="VK196" s="84"/>
      <c r="VL196" s="84"/>
      <c r="VM196" s="84"/>
      <c r="VN196" s="84"/>
      <c r="VO196" s="84"/>
      <c r="VP196" s="84"/>
      <c r="VQ196" s="84"/>
      <c r="VR196" s="84"/>
      <c r="VS196" s="84"/>
      <c r="VT196" s="84"/>
      <c r="VU196" s="84"/>
      <c r="VV196" s="84"/>
      <c r="VW196" s="84"/>
      <c r="VX196" s="84"/>
      <c r="VY196" s="84"/>
      <c r="VZ196" s="84"/>
      <c r="WA196" s="84"/>
      <c r="WB196" s="84"/>
      <c r="WC196" s="84"/>
      <c r="WD196" s="84"/>
      <c r="WE196" s="84"/>
      <c r="WF196" s="84"/>
      <c r="WG196" s="84"/>
      <c r="WH196" s="84"/>
      <c r="WI196" s="84"/>
      <c r="WJ196" s="84"/>
      <c r="WK196" s="84"/>
      <c r="WL196" s="84"/>
      <c r="WM196" s="84"/>
      <c r="WN196" s="84"/>
      <c r="WO196" s="84"/>
      <c r="WP196" s="84"/>
      <c r="WQ196" s="84"/>
      <c r="WR196" s="84"/>
      <c r="WS196" s="84"/>
      <c r="WT196" s="84"/>
      <c r="WU196" s="84"/>
      <c r="WV196" s="84"/>
      <c r="WW196" s="84"/>
      <c r="WX196" s="84"/>
      <c r="WY196" s="84"/>
      <c r="WZ196" s="84"/>
      <c r="XA196" s="84"/>
      <c r="XB196" s="84"/>
      <c r="XC196" s="84"/>
      <c r="XD196" s="84"/>
      <c r="XE196" s="84"/>
      <c r="XF196" s="84"/>
      <c r="XG196" s="84"/>
      <c r="XH196" s="84"/>
      <c r="XI196" s="84"/>
      <c r="XJ196" s="84"/>
      <c r="XK196" s="84"/>
      <c r="XL196" s="84"/>
      <c r="XM196" s="84"/>
      <c r="XN196" s="84"/>
      <c r="XO196" s="84"/>
      <c r="XP196" s="84"/>
      <c r="XQ196" s="84"/>
      <c r="XR196" s="84"/>
      <c r="XS196" s="84"/>
      <c r="XT196" s="84"/>
      <c r="XU196" s="84"/>
      <c r="XV196" s="84"/>
      <c r="XW196" s="84"/>
      <c r="XX196" s="84"/>
      <c r="XY196" s="84"/>
      <c r="XZ196" s="84"/>
      <c r="YA196" s="84"/>
      <c r="YB196" s="84"/>
      <c r="YC196" s="84"/>
      <c r="YD196" s="84"/>
      <c r="YE196" s="84"/>
      <c r="YF196" s="84"/>
      <c r="YG196" s="84"/>
      <c r="YH196" s="84"/>
      <c r="YI196" s="84"/>
      <c r="YJ196" s="84"/>
      <c r="YK196" s="84"/>
      <c r="YL196" s="84"/>
      <c r="YM196" s="84"/>
      <c r="YN196" s="84"/>
      <c r="YO196" s="84"/>
      <c r="YP196" s="84"/>
      <c r="YQ196" s="84"/>
      <c r="YR196" s="84"/>
      <c r="YS196" s="84"/>
      <c r="YT196" s="84"/>
      <c r="YU196" s="84"/>
      <c r="YV196" s="84"/>
      <c r="YW196" s="84"/>
      <c r="YX196" s="84"/>
      <c r="YY196" s="84"/>
      <c r="YZ196" s="84"/>
      <c r="ZA196" s="84"/>
      <c r="ZB196" s="84"/>
      <c r="ZC196" s="84"/>
      <c r="ZD196" s="84"/>
      <c r="ZE196" s="84"/>
      <c r="ZF196" s="84"/>
      <c r="ZG196" s="84"/>
      <c r="ZH196" s="84"/>
      <c r="ZI196" s="84"/>
      <c r="ZJ196" s="84"/>
      <c r="ZK196" s="84"/>
      <c r="ZL196" s="84"/>
      <c r="ZM196" s="84"/>
      <c r="ZN196" s="84"/>
      <c r="ZO196" s="84"/>
      <c r="ZP196" s="84"/>
      <c r="ZQ196" s="84"/>
      <c r="ZR196" s="84"/>
      <c r="ZS196" s="84"/>
      <c r="ZT196" s="84"/>
      <c r="ZU196" s="84"/>
      <c r="ZV196" s="84"/>
      <c r="ZW196" s="84"/>
      <c r="ZX196" s="84"/>
      <c r="ZY196" s="84"/>
      <c r="ZZ196" s="84"/>
      <c r="AAA196" s="84"/>
      <c r="AAB196" s="84"/>
      <c r="AAC196" s="84"/>
      <c r="AAD196" s="84"/>
      <c r="AAE196" s="84"/>
      <c r="AAF196" s="84"/>
      <c r="AAG196" s="84"/>
      <c r="AAH196" s="84"/>
      <c r="AAI196" s="84"/>
      <c r="AAJ196" s="84"/>
      <c r="AAK196" s="84"/>
      <c r="AAL196" s="84"/>
      <c r="AAM196" s="84"/>
      <c r="AAN196" s="84"/>
      <c r="AAO196" s="84"/>
      <c r="AAP196" s="84"/>
      <c r="AAQ196" s="84"/>
      <c r="AAR196" s="84"/>
      <c r="AAS196" s="84"/>
      <c r="AAT196" s="84"/>
      <c r="AAU196" s="84"/>
      <c r="AAV196" s="84"/>
      <c r="AAW196" s="84"/>
      <c r="AAX196" s="84"/>
      <c r="AAY196" s="84"/>
      <c r="AAZ196" s="84"/>
      <c r="ABA196" s="84"/>
      <c r="ABB196" s="84"/>
      <c r="ABC196" s="84"/>
      <c r="ABD196" s="84"/>
      <c r="ABE196" s="84"/>
      <c r="ABF196" s="84"/>
      <c r="ABG196" s="84"/>
      <c r="ABH196" s="84"/>
      <c r="ABI196" s="84"/>
      <c r="ABJ196" s="84"/>
      <c r="ABK196" s="84"/>
      <c r="ABL196" s="84"/>
      <c r="ABM196" s="84"/>
      <c r="ABN196" s="84"/>
      <c r="ABO196" s="84"/>
      <c r="ABP196" s="84"/>
      <c r="ABQ196" s="84"/>
      <c r="ABR196" s="84"/>
      <c r="ABS196" s="84"/>
      <c r="ABT196" s="84"/>
      <c r="ABU196" s="84"/>
      <c r="ABV196" s="84"/>
      <c r="ABW196" s="84"/>
      <c r="ABX196" s="84"/>
      <c r="ABY196" s="84"/>
      <c r="ABZ196" s="84"/>
      <c r="ACA196" s="84"/>
      <c r="ACB196" s="84"/>
      <c r="ACC196" s="84"/>
      <c r="ACD196" s="84"/>
      <c r="ACE196" s="84"/>
      <c r="ACF196" s="84"/>
      <c r="ACG196" s="84"/>
      <c r="ACH196" s="84"/>
      <c r="ACI196" s="84"/>
      <c r="ACJ196" s="84"/>
      <c r="ACK196" s="84"/>
      <c r="ACL196" s="84"/>
      <c r="ACM196" s="84"/>
      <c r="ACN196" s="84"/>
      <c r="ACO196" s="84"/>
      <c r="ACP196" s="84"/>
      <c r="ACQ196" s="84"/>
      <c r="ACR196" s="84"/>
      <c r="ACS196" s="84"/>
      <c r="ACT196" s="84"/>
      <c r="ACU196" s="84"/>
      <c r="ACV196" s="84"/>
      <c r="ACW196" s="84"/>
      <c r="ACX196" s="84"/>
      <c r="ACY196" s="84"/>
      <c r="ACZ196" s="84"/>
      <c r="ADA196" s="84"/>
      <c r="ADB196" s="84"/>
      <c r="ADC196" s="84"/>
      <c r="ADD196" s="84"/>
      <c r="ADE196" s="84"/>
      <c r="ADF196" s="84"/>
      <c r="ADG196" s="84"/>
      <c r="ADH196" s="84"/>
      <c r="ADI196" s="84"/>
      <c r="ADJ196" s="84"/>
      <c r="ADK196" s="84"/>
      <c r="ADL196" s="84"/>
      <c r="ADM196" s="84"/>
      <c r="ADN196" s="84"/>
      <c r="ADO196" s="84"/>
      <c r="ADP196" s="84"/>
      <c r="ADQ196" s="84"/>
      <c r="ADR196" s="84"/>
      <c r="ADS196" s="84"/>
      <c r="ADT196" s="84"/>
      <c r="ADU196" s="84"/>
      <c r="ADV196" s="84"/>
      <c r="ADW196" s="84"/>
      <c r="ADX196" s="84"/>
      <c r="ADY196" s="84"/>
      <c r="ADZ196" s="84"/>
      <c r="AEA196" s="84"/>
      <c r="AEB196" s="84"/>
      <c r="AEC196" s="84"/>
      <c r="AED196" s="84"/>
      <c r="AEE196" s="84"/>
      <c r="AEF196" s="84"/>
      <c r="AEG196" s="84"/>
      <c r="AEH196" s="84"/>
      <c r="AEI196" s="84"/>
      <c r="AEJ196" s="84"/>
      <c r="AEK196" s="84"/>
      <c r="AEL196" s="84"/>
      <c r="AEM196" s="84"/>
      <c r="AEN196" s="84"/>
      <c r="AEO196" s="84"/>
      <c r="AEP196" s="84"/>
      <c r="AEQ196" s="84"/>
      <c r="AER196" s="84"/>
      <c r="AES196" s="84"/>
      <c r="AET196" s="84"/>
      <c r="AEU196" s="84"/>
      <c r="AEV196" s="84"/>
      <c r="AEW196" s="84"/>
      <c r="AEX196" s="84"/>
      <c r="AEY196" s="84"/>
      <c r="AEZ196" s="84"/>
      <c r="AFA196" s="84"/>
      <c r="AFB196" s="84"/>
      <c r="AFC196" s="84"/>
      <c r="AFD196" s="84"/>
      <c r="AFE196" s="84"/>
      <c r="AFF196" s="84"/>
      <c r="AFG196" s="84"/>
      <c r="AFH196" s="84"/>
      <c r="AFI196" s="84"/>
      <c r="AFJ196" s="84"/>
      <c r="AFK196" s="84"/>
      <c r="AFL196" s="84"/>
      <c r="AFM196" s="84"/>
      <c r="AFN196" s="84"/>
      <c r="AFO196" s="84"/>
      <c r="AFP196" s="84"/>
      <c r="AFQ196" s="84"/>
      <c r="AFR196" s="84"/>
      <c r="AFS196" s="84"/>
      <c r="AFT196" s="84"/>
      <c r="AFU196" s="84"/>
      <c r="AFV196" s="84"/>
      <c r="AFW196" s="84"/>
      <c r="AFX196" s="84"/>
      <c r="AFY196" s="84"/>
      <c r="AFZ196" s="84"/>
      <c r="AGA196" s="84"/>
      <c r="AGB196" s="84"/>
      <c r="AGC196" s="84"/>
      <c r="AGD196" s="84"/>
      <c r="AGE196" s="84"/>
      <c r="AGF196" s="84"/>
      <c r="AGG196" s="84"/>
      <c r="AGH196" s="84"/>
      <c r="AGI196" s="84"/>
      <c r="AGJ196" s="84"/>
      <c r="AGK196" s="84"/>
      <c r="AGL196" s="84"/>
      <c r="AGM196" s="84"/>
      <c r="AGN196" s="84"/>
      <c r="AGO196" s="84"/>
      <c r="AGP196" s="84"/>
      <c r="AGQ196" s="84"/>
      <c r="AGR196" s="84"/>
      <c r="AGS196" s="84"/>
      <c r="AGT196" s="84"/>
      <c r="AGU196" s="84"/>
      <c r="AGV196" s="84"/>
      <c r="AGW196" s="84"/>
      <c r="AGX196" s="84"/>
      <c r="AGY196" s="84"/>
      <c r="AGZ196" s="84"/>
      <c r="AHA196" s="84"/>
      <c r="AHB196" s="84"/>
      <c r="AHC196" s="84"/>
      <c r="AHD196" s="84"/>
      <c r="AHE196" s="84"/>
      <c r="AHF196" s="84"/>
      <c r="AHG196" s="84"/>
      <c r="AHH196" s="84"/>
      <c r="AHI196" s="84"/>
      <c r="AHJ196" s="84"/>
      <c r="AHK196" s="84"/>
      <c r="AHL196" s="84"/>
      <c r="AHM196" s="84"/>
      <c r="AHN196" s="84"/>
      <c r="AHO196" s="84"/>
      <c r="AHP196" s="84"/>
      <c r="AHQ196" s="84"/>
      <c r="AHR196" s="84"/>
      <c r="AHS196" s="84"/>
      <c r="AHT196" s="84"/>
      <c r="AHU196" s="84"/>
      <c r="AHV196" s="84"/>
      <c r="AHW196" s="84"/>
      <c r="AHX196" s="84"/>
      <c r="AHY196" s="84"/>
      <c r="AHZ196" s="84"/>
      <c r="AIA196" s="84"/>
      <c r="AIB196" s="84"/>
      <c r="AIC196" s="84"/>
      <c r="AID196" s="84"/>
      <c r="AIE196" s="84"/>
      <c r="AIF196" s="84"/>
      <c r="AIG196" s="84"/>
      <c r="AIH196" s="84"/>
      <c r="AII196" s="84"/>
      <c r="AIJ196" s="84"/>
      <c r="AIK196" s="84"/>
      <c r="AIL196" s="84"/>
      <c r="AIM196" s="84"/>
      <c r="AIN196" s="84"/>
      <c r="AIO196" s="84"/>
      <c r="AIP196" s="84"/>
      <c r="AIQ196" s="84"/>
      <c r="AIR196" s="84"/>
      <c r="AIS196" s="84"/>
      <c r="AIT196" s="84"/>
      <c r="AIU196" s="84"/>
      <c r="AIV196" s="84"/>
      <c r="AIW196" s="84"/>
      <c r="AIX196" s="84"/>
      <c r="AIY196" s="84"/>
      <c r="AIZ196" s="84"/>
      <c r="AJA196" s="84"/>
      <c r="AJB196" s="84"/>
      <c r="AJC196" s="84"/>
      <c r="AJD196" s="84"/>
      <c r="AJE196" s="84"/>
      <c r="AJF196" s="84"/>
      <c r="AJG196" s="84"/>
      <c r="AJH196" s="84"/>
      <c r="AJI196" s="84"/>
      <c r="AJJ196" s="84"/>
      <c r="AJK196" s="84"/>
      <c r="AJL196" s="84"/>
      <c r="AJM196" s="84"/>
      <c r="AJN196" s="84"/>
      <c r="AJO196" s="84"/>
      <c r="AJP196" s="84"/>
      <c r="AJQ196" s="84"/>
      <c r="AJR196" s="84"/>
      <c r="AJS196" s="84"/>
      <c r="AJT196" s="84"/>
      <c r="AJU196" s="84"/>
      <c r="AJV196" s="84"/>
      <c r="AJW196" s="84"/>
      <c r="AJX196" s="84"/>
      <c r="AJY196" s="84"/>
      <c r="AJZ196" s="84"/>
      <c r="AKA196" s="84"/>
      <c r="AKB196" s="84"/>
      <c r="AKC196" s="84"/>
      <c r="AKD196" s="84"/>
      <c r="AKE196" s="84"/>
      <c r="AKF196" s="84"/>
      <c r="AKG196" s="84"/>
      <c r="AKH196" s="84"/>
      <c r="AKI196" s="84"/>
      <c r="AKJ196" s="84"/>
      <c r="AKK196" s="84"/>
      <c r="AKL196" s="84"/>
      <c r="AKM196" s="84"/>
      <c r="AKN196" s="84"/>
      <c r="AKO196" s="84"/>
      <c r="AKP196" s="84"/>
      <c r="AKQ196" s="84"/>
      <c r="AKR196" s="84"/>
      <c r="AKS196" s="84"/>
      <c r="AKT196" s="84"/>
      <c r="AKU196" s="84"/>
      <c r="AKV196" s="84"/>
      <c r="AKW196" s="84"/>
      <c r="AKX196" s="84"/>
      <c r="AKY196" s="84"/>
      <c r="AKZ196" s="84"/>
      <c r="ALA196" s="84"/>
      <c r="ALB196" s="84"/>
      <c r="ALC196" s="84"/>
      <c r="ALD196" s="84"/>
      <c r="ALE196" s="84"/>
      <c r="ALF196" s="84"/>
      <c r="ALG196" s="84"/>
      <c r="ALH196" s="84"/>
      <c r="ALI196" s="84"/>
      <c r="ALJ196" s="84"/>
      <c r="ALK196" s="84"/>
      <c r="ALL196" s="84"/>
      <c r="ALM196" s="84"/>
      <c r="ALN196" s="84"/>
      <c r="ALO196" s="84"/>
      <c r="ALP196" s="84"/>
      <c r="ALQ196" s="84"/>
      <c r="ALR196" s="84"/>
      <c r="ALS196" s="84"/>
      <c r="ALT196" s="84"/>
      <c r="ALU196" s="84"/>
      <c r="ALV196" s="84"/>
      <c r="ALW196" s="84"/>
      <c r="ALX196" s="84"/>
      <c r="ALY196" s="84"/>
      <c r="ALZ196" s="84"/>
      <c r="AMA196" s="84"/>
      <c r="AMB196" s="84"/>
      <c r="AMC196" s="84"/>
      <c r="AMD196" s="84"/>
      <c r="AME196" s="84"/>
      <c r="AMF196" s="84"/>
      <c r="AMG196" s="84"/>
      <c r="AMH196" s="84"/>
      <c r="AMI196" s="84"/>
      <c r="AMJ196" s="84"/>
      <c r="AMK196" s="84"/>
      <c r="AML196" s="84"/>
      <c r="AMM196" s="84"/>
      <c r="AMN196" s="84"/>
      <c r="AMO196" s="84"/>
      <c r="AMP196" s="84"/>
      <c r="AMQ196" s="84"/>
      <c r="AMR196" s="84"/>
      <c r="AMS196" s="84"/>
      <c r="AMT196" s="84"/>
      <c r="AMU196" s="84"/>
      <c r="AMV196" s="84"/>
      <c r="AMW196" s="84"/>
      <c r="AMX196" s="84"/>
      <c r="AMY196" s="84"/>
      <c r="AMZ196" s="84"/>
      <c r="ANA196" s="84"/>
      <c r="ANB196" s="84"/>
      <c r="ANC196" s="84"/>
      <c r="AND196" s="84"/>
      <c r="ANE196" s="84"/>
      <c r="ANF196" s="84"/>
      <c r="ANG196" s="84"/>
      <c r="ANH196" s="84"/>
      <c r="ANI196" s="84"/>
      <c r="ANJ196" s="84"/>
      <c r="ANK196" s="84"/>
      <c r="ANL196" s="84"/>
      <c r="ANM196" s="84"/>
      <c r="ANN196" s="84"/>
      <c r="ANO196" s="84"/>
      <c r="ANP196" s="84"/>
      <c r="ANQ196" s="84"/>
      <c r="ANR196" s="84"/>
      <c r="ANS196" s="84"/>
      <c r="ANT196" s="84"/>
      <c r="ANU196" s="84"/>
      <c r="ANV196" s="84"/>
      <c r="ANW196" s="84"/>
      <c r="ANX196" s="84"/>
      <c r="ANY196" s="84"/>
      <c r="ANZ196" s="84"/>
      <c r="AOA196" s="84"/>
      <c r="AOB196" s="84"/>
      <c r="AOC196" s="84"/>
      <c r="AOD196" s="84"/>
      <c r="AOE196" s="84"/>
      <c r="AOF196" s="84"/>
      <c r="AOG196" s="84"/>
      <c r="AOH196" s="84"/>
      <c r="AOI196" s="84"/>
      <c r="AOJ196" s="84"/>
      <c r="AOK196" s="84"/>
      <c r="AOL196" s="84"/>
      <c r="AOM196" s="84"/>
      <c r="AON196" s="84"/>
      <c r="AOO196" s="84"/>
      <c r="AOP196" s="84"/>
      <c r="AOQ196" s="84"/>
      <c r="AOR196" s="84"/>
      <c r="AOS196" s="84"/>
      <c r="AOT196" s="84"/>
      <c r="AOU196" s="84"/>
      <c r="AOV196" s="84"/>
      <c r="AOW196" s="84"/>
      <c r="AOX196" s="84"/>
      <c r="AOY196" s="84"/>
      <c r="AOZ196" s="84"/>
      <c r="APA196" s="84"/>
      <c r="APB196" s="84"/>
      <c r="APC196" s="84"/>
      <c r="APD196" s="84"/>
      <c r="APE196" s="84"/>
      <c r="APF196" s="84"/>
      <c r="APG196" s="84"/>
      <c r="APH196" s="84"/>
      <c r="API196" s="84"/>
      <c r="APJ196" s="84"/>
      <c r="APK196" s="84"/>
      <c r="APL196" s="84"/>
      <c r="APM196" s="84"/>
      <c r="APN196" s="84"/>
      <c r="APO196" s="84"/>
      <c r="APP196" s="84"/>
      <c r="APQ196" s="84"/>
      <c r="APR196" s="84"/>
      <c r="APS196" s="84"/>
      <c r="APT196" s="84"/>
      <c r="APU196" s="84"/>
      <c r="APV196" s="84"/>
      <c r="APW196" s="84"/>
      <c r="APX196" s="84"/>
      <c r="APY196" s="84"/>
      <c r="APZ196" s="84"/>
      <c r="AQA196" s="84"/>
      <c r="AQB196" s="84"/>
      <c r="AQC196" s="84"/>
      <c r="AQD196" s="84"/>
      <c r="AQE196" s="84"/>
      <c r="AQF196" s="84"/>
      <c r="AQG196" s="84"/>
      <c r="AQH196" s="84"/>
      <c r="AQI196" s="84"/>
      <c r="AQJ196" s="84"/>
      <c r="AQK196" s="84"/>
      <c r="AQL196" s="84"/>
      <c r="AQM196" s="84"/>
      <c r="AQN196" s="84"/>
      <c r="AQO196" s="84"/>
      <c r="AQP196" s="84"/>
      <c r="AQQ196" s="84"/>
      <c r="AQR196" s="84"/>
      <c r="AQS196" s="84"/>
      <c r="AQT196" s="84"/>
      <c r="AQU196" s="84"/>
      <c r="AQV196" s="84"/>
      <c r="AQW196" s="84"/>
      <c r="AQX196" s="84"/>
      <c r="AQY196" s="84"/>
      <c r="AQZ196" s="84"/>
      <c r="ARA196" s="84"/>
      <c r="ARB196" s="84"/>
      <c r="ARC196" s="84"/>
      <c r="ARD196" s="84"/>
      <c r="ARE196" s="84"/>
      <c r="ARF196" s="84"/>
      <c r="ARG196" s="84"/>
      <c r="ARH196" s="84"/>
      <c r="ARI196" s="84"/>
      <c r="ARJ196" s="84"/>
      <c r="ARK196" s="84"/>
      <c r="ARL196" s="84"/>
      <c r="ARM196" s="84"/>
      <c r="ARN196" s="84"/>
      <c r="ARO196" s="84"/>
      <c r="ARP196" s="84"/>
      <c r="ARQ196" s="84"/>
      <c r="ARR196" s="84"/>
      <c r="ARS196" s="84"/>
      <c r="ART196" s="84"/>
      <c r="ARU196" s="84"/>
      <c r="ARV196" s="84"/>
      <c r="ARW196" s="84"/>
      <c r="ARX196" s="84"/>
      <c r="ARY196" s="84"/>
      <c r="ARZ196" s="84"/>
      <c r="ASA196" s="84"/>
      <c r="ASB196" s="84"/>
      <c r="ASC196" s="84"/>
      <c r="ASD196" s="84"/>
      <c r="ASE196" s="84"/>
      <c r="ASF196" s="84"/>
      <c r="ASG196" s="84"/>
      <c r="ASH196" s="84"/>
      <c r="ASI196" s="84"/>
      <c r="ASJ196" s="84"/>
      <c r="ASK196" s="84"/>
      <c r="ASL196" s="84"/>
      <c r="ASM196" s="84"/>
      <c r="ASN196" s="84"/>
      <c r="ASO196" s="84"/>
      <c r="ASP196" s="84"/>
      <c r="ASQ196" s="84"/>
      <c r="ASR196" s="84"/>
      <c r="ASS196" s="84"/>
      <c r="AST196" s="84"/>
      <c r="ASU196" s="84"/>
      <c r="ASV196" s="84"/>
      <c r="ASW196" s="84"/>
      <c r="ASX196" s="84"/>
      <c r="ASY196" s="84"/>
      <c r="ASZ196" s="84"/>
      <c r="ATA196" s="84"/>
      <c r="ATB196" s="84"/>
      <c r="ATC196" s="84"/>
      <c r="ATD196" s="84"/>
      <c r="ATE196" s="84"/>
      <c r="ATF196" s="84"/>
      <c r="ATG196" s="84"/>
      <c r="ATH196" s="84"/>
      <c r="ATI196" s="84"/>
      <c r="ATJ196" s="84"/>
      <c r="ATK196" s="84"/>
      <c r="ATL196" s="84"/>
      <c r="ATM196" s="84"/>
      <c r="ATN196" s="84"/>
      <c r="ATO196" s="84"/>
      <c r="ATP196" s="84"/>
      <c r="ATQ196" s="84"/>
      <c r="ATR196" s="84"/>
      <c r="ATS196" s="84"/>
      <c r="ATT196" s="84"/>
      <c r="ATU196" s="84"/>
      <c r="ATV196" s="84"/>
      <c r="ATW196" s="84"/>
      <c r="ATX196" s="84"/>
      <c r="ATY196" s="84"/>
      <c r="ATZ196" s="84"/>
      <c r="AUA196" s="84"/>
      <c r="AUB196" s="84"/>
      <c r="AUC196" s="84"/>
      <c r="AUD196" s="84"/>
      <c r="AUE196" s="84"/>
      <c r="AUF196" s="84"/>
      <c r="AUG196" s="84"/>
      <c r="AUH196" s="84"/>
      <c r="AUI196" s="84"/>
      <c r="AUJ196" s="84"/>
      <c r="AUK196" s="84"/>
      <c r="AUL196" s="84"/>
      <c r="AUM196" s="84"/>
      <c r="AUN196" s="84"/>
      <c r="AUO196" s="84"/>
      <c r="AUP196" s="84"/>
      <c r="AUQ196" s="84"/>
      <c r="AUR196" s="84"/>
      <c r="AUS196" s="84"/>
      <c r="AUT196" s="84"/>
      <c r="AUU196" s="84"/>
      <c r="AUV196" s="84"/>
      <c r="AUW196" s="84"/>
      <c r="AUX196" s="84"/>
      <c r="AUY196" s="84"/>
      <c r="AUZ196" s="84"/>
      <c r="AVA196" s="84"/>
      <c r="AVB196" s="84"/>
      <c r="AVC196" s="84"/>
      <c r="AVD196" s="84"/>
      <c r="AVE196" s="84"/>
      <c r="AVF196" s="84"/>
      <c r="AVG196" s="84"/>
      <c r="AVH196" s="84"/>
      <c r="AVI196" s="84"/>
      <c r="AVJ196" s="84"/>
      <c r="AVK196" s="84"/>
      <c r="AVL196" s="84"/>
      <c r="AVM196" s="84"/>
      <c r="AVN196" s="84"/>
      <c r="AVO196" s="84"/>
      <c r="AVP196" s="84"/>
      <c r="AVQ196" s="84"/>
      <c r="AVR196" s="84"/>
      <c r="AVS196" s="84"/>
      <c r="AVT196" s="84"/>
      <c r="AVU196" s="84"/>
      <c r="AVV196" s="84"/>
      <c r="AVW196" s="84"/>
      <c r="AVX196" s="84"/>
      <c r="AVY196" s="84"/>
      <c r="AVZ196" s="84"/>
      <c r="AWA196" s="84"/>
      <c r="AWB196" s="84"/>
      <c r="AWC196" s="84"/>
      <c r="AWD196" s="84"/>
      <c r="AWE196" s="84"/>
      <c r="AWF196" s="84"/>
      <c r="AWG196" s="84"/>
      <c r="AWH196" s="84"/>
      <c r="AWI196" s="84"/>
      <c r="AWJ196" s="84"/>
      <c r="AWK196" s="84"/>
      <c r="AWL196" s="84"/>
      <c r="AWM196" s="84"/>
      <c r="AWN196" s="84"/>
      <c r="AWO196" s="84"/>
      <c r="AWP196" s="84"/>
      <c r="AWQ196" s="84"/>
      <c r="AWR196" s="84"/>
      <c r="AWS196" s="84"/>
      <c r="AWT196" s="84"/>
      <c r="AWU196" s="84"/>
      <c r="AWV196" s="84"/>
      <c r="AWW196" s="84"/>
      <c r="AWX196" s="84"/>
      <c r="AWY196" s="84"/>
      <c r="AWZ196" s="84"/>
      <c r="AXA196" s="84"/>
      <c r="AXB196" s="84"/>
      <c r="AXC196" s="84"/>
      <c r="AXD196" s="84"/>
      <c r="AXE196" s="84"/>
      <c r="AXF196" s="84"/>
      <c r="AXG196" s="84"/>
      <c r="AXH196" s="84"/>
      <c r="AXI196" s="84"/>
      <c r="AXJ196" s="84"/>
      <c r="AXK196" s="84"/>
      <c r="AXL196" s="84"/>
      <c r="AXM196" s="84"/>
      <c r="AXN196" s="84"/>
      <c r="AXO196" s="84"/>
      <c r="AXP196" s="84"/>
      <c r="AXQ196" s="84"/>
      <c r="AXR196" s="84"/>
      <c r="AXS196" s="84"/>
      <c r="AXT196" s="84"/>
      <c r="AXU196" s="84"/>
      <c r="AXV196" s="84"/>
      <c r="AXW196" s="84"/>
      <c r="AXX196" s="84"/>
      <c r="AXY196" s="84"/>
      <c r="AXZ196" s="84"/>
      <c r="AYA196" s="84"/>
      <c r="AYB196" s="84"/>
      <c r="AYC196" s="84"/>
      <c r="AYD196" s="84"/>
      <c r="AYE196" s="84"/>
      <c r="AYF196" s="84"/>
      <c r="AYG196" s="84"/>
      <c r="AYH196" s="84"/>
      <c r="AYI196" s="84"/>
      <c r="AYJ196" s="84"/>
      <c r="AYK196" s="84"/>
      <c r="AYL196" s="84"/>
      <c r="AYM196" s="84"/>
      <c r="AYN196" s="84"/>
      <c r="AYO196" s="84"/>
      <c r="AYP196" s="84"/>
      <c r="AYQ196" s="84"/>
      <c r="AYR196" s="84"/>
      <c r="AYS196" s="84"/>
      <c r="AYT196" s="84"/>
      <c r="AYU196" s="84"/>
      <c r="AYV196" s="84"/>
      <c r="AYW196" s="84"/>
      <c r="AYX196" s="84"/>
      <c r="AYY196" s="84"/>
      <c r="AYZ196" s="84"/>
      <c r="AZA196" s="84"/>
      <c r="AZB196" s="84"/>
      <c r="AZC196" s="84"/>
      <c r="AZD196" s="84"/>
      <c r="AZE196" s="84"/>
      <c r="AZF196" s="84"/>
      <c r="AZG196" s="84"/>
      <c r="AZH196" s="84"/>
      <c r="AZI196" s="84"/>
      <c r="AZJ196" s="84"/>
      <c r="AZK196" s="84"/>
      <c r="AZL196" s="84"/>
      <c r="AZM196" s="84"/>
      <c r="AZN196" s="84"/>
      <c r="AZO196" s="84"/>
      <c r="AZP196" s="84"/>
      <c r="AZQ196" s="84"/>
      <c r="AZR196" s="84"/>
      <c r="AZS196" s="84"/>
      <c r="AZT196" s="84"/>
      <c r="AZU196" s="84"/>
      <c r="AZV196" s="84"/>
      <c r="AZW196" s="84"/>
      <c r="AZX196" s="84"/>
      <c r="AZY196" s="84"/>
      <c r="AZZ196" s="84"/>
      <c r="BAA196" s="84"/>
      <c r="BAB196" s="84"/>
      <c r="BAC196" s="84"/>
      <c r="BAD196" s="84"/>
      <c r="BAE196" s="84"/>
      <c r="BAF196" s="84"/>
      <c r="BAG196" s="84"/>
      <c r="BAH196" s="84"/>
      <c r="BAI196" s="84"/>
      <c r="BAJ196" s="84"/>
      <c r="BAK196" s="84"/>
      <c r="BAL196" s="84"/>
      <c r="BAM196" s="84"/>
      <c r="BAN196" s="84"/>
      <c r="BAO196" s="84"/>
      <c r="BAP196" s="84"/>
      <c r="BAQ196" s="84"/>
      <c r="BAR196" s="84"/>
      <c r="BAS196" s="84"/>
      <c r="BAT196" s="84"/>
      <c r="BAU196" s="84"/>
      <c r="BAV196" s="84"/>
      <c r="BAW196" s="84"/>
      <c r="BAX196" s="84"/>
      <c r="BAY196" s="84"/>
      <c r="BAZ196" s="84"/>
      <c r="BBA196" s="84"/>
      <c r="BBB196" s="84"/>
      <c r="BBC196" s="84"/>
      <c r="BBD196" s="84"/>
      <c r="BBE196" s="84"/>
      <c r="BBF196" s="84"/>
      <c r="BBG196" s="84"/>
      <c r="BBH196" s="84"/>
      <c r="BBI196" s="84"/>
      <c r="BBJ196" s="84"/>
      <c r="BBK196" s="84"/>
      <c r="BBL196" s="84"/>
      <c r="BBM196" s="84"/>
      <c r="BBN196" s="84"/>
      <c r="BBO196" s="84"/>
      <c r="BBP196" s="84"/>
      <c r="BBQ196" s="84"/>
      <c r="BBR196" s="84"/>
      <c r="BBS196" s="84"/>
      <c r="BBT196" s="84"/>
      <c r="BBU196" s="84"/>
      <c r="BBV196" s="84"/>
      <c r="BBW196" s="84"/>
      <c r="BBX196" s="84"/>
      <c r="BBY196" s="84"/>
      <c r="BBZ196" s="84"/>
      <c r="BCA196" s="84"/>
      <c r="BCB196" s="84"/>
      <c r="BCC196" s="84"/>
      <c r="BCD196" s="84"/>
      <c r="BCE196" s="84"/>
      <c r="BCF196" s="84"/>
      <c r="BCG196" s="84"/>
      <c r="BCH196" s="84"/>
      <c r="BCI196" s="84"/>
      <c r="BCJ196" s="84"/>
      <c r="BCK196" s="84"/>
      <c r="BCL196" s="84"/>
      <c r="BCM196" s="84"/>
      <c r="BCN196" s="84"/>
      <c r="BCO196" s="84"/>
      <c r="BCP196" s="84"/>
      <c r="BCQ196" s="84"/>
      <c r="BCR196" s="84"/>
      <c r="BCS196" s="84"/>
      <c r="BCT196" s="84"/>
      <c r="BCU196" s="84"/>
      <c r="BCV196" s="84"/>
      <c r="BCW196" s="84"/>
      <c r="BCX196" s="84"/>
      <c r="BCY196" s="84"/>
      <c r="BCZ196" s="84"/>
      <c r="BDA196" s="84"/>
      <c r="BDB196" s="84"/>
      <c r="BDC196" s="84"/>
      <c r="BDD196" s="84"/>
      <c r="BDE196" s="84"/>
      <c r="BDF196" s="84"/>
      <c r="BDG196" s="84"/>
      <c r="BDH196" s="84"/>
      <c r="BDI196" s="84"/>
      <c r="BDJ196" s="84"/>
      <c r="BDK196" s="84"/>
      <c r="BDL196" s="84"/>
      <c r="BDM196" s="84"/>
      <c r="BDN196" s="84"/>
      <c r="BDO196" s="84"/>
      <c r="BDP196" s="84"/>
      <c r="BDQ196" s="84"/>
      <c r="BDR196" s="84"/>
      <c r="BDS196" s="84"/>
      <c r="BDT196" s="84"/>
      <c r="BDU196" s="84"/>
      <c r="BDV196" s="84"/>
      <c r="BDW196" s="84"/>
      <c r="BDX196" s="84"/>
      <c r="BDY196" s="84"/>
      <c r="BDZ196" s="84"/>
      <c r="BEA196" s="84"/>
      <c r="BEB196" s="84"/>
      <c r="BEC196" s="84"/>
      <c r="BED196" s="84"/>
      <c r="BEE196" s="84"/>
      <c r="BEF196" s="84"/>
      <c r="BEG196" s="84"/>
      <c r="BEH196" s="84"/>
      <c r="BEI196" s="84"/>
      <c r="BEJ196" s="84"/>
      <c r="BEK196" s="84"/>
      <c r="BEL196" s="84"/>
      <c r="BEM196" s="84"/>
      <c r="BEN196" s="84"/>
      <c r="BEO196" s="84"/>
      <c r="BEP196" s="84"/>
      <c r="BEQ196" s="84"/>
      <c r="BER196" s="84"/>
      <c r="BES196" s="84"/>
      <c r="BET196" s="84"/>
      <c r="BEU196" s="84"/>
      <c r="BEV196" s="84"/>
      <c r="BEW196" s="84"/>
      <c r="BEX196" s="84"/>
      <c r="BEY196" s="84"/>
      <c r="BEZ196" s="84"/>
      <c r="BFA196" s="84"/>
      <c r="BFB196" s="84"/>
      <c r="BFC196" s="84"/>
      <c r="BFD196" s="84"/>
      <c r="BFE196" s="84"/>
      <c r="BFF196" s="84"/>
      <c r="BFG196" s="84"/>
      <c r="BFH196" s="84"/>
      <c r="BFI196" s="84"/>
      <c r="BFJ196" s="84"/>
      <c r="BFK196" s="84"/>
      <c r="BFL196" s="84"/>
      <c r="BFM196" s="84"/>
      <c r="BFN196" s="84"/>
      <c r="BFO196" s="84"/>
      <c r="BFP196" s="84"/>
      <c r="BFQ196" s="84"/>
      <c r="BFR196" s="84"/>
      <c r="BFS196" s="84"/>
      <c r="BFT196" s="84"/>
      <c r="BFU196" s="84"/>
      <c r="BFV196" s="84"/>
      <c r="BFW196" s="84"/>
      <c r="BFX196" s="84"/>
      <c r="BFY196" s="84"/>
      <c r="BFZ196" s="84"/>
      <c r="BGA196" s="84"/>
      <c r="BGB196" s="84"/>
      <c r="BGC196" s="84"/>
      <c r="BGD196" s="84"/>
      <c r="BGE196" s="84"/>
      <c r="BGF196" s="84"/>
      <c r="BGG196" s="84"/>
      <c r="BGH196" s="84"/>
      <c r="BGI196" s="84"/>
      <c r="BGJ196" s="84"/>
      <c r="BGK196" s="84"/>
      <c r="BGL196" s="84"/>
      <c r="BGM196" s="84"/>
      <c r="BGN196" s="84"/>
      <c r="BGO196" s="84"/>
      <c r="BGP196" s="84"/>
      <c r="BGQ196" s="84"/>
      <c r="BGR196" s="84"/>
      <c r="BGS196" s="84"/>
      <c r="BGT196" s="84"/>
      <c r="BGU196" s="84"/>
      <c r="BGV196" s="84"/>
      <c r="BGW196" s="84"/>
      <c r="BGX196" s="84"/>
      <c r="BGY196" s="84"/>
      <c r="BGZ196" s="84"/>
      <c r="BHA196" s="84"/>
      <c r="BHB196" s="84"/>
      <c r="BHC196" s="84"/>
      <c r="BHD196" s="84"/>
      <c r="BHE196" s="84"/>
      <c r="BHF196" s="84"/>
      <c r="BHG196" s="84"/>
      <c r="BHH196" s="84"/>
      <c r="BHI196" s="84"/>
      <c r="BHJ196" s="84"/>
      <c r="BHK196" s="84"/>
      <c r="BHL196" s="84"/>
      <c r="BHM196" s="84"/>
      <c r="BHN196" s="84"/>
      <c r="BHO196" s="84"/>
      <c r="BHP196" s="84"/>
      <c r="BHQ196" s="84"/>
      <c r="BHR196" s="84"/>
      <c r="BHS196" s="84"/>
      <c r="BHT196" s="84"/>
      <c r="BHU196" s="84"/>
      <c r="BHV196" s="84"/>
      <c r="BHW196" s="84"/>
      <c r="BHX196" s="84"/>
      <c r="BHY196" s="84"/>
      <c r="BHZ196" s="84"/>
      <c r="BIA196" s="84"/>
      <c r="BIB196" s="84"/>
      <c r="BIC196" s="84"/>
      <c r="BID196" s="84"/>
      <c r="BIE196" s="84"/>
      <c r="BIF196" s="84"/>
      <c r="BIG196" s="84"/>
      <c r="BIH196" s="84"/>
      <c r="BII196" s="84"/>
      <c r="BIJ196" s="84"/>
      <c r="BIK196" s="84"/>
      <c r="BIL196" s="84"/>
      <c r="BIM196" s="84"/>
      <c r="BIN196" s="84"/>
      <c r="BIO196" s="84"/>
      <c r="BIP196" s="84"/>
      <c r="BIQ196" s="84"/>
      <c r="BIR196" s="84"/>
      <c r="BIS196" s="84"/>
      <c r="BIT196" s="84"/>
      <c r="BIU196" s="84"/>
      <c r="BIV196" s="84"/>
      <c r="BIW196" s="84"/>
      <c r="BIX196" s="84"/>
      <c r="BIY196" s="84"/>
      <c r="BIZ196" s="84"/>
      <c r="BJA196" s="84"/>
      <c r="BJB196" s="84"/>
      <c r="BJC196" s="84"/>
      <c r="BJD196" s="84"/>
      <c r="BJE196" s="84"/>
      <c r="BJF196" s="84"/>
      <c r="BJG196" s="84"/>
      <c r="BJH196" s="84"/>
      <c r="BJI196" s="84"/>
      <c r="BJJ196" s="84"/>
      <c r="BJK196" s="84"/>
      <c r="BJL196" s="84"/>
      <c r="BJM196" s="84"/>
      <c r="BJN196" s="84"/>
      <c r="BJO196" s="84"/>
      <c r="BJP196" s="84"/>
      <c r="BJQ196" s="84"/>
      <c r="BJR196" s="84"/>
      <c r="BJS196" s="84"/>
      <c r="BJT196" s="84"/>
      <c r="BJU196" s="84"/>
      <c r="BJV196" s="84"/>
      <c r="BJW196" s="84"/>
      <c r="BJX196" s="84"/>
      <c r="BJY196" s="84"/>
      <c r="BJZ196" s="84"/>
      <c r="BKA196" s="84"/>
      <c r="BKB196" s="84"/>
      <c r="BKC196" s="84"/>
      <c r="BKD196" s="84"/>
      <c r="BKE196" s="84"/>
      <c r="BKF196" s="84"/>
      <c r="BKG196" s="84"/>
      <c r="BKH196" s="84"/>
      <c r="BKI196" s="84"/>
      <c r="BKJ196" s="84"/>
      <c r="BKK196" s="84"/>
      <c r="BKL196" s="84"/>
      <c r="BKM196" s="84"/>
      <c r="BKN196" s="84"/>
      <c r="BKO196" s="84"/>
      <c r="BKP196" s="84"/>
      <c r="BKQ196" s="84"/>
      <c r="BKR196" s="84"/>
      <c r="BKS196" s="84"/>
      <c r="BKT196" s="84"/>
      <c r="BKU196" s="84"/>
      <c r="BKV196" s="84"/>
      <c r="BKW196" s="84"/>
      <c r="BKX196" s="84"/>
      <c r="BKY196" s="84"/>
      <c r="BKZ196" s="84"/>
      <c r="BLA196" s="84"/>
      <c r="BLB196" s="84"/>
      <c r="BLC196" s="84"/>
      <c r="BLD196" s="84"/>
      <c r="BLE196" s="84"/>
      <c r="BLF196" s="84"/>
      <c r="BLG196" s="84"/>
      <c r="BLH196" s="84"/>
      <c r="BLI196" s="84"/>
      <c r="BLJ196" s="84"/>
      <c r="BLK196" s="84"/>
      <c r="BLL196" s="84"/>
      <c r="BLM196" s="84"/>
      <c r="BLN196" s="84"/>
      <c r="BLO196" s="84"/>
      <c r="BLP196" s="84"/>
      <c r="BLQ196" s="84"/>
      <c r="BLR196" s="84"/>
      <c r="BLS196" s="84"/>
      <c r="BLT196" s="84"/>
      <c r="BLU196" s="84"/>
      <c r="BLV196" s="84"/>
      <c r="BLW196" s="84"/>
      <c r="BLX196" s="84"/>
      <c r="BLY196" s="84"/>
      <c r="BLZ196" s="84"/>
      <c r="BMA196" s="84"/>
      <c r="BMB196" s="84"/>
      <c r="BMC196" s="84"/>
      <c r="BMD196" s="84"/>
      <c r="BME196" s="84"/>
      <c r="BMF196" s="84"/>
      <c r="BMG196" s="84"/>
      <c r="BMH196" s="84"/>
      <c r="BMI196" s="84"/>
      <c r="BMJ196" s="84"/>
      <c r="BMK196" s="84"/>
      <c r="BML196" s="84"/>
      <c r="BMM196" s="84"/>
      <c r="BMN196" s="84"/>
      <c r="BMO196" s="84"/>
      <c r="BMP196" s="84"/>
      <c r="BMQ196" s="84"/>
      <c r="BMR196" s="84"/>
      <c r="BMS196" s="84"/>
      <c r="BMT196" s="84"/>
      <c r="BMU196" s="84"/>
      <c r="BMV196" s="84"/>
      <c r="BMW196" s="84"/>
      <c r="BMX196" s="84"/>
      <c r="BMY196" s="84"/>
      <c r="BMZ196" s="84"/>
      <c r="BNA196" s="84"/>
      <c r="BNB196" s="84"/>
      <c r="BNC196" s="84"/>
      <c r="BND196" s="84"/>
      <c r="BNE196" s="84"/>
      <c r="BNF196" s="84"/>
      <c r="BNG196" s="84"/>
      <c r="BNH196" s="84"/>
      <c r="BNI196" s="84"/>
      <c r="BNJ196" s="84"/>
      <c r="BNK196" s="84"/>
      <c r="BNL196" s="84"/>
      <c r="BNM196" s="84"/>
      <c r="BNN196" s="84"/>
      <c r="BNO196" s="84"/>
      <c r="BNP196" s="84"/>
      <c r="BNQ196" s="84"/>
      <c r="BNR196" s="84"/>
      <c r="BNS196" s="84"/>
      <c r="BNT196" s="84"/>
      <c r="BNU196" s="84"/>
      <c r="BNV196" s="84"/>
      <c r="BNW196" s="84"/>
      <c r="BNX196" s="84"/>
      <c r="BNY196" s="84"/>
      <c r="BNZ196" s="84"/>
      <c r="BOA196" s="84"/>
      <c r="BOB196" s="84"/>
      <c r="BOC196" s="84"/>
      <c r="BOD196" s="84"/>
      <c r="BOE196" s="84"/>
      <c r="BOF196" s="84"/>
      <c r="BOG196" s="84"/>
      <c r="BOH196" s="84"/>
      <c r="BOI196" s="84"/>
      <c r="BOJ196" s="84"/>
      <c r="BOK196" s="84"/>
      <c r="BOL196" s="84"/>
      <c r="BOM196" s="84"/>
      <c r="BON196" s="84"/>
      <c r="BOO196" s="84"/>
      <c r="BOP196" s="84"/>
      <c r="BOQ196" s="84"/>
      <c r="BOR196" s="84"/>
      <c r="BOS196" s="84"/>
      <c r="BOT196" s="84"/>
      <c r="BOU196" s="84"/>
      <c r="BOV196" s="84"/>
      <c r="BOW196" s="84"/>
      <c r="BOX196" s="84"/>
      <c r="BOY196" s="84"/>
      <c r="BOZ196" s="84"/>
      <c r="BPA196" s="84"/>
      <c r="BPB196" s="84"/>
      <c r="BPC196" s="84"/>
      <c r="BPD196" s="84"/>
      <c r="BPE196" s="84"/>
      <c r="BPF196" s="84"/>
      <c r="BPG196" s="84"/>
      <c r="BPH196" s="84"/>
      <c r="BPI196" s="84"/>
      <c r="BPJ196" s="84"/>
      <c r="BPK196" s="84"/>
      <c r="BPL196" s="84"/>
      <c r="BPM196" s="84"/>
      <c r="BPN196" s="84"/>
      <c r="BPO196" s="84"/>
      <c r="BPP196" s="84"/>
      <c r="BPQ196" s="84"/>
      <c r="BPR196" s="84"/>
      <c r="BPS196" s="84"/>
      <c r="BPT196" s="84"/>
      <c r="BPU196" s="84"/>
      <c r="BPV196" s="84"/>
      <c r="BPW196" s="84"/>
      <c r="BPX196" s="84"/>
      <c r="BPY196" s="84"/>
      <c r="BPZ196" s="84"/>
      <c r="BQA196" s="84"/>
      <c r="BQB196" s="84"/>
      <c r="BQC196" s="84"/>
      <c r="BQD196" s="84"/>
      <c r="BQE196" s="84"/>
      <c r="BQF196" s="84"/>
      <c r="BQG196" s="84"/>
      <c r="BQH196" s="84"/>
      <c r="BQI196" s="84"/>
      <c r="BQJ196" s="84"/>
      <c r="BQK196" s="84"/>
      <c r="BQL196" s="84"/>
      <c r="BQM196" s="84"/>
      <c r="BQN196" s="84"/>
      <c r="BQO196" s="84"/>
      <c r="BQP196" s="84"/>
      <c r="BQQ196" s="84"/>
      <c r="BQR196" s="84"/>
      <c r="BQS196" s="84"/>
      <c r="BQT196" s="84"/>
      <c r="BQU196" s="84"/>
      <c r="BQV196" s="84"/>
      <c r="BQW196" s="84"/>
      <c r="BQX196" s="84"/>
      <c r="BQY196" s="84"/>
      <c r="BQZ196" s="84"/>
      <c r="BRA196" s="84"/>
      <c r="BRB196" s="84"/>
      <c r="BRC196" s="84"/>
      <c r="BRD196" s="84"/>
      <c r="BRE196" s="84"/>
      <c r="BRF196" s="84"/>
      <c r="BRG196" s="84"/>
      <c r="BRH196" s="84"/>
      <c r="BRI196" s="84"/>
      <c r="BRJ196" s="84"/>
      <c r="BRK196" s="84"/>
      <c r="BRL196" s="84"/>
      <c r="BRM196" s="84"/>
      <c r="BRN196" s="84"/>
      <c r="BRO196" s="84"/>
      <c r="BRP196" s="84"/>
      <c r="BRQ196" s="84"/>
      <c r="BRR196" s="84"/>
      <c r="BRS196" s="84"/>
      <c r="BRT196" s="84"/>
      <c r="BRU196" s="84"/>
      <c r="BRV196" s="84"/>
      <c r="BRW196" s="84"/>
      <c r="BRX196" s="84"/>
      <c r="BRY196" s="84"/>
      <c r="BRZ196" s="84"/>
      <c r="BSA196" s="84"/>
      <c r="BSB196" s="84"/>
      <c r="BSC196" s="84"/>
      <c r="BSD196" s="84"/>
      <c r="BSE196" s="84"/>
      <c r="BSF196" s="84"/>
      <c r="BSG196" s="84"/>
      <c r="BSH196" s="84"/>
      <c r="BSI196" s="84"/>
      <c r="BSJ196" s="84"/>
      <c r="BSK196" s="84"/>
      <c r="BSL196" s="84"/>
      <c r="BSM196" s="84"/>
      <c r="BSN196" s="84"/>
      <c r="BSO196" s="84"/>
      <c r="BSP196" s="84"/>
      <c r="BSQ196" s="84"/>
      <c r="BSR196" s="84"/>
      <c r="BSS196" s="84"/>
      <c r="BST196" s="84"/>
      <c r="BSU196" s="84"/>
      <c r="BSV196" s="84"/>
      <c r="BSW196" s="84"/>
      <c r="BSX196" s="84"/>
      <c r="BSY196" s="84"/>
      <c r="BSZ196" s="84"/>
      <c r="BTA196" s="84"/>
      <c r="BTB196" s="84"/>
      <c r="BTC196" s="84"/>
      <c r="BTD196" s="84"/>
      <c r="BTE196" s="84"/>
      <c r="BTF196" s="84"/>
      <c r="BTG196" s="84"/>
      <c r="BTH196" s="84"/>
      <c r="BTI196" s="84"/>
      <c r="BTJ196" s="84"/>
      <c r="BTK196" s="84"/>
      <c r="BTL196" s="84"/>
      <c r="BTM196" s="84"/>
      <c r="BTN196" s="84"/>
      <c r="BTO196" s="84"/>
      <c r="BTP196" s="84"/>
      <c r="BTQ196" s="84"/>
      <c r="BTR196" s="84"/>
      <c r="BTS196" s="84"/>
      <c r="BTT196" s="84"/>
      <c r="BTU196" s="84"/>
      <c r="BTV196" s="84"/>
      <c r="BTW196" s="84"/>
      <c r="BTX196" s="84"/>
      <c r="BTY196" s="84"/>
      <c r="BTZ196" s="84"/>
      <c r="BUA196" s="84"/>
      <c r="BUB196" s="84"/>
      <c r="BUC196" s="84"/>
      <c r="BUD196" s="84"/>
      <c r="BUE196" s="84"/>
      <c r="BUF196" s="84"/>
      <c r="BUG196" s="84"/>
      <c r="BUH196" s="84"/>
      <c r="BUI196" s="84"/>
      <c r="BUJ196" s="84"/>
      <c r="BUK196" s="84"/>
      <c r="BUL196" s="84"/>
      <c r="BUM196" s="84"/>
      <c r="BUN196" s="84"/>
      <c r="BUO196" s="84"/>
      <c r="BUP196" s="84"/>
      <c r="BUQ196" s="84"/>
      <c r="BUR196" s="84"/>
      <c r="BUS196" s="84"/>
      <c r="BUT196" s="84"/>
      <c r="BUU196" s="84"/>
      <c r="BUV196" s="84"/>
      <c r="BUW196" s="84"/>
      <c r="BUX196" s="84"/>
      <c r="BUY196" s="84"/>
      <c r="BUZ196" s="84"/>
      <c r="BVA196" s="84"/>
      <c r="BVB196" s="84"/>
      <c r="BVC196" s="84"/>
      <c r="BVD196" s="84"/>
      <c r="BVE196" s="84"/>
      <c r="BVF196" s="84"/>
      <c r="BVG196" s="84"/>
      <c r="BVH196" s="84"/>
      <c r="BVI196" s="84"/>
      <c r="BVJ196" s="84"/>
      <c r="BVK196" s="84"/>
      <c r="BVL196" s="84"/>
      <c r="BVM196" s="84"/>
      <c r="BVN196" s="84"/>
      <c r="BVO196" s="84"/>
      <c r="BVP196" s="84"/>
      <c r="BVQ196" s="84"/>
      <c r="BVR196" s="84"/>
      <c r="BVS196" s="84"/>
      <c r="BVT196" s="84"/>
      <c r="BVU196" s="84"/>
      <c r="BVV196" s="84"/>
      <c r="BVW196" s="84"/>
      <c r="BVX196" s="84"/>
      <c r="BVY196" s="84"/>
      <c r="BVZ196" s="84"/>
      <c r="BWA196" s="84"/>
      <c r="BWB196" s="84"/>
      <c r="BWC196" s="84"/>
      <c r="BWD196" s="84"/>
      <c r="BWE196" s="84"/>
      <c r="BWF196" s="84"/>
      <c r="BWG196" s="84"/>
      <c r="BWH196" s="84"/>
      <c r="BWI196" s="84"/>
      <c r="BWJ196" s="84"/>
      <c r="BWK196" s="84"/>
      <c r="BWL196" s="84"/>
      <c r="BWM196" s="84"/>
      <c r="BWN196" s="84"/>
      <c r="BWO196" s="84"/>
      <c r="BWP196" s="84"/>
      <c r="BWQ196" s="84"/>
      <c r="BWR196" s="84"/>
      <c r="BWS196" s="84"/>
      <c r="BWT196" s="84"/>
      <c r="BWU196" s="84"/>
      <c r="BWV196" s="84"/>
      <c r="BWW196" s="84"/>
      <c r="BWX196" s="84"/>
      <c r="BWY196" s="84"/>
      <c r="BWZ196" s="84"/>
      <c r="BXA196" s="84"/>
      <c r="BXB196" s="84"/>
      <c r="BXC196" s="84"/>
      <c r="BXD196" s="84"/>
      <c r="BXE196" s="84"/>
      <c r="BXF196" s="84"/>
      <c r="BXG196" s="84"/>
      <c r="BXH196" s="84"/>
      <c r="BXI196" s="84"/>
      <c r="BXJ196" s="84"/>
      <c r="BXK196" s="84"/>
      <c r="BXL196" s="84"/>
      <c r="BXM196" s="84"/>
      <c r="BXN196" s="84"/>
      <c r="BXO196" s="84"/>
      <c r="BXP196" s="84"/>
      <c r="BXQ196" s="84"/>
      <c r="BXR196" s="84"/>
      <c r="BXS196" s="84"/>
      <c r="BXT196" s="84"/>
      <c r="BXU196" s="84"/>
      <c r="BXV196" s="84"/>
      <c r="BXW196" s="84"/>
      <c r="BXX196" s="84"/>
      <c r="BXY196" s="84"/>
      <c r="BXZ196" s="84"/>
      <c r="BYA196" s="84"/>
      <c r="BYB196" s="84"/>
      <c r="BYC196" s="84"/>
      <c r="BYD196" s="84"/>
      <c r="BYE196" s="84"/>
      <c r="BYF196" s="84"/>
      <c r="BYG196" s="84"/>
      <c r="BYH196" s="84"/>
      <c r="BYI196" s="84"/>
      <c r="BYJ196" s="84"/>
      <c r="BYK196" s="84"/>
      <c r="BYL196" s="84"/>
      <c r="BYM196" s="84"/>
      <c r="BYN196" s="84"/>
      <c r="BYO196" s="84"/>
      <c r="BYP196" s="84"/>
      <c r="BYQ196" s="84"/>
      <c r="BYR196" s="84"/>
      <c r="BYS196" s="84"/>
      <c r="BYT196" s="84"/>
      <c r="BYU196" s="84"/>
      <c r="BYV196" s="84"/>
      <c r="BYW196" s="84"/>
      <c r="BYX196" s="84"/>
      <c r="BYY196" s="84"/>
      <c r="BYZ196" s="84"/>
      <c r="BZA196" s="84"/>
      <c r="BZB196" s="84"/>
      <c r="BZC196" s="84"/>
      <c r="BZD196" s="84"/>
      <c r="BZE196" s="84"/>
      <c r="BZF196" s="84"/>
      <c r="BZG196" s="84"/>
      <c r="BZH196" s="84"/>
      <c r="BZI196" s="84"/>
      <c r="BZJ196" s="84"/>
      <c r="BZK196" s="84"/>
      <c r="BZL196" s="84"/>
      <c r="BZM196" s="84"/>
      <c r="BZN196" s="84"/>
      <c r="BZO196" s="84"/>
      <c r="BZP196" s="84"/>
      <c r="BZQ196" s="84"/>
      <c r="BZR196" s="84"/>
      <c r="BZS196" s="84"/>
      <c r="BZT196" s="84"/>
      <c r="BZU196" s="84"/>
      <c r="BZV196" s="84"/>
      <c r="BZW196" s="84"/>
      <c r="BZX196" s="84"/>
      <c r="BZY196" s="84"/>
      <c r="BZZ196" s="84"/>
      <c r="CAA196" s="84"/>
      <c r="CAB196" s="84"/>
      <c r="CAC196" s="84"/>
      <c r="CAD196" s="84"/>
      <c r="CAE196" s="84"/>
      <c r="CAF196" s="84"/>
      <c r="CAG196" s="84"/>
      <c r="CAH196" s="84"/>
      <c r="CAI196" s="84"/>
      <c r="CAJ196" s="84"/>
      <c r="CAK196" s="84"/>
      <c r="CAL196" s="84"/>
      <c r="CAM196" s="84"/>
      <c r="CAN196" s="84"/>
      <c r="CAO196" s="84"/>
      <c r="CAP196" s="84"/>
      <c r="CAQ196" s="84"/>
      <c r="CAR196" s="84"/>
      <c r="CAS196" s="84"/>
      <c r="CAT196" s="84"/>
      <c r="CAU196" s="84"/>
      <c r="CAV196" s="84"/>
      <c r="CAW196" s="84"/>
      <c r="CAX196" s="84"/>
      <c r="CAY196" s="84"/>
      <c r="CAZ196" s="84"/>
      <c r="CBA196" s="84"/>
      <c r="CBB196" s="84"/>
      <c r="CBC196" s="84"/>
      <c r="CBD196" s="84"/>
      <c r="CBE196" s="84"/>
      <c r="CBF196" s="84"/>
      <c r="CBG196" s="84"/>
      <c r="CBH196" s="84"/>
      <c r="CBI196" s="84"/>
      <c r="CBJ196" s="84"/>
      <c r="CBK196" s="84"/>
      <c r="CBL196" s="84"/>
      <c r="CBM196" s="84"/>
      <c r="CBN196" s="84"/>
      <c r="CBO196" s="84"/>
      <c r="CBP196" s="84"/>
      <c r="CBQ196" s="84"/>
      <c r="CBR196" s="84"/>
      <c r="CBS196" s="84"/>
      <c r="CBT196" s="84"/>
      <c r="CBU196" s="84"/>
      <c r="CBV196" s="84"/>
      <c r="CBW196" s="84"/>
      <c r="CBX196" s="84"/>
      <c r="CBY196" s="84"/>
      <c r="CBZ196" s="84"/>
      <c r="CCA196" s="84"/>
      <c r="CCB196" s="84"/>
      <c r="CCC196" s="84"/>
      <c r="CCD196" s="84"/>
      <c r="CCE196" s="84"/>
      <c r="CCF196" s="84"/>
      <c r="CCG196" s="84"/>
      <c r="CCH196" s="84"/>
      <c r="CCI196" s="84"/>
      <c r="CCJ196" s="84"/>
      <c r="CCK196" s="84"/>
      <c r="CCL196" s="84"/>
      <c r="CCM196" s="84"/>
      <c r="CCN196" s="84"/>
      <c r="CCO196" s="84"/>
      <c r="CCP196" s="84"/>
      <c r="CCQ196" s="84"/>
      <c r="CCR196" s="84"/>
      <c r="CCS196" s="84"/>
      <c r="CCT196" s="84"/>
      <c r="CCU196" s="84"/>
      <c r="CCV196" s="84"/>
      <c r="CCW196" s="84"/>
      <c r="CCX196" s="84"/>
      <c r="CCY196" s="84"/>
      <c r="CCZ196" s="84"/>
      <c r="CDA196" s="84"/>
      <c r="CDB196" s="84"/>
      <c r="CDC196" s="84"/>
      <c r="CDD196" s="84"/>
      <c r="CDE196" s="84"/>
      <c r="CDF196" s="84"/>
      <c r="CDG196" s="84"/>
      <c r="CDH196" s="84"/>
      <c r="CDI196" s="84"/>
      <c r="CDJ196" s="84"/>
      <c r="CDK196" s="84"/>
      <c r="CDL196" s="84"/>
      <c r="CDM196" s="84"/>
      <c r="CDN196" s="84"/>
      <c r="CDO196" s="84"/>
      <c r="CDP196" s="84"/>
      <c r="CDQ196" s="84"/>
      <c r="CDR196" s="84"/>
      <c r="CDS196" s="84"/>
      <c r="CDT196" s="84"/>
      <c r="CDU196" s="84"/>
      <c r="CDV196" s="84"/>
      <c r="CDW196" s="84"/>
      <c r="CDX196" s="84"/>
      <c r="CDY196" s="84"/>
      <c r="CDZ196" s="84"/>
      <c r="CEA196" s="84"/>
      <c r="CEB196" s="84"/>
      <c r="CEC196" s="84"/>
      <c r="CED196" s="84"/>
      <c r="CEE196" s="84"/>
      <c r="CEF196" s="84"/>
      <c r="CEG196" s="84"/>
      <c r="CEH196" s="84"/>
      <c r="CEI196" s="84"/>
      <c r="CEJ196" s="84"/>
      <c r="CEK196" s="84"/>
      <c r="CEL196" s="84"/>
      <c r="CEM196" s="84"/>
      <c r="CEN196" s="84"/>
      <c r="CEO196" s="84"/>
      <c r="CEP196" s="84"/>
      <c r="CEQ196" s="84"/>
      <c r="CER196" s="84"/>
      <c r="CES196" s="84"/>
      <c r="CET196" s="84"/>
      <c r="CEU196" s="84"/>
      <c r="CEV196" s="84"/>
      <c r="CEW196" s="84"/>
      <c r="CEX196" s="84"/>
      <c r="CEY196" s="84"/>
      <c r="CEZ196" s="84"/>
      <c r="CFA196" s="84"/>
      <c r="CFB196" s="84"/>
      <c r="CFC196" s="84"/>
      <c r="CFD196" s="84"/>
      <c r="CFE196" s="84"/>
      <c r="CFF196" s="84"/>
      <c r="CFG196" s="84"/>
      <c r="CFH196" s="84"/>
      <c r="CFI196" s="84"/>
      <c r="CFJ196" s="84"/>
      <c r="CFK196" s="84"/>
      <c r="CFL196" s="84"/>
      <c r="CFM196" s="84"/>
      <c r="CFN196" s="84"/>
      <c r="CFO196" s="84"/>
      <c r="CFP196" s="84"/>
      <c r="CFQ196" s="84"/>
      <c r="CFR196" s="84"/>
      <c r="CFS196" s="84"/>
      <c r="CFT196" s="84"/>
      <c r="CFU196" s="84"/>
      <c r="CFV196" s="84"/>
      <c r="CFW196" s="84"/>
      <c r="CFX196" s="84"/>
      <c r="CFY196" s="84"/>
      <c r="CFZ196" s="84"/>
      <c r="CGA196" s="84"/>
      <c r="CGB196" s="84"/>
      <c r="CGC196" s="84"/>
      <c r="CGD196" s="84"/>
      <c r="CGE196" s="84"/>
      <c r="CGF196" s="84"/>
      <c r="CGG196" s="84"/>
      <c r="CGH196" s="84"/>
      <c r="CGI196" s="84"/>
      <c r="CGJ196" s="84"/>
      <c r="CGK196" s="84"/>
      <c r="CGL196" s="84"/>
      <c r="CGM196" s="84"/>
      <c r="CGN196" s="84"/>
      <c r="CGO196" s="84"/>
      <c r="CGP196" s="84"/>
      <c r="CGQ196" s="84"/>
      <c r="CGR196" s="84"/>
      <c r="CGS196" s="84"/>
      <c r="CGT196" s="84"/>
      <c r="CGU196" s="84"/>
      <c r="CGV196" s="84"/>
      <c r="CGW196" s="84"/>
      <c r="CGX196" s="84"/>
      <c r="CGY196" s="84"/>
      <c r="CGZ196" s="84"/>
      <c r="CHA196" s="84"/>
      <c r="CHB196" s="84"/>
      <c r="CHC196" s="84"/>
      <c r="CHD196" s="84"/>
      <c r="CHE196" s="84"/>
      <c r="CHF196" s="84"/>
      <c r="CHG196" s="84"/>
      <c r="CHH196" s="84"/>
      <c r="CHI196" s="84"/>
      <c r="CHJ196" s="84"/>
      <c r="CHK196" s="84"/>
      <c r="CHL196" s="84"/>
      <c r="CHM196" s="84"/>
      <c r="CHN196" s="84"/>
      <c r="CHO196" s="84"/>
      <c r="CHP196" s="84"/>
      <c r="CHQ196" s="84"/>
      <c r="CHR196" s="84"/>
      <c r="CHS196" s="84"/>
      <c r="CHT196" s="84"/>
      <c r="CHU196" s="84"/>
      <c r="CHV196" s="84"/>
      <c r="CHW196" s="84"/>
      <c r="CHX196" s="84"/>
      <c r="CHY196" s="84"/>
      <c r="CHZ196" s="84"/>
      <c r="CIA196" s="84"/>
      <c r="CIB196" s="84"/>
      <c r="CIC196" s="84"/>
      <c r="CID196" s="84"/>
      <c r="CIE196" s="84"/>
      <c r="CIF196" s="84"/>
      <c r="CIG196" s="84"/>
      <c r="CIH196" s="84"/>
      <c r="CII196" s="84"/>
      <c r="CIJ196" s="84"/>
      <c r="CIK196" s="84"/>
      <c r="CIL196" s="84"/>
      <c r="CIM196" s="84"/>
      <c r="CIN196" s="84"/>
      <c r="CIO196" s="84"/>
      <c r="CIP196" s="84"/>
      <c r="CIQ196" s="84"/>
      <c r="CIR196" s="84"/>
      <c r="CIS196" s="84"/>
      <c r="CIT196" s="84"/>
      <c r="CIU196" s="84"/>
      <c r="CIV196" s="84"/>
      <c r="CIW196" s="84"/>
      <c r="CIX196" s="84"/>
      <c r="CIY196" s="84"/>
      <c r="CIZ196" s="84"/>
      <c r="CJA196" s="84"/>
      <c r="CJB196" s="84"/>
      <c r="CJC196" s="84"/>
      <c r="CJD196" s="84"/>
      <c r="CJE196" s="84"/>
      <c r="CJF196" s="84"/>
      <c r="CJG196" s="84"/>
      <c r="CJH196" s="84"/>
      <c r="CJI196" s="84"/>
      <c r="CJJ196" s="84"/>
      <c r="CJK196" s="84"/>
      <c r="CJL196" s="84"/>
      <c r="CJM196" s="84"/>
      <c r="CJN196" s="84"/>
      <c r="CJO196" s="84"/>
      <c r="CJP196" s="84"/>
      <c r="CJQ196" s="84"/>
      <c r="CJR196" s="84"/>
      <c r="CJS196" s="84"/>
      <c r="CJT196" s="84"/>
      <c r="CJU196" s="84"/>
      <c r="CJV196" s="84"/>
      <c r="CJW196" s="84"/>
      <c r="CJX196" s="84"/>
      <c r="CJY196" s="84"/>
      <c r="CJZ196" s="84"/>
      <c r="CKA196" s="84"/>
      <c r="CKB196" s="84"/>
      <c r="CKC196" s="84"/>
      <c r="CKD196" s="84"/>
      <c r="CKE196" s="84"/>
      <c r="CKF196" s="84"/>
      <c r="CKG196" s="84"/>
      <c r="CKH196" s="84"/>
      <c r="CKI196" s="84"/>
      <c r="CKJ196" s="84"/>
      <c r="CKK196" s="84"/>
      <c r="CKL196" s="84"/>
      <c r="CKM196" s="84"/>
      <c r="CKN196" s="84"/>
      <c r="CKO196" s="84"/>
      <c r="CKP196" s="84"/>
      <c r="CKQ196" s="84"/>
      <c r="CKR196" s="84"/>
      <c r="CKS196" s="84"/>
      <c r="CKT196" s="84"/>
      <c r="CKU196" s="84"/>
      <c r="CKV196" s="84"/>
      <c r="CKW196" s="84"/>
      <c r="CKX196" s="84"/>
      <c r="CKY196" s="84"/>
      <c r="CKZ196" s="84"/>
      <c r="CLA196" s="84"/>
      <c r="CLB196" s="84"/>
      <c r="CLC196" s="84"/>
      <c r="CLD196" s="84"/>
      <c r="CLE196" s="84"/>
      <c r="CLF196" s="84"/>
      <c r="CLG196" s="84"/>
      <c r="CLH196" s="84"/>
      <c r="CLI196" s="84"/>
      <c r="CLJ196" s="84"/>
      <c r="CLK196" s="84"/>
      <c r="CLL196" s="84"/>
      <c r="CLM196" s="84"/>
      <c r="CLN196" s="84"/>
      <c r="CLO196" s="84"/>
      <c r="CLP196" s="84"/>
      <c r="CLQ196" s="84"/>
      <c r="CLR196" s="84"/>
      <c r="CLS196" s="84"/>
      <c r="CLT196" s="84"/>
      <c r="CLU196" s="84"/>
      <c r="CLV196" s="84"/>
      <c r="CLW196" s="84"/>
      <c r="CLX196" s="84"/>
      <c r="CLY196" s="84"/>
      <c r="CLZ196" s="84"/>
      <c r="CMA196" s="84"/>
      <c r="CMB196" s="84"/>
      <c r="CMC196" s="84"/>
      <c r="CMD196" s="84"/>
      <c r="CME196" s="84"/>
      <c r="CMF196" s="84"/>
      <c r="CMG196" s="84"/>
      <c r="CMH196" s="84"/>
      <c r="CMI196" s="84"/>
      <c r="CMJ196" s="84"/>
      <c r="CMK196" s="84"/>
      <c r="CML196" s="84"/>
      <c r="CMM196" s="84"/>
      <c r="CMN196" s="84"/>
      <c r="CMO196" s="84"/>
      <c r="CMP196" s="84"/>
      <c r="CMQ196" s="84"/>
      <c r="CMR196" s="84"/>
      <c r="CMS196" s="84"/>
      <c r="CMT196" s="84"/>
      <c r="CMU196" s="84"/>
      <c r="CMV196" s="84"/>
      <c r="CMW196" s="84"/>
      <c r="CMX196" s="84"/>
      <c r="CMY196" s="84"/>
      <c r="CMZ196" s="84"/>
      <c r="CNA196" s="84"/>
      <c r="CNB196" s="84"/>
      <c r="CNC196" s="84"/>
      <c r="CND196" s="84"/>
      <c r="CNE196" s="84"/>
      <c r="CNF196" s="84"/>
      <c r="CNG196" s="84"/>
      <c r="CNH196" s="84"/>
      <c r="CNI196" s="84"/>
      <c r="CNJ196" s="84"/>
      <c r="CNK196" s="84"/>
      <c r="CNL196" s="84"/>
      <c r="CNM196" s="84"/>
      <c r="CNN196" s="84"/>
      <c r="CNO196" s="84"/>
      <c r="CNP196" s="84"/>
      <c r="CNQ196" s="84"/>
      <c r="CNR196" s="84"/>
      <c r="CNS196" s="84"/>
      <c r="CNT196" s="84"/>
      <c r="CNU196" s="84"/>
      <c r="CNV196" s="84"/>
      <c r="CNW196" s="84"/>
      <c r="CNX196" s="84"/>
      <c r="CNY196" s="84"/>
      <c r="CNZ196" s="84"/>
      <c r="COA196" s="84"/>
      <c r="COB196" s="84"/>
      <c r="COC196" s="84"/>
      <c r="COD196" s="84"/>
      <c r="COE196" s="84"/>
      <c r="COF196" s="84"/>
      <c r="COG196" s="84"/>
      <c r="COH196" s="84"/>
      <c r="COI196" s="84"/>
      <c r="COJ196" s="84"/>
      <c r="COK196" s="84"/>
      <c r="COL196" s="84"/>
      <c r="COM196" s="84"/>
      <c r="CON196" s="84"/>
      <c r="COO196" s="84"/>
      <c r="COP196" s="84"/>
      <c r="COQ196" s="84"/>
      <c r="COR196" s="84"/>
      <c r="COS196" s="84"/>
      <c r="COT196" s="84"/>
      <c r="COU196" s="84"/>
      <c r="COV196" s="84"/>
      <c r="COW196" s="84"/>
      <c r="COX196" s="84"/>
      <c r="COY196" s="84"/>
      <c r="COZ196" s="84"/>
      <c r="CPA196" s="84"/>
      <c r="CPB196" s="84"/>
      <c r="CPC196" s="84"/>
      <c r="CPD196" s="84"/>
      <c r="CPE196" s="84"/>
      <c r="CPF196" s="84"/>
      <c r="CPG196" s="84"/>
      <c r="CPH196" s="84"/>
      <c r="CPI196" s="84"/>
      <c r="CPJ196" s="84"/>
      <c r="CPK196" s="84"/>
      <c r="CPL196" s="84"/>
      <c r="CPM196" s="84"/>
      <c r="CPN196" s="84"/>
      <c r="CPO196" s="84"/>
      <c r="CPP196" s="84"/>
      <c r="CPQ196" s="84"/>
      <c r="CPR196" s="84"/>
      <c r="CPS196" s="84"/>
      <c r="CPT196" s="84"/>
      <c r="CPU196" s="84"/>
      <c r="CPV196" s="84"/>
      <c r="CPW196" s="84"/>
      <c r="CPX196" s="84"/>
      <c r="CPY196" s="84"/>
      <c r="CPZ196" s="84"/>
      <c r="CQA196" s="84"/>
      <c r="CQB196" s="84"/>
      <c r="CQC196" s="84"/>
      <c r="CQD196" s="84"/>
      <c r="CQE196" s="84"/>
      <c r="CQF196" s="84"/>
      <c r="CQG196" s="84"/>
      <c r="CQH196" s="84"/>
      <c r="CQI196" s="84"/>
      <c r="CQJ196" s="84"/>
      <c r="CQK196" s="84"/>
      <c r="CQL196" s="84"/>
      <c r="CQM196" s="84"/>
      <c r="CQN196" s="84"/>
      <c r="CQO196" s="84"/>
      <c r="CQP196" s="84"/>
      <c r="CQQ196" s="84"/>
      <c r="CQR196" s="84"/>
      <c r="CQS196" s="84"/>
      <c r="CQT196" s="84"/>
      <c r="CQU196" s="84"/>
      <c r="CQV196" s="84"/>
      <c r="CQW196" s="84"/>
      <c r="CQX196" s="84"/>
      <c r="CQY196" s="84"/>
      <c r="CQZ196" s="84"/>
      <c r="CRA196" s="84"/>
      <c r="CRB196" s="84"/>
      <c r="CRC196" s="84"/>
      <c r="CRD196" s="84"/>
      <c r="CRE196" s="84"/>
      <c r="CRF196" s="84"/>
      <c r="CRG196" s="84"/>
      <c r="CRH196" s="84"/>
      <c r="CRI196" s="84"/>
      <c r="CRJ196" s="84"/>
      <c r="CRK196" s="84"/>
      <c r="CRL196" s="84"/>
      <c r="CRM196" s="84"/>
      <c r="CRN196" s="84"/>
      <c r="CRO196" s="84"/>
      <c r="CRP196" s="84"/>
      <c r="CRQ196" s="84"/>
      <c r="CRR196" s="84"/>
      <c r="CRS196" s="84"/>
      <c r="CRT196" s="84"/>
      <c r="CRU196" s="84"/>
      <c r="CRV196" s="84"/>
      <c r="CRW196" s="84"/>
      <c r="CRX196" s="84"/>
      <c r="CRY196" s="84"/>
      <c r="CRZ196" s="84"/>
      <c r="CSA196" s="84"/>
      <c r="CSB196" s="84"/>
      <c r="CSC196" s="84"/>
      <c r="CSD196" s="84"/>
      <c r="CSE196" s="84"/>
      <c r="CSF196" s="84"/>
      <c r="CSG196" s="84"/>
      <c r="CSH196" s="84"/>
      <c r="CSI196" s="84"/>
      <c r="CSJ196" s="84"/>
      <c r="CSK196" s="84"/>
      <c r="CSL196" s="84"/>
      <c r="CSM196" s="84"/>
      <c r="CSN196" s="84"/>
      <c r="CSO196" s="84"/>
      <c r="CSP196" s="84"/>
      <c r="CSQ196" s="84"/>
      <c r="CSR196" s="84"/>
      <c r="CSS196" s="84"/>
      <c r="CST196" s="84"/>
      <c r="CSU196" s="84"/>
      <c r="CSV196" s="84"/>
      <c r="CSW196" s="84"/>
      <c r="CSX196" s="84"/>
      <c r="CSY196" s="84"/>
      <c r="CSZ196" s="84"/>
      <c r="CTA196" s="84"/>
      <c r="CTB196" s="84"/>
      <c r="CTC196" s="84"/>
      <c r="CTD196" s="84"/>
      <c r="CTE196" s="84"/>
      <c r="CTF196" s="84"/>
      <c r="CTG196" s="84"/>
      <c r="CTH196" s="84"/>
      <c r="CTI196" s="84"/>
      <c r="CTJ196" s="84"/>
      <c r="CTK196" s="84"/>
      <c r="CTL196" s="84"/>
      <c r="CTM196" s="84"/>
      <c r="CTN196" s="84"/>
      <c r="CTO196" s="84"/>
      <c r="CTP196" s="84"/>
      <c r="CTQ196" s="84"/>
      <c r="CTR196" s="84"/>
      <c r="CTS196" s="84"/>
      <c r="CTT196" s="84"/>
      <c r="CTU196" s="84"/>
      <c r="CTV196" s="84"/>
      <c r="CTW196" s="84"/>
      <c r="CTX196" s="84"/>
      <c r="CTY196" s="84"/>
      <c r="CTZ196" s="84"/>
      <c r="CUA196" s="84"/>
      <c r="CUB196" s="84"/>
      <c r="CUC196" s="84"/>
      <c r="CUD196" s="84"/>
      <c r="CUE196" s="84"/>
      <c r="CUF196" s="84"/>
      <c r="CUG196" s="84"/>
      <c r="CUH196" s="84"/>
      <c r="CUI196" s="84"/>
      <c r="CUJ196" s="84"/>
      <c r="CUK196" s="84"/>
      <c r="CUL196" s="84"/>
      <c r="CUM196" s="84"/>
      <c r="CUN196" s="84"/>
      <c r="CUO196" s="84"/>
      <c r="CUP196" s="84"/>
      <c r="CUQ196" s="84"/>
      <c r="CUR196" s="84"/>
      <c r="CUS196" s="84"/>
      <c r="CUT196" s="84"/>
      <c r="CUU196" s="84"/>
      <c r="CUV196" s="84"/>
      <c r="CUW196" s="84"/>
      <c r="CUX196" s="84"/>
      <c r="CUY196" s="84"/>
      <c r="CUZ196" s="84"/>
      <c r="CVA196" s="84"/>
      <c r="CVB196" s="84"/>
      <c r="CVC196" s="84"/>
      <c r="CVD196" s="84"/>
      <c r="CVE196" s="84"/>
      <c r="CVF196" s="84"/>
      <c r="CVG196" s="84"/>
      <c r="CVH196" s="84"/>
      <c r="CVI196" s="84"/>
      <c r="CVJ196" s="84"/>
      <c r="CVK196" s="84"/>
      <c r="CVL196" s="84"/>
      <c r="CVM196" s="84"/>
      <c r="CVN196" s="84"/>
      <c r="CVO196" s="84"/>
      <c r="CVP196" s="84"/>
      <c r="CVQ196" s="84"/>
      <c r="CVR196" s="84"/>
      <c r="CVS196" s="84"/>
      <c r="CVT196" s="84"/>
      <c r="CVU196" s="84"/>
      <c r="CVV196" s="84"/>
      <c r="CVW196" s="84"/>
      <c r="CVX196" s="84"/>
      <c r="CVY196" s="84"/>
      <c r="CVZ196" s="84"/>
      <c r="CWA196" s="84"/>
      <c r="CWB196" s="84"/>
      <c r="CWC196" s="84"/>
      <c r="CWD196" s="84"/>
      <c r="CWE196" s="84"/>
      <c r="CWF196" s="84"/>
      <c r="CWG196" s="84"/>
      <c r="CWH196" s="84"/>
      <c r="CWI196" s="84"/>
      <c r="CWJ196" s="84"/>
      <c r="CWK196" s="84"/>
      <c r="CWL196" s="84"/>
      <c r="CWM196" s="84"/>
      <c r="CWN196" s="84"/>
      <c r="CWO196" s="84"/>
      <c r="CWP196" s="84"/>
      <c r="CWQ196" s="84"/>
      <c r="CWR196" s="84"/>
      <c r="CWS196" s="84"/>
      <c r="CWT196" s="84"/>
      <c r="CWU196" s="84"/>
      <c r="CWV196" s="84"/>
      <c r="CWW196" s="84"/>
      <c r="CWX196" s="84"/>
      <c r="CWY196" s="84"/>
      <c r="CWZ196" s="84"/>
      <c r="CXA196" s="84"/>
      <c r="CXB196" s="84"/>
      <c r="CXC196" s="84"/>
      <c r="CXD196" s="84"/>
      <c r="CXE196" s="84"/>
      <c r="CXF196" s="84"/>
      <c r="CXG196" s="84"/>
      <c r="CXH196" s="84"/>
      <c r="CXI196" s="84"/>
      <c r="CXJ196" s="84"/>
      <c r="CXK196" s="84"/>
      <c r="CXL196" s="84"/>
      <c r="CXM196" s="84"/>
      <c r="CXN196" s="84"/>
      <c r="CXO196" s="84"/>
      <c r="CXP196" s="84"/>
      <c r="CXQ196" s="84"/>
      <c r="CXR196" s="84"/>
      <c r="CXS196" s="84"/>
      <c r="CXT196" s="84"/>
      <c r="CXU196" s="84"/>
      <c r="CXV196" s="84"/>
      <c r="CXW196" s="84"/>
      <c r="CXX196" s="84"/>
      <c r="CXY196" s="84"/>
      <c r="CXZ196" s="84"/>
      <c r="CYA196" s="84"/>
      <c r="CYB196" s="84"/>
      <c r="CYC196" s="84"/>
      <c r="CYD196" s="84"/>
      <c r="CYE196" s="84"/>
      <c r="CYF196" s="84"/>
      <c r="CYG196" s="84"/>
      <c r="CYH196" s="84"/>
      <c r="CYI196" s="84"/>
      <c r="CYJ196" s="84"/>
      <c r="CYK196" s="84"/>
      <c r="CYL196" s="84"/>
      <c r="CYM196" s="84"/>
      <c r="CYN196" s="84"/>
      <c r="CYO196" s="84"/>
      <c r="CYP196" s="84"/>
      <c r="CYQ196" s="84"/>
      <c r="CYR196" s="84"/>
      <c r="CYS196" s="84"/>
      <c r="CYT196" s="84"/>
      <c r="CYU196" s="84"/>
      <c r="CYV196" s="84"/>
      <c r="CYW196" s="84"/>
      <c r="CYX196" s="84"/>
      <c r="CYY196" s="84"/>
      <c r="CYZ196" s="84"/>
      <c r="CZA196" s="84"/>
      <c r="CZB196" s="84"/>
      <c r="CZC196" s="84"/>
      <c r="CZD196" s="84"/>
      <c r="CZE196" s="84"/>
      <c r="CZF196" s="84"/>
      <c r="CZG196" s="84"/>
      <c r="CZH196" s="84"/>
      <c r="CZI196" s="84"/>
      <c r="CZJ196" s="84"/>
      <c r="CZK196" s="84"/>
      <c r="CZL196" s="84"/>
      <c r="CZM196" s="84"/>
      <c r="CZN196" s="84"/>
      <c r="CZO196" s="84"/>
      <c r="CZP196" s="84"/>
      <c r="CZQ196" s="84"/>
      <c r="CZR196" s="84"/>
      <c r="CZS196" s="84"/>
      <c r="CZT196" s="84"/>
      <c r="CZU196" s="84"/>
      <c r="CZV196" s="84"/>
      <c r="CZW196" s="84"/>
      <c r="CZX196" s="84"/>
      <c r="CZY196" s="84"/>
      <c r="CZZ196" s="84"/>
      <c r="DAA196" s="84"/>
      <c r="DAB196" s="84"/>
      <c r="DAC196" s="84"/>
      <c r="DAD196" s="84"/>
      <c r="DAE196" s="84"/>
      <c r="DAF196" s="84"/>
      <c r="DAG196" s="84"/>
      <c r="DAH196" s="84"/>
      <c r="DAI196" s="84"/>
      <c r="DAJ196" s="84"/>
      <c r="DAK196" s="84"/>
      <c r="DAL196" s="84"/>
      <c r="DAM196" s="84"/>
      <c r="DAN196" s="84"/>
      <c r="DAO196" s="84"/>
      <c r="DAP196" s="84"/>
      <c r="DAQ196" s="84"/>
      <c r="DAR196" s="84"/>
      <c r="DAS196" s="84"/>
      <c r="DAT196" s="84"/>
      <c r="DAU196" s="84"/>
      <c r="DAV196" s="84"/>
      <c r="DAW196" s="84"/>
      <c r="DAX196" s="84"/>
      <c r="DAY196" s="84"/>
      <c r="DAZ196" s="84"/>
      <c r="DBA196" s="84"/>
      <c r="DBB196" s="84"/>
      <c r="DBC196" s="84"/>
      <c r="DBD196" s="84"/>
      <c r="DBE196" s="84"/>
      <c r="DBF196" s="84"/>
      <c r="DBG196" s="84"/>
      <c r="DBH196" s="84"/>
      <c r="DBI196" s="84"/>
      <c r="DBJ196" s="84"/>
      <c r="DBK196" s="84"/>
      <c r="DBL196" s="84"/>
      <c r="DBM196" s="84"/>
      <c r="DBN196" s="84"/>
      <c r="DBO196" s="84"/>
      <c r="DBP196" s="84"/>
      <c r="DBQ196" s="84"/>
      <c r="DBR196" s="84"/>
      <c r="DBS196" s="84"/>
      <c r="DBT196" s="84"/>
      <c r="DBU196" s="84"/>
      <c r="DBV196" s="84"/>
      <c r="DBW196" s="84"/>
      <c r="DBX196" s="84"/>
      <c r="DBY196" s="84"/>
      <c r="DBZ196" s="84"/>
      <c r="DCA196" s="84"/>
      <c r="DCB196" s="84"/>
      <c r="DCC196" s="84"/>
      <c r="DCD196" s="84"/>
      <c r="DCE196" s="84"/>
      <c r="DCF196" s="84"/>
      <c r="DCG196" s="84"/>
      <c r="DCH196" s="84"/>
      <c r="DCI196" s="84"/>
      <c r="DCJ196" s="84"/>
      <c r="DCK196" s="84"/>
      <c r="DCL196" s="84"/>
      <c r="DCM196" s="84"/>
      <c r="DCN196" s="84"/>
      <c r="DCO196" s="84"/>
      <c r="DCP196" s="84"/>
      <c r="DCQ196" s="84"/>
      <c r="DCR196" s="84"/>
      <c r="DCS196" s="84"/>
      <c r="DCT196" s="84"/>
      <c r="DCU196" s="84"/>
      <c r="DCV196" s="84"/>
      <c r="DCW196" s="84"/>
      <c r="DCX196" s="84"/>
      <c r="DCY196" s="84"/>
      <c r="DCZ196" s="84"/>
      <c r="DDA196" s="84"/>
      <c r="DDB196" s="84"/>
      <c r="DDC196" s="84"/>
      <c r="DDD196" s="84"/>
      <c r="DDE196" s="84"/>
      <c r="DDF196" s="84"/>
      <c r="DDG196" s="84"/>
      <c r="DDH196" s="84"/>
      <c r="DDI196" s="84"/>
      <c r="DDJ196" s="84"/>
      <c r="DDK196" s="84"/>
      <c r="DDL196" s="84"/>
      <c r="DDM196" s="84"/>
      <c r="DDN196" s="84"/>
      <c r="DDO196" s="84"/>
      <c r="DDP196" s="84"/>
      <c r="DDQ196" s="84"/>
      <c r="DDR196" s="84"/>
      <c r="DDS196" s="84"/>
      <c r="DDT196" s="84"/>
      <c r="DDU196" s="84"/>
      <c r="DDV196" s="84"/>
      <c r="DDW196" s="84"/>
      <c r="DDX196" s="84"/>
      <c r="DDY196" s="84"/>
      <c r="DDZ196" s="84"/>
      <c r="DEA196" s="84"/>
      <c r="DEB196" s="84"/>
      <c r="DEC196" s="84"/>
      <c r="DED196" s="84"/>
      <c r="DEE196" s="84"/>
      <c r="DEF196" s="84"/>
      <c r="DEG196" s="84"/>
      <c r="DEH196" s="84"/>
      <c r="DEI196" s="84"/>
      <c r="DEJ196" s="84"/>
      <c r="DEK196" s="84"/>
      <c r="DEL196" s="84"/>
      <c r="DEM196" s="84"/>
      <c r="DEN196" s="84"/>
      <c r="DEO196" s="84"/>
      <c r="DEP196" s="84"/>
      <c r="DEQ196" s="84"/>
      <c r="DER196" s="84"/>
      <c r="DES196" s="84"/>
      <c r="DET196" s="84"/>
      <c r="DEU196" s="84"/>
      <c r="DEV196" s="84"/>
      <c r="DEW196" s="84"/>
      <c r="DEX196" s="84"/>
      <c r="DEY196" s="84"/>
      <c r="DEZ196" s="84"/>
      <c r="DFA196" s="84"/>
      <c r="DFB196" s="84"/>
      <c r="DFC196" s="84"/>
      <c r="DFD196" s="84"/>
      <c r="DFE196" s="84"/>
      <c r="DFF196" s="84"/>
      <c r="DFG196" s="84"/>
      <c r="DFH196" s="84"/>
      <c r="DFI196" s="84"/>
      <c r="DFJ196" s="84"/>
      <c r="DFK196" s="84"/>
      <c r="DFL196" s="84"/>
      <c r="DFM196" s="84"/>
      <c r="DFN196" s="84"/>
      <c r="DFO196" s="84"/>
      <c r="DFP196" s="84"/>
      <c r="DFQ196" s="84"/>
      <c r="DFR196" s="84"/>
      <c r="DFS196" s="84"/>
      <c r="DFT196" s="84"/>
      <c r="DFU196" s="84"/>
      <c r="DFV196" s="84"/>
      <c r="DFW196" s="84"/>
      <c r="DFX196" s="84"/>
      <c r="DFY196" s="84"/>
      <c r="DFZ196" s="84"/>
      <c r="DGA196" s="84"/>
      <c r="DGB196" s="84"/>
      <c r="DGC196" s="84"/>
      <c r="DGD196" s="84"/>
      <c r="DGE196" s="84"/>
      <c r="DGF196" s="84"/>
      <c r="DGG196" s="84"/>
      <c r="DGH196" s="84"/>
      <c r="DGI196" s="84"/>
      <c r="DGJ196" s="84"/>
      <c r="DGK196" s="84"/>
      <c r="DGL196" s="84"/>
      <c r="DGM196" s="84"/>
      <c r="DGN196" s="84"/>
      <c r="DGO196" s="84"/>
      <c r="DGP196" s="84"/>
      <c r="DGQ196" s="84"/>
      <c r="DGR196" s="84"/>
      <c r="DGS196" s="84"/>
      <c r="DGT196" s="84"/>
      <c r="DGU196" s="84"/>
      <c r="DGV196" s="84"/>
      <c r="DGW196" s="84"/>
      <c r="DGX196" s="84"/>
      <c r="DGY196" s="84"/>
      <c r="DGZ196" s="84"/>
      <c r="DHA196" s="84"/>
      <c r="DHB196" s="84"/>
      <c r="DHC196" s="84"/>
      <c r="DHD196" s="84"/>
      <c r="DHE196" s="84"/>
      <c r="DHF196" s="84"/>
      <c r="DHG196" s="84"/>
      <c r="DHH196" s="84"/>
      <c r="DHI196" s="84"/>
      <c r="DHJ196" s="84"/>
      <c r="DHK196" s="84"/>
      <c r="DHL196" s="84"/>
      <c r="DHM196" s="84"/>
      <c r="DHN196" s="84"/>
      <c r="DHO196" s="84"/>
      <c r="DHP196" s="84"/>
      <c r="DHQ196" s="84"/>
      <c r="DHR196" s="84"/>
      <c r="DHS196" s="84"/>
      <c r="DHT196" s="84"/>
      <c r="DHU196" s="84"/>
      <c r="DHV196" s="84"/>
      <c r="DHW196" s="84"/>
      <c r="DHX196" s="84"/>
      <c r="DHY196" s="84"/>
      <c r="DHZ196" s="84"/>
      <c r="DIA196" s="84"/>
      <c r="DIB196" s="84"/>
      <c r="DIC196" s="84"/>
      <c r="DID196" s="84"/>
      <c r="DIE196" s="84"/>
      <c r="DIF196" s="84"/>
      <c r="DIG196" s="84"/>
      <c r="DIH196" s="84"/>
      <c r="DII196" s="84"/>
      <c r="DIJ196" s="84"/>
      <c r="DIK196" s="84"/>
      <c r="DIL196" s="84"/>
      <c r="DIM196" s="84"/>
      <c r="DIN196" s="84"/>
      <c r="DIO196" s="84"/>
      <c r="DIP196" s="84"/>
      <c r="DIQ196" s="84"/>
      <c r="DIR196" s="84"/>
      <c r="DIS196" s="84"/>
      <c r="DIT196" s="84"/>
      <c r="DIU196" s="84"/>
      <c r="DIV196" s="84"/>
      <c r="DIW196" s="84"/>
      <c r="DIX196" s="84"/>
      <c r="DIY196" s="84"/>
      <c r="DIZ196" s="84"/>
      <c r="DJA196" s="84"/>
      <c r="DJB196" s="84"/>
      <c r="DJC196" s="84"/>
      <c r="DJD196" s="84"/>
      <c r="DJE196" s="84"/>
      <c r="DJF196" s="84"/>
      <c r="DJG196" s="84"/>
      <c r="DJH196" s="84"/>
      <c r="DJI196" s="84"/>
      <c r="DJJ196" s="84"/>
      <c r="DJK196" s="84"/>
      <c r="DJL196" s="84"/>
      <c r="DJM196" s="84"/>
      <c r="DJN196" s="84"/>
      <c r="DJO196" s="84"/>
      <c r="DJP196" s="84"/>
      <c r="DJQ196" s="84"/>
      <c r="DJR196" s="84"/>
      <c r="DJS196" s="84"/>
      <c r="DJT196" s="84"/>
      <c r="DJU196" s="84"/>
      <c r="DJV196" s="84"/>
      <c r="DJW196" s="84"/>
      <c r="DJX196" s="84"/>
      <c r="DJY196" s="84"/>
      <c r="DJZ196" s="84"/>
      <c r="DKA196" s="84"/>
      <c r="DKB196" s="84"/>
      <c r="DKC196" s="84"/>
      <c r="DKD196" s="84"/>
      <c r="DKE196" s="84"/>
      <c r="DKF196" s="84"/>
      <c r="DKG196" s="84"/>
      <c r="DKH196" s="84"/>
      <c r="DKI196" s="84"/>
      <c r="DKJ196" s="84"/>
      <c r="DKK196" s="84"/>
      <c r="DKL196" s="84"/>
      <c r="DKM196" s="84"/>
      <c r="DKN196" s="84"/>
      <c r="DKO196" s="84"/>
      <c r="DKP196" s="84"/>
      <c r="DKQ196" s="84"/>
      <c r="DKR196" s="84"/>
      <c r="DKS196" s="84"/>
      <c r="DKT196" s="84"/>
      <c r="DKU196" s="84"/>
      <c r="DKV196" s="84"/>
      <c r="DKW196" s="84"/>
      <c r="DKX196" s="84"/>
      <c r="DKY196" s="84"/>
      <c r="DKZ196" s="84"/>
      <c r="DLA196" s="84"/>
      <c r="DLB196" s="84"/>
      <c r="DLC196" s="84"/>
      <c r="DLD196" s="84"/>
      <c r="DLE196" s="84"/>
      <c r="DLF196" s="84"/>
      <c r="DLG196" s="84"/>
      <c r="DLH196" s="84"/>
      <c r="DLI196" s="84"/>
      <c r="DLJ196" s="84"/>
      <c r="DLK196" s="84"/>
      <c r="DLL196" s="84"/>
      <c r="DLM196" s="84"/>
      <c r="DLN196" s="84"/>
      <c r="DLO196" s="84"/>
      <c r="DLP196" s="84"/>
      <c r="DLQ196" s="84"/>
      <c r="DLR196" s="84"/>
      <c r="DLS196" s="84"/>
      <c r="DLT196" s="84"/>
      <c r="DLU196" s="84"/>
      <c r="DLV196" s="84"/>
      <c r="DLW196" s="84"/>
      <c r="DLX196" s="84"/>
      <c r="DLY196" s="84"/>
      <c r="DLZ196" s="84"/>
      <c r="DMA196" s="84"/>
      <c r="DMB196" s="84"/>
      <c r="DMC196" s="84"/>
      <c r="DMD196" s="84"/>
      <c r="DME196" s="84"/>
      <c r="DMF196" s="84"/>
      <c r="DMG196" s="84"/>
      <c r="DMH196" s="84"/>
      <c r="DMI196" s="84"/>
      <c r="DMJ196" s="84"/>
      <c r="DMK196" s="84"/>
      <c r="DML196" s="84"/>
      <c r="DMM196" s="84"/>
      <c r="DMN196" s="84"/>
      <c r="DMO196" s="84"/>
      <c r="DMP196" s="84"/>
      <c r="DMQ196" s="84"/>
      <c r="DMR196" s="84"/>
      <c r="DMS196" s="84"/>
      <c r="DMT196" s="84"/>
      <c r="DMU196" s="84"/>
      <c r="DMV196" s="84"/>
      <c r="DMW196" s="84"/>
      <c r="DMX196" s="84"/>
      <c r="DMY196" s="84"/>
      <c r="DMZ196" s="84"/>
      <c r="DNA196" s="84"/>
      <c r="DNB196" s="84"/>
      <c r="DNC196" s="84"/>
      <c r="DND196" s="84"/>
      <c r="DNE196" s="84"/>
      <c r="DNF196" s="84"/>
      <c r="DNG196" s="84"/>
      <c r="DNH196" s="84"/>
      <c r="DNI196" s="84"/>
      <c r="DNJ196" s="84"/>
      <c r="DNK196" s="84"/>
      <c r="DNL196" s="84"/>
      <c r="DNM196" s="84"/>
      <c r="DNN196" s="84"/>
      <c r="DNO196" s="84"/>
      <c r="DNP196" s="84"/>
      <c r="DNQ196" s="84"/>
      <c r="DNR196" s="84"/>
      <c r="DNS196" s="84"/>
      <c r="DNT196" s="84"/>
      <c r="DNU196" s="84"/>
      <c r="DNV196" s="84"/>
      <c r="DNW196" s="84"/>
      <c r="DNX196" s="84"/>
      <c r="DNY196" s="84"/>
      <c r="DNZ196" s="84"/>
      <c r="DOA196" s="84"/>
      <c r="DOB196" s="84"/>
      <c r="DOC196" s="84"/>
      <c r="DOD196" s="84"/>
      <c r="DOE196" s="84"/>
      <c r="DOF196" s="84"/>
      <c r="DOG196" s="84"/>
      <c r="DOH196" s="84"/>
      <c r="DOI196" s="84"/>
      <c r="DOJ196" s="84"/>
      <c r="DOK196" s="84"/>
      <c r="DOL196" s="84"/>
      <c r="DOM196" s="84"/>
      <c r="DON196" s="84"/>
      <c r="DOO196" s="84"/>
      <c r="DOP196" s="84"/>
      <c r="DOQ196" s="84"/>
      <c r="DOR196" s="84"/>
      <c r="DOS196" s="84"/>
      <c r="DOT196" s="84"/>
      <c r="DOU196" s="84"/>
      <c r="DOV196" s="84"/>
      <c r="DOW196" s="84"/>
      <c r="DOX196" s="84"/>
      <c r="DOY196" s="84"/>
      <c r="DOZ196" s="84"/>
      <c r="DPA196" s="84"/>
      <c r="DPB196" s="84"/>
      <c r="DPC196" s="84"/>
      <c r="DPD196" s="84"/>
      <c r="DPE196" s="84"/>
      <c r="DPF196" s="84"/>
      <c r="DPG196" s="84"/>
      <c r="DPH196" s="84"/>
      <c r="DPI196" s="84"/>
      <c r="DPJ196" s="84"/>
      <c r="DPK196" s="84"/>
      <c r="DPL196" s="84"/>
      <c r="DPM196" s="84"/>
      <c r="DPN196" s="84"/>
      <c r="DPO196" s="84"/>
      <c r="DPP196" s="84"/>
      <c r="DPQ196" s="84"/>
      <c r="DPR196" s="84"/>
      <c r="DPS196" s="84"/>
      <c r="DPT196" s="84"/>
      <c r="DPU196" s="84"/>
      <c r="DPV196" s="84"/>
      <c r="DPW196" s="84"/>
      <c r="DPX196" s="84"/>
      <c r="DPY196" s="84"/>
      <c r="DPZ196" s="84"/>
      <c r="DQA196" s="84"/>
      <c r="DQB196" s="84"/>
      <c r="DQC196" s="84"/>
      <c r="DQD196" s="84"/>
      <c r="DQE196" s="84"/>
      <c r="DQF196" s="84"/>
      <c r="DQG196" s="84"/>
      <c r="DQH196" s="84"/>
      <c r="DQI196" s="84"/>
      <c r="DQJ196" s="84"/>
      <c r="DQK196" s="84"/>
      <c r="DQL196" s="84"/>
      <c r="DQM196" s="84"/>
      <c r="DQN196" s="84"/>
      <c r="DQO196" s="84"/>
      <c r="DQP196" s="84"/>
      <c r="DQQ196" s="84"/>
      <c r="DQR196" s="84"/>
      <c r="DQS196" s="84"/>
      <c r="DQT196" s="84"/>
      <c r="DQU196" s="84"/>
      <c r="DQV196" s="84"/>
      <c r="DQW196" s="84"/>
      <c r="DQX196" s="84"/>
      <c r="DQY196" s="84"/>
      <c r="DQZ196" s="84"/>
      <c r="DRA196" s="84"/>
      <c r="DRB196" s="84"/>
      <c r="DRC196" s="84"/>
      <c r="DRD196" s="84"/>
      <c r="DRE196" s="84"/>
      <c r="DRF196" s="84"/>
      <c r="DRG196" s="84"/>
      <c r="DRH196" s="84"/>
      <c r="DRI196" s="84"/>
      <c r="DRJ196" s="84"/>
      <c r="DRK196" s="84"/>
      <c r="DRL196" s="84"/>
      <c r="DRM196" s="84"/>
      <c r="DRN196" s="84"/>
      <c r="DRO196" s="84"/>
      <c r="DRP196" s="84"/>
      <c r="DRQ196" s="84"/>
      <c r="DRR196" s="84"/>
      <c r="DRS196" s="84"/>
      <c r="DRT196" s="84"/>
      <c r="DRU196" s="84"/>
      <c r="DRV196" s="84"/>
      <c r="DRW196" s="84"/>
      <c r="DRX196" s="84"/>
      <c r="DRY196" s="84"/>
      <c r="DRZ196" s="84"/>
      <c r="DSA196" s="84"/>
      <c r="DSB196" s="84"/>
      <c r="DSC196" s="84"/>
      <c r="DSD196" s="84"/>
      <c r="DSE196" s="84"/>
      <c r="DSF196" s="84"/>
      <c r="DSG196" s="84"/>
      <c r="DSH196" s="84"/>
      <c r="DSI196" s="84"/>
      <c r="DSJ196" s="84"/>
      <c r="DSK196" s="84"/>
      <c r="DSL196" s="84"/>
      <c r="DSM196" s="84"/>
      <c r="DSN196" s="84"/>
      <c r="DSO196" s="84"/>
      <c r="DSP196" s="84"/>
      <c r="DSQ196" s="84"/>
      <c r="DSR196" s="84"/>
      <c r="DSS196" s="84"/>
      <c r="DST196" s="84"/>
      <c r="DSU196" s="84"/>
      <c r="DSV196" s="84"/>
      <c r="DSW196" s="84"/>
      <c r="DSX196" s="84"/>
      <c r="DSY196" s="84"/>
      <c r="DSZ196" s="84"/>
      <c r="DTA196" s="84"/>
      <c r="DTB196" s="84"/>
      <c r="DTC196" s="84"/>
      <c r="DTD196" s="84"/>
      <c r="DTE196" s="84"/>
      <c r="DTF196" s="84"/>
      <c r="DTG196" s="84"/>
      <c r="DTH196" s="84"/>
      <c r="DTI196" s="84"/>
      <c r="DTJ196" s="84"/>
      <c r="DTK196" s="84"/>
      <c r="DTL196" s="84"/>
      <c r="DTM196" s="84"/>
      <c r="DTN196" s="84"/>
      <c r="DTO196" s="84"/>
      <c r="DTP196" s="84"/>
      <c r="DTQ196" s="84"/>
      <c r="DTR196" s="84"/>
      <c r="DTS196" s="84"/>
      <c r="DTT196" s="84"/>
      <c r="DTU196" s="84"/>
      <c r="DTV196" s="84"/>
      <c r="DTW196" s="84"/>
      <c r="DTX196" s="84"/>
      <c r="DTY196" s="84"/>
      <c r="DTZ196" s="84"/>
      <c r="DUA196" s="84"/>
      <c r="DUB196" s="84"/>
      <c r="DUC196" s="84"/>
      <c r="DUD196" s="84"/>
      <c r="DUE196" s="84"/>
      <c r="DUF196" s="84"/>
      <c r="DUG196" s="84"/>
      <c r="DUH196" s="84"/>
      <c r="DUI196" s="84"/>
      <c r="DUJ196" s="84"/>
      <c r="DUK196" s="84"/>
      <c r="DUL196" s="84"/>
      <c r="DUM196" s="84"/>
      <c r="DUN196" s="84"/>
      <c r="DUO196" s="84"/>
      <c r="DUP196" s="84"/>
      <c r="DUQ196" s="84"/>
      <c r="DUR196" s="84"/>
      <c r="DUS196" s="84"/>
      <c r="DUT196" s="84"/>
      <c r="DUU196" s="84"/>
      <c r="DUV196" s="84"/>
      <c r="DUW196" s="84"/>
      <c r="DUX196" s="84"/>
      <c r="DUY196" s="84"/>
      <c r="DUZ196" s="84"/>
      <c r="DVA196" s="84"/>
      <c r="DVB196" s="84"/>
      <c r="DVC196" s="84"/>
      <c r="DVD196" s="84"/>
      <c r="DVE196" s="84"/>
      <c r="DVF196" s="84"/>
      <c r="DVG196" s="84"/>
      <c r="DVH196" s="84"/>
      <c r="DVI196" s="84"/>
      <c r="DVJ196" s="84"/>
      <c r="DVK196" s="84"/>
      <c r="DVL196" s="84"/>
      <c r="DVM196" s="84"/>
      <c r="DVN196" s="84"/>
      <c r="DVO196" s="84"/>
      <c r="DVP196" s="84"/>
      <c r="DVQ196" s="84"/>
      <c r="DVR196" s="84"/>
      <c r="DVS196" s="84"/>
      <c r="DVT196" s="84"/>
      <c r="DVU196" s="84"/>
      <c r="DVV196" s="84"/>
      <c r="DVW196" s="84"/>
      <c r="DVX196" s="84"/>
      <c r="DVY196" s="84"/>
      <c r="DVZ196" s="84"/>
      <c r="DWA196" s="84"/>
      <c r="DWB196" s="84"/>
      <c r="DWC196" s="84"/>
      <c r="DWD196" s="84"/>
      <c r="DWE196" s="84"/>
      <c r="DWF196" s="84"/>
      <c r="DWG196" s="84"/>
      <c r="DWH196" s="84"/>
      <c r="DWI196" s="84"/>
      <c r="DWJ196" s="84"/>
      <c r="DWK196" s="84"/>
      <c r="DWL196" s="84"/>
      <c r="DWM196" s="84"/>
      <c r="DWN196" s="84"/>
      <c r="DWO196" s="84"/>
      <c r="DWP196" s="84"/>
      <c r="DWQ196" s="84"/>
      <c r="DWR196" s="84"/>
      <c r="DWS196" s="84"/>
      <c r="DWT196" s="84"/>
      <c r="DWU196" s="84"/>
      <c r="DWV196" s="84"/>
      <c r="DWW196" s="84"/>
      <c r="DWX196" s="84"/>
      <c r="DWY196" s="84"/>
      <c r="DWZ196" s="84"/>
      <c r="DXA196" s="84"/>
      <c r="DXB196" s="84"/>
      <c r="DXC196" s="84"/>
      <c r="DXD196" s="84"/>
      <c r="DXE196" s="84"/>
      <c r="DXF196" s="84"/>
      <c r="DXG196" s="84"/>
      <c r="DXH196" s="84"/>
      <c r="DXI196" s="84"/>
      <c r="DXJ196" s="84"/>
      <c r="DXK196" s="84"/>
      <c r="DXL196" s="84"/>
      <c r="DXM196" s="84"/>
      <c r="DXN196" s="84"/>
      <c r="DXO196" s="84"/>
      <c r="DXP196" s="84"/>
      <c r="DXQ196" s="84"/>
      <c r="DXR196" s="84"/>
      <c r="DXS196" s="84"/>
      <c r="DXT196" s="84"/>
      <c r="DXU196" s="84"/>
      <c r="DXV196" s="84"/>
      <c r="DXW196" s="84"/>
      <c r="DXX196" s="84"/>
      <c r="DXY196" s="84"/>
      <c r="DXZ196" s="84"/>
      <c r="DYA196" s="84"/>
      <c r="DYB196" s="84"/>
      <c r="DYC196" s="84"/>
      <c r="DYD196" s="84"/>
      <c r="DYE196" s="84"/>
      <c r="DYF196" s="84"/>
      <c r="DYG196" s="84"/>
      <c r="DYH196" s="84"/>
      <c r="DYI196" s="84"/>
      <c r="DYJ196" s="84"/>
      <c r="DYK196" s="84"/>
      <c r="DYL196" s="84"/>
      <c r="DYM196" s="84"/>
      <c r="DYN196" s="84"/>
      <c r="DYO196" s="84"/>
      <c r="DYP196" s="84"/>
      <c r="DYQ196" s="84"/>
      <c r="DYR196" s="84"/>
      <c r="DYS196" s="84"/>
      <c r="DYT196" s="84"/>
      <c r="DYU196" s="84"/>
      <c r="DYV196" s="84"/>
      <c r="DYW196" s="84"/>
      <c r="DYX196" s="84"/>
      <c r="DYY196" s="84"/>
      <c r="DYZ196" s="84"/>
      <c r="DZA196" s="84"/>
      <c r="DZB196" s="84"/>
      <c r="DZC196" s="84"/>
      <c r="DZD196" s="84"/>
      <c r="DZE196" s="84"/>
      <c r="DZF196" s="84"/>
      <c r="DZG196" s="84"/>
      <c r="DZH196" s="84"/>
      <c r="DZI196" s="84"/>
      <c r="DZJ196" s="84"/>
      <c r="DZK196" s="84"/>
      <c r="DZL196" s="84"/>
      <c r="DZM196" s="84"/>
      <c r="DZN196" s="84"/>
      <c r="DZO196" s="84"/>
      <c r="DZP196" s="84"/>
      <c r="DZQ196" s="84"/>
      <c r="DZR196" s="84"/>
      <c r="DZS196" s="84"/>
      <c r="DZT196" s="84"/>
      <c r="DZU196" s="84"/>
      <c r="DZV196" s="84"/>
      <c r="DZW196" s="84"/>
      <c r="DZX196" s="84"/>
      <c r="DZY196" s="84"/>
      <c r="DZZ196" s="84"/>
      <c r="EAA196" s="84"/>
      <c r="EAB196" s="84"/>
      <c r="EAC196" s="84"/>
      <c r="EAD196" s="84"/>
      <c r="EAE196" s="84"/>
      <c r="EAF196" s="84"/>
      <c r="EAG196" s="84"/>
      <c r="EAH196" s="84"/>
      <c r="EAI196" s="84"/>
      <c r="EAJ196" s="84"/>
      <c r="EAK196" s="84"/>
      <c r="EAL196" s="84"/>
      <c r="EAM196" s="84"/>
      <c r="EAN196" s="84"/>
      <c r="EAO196" s="84"/>
      <c r="EAP196" s="84"/>
      <c r="EAQ196" s="84"/>
      <c r="EAR196" s="84"/>
      <c r="EAS196" s="84"/>
      <c r="EAT196" s="84"/>
      <c r="EAU196" s="84"/>
      <c r="EAV196" s="84"/>
      <c r="EAW196" s="84"/>
      <c r="EAX196" s="84"/>
      <c r="EAY196" s="84"/>
      <c r="EAZ196" s="84"/>
      <c r="EBA196" s="84"/>
      <c r="EBB196" s="84"/>
      <c r="EBC196" s="84"/>
      <c r="EBD196" s="84"/>
      <c r="EBE196" s="84"/>
      <c r="EBF196" s="84"/>
      <c r="EBG196" s="84"/>
      <c r="EBH196" s="84"/>
      <c r="EBI196" s="84"/>
      <c r="EBJ196" s="84"/>
      <c r="EBK196" s="84"/>
      <c r="EBL196" s="84"/>
      <c r="EBM196" s="84"/>
      <c r="EBN196" s="84"/>
      <c r="EBO196" s="84"/>
      <c r="EBP196" s="84"/>
      <c r="EBQ196" s="84"/>
      <c r="EBR196" s="84"/>
      <c r="EBS196" s="84"/>
      <c r="EBT196" s="84"/>
      <c r="EBU196" s="84"/>
      <c r="EBV196" s="84"/>
      <c r="EBW196" s="84"/>
      <c r="EBX196" s="84"/>
      <c r="EBY196" s="84"/>
      <c r="EBZ196" s="84"/>
      <c r="ECA196" s="84"/>
      <c r="ECB196" s="84"/>
      <c r="ECC196" s="84"/>
      <c r="ECD196" s="84"/>
      <c r="ECE196" s="84"/>
      <c r="ECF196" s="84"/>
      <c r="ECG196" s="84"/>
      <c r="ECH196" s="84"/>
      <c r="ECI196" s="84"/>
      <c r="ECJ196" s="84"/>
      <c r="ECK196" s="84"/>
      <c r="ECL196" s="84"/>
      <c r="ECM196" s="84"/>
      <c r="ECN196" s="84"/>
      <c r="ECO196" s="84"/>
      <c r="ECP196" s="84"/>
      <c r="ECQ196" s="84"/>
      <c r="ECR196" s="84"/>
      <c r="ECS196" s="84"/>
      <c r="ECT196" s="84"/>
      <c r="ECU196" s="84"/>
      <c r="ECV196" s="84"/>
      <c r="ECW196" s="84"/>
      <c r="ECX196" s="84"/>
      <c r="ECY196" s="84"/>
      <c r="ECZ196" s="84"/>
      <c r="EDA196" s="84"/>
      <c r="EDB196" s="84"/>
      <c r="EDC196" s="84"/>
      <c r="EDD196" s="84"/>
      <c r="EDE196" s="84"/>
      <c r="EDF196" s="84"/>
      <c r="EDG196" s="84"/>
      <c r="EDH196" s="84"/>
      <c r="EDI196" s="84"/>
      <c r="EDJ196" s="84"/>
      <c r="EDK196" s="84"/>
      <c r="EDL196" s="84"/>
      <c r="EDM196" s="84"/>
      <c r="EDN196" s="84"/>
      <c r="EDO196" s="84"/>
      <c r="EDP196" s="84"/>
      <c r="EDQ196" s="84"/>
      <c r="EDR196" s="84"/>
      <c r="EDS196" s="84"/>
      <c r="EDT196" s="84"/>
      <c r="EDU196" s="84"/>
      <c r="EDV196" s="84"/>
      <c r="EDW196" s="84"/>
      <c r="EDX196" s="84"/>
      <c r="EDY196" s="84"/>
      <c r="EDZ196" s="84"/>
      <c r="EEA196" s="84"/>
      <c r="EEB196" s="84"/>
      <c r="EEC196" s="84"/>
      <c r="EED196" s="84"/>
      <c r="EEE196" s="84"/>
      <c r="EEF196" s="84"/>
      <c r="EEG196" s="84"/>
      <c r="EEH196" s="84"/>
      <c r="EEI196" s="84"/>
      <c r="EEJ196" s="84"/>
      <c r="EEK196" s="84"/>
      <c r="EEL196" s="84"/>
      <c r="EEM196" s="84"/>
      <c r="EEN196" s="84"/>
      <c r="EEO196" s="84"/>
      <c r="EEP196" s="84"/>
      <c r="EEQ196" s="84"/>
      <c r="EER196" s="84"/>
      <c r="EES196" s="84"/>
      <c r="EET196" s="84"/>
      <c r="EEU196" s="84"/>
      <c r="EEV196" s="84"/>
      <c r="EEW196" s="84"/>
      <c r="EEX196" s="84"/>
      <c r="EEY196" s="84"/>
      <c r="EEZ196" s="84"/>
      <c r="EFA196" s="84"/>
      <c r="EFB196" s="84"/>
      <c r="EFC196" s="84"/>
      <c r="EFD196" s="84"/>
      <c r="EFE196" s="84"/>
      <c r="EFF196" s="84"/>
      <c r="EFG196" s="84"/>
      <c r="EFH196" s="84"/>
      <c r="EFI196" s="84"/>
      <c r="EFJ196" s="84"/>
      <c r="EFK196" s="84"/>
      <c r="EFL196" s="84"/>
      <c r="EFM196" s="84"/>
      <c r="EFN196" s="84"/>
      <c r="EFO196" s="84"/>
      <c r="EFP196" s="84"/>
      <c r="EFQ196" s="84"/>
      <c r="EFR196" s="84"/>
      <c r="EFS196" s="84"/>
      <c r="EFT196" s="84"/>
      <c r="EFU196" s="84"/>
      <c r="EFV196" s="84"/>
      <c r="EFW196" s="84"/>
      <c r="EFX196" s="84"/>
      <c r="EFY196" s="84"/>
      <c r="EFZ196" s="84"/>
      <c r="EGA196" s="84"/>
      <c r="EGB196" s="84"/>
      <c r="EGC196" s="84"/>
      <c r="EGD196" s="84"/>
      <c r="EGE196" s="84"/>
      <c r="EGF196" s="84"/>
      <c r="EGG196" s="84"/>
      <c r="EGH196" s="84"/>
      <c r="EGI196" s="84"/>
      <c r="EGJ196" s="84"/>
      <c r="EGK196" s="84"/>
      <c r="EGL196" s="84"/>
      <c r="EGM196" s="84"/>
      <c r="EGN196" s="84"/>
      <c r="EGO196" s="84"/>
      <c r="EGP196" s="84"/>
      <c r="EGQ196" s="84"/>
      <c r="EGR196" s="84"/>
      <c r="EGS196" s="84"/>
      <c r="EGT196" s="84"/>
      <c r="EGU196" s="84"/>
      <c r="EGV196" s="84"/>
      <c r="EGW196" s="84"/>
      <c r="EGX196" s="84"/>
      <c r="EGY196" s="84"/>
      <c r="EGZ196" s="84"/>
      <c r="EHA196" s="84"/>
      <c r="EHB196" s="84"/>
      <c r="EHC196" s="84"/>
      <c r="EHD196" s="84"/>
      <c r="EHE196" s="84"/>
      <c r="EHF196" s="84"/>
      <c r="EHG196" s="84"/>
      <c r="EHH196" s="84"/>
      <c r="EHI196" s="84"/>
      <c r="EHJ196" s="84"/>
      <c r="EHK196" s="84"/>
      <c r="EHL196" s="84"/>
      <c r="EHM196" s="84"/>
      <c r="EHN196" s="84"/>
      <c r="EHO196" s="84"/>
      <c r="EHP196" s="84"/>
      <c r="EHQ196" s="84"/>
      <c r="EHR196" s="84"/>
      <c r="EHS196" s="84"/>
      <c r="EHT196" s="84"/>
      <c r="EHU196" s="84"/>
      <c r="EHV196" s="84"/>
      <c r="EHW196" s="84"/>
      <c r="EHX196" s="84"/>
      <c r="EHY196" s="84"/>
      <c r="EHZ196" s="84"/>
      <c r="EIA196" s="84"/>
      <c r="EIB196" s="84"/>
      <c r="EIC196" s="84"/>
      <c r="EID196" s="84"/>
      <c r="EIE196" s="84"/>
      <c r="EIF196" s="84"/>
      <c r="EIG196" s="84"/>
      <c r="EIH196" s="84"/>
      <c r="EII196" s="84"/>
      <c r="EIJ196" s="84"/>
      <c r="EIK196" s="84"/>
      <c r="EIL196" s="84"/>
      <c r="EIM196" s="84"/>
      <c r="EIN196" s="84"/>
      <c r="EIO196" s="84"/>
      <c r="EIP196" s="84"/>
      <c r="EIQ196" s="84"/>
      <c r="EIR196" s="84"/>
      <c r="EIS196" s="84"/>
      <c r="EIT196" s="84"/>
      <c r="EIU196" s="84"/>
      <c r="EIV196" s="84"/>
      <c r="EIW196" s="84"/>
      <c r="EIX196" s="84"/>
      <c r="EIY196" s="84"/>
      <c r="EIZ196" s="84"/>
      <c r="EJA196" s="84"/>
      <c r="EJB196" s="84"/>
      <c r="EJC196" s="84"/>
      <c r="EJD196" s="84"/>
      <c r="EJE196" s="84"/>
      <c r="EJF196" s="84"/>
      <c r="EJG196" s="84"/>
      <c r="EJH196" s="84"/>
      <c r="EJI196" s="84"/>
      <c r="EJJ196" s="84"/>
      <c r="EJK196" s="84"/>
      <c r="EJL196" s="84"/>
      <c r="EJM196" s="84"/>
      <c r="EJN196" s="84"/>
      <c r="EJO196" s="84"/>
      <c r="EJP196" s="84"/>
      <c r="EJQ196" s="84"/>
      <c r="EJR196" s="84"/>
      <c r="EJS196" s="84"/>
      <c r="EJT196" s="84"/>
      <c r="EJU196" s="84"/>
      <c r="EJV196" s="84"/>
      <c r="EJW196" s="84"/>
      <c r="EJX196" s="84"/>
      <c r="EJY196" s="84"/>
      <c r="EJZ196" s="84"/>
      <c r="EKA196" s="84"/>
      <c r="EKB196" s="84"/>
      <c r="EKC196" s="84"/>
      <c r="EKD196" s="84"/>
      <c r="EKE196" s="84"/>
      <c r="EKF196" s="84"/>
      <c r="EKG196" s="84"/>
      <c r="EKH196" s="84"/>
      <c r="EKI196" s="84"/>
      <c r="EKJ196" s="84"/>
      <c r="EKK196" s="84"/>
      <c r="EKL196" s="84"/>
      <c r="EKM196" s="84"/>
      <c r="EKN196" s="84"/>
      <c r="EKO196" s="84"/>
      <c r="EKP196" s="84"/>
      <c r="EKQ196" s="84"/>
      <c r="EKR196" s="84"/>
      <c r="EKS196" s="84"/>
      <c r="EKT196" s="84"/>
      <c r="EKU196" s="84"/>
      <c r="EKV196" s="84"/>
      <c r="EKW196" s="84"/>
      <c r="EKX196" s="84"/>
      <c r="EKY196" s="84"/>
      <c r="EKZ196" s="84"/>
      <c r="ELA196" s="84"/>
      <c r="ELB196" s="84"/>
      <c r="ELC196" s="84"/>
      <c r="ELD196" s="84"/>
      <c r="ELE196" s="84"/>
      <c r="ELF196" s="84"/>
      <c r="ELG196" s="84"/>
      <c r="ELH196" s="84"/>
      <c r="ELI196" s="84"/>
      <c r="ELJ196" s="84"/>
      <c r="ELK196" s="84"/>
      <c r="ELL196" s="84"/>
      <c r="ELM196" s="84"/>
      <c r="ELN196" s="84"/>
      <c r="ELO196" s="84"/>
      <c r="ELP196" s="84"/>
      <c r="ELQ196" s="84"/>
      <c r="ELR196" s="84"/>
      <c r="ELS196" s="84"/>
      <c r="ELT196" s="84"/>
      <c r="ELU196" s="84"/>
      <c r="ELV196" s="84"/>
      <c r="ELW196" s="84"/>
      <c r="ELX196" s="84"/>
      <c r="ELY196" s="84"/>
      <c r="ELZ196" s="84"/>
      <c r="EMA196" s="84"/>
      <c r="EMB196" s="84"/>
      <c r="EMC196" s="84"/>
      <c r="EMD196" s="84"/>
      <c r="EME196" s="84"/>
      <c r="EMF196" s="84"/>
      <c r="EMG196" s="84"/>
      <c r="EMH196" s="84"/>
      <c r="EMI196" s="84"/>
      <c r="EMJ196" s="84"/>
      <c r="EMK196" s="84"/>
      <c r="EML196" s="84"/>
      <c r="EMM196" s="84"/>
      <c r="EMN196" s="84"/>
      <c r="EMO196" s="84"/>
      <c r="EMP196" s="84"/>
      <c r="EMQ196" s="84"/>
      <c r="EMR196" s="84"/>
      <c r="EMS196" s="84"/>
      <c r="EMT196" s="84"/>
      <c r="EMU196" s="84"/>
      <c r="EMV196" s="84"/>
      <c r="EMW196" s="84"/>
      <c r="EMX196" s="84"/>
      <c r="EMY196" s="84"/>
      <c r="EMZ196" s="84"/>
      <c r="ENA196" s="84"/>
      <c r="ENB196" s="84"/>
      <c r="ENC196" s="84"/>
      <c r="END196" s="84"/>
      <c r="ENE196" s="84"/>
      <c r="ENF196" s="84"/>
      <c r="ENG196" s="84"/>
      <c r="ENH196" s="84"/>
      <c r="ENI196" s="84"/>
      <c r="ENJ196" s="84"/>
      <c r="ENK196" s="84"/>
      <c r="ENL196" s="84"/>
      <c r="ENM196" s="84"/>
      <c r="ENN196" s="84"/>
      <c r="ENO196" s="84"/>
      <c r="ENP196" s="84"/>
      <c r="ENQ196" s="84"/>
      <c r="ENR196" s="84"/>
      <c r="ENS196" s="84"/>
      <c r="ENT196" s="84"/>
      <c r="ENU196" s="84"/>
      <c r="ENV196" s="84"/>
      <c r="ENW196" s="84"/>
      <c r="ENX196" s="84"/>
      <c r="ENY196" s="84"/>
      <c r="ENZ196" s="84"/>
      <c r="EOA196" s="84"/>
      <c r="EOB196" s="84"/>
      <c r="EOC196" s="84"/>
      <c r="EOD196" s="84"/>
      <c r="EOE196" s="84"/>
      <c r="EOF196" s="84"/>
      <c r="EOG196" s="84"/>
      <c r="EOH196" s="84"/>
      <c r="EOI196" s="84"/>
      <c r="EOJ196" s="84"/>
      <c r="EOK196" s="84"/>
      <c r="EOL196" s="84"/>
      <c r="EOM196" s="84"/>
      <c r="EON196" s="84"/>
      <c r="EOO196" s="84"/>
      <c r="EOP196" s="84"/>
      <c r="EOQ196" s="84"/>
      <c r="EOR196" s="84"/>
      <c r="EOS196" s="84"/>
      <c r="EOT196" s="84"/>
      <c r="EOU196" s="84"/>
      <c r="EOV196" s="84"/>
      <c r="EOW196" s="84"/>
      <c r="EOX196" s="84"/>
      <c r="EOY196" s="84"/>
      <c r="EOZ196" s="84"/>
      <c r="EPA196" s="84"/>
      <c r="EPB196" s="84"/>
      <c r="EPC196" s="84"/>
      <c r="EPD196" s="84"/>
      <c r="EPE196" s="84"/>
      <c r="EPF196" s="84"/>
      <c r="EPG196" s="84"/>
      <c r="EPH196" s="84"/>
      <c r="EPI196" s="84"/>
      <c r="EPJ196" s="84"/>
      <c r="EPK196" s="84"/>
      <c r="EPL196" s="84"/>
      <c r="EPM196" s="84"/>
      <c r="EPN196" s="84"/>
      <c r="EPO196" s="84"/>
      <c r="EPP196" s="84"/>
      <c r="EPQ196" s="84"/>
      <c r="EPR196" s="84"/>
      <c r="EPS196" s="84"/>
      <c r="EPT196" s="84"/>
      <c r="EPU196" s="84"/>
      <c r="EPV196" s="84"/>
      <c r="EPW196" s="84"/>
      <c r="EPX196" s="84"/>
      <c r="EPY196" s="84"/>
      <c r="EPZ196" s="84"/>
      <c r="EQA196" s="84"/>
      <c r="EQB196" s="84"/>
      <c r="EQC196" s="84"/>
      <c r="EQD196" s="84"/>
      <c r="EQE196" s="84"/>
      <c r="EQF196" s="84"/>
      <c r="EQG196" s="84"/>
      <c r="EQH196" s="84"/>
      <c r="EQI196" s="84"/>
      <c r="EQJ196" s="84"/>
      <c r="EQK196" s="84"/>
      <c r="EQL196" s="84"/>
      <c r="EQM196" s="84"/>
      <c r="EQN196" s="84"/>
      <c r="EQO196" s="84"/>
      <c r="EQP196" s="84"/>
      <c r="EQQ196" s="84"/>
      <c r="EQR196" s="84"/>
      <c r="EQS196" s="84"/>
      <c r="EQT196" s="84"/>
      <c r="EQU196" s="84"/>
      <c r="EQV196" s="84"/>
      <c r="EQW196" s="84"/>
      <c r="EQX196" s="84"/>
      <c r="EQY196" s="84"/>
      <c r="EQZ196" s="84"/>
      <c r="ERA196" s="84"/>
      <c r="ERB196" s="84"/>
      <c r="ERC196" s="84"/>
      <c r="ERD196" s="84"/>
      <c r="ERE196" s="84"/>
      <c r="ERF196" s="84"/>
      <c r="ERG196" s="84"/>
      <c r="ERH196" s="84"/>
      <c r="ERI196" s="84"/>
      <c r="ERJ196" s="84"/>
      <c r="ERK196" s="84"/>
      <c r="ERL196" s="84"/>
      <c r="ERM196" s="84"/>
      <c r="ERN196" s="84"/>
      <c r="ERO196" s="84"/>
      <c r="ERP196" s="84"/>
      <c r="ERQ196" s="84"/>
      <c r="ERR196" s="84"/>
      <c r="ERS196" s="84"/>
      <c r="ERT196" s="84"/>
      <c r="ERU196" s="84"/>
      <c r="ERV196" s="84"/>
      <c r="ERW196" s="84"/>
      <c r="ERX196" s="84"/>
      <c r="ERY196" s="84"/>
      <c r="ERZ196" s="84"/>
      <c r="ESA196" s="84"/>
      <c r="ESB196" s="84"/>
      <c r="ESC196" s="84"/>
      <c r="ESD196" s="84"/>
      <c r="ESE196" s="84"/>
      <c r="ESF196" s="84"/>
      <c r="ESG196" s="84"/>
      <c r="ESH196" s="84"/>
      <c r="ESI196" s="84"/>
      <c r="ESJ196" s="84"/>
      <c r="ESK196" s="84"/>
      <c r="ESL196" s="84"/>
      <c r="ESM196" s="84"/>
      <c r="ESN196" s="84"/>
      <c r="ESO196" s="84"/>
      <c r="ESP196" s="84"/>
      <c r="ESQ196" s="84"/>
      <c r="ESR196" s="84"/>
      <c r="ESS196" s="84"/>
      <c r="EST196" s="84"/>
      <c r="ESU196" s="84"/>
      <c r="ESV196" s="84"/>
      <c r="ESW196" s="84"/>
      <c r="ESX196" s="84"/>
      <c r="ESY196" s="84"/>
      <c r="ESZ196" s="84"/>
      <c r="ETA196" s="84"/>
      <c r="ETB196" s="84"/>
      <c r="ETC196" s="84"/>
      <c r="ETD196" s="84"/>
      <c r="ETE196" s="84"/>
      <c r="ETF196" s="84"/>
      <c r="ETG196" s="84"/>
      <c r="ETH196" s="84"/>
      <c r="ETI196" s="84"/>
      <c r="ETJ196" s="84"/>
      <c r="ETK196" s="84"/>
      <c r="ETL196" s="84"/>
      <c r="ETM196" s="84"/>
      <c r="ETN196" s="84"/>
      <c r="ETO196" s="84"/>
      <c r="ETP196" s="84"/>
      <c r="ETQ196" s="84"/>
      <c r="ETR196" s="84"/>
      <c r="ETS196" s="84"/>
      <c r="ETT196" s="84"/>
      <c r="ETU196" s="84"/>
      <c r="ETV196" s="84"/>
      <c r="ETW196" s="84"/>
      <c r="ETX196" s="84"/>
      <c r="ETY196" s="84"/>
      <c r="ETZ196" s="84"/>
      <c r="EUA196" s="84"/>
      <c r="EUB196" s="84"/>
      <c r="EUC196" s="84"/>
      <c r="EUD196" s="84"/>
      <c r="EUE196" s="84"/>
      <c r="EUF196" s="84"/>
      <c r="EUG196" s="84"/>
      <c r="EUH196" s="84"/>
      <c r="EUI196" s="84"/>
      <c r="EUJ196" s="84"/>
      <c r="EUK196" s="84"/>
      <c r="EUL196" s="84"/>
      <c r="EUM196" s="84"/>
      <c r="EUN196" s="84"/>
      <c r="EUO196" s="84"/>
      <c r="EUP196" s="84"/>
      <c r="EUQ196" s="84"/>
      <c r="EUR196" s="84"/>
      <c r="EUS196" s="84"/>
      <c r="EUT196" s="84"/>
      <c r="EUU196" s="84"/>
      <c r="EUV196" s="84"/>
      <c r="EUW196" s="84"/>
      <c r="EUX196" s="84"/>
      <c r="EUY196" s="84"/>
      <c r="EUZ196" s="84"/>
      <c r="EVA196" s="84"/>
      <c r="EVB196" s="84"/>
      <c r="EVC196" s="84"/>
      <c r="EVD196" s="84"/>
      <c r="EVE196" s="84"/>
      <c r="EVF196" s="84"/>
      <c r="EVG196" s="84"/>
      <c r="EVH196" s="84"/>
      <c r="EVI196" s="84"/>
      <c r="EVJ196" s="84"/>
      <c r="EVK196" s="84"/>
      <c r="EVL196" s="84"/>
      <c r="EVM196" s="84"/>
      <c r="EVN196" s="84"/>
      <c r="EVO196" s="84"/>
      <c r="EVP196" s="84"/>
      <c r="EVQ196" s="84"/>
      <c r="EVR196" s="84"/>
      <c r="EVS196" s="84"/>
      <c r="EVT196" s="84"/>
      <c r="EVU196" s="84"/>
      <c r="EVV196" s="84"/>
      <c r="EVW196" s="84"/>
      <c r="EVX196" s="84"/>
      <c r="EVY196" s="84"/>
      <c r="EVZ196" s="84"/>
      <c r="EWA196" s="84"/>
      <c r="EWB196" s="84"/>
      <c r="EWC196" s="84"/>
      <c r="EWD196" s="84"/>
      <c r="EWE196" s="84"/>
      <c r="EWF196" s="84"/>
      <c r="EWG196" s="84"/>
      <c r="EWH196" s="84"/>
      <c r="EWI196" s="84"/>
      <c r="EWJ196" s="84"/>
      <c r="EWK196" s="84"/>
      <c r="EWL196" s="84"/>
      <c r="EWM196" s="84"/>
      <c r="EWN196" s="84"/>
      <c r="EWO196" s="84"/>
      <c r="EWP196" s="84"/>
      <c r="EWQ196" s="84"/>
      <c r="EWR196" s="84"/>
      <c r="EWS196" s="84"/>
      <c r="EWT196" s="84"/>
      <c r="EWU196" s="84"/>
      <c r="EWV196" s="84"/>
      <c r="EWW196" s="84"/>
      <c r="EWX196" s="84"/>
      <c r="EWY196" s="84"/>
      <c r="EWZ196" s="84"/>
      <c r="EXA196" s="84"/>
      <c r="EXB196" s="84"/>
      <c r="EXC196" s="84"/>
      <c r="EXD196" s="84"/>
      <c r="EXE196" s="84"/>
      <c r="EXF196" s="84"/>
      <c r="EXG196" s="84"/>
      <c r="EXH196" s="84"/>
      <c r="EXI196" s="84"/>
      <c r="EXJ196" s="84"/>
      <c r="EXK196" s="84"/>
      <c r="EXL196" s="84"/>
      <c r="EXM196" s="84"/>
      <c r="EXN196" s="84"/>
      <c r="EXO196" s="84"/>
      <c r="EXP196" s="84"/>
      <c r="EXQ196" s="84"/>
      <c r="EXR196" s="84"/>
      <c r="EXS196" s="84"/>
      <c r="EXT196" s="84"/>
      <c r="EXU196" s="84"/>
      <c r="EXV196" s="84"/>
      <c r="EXW196" s="84"/>
      <c r="EXX196" s="84"/>
      <c r="EXY196" s="84"/>
      <c r="EXZ196" s="84"/>
      <c r="EYA196" s="84"/>
      <c r="EYB196" s="84"/>
      <c r="EYC196" s="84"/>
      <c r="EYD196" s="84"/>
      <c r="EYE196" s="84"/>
      <c r="EYF196" s="84"/>
      <c r="EYG196" s="84"/>
      <c r="EYH196" s="84"/>
      <c r="EYI196" s="84"/>
      <c r="EYJ196" s="84"/>
      <c r="EYK196" s="84"/>
      <c r="EYL196" s="84"/>
      <c r="EYM196" s="84"/>
      <c r="EYN196" s="84"/>
      <c r="EYO196" s="84"/>
      <c r="EYP196" s="84"/>
      <c r="EYQ196" s="84"/>
      <c r="EYR196" s="84"/>
      <c r="EYS196" s="84"/>
      <c r="EYT196" s="84"/>
      <c r="EYU196" s="84"/>
      <c r="EYV196" s="84"/>
      <c r="EYW196" s="84"/>
      <c r="EYX196" s="84"/>
      <c r="EYY196" s="84"/>
      <c r="EYZ196" s="84"/>
      <c r="EZA196" s="84"/>
      <c r="EZB196" s="84"/>
      <c r="EZC196" s="84"/>
      <c r="EZD196" s="84"/>
      <c r="EZE196" s="84"/>
      <c r="EZF196" s="84"/>
      <c r="EZG196" s="84"/>
      <c r="EZH196" s="84"/>
      <c r="EZI196" s="84"/>
      <c r="EZJ196" s="84"/>
      <c r="EZK196" s="84"/>
      <c r="EZL196" s="84"/>
      <c r="EZM196" s="84"/>
      <c r="EZN196" s="84"/>
      <c r="EZO196" s="84"/>
      <c r="EZP196" s="84"/>
      <c r="EZQ196" s="84"/>
      <c r="EZR196" s="84"/>
      <c r="EZS196" s="84"/>
      <c r="EZT196" s="84"/>
      <c r="EZU196" s="84"/>
      <c r="EZV196" s="84"/>
      <c r="EZW196" s="84"/>
      <c r="EZX196" s="84"/>
      <c r="EZY196" s="84"/>
      <c r="EZZ196" s="84"/>
      <c r="FAA196" s="84"/>
      <c r="FAB196" s="84"/>
      <c r="FAC196" s="84"/>
      <c r="FAD196" s="84"/>
      <c r="FAE196" s="84"/>
      <c r="FAF196" s="84"/>
      <c r="FAG196" s="84"/>
      <c r="FAH196" s="84"/>
      <c r="FAI196" s="84"/>
      <c r="FAJ196" s="84"/>
      <c r="FAK196" s="84"/>
      <c r="FAL196" s="84"/>
      <c r="FAM196" s="84"/>
      <c r="FAN196" s="84"/>
      <c r="FAO196" s="84"/>
      <c r="FAP196" s="84"/>
      <c r="FAQ196" s="84"/>
      <c r="FAR196" s="84"/>
      <c r="FAS196" s="84"/>
      <c r="FAT196" s="84"/>
      <c r="FAU196" s="84"/>
      <c r="FAV196" s="84"/>
      <c r="FAW196" s="84"/>
      <c r="FAX196" s="84"/>
      <c r="FAY196" s="84"/>
      <c r="FAZ196" s="84"/>
      <c r="FBA196" s="84"/>
      <c r="FBB196" s="84"/>
      <c r="FBC196" s="84"/>
      <c r="FBD196" s="84"/>
      <c r="FBE196" s="84"/>
      <c r="FBF196" s="84"/>
      <c r="FBG196" s="84"/>
      <c r="FBH196" s="84"/>
      <c r="FBI196" s="84"/>
      <c r="FBJ196" s="84"/>
      <c r="FBK196" s="84"/>
      <c r="FBL196" s="84"/>
      <c r="FBM196" s="84"/>
      <c r="FBN196" s="84"/>
      <c r="FBO196" s="84"/>
      <c r="FBP196" s="84"/>
      <c r="FBQ196" s="84"/>
      <c r="FBR196" s="84"/>
      <c r="FBS196" s="84"/>
      <c r="FBT196" s="84"/>
      <c r="FBU196" s="84"/>
      <c r="FBV196" s="84"/>
      <c r="FBW196" s="84"/>
      <c r="FBX196" s="84"/>
      <c r="FBY196" s="84"/>
      <c r="FBZ196" s="84"/>
      <c r="FCA196" s="84"/>
      <c r="FCB196" s="84"/>
      <c r="FCC196" s="84"/>
      <c r="FCD196" s="84"/>
      <c r="FCE196" s="84"/>
      <c r="FCF196" s="84"/>
      <c r="FCG196" s="84"/>
      <c r="FCH196" s="84"/>
      <c r="FCI196" s="84"/>
      <c r="FCJ196" s="84"/>
      <c r="FCK196" s="84"/>
      <c r="FCL196" s="84"/>
      <c r="FCM196" s="84"/>
      <c r="FCN196" s="84"/>
      <c r="FCO196" s="84"/>
      <c r="FCP196" s="84"/>
      <c r="FCQ196" s="84"/>
      <c r="FCR196" s="84"/>
      <c r="FCS196" s="84"/>
      <c r="FCT196" s="84"/>
      <c r="FCU196" s="84"/>
      <c r="FCV196" s="84"/>
      <c r="FCW196" s="84"/>
      <c r="FCX196" s="84"/>
      <c r="FCY196" s="84"/>
      <c r="FCZ196" s="84"/>
      <c r="FDA196" s="84"/>
      <c r="FDB196" s="84"/>
      <c r="FDC196" s="84"/>
      <c r="FDD196" s="84"/>
      <c r="FDE196" s="84"/>
      <c r="FDF196" s="84"/>
      <c r="FDG196" s="84"/>
      <c r="FDH196" s="84"/>
      <c r="FDI196" s="84"/>
      <c r="FDJ196" s="84"/>
      <c r="FDK196" s="84"/>
      <c r="FDL196" s="84"/>
      <c r="FDM196" s="84"/>
      <c r="FDN196" s="84"/>
      <c r="FDO196" s="84"/>
      <c r="FDP196" s="84"/>
      <c r="FDQ196" s="84"/>
      <c r="FDR196" s="84"/>
      <c r="FDS196" s="84"/>
      <c r="FDT196" s="84"/>
      <c r="FDU196" s="84"/>
      <c r="FDV196" s="84"/>
      <c r="FDW196" s="84"/>
      <c r="FDX196" s="84"/>
      <c r="FDY196" s="84"/>
      <c r="FDZ196" s="84"/>
      <c r="FEA196" s="84"/>
      <c r="FEB196" s="84"/>
      <c r="FEC196" s="84"/>
      <c r="FED196" s="84"/>
      <c r="FEE196" s="84"/>
      <c r="FEF196" s="84"/>
      <c r="FEG196" s="84"/>
      <c r="FEH196" s="84"/>
      <c r="FEI196" s="84"/>
      <c r="FEJ196" s="84"/>
      <c r="FEK196" s="84"/>
      <c r="FEL196" s="84"/>
      <c r="FEM196" s="84"/>
      <c r="FEN196" s="84"/>
      <c r="FEO196" s="84"/>
      <c r="FEP196" s="84"/>
      <c r="FEQ196" s="84"/>
      <c r="FER196" s="84"/>
      <c r="FES196" s="84"/>
      <c r="FET196" s="84"/>
      <c r="FEU196" s="84"/>
      <c r="FEV196" s="84"/>
      <c r="FEW196" s="84"/>
      <c r="FEX196" s="84"/>
      <c r="FEY196" s="84"/>
      <c r="FEZ196" s="84"/>
      <c r="FFA196" s="84"/>
      <c r="FFB196" s="84"/>
      <c r="FFC196" s="84"/>
      <c r="FFD196" s="84"/>
      <c r="FFE196" s="84"/>
      <c r="FFF196" s="84"/>
      <c r="FFG196" s="84"/>
      <c r="FFH196" s="84"/>
      <c r="FFI196" s="84"/>
      <c r="FFJ196" s="84"/>
      <c r="FFK196" s="84"/>
      <c r="FFL196" s="84"/>
      <c r="FFM196" s="84"/>
      <c r="FFN196" s="84"/>
      <c r="FFO196" s="84"/>
      <c r="FFP196" s="84"/>
      <c r="FFQ196" s="84"/>
      <c r="FFR196" s="84"/>
      <c r="FFS196" s="84"/>
      <c r="FFT196" s="84"/>
      <c r="FFU196" s="84"/>
      <c r="FFV196" s="84"/>
      <c r="FFW196" s="84"/>
      <c r="FFX196" s="84"/>
      <c r="FFY196" s="84"/>
      <c r="FFZ196" s="84"/>
      <c r="FGA196" s="84"/>
      <c r="FGB196" s="84"/>
      <c r="FGC196" s="84"/>
      <c r="FGD196" s="84"/>
      <c r="FGE196" s="84"/>
      <c r="FGF196" s="84"/>
      <c r="FGG196" s="84"/>
      <c r="FGH196" s="84"/>
      <c r="FGI196" s="84"/>
      <c r="FGJ196" s="84"/>
      <c r="FGK196" s="84"/>
      <c r="FGL196" s="84"/>
      <c r="FGM196" s="84"/>
      <c r="FGN196" s="84"/>
      <c r="FGO196" s="84"/>
      <c r="FGP196" s="84"/>
      <c r="FGQ196" s="84"/>
      <c r="FGR196" s="84"/>
      <c r="FGS196" s="84"/>
      <c r="FGT196" s="84"/>
      <c r="FGU196" s="84"/>
      <c r="FGV196" s="84"/>
      <c r="FGW196" s="84"/>
      <c r="FGX196" s="84"/>
      <c r="FGY196" s="84"/>
      <c r="FGZ196" s="84"/>
      <c r="FHA196" s="84"/>
      <c r="FHB196" s="84"/>
      <c r="FHC196" s="84"/>
      <c r="FHD196" s="84"/>
      <c r="FHE196" s="84"/>
      <c r="FHF196" s="84"/>
      <c r="FHG196" s="84"/>
      <c r="FHH196" s="84"/>
      <c r="FHI196" s="84"/>
      <c r="FHJ196" s="84"/>
      <c r="FHK196" s="84"/>
      <c r="FHL196" s="84"/>
      <c r="FHM196" s="84"/>
      <c r="FHN196" s="84"/>
      <c r="FHO196" s="84"/>
      <c r="FHP196" s="84"/>
      <c r="FHQ196" s="84"/>
      <c r="FHR196" s="84"/>
      <c r="FHS196" s="84"/>
      <c r="FHT196" s="84"/>
      <c r="FHU196" s="84"/>
      <c r="FHV196" s="84"/>
      <c r="FHW196" s="84"/>
      <c r="FHX196" s="84"/>
      <c r="FHY196" s="84"/>
      <c r="FHZ196" s="84"/>
      <c r="FIA196" s="84"/>
      <c r="FIB196" s="84"/>
      <c r="FIC196" s="84"/>
      <c r="FID196" s="84"/>
      <c r="FIE196" s="84"/>
      <c r="FIF196" s="84"/>
      <c r="FIG196" s="84"/>
      <c r="FIH196" s="84"/>
      <c r="FII196" s="84"/>
      <c r="FIJ196" s="84"/>
      <c r="FIK196" s="84"/>
      <c r="FIL196" s="84"/>
      <c r="FIM196" s="84"/>
      <c r="FIN196" s="84"/>
      <c r="FIO196" s="84"/>
      <c r="FIP196" s="84"/>
      <c r="FIQ196" s="84"/>
      <c r="FIR196" s="84"/>
      <c r="FIS196" s="84"/>
      <c r="FIT196" s="84"/>
      <c r="FIU196" s="84"/>
      <c r="FIV196" s="84"/>
      <c r="FIW196" s="84"/>
      <c r="FIX196" s="84"/>
      <c r="FIY196" s="84"/>
      <c r="FIZ196" s="84"/>
      <c r="FJA196" s="84"/>
      <c r="FJB196" s="84"/>
      <c r="FJC196" s="84"/>
      <c r="FJD196" s="84"/>
      <c r="FJE196" s="84"/>
      <c r="FJF196" s="84"/>
      <c r="FJG196" s="84"/>
      <c r="FJH196" s="84"/>
      <c r="FJI196" s="84"/>
      <c r="FJJ196" s="84"/>
      <c r="FJK196" s="84"/>
      <c r="FJL196" s="84"/>
      <c r="FJM196" s="84"/>
      <c r="FJN196" s="84"/>
      <c r="FJO196" s="84"/>
      <c r="FJP196" s="84"/>
      <c r="FJQ196" s="84"/>
      <c r="FJR196" s="84"/>
      <c r="FJS196" s="84"/>
      <c r="FJT196" s="84"/>
      <c r="FJU196" s="84"/>
      <c r="FJV196" s="84"/>
      <c r="FJW196" s="84"/>
      <c r="FJX196" s="84"/>
      <c r="FJY196" s="84"/>
      <c r="FJZ196" s="84"/>
      <c r="FKA196" s="84"/>
      <c r="FKB196" s="84"/>
      <c r="FKC196" s="84"/>
      <c r="FKD196" s="84"/>
      <c r="FKE196" s="84"/>
      <c r="FKF196" s="84"/>
      <c r="FKG196" s="84"/>
      <c r="FKH196" s="84"/>
      <c r="FKI196" s="84"/>
      <c r="FKJ196" s="84"/>
      <c r="FKK196" s="84"/>
      <c r="FKL196" s="84"/>
      <c r="FKM196" s="84"/>
      <c r="FKN196" s="84"/>
      <c r="FKO196" s="84"/>
      <c r="FKP196" s="84"/>
      <c r="FKQ196" s="84"/>
      <c r="FKR196" s="84"/>
      <c r="FKS196" s="84"/>
      <c r="FKT196" s="84"/>
      <c r="FKU196" s="84"/>
      <c r="FKV196" s="84"/>
      <c r="FKW196" s="84"/>
      <c r="FKX196" s="84"/>
      <c r="FKY196" s="84"/>
      <c r="FKZ196" s="84"/>
      <c r="FLA196" s="84"/>
      <c r="FLB196" s="84"/>
      <c r="FLC196" s="84"/>
      <c r="FLD196" s="84"/>
      <c r="FLE196" s="84"/>
      <c r="FLF196" s="84"/>
      <c r="FLG196" s="84"/>
      <c r="FLH196" s="84"/>
      <c r="FLI196" s="84"/>
      <c r="FLJ196" s="84"/>
      <c r="FLK196" s="84"/>
      <c r="FLL196" s="84"/>
      <c r="FLM196" s="84"/>
      <c r="FLN196" s="84"/>
      <c r="FLO196" s="84"/>
      <c r="FLP196" s="84"/>
      <c r="FLQ196" s="84"/>
      <c r="FLR196" s="84"/>
      <c r="FLS196" s="84"/>
      <c r="FLT196" s="84"/>
      <c r="FLU196" s="84"/>
      <c r="FLV196" s="84"/>
      <c r="FLW196" s="84"/>
      <c r="FLX196" s="84"/>
      <c r="FLY196" s="84"/>
      <c r="FLZ196" s="84"/>
      <c r="FMA196" s="84"/>
      <c r="FMB196" s="84"/>
      <c r="FMC196" s="84"/>
      <c r="FMD196" s="84"/>
      <c r="FME196" s="84"/>
      <c r="FMF196" s="84"/>
      <c r="FMG196" s="84"/>
      <c r="FMH196" s="84"/>
      <c r="FMI196" s="84"/>
      <c r="FMJ196" s="84"/>
      <c r="FMK196" s="84"/>
      <c r="FML196" s="84"/>
      <c r="FMM196" s="84"/>
      <c r="FMN196" s="84"/>
      <c r="FMO196" s="84"/>
      <c r="FMP196" s="84"/>
      <c r="FMQ196" s="84"/>
      <c r="FMR196" s="84"/>
      <c r="FMS196" s="84"/>
      <c r="FMT196" s="84"/>
      <c r="FMU196" s="84"/>
      <c r="FMV196" s="84"/>
      <c r="FMW196" s="84"/>
      <c r="FMX196" s="84"/>
      <c r="FMY196" s="84"/>
      <c r="FMZ196" s="84"/>
      <c r="FNA196" s="84"/>
      <c r="FNB196" s="84"/>
      <c r="FNC196" s="84"/>
      <c r="FND196" s="84"/>
      <c r="FNE196" s="84"/>
      <c r="FNF196" s="84"/>
      <c r="FNG196" s="84"/>
      <c r="FNH196" s="84"/>
      <c r="FNI196" s="84"/>
      <c r="FNJ196" s="84"/>
      <c r="FNK196" s="84"/>
      <c r="FNL196" s="84"/>
      <c r="FNM196" s="84"/>
      <c r="FNN196" s="84"/>
      <c r="FNO196" s="84"/>
      <c r="FNP196" s="84"/>
      <c r="FNQ196" s="84"/>
      <c r="FNR196" s="84"/>
      <c r="FNS196" s="84"/>
      <c r="FNT196" s="84"/>
      <c r="FNU196" s="84"/>
      <c r="FNV196" s="84"/>
      <c r="FNW196" s="84"/>
      <c r="FNX196" s="84"/>
      <c r="FNY196" s="84"/>
      <c r="FNZ196" s="84"/>
      <c r="FOA196" s="84"/>
      <c r="FOB196" s="84"/>
      <c r="FOC196" s="84"/>
      <c r="FOD196" s="84"/>
      <c r="FOE196" s="84"/>
      <c r="FOF196" s="84"/>
      <c r="FOG196" s="84"/>
      <c r="FOH196" s="84"/>
      <c r="FOI196" s="84"/>
      <c r="FOJ196" s="84"/>
      <c r="FOK196" s="84"/>
      <c r="FOL196" s="84"/>
      <c r="FOM196" s="84"/>
      <c r="FON196" s="84"/>
      <c r="FOO196" s="84"/>
      <c r="FOP196" s="84"/>
      <c r="FOQ196" s="84"/>
      <c r="FOR196" s="84"/>
      <c r="FOS196" s="84"/>
      <c r="FOT196" s="84"/>
      <c r="FOU196" s="84"/>
      <c r="FOV196" s="84"/>
      <c r="FOW196" s="84"/>
      <c r="FOX196" s="84"/>
      <c r="FOY196" s="84"/>
      <c r="FOZ196" s="84"/>
      <c r="FPA196" s="84"/>
      <c r="FPB196" s="84"/>
      <c r="FPC196" s="84"/>
      <c r="FPD196" s="84"/>
      <c r="FPE196" s="84"/>
      <c r="FPF196" s="84"/>
      <c r="FPG196" s="84"/>
      <c r="FPH196" s="84"/>
      <c r="FPI196" s="84"/>
      <c r="FPJ196" s="84"/>
      <c r="FPK196" s="84"/>
      <c r="FPL196" s="84"/>
      <c r="FPM196" s="84"/>
      <c r="FPN196" s="84"/>
      <c r="FPO196" s="84"/>
      <c r="FPP196" s="84"/>
      <c r="FPQ196" s="84"/>
      <c r="FPR196" s="84"/>
      <c r="FPS196" s="84"/>
      <c r="FPT196" s="84"/>
      <c r="FPU196" s="84"/>
      <c r="FPV196" s="84"/>
      <c r="FPW196" s="84"/>
      <c r="FPX196" s="84"/>
      <c r="FPY196" s="84"/>
      <c r="FPZ196" s="84"/>
      <c r="FQA196" s="84"/>
      <c r="FQB196" s="84"/>
      <c r="FQC196" s="84"/>
      <c r="FQD196" s="84"/>
      <c r="FQE196" s="84"/>
      <c r="FQF196" s="84"/>
      <c r="FQG196" s="84"/>
      <c r="FQH196" s="84"/>
      <c r="FQI196" s="84"/>
      <c r="FQJ196" s="84"/>
      <c r="FQK196" s="84"/>
      <c r="FQL196" s="84"/>
      <c r="FQM196" s="84"/>
      <c r="FQN196" s="84"/>
      <c r="FQO196" s="84"/>
      <c r="FQP196" s="84"/>
      <c r="FQQ196" s="84"/>
      <c r="FQR196" s="84"/>
      <c r="FQS196" s="84"/>
      <c r="FQT196" s="84"/>
      <c r="FQU196" s="84"/>
      <c r="FQV196" s="84"/>
      <c r="FQW196" s="84"/>
      <c r="FQX196" s="84"/>
      <c r="FQY196" s="84"/>
      <c r="FQZ196" s="84"/>
      <c r="FRA196" s="84"/>
      <c r="FRB196" s="84"/>
      <c r="FRC196" s="84"/>
      <c r="FRD196" s="84"/>
      <c r="FRE196" s="84"/>
      <c r="FRF196" s="84"/>
      <c r="FRG196" s="84"/>
      <c r="FRH196" s="84"/>
      <c r="FRI196" s="84"/>
      <c r="FRJ196" s="84"/>
      <c r="FRK196" s="84"/>
      <c r="FRL196" s="84"/>
      <c r="FRM196" s="84"/>
      <c r="FRN196" s="84"/>
      <c r="FRO196" s="84"/>
      <c r="FRP196" s="84"/>
      <c r="FRQ196" s="84"/>
      <c r="FRR196" s="84"/>
      <c r="FRS196" s="84"/>
      <c r="FRT196" s="84"/>
      <c r="FRU196" s="84"/>
      <c r="FRV196" s="84"/>
      <c r="FRW196" s="84"/>
      <c r="FRX196" s="84"/>
      <c r="FRY196" s="84"/>
      <c r="FRZ196" s="84"/>
      <c r="FSA196" s="84"/>
      <c r="FSB196" s="84"/>
      <c r="FSC196" s="84"/>
      <c r="FSD196" s="84"/>
      <c r="FSE196" s="84"/>
      <c r="FSF196" s="84"/>
      <c r="FSG196" s="84"/>
      <c r="FSH196" s="84"/>
      <c r="FSI196" s="84"/>
      <c r="FSJ196" s="84"/>
      <c r="FSK196" s="84"/>
      <c r="FSL196" s="84"/>
      <c r="FSM196" s="84"/>
      <c r="FSN196" s="84"/>
      <c r="FSO196" s="84"/>
      <c r="FSP196" s="84"/>
      <c r="FSQ196" s="84"/>
      <c r="FSR196" s="84"/>
      <c r="FSS196" s="84"/>
      <c r="FST196" s="84"/>
      <c r="FSU196" s="84"/>
      <c r="FSV196" s="84"/>
      <c r="FSW196" s="84"/>
      <c r="FSX196" s="84"/>
      <c r="FSY196" s="84"/>
      <c r="FSZ196" s="84"/>
      <c r="FTA196" s="84"/>
      <c r="FTB196" s="84"/>
      <c r="FTC196" s="84"/>
      <c r="FTD196" s="84"/>
      <c r="FTE196" s="84"/>
      <c r="FTF196" s="84"/>
      <c r="FTG196" s="84"/>
      <c r="FTH196" s="84"/>
      <c r="FTI196" s="84"/>
      <c r="FTJ196" s="84"/>
      <c r="FTK196" s="84"/>
      <c r="FTL196" s="84"/>
      <c r="FTM196" s="84"/>
      <c r="FTN196" s="84"/>
      <c r="FTO196" s="84"/>
      <c r="FTP196" s="84"/>
      <c r="FTQ196" s="84"/>
      <c r="FTR196" s="84"/>
      <c r="FTS196" s="84"/>
      <c r="FTT196" s="84"/>
      <c r="FTU196" s="84"/>
      <c r="FTV196" s="84"/>
      <c r="FTW196" s="84"/>
      <c r="FTX196" s="84"/>
      <c r="FTY196" s="84"/>
      <c r="FTZ196" s="84"/>
      <c r="FUA196" s="84"/>
      <c r="FUB196" s="84"/>
      <c r="FUC196" s="84"/>
      <c r="FUD196" s="84"/>
      <c r="FUE196" s="84"/>
      <c r="FUF196" s="84"/>
      <c r="FUG196" s="84"/>
      <c r="FUH196" s="84"/>
      <c r="FUI196" s="84"/>
      <c r="FUJ196" s="84"/>
      <c r="FUK196" s="84"/>
      <c r="FUL196" s="84"/>
      <c r="FUM196" s="84"/>
      <c r="FUN196" s="84"/>
      <c r="FUO196" s="84"/>
      <c r="FUP196" s="84"/>
      <c r="FUQ196" s="84"/>
      <c r="FUR196" s="84"/>
      <c r="FUS196" s="84"/>
      <c r="FUT196" s="84"/>
      <c r="FUU196" s="84"/>
      <c r="FUV196" s="84"/>
      <c r="FUW196" s="84"/>
      <c r="FUX196" s="84"/>
      <c r="FUY196" s="84"/>
      <c r="FUZ196" s="84"/>
      <c r="FVA196" s="84"/>
      <c r="FVB196" s="84"/>
      <c r="FVC196" s="84"/>
      <c r="FVD196" s="84"/>
      <c r="FVE196" s="84"/>
      <c r="FVF196" s="84"/>
      <c r="FVG196" s="84"/>
      <c r="FVH196" s="84"/>
      <c r="FVI196" s="84"/>
      <c r="FVJ196" s="84"/>
      <c r="FVK196" s="84"/>
      <c r="FVL196" s="84"/>
      <c r="FVM196" s="84"/>
      <c r="FVN196" s="84"/>
      <c r="FVO196" s="84"/>
      <c r="FVP196" s="84"/>
      <c r="FVQ196" s="84"/>
      <c r="FVR196" s="84"/>
      <c r="FVS196" s="84"/>
      <c r="FVT196" s="84"/>
      <c r="FVU196" s="84"/>
      <c r="FVV196" s="84"/>
      <c r="FVW196" s="84"/>
      <c r="FVX196" s="84"/>
      <c r="FVY196" s="84"/>
      <c r="FVZ196" s="84"/>
      <c r="FWA196" s="84"/>
      <c r="FWB196" s="84"/>
      <c r="FWC196" s="84"/>
      <c r="FWD196" s="84"/>
      <c r="FWE196" s="84"/>
      <c r="FWF196" s="84"/>
      <c r="FWG196" s="84"/>
      <c r="FWH196" s="84"/>
      <c r="FWI196" s="84"/>
      <c r="FWJ196" s="84"/>
      <c r="FWK196" s="84"/>
      <c r="FWL196" s="84"/>
      <c r="FWM196" s="84"/>
      <c r="FWN196" s="84"/>
      <c r="FWO196" s="84"/>
      <c r="FWP196" s="84"/>
      <c r="FWQ196" s="84"/>
      <c r="FWR196" s="84"/>
      <c r="FWS196" s="84"/>
      <c r="FWT196" s="84"/>
      <c r="FWU196" s="84"/>
      <c r="FWV196" s="84"/>
      <c r="FWW196" s="84"/>
      <c r="FWX196" s="84"/>
      <c r="FWY196" s="84"/>
      <c r="FWZ196" s="84"/>
      <c r="FXA196" s="84"/>
      <c r="FXB196" s="84"/>
      <c r="FXC196" s="84"/>
      <c r="FXD196" s="84"/>
      <c r="FXE196" s="84"/>
      <c r="FXF196" s="84"/>
      <c r="FXG196" s="84"/>
      <c r="FXH196" s="84"/>
      <c r="FXI196" s="84"/>
      <c r="FXJ196" s="84"/>
      <c r="FXK196" s="84"/>
      <c r="FXL196" s="84"/>
      <c r="FXM196" s="84"/>
      <c r="FXN196" s="84"/>
      <c r="FXO196" s="84"/>
      <c r="FXP196" s="84"/>
      <c r="FXQ196" s="84"/>
      <c r="FXR196" s="84"/>
      <c r="FXS196" s="84"/>
      <c r="FXT196" s="84"/>
      <c r="FXU196" s="84"/>
      <c r="FXV196" s="84"/>
      <c r="FXW196" s="84"/>
      <c r="FXX196" s="84"/>
      <c r="FXY196" s="84"/>
      <c r="FXZ196" s="84"/>
      <c r="FYA196" s="84"/>
      <c r="FYB196" s="84"/>
      <c r="FYC196" s="84"/>
      <c r="FYD196" s="84"/>
      <c r="FYE196" s="84"/>
      <c r="FYF196" s="84"/>
      <c r="FYG196" s="84"/>
      <c r="FYH196" s="84"/>
      <c r="FYI196" s="84"/>
      <c r="FYJ196" s="84"/>
      <c r="FYK196" s="84"/>
      <c r="FYL196" s="84"/>
      <c r="FYM196" s="84"/>
      <c r="FYN196" s="84"/>
      <c r="FYO196" s="84"/>
      <c r="FYP196" s="84"/>
      <c r="FYQ196" s="84"/>
      <c r="FYR196" s="84"/>
      <c r="FYS196" s="84"/>
      <c r="FYT196" s="84"/>
      <c r="FYU196" s="84"/>
      <c r="FYV196" s="84"/>
      <c r="FYW196" s="84"/>
      <c r="FYX196" s="84"/>
      <c r="FYY196" s="84"/>
      <c r="FYZ196" s="84"/>
      <c r="FZA196" s="84"/>
      <c r="FZB196" s="84"/>
      <c r="FZC196" s="84"/>
      <c r="FZD196" s="84"/>
      <c r="FZE196" s="84"/>
      <c r="FZF196" s="84"/>
      <c r="FZG196" s="84"/>
      <c r="FZH196" s="84"/>
      <c r="FZI196" s="84"/>
      <c r="FZJ196" s="84"/>
      <c r="FZK196" s="84"/>
      <c r="FZL196" s="84"/>
      <c r="FZM196" s="84"/>
      <c r="FZN196" s="84"/>
      <c r="FZO196" s="84"/>
      <c r="FZP196" s="84"/>
      <c r="FZQ196" s="84"/>
      <c r="FZR196" s="84"/>
      <c r="FZS196" s="84"/>
      <c r="FZT196" s="84"/>
      <c r="FZU196" s="84"/>
      <c r="FZV196" s="84"/>
      <c r="FZW196" s="84"/>
      <c r="FZX196" s="84"/>
      <c r="FZY196" s="84"/>
      <c r="FZZ196" s="84"/>
      <c r="GAA196" s="84"/>
      <c r="GAB196" s="84"/>
      <c r="GAC196" s="84"/>
      <c r="GAD196" s="84"/>
      <c r="GAE196" s="84"/>
      <c r="GAF196" s="84"/>
      <c r="GAG196" s="84"/>
      <c r="GAH196" s="84"/>
      <c r="GAI196" s="84"/>
      <c r="GAJ196" s="84"/>
      <c r="GAK196" s="84"/>
      <c r="GAL196" s="84"/>
      <c r="GAM196" s="84"/>
      <c r="GAN196" s="84"/>
      <c r="GAO196" s="84"/>
      <c r="GAP196" s="84"/>
      <c r="GAQ196" s="84"/>
      <c r="GAR196" s="84"/>
      <c r="GAS196" s="84"/>
      <c r="GAT196" s="84"/>
      <c r="GAU196" s="84"/>
      <c r="GAV196" s="84"/>
      <c r="GAW196" s="84"/>
      <c r="GAX196" s="84"/>
      <c r="GAY196" s="84"/>
      <c r="GAZ196" s="84"/>
      <c r="GBA196" s="84"/>
      <c r="GBB196" s="84"/>
      <c r="GBC196" s="84"/>
      <c r="GBD196" s="84"/>
      <c r="GBE196" s="84"/>
      <c r="GBF196" s="84"/>
      <c r="GBG196" s="84"/>
      <c r="GBH196" s="84"/>
      <c r="GBI196" s="84"/>
      <c r="GBJ196" s="84"/>
      <c r="GBK196" s="84"/>
      <c r="GBL196" s="84"/>
      <c r="GBM196" s="84"/>
      <c r="GBN196" s="84"/>
      <c r="GBO196" s="84"/>
      <c r="GBP196" s="84"/>
      <c r="GBQ196" s="84"/>
      <c r="GBR196" s="84"/>
      <c r="GBS196" s="84"/>
      <c r="GBT196" s="84"/>
      <c r="GBU196" s="84"/>
      <c r="GBV196" s="84"/>
      <c r="GBW196" s="84"/>
      <c r="GBX196" s="84"/>
      <c r="GBY196" s="84"/>
      <c r="GBZ196" s="84"/>
      <c r="GCA196" s="84"/>
      <c r="GCB196" s="84"/>
      <c r="GCC196" s="84"/>
      <c r="GCD196" s="84"/>
      <c r="GCE196" s="84"/>
      <c r="GCF196" s="84"/>
      <c r="GCG196" s="84"/>
      <c r="GCH196" s="84"/>
      <c r="GCI196" s="84"/>
      <c r="GCJ196" s="84"/>
      <c r="GCK196" s="84"/>
      <c r="GCL196" s="84"/>
      <c r="GCM196" s="84"/>
      <c r="GCN196" s="84"/>
      <c r="GCO196" s="84"/>
      <c r="GCP196" s="84"/>
      <c r="GCQ196" s="84"/>
      <c r="GCR196" s="84"/>
      <c r="GCS196" s="84"/>
      <c r="GCT196" s="84"/>
      <c r="GCU196" s="84"/>
      <c r="GCV196" s="84"/>
      <c r="GCW196" s="84"/>
      <c r="GCX196" s="84"/>
      <c r="GCY196" s="84"/>
      <c r="GCZ196" s="84"/>
      <c r="GDA196" s="84"/>
      <c r="GDB196" s="84"/>
      <c r="GDC196" s="84"/>
      <c r="GDD196" s="84"/>
      <c r="GDE196" s="84"/>
      <c r="GDF196" s="84"/>
      <c r="GDG196" s="84"/>
      <c r="GDH196" s="84"/>
      <c r="GDI196" s="84"/>
      <c r="GDJ196" s="84"/>
      <c r="GDK196" s="84"/>
      <c r="GDL196" s="84"/>
      <c r="GDM196" s="84"/>
      <c r="GDN196" s="84"/>
      <c r="GDO196" s="84"/>
      <c r="GDP196" s="84"/>
      <c r="GDQ196" s="84"/>
      <c r="GDR196" s="84"/>
      <c r="GDS196" s="84"/>
      <c r="GDT196" s="84"/>
      <c r="GDU196" s="84"/>
      <c r="GDV196" s="84"/>
      <c r="GDW196" s="84"/>
      <c r="GDX196" s="84"/>
      <c r="GDY196" s="84"/>
      <c r="GDZ196" s="84"/>
      <c r="GEA196" s="84"/>
      <c r="GEB196" s="84"/>
      <c r="GEC196" s="84"/>
      <c r="GED196" s="84"/>
      <c r="GEE196" s="84"/>
      <c r="GEF196" s="84"/>
      <c r="GEG196" s="84"/>
      <c r="GEH196" s="84"/>
      <c r="GEI196" s="84"/>
      <c r="GEJ196" s="84"/>
      <c r="GEK196" s="84"/>
      <c r="GEL196" s="84"/>
      <c r="GEM196" s="84"/>
      <c r="GEN196" s="84"/>
      <c r="GEO196" s="84"/>
      <c r="GEP196" s="84"/>
      <c r="GEQ196" s="84"/>
      <c r="GER196" s="84"/>
      <c r="GES196" s="84"/>
      <c r="GET196" s="84"/>
      <c r="GEU196" s="84"/>
      <c r="GEV196" s="84"/>
      <c r="GEW196" s="84"/>
      <c r="GEX196" s="84"/>
      <c r="GEY196" s="84"/>
      <c r="GEZ196" s="84"/>
      <c r="GFA196" s="84"/>
      <c r="GFB196" s="84"/>
      <c r="GFC196" s="84"/>
      <c r="GFD196" s="84"/>
      <c r="GFE196" s="84"/>
      <c r="GFF196" s="84"/>
      <c r="GFG196" s="84"/>
      <c r="GFH196" s="84"/>
      <c r="GFI196" s="84"/>
      <c r="GFJ196" s="84"/>
      <c r="GFK196" s="84"/>
      <c r="GFL196" s="84"/>
      <c r="GFM196" s="84"/>
      <c r="GFN196" s="84"/>
      <c r="GFO196" s="84"/>
      <c r="GFP196" s="84"/>
      <c r="GFQ196" s="84"/>
      <c r="GFR196" s="84"/>
      <c r="GFS196" s="84"/>
      <c r="GFT196" s="84"/>
      <c r="GFU196" s="84"/>
      <c r="GFV196" s="84"/>
      <c r="GFW196" s="84"/>
      <c r="GFX196" s="84"/>
      <c r="GFY196" s="84"/>
      <c r="GFZ196" s="84"/>
      <c r="GGA196" s="84"/>
      <c r="GGB196" s="84"/>
      <c r="GGC196" s="84"/>
      <c r="GGD196" s="84"/>
      <c r="GGE196" s="84"/>
      <c r="GGF196" s="84"/>
      <c r="GGG196" s="84"/>
      <c r="GGH196" s="84"/>
      <c r="GGI196" s="84"/>
      <c r="GGJ196" s="84"/>
      <c r="GGK196" s="84"/>
      <c r="GGL196" s="84"/>
      <c r="GGM196" s="84"/>
      <c r="GGN196" s="84"/>
      <c r="GGO196" s="84"/>
      <c r="GGP196" s="84"/>
      <c r="GGQ196" s="84"/>
      <c r="GGR196" s="84"/>
      <c r="GGS196" s="84"/>
      <c r="GGT196" s="84"/>
      <c r="GGU196" s="84"/>
      <c r="GGV196" s="84"/>
      <c r="GGW196" s="84"/>
      <c r="GGX196" s="84"/>
      <c r="GGY196" s="84"/>
      <c r="GGZ196" s="84"/>
      <c r="GHA196" s="84"/>
      <c r="GHB196" s="84"/>
      <c r="GHC196" s="84"/>
      <c r="GHD196" s="84"/>
      <c r="GHE196" s="84"/>
      <c r="GHF196" s="84"/>
      <c r="GHG196" s="84"/>
      <c r="GHH196" s="84"/>
      <c r="GHI196" s="84"/>
      <c r="GHJ196" s="84"/>
      <c r="GHK196" s="84"/>
      <c r="GHL196" s="84"/>
      <c r="GHM196" s="84"/>
      <c r="GHN196" s="84"/>
      <c r="GHO196" s="84"/>
      <c r="GHP196" s="84"/>
      <c r="GHQ196" s="84"/>
      <c r="GHR196" s="84"/>
      <c r="GHS196" s="84"/>
      <c r="GHT196" s="84"/>
      <c r="GHU196" s="84"/>
      <c r="GHV196" s="84"/>
      <c r="GHW196" s="84"/>
      <c r="GHX196" s="84"/>
      <c r="GHY196" s="84"/>
      <c r="GHZ196" s="84"/>
      <c r="GIA196" s="84"/>
      <c r="GIB196" s="84"/>
      <c r="GIC196" s="84"/>
      <c r="GID196" s="84"/>
      <c r="GIE196" s="84"/>
      <c r="GIF196" s="84"/>
      <c r="GIG196" s="84"/>
      <c r="GIH196" s="84"/>
      <c r="GII196" s="84"/>
      <c r="GIJ196" s="84"/>
      <c r="GIK196" s="84"/>
      <c r="GIL196" s="84"/>
      <c r="GIM196" s="84"/>
      <c r="GIN196" s="84"/>
      <c r="GIO196" s="84"/>
      <c r="GIP196" s="84"/>
      <c r="GIQ196" s="84"/>
      <c r="GIR196" s="84"/>
      <c r="GIS196" s="84"/>
      <c r="GIT196" s="84"/>
      <c r="GIU196" s="84"/>
      <c r="GIV196" s="84"/>
      <c r="GIW196" s="84"/>
      <c r="GIX196" s="84"/>
      <c r="GIY196" s="84"/>
      <c r="GIZ196" s="84"/>
      <c r="GJA196" s="84"/>
      <c r="GJB196" s="84"/>
      <c r="GJC196" s="84"/>
      <c r="GJD196" s="84"/>
      <c r="GJE196" s="84"/>
      <c r="GJF196" s="84"/>
      <c r="GJG196" s="84"/>
      <c r="GJH196" s="84"/>
      <c r="GJI196" s="84"/>
      <c r="GJJ196" s="84"/>
      <c r="GJK196" s="84"/>
      <c r="GJL196" s="84"/>
      <c r="GJM196" s="84"/>
      <c r="GJN196" s="84"/>
      <c r="GJO196" s="84"/>
      <c r="GJP196" s="84"/>
      <c r="GJQ196" s="84"/>
      <c r="GJR196" s="84"/>
      <c r="GJS196" s="84"/>
      <c r="GJT196" s="84"/>
      <c r="GJU196" s="84"/>
      <c r="GJV196" s="84"/>
      <c r="GJW196" s="84"/>
      <c r="GJX196" s="84"/>
      <c r="GJY196" s="84"/>
      <c r="GJZ196" s="84"/>
      <c r="GKA196" s="84"/>
      <c r="GKB196" s="84"/>
      <c r="GKC196" s="84"/>
      <c r="GKD196" s="84"/>
      <c r="GKE196" s="84"/>
      <c r="GKF196" s="84"/>
      <c r="GKG196" s="84"/>
      <c r="GKH196" s="84"/>
      <c r="GKI196" s="84"/>
      <c r="GKJ196" s="84"/>
      <c r="GKK196" s="84"/>
      <c r="GKL196" s="84"/>
      <c r="GKM196" s="84"/>
      <c r="GKN196" s="84"/>
      <c r="GKO196" s="84"/>
      <c r="GKP196" s="84"/>
      <c r="GKQ196" s="84"/>
      <c r="GKR196" s="84"/>
      <c r="GKS196" s="84"/>
      <c r="GKT196" s="84"/>
      <c r="GKU196" s="84"/>
      <c r="GKV196" s="84"/>
      <c r="GKW196" s="84"/>
      <c r="GKX196" s="84"/>
      <c r="GKY196" s="84"/>
      <c r="GKZ196" s="84"/>
      <c r="GLA196" s="84"/>
      <c r="GLB196" s="84"/>
      <c r="GLC196" s="84"/>
      <c r="GLD196" s="84"/>
      <c r="GLE196" s="84"/>
      <c r="GLF196" s="84"/>
      <c r="GLG196" s="84"/>
      <c r="GLH196" s="84"/>
      <c r="GLI196" s="84"/>
      <c r="GLJ196" s="84"/>
      <c r="GLK196" s="84"/>
      <c r="GLL196" s="84"/>
      <c r="GLM196" s="84"/>
      <c r="GLN196" s="84"/>
      <c r="GLO196" s="84"/>
      <c r="GLP196" s="84"/>
      <c r="GLQ196" s="84"/>
      <c r="GLR196" s="84"/>
      <c r="GLS196" s="84"/>
      <c r="GLT196" s="84"/>
      <c r="GLU196" s="84"/>
      <c r="GLV196" s="84"/>
      <c r="GLW196" s="84"/>
      <c r="GLX196" s="84"/>
      <c r="GLY196" s="84"/>
      <c r="GLZ196" s="84"/>
      <c r="GMA196" s="84"/>
      <c r="GMB196" s="84"/>
      <c r="GMC196" s="84"/>
      <c r="GMD196" s="84"/>
      <c r="GME196" s="84"/>
      <c r="GMF196" s="84"/>
      <c r="GMG196" s="84"/>
      <c r="GMH196" s="84"/>
      <c r="GMI196" s="84"/>
      <c r="GMJ196" s="84"/>
      <c r="GMK196" s="84"/>
      <c r="GML196" s="84"/>
      <c r="GMM196" s="84"/>
      <c r="GMN196" s="84"/>
      <c r="GMO196" s="84"/>
      <c r="GMP196" s="84"/>
      <c r="GMQ196" s="84"/>
      <c r="GMR196" s="84"/>
      <c r="GMS196" s="84"/>
      <c r="GMT196" s="84"/>
      <c r="GMU196" s="84"/>
      <c r="GMV196" s="84"/>
      <c r="GMW196" s="84"/>
      <c r="GMX196" s="84"/>
      <c r="GMY196" s="84"/>
      <c r="GMZ196" s="84"/>
      <c r="GNA196" s="84"/>
      <c r="GNB196" s="84"/>
      <c r="GNC196" s="84"/>
      <c r="GND196" s="84"/>
      <c r="GNE196" s="84"/>
      <c r="GNF196" s="84"/>
      <c r="GNG196" s="84"/>
      <c r="GNH196" s="84"/>
      <c r="GNI196" s="84"/>
      <c r="GNJ196" s="84"/>
      <c r="GNK196" s="84"/>
      <c r="GNL196" s="84"/>
      <c r="GNM196" s="84"/>
      <c r="GNN196" s="84"/>
      <c r="GNO196" s="84"/>
      <c r="GNP196" s="84"/>
      <c r="GNQ196" s="84"/>
      <c r="GNR196" s="84"/>
      <c r="GNS196" s="84"/>
      <c r="GNT196" s="84"/>
      <c r="GNU196" s="84"/>
      <c r="GNV196" s="84"/>
      <c r="GNW196" s="84"/>
      <c r="GNX196" s="84"/>
      <c r="GNY196" s="84"/>
      <c r="GNZ196" s="84"/>
      <c r="GOA196" s="84"/>
      <c r="GOB196" s="84"/>
      <c r="GOC196" s="84"/>
      <c r="GOD196" s="84"/>
      <c r="GOE196" s="84"/>
      <c r="GOF196" s="84"/>
      <c r="GOG196" s="84"/>
      <c r="GOH196" s="84"/>
      <c r="GOI196" s="84"/>
      <c r="GOJ196" s="84"/>
      <c r="GOK196" s="84"/>
      <c r="GOL196" s="84"/>
      <c r="GOM196" s="84"/>
      <c r="GON196" s="84"/>
      <c r="GOO196" s="84"/>
      <c r="GOP196" s="84"/>
      <c r="GOQ196" s="84"/>
      <c r="GOR196" s="84"/>
      <c r="GOS196" s="84"/>
      <c r="GOT196" s="84"/>
      <c r="GOU196" s="84"/>
      <c r="GOV196" s="84"/>
      <c r="GOW196" s="84"/>
      <c r="GOX196" s="84"/>
      <c r="GOY196" s="84"/>
      <c r="GOZ196" s="84"/>
      <c r="GPA196" s="84"/>
      <c r="GPB196" s="84"/>
      <c r="GPC196" s="84"/>
      <c r="GPD196" s="84"/>
      <c r="GPE196" s="84"/>
      <c r="GPF196" s="84"/>
      <c r="GPG196" s="84"/>
      <c r="GPH196" s="84"/>
      <c r="GPI196" s="84"/>
      <c r="GPJ196" s="84"/>
      <c r="GPK196" s="84"/>
      <c r="GPL196" s="84"/>
      <c r="GPM196" s="84"/>
      <c r="GPN196" s="84"/>
      <c r="GPO196" s="84"/>
      <c r="GPP196" s="84"/>
      <c r="GPQ196" s="84"/>
      <c r="GPR196" s="84"/>
      <c r="GPS196" s="84"/>
      <c r="GPT196" s="84"/>
      <c r="GPU196" s="84"/>
      <c r="GPV196" s="84"/>
      <c r="GPW196" s="84"/>
      <c r="GPX196" s="84"/>
      <c r="GPY196" s="84"/>
      <c r="GPZ196" s="84"/>
      <c r="GQA196" s="84"/>
      <c r="GQB196" s="84"/>
      <c r="GQC196" s="84"/>
      <c r="GQD196" s="84"/>
      <c r="GQE196" s="84"/>
      <c r="GQF196" s="84"/>
      <c r="GQG196" s="84"/>
      <c r="GQH196" s="84"/>
      <c r="GQI196" s="84"/>
      <c r="GQJ196" s="84"/>
      <c r="GQK196" s="84"/>
      <c r="GQL196" s="84"/>
      <c r="GQM196" s="84"/>
      <c r="GQN196" s="84"/>
      <c r="GQO196" s="84"/>
      <c r="GQP196" s="84"/>
      <c r="GQQ196" s="84"/>
      <c r="GQR196" s="84"/>
      <c r="GQS196" s="84"/>
      <c r="GQT196" s="84"/>
      <c r="GQU196" s="84"/>
      <c r="GQV196" s="84"/>
      <c r="GQW196" s="84"/>
      <c r="GQX196" s="84"/>
      <c r="GQY196" s="84"/>
      <c r="GQZ196" s="84"/>
      <c r="GRA196" s="84"/>
      <c r="GRB196" s="84"/>
      <c r="GRC196" s="84"/>
      <c r="GRD196" s="84"/>
      <c r="GRE196" s="84"/>
      <c r="GRF196" s="84"/>
      <c r="GRG196" s="84"/>
      <c r="GRH196" s="84"/>
      <c r="GRI196" s="84"/>
      <c r="GRJ196" s="84"/>
      <c r="GRK196" s="84"/>
      <c r="GRL196" s="84"/>
      <c r="GRM196" s="84"/>
      <c r="GRN196" s="84"/>
      <c r="GRO196" s="84"/>
      <c r="GRP196" s="84"/>
      <c r="GRQ196" s="84"/>
      <c r="GRR196" s="84"/>
      <c r="GRS196" s="84"/>
      <c r="GRT196" s="84"/>
      <c r="GRU196" s="84"/>
      <c r="GRV196" s="84"/>
      <c r="GRW196" s="84"/>
      <c r="GRX196" s="84"/>
      <c r="GRY196" s="84"/>
      <c r="GRZ196" s="84"/>
      <c r="GSA196" s="84"/>
      <c r="GSB196" s="84"/>
      <c r="GSC196" s="84"/>
      <c r="GSD196" s="84"/>
      <c r="GSE196" s="84"/>
      <c r="GSF196" s="84"/>
      <c r="GSG196" s="84"/>
      <c r="GSH196" s="84"/>
      <c r="GSI196" s="84"/>
      <c r="GSJ196" s="84"/>
      <c r="GSK196" s="84"/>
      <c r="GSL196" s="84"/>
      <c r="GSM196" s="84"/>
      <c r="GSN196" s="84"/>
      <c r="GSO196" s="84"/>
      <c r="GSP196" s="84"/>
      <c r="GSQ196" s="84"/>
      <c r="GSR196" s="84"/>
      <c r="GSS196" s="84"/>
      <c r="GST196" s="84"/>
      <c r="GSU196" s="84"/>
      <c r="GSV196" s="84"/>
      <c r="GSW196" s="84"/>
      <c r="GSX196" s="84"/>
      <c r="GSY196" s="84"/>
      <c r="GSZ196" s="84"/>
      <c r="GTA196" s="84"/>
      <c r="GTB196" s="84"/>
      <c r="GTC196" s="84"/>
      <c r="GTD196" s="84"/>
      <c r="GTE196" s="84"/>
      <c r="GTF196" s="84"/>
      <c r="GTG196" s="84"/>
      <c r="GTH196" s="84"/>
      <c r="GTI196" s="84"/>
      <c r="GTJ196" s="84"/>
      <c r="GTK196" s="84"/>
      <c r="GTL196" s="84"/>
      <c r="GTM196" s="84"/>
      <c r="GTN196" s="84"/>
      <c r="GTO196" s="84"/>
      <c r="GTP196" s="84"/>
      <c r="GTQ196" s="84"/>
      <c r="GTR196" s="84"/>
      <c r="GTS196" s="84"/>
      <c r="GTT196" s="84"/>
      <c r="GTU196" s="84"/>
      <c r="GTV196" s="84"/>
      <c r="GTW196" s="84"/>
      <c r="GTX196" s="84"/>
      <c r="GTY196" s="84"/>
      <c r="GTZ196" s="84"/>
      <c r="GUA196" s="84"/>
      <c r="GUB196" s="84"/>
      <c r="GUC196" s="84"/>
      <c r="GUD196" s="84"/>
      <c r="GUE196" s="84"/>
      <c r="GUF196" s="84"/>
      <c r="GUG196" s="84"/>
      <c r="GUH196" s="84"/>
      <c r="GUI196" s="84"/>
      <c r="GUJ196" s="84"/>
      <c r="GUK196" s="84"/>
      <c r="GUL196" s="84"/>
      <c r="GUM196" s="84"/>
      <c r="GUN196" s="84"/>
      <c r="GUO196" s="84"/>
      <c r="GUP196" s="84"/>
      <c r="GUQ196" s="84"/>
      <c r="GUR196" s="84"/>
      <c r="GUS196" s="84"/>
      <c r="GUT196" s="84"/>
      <c r="GUU196" s="84"/>
      <c r="GUV196" s="84"/>
      <c r="GUW196" s="84"/>
      <c r="GUX196" s="84"/>
      <c r="GUY196" s="84"/>
      <c r="GUZ196" s="84"/>
      <c r="GVA196" s="84"/>
      <c r="GVB196" s="84"/>
      <c r="GVC196" s="84"/>
      <c r="GVD196" s="84"/>
      <c r="GVE196" s="84"/>
      <c r="GVF196" s="84"/>
      <c r="GVG196" s="84"/>
      <c r="GVH196" s="84"/>
      <c r="GVI196" s="84"/>
      <c r="GVJ196" s="84"/>
      <c r="GVK196" s="84"/>
      <c r="GVL196" s="84"/>
      <c r="GVM196" s="84"/>
      <c r="GVN196" s="84"/>
      <c r="GVO196" s="84"/>
      <c r="GVP196" s="84"/>
      <c r="GVQ196" s="84"/>
      <c r="GVR196" s="84"/>
      <c r="GVS196" s="84"/>
      <c r="GVT196" s="84"/>
      <c r="GVU196" s="84"/>
      <c r="GVV196" s="84"/>
      <c r="GVW196" s="84"/>
      <c r="GVX196" s="84"/>
      <c r="GVY196" s="84"/>
      <c r="GVZ196" s="84"/>
      <c r="GWA196" s="84"/>
      <c r="GWB196" s="84"/>
      <c r="GWC196" s="84"/>
      <c r="GWD196" s="84"/>
      <c r="GWE196" s="84"/>
      <c r="GWF196" s="84"/>
      <c r="GWG196" s="84"/>
      <c r="GWH196" s="84"/>
      <c r="GWI196" s="84"/>
      <c r="GWJ196" s="84"/>
      <c r="GWK196" s="84"/>
      <c r="GWL196" s="84"/>
      <c r="GWM196" s="84"/>
      <c r="GWN196" s="84"/>
      <c r="GWO196" s="84"/>
      <c r="GWP196" s="84"/>
      <c r="GWQ196" s="84"/>
      <c r="GWR196" s="84"/>
      <c r="GWS196" s="84"/>
      <c r="GWT196" s="84"/>
      <c r="GWU196" s="84"/>
      <c r="GWV196" s="84"/>
      <c r="GWW196" s="84"/>
      <c r="GWX196" s="84"/>
      <c r="GWY196" s="84"/>
      <c r="GWZ196" s="84"/>
      <c r="GXA196" s="84"/>
      <c r="GXB196" s="84"/>
      <c r="GXC196" s="84"/>
      <c r="GXD196" s="84"/>
      <c r="GXE196" s="84"/>
      <c r="GXF196" s="84"/>
      <c r="GXG196" s="84"/>
      <c r="GXH196" s="84"/>
      <c r="GXI196" s="84"/>
      <c r="GXJ196" s="84"/>
      <c r="GXK196" s="84"/>
      <c r="GXL196" s="84"/>
      <c r="GXM196" s="84"/>
      <c r="GXN196" s="84"/>
      <c r="GXO196" s="84"/>
      <c r="GXP196" s="84"/>
      <c r="GXQ196" s="84"/>
      <c r="GXR196" s="84"/>
      <c r="GXS196" s="84"/>
      <c r="GXT196" s="84"/>
      <c r="GXU196" s="84"/>
      <c r="GXV196" s="84"/>
      <c r="GXW196" s="84"/>
      <c r="GXX196" s="84"/>
      <c r="GXY196" s="84"/>
      <c r="GXZ196" s="84"/>
      <c r="GYA196" s="84"/>
      <c r="GYB196" s="84"/>
      <c r="GYC196" s="84"/>
      <c r="GYD196" s="84"/>
      <c r="GYE196" s="84"/>
      <c r="GYF196" s="84"/>
      <c r="GYG196" s="84"/>
      <c r="GYH196" s="84"/>
      <c r="GYI196" s="84"/>
      <c r="GYJ196" s="84"/>
      <c r="GYK196" s="84"/>
      <c r="GYL196" s="84"/>
      <c r="GYM196" s="84"/>
      <c r="GYN196" s="84"/>
      <c r="GYO196" s="84"/>
      <c r="GYP196" s="84"/>
      <c r="GYQ196" s="84"/>
      <c r="GYR196" s="84"/>
      <c r="GYS196" s="84"/>
      <c r="GYT196" s="84"/>
      <c r="GYU196" s="84"/>
      <c r="GYV196" s="84"/>
      <c r="GYW196" s="84"/>
      <c r="GYX196" s="84"/>
      <c r="GYY196" s="84"/>
      <c r="GYZ196" s="84"/>
      <c r="GZA196" s="84"/>
      <c r="GZB196" s="84"/>
      <c r="GZC196" s="84"/>
      <c r="GZD196" s="84"/>
      <c r="GZE196" s="84"/>
      <c r="GZF196" s="84"/>
      <c r="GZG196" s="84"/>
      <c r="GZH196" s="84"/>
      <c r="GZI196" s="84"/>
      <c r="GZJ196" s="84"/>
      <c r="GZK196" s="84"/>
      <c r="GZL196" s="84"/>
      <c r="GZM196" s="84"/>
      <c r="GZN196" s="84"/>
      <c r="GZO196" s="84"/>
      <c r="GZP196" s="84"/>
      <c r="GZQ196" s="84"/>
      <c r="GZR196" s="84"/>
      <c r="GZS196" s="84"/>
      <c r="GZT196" s="84"/>
      <c r="GZU196" s="84"/>
      <c r="GZV196" s="84"/>
      <c r="GZW196" s="84"/>
      <c r="GZX196" s="84"/>
      <c r="GZY196" s="84"/>
      <c r="GZZ196" s="84"/>
      <c r="HAA196" s="84"/>
      <c r="HAB196" s="84"/>
      <c r="HAC196" s="84"/>
      <c r="HAD196" s="84"/>
      <c r="HAE196" s="84"/>
      <c r="HAF196" s="84"/>
      <c r="HAG196" s="84"/>
      <c r="HAH196" s="84"/>
      <c r="HAI196" s="84"/>
      <c r="HAJ196" s="84"/>
      <c r="HAK196" s="84"/>
      <c r="HAL196" s="84"/>
      <c r="HAM196" s="84"/>
      <c r="HAN196" s="84"/>
      <c r="HAO196" s="84"/>
      <c r="HAP196" s="84"/>
      <c r="HAQ196" s="84"/>
      <c r="HAR196" s="84"/>
      <c r="HAS196" s="84"/>
      <c r="HAT196" s="84"/>
      <c r="HAU196" s="84"/>
      <c r="HAV196" s="84"/>
      <c r="HAW196" s="84"/>
      <c r="HAX196" s="84"/>
      <c r="HAY196" s="84"/>
      <c r="HAZ196" s="84"/>
      <c r="HBA196" s="84"/>
      <c r="HBB196" s="84"/>
      <c r="HBC196" s="84"/>
      <c r="HBD196" s="84"/>
      <c r="HBE196" s="84"/>
      <c r="HBF196" s="84"/>
      <c r="HBG196" s="84"/>
      <c r="HBH196" s="84"/>
      <c r="HBI196" s="84"/>
      <c r="HBJ196" s="84"/>
      <c r="HBK196" s="84"/>
      <c r="HBL196" s="84"/>
      <c r="HBM196" s="84"/>
      <c r="HBN196" s="84"/>
      <c r="HBO196" s="84"/>
      <c r="HBP196" s="84"/>
      <c r="HBQ196" s="84"/>
      <c r="HBR196" s="84"/>
      <c r="HBS196" s="84"/>
      <c r="HBT196" s="84"/>
      <c r="HBU196" s="84"/>
      <c r="HBV196" s="84"/>
      <c r="HBW196" s="84"/>
      <c r="HBX196" s="84"/>
      <c r="HBY196" s="84"/>
      <c r="HBZ196" s="84"/>
      <c r="HCA196" s="84"/>
      <c r="HCB196" s="84"/>
      <c r="HCC196" s="84"/>
      <c r="HCD196" s="84"/>
      <c r="HCE196" s="84"/>
      <c r="HCF196" s="84"/>
      <c r="HCG196" s="84"/>
      <c r="HCH196" s="84"/>
      <c r="HCI196" s="84"/>
      <c r="HCJ196" s="84"/>
      <c r="HCK196" s="84"/>
      <c r="HCL196" s="84"/>
      <c r="HCM196" s="84"/>
      <c r="HCN196" s="84"/>
      <c r="HCO196" s="84"/>
      <c r="HCP196" s="84"/>
      <c r="HCQ196" s="84"/>
      <c r="HCR196" s="84"/>
      <c r="HCS196" s="84"/>
      <c r="HCT196" s="84"/>
      <c r="HCU196" s="84"/>
      <c r="HCV196" s="84"/>
      <c r="HCW196" s="84"/>
      <c r="HCX196" s="84"/>
      <c r="HCY196" s="84"/>
      <c r="HCZ196" s="84"/>
      <c r="HDA196" s="84"/>
      <c r="HDB196" s="84"/>
      <c r="HDC196" s="84"/>
      <c r="HDD196" s="84"/>
      <c r="HDE196" s="84"/>
      <c r="HDF196" s="84"/>
      <c r="HDG196" s="84"/>
      <c r="HDH196" s="84"/>
      <c r="HDI196" s="84"/>
      <c r="HDJ196" s="84"/>
      <c r="HDK196" s="84"/>
      <c r="HDL196" s="84"/>
      <c r="HDM196" s="84"/>
      <c r="HDN196" s="84"/>
      <c r="HDO196" s="84"/>
      <c r="HDP196" s="84"/>
      <c r="HDQ196" s="84"/>
      <c r="HDR196" s="84"/>
      <c r="HDS196" s="84"/>
      <c r="HDT196" s="84"/>
      <c r="HDU196" s="84"/>
      <c r="HDV196" s="84"/>
      <c r="HDW196" s="84"/>
      <c r="HDX196" s="84"/>
      <c r="HDY196" s="84"/>
      <c r="HDZ196" s="84"/>
      <c r="HEA196" s="84"/>
      <c r="HEB196" s="84"/>
      <c r="HEC196" s="84"/>
      <c r="HED196" s="84"/>
      <c r="HEE196" s="84"/>
      <c r="HEF196" s="84"/>
      <c r="HEG196" s="84"/>
      <c r="HEH196" s="84"/>
      <c r="HEI196" s="84"/>
      <c r="HEJ196" s="84"/>
      <c r="HEK196" s="84"/>
      <c r="HEL196" s="84"/>
      <c r="HEM196" s="84"/>
      <c r="HEN196" s="84"/>
      <c r="HEO196" s="84"/>
      <c r="HEP196" s="84"/>
      <c r="HEQ196" s="84"/>
      <c r="HER196" s="84"/>
      <c r="HES196" s="84"/>
      <c r="HET196" s="84"/>
      <c r="HEU196" s="84"/>
      <c r="HEV196" s="84"/>
      <c r="HEW196" s="84"/>
      <c r="HEX196" s="84"/>
      <c r="HEY196" s="84"/>
      <c r="HEZ196" s="84"/>
      <c r="HFA196" s="84"/>
      <c r="HFB196" s="84"/>
      <c r="HFC196" s="84"/>
      <c r="HFD196" s="84"/>
      <c r="HFE196" s="84"/>
      <c r="HFF196" s="84"/>
      <c r="HFG196" s="84"/>
      <c r="HFH196" s="84"/>
      <c r="HFI196" s="84"/>
      <c r="HFJ196" s="84"/>
      <c r="HFK196" s="84"/>
      <c r="HFL196" s="84"/>
      <c r="HFM196" s="84"/>
      <c r="HFN196" s="84"/>
      <c r="HFO196" s="84"/>
      <c r="HFP196" s="84"/>
      <c r="HFQ196" s="84"/>
      <c r="HFR196" s="84"/>
      <c r="HFS196" s="84"/>
      <c r="HFT196" s="84"/>
      <c r="HFU196" s="84"/>
      <c r="HFV196" s="84"/>
      <c r="HFW196" s="84"/>
      <c r="HFX196" s="84"/>
      <c r="HFY196" s="84"/>
      <c r="HFZ196" s="84"/>
      <c r="HGA196" s="84"/>
      <c r="HGB196" s="84"/>
      <c r="HGC196" s="84"/>
      <c r="HGD196" s="84"/>
      <c r="HGE196" s="84"/>
      <c r="HGF196" s="84"/>
      <c r="HGG196" s="84"/>
      <c r="HGH196" s="84"/>
      <c r="HGI196" s="84"/>
      <c r="HGJ196" s="84"/>
      <c r="HGK196" s="84"/>
      <c r="HGL196" s="84"/>
      <c r="HGM196" s="84"/>
      <c r="HGN196" s="84"/>
      <c r="HGO196" s="84"/>
      <c r="HGP196" s="84"/>
      <c r="HGQ196" s="84"/>
      <c r="HGR196" s="84"/>
      <c r="HGS196" s="84"/>
      <c r="HGT196" s="84"/>
      <c r="HGU196" s="84"/>
      <c r="HGV196" s="84"/>
      <c r="HGW196" s="84"/>
      <c r="HGX196" s="84"/>
      <c r="HGY196" s="84"/>
      <c r="HGZ196" s="84"/>
      <c r="HHA196" s="84"/>
      <c r="HHB196" s="84"/>
      <c r="HHC196" s="84"/>
      <c r="HHD196" s="84"/>
      <c r="HHE196" s="84"/>
      <c r="HHF196" s="84"/>
      <c r="HHG196" s="84"/>
      <c r="HHH196" s="84"/>
      <c r="HHI196" s="84"/>
      <c r="HHJ196" s="84"/>
      <c r="HHK196" s="84"/>
      <c r="HHL196" s="84"/>
      <c r="HHM196" s="84"/>
      <c r="HHN196" s="84"/>
      <c r="HHO196" s="84"/>
      <c r="HHP196" s="84"/>
      <c r="HHQ196" s="84"/>
      <c r="HHR196" s="84"/>
      <c r="HHS196" s="84"/>
      <c r="HHT196" s="84"/>
      <c r="HHU196" s="84"/>
      <c r="HHV196" s="84"/>
      <c r="HHW196" s="84"/>
      <c r="HHX196" s="84"/>
      <c r="HHY196" s="84"/>
      <c r="HHZ196" s="84"/>
      <c r="HIA196" s="84"/>
      <c r="HIB196" s="84"/>
      <c r="HIC196" s="84"/>
      <c r="HID196" s="84"/>
      <c r="HIE196" s="84"/>
      <c r="HIF196" s="84"/>
      <c r="HIG196" s="84"/>
      <c r="HIH196" s="84"/>
      <c r="HII196" s="84"/>
      <c r="HIJ196" s="84"/>
      <c r="HIK196" s="84"/>
      <c r="HIL196" s="84"/>
      <c r="HIM196" s="84"/>
      <c r="HIN196" s="84"/>
      <c r="HIO196" s="84"/>
      <c r="HIP196" s="84"/>
      <c r="HIQ196" s="84"/>
      <c r="HIR196" s="84"/>
      <c r="HIS196" s="84"/>
      <c r="HIT196" s="84"/>
      <c r="HIU196" s="84"/>
      <c r="HIV196" s="84"/>
      <c r="HIW196" s="84"/>
      <c r="HIX196" s="84"/>
      <c r="HIY196" s="84"/>
      <c r="HIZ196" s="84"/>
      <c r="HJA196" s="84"/>
      <c r="HJB196" s="84"/>
      <c r="HJC196" s="84"/>
      <c r="HJD196" s="84"/>
      <c r="HJE196" s="84"/>
      <c r="HJF196" s="84"/>
      <c r="HJG196" s="84"/>
      <c r="HJH196" s="84"/>
      <c r="HJI196" s="84"/>
      <c r="HJJ196" s="84"/>
      <c r="HJK196" s="84"/>
      <c r="HJL196" s="84"/>
      <c r="HJM196" s="84"/>
      <c r="HJN196" s="84"/>
      <c r="HJO196" s="84"/>
      <c r="HJP196" s="84"/>
      <c r="HJQ196" s="84"/>
      <c r="HJR196" s="84"/>
      <c r="HJS196" s="84"/>
      <c r="HJT196" s="84"/>
      <c r="HJU196" s="84"/>
      <c r="HJV196" s="84"/>
      <c r="HJW196" s="84"/>
      <c r="HJX196" s="84"/>
      <c r="HJY196" s="84"/>
      <c r="HJZ196" s="84"/>
      <c r="HKA196" s="84"/>
      <c r="HKB196" s="84"/>
      <c r="HKC196" s="84"/>
      <c r="HKD196" s="84"/>
      <c r="HKE196" s="84"/>
      <c r="HKF196" s="84"/>
      <c r="HKG196" s="84"/>
      <c r="HKH196" s="84"/>
      <c r="HKI196" s="84"/>
      <c r="HKJ196" s="84"/>
      <c r="HKK196" s="84"/>
      <c r="HKL196" s="84"/>
      <c r="HKM196" s="84"/>
      <c r="HKN196" s="84"/>
      <c r="HKO196" s="84"/>
      <c r="HKP196" s="84"/>
      <c r="HKQ196" s="84"/>
      <c r="HKR196" s="84"/>
      <c r="HKS196" s="84"/>
      <c r="HKT196" s="84"/>
      <c r="HKU196" s="84"/>
      <c r="HKV196" s="84"/>
      <c r="HKW196" s="84"/>
      <c r="HKX196" s="84"/>
      <c r="HKY196" s="84"/>
      <c r="HKZ196" s="84"/>
      <c r="HLA196" s="84"/>
      <c r="HLB196" s="84"/>
      <c r="HLC196" s="84"/>
      <c r="HLD196" s="84"/>
      <c r="HLE196" s="84"/>
      <c r="HLF196" s="84"/>
      <c r="HLG196" s="84"/>
      <c r="HLH196" s="84"/>
      <c r="HLI196" s="84"/>
      <c r="HLJ196" s="84"/>
      <c r="HLK196" s="84"/>
      <c r="HLL196" s="84"/>
      <c r="HLM196" s="84"/>
      <c r="HLN196" s="84"/>
      <c r="HLO196" s="84"/>
      <c r="HLP196" s="84"/>
      <c r="HLQ196" s="84"/>
      <c r="HLR196" s="84"/>
      <c r="HLS196" s="84"/>
      <c r="HLT196" s="84"/>
      <c r="HLU196" s="84"/>
      <c r="HLV196" s="84"/>
      <c r="HLW196" s="84"/>
      <c r="HLX196" s="84"/>
      <c r="HLY196" s="84"/>
      <c r="HLZ196" s="84"/>
      <c r="HMA196" s="84"/>
      <c r="HMB196" s="84"/>
      <c r="HMC196" s="84"/>
      <c r="HMD196" s="84"/>
      <c r="HME196" s="84"/>
      <c r="HMF196" s="84"/>
      <c r="HMG196" s="84"/>
      <c r="HMH196" s="84"/>
      <c r="HMI196" s="84"/>
      <c r="HMJ196" s="84"/>
      <c r="HMK196" s="84"/>
      <c r="HML196" s="84"/>
      <c r="HMM196" s="84"/>
      <c r="HMN196" s="84"/>
      <c r="HMO196" s="84"/>
      <c r="HMP196" s="84"/>
      <c r="HMQ196" s="84"/>
      <c r="HMR196" s="84"/>
      <c r="HMS196" s="84"/>
      <c r="HMT196" s="84"/>
      <c r="HMU196" s="84"/>
      <c r="HMV196" s="84"/>
      <c r="HMW196" s="84"/>
      <c r="HMX196" s="84"/>
      <c r="HMY196" s="84"/>
      <c r="HMZ196" s="84"/>
      <c r="HNA196" s="84"/>
      <c r="HNB196" s="84"/>
      <c r="HNC196" s="84"/>
      <c r="HND196" s="84"/>
      <c r="HNE196" s="84"/>
      <c r="HNF196" s="84"/>
      <c r="HNG196" s="84"/>
      <c r="HNH196" s="84"/>
      <c r="HNI196" s="84"/>
      <c r="HNJ196" s="84"/>
      <c r="HNK196" s="84"/>
      <c r="HNL196" s="84"/>
      <c r="HNM196" s="84"/>
      <c r="HNN196" s="84"/>
      <c r="HNO196" s="84"/>
      <c r="HNP196" s="84"/>
      <c r="HNQ196" s="84"/>
      <c r="HNR196" s="84"/>
      <c r="HNS196" s="84"/>
      <c r="HNT196" s="84"/>
      <c r="HNU196" s="84"/>
      <c r="HNV196" s="84"/>
      <c r="HNW196" s="84"/>
      <c r="HNX196" s="84"/>
      <c r="HNY196" s="84"/>
      <c r="HNZ196" s="84"/>
      <c r="HOA196" s="84"/>
      <c r="HOB196" s="84"/>
      <c r="HOC196" s="84"/>
      <c r="HOD196" s="84"/>
      <c r="HOE196" s="84"/>
      <c r="HOF196" s="84"/>
      <c r="HOG196" s="84"/>
      <c r="HOH196" s="84"/>
      <c r="HOI196" s="84"/>
      <c r="HOJ196" s="84"/>
      <c r="HOK196" s="84"/>
      <c r="HOL196" s="84"/>
      <c r="HOM196" s="84"/>
      <c r="HON196" s="84"/>
      <c r="HOO196" s="84"/>
      <c r="HOP196" s="84"/>
      <c r="HOQ196" s="84"/>
      <c r="HOR196" s="84"/>
      <c r="HOS196" s="84"/>
      <c r="HOT196" s="84"/>
      <c r="HOU196" s="84"/>
      <c r="HOV196" s="84"/>
      <c r="HOW196" s="84"/>
      <c r="HOX196" s="84"/>
      <c r="HOY196" s="84"/>
      <c r="HOZ196" s="84"/>
      <c r="HPA196" s="84"/>
      <c r="HPB196" s="84"/>
      <c r="HPC196" s="84"/>
      <c r="HPD196" s="84"/>
      <c r="HPE196" s="84"/>
      <c r="HPF196" s="84"/>
      <c r="HPG196" s="84"/>
      <c r="HPH196" s="84"/>
      <c r="HPI196" s="84"/>
      <c r="HPJ196" s="84"/>
      <c r="HPK196" s="84"/>
      <c r="HPL196" s="84"/>
      <c r="HPM196" s="84"/>
      <c r="HPN196" s="84"/>
      <c r="HPO196" s="84"/>
      <c r="HPP196" s="84"/>
      <c r="HPQ196" s="84"/>
      <c r="HPR196" s="84"/>
      <c r="HPS196" s="84"/>
      <c r="HPT196" s="84"/>
      <c r="HPU196" s="84"/>
      <c r="HPV196" s="84"/>
      <c r="HPW196" s="84"/>
      <c r="HPX196" s="84"/>
      <c r="HPY196" s="84"/>
      <c r="HPZ196" s="84"/>
      <c r="HQA196" s="84"/>
      <c r="HQB196" s="84"/>
      <c r="HQC196" s="84"/>
      <c r="HQD196" s="84"/>
      <c r="HQE196" s="84"/>
      <c r="HQF196" s="84"/>
      <c r="HQG196" s="84"/>
      <c r="HQH196" s="84"/>
      <c r="HQI196" s="84"/>
      <c r="HQJ196" s="84"/>
      <c r="HQK196" s="84"/>
      <c r="HQL196" s="84"/>
      <c r="HQM196" s="84"/>
      <c r="HQN196" s="84"/>
      <c r="HQO196" s="84"/>
      <c r="HQP196" s="84"/>
      <c r="HQQ196" s="84"/>
      <c r="HQR196" s="84"/>
      <c r="HQS196" s="84"/>
      <c r="HQT196" s="84"/>
      <c r="HQU196" s="84"/>
      <c r="HQV196" s="84"/>
      <c r="HQW196" s="84"/>
      <c r="HQX196" s="84"/>
      <c r="HQY196" s="84"/>
      <c r="HQZ196" s="84"/>
      <c r="HRA196" s="84"/>
      <c r="HRB196" s="84"/>
      <c r="HRC196" s="84"/>
      <c r="HRD196" s="84"/>
      <c r="HRE196" s="84"/>
      <c r="HRF196" s="84"/>
      <c r="HRG196" s="84"/>
      <c r="HRH196" s="84"/>
      <c r="HRI196" s="84"/>
      <c r="HRJ196" s="84"/>
      <c r="HRK196" s="84"/>
      <c r="HRL196" s="84"/>
      <c r="HRM196" s="84"/>
      <c r="HRN196" s="84"/>
      <c r="HRO196" s="84"/>
      <c r="HRP196" s="84"/>
      <c r="HRQ196" s="84"/>
      <c r="HRR196" s="84"/>
      <c r="HRS196" s="84"/>
      <c r="HRT196" s="84"/>
      <c r="HRU196" s="84"/>
      <c r="HRV196" s="84"/>
      <c r="HRW196" s="84"/>
      <c r="HRX196" s="84"/>
      <c r="HRY196" s="84"/>
      <c r="HRZ196" s="84"/>
      <c r="HSA196" s="84"/>
      <c r="HSB196" s="84"/>
      <c r="HSC196" s="84"/>
      <c r="HSD196" s="84"/>
      <c r="HSE196" s="84"/>
      <c r="HSF196" s="84"/>
      <c r="HSG196" s="84"/>
      <c r="HSH196" s="84"/>
      <c r="HSI196" s="84"/>
      <c r="HSJ196" s="84"/>
      <c r="HSK196" s="84"/>
      <c r="HSL196" s="84"/>
      <c r="HSM196" s="84"/>
      <c r="HSN196" s="84"/>
      <c r="HSO196" s="84"/>
      <c r="HSP196" s="84"/>
      <c r="HSQ196" s="84"/>
      <c r="HSR196" s="84"/>
      <c r="HSS196" s="84"/>
      <c r="HST196" s="84"/>
      <c r="HSU196" s="84"/>
      <c r="HSV196" s="84"/>
      <c r="HSW196" s="84"/>
      <c r="HSX196" s="84"/>
      <c r="HSY196" s="84"/>
      <c r="HSZ196" s="84"/>
      <c r="HTA196" s="84"/>
      <c r="HTB196" s="84"/>
      <c r="HTC196" s="84"/>
      <c r="HTD196" s="84"/>
      <c r="HTE196" s="84"/>
      <c r="HTF196" s="84"/>
      <c r="HTG196" s="84"/>
      <c r="HTH196" s="84"/>
      <c r="HTI196" s="84"/>
      <c r="HTJ196" s="84"/>
      <c r="HTK196" s="84"/>
      <c r="HTL196" s="84"/>
      <c r="HTM196" s="84"/>
      <c r="HTN196" s="84"/>
      <c r="HTO196" s="84"/>
      <c r="HTP196" s="84"/>
      <c r="HTQ196" s="84"/>
      <c r="HTR196" s="84"/>
      <c r="HTS196" s="84"/>
      <c r="HTT196" s="84"/>
      <c r="HTU196" s="84"/>
      <c r="HTV196" s="84"/>
      <c r="HTW196" s="84"/>
      <c r="HTX196" s="84"/>
      <c r="HTY196" s="84"/>
      <c r="HTZ196" s="84"/>
      <c r="HUA196" s="84"/>
      <c r="HUB196" s="84"/>
      <c r="HUC196" s="84"/>
      <c r="HUD196" s="84"/>
      <c r="HUE196" s="84"/>
      <c r="HUF196" s="84"/>
      <c r="HUG196" s="84"/>
      <c r="HUH196" s="84"/>
      <c r="HUI196" s="84"/>
      <c r="HUJ196" s="84"/>
      <c r="HUK196" s="84"/>
      <c r="HUL196" s="84"/>
      <c r="HUM196" s="84"/>
      <c r="HUN196" s="84"/>
      <c r="HUO196" s="84"/>
      <c r="HUP196" s="84"/>
      <c r="HUQ196" s="84"/>
      <c r="HUR196" s="84"/>
      <c r="HUS196" s="84"/>
      <c r="HUT196" s="84"/>
      <c r="HUU196" s="84"/>
      <c r="HUV196" s="84"/>
      <c r="HUW196" s="84"/>
      <c r="HUX196" s="84"/>
      <c r="HUY196" s="84"/>
      <c r="HUZ196" s="84"/>
      <c r="HVA196" s="84"/>
      <c r="HVB196" s="84"/>
      <c r="HVC196" s="84"/>
      <c r="HVD196" s="84"/>
      <c r="HVE196" s="84"/>
      <c r="HVF196" s="84"/>
      <c r="HVG196" s="84"/>
      <c r="HVH196" s="84"/>
      <c r="HVI196" s="84"/>
      <c r="HVJ196" s="84"/>
      <c r="HVK196" s="84"/>
      <c r="HVL196" s="84"/>
      <c r="HVM196" s="84"/>
      <c r="HVN196" s="84"/>
      <c r="HVO196" s="84"/>
      <c r="HVP196" s="84"/>
      <c r="HVQ196" s="84"/>
      <c r="HVR196" s="84"/>
      <c r="HVS196" s="84"/>
      <c r="HVT196" s="84"/>
      <c r="HVU196" s="84"/>
      <c r="HVV196" s="84"/>
      <c r="HVW196" s="84"/>
      <c r="HVX196" s="84"/>
      <c r="HVY196" s="84"/>
      <c r="HVZ196" s="84"/>
      <c r="HWA196" s="84"/>
      <c r="HWB196" s="84"/>
      <c r="HWC196" s="84"/>
      <c r="HWD196" s="84"/>
      <c r="HWE196" s="84"/>
      <c r="HWF196" s="84"/>
      <c r="HWG196" s="84"/>
      <c r="HWH196" s="84"/>
      <c r="HWI196" s="84"/>
      <c r="HWJ196" s="84"/>
      <c r="HWK196" s="84"/>
      <c r="HWL196" s="84"/>
      <c r="HWM196" s="84"/>
      <c r="HWN196" s="84"/>
      <c r="HWO196" s="84"/>
      <c r="HWP196" s="84"/>
      <c r="HWQ196" s="84"/>
      <c r="HWR196" s="84"/>
      <c r="HWS196" s="84"/>
      <c r="HWT196" s="84"/>
      <c r="HWU196" s="84"/>
      <c r="HWV196" s="84"/>
      <c r="HWW196" s="84"/>
      <c r="HWX196" s="84"/>
      <c r="HWY196" s="84"/>
      <c r="HWZ196" s="84"/>
      <c r="HXA196" s="84"/>
      <c r="HXB196" s="84"/>
      <c r="HXC196" s="84"/>
      <c r="HXD196" s="84"/>
      <c r="HXE196" s="84"/>
      <c r="HXF196" s="84"/>
      <c r="HXG196" s="84"/>
      <c r="HXH196" s="84"/>
      <c r="HXI196" s="84"/>
      <c r="HXJ196" s="84"/>
      <c r="HXK196" s="84"/>
      <c r="HXL196" s="84"/>
      <c r="HXM196" s="84"/>
      <c r="HXN196" s="84"/>
      <c r="HXO196" s="84"/>
      <c r="HXP196" s="84"/>
      <c r="HXQ196" s="84"/>
      <c r="HXR196" s="84"/>
      <c r="HXS196" s="84"/>
      <c r="HXT196" s="84"/>
      <c r="HXU196" s="84"/>
      <c r="HXV196" s="84"/>
      <c r="HXW196" s="84"/>
      <c r="HXX196" s="84"/>
      <c r="HXY196" s="84"/>
      <c r="HXZ196" s="84"/>
      <c r="HYA196" s="84"/>
      <c r="HYB196" s="84"/>
      <c r="HYC196" s="84"/>
      <c r="HYD196" s="84"/>
      <c r="HYE196" s="84"/>
      <c r="HYF196" s="84"/>
      <c r="HYG196" s="84"/>
      <c r="HYH196" s="84"/>
      <c r="HYI196" s="84"/>
      <c r="HYJ196" s="84"/>
      <c r="HYK196" s="84"/>
      <c r="HYL196" s="84"/>
      <c r="HYM196" s="84"/>
      <c r="HYN196" s="84"/>
      <c r="HYO196" s="84"/>
      <c r="HYP196" s="84"/>
      <c r="HYQ196" s="84"/>
      <c r="HYR196" s="84"/>
      <c r="HYS196" s="84"/>
      <c r="HYT196" s="84"/>
      <c r="HYU196" s="84"/>
      <c r="HYV196" s="84"/>
      <c r="HYW196" s="84"/>
      <c r="HYX196" s="84"/>
      <c r="HYY196" s="84"/>
      <c r="HYZ196" s="84"/>
      <c r="HZA196" s="84"/>
      <c r="HZB196" s="84"/>
      <c r="HZC196" s="84"/>
      <c r="HZD196" s="84"/>
      <c r="HZE196" s="84"/>
      <c r="HZF196" s="84"/>
      <c r="HZG196" s="84"/>
      <c r="HZH196" s="84"/>
      <c r="HZI196" s="84"/>
      <c r="HZJ196" s="84"/>
      <c r="HZK196" s="84"/>
      <c r="HZL196" s="84"/>
      <c r="HZM196" s="84"/>
      <c r="HZN196" s="84"/>
      <c r="HZO196" s="84"/>
      <c r="HZP196" s="84"/>
      <c r="HZQ196" s="84"/>
      <c r="HZR196" s="84"/>
      <c r="HZS196" s="84"/>
      <c r="HZT196" s="84"/>
      <c r="HZU196" s="84"/>
      <c r="HZV196" s="84"/>
      <c r="HZW196" s="84"/>
      <c r="HZX196" s="84"/>
      <c r="HZY196" s="84"/>
      <c r="HZZ196" s="84"/>
      <c r="IAA196" s="84"/>
      <c r="IAB196" s="84"/>
      <c r="IAC196" s="84"/>
      <c r="IAD196" s="84"/>
      <c r="IAE196" s="84"/>
      <c r="IAF196" s="84"/>
      <c r="IAG196" s="84"/>
      <c r="IAH196" s="84"/>
      <c r="IAI196" s="84"/>
      <c r="IAJ196" s="84"/>
      <c r="IAK196" s="84"/>
      <c r="IAL196" s="84"/>
      <c r="IAM196" s="84"/>
      <c r="IAN196" s="84"/>
      <c r="IAO196" s="84"/>
      <c r="IAP196" s="84"/>
      <c r="IAQ196" s="84"/>
      <c r="IAR196" s="84"/>
      <c r="IAS196" s="84"/>
      <c r="IAT196" s="84"/>
      <c r="IAU196" s="84"/>
      <c r="IAV196" s="84"/>
      <c r="IAW196" s="84"/>
      <c r="IAX196" s="84"/>
      <c r="IAY196" s="84"/>
      <c r="IAZ196" s="84"/>
      <c r="IBA196" s="84"/>
      <c r="IBB196" s="84"/>
      <c r="IBC196" s="84"/>
      <c r="IBD196" s="84"/>
      <c r="IBE196" s="84"/>
      <c r="IBF196" s="84"/>
      <c r="IBG196" s="84"/>
      <c r="IBH196" s="84"/>
      <c r="IBI196" s="84"/>
      <c r="IBJ196" s="84"/>
      <c r="IBK196" s="84"/>
      <c r="IBL196" s="84"/>
      <c r="IBM196" s="84"/>
      <c r="IBN196" s="84"/>
      <c r="IBO196" s="84"/>
      <c r="IBP196" s="84"/>
      <c r="IBQ196" s="84"/>
      <c r="IBR196" s="84"/>
      <c r="IBS196" s="84"/>
      <c r="IBT196" s="84"/>
      <c r="IBU196" s="84"/>
      <c r="IBV196" s="84"/>
      <c r="IBW196" s="84"/>
      <c r="IBX196" s="84"/>
      <c r="IBY196" s="84"/>
      <c r="IBZ196" s="84"/>
      <c r="ICA196" s="84"/>
      <c r="ICB196" s="84"/>
      <c r="ICC196" s="84"/>
      <c r="ICD196" s="84"/>
      <c r="ICE196" s="84"/>
      <c r="ICF196" s="84"/>
      <c r="ICG196" s="84"/>
      <c r="ICH196" s="84"/>
      <c r="ICI196" s="84"/>
      <c r="ICJ196" s="84"/>
      <c r="ICK196" s="84"/>
      <c r="ICL196" s="84"/>
      <c r="ICM196" s="84"/>
      <c r="ICN196" s="84"/>
      <c r="ICO196" s="84"/>
      <c r="ICP196" s="84"/>
      <c r="ICQ196" s="84"/>
      <c r="ICR196" s="84"/>
      <c r="ICS196" s="84"/>
      <c r="ICT196" s="84"/>
      <c r="ICU196" s="84"/>
      <c r="ICV196" s="84"/>
      <c r="ICW196" s="84"/>
      <c r="ICX196" s="84"/>
      <c r="ICY196" s="84"/>
      <c r="ICZ196" s="84"/>
      <c r="IDA196" s="84"/>
      <c r="IDB196" s="84"/>
      <c r="IDC196" s="84"/>
      <c r="IDD196" s="84"/>
      <c r="IDE196" s="84"/>
      <c r="IDF196" s="84"/>
      <c r="IDG196" s="84"/>
      <c r="IDH196" s="84"/>
      <c r="IDI196" s="84"/>
      <c r="IDJ196" s="84"/>
      <c r="IDK196" s="84"/>
      <c r="IDL196" s="84"/>
      <c r="IDM196" s="84"/>
      <c r="IDN196" s="84"/>
      <c r="IDO196" s="84"/>
      <c r="IDP196" s="84"/>
      <c r="IDQ196" s="84"/>
      <c r="IDR196" s="84"/>
      <c r="IDS196" s="84"/>
      <c r="IDT196" s="84"/>
      <c r="IDU196" s="84"/>
      <c r="IDV196" s="84"/>
      <c r="IDW196" s="84"/>
      <c r="IDX196" s="84"/>
      <c r="IDY196" s="84"/>
      <c r="IDZ196" s="84"/>
      <c r="IEA196" s="84"/>
      <c r="IEB196" s="84"/>
      <c r="IEC196" s="84"/>
      <c r="IED196" s="84"/>
      <c r="IEE196" s="84"/>
      <c r="IEF196" s="84"/>
      <c r="IEG196" s="84"/>
      <c r="IEH196" s="84"/>
      <c r="IEI196" s="84"/>
      <c r="IEJ196" s="84"/>
      <c r="IEK196" s="84"/>
      <c r="IEL196" s="84"/>
      <c r="IEM196" s="84"/>
      <c r="IEN196" s="84"/>
      <c r="IEO196" s="84"/>
      <c r="IEP196" s="84"/>
      <c r="IEQ196" s="84"/>
      <c r="IER196" s="84"/>
      <c r="IES196" s="84"/>
      <c r="IET196" s="84"/>
      <c r="IEU196" s="84"/>
      <c r="IEV196" s="84"/>
      <c r="IEW196" s="84"/>
      <c r="IEX196" s="84"/>
      <c r="IEY196" s="84"/>
      <c r="IEZ196" s="84"/>
      <c r="IFA196" s="84"/>
      <c r="IFB196" s="84"/>
      <c r="IFC196" s="84"/>
      <c r="IFD196" s="84"/>
      <c r="IFE196" s="84"/>
      <c r="IFF196" s="84"/>
      <c r="IFG196" s="84"/>
      <c r="IFH196" s="84"/>
      <c r="IFI196" s="84"/>
      <c r="IFJ196" s="84"/>
      <c r="IFK196" s="84"/>
      <c r="IFL196" s="84"/>
      <c r="IFM196" s="84"/>
      <c r="IFN196" s="84"/>
      <c r="IFO196" s="84"/>
      <c r="IFP196" s="84"/>
      <c r="IFQ196" s="84"/>
      <c r="IFR196" s="84"/>
      <c r="IFS196" s="84"/>
      <c r="IFT196" s="84"/>
      <c r="IFU196" s="84"/>
      <c r="IFV196" s="84"/>
      <c r="IFW196" s="84"/>
      <c r="IFX196" s="84"/>
      <c r="IFY196" s="84"/>
      <c r="IFZ196" s="84"/>
      <c r="IGA196" s="84"/>
      <c r="IGB196" s="84"/>
      <c r="IGC196" s="84"/>
      <c r="IGD196" s="84"/>
      <c r="IGE196" s="84"/>
      <c r="IGF196" s="84"/>
      <c r="IGG196" s="84"/>
      <c r="IGH196" s="84"/>
      <c r="IGI196" s="84"/>
      <c r="IGJ196" s="84"/>
      <c r="IGK196" s="84"/>
      <c r="IGL196" s="84"/>
      <c r="IGM196" s="84"/>
      <c r="IGN196" s="84"/>
      <c r="IGO196" s="84"/>
      <c r="IGP196" s="84"/>
      <c r="IGQ196" s="84"/>
      <c r="IGR196" s="84"/>
      <c r="IGS196" s="84"/>
      <c r="IGT196" s="84"/>
      <c r="IGU196" s="84"/>
      <c r="IGV196" s="84"/>
      <c r="IGW196" s="84"/>
      <c r="IGX196" s="84"/>
      <c r="IGY196" s="84"/>
      <c r="IGZ196" s="84"/>
      <c r="IHA196" s="84"/>
      <c r="IHB196" s="84"/>
      <c r="IHC196" s="84"/>
      <c r="IHD196" s="84"/>
      <c r="IHE196" s="84"/>
      <c r="IHF196" s="84"/>
      <c r="IHG196" s="84"/>
      <c r="IHH196" s="84"/>
      <c r="IHI196" s="84"/>
      <c r="IHJ196" s="84"/>
      <c r="IHK196" s="84"/>
      <c r="IHL196" s="84"/>
      <c r="IHM196" s="84"/>
      <c r="IHN196" s="84"/>
      <c r="IHO196" s="84"/>
      <c r="IHP196" s="84"/>
      <c r="IHQ196" s="84"/>
      <c r="IHR196" s="84"/>
      <c r="IHS196" s="84"/>
      <c r="IHT196" s="84"/>
      <c r="IHU196" s="84"/>
      <c r="IHV196" s="84"/>
      <c r="IHW196" s="84"/>
      <c r="IHX196" s="84"/>
      <c r="IHY196" s="84"/>
      <c r="IHZ196" s="84"/>
      <c r="IIA196" s="84"/>
      <c r="IIB196" s="84"/>
      <c r="IIC196" s="84"/>
      <c r="IID196" s="84"/>
      <c r="IIE196" s="84"/>
      <c r="IIF196" s="84"/>
      <c r="IIG196" s="84"/>
      <c r="IIH196" s="84"/>
      <c r="III196" s="84"/>
      <c r="IIJ196" s="84"/>
      <c r="IIK196" s="84"/>
      <c r="IIL196" s="84"/>
      <c r="IIM196" s="84"/>
      <c r="IIN196" s="84"/>
      <c r="IIO196" s="84"/>
      <c r="IIP196" s="84"/>
      <c r="IIQ196" s="84"/>
      <c r="IIR196" s="84"/>
      <c r="IIS196" s="84"/>
      <c r="IIT196" s="84"/>
      <c r="IIU196" s="84"/>
      <c r="IIV196" s="84"/>
      <c r="IIW196" s="84"/>
      <c r="IIX196" s="84"/>
      <c r="IIY196" s="84"/>
      <c r="IIZ196" s="84"/>
      <c r="IJA196" s="84"/>
      <c r="IJB196" s="84"/>
      <c r="IJC196" s="84"/>
      <c r="IJD196" s="84"/>
      <c r="IJE196" s="84"/>
      <c r="IJF196" s="84"/>
      <c r="IJG196" s="84"/>
      <c r="IJH196" s="84"/>
      <c r="IJI196" s="84"/>
      <c r="IJJ196" s="84"/>
      <c r="IJK196" s="84"/>
      <c r="IJL196" s="84"/>
      <c r="IJM196" s="84"/>
      <c r="IJN196" s="84"/>
      <c r="IJO196" s="84"/>
      <c r="IJP196" s="84"/>
      <c r="IJQ196" s="84"/>
      <c r="IJR196" s="84"/>
      <c r="IJS196" s="84"/>
      <c r="IJT196" s="84"/>
      <c r="IJU196" s="84"/>
      <c r="IJV196" s="84"/>
      <c r="IJW196" s="84"/>
      <c r="IJX196" s="84"/>
      <c r="IJY196" s="84"/>
      <c r="IJZ196" s="84"/>
      <c r="IKA196" s="84"/>
      <c r="IKB196" s="84"/>
      <c r="IKC196" s="84"/>
      <c r="IKD196" s="84"/>
      <c r="IKE196" s="84"/>
      <c r="IKF196" s="84"/>
      <c r="IKG196" s="84"/>
      <c r="IKH196" s="84"/>
      <c r="IKI196" s="84"/>
      <c r="IKJ196" s="84"/>
      <c r="IKK196" s="84"/>
      <c r="IKL196" s="84"/>
      <c r="IKM196" s="84"/>
      <c r="IKN196" s="84"/>
      <c r="IKO196" s="84"/>
      <c r="IKP196" s="84"/>
      <c r="IKQ196" s="84"/>
      <c r="IKR196" s="84"/>
      <c r="IKS196" s="84"/>
      <c r="IKT196" s="84"/>
      <c r="IKU196" s="84"/>
      <c r="IKV196" s="84"/>
      <c r="IKW196" s="84"/>
      <c r="IKX196" s="84"/>
      <c r="IKY196" s="84"/>
      <c r="IKZ196" s="84"/>
      <c r="ILA196" s="84"/>
      <c r="ILB196" s="84"/>
      <c r="ILC196" s="84"/>
      <c r="ILD196" s="84"/>
      <c r="ILE196" s="84"/>
      <c r="ILF196" s="84"/>
      <c r="ILG196" s="84"/>
      <c r="ILH196" s="84"/>
      <c r="ILI196" s="84"/>
      <c r="ILJ196" s="84"/>
      <c r="ILK196" s="84"/>
      <c r="ILL196" s="84"/>
      <c r="ILM196" s="84"/>
      <c r="ILN196" s="84"/>
      <c r="ILO196" s="84"/>
      <c r="ILP196" s="84"/>
      <c r="ILQ196" s="84"/>
      <c r="ILR196" s="84"/>
      <c r="ILS196" s="84"/>
      <c r="ILT196" s="84"/>
      <c r="ILU196" s="84"/>
      <c r="ILV196" s="84"/>
      <c r="ILW196" s="84"/>
      <c r="ILX196" s="84"/>
      <c r="ILY196" s="84"/>
      <c r="ILZ196" s="84"/>
      <c r="IMA196" s="84"/>
      <c r="IMB196" s="84"/>
      <c r="IMC196" s="84"/>
      <c r="IMD196" s="84"/>
      <c r="IME196" s="84"/>
      <c r="IMF196" s="84"/>
      <c r="IMG196" s="84"/>
      <c r="IMH196" s="84"/>
      <c r="IMI196" s="84"/>
      <c r="IMJ196" s="84"/>
      <c r="IMK196" s="84"/>
      <c r="IML196" s="84"/>
      <c r="IMM196" s="84"/>
      <c r="IMN196" s="84"/>
      <c r="IMO196" s="84"/>
      <c r="IMP196" s="84"/>
      <c r="IMQ196" s="84"/>
      <c r="IMR196" s="84"/>
      <c r="IMS196" s="84"/>
      <c r="IMT196" s="84"/>
      <c r="IMU196" s="84"/>
      <c r="IMV196" s="84"/>
      <c r="IMW196" s="84"/>
      <c r="IMX196" s="84"/>
      <c r="IMY196" s="84"/>
      <c r="IMZ196" s="84"/>
      <c r="INA196" s="84"/>
      <c r="INB196" s="84"/>
      <c r="INC196" s="84"/>
      <c r="IND196" s="84"/>
      <c r="INE196" s="84"/>
      <c r="INF196" s="84"/>
      <c r="ING196" s="84"/>
      <c r="INH196" s="84"/>
      <c r="INI196" s="84"/>
      <c r="INJ196" s="84"/>
      <c r="INK196" s="84"/>
      <c r="INL196" s="84"/>
      <c r="INM196" s="84"/>
      <c r="INN196" s="84"/>
      <c r="INO196" s="84"/>
      <c r="INP196" s="84"/>
      <c r="INQ196" s="84"/>
      <c r="INR196" s="84"/>
      <c r="INS196" s="84"/>
      <c r="INT196" s="84"/>
      <c r="INU196" s="84"/>
      <c r="INV196" s="84"/>
      <c r="INW196" s="84"/>
      <c r="INX196" s="84"/>
      <c r="INY196" s="84"/>
      <c r="INZ196" s="84"/>
      <c r="IOA196" s="84"/>
      <c r="IOB196" s="84"/>
      <c r="IOC196" s="84"/>
      <c r="IOD196" s="84"/>
      <c r="IOE196" s="84"/>
      <c r="IOF196" s="84"/>
      <c r="IOG196" s="84"/>
      <c r="IOH196" s="84"/>
      <c r="IOI196" s="84"/>
      <c r="IOJ196" s="84"/>
      <c r="IOK196" s="84"/>
      <c r="IOL196" s="84"/>
      <c r="IOM196" s="84"/>
      <c r="ION196" s="84"/>
      <c r="IOO196" s="84"/>
      <c r="IOP196" s="84"/>
      <c r="IOQ196" s="84"/>
      <c r="IOR196" s="84"/>
      <c r="IOS196" s="84"/>
      <c r="IOT196" s="84"/>
      <c r="IOU196" s="84"/>
      <c r="IOV196" s="84"/>
      <c r="IOW196" s="84"/>
      <c r="IOX196" s="84"/>
      <c r="IOY196" s="84"/>
      <c r="IOZ196" s="84"/>
      <c r="IPA196" s="84"/>
      <c r="IPB196" s="84"/>
      <c r="IPC196" s="84"/>
      <c r="IPD196" s="84"/>
      <c r="IPE196" s="84"/>
      <c r="IPF196" s="84"/>
      <c r="IPG196" s="84"/>
      <c r="IPH196" s="84"/>
      <c r="IPI196" s="84"/>
      <c r="IPJ196" s="84"/>
      <c r="IPK196" s="84"/>
      <c r="IPL196" s="84"/>
      <c r="IPM196" s="84"/>
      <c r="IPN196" s="84"/>
      <c r="IPO196" s="84"/>
      <c r="IPP196" s="84"/>
      <c r="IPQ196" s="84"/>
      <c r="IPR196" s="84"/>
      <c r="IPS196" s="84"/>
      <c r="IPT196" s="84"/>
      <c r="IPU196" s="84"/>
      <c r="IPV196" s="84"/>
      <c r="IPW196" s="84"/>
      <c r="IPX196" s="84"/>
      <c r="IPY196" s="84"/>
      <c r="IPZ196" s="84"/>
      <c r="IQA196" s="84"/>
      <c r="IQB196" s="84"/>
      <c r="IQC196" s="84"/>
      <c r="IQD196" s="84"/>
      <c r="IQE196" s="84"/>
      <c r="IQF196" s="84"/>
      <c r="IQG196" s="84"/>
      <c r="IQH196" s="84"/>
      <c r="IQI196" s="84"/>
      <c r="IQJ196" s="84"/>
      <c r="IQK196" s="84"/>
      <c r="IQL196" s="84"/>
      <c r="IQM196" s="84"/>
      <c r="IQN196" s="84"/>
      <c r="IQO196" s="84"/>
      <c r="IQP196" s="84"/>
      <c r="IQQ196" s="84"/>
      <c r="IQR196" s="84"/>
      <c r="IQS196" s="84"/>
      <c r="IQT196" s="84"/>
      <c r="IQU196" s="84"/>
      <c r="IQV196" s="84"/>
      <c r="IQW196" s="84"/>
      <c r="IQX196" s="84"/>
      <c r="IQY196" s="84"/>
      <c r="IQZ196" s="84"/>
      <c r="IRA196" s="84"/>
      <c r="IRB196" s="84"/>
      <c r="IRC196" s="84"/>
      <c r="IRD196" s="84"/>
      <c r="IRE196" s="84"/>
      <c r="IRF196" s="84"/>
      <c r="IRG196" s="84"/>
      <c r="IRH196" s="84"/>
      <c r="IRI196" s="84"/>
      <c r="IRJ196" s="84"/>
      <c r="IRK196" s="84"/>
      <c r="IRL196" s="84"/>
      <c r="IRM196" s="84"/>
      <c r="IRN196" s="84"/>
      <c r="IRO196" s="84"/>
      <c r="IRP196" s="84"/>
      <c r="IRQ196" s="84"/>
      <c r="IRR196" s="84"/>
      <c r="IRS196" s="84"/>
      <c r="IRT196" s="84"/>
      <c r="IRU196" s="84"/>
      <c r="IRV196" s="84"/>
      <c r="IRW196" s="84"/>
      <c r="IRX196" s="84"/>
      <c r="IRY196" s="84"/>
      <c r="IRZ196" s="84"/>
      <c r="ISA196" s="84"/>
      <c r="ISB196" s="84"/>
      <c r="ISC196" s="84"/>
      <c r="ISD196" s="84"/>
      <c r="ISE196" s="84"/>
      <c r="ISF196" s="84"/>
      <c r="ISG196" s="84"/>
      <c r="ISH196" s="84"/>
      <c r="ISI196" s="84"/>
      <c r="ISJ196" s="84"/>
      <c r="ISK196" s="84"/>
      <c r="ISL196" s="84"/>
      <c r="ISM196" s="84"/>
      <c r="ISN196" s="84"/>
      <c r="ISO196" s="84"/>
      <c r="ISP196" s="84"/>
      <c r="ISQ196" s="84"/>
      <c r="ISR196" s="84"/>
      <c r="ISS196" s="84"/>
      <c r="IST196" s="84"/>
      <c r="ISU196" s="84"/>
      <c r="ISV196" s="84"/>
      <c r="ISW196" s="84"/>
      <c r="ISX196" s="84"/>
      <c r="ISY196" s="84"/>
      <c r="ISZ196" s="84"/>
      <c r="ITA196" s="84"/>
      <c r="ITB196" s="84"/>
      <c r="ITC196" s="84"/>
      <c r="ITD196" s="84"/>
      <c r="ITE196" s="84"/>
      <c r="ITF196" s="84"/>
      <c r="ITG196" s="84"/>
      <c r="ITH196" s="84"/>
      <c r="ITI196" s="84"/>
      <c r="ITJ196" s="84"/>
      <c r="ITK196" s="84"/>
      <c r="ITL196" s="84"/>
      <c r="ITM196" s="84"/>
      <c r="ITN196" s="84"/>
      <c r="ITO196" s="84"/>
      <c r="ITP196" s="84"/>
      <c r="ITQ196" s="84"/>
      <c r="ITR196" s="84"/>
      <c r="ITS196" s="84"/>
      <c r="ITT196" s="84"/>
      <c r="ITU196" s="84"/>
      <c r="ITV196" s="84"/>
      <c r="ITW196" s="84"/>
      <c r="ITX196" s="84"/>
      <c r="ITY196" s="84"/>
      <c r="ITZ196" s="84"/>
      <c r="IUA196" s="84"/>
      <c r="IUB196" s="84"/>
      <c r="IUC196" s="84"/>
      <c r="IUD196" s="84"/>
      <c r="IUE196" s="84"/>
      <c r="IUF196" s="84"/>
      <c r="IUG196" s="84"/>
      <c r="IUH196" s="84"/>
      <c r="IUI196" s="84"/>
      <c r="IUJ196" s="84"/>
      <c r="IUK196" s="84"/>
      <c r="IUL196" s="84"/>
      <c r="IUM196" s="84"/>
      <c r="IUN196" s="84"/>
      <c r="IUO196" s="84"/>
      <c r="IUP196" s="84"/>
      <c r="IUQ196" s="84"/>
      <c r="IUR196" s="84"/>
      <c r="IUS196" s="84"/>
      <c r="IUT196" s="84"/>
      <c r="IUU196" s="84"/>
      <c r="IUV196" s="84"/>
      <c r="IUW196" s="84"/>
      <c r="IUX196" s="84"/>
      <c r="IUY196" s="84"/>
      <c r="IUZ196" s="84"/>
      <c r="IVA196" s="84"/>
      <c r="IVB196" s="84"/>
      <c r="IVC196" s="84"/>
      <c r="IVD196" s="84"/>
      <c r="IVE196" s="84"/>
      <c r="IVF196" s="84"/>
      <c r="IVG196" s="84"/>
      <c r="IVH196" s="84"/>
      <c r="IVI196" s="84"/>
      <c r="IVJ196" s="84"/>
      <c r="IVK196" s="84"/>
      <c r="IVL196" s="84"/>
      <c r="IVM196" s="84"/>
      <c r="IVN196" s="84"/>
      <c r="IVO196" s="84"/>
      <c r="IVP196" s="84"/>
      <c r="IVQ196" s="84"/>
      <c r="IVR196" s="84"/>
      <c r="IVS196" s="84"/>
      <c r="IVT196" s="84"/>
      <c r="IVU196" s="84"/>
      <c r="IVV196" s="84"/>
      <c r="IVW196" s="84"/>
      <c r="IVX196" s="84"/>
      <c r="IVY196" s="84"/>
      <c r="IVZ196" s="84"/>
      <c r="IWA196" s="84"/>
      <c r="IWB196" s="84"/>
      <c r="IWC196" s="84"/>
      <c r="IWD196" s="84"/>
      <c r="IWE196" s="84"/>
      <c r="IWF196" s="84"/>
      <c r="IWG196" s="84"/>
      <c r="IWH196" s="84"/>
      <c r="IWI196" s="84"/>
      <c r="IWJ196" s="84"/>
      <c r="IWK196" s="84"/>
      <c r="IWL196" s="84"/>
      <c r="IWM196" s="84"/>
      <c r="IWN196" s="84"/>
      <c r="IWO196" s="84"/>
      <c r="IWP196" s="84"/>
      <c r="IWQ196" s="84"/>
      <c r="IWR196" s="84"/>
      <c r="IWS196" s="84"/>
      <c r="IWT196" s="84"/>
      <c r="IWU196" s="84"/>
      <c r="IWV196" s="84"/>
      <c r="IWW196" s="84"/>
      <c r="IWX196" s="84"/>
      <c r="IWY196" s="84"/>
      <c r="IWZ196" s="84"/>
      <c r="IXA196" s="84"/>
      <c r="IXB196" s="84"/>
      <c r="IXC196" s="84"/>
      <c r="IXD196" s="84"/>
      <c r="IXE196" s="84"/>
      <c r="IXF196" s="84"/>
      <c r="IXG196" s="84"/>
      <c r="IXH196" s="84"/>
      <c r="IXI196" s="84"/>
      <c r="IXJ196" s="84"/>
      <c r="IXK196" s="84"/>
      <c r="IXL196" s="84"/>
      <c r="IXM196" s="84"/>
      <c r="IXN196" s="84"/>
      <c r="IXO196" s="84"/>
      <c r="IXP196" s="84"/>
      <c r="IXQ196" s="84"/>
      <c r="IXR196" s="84"/>
      <c r="IXS196" s="84"/>
      <c r="IXT196" s="84"/>
      <c r="IXU196" s="84"/>
      <c r="IXV196" s="84"/>
      <c r="IXW196" s="84"/>
      <c r="IXX196" s="84"/>
      <c r="IXY196" s="84"/>
      <c r="IXZ196" s="84"/>
      <c r="IYA196" s="84"/>
      <c r="IYB196" s="84"/>
      <c r="IYC196" s="84"/>
      <c r="IYD196" s="84"/>
      <c r="IYE196" s="84"/>
      <c r="IYF196" s="84"/>
      <c r="IYG196" s="84"/>
      <c r="IYH196" s="84"/>
      <c r="IYI196" s="84"/>
      <c r="IYJ196" s="84"/>
      <c r="IYK196" s="84"/>
      <c r="IYL196" s="84"/>
      <c r="IYM196" s="84"/>
      <c r="IYN196" s="84"/>
      <c r="IYO196" s="84"/>
      <c r="IYP196" s="84"/>
      <c r="IYQ196" s="84"/>
      <c r="IYR196" s="84"/>
      <c r="IYS196" s="84"/>
      <c r="IYT196" s="84"/>
      <c r="IYU196" s="84"/>
      <c r="IYV196" s="84"/>
      <c r="IYW196" s="84"/>
      <c r="IYX196" s="84"/>
      <c r="IYY196" s="84"/>
      <c r="IYZ196" s="84"/>
      <c r="IZA196" s="84"/>
      <c r="IZB196" s="84"/>
      <c r="IZC196" s="84"/>
      <c r="IZD196" s="84"/>
      <c r="IZE196" s="84"/>
      <c r="IZF196" s="84"/>
      <c r="IZG196" s="84"/>
      <c r="IZH196" s="84"/>
      <c r="IZI196" s="84"/>
      <c r="IZJ196" s="84"/>
      <c r="IZK196" s="84"/>
      <c r="IZL196" s="84"/>
      <c r="IZM196" s="84"/>
      <c r="IZN196" s="84"/>
      <c r="IZO196" s="84"/>
      <c r="IZP196" s="84"/>
      <c r="IZQ196" s="84"/>
      <c r="IZR196" s="84"/>
      <c r="IZS196" s="84"/>
      <c r="IZT196" s="84"/>
      <c r="IZU196" s="84"/>
      <c r="IZV196" s="84"/>
      <c r="IZW196" s="84"/>
      <c r="IZX196" s="84"/>
      <c r="IZY196" s="84"/>
      <c r="IZZ196" s="84"/>
      <c r="JAA196" s="84"/>
      <c r="JAB196" s="84"/>
      <c r="JAC196" s="84"/>
      <c r="JAD196" s="84"/>
      <c r="JAE196" s="84"/>
      <c r="JAF196" s="84"/>
      <c r="JAG196" s="84"/>
      <c r="JAH196" s="84"/>
      <c r="JAI196" s="84"/>
      <c r="JAJ196" s="84"/>
      <c r="JAK196" s="84"/>
      <c r="JAL196" s="84"/>
      <c r="JAM196" s="84"/>
      <c r="JAN196" s="84"/>
      <c r="JAO196" s="84"/>
      <c r="JAP196" s="84"/>
      <c r="JAQ196" s="84"/>
      <c r="JAR196" s="84"/>
      <c r="JAS196" s="84"/>
      <c r="JAT196" s="84"/>
      <c r="JAU196" s="84"/>
      <c r="JAV196" s="84"/>
      <c r="JAW196" s="84"/>
      <c r="JAX196" s="84"/>
      <c r="JAY196" s="84"/>
      <c r="JAZ196" s="84"/>
      <c r="JBA196" s="84"/>
      <c r="JBB196" s="84"/>
      <c r="JBC196" s="84"/>
      <c r="JBD196" s="84"/>
      <c r="JBE196" s="84"/>
      <c r="JBF196" s="84"/>
      <c r="JBG196" s="84"/>
      <c r="JBH196" s="84"/>
      <c r="JBI196" s="84"/>
      <c r="JBJ196" s="84"/>
      <c r="JBK196" s="84"/>
      <c r="JBL196" s="84"/>
      <c r="JBM196" s="84"/>
      <c r="JBN196" s="84"/>
      <c r="JBO196" s="84"/>
      <c r="JBP196" s="84"/>
      <c r="JBQ196" s="84"/>
      <c r="JBR196" s="84"/>
      <c r="JBS196" s="84"/>
      <c r="JBT196" s="84"/>
      <c r="JBU196" s="84"/>
      <c r="JBV196" s="84"/>
      <c r="JBW196" s="84"/>
      <c r="JBX196" s="84"/>
      <c r="JBY196" s="84"/>
      <c r="JBZ196" s="84"/>
      <c r="JCA196" s="84"/>
      <c r="JCB196" s="84"/>
      <c r="JCC196" s="84"/>
      <c r="JCD196" s="84"/>
      <c r="JCE196" s="84"/>
      <c r="JCF196" s="84"/>
      <c r="JCG196" s="84"/>
      <c r="JCH196" s="84"/>
      <c r="JCI196" s="84"/>
      <c r="JCJ196" s="84"/>
      <c r="JCK196" s="84"/>
      <c r="JCL196" s="84"/>
      <c r="JCM196" s="84"/>
      <c r="JCN196" s="84"/>
      <c r="JCO196" s="84"/>
      <c r="JCP196" s="84"/>
      <c r="JCQ196" s="84"/>
      <c r="JCR196" s="84"/>
      <c r="JCS196" s="84"/>
      <c r="JCT196" s="84"/>
      <c r="JCU196" s="84"/>
      <c r="JCV196" s="84"/>
      <c r="JCW196" s="84"/>
      <c r="JCX196" s="84"/>
      <c r="JCY196" s="84"/>
      <c r="JCZ196" s="84"/>
      <c r="JDA196" s="84"/>
      <c r="JDB196" s="84"/>
      <c r="JDC196" s="84"/>
      <c r="JDD196" s="84"/>
      <c r="JDE196" s="84"/>
      <c r="JDF196" s="84"/>
      <c r="JDG196" s="84"/>
      <c r="JDH196" s="84"/>
      <c r="JDI196" s="84"/>
      <c r="JDJ196" s="84"/>
      <c r="JDK196" s="84"/>
      <c r="JDL196" s="84"/>
      <c r="JDM196" s="84"/>
      <c r="JDN196" s="84"/>
      <c r="JDO196" s="84"/>
      <c r="JDP196" s="84"/>
      <c r="JDQ196" s="84"/>
      <c r="JDR196" s="84"/>
      <c r="JDS196" s="84"/>
      <c r="JDT196" s="84"/>
      <c r="JDU196" s="84"/>
      <c r="JDV196" s="84"/>
      <c r="JDW196" s="84"/>
      <c r="JDX196" s="84"/>
      <c r="JDY196" s="84"/>
      <c r="JDZ196" s="84"/>
      <c r="JEA196" s="84"/>
      <c r="JEB196" s="84"/>
      <c r="JEC196" s="84"/>
      <c r="JED196" s="84"/>
      <c r="JEE196" s="84"/>
      <c r="JEF196" s="84"/>
      <c r="JEG196" s="84"/>
      <c r="JEH196" s="84"/>
      <c r="JEI196" s="84"/>
      <c r="JEJ196" s="84"/>
      <c r="JEK196" s="84"/>
      <c r="JEL196" s="84"/>
      <c r="JEM196" s="84"/>
      <c r="JEN196" s="84"/>
      <c r="JEO196" s="84"/>
      <c r="JEP196" s="84"/>
      <c r="JEQ196" s="84"/>
      <c r="JER196" s="84"/>
      <c r="JES196" s="84"/>
      <c r="JET196" s="84"/>
      <c r="JEU196" s="84"/>
      <c r="JEV196" s="84"/>
      <c r="JEW196" s="84"/>
      <c r="JEX196" s="84"/>
      <c r="JEY196" s="84"/>
      <c r="JEZ196" s="84"/>
      <c r="JFA196" s="84"/>
      <c r="JFB196" s="84"/>
      <c r="JFC196" s="84"/>
      <c r="JFD196" s="84"/>
      <c r="JFE196" s="84"/>
      <c r="JFF196" s="84"/>
      <c r="JFG196" s="84"/>
      <c r="JFH196" s="84"/>
      <c r="JFI196" s="84"/>
      <c r="JFJ196" s="84"/>
      <c r="JFK196" s="84"/>
      <c r="JFL196" s="84"/>
      <c r="JFM196" s="84"/>
      <c r="JFN196" s="84"/>
      <c r="JFO196" s="84"/>
      <c r="JFP196" s="84"/>
      <c r="JFQ196" s="84"/>
      <c r="JFR196" s="84"/>
      <c r="JFS196" s="84"/>
      <c r="JFT196" s="84"/>
      <c r="JFU196" s="84"/>
      <c r="JFV196" s="84"/>
      <c r="JFW196" s="84"/>
      <c r="JFX196" s="84"/>
      <c r="JFY196" s="84"/>
      <c r="JFZ196" s="84"/>
      <c r="JGA196" s="84"/>
      <c r="JGB196" s="84"/>
      <c r="JGC196" s="84"/>
      <c r="JGD196" s="84"/>
      <c r="JGE196" s="84"/>
      <c r="JGF196" s="84"/>
      <c r="JGG196" s="84"/>
      <c r="JGH196" s="84"/>
      <c r="JGI196" s="84"/>
      <c r="JGJ196" s="84"/>
      <c r="JGK196" s="84"/>
      <c r="JGL196" s="84"/>
      <c r="JGM196" s="84"/>
      <c r="JGN196" s="84"/>
      <c r="JGO196" s="84"/>
      <c r="JGP196" s="84"/>
      <c r="JGQ196" s="84"/>
      <c r="JGR196" s="84"/>
      <c r="JGS196" s="84"/>
      <c r="JGT196" s="84"/>
      <c r="JGU196" s="84"/>
      <c r="JGV196" s="84"/>
      <c r="JGW196" s="84"/>
      <c r="JGX196" s="84"/>
      <c r="JGY196" s="84"/>
      <c r="JGZ196" s="84"/>
      <c r="JHA196" s="84"/>
      <c r="JHB196" s="84"/>
      <c r="JHC196" s="84"/>
      <c r="JHD196" s="84"/>
      <c r="JHE196" s="84"/>
      <c r="JHF196" s="84"/>
      <c r="JHG196" s="84"/>
      <c r="JHH196" s="84"/>
      <c r="JHI196" s="84"/>
      <c r="JHJ196" s="84"/>
      <c r="JHK196" s="84"/>
      <c r="JHL196" s="84"/>
      <c r="JHM196" s="84"/>
      <c r="JHN196" s="84"/>
      <c r="JHO196" s="84"/>
      <c r="JHP196" s="84"/>
      <c r="JHQ196" s="84"/>
      <c r="JHR196" s="84"/>
      <c r="JHS196" s="84"/>
      <c r="JHT196" s="84"/>
      <c r="JHU196" s="84"/>
      <c r="JHV196" s="84"/>
      <c r="JHW196" s="84"/>
      <c r="JHX196" s="84"/>
      <c r="JHY196" s="84"/>
      <c r="JHZ196" s="84"/>
      <c r="JIA196" s="84"/>
      <c r="JIB196" s="84"/>
      <c r="JIC196" s="84"/>
      <c r="JID196" s="84"/>
      <c r="JIE196" s="84"/>
      <c r="JIF196" s="84"/>
      <c r="JIG196" s="84"/>
      <c r="JIH196" s="84"/>
      <c r="JII196" s="84"/>
      <c r="JIJ196" s="84"/>
      <c r="JIK196" s="84"/>
      <c r="JIL196" s="84"/>
      <c r="JIM196" s="84"/>
      <c r="JIN196" s="84"/>
      <c r="JIO196" s="84"/>
      <c r="JIP196" s="84"/>
      <c r="JIQ196" s="84"/>
      <c r="JIR196" s="84"/>
      <c r="JIS196" s="84"/>
      <c r="JIT196" s="84"/>
      <c r="JIU196" s="84"/>
      <c r="JIV196" s="84"/>
      <c r="JIW196" s="84"/>
      <c r="JIX196" s="84"/>
      <c r="JIY196" s="84"/>
      <c r="JIZ196" s="84"/>
      <c r="JJA196" s="84"/>
      <c r="JJB196" s="84"/>
      <c r="JJC196" s="84"/>
      <c r="JJD196" s="84"/>
      <c r="JJE196" s="84"/>
      <c r="JJF196" s="84"/>
      <c r="JJG196" s="84"/>
      <c r="JJH196" s="84"/>
      <c r="JJI196" s="84"/>
      <c r="JJJ196" s="84"/>
      <c r="JJK196" s="84"/>
      <c r="JJL196" s="84"/>
      <c r="JJM196" s="84"/>
      <c r="JJN196" s="84"/>
      <c r="JJO196" s="84"/>
      <c r="JJP196" s="84"/>
      <c r="JJQ196" s="84"/>
      <c r="JJR196" s="84"/>
      <c r="JJS196" s="84"/>
      <c r="JJT196" s="84"/>
      <c r="JJU196" s="84"/>
      <c r="JJV196" s="84"/>
      <c r="JJW196" s="84"/>
      <c r="JJX196" s="84"/>
      <c r="JJY196" s="84"/>
      <c r="JJZ196" s="84"/>
      <c r="JKA196" s="84"/>
      <c r="JKB196" s="84"/>
      <c r="JKC196" s="84"/>
      <c r="JKD196" s="84"/>
      <c r="JKE196" s="84"/>
      <c r="JKF196" s="84"/>
      <c r="JKG196" s="84"/>
      <c r="JKH196" s="84"/>
      <c r="JKI196" s="84"/>
      <c r="JKJ196" s="84"/>
      <c r="JKK196" s="84"/>
      <c r="JKL196" s="84"/>
      <c r="JKM196" s="84"/>
      <c r="JKN196" s="84"/>
      <c r="JKO196" s="84"/>
      <c r="JKP196" s="84"/>
      <c r="JKQ196" s="84"/>
      <c r="JKR196" s="84"/>
      <c r="JKS196" s="84"/>
      <c r="JKT196" s="84"/>
      <c r="JKU196" s="84"/>
      <c r="JKV196" s="84"/>
      <c r="JKW196" s="84"/>
      <c r="JKX196" s="84"/>
      <c r="JKY196" s="84"/>
      <c r="JKZ196" s="84"/>
      <c r="JLA196" s="84"/>
      <c r="JLB196" s="84"/>
      <c r="JLC196" s="84"/>
      <c r="JLD196" s="84"/>
      <c r="JLE196" s="84"/>
      <c r="JLF196" s="84"/>
      <c r="JLG196" s="84"/>
      <c r="JLH196" s="84"/>
      <c r="JLI196" s="84"/>
      <c r="JLJ196" s="84"/>
      <c r="JLK196" s="84"/>
      <c r="JLL196" s="84"/>
      <c r="JLM196" s="84"/>
      <c r="JLN196" s="84"/>
      <c r="JLO196" s="84"/>
      <c r="JLP196" s="84"/>
      <c r="JLQ196" s="84"/>
      <c r="JLR196" s="84"/>
      <c r="JLS196" s="84"/>
      <c r="JLT196" s="84"/>
      <c r="JLU196" s="84"/>
      <c r="JLV196" s="84"/>
      <c r="JLW196" s="84"/>
      <c r="JLX196" s="84"/>
      <c r="JLY196" s="84"/>
      <c r="JLZ196" s="84"/>
      <c r="JMA196" s="84"/>
      <c r="JMB196" s="84"/>
      <c r="JMC196" s="84"/>
      <c r="JMD196" s="84"/>
      <c r="JME196" s="84"/>
      <c r="JMF196" s="84"/>
      <c r="JMG196" s="84"/>
      <c r="JMH196" s="84"/>
      <c r="JMI196" s="84"/>
      <c r="JMJ196" s="84"/>
      <c r="JMK196" s="84"/>
      <c r="JML196" s="84"/>
      <c r="JMM196" s="84"/>
      <c r="JMN196" s="84"/>
      <c r="JMO196" s="84"/>
      <c r="JMP196" s="84"/>
      <c r="JMQ196" s="84"/>
      <c r="JMR196" s="84"/>
      <c r="JMS196" s="84"/>
      <c r="JMT196" s="84"/>
      <c r="JMU196" s="84"/>
      <c r="JMV196" s="84"/>
      <c r="JMW196" s="84"/>
      <c r="JMX196" s="84"/>
      <c r="JMY196" s="84"/>
      <c r="JMZ196" s="84"/>
      <c r="JNA196" s="84"/>
      <c r="JNB196" s="84"/>
      <c r="JNC196" s="84"/>
      <c r="JND196" s="84"/>
      <c r="JNE196" s="84"/>
      <c r="JNF196" s="84"/>
      <c r="JNG196" s="84"/>
      <c r="JNH196" s="84"/>
      <c r="JNI196" s="84"/>
      <c r="JNJ196" s="84"/>
      <c r="JNK196" s="84"/>
      <c r="JNL196" s="84"/>
      <c r="JNM196" s="84"/>
      <c r="JNN196" s="84"/>
      <c r="JNO196" s="84"/>
      <c r="JNP196" s="84"/>
      <c r="JNQ196" s="84"/>
      <c r="JNR196" s="84"/>
      <c r="JNS196" s="84"/>
      <c r="JNT196" s="84"/>
      <c r="JNU196" s="84"/>
      <c r="JNV196" s="84"/>
      <c r="JNW196" s="84"/>
      <c r="JNX196" s="84"/>
      <c r="JNY196" s="84"/>
      <c r="JNZ196" s="84"/>
      <c r="JOA196" s="84"/>
      <c r="JOB196" s="84"/>
      <c r="JOC196" s="84"/>
      <c r="JOD196" s="84"/>
      <c r="JOE196" s="84"/>
      <c r="JOF196" s="84"/>
      <c r="JOG196" s="84"/>
      <c r="JOH196" s="84"/>
      <c r="JOI196" s="84"/>
      <c r="JOJ196" s="84"/>
      <c r="JOK196" s="84"/>
      <c r="JOL196" s="84"/>
      <c r="JOM196" s="84"/>
      <c r="JON196" s="84"/>
      <c r="JOO196" s="84"/>
      <c r="JOP196" s="84"/>
      <c r="JOQ196" s="84"/>
      <c r="JOR196" s="84"/>
      <c r="JOS196" s="84"/>
      <c r="JOT196" s="84"/>
      <c r="JOU196" s="84"/>
      <c r="JOV196" s="84"/>
      <c r="JOW196" s="84"/>
      <c r="JOX196" s="84"/>
      <c r="JOY196" s="84"/>
      <c r="JOZ196" s="84"/>
      <c r="JPA196" s="84"/>
      <c r="JPB196" s="84"/>
      <c r="JPC196" s="84"/>
      <c r="JPD196" s="84"/>
      <c r="JPE196" s="84"/>
      <c r="JPF196" s="84"/>
      <c r="JPG196" s="84"/>
      <c r="JPH196" s="84"/>
      <c r="JPI196" s="84"/>
      <c r="JPJ196" s="84"/>
      <c r="JPK196" s="84"/>
      <c r="JPL196" s="84"/>
      <c r="JPM196" s="84"/>
      <c r="JPN196" s="84"/>
      <c r="JPO196" s="84"/>
      <c r="JPP196" s="84"/>
      <c r="JPQ196" s="84"/>
      <c r="JPR196" s="84"/>
      <c r="JPS196" s="84"/>
      <c r="JPT196" s="84"/>
      <c r="JPU196" s="84"/>
      <c r="JPV196" s="84"/>
      <c r="JPW196" s="84"/>
      <c r="JPX196" s="84"/>
      <c r="JPY196" s="84"/>
      <c r="JPZ196" s="84"/>
      <c r="JQA196" s="84"/>
      <c r="JQB196" s="84"/>
      <c r="JQC196" s="84"/>
      <c r="JQD196" s="84"/>
      <c r="JQE196" s="84"/>
      <c r="JQF196" s="84"/>
      <c r="JQG196" s="84"/>
      <c r="JQH196" s="84"/>
      <c r="JQI196" s="84"/>
      <c r="JQJ196" s="84"/>
      <c r="JQK196" s="84"/>
      <c r="JQL196" s="84"/>
      <c r="JQM196" s="84"/>
      <c r="JQN196" s="84"/>
      <c r="JQO196" s="84"/>
      <c r="JQP196" s="84"/>
      <c r="JQQ196" s="84"/>
      <c r="JQR196" s="84"/>
      <c r="JQS196" s="84"/>
      <c r="JQT196" s="84"/>
      <c r="JQU196" s="84"/>
      <c r="JQV196" s="84"/>
      <c r="JQW196" s="84"/>
      <c r="JQX196" s="84"/>
      <c r="JQY196" s="84"/>
      <c r="JQZ196" s="84"/>
      <c r="JRA196" s="84"/>
      <c r="JRB196" s="84"/>
      <c r="JRC196" s="84"/>
      <c r="JRD196" s="84"/>
      <c r="JRE196" s="84"/>
      <c r="JRF196" s="84"/>
      <c r="JRG196" s="84"/>
      <c r="JRH196" s="84"/>
      <c r="JRI196" s="84"/>
      <c r="JRJ196" s="84"/>
      <c r="JRK196" s="84"/>
      <c r="JRL196" s="84"/>
      <c r="JRM196" s="84"/>
      <c r="JRN196" s="84"/>
      <c r="JRO196" s="84"/>
      <c r="JRP196" s="84"/>
      <c r="JRQ196" s="84"/>
      <c r="JRR196" s="84"/>
      <c r="JRS196" s="84"/>
      <c r="JRT196" s="84"/>
      <c r="JRU196" s="84"/>
      <c r="JRV196" s="84"/>
      <c r="JRW196" s="84"/>
      <c r="JRX196" s="84"/>
      <c r="JRY196" s="84"/>
      <c r="JRZ196" s="84"/>
      <c r="JSA196" s="84"/>
      <c r="JSB196" s="84"/>
      <c r="JSC196" s="84"/>
      <c r="JSD196" s="84"/>
      <c r="JSE196" s="84"/>
      <c r="JSF196" s="84"/>
      <c r="JSG196" s="84"/>
      <c r="JSH196" s="84"/>
      <c r="JSI196" s="84"/>
      <c r="JSJ196" s="84"/>
      <c r="JSK196" s="84"/>
      <c r="JSL196" s="84"/>
      <c r="JSM196" s="84"/>
      <c r="JSN196" s="84"/>
      <c r="JSO196" s="84"/>
      <c r="JSP196" s="84"/>
      <c r="JSQ196" s="84"/>
      <c r="JSR196" s="84"/>
      <c r="JSS196" s="84"/>
      <c r="JST196" s="84"/>
      <c r="JSU196" s="84"/>
      <c r="JSV196" s="84"/>
      <c r="JSW196" s="84"/>
      <c r="JSX196" s="84"/>
      <c r="JSY196" s="84"/>
      <c r="JSZ196" s="84"/>
      <c r="JTA196" s="84"/>
      <c r="JTB196" s="84"/>
      <c r="JTC196" s="84"/>
      <c r="JTD196" s="84"/>
      <c r="JTE196" s="84"/>
      <c r="JTF196" s="84"/>
      <c r="JTG196" s="84"/>
      <c r="JTH196" s="84"/>
      <c r="JTI196" s="84"/>
      <c r="JTJ196" s="84"/>
      <c r="JTK196" s="84"/>
      <c r="JTL196" s="84"/>
      <c r="JTM196" s="84"/>
      <c r="JTN196" s="84"/>
      <c r="JTO196" s="84"/>
      <c r="JTP196" s="84"/>
      <c r="JTQ196" s="84"/>
      <c r="JTR196" s="84"/>
      <c r="JTS196" s="84"/>
      <c r="JTT196" s="84"/>
      <c r="JTU196" s="84"/>
      <c r="JTV196" s="84"/>
      <c r="JTW196" s="84"/>
      <c r="JTX196" s="84"/>
      <c r="JTY196" s="84"/>
      <c r="JTZ196" s="84"/>
      <c r="JUA196" s="84"/>
      <c r="JUB196" s="84"/>
      <c r="JUC196" s="84"/>
      <c r="JUD196" s="84"/>
      <c r="JUE196" s="84"/>
      <c r="JUF196" s="84"/>
      <c r="JUG196" s="84"/>
      <c r="JUH196" s="84"/>
      <c r="JUI196" s="84"/>
      <c r="JUJ196" s="84"/>
      <c r="JUK196" s="84"/>
      <c r="JUL196" s="84"/>
      <c r="JUM196" s="84"/>
      <c r="JUN196" s="84"/>
      <c r="JUO196" s="84"/>
      <c r="JUP196" s="84"/>
      <c r="JUQ196" s="84"/>
      <c r="JUR196" s="84"/>
      <c r="JUS196" s="84"/>
      <c r="JUT196" s="84"/>
      <c r="JUU196" s="84"/>
      <c r="JUV196" s="84"/>
      <c r="JUW196" s="84"/>
      <c r="JUX196" s="84"/>
      <c r="JUY196" s="84"/>
      <c r="JUZ196" s="84"/>
      <c r="JVA196" s="84"/>
      <c r="JVB196" s="84"/>
      <c r="JVC196" s="84"/>
      <c r="JVD196" s="84"/>
      <c r="JVE196" s="84"/>
      <c r="JVF196" s="84"/>
      <c r="JVG196" s="84"/>
      <c r="JVH196" s="84"/>
      <c r="JVI196" s="84"/>
      <c r="JVJ196" s="84"/>
      <c r="JVK196" s="84"/>
      <c r="JVL196" s="84"/>
      <c r="JVM196" s="84"/>
      <c r="JVN196" s="84"/>
      <c r="JVO196" s="84"/>
      <c r="JVP196" s="84"/>
      <c r="JVQ196" s="84"/>
      <c r="JVR196" s="84"/>
      <c r="JVS196" s="84"/>
      <c r="JVT196" s="84"/>
      <c r="JVU196" s="84"/>
      <c r="JVV196" s="84"/>
      <c r="JVW196" s="84"/>
      <c r="JVX196" s="84"/>
      <c r="JVY196" s="84"/>
      <c r="JVZ196" s="84"/>
      <c r="JWA196" s="84"/>
      <c r="JWB196" s="84"/>
      <c r="JWC196" s="84"/>
      <c r="JWD196" s="84"/>
      <c r="JWE196" s="84"/>
      <c r="JWF196" s="84"/>
      <c r="JWG196" s="84"/>
      <c r="JWH196" s="84"/>
      <c r="JWI196" s="84"/>
      <c r="JWJ196" s="84"/>
      <c r="JWK196" s="84"/>
      <c r="JWL196" s="84"/>
      <c r="JWM196" s="84"/>
      <c r="JWN196" s="84"/>
      <c r="JWO196" s="84"/>
      <c r="JWP196" s="84"/>
      <c r="JWQ196" s="84"/>
      <c r="JWR196" s="84"/>
      <c r="JWS196" s="84"/>
      <c r="JWT196" s="84"/>
      <c r="JWU196" s="84"/>
      <c r="JWV196" s="84"/>
      <c r="JWW196" s="84"/>
      <c r="JWX196" s="84"/>
      <c r="JWY196" s="84"/>
      <c r="JWZ196" s="84"/>
      <c r="JXA196" s="84"/>
      <c r="JXB196" s="84"/>
      <c r="JXC196" s="84"/>
      <c r="JXD196" s="84"/>
      <c r="JXE196" s="84"/>
      <c r="JXF196" s="84"/>
      <c r="JXG196" s="84"/>
      <c r="JXH196" s="84"/>
      <c r="JXI196" s="84"/>
      <c r="JXJ196" s="84"/>
      <c r="JXK196" s="84"/>
      <c r="JXL196" s="84"/>
      <c r="JXM196" s="84"/>
      <c r="JXN196" s="84"/>
      <c r="JXO196" s="84"/>
      <c r="JXP196" s="84"/>
      <c r="JXQ196" s="84"/>
      <c r="JXR196" s="84"/>
      <c r="JXS196" s="84"/>
      <c r="JXT196" s="84"/>
      <c r="JXU196" s="84"/>
      <c r="JXV196" s="84"/>
      <c r="JXW196" s="84"/>
      <c r="JXX196" s="84"/>
      <c r="JXY196" s="84"/>
      <c r="JXZ196" s="84"/>
      <c r="JYA196" s="84"/>
      <c r="JYB196" s="84"/>
      <c r="JYC196" s="84"/>
      <c r="JYD196" s="84"/>
      <c r="JYE196" s="84"/>
      <c r="JYF196" s="84"/>
      <c r="JYG196" s="84"/>
      <c r="JYH196" s="84"/>
      <c r="JYI196" s="84"/>
      <c r="JYJ196" s="84"/>
      <c r="JYK196" s="84"/>
      <c r="JYL196" s="84"/>
      <c r="JYM196" s="84"/>
      <c r="JYN196" s="84"/>
      <c r="JYO196" s="84"/>
      <c r="JYP196" s="84"/>
      <c r="JYQ196" s="84"/>
      <c r="JYR196" s="84"/>
      <c r="JYS196" s="84"/>
      <c r="JYT196" s="84"/>
      <c r="JYU196" s="84"/>
      <c r="JYV196" s="84"/>
      <c r="JYW196" s="84"/>
      <c r="JYX196" s="84"/>
      <c r="JYY196" s="84"/>
      <c r="JYZ196" s="84"/>
      <c r="JZA196" s="84"/>
      <c r="JZB196" s="84"/>
      <c r="JZC196" s="84"/>
      <c r="JZD196" s="84"/>
      <c r="JZE196" s="84"/>
      <c r="JZF196" s="84"/>
      <c r="JZG196" s="84"/>
      <c r="JZH196" s="84"/>
      <c r="JZI196" s="84"/>
      <c r="JZJ196" s="84"/>
      <c r="JZK196" s="84"/>
      <c r="JZL196" s="84"/>
      <c r="JZM196" s="84"/>
      <c r="JZN196" s="84"/>
      <c r="JZO196" s="84"/>
      <c r="JZP196" s="84"/>
      <c r="JZQ196" s="84"/>
      <c r="JZR196" s="84"/>
      <c r="JZS196" s="84"/>
      <c r="JZT196" s="84"/>
      <c r="JZU196" s="84"/>
      <c r="JZV196" s="84"/>
      <c r="JZW196" s="84"/>
      <c r="JZX196" s="84"/>
      <c r="JZY196" s="84"/>
      <c r="JZZ196" s="84"/>
      <c r="KAA196" s="84"/>
      <c r="KAB196" s="84"/>
      <c r="KAC196" s="84"/>
      <c r="KAD196" s="84"/>
      <c r="KAE196" s="84"/>
      <c r="KAF196" s="84"/>
      <c r="KAG196" s="84"/>
      <c r="KAH196" s="84"/>
      <c r="KAI196" s="84"/>
      <c r="KAJ196" s="84"/>
      <c r="KAK196" s="84"/>
      <c r="KAL196" s="84"/>
      <c r="KAM196" s="84"/>
      <c r="KAN196" s="84"/>
      <c r="KAO196" s="84"/>
      <c r="KAP196" s="84"/>
      <c r="KAQ196" s="84"/>
      <c r="KAR196" s="84"/>
      <c r="KAS196" s="84"/>
      <c r="KAT196" s="84"/>
      <c r="KAU196" s="84"/>
      <c r="KAV196" s="84"/>
      <c r="KAW196" s="84"/>
      <c r="KAX196" s="84"/>
      <c r="KAY196" s="84"/>
      <c r="KAZ196" s="84"/>
      <c r="KBA196" s="84"/>
      <c r="KBB196" s="84"/>
      <c r="KBC196" s="84"/>
      <c r="KBD196" s="84"/>
      <c r="KBE196" s="84"/>
      <c r="KBF196" s="84"/>
      <c r="KBG196" s="84"/>
      <c r="KBH196" s="84"/>
      <c r="KBI196" s="84"/>
      <c r="KBJ196" s="84"/>
      <c r="KBK196" s="84"/>
      <c r="KBL196" s="84"/>
      <c r="KBM196" s="84"/>
      <c r="KBN196" s="84"/>
      <c r="KBO196" s="84"/>
      <c r="KBP196" s="84"/>
      <c r="KBQ196" s="84"/>
      <c r="KBR196" s="84"/>
      <c r="KBS196" s="84"/>
      <c r="KBT196" s="84"/>
      <c r="KBU196" s="84"/>
      <c r="KBV196" s="84"/>
      <c r="KBW196" s="84"/>
      <c r="KBX196" s="84"/>
      <c r="KBY196" s="84"/>
      <c r="KBZ196" s="84"/>
      <c r="KCA196" s="84"/>
      <c r="KCB196" s="84"/>
      <c r="KCC196" s="84"/>
      <c r="KCD196" s="84"/>
      <c r="KCE196" s="84"/>
      <c r="KCF196" s="84"/>
      <c r="KCG196" s="84"/>
      <c r="KCH196" s="84"/>
      <c r="KCI196" s="84"/>
      <c r="KCJ196" s="84"/>
      <c r="KCK196" s="84"/>
      <c r="KCL196" s="84"/>
      <c r="KCM196" s="84"/>
      <c r="KCN196" s="84"/>
      <c r="KCO196" s="84"/>
      <c r="KCP196" s="84"/>
      <c r="KCQ196" s="84"/>
      <c r="KCR196" s="84"/>
      <c r="KCS196" s="84"/>
      <c r="KCT196" s="84"/>
      <c r="KCU196" s="84"/>
      <c r="KCV196" s="84"/>
      <c r="KCW196" s="84"/>
      <c r="KCX196" s="84"/>
      <c r="KCY196" s="84"/>
      <c r="KCZ196" s="84"/>
      <c r="KDA196" s="84"/>
      <c r="KDB196" s="84"/>
      <c r="KDC196" s="84"/>
      <c r="KDD196" s="84"/>
      <c r="KDE196" s="84"/>
      <c r="KDF196" s="84"/>
      <c r="KDG196" s="84"/>
      <c r="KDH196" s="84"/>
      <c r="KDI196" s="84"/>
      <c r="KDJ196" s="84"/>
      <c r="KDK196" s="84"/>
      <c r="KDL196" s="84"/>
      <c r="KDM196" s="84"/>
      <c r="KDN196" s="84"/>
      <c r="KDO196" s="84"/>
      <c r="KDP196" s="84"/>
      <c r="KDQ196" s="84"/>
      <c r="KDR196" s="84"/>
      <c r="KDS196" s="84"/>
      <c r="KDT196" s="84"/>
      <c r="KDU196" s="84"/>
      <c r="KDV196" s="84"/>
      <c r="KDW196" s="84"/>
      <c r="KDX196" s="84"/>
      <c r="KDY196" s="84"/>
      <c r="KDZ196" s="84"/>
      <c r="KEA196" s="84"/>
      <c r="KEB196" s="84"/>
      <c r="KEC196" s="84"/>
      <c r="KED196" s="84"/>
      <c r="KEE196" s="84"/>
      <c r="KEF196" s="84"/>
      <c r="KEG196" s="84"/>
      <c r="KEH196" s="84"/>
      <c r="KEI196" s="84"/>
      <c r="KEJ196" s="84"/>
      <c r="KEK196" s="84"/>
      <c r="KEL196" s="84"/>
      <c r="KEM196" s="84"/>
      <c r="KEN196" s="84"/>
      <c r="KEO196" s="84"/>
      <c r="KEP196" s="84"/>
      <c r="KEQ196" s="84"/>
      <c r="KER196" s="84"/>
      <c r="KES196" s="84"/>
      <c r="KET196" s="84"/>
      <c r="KEU196" s="84"/>
      <c r="KEV196" s="84"/>
      <c r="KEW196" s="84"/>
      <c r="KEX196" s="84"/>
      <c r="KEY196" s="84"/>
      <c r="KEZ196" s="84"/>
      <c r="KFA196" s="84"/>
      <c r="KFB196" s="84"/>
      <c r="KFC196" s="84"/>
      <c r="KFD196" s="84"/>
      <c r="KFE196" s="84"/>
      <c r="KFF196" s="84"/>
      <c r="KFG196" s="84"/>
      <c r="KFH196" s="84"/>
      <c r="KFI196" s="84"/>
      <c r="KFJ196" s="84"/>
      <c r="KFK196" s="84"/>
      <c r="KFL196" s="84"/>
      <c r="KFM196" s="84"/>
      <c r="KFN196" s="84"/>
      <c r="KFO196" s="84"/>
      <c r="KFP196" s="84"/>
      <c r="KFQ196" s="84"/>
      <c r="KFR196" s="84"/>
      <c r="KFS196" s="84"/>
      <c r="KFT196" s="84"/>
      <c r="KFU196" s="84"/>
      <c r="KFV196" s="84"/>
      <c r="KFW196" s="84"/>
      <c r="KFX196" s="84"/>
      <c r="KFY196" s="84"/>
      <c r="KFZ196" s="84"/>
      <c r="KGA196" s="84"/>
      <c r="KGB196" s="84"/>
      <c r="KGC196" s="84"/>
      <c r="KGD196" s="84"/>
      <c r="KGE196" s="84"/>
      <c r="KGF196" s="84"/>
      <c r="KGG196" s="84"/>
      <c r="KGH196" s="84"/>
      <c r="KGI196" s="84"/>
      <c r="KGJ196" s="84"/>
      <c r="KGK196" s="84"/>
      <c r="KGL196" s="84"/>
      <c r="KGM196" s="84"/>
      <c r="KGN196" s="84"/>
      <c r="KGO196" s="84"/>
      <c r="KGP196" s="84"/>
      <c r="KGQ196" s="84"/>
      <c r="KGR196" s="84"/>
      <c r="KGS196" s="84"/>
      <c r="KGT196" s="84"/>
      <c r="KGU196" s="84"/>
      <c r="KGV196" s="84"/>
      <c r="KGW196" s="84"/>
      <c r="KGX196" s="84"/>
      <c r="KGY196" s="84"/>
      <c r="KGZ196" s="84"/>
      <c r="KHA196" s="84"/>
      <c r="KHB196" s="84"/>
      <c r="KHC196" s="84"/>
      <c r="KHD196" s="84"/>
      <c r="KHE196" s="84"/>
      <c r="KHF196" s="84"/>
      <c r="KHG196" s="84"/>
      <c r="KHH196" s="84"/>
      <c r="KHI196" s="84"/>
      <c r="KHJ196" s="84"/>
      <c r="KHK196" s="84"/>
      <c r="KHL196" s="84"/>
      <c r="KHM196" s="84"/>
      <c r="KHN196" s="84"/>
      <c r="KHO196" s="84"/>
      <c r="KHP196" s="84"/>
      <c r="KHQ196" s="84"/>
      <c r="KHR196" s="84"/>
      <c r="KHS196" s="84"/>
      <c r="KHT196" s="84"/>
      <c r="KHU196" s="84"/>
      <c r="KHV196" s="84"/>
      <c r="KHW196" s="84"/>
      <c r="KHX196" s="84"/>
      <c r="KHY196" s="84"/>
      <c r="KHZ196" s="84"/>
      <c r="KIA196" s="84"/>
      <c r="KIB196" s="84"/>
      <c r="KIC196" s="84"/>
      <c r="KID196" s="84"/>
      <c r="KIE196" s="84"/>
      <c r="KIF196" s="84"/>
      <c r="KIG196" s="84"/>
      <c r="KIH196" s="84"/>
      <c r="KII196" s="84"/>
      <c r="KIJ196" s="84"/>
      <c r="KIK196" s="84"/>
      <c r="KIL196" s="84"/>
      <c r="KIM196" s="84"/>
      <c r="KIN196" s="84"/>
      <c r="KIO196" s="84"/>
      <c r="KIP196" s="84"/>
      <c r="KIQ196" s="84"/>
      <c r="KIR196" s="84"/>
      <c r="KIS196" s="84"/>
      <c r="KIT196" s="84"/>
      <c r="KIU196" s="84"/>
      <c r="KIV196" s="84"/>
      <c r="KIW196" s="84"/>
      <c r="KIX196" s="84"/>
      <c r="KIY196" s="84"/>
      <c r="KIZ196" s="84"/>
      <c r="KJA196" s="84"/>
      <c r="KJB196" s="84"/>
      <c r="KJC196" s="84"/>
      <c r="KJD196" s="84"/>
      <c r="KJE196" s="84"/>
      <c r="KJF196" s="84"/>
      <c r="KJG196" s="84"/>
      <c r="KJH196" s="84"/>
      <c r="KJI196" s="84"/>
      <c r="KJJ196" s="84"/>
      <c r="KJK196" s="84"/>
      <c r="KJL196" s="84"/>
      <c r="KJM196" s="84"/>
      <c r="KJN196" s="84"/>
      <c r="KJO196" s="84"/>
      <c r="KJP196" s="84"/>
      <c r="KJQ196" s="84"/>
      <c r="KJR196" s="84"/>
      <c r="KJS196" s="84"/>
      <c r="KJT196" s="84"/>
      <c r="KJU196" s="84"/>
      <c r="KJV196" s="84"/>
      <c r="KJW196" s="84"/>
      <c r="KJX196" s="84"/>
      <c r="KJY196" s="84"/>
      <c r="KJZ196" s="84"/>
      <c r="KKA196" s="84"/>
      <c r="KKB196" s="84"/>
      <c r="KKC196" s="84"/>
      <c r="KKD196" s="84"/>
      <c r="KKE196" s="84"/>
      <c r="KKF196" s="84"/>
      <c r="KKG196" s="84"/>
      <c r="KKH196" s="84"/>
      <c r="KKI196" s="84"/>
      <c r="KKJ196" s="84"/>
      <c r="KKK196" s="84"/>
      <c r="KKL196" s="84"/>
      <c r="KKM196" s="84"/>
      <c r="KKN196" s="84"/>
      <c r="KKO196" s="84"/>
      <c r="KKP196" s="84"/>
      <c r="KKQ196" s="84"/>
      <c r="KKR196" s="84"/>
      <c r="KKS196" s="84"/>
      <c r="KKT196" s="84"/>
      <c r="KKU196" s="84"/>
      <c r="KKV196" s="84"/>
      <c r="KKW196" s="84"/>
      <c r="KKX196" s="84"/>
      <c r="KKY196" s="84"/>
      <c r="KKZ196" s="84"/>
      <c r="KLA196" s="84"/>
      <c r="KLB196" s="84"/>
      <c r="KLC196" s="84"/>
      <c r="KLD196" s="84"/>
      <c r="KLE196" s="84"/>
      <c r="KLF196" s="84"/>
      <c r="KLG196" s="84"/>
      <c r="KLH196" s="84"/>
      <c r="KLI196" s="84"/>
      <c r="KLJ196" s="84"/>
      <c r="KLK196" s="84"/>
      <c r="KLL196" s="84"/>
      <c r="KLM196" s="84"/>
      <c r="KLN196" s="84"/>
      <c r="KLO196" s="84"/>
      <c r="KLP196" s="84"/>
      <c r="KLQ196" s="84"/>
      <c r="KLR196" s="84"/>
      <c r="KLS196" s="84"/>
      <c r="KLT196" s="84"/>
      <c r="KLU196" s="84"/>
      <c r="KLV196" s="84"/>
      <c r="KLW196" s="84"/>
      <c r="KLX196" s="84"/>
      <c r="KLY196" s="84"/>
      <c r="KLZ196" s="84"/>
      <c r="KMA196" s="84"/>
      <c r="KMB196" s="84"/>
      <c r="KMC196" s="84"/>
      <c r="KMD196" s="84"/>
      <c r="KME196" s="84"/>
      <c r="KMF196" s="84"/>
      <c r="KMG196" s="84"/>
      <c r="KMH196" s="84"/>
      <c r="KMI196" s="84"/>
      <c r="KMJ196" s="84"/>
      <c r="KMK196" s="84"/>
      <c r="KML196" s="84"/>
      <c r="KMM196" s="84"/>
      <c r="KMN196" s="84"/>
      <c r="KMO196" s="84"/>
      <c r="KMP196" s="84"/>
      <c r="KMQ196" s="84"/>
      <c r="KMR196" s="84"/>
      <c r="KMS196" s="84"/>
      <c r="KMT196" s="84"/>
      <c r="KMU196" s="84"/>
      <c r="KMV196" s="84"/>
      <c r="KMW196" s="84"/>
      <c r="KMX196" s="84"/>
      <c r="KMY196" s="84"/>
      <c r="KMZ196" s="84"/>
      <c r="KNA196" s="84"/>
      <c r="KNB196" s="84"/>
      <c r="KNC196" s="84"/>
      <c r="KND196" s="84"/>
      <c r="KNE196" s="84"/>
      <c r="KNF196" s="84"/>
      <c r="KNG196" s="84"/>
      <c r="KNH196" s="84"/>
      <c r="KNI196" s="84"/>
      <c r="KNJ196" s="84"/>
      <c r="KNK196" s="84"/>
      <c r="KNL196" s="84"/>
      <c r="KNM196" s="84"/>
      <c r="KNN196" s="84"/>
      <c r="KNO196" s="84"/>
      <c r="KNP196" s="84"/>
      <c r="KNQ196" s="84"/>
      <c r="KNR196" s="84"/>
      <c r="KNS196" s="84"/>
      <c r="KNT196" s="84"/>
      <c r="KNU196" s="84"/>
      <c r="KNV196" s="84"/>
      <c r="KNW196" s="84"/>
      <c r="KNX196" s="84"/>
      <c r="KNY196" s="84"/>
      <c r="KNZ196" s="84"/>
      <c r="KOA196" s="84"/>
      <c r="KOB196" s="84"/>
      <c r="KOC196" s="84"/>
      <c r="KOD196" s="84"/>
      <c r="KOE196" s="84"/>
      <c r="KOF196" s="84"/>
      <c r="KOG196" s="84"/>
      <c r="KOH196" s="84"/>
      <c r="KOI196" s="84"/>
      <c r="KOJ196" s="84"/>
      <c r="KOK196" s="84"/>
      <c r="KOL196" s="84"/>
      <c r="KOM196" s="84"/>
      <c r="KON196" s="84"/>
      <c r="KOO196" s="84"/>
      <c r="KOP196" s="84"/>
      <c r="KOQ196" s="84"/>
      <c r="KOR196" s="84"/>
      <c r="KOS196" s="84"/>
      <c r="KOT196" s="84"/>
      <c r="KOU196" s="84"/>
      <c r="KOV196" s="84"/>
      <c r="KOW196" s="84"/>
      <c r="KOX196" s="84"/>
      <c r="KOY196" s="84"/>
      <c r="KOZ196" s="84"/>
      <c r="KPA196" s="84"/>
      <c r="KPB196" s="84"/>
      <c r="KPC196" s="84"/>
      <c r="KPD196" s="84"/>
      <c r="KPE196" s="84"/>
      <c r="KPF196" s="84"/>
      <c r="KPG196" s="84"/>
      <c r="KPH196" s="84"/>
      <c r="KPI196" s="84"/>
      <c r="KPJ196" s="84"/>
      <c r="KPK196" s="84"/>
      <c r="KPL196" s="84"/>
      <c r="KPM196" s="84"/>
      <c r="KPN196" s="84"/>
      <c r="KPO196" s="84"/>
      <c r="KPP196" s="84"/>
      <c r="KPQ196" s="84"/>
      <c r="KPR196" s="84"/>
      <c r="KPS196" s="84"/>
      <c r="KPT196" s="84"/>
      <c r="KPU196" s="84"/>
      <c r="KPV196" s="84"/>
      <c r="KPW196" s="84"/>
      <c r="KPX196" s="84"/>
      <c r="KPY196" s="84"/>
      <c r="KPZ196" s="84"/>
      <c r="KQA196" s="84"/>
      <c r="KQB196" s="84"/>
      <c r="KQC196" s="84"/>
      <c r="KQD196" s="84"/>
      <c r="KQE196" s="84"/>
      <c r="KQF196" s="84"/>
      <c r="KQG196" s="84"/>
      <c r="KQH196" s="84"/>
      <c r="KQI196" s="84"/>
      <c r="KQJ196" s="84"/>
      <c r="KQK196" s="84"/>
      <c r="KQL196" s="84"/>
      <c r="KQM196" s="84"/>
      <c r="KQN196" s="84"/>
      <c r="KQO196" s="84"/>
      <c r="KQP196" s="84"/>
      <c r="KQQ196" s="84"/>
      <c r="KQR196" s="84"/>
      <c r="KQS196" s="84"/>
      <c r="KQT196" s="84"/>
      <c r="KQU196" s="84"/>
      <c r="KQV196" s="84"/>
      <c r="KQW196" s="84"/>
      <c r="KQX196" s="84"/>
      <c r="KQY196" s="84"/>
      <c r="KQZ196" s="84"/>
      <c r="KRA196" s="84"/>
      <c r="KRB196" s="84"/>
      <c r="KRC196" s="84"/>
      <c r="KRD196" s="84"/>
      <c r="KRE196" s="84"/>
      <c r="KRF196" s="84"/>
      <c r="KRG196" s="84"/>
      <c r="KRH196" s="84"/>
      <c r="KRI196" s="84"/>
      <c r="KRJ196" s="84"/>
      <c r="KRK196" s="84"/>
      <c r="KRL196" s="84"/>
      <c r="KRM196" s="84"/>
      <c r="KRN196" s="84"/>
      <c r="KRO196" s="84"/>
      <c r="KRP196" s="84"/>
      <c r="KRQ196" s="84"/>
      <c r="KRR196" s="84"/>
      <c r="KRS196" s="84"/>
      <c r="KRT196" s="84"/>
      <c r="KRU196" s="84"/>
      <c r="KRV196" s="84"/>
      <c r="KRW196" s="84"/>
      <c r="KRX196" s="84"/>
      <c r="KRY196" s="84"/>
      <c r="KRZ196" s="84"/>
      <c r="KSA196" s="84"/>
      <c r="KSB196" s="84"/>
      <c r="KSC196" s="84"/>
      <c r="KSD196" s="84"/>
      <c r="KSE196" s="84"/>
      <c r="KSF196" s="84"/>
      <c r="KSG196" s="84"/>
      <c r="KSH196" s="84"/>
      <c r="KSI196" s="84"/>
      <c r="KSJ196" s="84"/>
      <c r="KSK196" s="84"/>
      <c r="KSL196" s="84"/>
      <c r="KSM196" s="84"/>
      <c r="KSN196" s="84"/>
      <c r="KSO196" s="84"/>
      <c r="KSP196" s="84"/>
      <c r="KSQ196" s="84"/>
      <c r="KSR196" s="84"/>
      <c r="KSS196" s="84"/>
      <c r="KST196" s="84"/>
      <c r="KSU196" s="84"/>
      <c r="KSV196" s="84"/>
      <c r="KSW196" s="84"/>
      <c r="KSX196" s="84"/>
      <c r="KSY196" s="84"/>
      <c r="KSZ196" s="84"/>
      <c r="KTA196" s="84"/>
      <c r="KTB196" s="84"/>
      <c r="KTC196" s="84"/>
      <c r="KTD196" s="84"/>
      <c r="KTE196" s="84"/>
      <c r="KTF196" s="84"/>
      <c r="KTG196" s="84"/>
      <c r="KTH196" s="84"/>
      <c r="KTI196" s="84"/>
      <c r="KTJ196" s="84"/>
      <c r="KTK196" s="84"/>
      <c r="KTL196" s="84"/>
      <c r="KTM196" s="84"/>
      <c r="KTN196" s="84"/>
      <c r="KTO196" s="84"/>
      <c r="KTP196" s="84"/>
      <c r="KTQ196" s="84"/>
      <c r="KTR196" s="84"/>
      <c r="KTS196" s="84"/>
      <c r="KTT196" s="84"/>
      <c r="KTU196" s="84"/>
      <c r="KTV196" s="84"/>
      <c r="KTW196" s="84"/>
      <c r="KTX196" s="84"/>
      <c r="KTY196" s="84"/>
      <c r="KTZ196" s="84"/>
      <c r="KUA196" s="84"/>
      <c r="KUB196" s="84"/>
      <c r="KUC196" s="84"/>
      <c r="KUD196" s="84"/>
      <c r="KUE196" s="84"/>
      <c r="KUF196" s="84"/>
      <c r="KUG196" s="84"/>
      <c r="KUH196" s="84"/>
      <c r="KUI196" s="84"/>
      <c r="KUJ196" s="84"/>
      <c r="KUK196" s="84"/>
      <c r="KUL196" s="84"/>
      <c r="KUM196" s="84"/>
      <c r="KUN196" s="84"/>
      <c r="KUO196" s="84"/>
      <c r="KUP196" s="84"/>
      <c r="KUQ196" s="84"/>
      <c r="KUR196" s="84"/>
      <c r="KUS196" s="84"/>
      <c r="KUT196" s="84"/>
      <c r="KUU196" s="84"/>
      <c r="KUV196" s="84"/>
      <c r="KUW196" s="84"/>
      <c r="KUX196" s="84"/>
      <c r="KUY196" s="84"/>
      <c r="KUZ196" s="84"/>
      <c r="KVA196" s="84"/>
      <c r="KVB196" s="84"/>
      <c r="KVC196" s="84"/>
      <c r="KVD196" s="84"/>
      <c r="KVE196" s="84"/>
      <c r="KVF196" s="84"/>
      <c r="KVG196" s="84"/>
      <c r="KVH196" s="84"/>
      <c r="KVI196" s="84"/>
      <c r="KVJ196" s="84"/>
      <c r="KVK196" s="84"/>
      <c r="KVL196" s="84"/>
      <c r="KVM196" s="84"/>
      <c r="KVN196" s="84"/>
      <c r="KVO196" s="84"/>
      <c r="KVP196" s="84"/>
      <c r="KVQ196" s="84"/>
      <c r="KVR196" s="84"/>
      <c r="KVS196" s="84"/>
      <c r="KVT196" s="84"/>
      <c r="KVU196" s="84"/>
      <c r="KVV196" s="84"/>
      <c r="KVW196" s="84"/>
      <c r="KVX196" s="84"/>
      <c r="KVY196" s="84"/>
      <c r="KVZ196" s="84"/>
      <c r="KWA196" s="84"/>
      <c r="KWB196" s="84"/>
      <c r="KWC196" s="84"/>
      <c r="KWD196" s="84"/>
      <c r="KWE196" s="84"/>
      <c r="KWF196" s="84"/>
      <c r="KWG196" s="84"/>
      <c r="KWH196" s="84"/>
      <c r="KWI196" s="84"/>
      <c r="KWJ196" s="84"/>
      <c r="KWK196" s="84"/>
      <c r="KWL196" s="84"/>
      <c r="KWM196" s="84"/>
      <c r="KWN196" s="84"/>
      <c r="KWO196" s="84"/>
      <c r="KWP196" s="84"/>
      <c r="KWQ196" s="84"/>
      <c r="KWR196" s="84"/>
      <c r="KWS196" s="84"/>
      <c r="KWT196" s="84"/>
      <c r="KWU196" s="84"/>
      <c r="KWV196" s="84"/>
      <c r="KWW196" s="84"/>
      <c r="KWX196" s="84"/>
      <c r="KWY196" s="84"/>
      <c r="KWZ196" s="84"/>
      <c r="KXA196" s="84"/>
      <c r="KXB196" s="84"/>
      <c r="KXC196" s="84"/>
      <c r="KXD196" s="84"/>
      <c r="KXE196" s="84"/>
      <c r="KXF196" s="84"/>
      <c r="KXG196" s="84"/>
      <c r="KXH196" s="84"/>
      <c r="KXI196" s="84"/>
      <c r="KXJ196" s="84"/>
      <c r="KXK196" s="84"/>
      <c r="KXL196" s="84"/>
      <c r="KXM196" s="84"/>
      <c r="KXN196" s="84"/>
      <c r="KXO196" s="84"/>
      <c r="KXP196" s="84"/>
      <c r="KXQ196" s="84"/>
      <c r="KXR196" s="84"/>
      <c r="KXS196" s="84"/>
      <c r="KXT196" s="84"/>
      <c r="KXU196" s="84"/>
      <c r="KXV196" s="84"/>
      <c r="KXW196" s="84"/>
      <c r="KXX196" s="84"/>
      <c r="KXY196" s="84"/>
      <c r="KXZ196" s="84"/>
      <c r="KYA196" s="84"/>
      <c r="KYB196" s="84"/>
      <c r="KYC196" s="84"/>
      <c r="KYD196" s="84"/>
      <c r="KYE196" s="84"/>
      <c r="KYF196" s="84"/>
      <c r="KYG196" s="84"/>
      <c r="KYH196" s="84"/>
      <c r="KYI196" s="84"/>
      <c r="KYJ196" s="84"/>
      <c r="KYK196" s="84"/>
      <c r="KYL196" s="84"/>
      <c r="KYM196" s="84"/>
      <c r="KYN196" s="84"/>
      <c r="KYO196" s="84"/>
      <c r="KYP196" s="84"/>
      <c r="KYQ196" s="84"/>
      <c r="KYR196" s="84"/>
      <c r="KYS196" s="84"/>
      <c r="KYT196" s="84"/>
      <c r="KYU196" s="84"/>
      <c r="KYV196" s="84"/>
      <c r="KYW196" s="84"/>
      <c r="KYX196" s="84"/>
      <c r="KYY196" s="84"/>
      <c r="KYZ196" s="84"/>
      <c r="KZA196" s="84"/>
      <c r="KZB196" s="84"/>
      <c r="KZC196" s="84"/>
      <c r="KZD196" s="84"/>
      <c r="KZE196" s="84"/>
      <c r="KZF196" s="84"/>
      <c r="KZG196" s="84"/>
      <c r="KZH196" s="84"/>
      <c r="KZI196" s="84"/>
      <c r="KZJ196" s="84"/>
      <c r="KZK196" s="84"/>
      <c r="KZL196" s="84"/>
      <c r="KZM196" s="84"/>
      <c r="KZN196" s="84"/>
      <c r="KZO196" s="84"/>
      <c r="KZP196" s="84"/>
      <c r="KZQ196" s="84"/>
      <c r="KZR196" s="84"/>
      <c r="KZS196" s="84"/>
      <c r="KZT196" s="84"/>
      <c r="KZU196" s="84"/>
      <c r="KZV196" s="84"/>
      <c r="KZW196" s="84"/>
      <c r="KZX196" s="84"/>
      <c r="KZY196" s="84"/>
      <c r="KZZ196" s="84"/>
      <c r="LAA196" s="84"/>
      <c r="LAB196" s="84"/>
      <c r="LAC196" s="84"/>
      <c r="LAD196" s="84"/>
      <c r="LAE196" s="84"/>
      <c r="LAF196" s="84"/>
      <c r="LAG196" s="84"/>
      <c r="LAH196" s="84"/>
      <c r="LAI196" s="84"/>
      <c r="LAJ196" s="84"/>
      <c r="LAK196" s="84"/>
      <c r="LAL196" s="84"/>
      <c r="LAM196" s="84"/>
      <c r="LAN196" s="84"/>
      <c r="LAO196" s="84"/>
      <c r="LAP196" s="84"/>
      <c r="LAQ196" s="84"/>
      <c r="LAR196" s="84"/>
      <c r="LAS196" s="84"/>
      <c r="LAT196" s="84"/>
      <c r="LAU196" s="84"/>
      <c r="LAV196" s="84"/>
      <c r="LAW196" s="84"/>
      <c r="LAX196" s="84"/>
      <c r="LAY196" s="84"/>
      <c r="LAZ196" s="84"/>
      <c r="LBA196" s="84"/>
      <c r="LBB196" s="84"/>
      <c r="LBC196" s="84"/>
      <c r="LBD196" s="84"/>
      <c r="LBE196" s="84"/>
      <c r="LBF196" s="84"/>
      <c r="LBG196" s="84"/>
      <c r="LBH196" s="84"/>
      <c r="LBI196" s="84"/>
      <c r="LBJ196" s="84"/>
      <c r="LBK196" s="84"/>
      <c r="LBL196" s="84"/>
      <c r="LBM196" s="84"/>
      <c r="LBN196" s="84"/>
      <c r="LBO196" s="84"/>
      <c r="LBP196" s="84"/>
      <c r="LBQ196" s="84"/>
      <c r="LBR196" s="84"/>
      <c r="LBS196" s="84"/>
      <c r="LBT196" s="84"/>
      <c r="LBU196" s="84"/>
      <c r="LBV196" s="84"/>
      <c r="LBW196" s="84"/>
      <c r="LBX196" s="84"/>
      <c r="LBY196" s="84"/>
      <c r="LBZ196" s="84"/>
      <c r="LCA196" s="84"/>
      <c r="LCB196" s="84"/>
      <c r="LCC196" s="84"/>
      <c r="LCD196" s="84"/>
      <c r="LCE196" s="84"/>
      <c r="LCF196" s="84"/>
      <c r="LCG196" s="84"/>
      <c r="LCH196" s="84"/>
      <c r="LCI196" s="84"/>
      <c r="LCJ196" s="84"/>
      <c r="LCK196" s="84"/>
      <c r="LCL196" s="84"/>
      <c r="LCM196" s="84"/>
      <c r="LCN196" s="84"/>
      <c r="LCO196" s="84"/>
      <c r="LCP196" s="84"/>
      <c r="LCQ196" s="84"/>
      <c r="LCR196" s="84"/>
      <c r="LCS196" s="84"/>
      <c r="LCT196" s="84"/>
      <c r="LCU196" s="84"/>
      <c r="LCV196" s="84"/>
      <c r="LCW196" s="84"/>
      <c r="LCX196" s="84"/>
      <c r="LCY196" s="84"/>
      <c r="LCZ196" s="84"/>
      <c r="LDA196" s="84"/>
      <c r="LDB196" s="84"/>
      <c r="LDC196" s="84"/>
      <c r="LDD196" s="84"/>
      <c r="LDE196" s="84"/>
      <c r="LDF196" s="84"/>
      <c r="LDG196" s="84"/>
      <c r="LDH196" s="84"/>
      <c r="LDI196" s="84"/>
      <c r="LDJ196" s="84"/>
      <c r="LDK196" s="84"/>
      <c r="LDL196" s="84"/>
      <c r="LDM196" s="84"/>
      <c r="LDN196" s="84"/>
      <c r="LDO196" s="84"/>
      <c r="LDP196" s="84"/>
      <c r="LDQ196" s="84"/>
      <c r="LDR196" s="84"/>
      <c r="LDS196" s="84"/>
      <c r="LDT196" s="84"/>
      <c r="LDU196" s="84"/>
      <c r="LDV196" s="84"/>
      <c r="LDW196" s="84"/>
      <c r="LDX196" s="84"/>
      <c r="LDY196" s="84"/>
      <c r="LDZ196" s="84"/>
      <c r="LEA196" s="84"/>
      <c r="LEB196" s="84"/>
      <c r="LEC196" s="84"/>
      <c r="LED196" s="84"/>
      <c r="LEE196" s="84"/>
      <c r="LEF196" s="84"/>
      <c r="LEG196" s="84"/>
      <c r="LEH196" s="84"/>
      <c r="LEI196" s="84"/>
      <c r="LEJ196" s="84"/>
      <c r="LEK196" s="84"/>
      <c r="LEL196" s="84"/>
      <c r="LEM196" s="84"/>
      <c r="LEN196" s="84"/>
      <c r="LEO196" s="84"/>
      <c r="LEP196" s="84"/>
      <c r="LEQ196" s="84"/>
      <c r="LER196" s="84"/>
      <c r="LES196" s="84"/>
      <c r="LET196" s="84"/>
      <c r="LEU196" s="84"/>
      <c r="LEV196" s="84"/>
      <c r="LEW196" s="84"/>
      <c r="LEX196" s="84"/>
      <c r="LEY196" s="84"/>
      <c r="LEZ196" s="84"/>
      <c r="LFA196" s="84"/>
      <c r="LFB196" s="84"/>
      <c r="LFC196" s="84"/>
      <c r="LFD196" s="84"/>
      <c r="LFE196" s="84"/>
      <c r="LFF196" s="84"/>
      <c r="LFG196" s="84"/>
      <c r="LFH196" s="84"/>
      <c r="LFI196" s="84"/>
      <c r="LFJ196" s="84"/>
      <c r="LFK196" s="84"/>
      <c r="LFL196" s="84"/>
      <c r="LFM196" s="84"/>
      <c r="LFN196" s="84"/>
      <c r="LFO196" s="84"/>
      <c r="LFP196" s="84"/>
      <c r="LFQ196" s="84"/>
      <c r="LFR196" s="84"/>
      <c r="LFS196" s="84"/>
      <c r="LFT196" s="84"/>
      <c r="LFU196" s="84"/>
      <c r="LFV196" s="84"/>
      <c r="LFW196" s="84"/>
      <c r="LFX196" s="84"/>
      <c r="LFY196" s="84"/>
      <c r="LFZ196" s="84"/>
      <c r="LGA196" s="84"/>
      <c r="LGB196" s="84"/>
      <c r="LGC196" s="84"/>
      <c r="LGD196" s="84"/>
      <c r="LGE196" s="84"/>
      <c r="LGF196" s="84"/>
      <c r="LGG196" s="84"/>
      <c r="LGH196" s="84"/>
      <c r="LGI196" s="84"/>
      <c r="LGJ196" s="84"/>
      <c r="LGK196" s="84"/>
      <c r="LGL196" s="84"/>
      <c r="LGM196" s="84"/>
      <c r="LGN196" s="84"/>
      <c r="LGO196" s="84"/>
      <c r="LGP196" s="84"/>
      <c r="LGQ196" s="84"/>
      <c r="LGR196" s="84"/>
      <c r="LGS196" s="84"/>
      <c r="LGT196" s="84"/>
      <c r="LGU196" s="84"/>
      <c r="LGV196" s="84"/>
      <c r="LGW196" s="84"/>
      <c r="LGX196" s="84"/>
      <c r="LGY196" s="84"/>
      <c r="LGZ196" s="84"/>
      <c r="LHA196" s="84"/>
      <c r="LHB196" s="84"/>
      <c r="LHC196" s="84"/>
      <c r="LHD196" s="84"/>
      <c r="LHE196" s="84"/>
      <c r="LHF196" s="84"/>
      <c r="LHG196" s="84"/>
      <c r="LHH196" s="84"/>
      <c r="LHI196" s="84"/>
      <c r="LHJ196" s="84"/>
      <c r="LHK196" s="84"/>
      <c r="LHL196" s="84"/>
      <c r="LHM196" s="84"/>
      <c r="LHN196" s="84"/>
      <c r="LHO196" s="84"/>
      <c r="LHP196" s="84"/>
      <c r="LHQ196" s="84"/>
      <c r="LHR196" s="84"/>
      <c r="LHS196" s="84"/>
      <c r="LHT196" s="84"/>
      <c r="LHU196" s="84"/>
      <c r="LHV196" s="84"/>
      <c r="LHW196" s="84"/>
      <c r="LHX196" s="84"/>
      <c r="LHY196" s="84"/>
      <c r="LHZ196" s="84"/>
      <c r="LIA196" s="84"/>
      <c r="LIB196" s="84"/>
      <c r="LIC196" s="84"/>
      <c r="LID196" s="84"/>
      <c r="LIE196" s="84"/>
      <c r="LIF196" s="84"/>
      <c r="LIG196" s="84"/>
      <c r="LIH196" s="84"/>
      <c r="LII196" s="84"/>
      <c r="LIJ196" s="84"/>
      <c r="LIK196" s="84"/>
      <c r="LIL196" s="84"/>
      <c r="LIM196" s="84"/>
      <c r="LIN196" s="84"/>
      <c r="LIO196" s="84"/>
      <c r="LIP196" s="84"/>
      <c r="LIQ196" s="84"/>
      <c r="LIR196" s="84"/>
      <c r="LIS196" s="84"/>
      <c r="LIT196" s="84"/>
      <c r="LIU196" s="84"/>
      <c r="LIV196" s="84"/>
      <c r="LIW196" s="84"/>
      <c r="LIX196" s="84"/>
      <c r="LIY196" s="84"/>
      <c r="LIZ196" s="84"/>
      <c r="LJA196" s="84"/>
      <c r="LJB196" s="84"/>
      <c r="LJC196" s="84"/>
      <c r="LJD196" s="84"/>
      <c r="LJE196" s="84"/>
      <c r="LJF196" s="84"/>
      <c r="LJG196" s="84"/>
      <c r="LJH196" s="84"/>
      <c r="LJI196" s="84"/>
      <c r="LJJ196" s="84"/>
      <c r="LJK196" s="84"/>
      <c r="LJL196" s="84"/>
      <c r="LJM196" s="84"/>
      <c r="LJN196" s="84"/>
      <c r="LJO196" s="84"/>
      <c r="LJP196" s="84"/>
      <c r="LJQ196" s="84"/>
      <c r="LJR196" s="84"/>
      <c r="LJS196" s="84"/>
      <c r="LJT196" s="84"/>
      <c r="LJU196" s="84"/>
      <c r="LJV196" s="84"/>
      <c r="LJW196" s="84"/>
      <c r="LJX196" s="84"/>
      <c r="LJY196" s="84"/>
      <c r="LJZ196" s="84"/>
      <c r="LKA196" s="84"/>
      <c r="LKB196" s="84"/>
      <c r="LKC196" s="84"/>
      <c r="LKD196" s="84"/>
      <c r="LKE196" s="84"/>
      <c r="LKF196" s="84"/>
      <c r="LKG196" s="84"/>
      <c r="LKH196" s="84"/>
      <c r="LKI196" s="84"/>
      <c r="LKJ196" s="84"/>
      <c r="LKK196" s="84"/>
      <c r="LKL196" s="84"/>
      <c r="LKM196" s="84"/>
      <c r="LKN196" s="84"/>
      <c r="LKO196" s="84"/>
      <c r="LKP196" s="84"/>
      <c r="LKQ196" s="84"/>
      <c r="LKR196" s="84"/>
      <c r="LKS196" s="84"/>
      <c r="LKT196" s="84"/>
      <c r="LKU196" s="84"/>
      <c r="LKV196" s="84"/>
      <c r="LKW196" s="84"/>
      <c r="LKX196" s="84"/>
      <c r="LKY196" s="84"/>
      <c r="LKZ196" s="84"/>
      <c r="LLA196" s="84"/>
      <c r="LLB196" s="84"/>
      <c r="LLC196" s="84"/>
      <c r="LLD196" s="84"/>
      <c r="LLE196" s="84"/>
      <c r="LLF196" s="84"/>
      <c r="LLG196" s="84"/>
      <c r="LLH196" s="84"/>
      <c r="LLI196" s="84"/>
      <c r="LLJ196" s="84"/>
      <c r="LLK196" s="84"/>
      <c r="LLL196" s="84"/>
      <c r="LLM196" s="84"/>
      <c r="LLN196" s="84"/>
      <c r="LLO196" s="84"/>
      <c r="LLP196" s="84"/>
      <c r="LLQ196" s="84"/>
      <c r="LLR196" s="84"/>
      <c r="LLS196" s="84"/>
      <c r="LLT196" s="84"/>
      <c r="LLU196" s="84"/>
      <c r="LLV196" s="84"/>
      <c r="LLW196" s="84"/>
      <c r="LLX196" s="84"/>
      <c r="LLY196" s="84"/>
      <c r="LLZ196" s="84"/>
      <c r="LMA196" s="84"/>
      <c r="LMB196" s="84"/>
      <c r="LMC196" s="84"/>
      <c r="LMD196" s="84"/>
      <c r="LME196" s="84"/>
      <c r="LMF196" s="84"/>
      <c r="LMG196" s="84"/>
      <c r="LMH196" s="84"/>
      <c r="LMI196" s="84"/>
      <c r="LMJ196" s="84"/>
      <c r="LMK196" s="84"/>
      <c r="LML196" s="84"/>
      <c r="LMM196" s="84"/>
      <c r="LMN196" s="84"/>
      <c r="LMO196" s="84"/>
      <c r="LMP196" s="84"/>
      <c r="LMQ196" s="84"/>
      <c r="LMR196" s="84"/>
      <c r="LMS196" s="84"/>
      <c r="LMT196" s="84"/>
      <c r="LMU196" s="84"/>
      <c r="LMV196" s="84"/>
      <c r="LMW196" s="84"/>
      <c r="LMX196" s="84"/>
      <c r="LMY196" s="84"/>
      <c r="LMZ196" s="84"/>
      <c r="LNA196" s="84"/>
      <c r="LNB196" s="84"/>
      <c r="LNC196" s="84"/>
      <c r="LND196" s="84"/>
      <c r="LNE196" s="84"/>
      <c r="LNF196" s="84"/>
      <c r="LNG196" s="84"/>
      <c r="LNH196" s="84"/>
      <c r="LNI196" s="84"/>
      <c r="LNJ196" s="84"/>
      <c r="LNK196" s="84"/>
      <c r="LNL196" s="84"/>
      <c r="LNM196" s="84"/>
      <c r="LNN196" s="84"/>
      <c r="LNO196" s="84"/>
      <c r="LNP196" s="84"/>
      <c r="LNQ196" s="84"/>
      <c r="LNR196" s="84"/>
      <c r="LNS196" s="84"/>
      <c r="LNT196" s="84"/>
      <c r="LNU196" s="84"/>
      <c r="LNV196" s="84"/>
      <c r="LNW196" s="84"/>
      <c r="LNX196" s="84"/>
      <c r="LNY196" s="84"/>
      <c r="LNZ196" s="84"/>
      <c r="LOA196" s="84"/>
      <c r="LOB196" s="84"/>
      <c r="LOC196" s="84"/>
      <c r="LOD196" s="84"/>
      <c r="LOE196" s="84"/>
      <c r="LOF196" s="84"/>
      <c r="LOG196" s="84"/>
      <c r="LOH196" s="84"/>
      <c r="LOI196" s="84"/>
      <c r="LOJ196" s="84"/>
      <c r="LOK196" s="84"/>
      <c r="LOL196" s="84"/>
      <c r="LOM196" s="84"/>
      <c r="LON196" s="84"/>
      <c r="LOO196" s="84"/>
      <c r="LOP196" s="84"/>
      <c r="LOQ196" s="84"/>
      <c r="LOR196" s="84"/>
      <c r="LOS196" s="84"/>
      <c r="LOT196" s="84"/>
      <c r="LOU196" s="84"/>
      <c r="LOV196" s="84"/>
      <c r="LOW196" s="84"/>
      <c r="LOX196" s="84"/>
      <c r="LOY196" s="84"/>
      <c r="LOZ196" s="84"/>
      <c r="LPA196" s="84"/>
      <c r="LPB196" s="84"/>
      <c r="LPC196" s="84"/>
      <c r="LPD196" s="84"/>
      <c r="LPE196" s="84"/>
      <c r="LPF196" s="84"/>
      <c r="LPG196" s="84"/>
      <c r="LPH196" s="84"/>
      <c r="LPI196" s="84"/>
      <c r="LPJ196" s="84"/>
      <c r="LPK196" s="84"/>
      <c r="LPL196" s="84"/>
      <c r="LPM196" s="84"/>
      <c r="LPN196" s="84"/>
      <c r="LPO196" s="84"/>
      <c r="LPP196" s="84"/>
      <c r="LPQ196" s="84"/>
      <c r="LPR196" s="84"/>
      <c r="LPS196" s="84"/>
      <c r="LPT196" s="84"/>
      <c r="LPU196" s="84"/>
      <c r="LPV196" s="84"/>
      <c r="LPW196" s="84"/>
      <c r="LPX196" s="84"/>
      <c r="LPY196" s="84"/>
      <c r="LPZ196" s="84"/>
      <c r="LQA196" s="84"/>
      <c r="LQB196" s="84"/>
      <c r="LQC196" s="84"/>
      <c r="LQD196" s="84"/>
      <c r="LQE196" s="84"/>
      <c r="LQF196" s="84"/>
      <c r="LQG196" s="84"/>
      <c r="LQH196" s="84"/>
      <c r="LQI196" s="84"/>
      <c r="LQJ196" s="84"/>
      <c r="LQK196" s="84"/>
      <c r="LQL196" s="84"/>
      <c r="LQM196" s="84"/>
      <c r="LQN196" s="84"/>
      <c r="LQO196" s="84"/>
      <c r="LQP196" s="84"/>
      <c r="LQQ196" s="84"/>
      <c r="LQR196" s="84"/>
      <c r="LQS196" s="84"/>
      <c r="LQT196" s="84"/>
      <c r="LQU196" s="84"/>
      <c r="LQV196" s="84"/>
      <c r="LQW196" s="84"/>
      <c r="LQX196" s="84"/>
      <c r="LQY196" s="84"/>
      <c r="LQZ196" s="84"/>
      <c r="LRA196" s="84"/>
      <c r="LRB196" s="84"/>
      <c r="LRC196" s="84"/>
      <c r="LRD196" s="84"/>
      <c r="LRE196" s="84"/>
      <c r="LRF196" s="84"/>
      <c r="LRG196" s="84"/>
      <c r="LRH196" s="84"/>
      <c r="LRI196" s="84"/>
      <c r="LRJ196" s="84"/>
      <c r="LRK196" s="84"/>
      <c r="LRL196" s="84"/>
      <c r="LRM196" s="84"/>
      <c r="LRN196" s="84"/>
      <c r="LRO196" s="84"/>
      <c r="LRP196" s="84"/>
      <c r="LRQ196" s="84"/>
      <c r="LRR196" s="84"/>
      <c r="LRS196" s="84"/>
      <c r="LRT196" s="84"/>
      <c r="LRU196" s="84"/>
      <c r="LRV196" s="84"/>
      <c r="LRW196" s="84"/>
      <c r="LRX196" s="84"/>
      <c r="LRY196" s="84"/>
      <c r="LRZ196" s="84"/>
      <c r="LSA196" s="84"/>
      <c r="LSB196" s="84"/>
      <c r="LSC196" s="84"/>
      <c r="LSD196" s="84"/>
      <c r="LSE196" s="84"/>
      <c r="LSF196" s="84"/>
      <c r="LSG196" s="84"/>
      <c r="LSH196" s="84"/>
      <c r="LSI196" s="84"/>
      <c r="LSJ196" s="84"/>
      <c r="LSK196" s="84"/>
      <c r="LSL196" s="84"/>
      <c r="LSM196" s="84"/>
      <c r="LSN196" s="84"/>
      <c r="LSO196" s="84"/>
      <c r="LSP196" s="84"/>
      <c r="LSQ196" s="84"/>
      <c r="LSR196" s="84"/>
      <c r="LSS196" s="84"/>
      <c r="LST196" s="84"/>
      <c r="LSU196" s="84"/>
      <c r="LSV196" s="84"/>
      <c r="LSW196" s="84"/>
      <c r="LSX196" s="84"/>
      <c r="LSY196" s="84"/>
      <c r="LSZ196" s="84"/>
      <c r="LTA196" s="84"/>
      <c r="LTB196" s="84"/>
      <c r="LTC196" s="84"/>
      <c r="LTD196" s="84"/>
      <c r="LTE196" s="84"/>
      <c r="LTF196" s="84"/>
      <c r="LTG196" s="84"/>
      <c r="LTH196" s="84"/>
      <c r="LTI196" s="84"/>
      <c r="LTJ196" s="84"/>
      <c r="LTK196" s="84"/>
      <c r="LTL196" s="84"/>
      <c r="LTM196" s="84"/>
      <c r="LTN196" s="84"/>
      <c r="LTO196" s="84"/>
      <c r="LTP196" s="84"/>
      <c r="LTQ196" s="84"/>
      <c r="LTR196" s="84"/>
      <c r="LTS196" s="84"/>
      <c r="LTT196" s="84"/>
      <c r="LTU196" s="84"/>
      <c r="LTV196" s="84"/>
      <c r="LTW196" s="84"/>
      <c r="LTX196" s="84"/>
      <c r="LTY196" s="84"/>
      <c r="LTZ196" s="84"/>
      <c r="LUA196" s="84"/>
      <c r="LUB196" s="84"/>
      <c r="LUC196" s="84"/>
      <c r="LUD196" s="84"/>
      <c r="LUE196" s="84"/>
      <c r="LUF196" s="84"/>
      <c r="LUG196" s="84"/>
      <c r="LUH196" s="84"/>
      <c r="LUI196" s="84"/>
      <c r="LUJ196" s="84"/>
      <c r="LUK196" s="84"/>
      <c r="LUL196" s="84"/>
      <c r="LUM196" s="84"/>
      <c r="LUN196" s="84"/>
      <c r="LUO196" s="84"/>
      <c r="LUP196" s="84"/>
      <c r="LUQ196" s="84"/>
      <c r="LUR196" s="84"/>
      <c r="LUS196" s="84"/>
      <c r="LUT196" s="84"/>
      <c r="LUU196" s="84"/>
      <c r="LUV196" s="84"/>
      <c r="LUW196" s="84"/>
      <c r="LUX196" s="84"/>
      <c r="LUY196" s="84"/>
      <c r="LUZ196" s="84"/>
      <c r="LVA196" s="84"/>
      <c r="LVB196" s="84"/>
      <c r="LVC196" s="84"/>
      <c r="LVD196" s="84"/>
      <c r="LVE196" s="84"/>
      <c r="LVF196" s="84"/>
      <c r="LVG196" s="84"/>
      <c r="LVH196" s="84"/>
      <c r="LVI196" s="84"/>
      <c r="LVJ196" s="84"/>
      <c r="LVK196" s="84"/>
      <c r="LVL196" s="84"/>
      <c r="LVM196" s="84"/>
      <c r="LVN196" s="84"/>
      <c r="LVO196" s="84"/>
      <c r="LVP196" s="84"/>
      <c r="LVQ196" s="84"/>
      <c r="LVR196" s="84"/>
      <c r="LVS196" s="84"/>
      <c r="LVT196" s="84"/>
      <c r="LVU196" s="84"/>
      <c r="LVV196" s="84"/>
      <c r="LVW196" s="84"/>
      <c r="LVX196" s="84"/>
      <c r="LVY196" s="84"/>
      <c r="LVZ196" s="84"/>
      <c r="LWA196" s="84"/>
      <c r="LWB196" s="84"/>
      <c r="LWC196" s="84"/>
      <c r="LWD196" s="84"/>
      <c r="LWE196" s="84"/>
      <c r="LWF196" s="84"/>
      <c r="LWG196" s="84"/>
      <c r="LWH196" s="84"/>
      <c r="LWI196" s="84"/>
      <c r="LWJ196" s="84"/>
      <c r="LWK196" s="84"/>
      <c r="LWL196" s="84"/>
      <c r="LWM196" s="84"/>
      <c r="LWN196" s="84"/>
      <c r="LWO196" s="84"/>
      <c r="LWP196" s="84"/>
      <c r="LWQ196" s="84"/>
      <c r="LWR196" s="84"/>
      <c r="LWS196" s="84"/>
      <c r="LWT196" s="84"/>
      <c r="LWU196" s="84"/>
      <c r="LWV196" s="84"/>
      <c r="LWW196" s="84"/>
      <c r="LWX196" s="84"/>
      <c r="LWY196" s="84"/>
      <c r="LWZ196" s="84"/>
      <c r="LXA196" s="84"/>
      <c r="LXB196" s="84"/>
      <c r="LXC196" s="84"/>
      <c r="LXD196" s="84"/>
      <c r="LXE196" s="84"/>
      <c r="LXF196" s="84"/>
      <c r="LXG196" s="84"/>
      <c r="LXH196" s="84"/>
      <c r="LXI196" s="84"/>
      <c r="LXJ196" s="84"/>
      <c r="LXK196" s="84"/>
      <c r="LXL196" s="84"/>
      <c r="LXM196" s="84"/>
      <c r="LXN196" s="84"/>
      <c r="LXO196" s="84"/>
      <c r="LXP196" s="84"/>
      <c r="LXQ196" s="84"/>
      <c r="LXR196" s="84"/>
      <c r="LXS196" s="84"/>
      <c r="LXT196" s="84"/>
      <c r="LXU196" s="84"/>
      <c r="LXV196" s="84"/>
      <c r="LXW196" s="84"/>
      <c r="LXX196" s="84"/>
      <c r="LXY196" s="84"/>
      <c r="LXZ196" s="84"/>
      <c r="LYA196" s="84"/>
      <c r="LYB196" s="84"/>
      <c r="LYC196" s="84"/>
      <c r="LYD196" s="84"/>
      <c r="LYE196" s="84"/>
      <c r="LYF196" s="84"/>
      <c r="LYG196" s="84"/>
      <c r="LYH196" s="84"/>
      <c r="LYI196" s="84"/>
      <c r="LYJ196" s="84"/>
      <c r="LYK196" s="84"/>
      <c r="LYL196" s="84"/>
      <c r="LYM196" s="84"/>
      <c r="LYN196" s="84"/>
      <c r="LYO196" s="84"/>
      <c r="LYP196" s="84"/>
      <c r="LYQ196" s="84"/>
      <c r="LYR196" s="84"/>
      <c r="LYS196" s="84"/>
      <c r="LYT196" s="84"/>
      <c r="LYU196" s="84"/>
      <c r="LYV196" s="84"/>
      <c r="LYW196" s="84"/>
      <c r="LYX196" s="84"/>
      <c r="LYY196" s="84"/>
      <c r="LYZ196" s="84"/>
      <c r="LZA196" s="84"/>
      <c r="LZB196" s="84"/>
      <c r="LZC196" s="84"/>
      <c r="LZD196" s="84"/>
      <c r="LZE196" s="84"/>
      <c r="LZF196" s="84"/>
      <c r="LZG196" s="84"/>
      <c r="LZH196" s="84"/>
      <c r="LZI196" s="84"/>
      <c r="LZJ196" s="84"/>
      <c r="LZK196" s="84"/>
      <c r="LZL196" s="84"/>
      <c r="LZM196" s="84"/>
      <c r="LZN196" s="84"/>
      <c r="LZO196" s="84"/>
      <c r="LZP196" s="84"/>
      <c r="LZQ196" s="84"/>
      <c r="LZR196" s="84"/>
      <c r="LZS196" s="84"/>
      <c r="LZT196" s="84"/>
      <c r="LZU196" s="84"/>
      <c r="LZV196" s="84"/>
      <c r="LZW196" s="84"/>
      <c r="LZX196" s="84"/>
      <c r="LZY196" s="84"/>
      <c r="LZZ196" s="84"/>
      <c r="MAA196" s="84"/>
      <c r="MAB196" s="84"/>
      <c r="MAC196" s="84"/>
      <c r="MAD196" s="84"/>
      <c r="MAE196" s="84"/>
      <c r="MAF196" s="84"/>
      <c r="MAG196" s="84"/>
      <c r="MAH196" s="84"/>
      <c r="MAI196" s="84"/>
      <c r="MAJ196" s="84"/>
      <c r="MAK196" s="84"/>
      <c r="MAL196" s="84"/>
      <c r="MAM196" s="84"/>
      <c r="MAN196" s="84"/>
      <c r="MAO196" s="84"/>
      <c r="MAP196" s="84"/>
      <c r="MAQ196" s="84"/>
      <c r="MAR196" s="84"/>
      <c r="MAS196" s="84"/>
      <c r="MAT196" s="84"/>
      <c r="MAU196" s="84"/>
      <c r="MAV196" s="84"/>
      <c r="MAW196" s="84"/>
      <c r="MAX196" s="84"/>
      <c r="MAY196" s="84"/>
      <c r="MAZ196" s="84"/>
      <c r="MBA196" s="84"/>
      <c r="MBB196" s="84"/>
      <c r="MBC196" s="84"/>
      <c r="MBD196" s="84"/>
      <c r="MBE196" s="84"/>
      <c r="MBF196" s="84"/>
      <c r="MBG196" s="84"/>
      <c r="MBH196" s="84"/>
      <c r="MBI196" s="84"/>
      <c r="MBJ196" s="84"/>
      <c r="MBK196" s="84"/>
      <c r="MBL196" s="84"/>
      <c r="MBM196" s="84"/>
      <c r="MBN196" s="84"/>
      <c r="MBO196" s="84"/>
      <c r="MBP196" s="84"/>
      <c r="MBQ196" s="84"/>
      <c r="MBR196" s="84"/>
      <c r="MBS196" s="84"/>
      <c r="MBT196" s="84"/>
      <c r="MBU196" s="84"/>
      <c r="MBV196" s="84"/>
      <c r="MBW196" s="84"/>
      <c r="MBX196" s="84"/>
      <c r="MBY196" s="84"/>
      <c r="MBZ196" s="84"/>
      <c r="MCA196" s="84"/>
      <c r="MCB196" s="84"/>
      <c r="MCC196" s="84"/>
      <c r="MCD196" s="84"/>
      <c r="MCE196" s="84"/>
      <c r="MCF196" s="84"/>
      <c r="MCG196" s="84"/>
      <c r="MCH196" s="84"/>
      <c r="MCI196" s="84"/>
      <c r="MCJ196" s="84"/>
      <c r="MCK196" s="84"/>
      <c r="MCL196" s="84"/>
      <c r="MCM196" s="84"/>
      <c r="MCN196" s="84"/>
      <c r="MCO196" s="84"/>
      <c r="MCP196" s="84"/>
      <c r="MCQ196" s="84"/>
      <c r="MCR196" s="84"/>
      <c r="MCS196" s="84"/>
      <c r="MCT196" s="84"/>
      <c r="MCU196" s="84"/>
      <c r="MCV196" s="84"/>
      <c r="MCW196" s="84"/>
      <c r="MCX196" s="84"/>
      <c r="MCY196" s="84"/>
      <c r="MCZ196" s="84"/>
      <c r="MDA196" s="84"/>
      <c r="MDB196" s="84"/>
      <c r="MDC196" s="84"/>
      <c r="MDD196" s="84"/>
      <c r="MDE196" s="84"/>
      <c r="MDF196" s="84"/>
      <c r="MDG196" s="84"/>
      <c r="MDH196" s="84"/>
      <c r="MDI196" s="84"/>
      <c r="MDJ196" s="84"/>
      <c r="MDK196" s="84"/>
      <c r="MDL196" s="84"/>
      <c r="MDM196" s="84"/>
      <c r="MDN196" s="84"/>
      <c r="MDO196" s="84"/>
      <c r="MDP196" s="84"/>
      <c r="MDQ196" s="84"/>
      <c r="MDR196" s="84"/>
      <c r="MDS196" s="84"/>
      <c r="MDT196" s="84"/>
      <c r="MDU196" s="84"/>
      <c r="MDV196" s="84"/>
      <c r="MDW196" s="84"/>
      <c r="MDX196" s="84"/>
      <c r="MDY196" s="84"/>
      <c r="MDZ196" s="84"/>
      <c r="MEA196" s="84"/>
      <c r="MEB196" s="84"/>
      <c r="MEC196" s="84"/>
      <c r="MED196" s="84"/>
      <c r="MEE196" s="84"/>
      <c r="MEF196" s="84"/>
      <c r="MEG196" s="84"/>
      <c r="MEH196" s="84"/>
      <c r="MEI196" s="84"/>
      <c r="MEJ196" s="84"/>
      <c r="MEK196" s="84"/>
      <c r="MEL196" s="84"/>
      <c r="MEM196" s="84"/>
      <c r="MEN196" s="84"/>
      <c r="MEO196" s="84"/>
      <c r="MEP196" s="84"/>
      <c r="MEQ196" s="84"/>
      <c r="MER196" s="84"/>
      <c r="MES196" s="84"/>
      <c r="MET196" s="84"/>
      <c r="MEU196" s="84"/>
      <c r="MEV196" s="84"/>
      <c r="MEW196" s="84"/>
      <c r="MEX196" s="84"/>
      <c r="MEY196" s="84"/>
      <c r="MEZ196" s="84"/>
      <c r="MFA196" s="84"/>
      <c r="MFB196" s="84"/>
      <c r="MFC196" s="84"/>
      <c r="MFD196" s="84"/>
      <c r="MFE196" s="84"/>
      <c r="MFF196" s="84"/>
      <c r="MFG196" s="84"/>
      <c r="MFH196" s="84"/>
      <c r="MFI196" s="84"/>
      <c r="MFJ196" s="84"/>
      <c r="MFK196" s="84"/>
      <c r="MFL196" s="84"/>
      <c r="MFM196" s="84"/>
      <c r="MFN196" s="84"/>
      <c r="MFO196" s="84"/>
      <c r="MFP196" s="84"/>
      <c r="MFQ196" s="84"/>
      <c r="MFR196" s="84"/>
      <c r="MFS196" s="84"/>
      <c r="MFT196" s="84"/>
      <c r="MFU196" s="84"/>
      <c r="MFV196" s="84"/>
      <c r="MFW196" s="84"/>
      <c r="MFX196" s="84"/>
      <c r="MFY196" s="84"/>
      <c r="MFZ196" s="84"/>
      <c r="MGA196" s="84"/>
      <c r="MGB196" s="84"/>
      <c r="MGC196" s="84"/>
      <c r="MGD196" s="84"/>
      <c r="MGE196" s="84"/>
      <c r="MGF196" s="84"/>
      <c r="MGG196" s="84"/>
      <c r="MGH196" s="84"/>
      <c r="MGI196" s="84"/>
      <c r="MGJ196" s="84"/>
      <c r="MGK196" s="84"/>
      <c r="MGL196" s="84"/>
      <c r="MGM196" s="84"/>
      <c r="MGN196" s="84"/>
      <c r="MGO196" s="84"/>
      <c r="MGP196" s="84"/>
      <c r="MGQ196" s="84"/>
      <c r="MGR196" s="84"/>
      <c r="MGS196" s="84"/>
      <c r="MGT196" s="84"/>
      <c r="MGU196" s="84"/>
      <c r="MGV196" s="84"/>
      <c r="MGW196" s="84"/>
      <c r="MGX196" s="84"/>
      <c r="MGY196" s="84"/>
      <c r="MGZ196" s="84"/>
      <c r="MHA196" s="84"/>
      <c r="MHB196" s="84"/>
      <c r="MHC196" s="84"/>
      <c r="MHD196" s="84"/>
      <c r="MHE196" s="84"/>
      <c r="MHF196" s="84"/>
      <c r="MHG196" s="84"/>
      <c r="MHH196" s="84"/>
      <c r="MHI196" s="84"/>
      <c r="MHJ196" s="84"/>
      <c r="MHK196" s="84"/>
      <c r="MHL196" s="84"/>
      <c r="MHM196" s="84"/>
      <c r="MHN196" s="84"/>
      <c r="MHO196" s="84"/>
      <c r="MHP196" s="84"/>
      <c r="MHQ196" s="84"/>
      <c r="MHR196" s="84"/>
      <c r="MHS196" s="84"/>
      <c r="MHT196" s="84"/>
      <c r="MHU196" s="84"/>
      <c r="MHV196" s="84"/>
      <c r="MHW196" s="84"/>
      <c r="MHX196" s="84"/>
      <c r="MHY196" s="84"/>
      <c r="MHZ196" s="84"/>
      <c r="MIA196" s="84"/>
      <c r="MIB196" s="84"/>
      <c r="MIC196" s="84"/>
      <c r="MID196" s="84"/>
      <c r="MIE196" s="84"/>
      <c r="MIF196" s="84"/>
      <c r="MIG196" s="84"/>
      <c r="MIH196" s="84"/>
      <c r="MII196" s="84"/>
      <c r="MIJ196" s="84"/>
      <c r="MIK196" s="84"/>
      <c r="MIL196" s="84"/>
      <c r="MIM196" s="84"/>
      <c r="MIN196" s="84"/>
      <c r="MIO196" s="84"/>
      <c r="MIP196" s="84"/>
      <c r="MIQ196" s="84"/>
      <c r="MIR196" s="84"/>
      <c r="MIS196" s="84"/>
      <c r="MIT196" s="84"/>
      <c r="MIU196" s="84"/>
      <c r="MIV196" s="84"/>
      <c r="MIW196" s="84"/>
      <c r="MIX196" s="84"/>
      <c r="MIY196" s="84"/>
      <c r="MIZ196" s="84"/>
      <c r="MJA196" s="84"/>
      <c r="MJB196" s="84"/>
      <c r="MJC196" s="84"/>
      <c r="MJD196" s="84"/>
      <c r="MJE196" s="84"/>
      <c r="MJF196" s="84"/>
      <c r="MJG196" s="84"/>
      <c r="MJH196" s="84"/>
      <c r="MJI196" s="84"/>
      <c r="MJJ196" s="84"/>
      <c r="MJK196" s="84"/>
      <c r="MJL196" s="84"/>
      <c r="MJM196" s="84"/>
      <c r="MJN196" s="84"/>
      <c r="MJO196" s="84"/>
      <c r="MJP196" s="84"/>
      <c r="MJQ196" s="84"/>
      <c r="MJR196" s="84"/>
      <c r="MJS196" s="84"/>
      <c r="MJT196" s="84"/>
      <c r="MJU196" s="84"/>
      <c r="MJV196" s="84"/>
      <c r="MJW196" s="84"/>
      <c r="MJX196" s="84"/>
      <c r="MJY196" s="84"/>
      <c r="MJZ196" s="84"/>
      <c r="MKA196" s="84"/>
      <c r="MKB196" s="84"/>
      <c r="MKC196" s="84"/>
      <c r="MKD196" s="84"/>
      <c r="MKE196" s="84"/>
      <c r="MKF196" s="84"/>
      <c r="MKG196" s="84"/>
      <c r="MKH196" s="84"/>
      <c r="MKI196" s="84"/>
      <c r="MKJ196" s="84"/>
      <c r="MKK196" s="84"/>
      <c r="MKL196" s="84"/>
      <c r="MKM196" s="84"/>
      <c r="MKN196" s="84"/>
      <c r="MKO196" s="84"/>
      <c r="MKP196" s="84"/>
      <c r="MKQ196" s="84"/>
      <c r="MKR196" s="84"/>
      <c r="MKS196" s="84"/>
      <c r="MKT196" s="84"/>
      <c r="MKU196" s="84"/>
      <c r="MKV196" s="84"/>
      <c r="MKW196" s="84"/>
      <c r="MKX196" s="84"/>
      <c r="MKY196" s="84"/>
      <c r="MKZ196" s="84"/>
      <c r="MLA196" s="84"/>
      <c r="MLB196" s="84"/>
      <c r="MLC196" s="84"/>
      <c r="MLD196" s="84"/>
      <c r="MLE196" s="84"/>
      <c r="MLF196" s="84"/>
      <c r="MLG196" s="84"/>
      <c r="MLH196" s="84"/>
      <c r="MLI196" s="84"/>
      <c r="MLJ196" s="84"/>
      <c r="MLK196" s="84"/>
      <c r="MLL196" s="84"/>
      <c r="MLM196" s="84"/>
      <c r="MLN196" s="84"/>
      <c r="MLO196" s="84"/>
      <c r="MLP196" s="84"/>
      <c r="MLQ196" s="84"/>
      <c r="MLR196" s="84"/>
      <c r="MLS196" s="84"/>
      <c r="MLT196" s="84"/>
      <c r="MLU196" s="84"/>
      <c r="MLV196" s="84"/>
      <c r="MLW196" s="84"/>
      <c r="MLX196" s="84"/>
      <c r="MLY196" s="84"/>
      <c r="MLZ196" s="84"/>
      <c r="MMA196" s="84"/>
      <c r="MMB196" s="84"/>
      <c r="MMC196" s="84"/>
      <c r="MMD196" s="84"/>
      <c r="MME196" s="84"/>
      <c r="MMF196" s="84"/>
      <c r="MMG196" s="84"/>
      <c r="MMH196" s="84"/>
      <c r="MMI196" s="84"/>
      <c r="MMJ196" s="84"/>
      <c r="MMK196" s="84"/>
      <c r="MML196" s="84"/>
      <c r="MMM196" s="84"/>
      <c r="MMN196" s="84"/>
      <c r="MMO196" s="84"/>
      <c r="MMP196" s="84"/>
      <c r="MMQ196" s="84"/>
      <c r="MMR196" s="84"/>
      <c r="MMS196" s="84"/>
      <c r="MMT196" s="84"/>
      <c r="MMU196" s="84"/>
      <c r="MMV196" s="84"/>
      <c r="MMW196" s="84"/>
      <c r="MMX196" s="84"/>
      <c r="MMY196" s="84"/>
      <c r="MMZ196" s="84"/>
      <c r="MNA196" s="84"/>
      <c r="MNB196" s="84"/>
      <c r="MNC196" s="84"/>
      <c r="MND196" s="84"/>
      <c r="MNE196" s="84"/>
      <c r="MNF196" s="84"/>
      <c r="MNG196" s="84"/>
      <c r="MNH196" s="84"/>
      <c r="MNI196" s="84"/>
      <c r="MNJ196" s="84"/>
      <c r="MNK196" s="84"/>
      <c r="MNL196" s="84"/>
      <c r="MNM196" s="84"/>
      <c r="MNN196" s="84"/>
      <c r="MNO196" s="84"/>
      <c r="MNP196" s="84"/>
      <c r="MNQ196" s="84"/>
      <c r="MNR196" s="84"/>
      <c r="MNS196" s="84"/>
      <c r="MNT196" s="84"/>
      <c r="MNU196" s="84"/>
      <c r="MNV196" s="84"/>
      <c r="MNW196" s="84"/>
      <c r="MNX196" s="84"/>
      <c r="MNY196" s="84"/>
      <c r="MNZ196" s="84"/>
      <c r="MOA196" s="84"/>
      <c r="MOB196" s="84"/>
      <c r="MOC196" s="84"/>
      <c r="MOD196" s="84"/>
      <c r="MOE196" s="84"/>
      <c r="MOF196" s="84"/>
      <c r="MOG196" s="84"/>
      <c r="MOH196" s="84"/>
      <c r="MOI196" s="84"/>
      <c r="MOJ196" s="84"/>
      <c r="MOK196" s="84"/>
      <c r="MOL196" s="84"/>
      <c r="MOM196" s="84"/>
      <c r="MON196" s="84"/>
      <c r="MOO196" s="84"/>
      <c r="MOP196" s="84"/>
      <c r="MOQ196" s="84"/>
      <c r="MOR196" s="84"/>
      <c r="MOS196" s="84"/>
      <c r="MOT196" s="84"/>
      <c r="MOU196" s="84"/>
      <c r="MOV196" s="84"/>
      <c r="MOW196" s="84"/>
      <c r="MOX196" s="84"/>
      <c r="MOY196" s="84"/>
      <c r="MOZ196" s="84"/>
      <c r="MPA196" s="84"/>
      <c r="MPB196" s="84"/>
      <c r="MPC196" s="84"/>
      <c r="MPD196" s="84"/>
      <c r="MPE196" s="84"/>
      <c r="MPF196" s="84"/>
      <c r="MPG196" s="84"/>
      <c r="MPH196" s="84"/>
      <c r="MPI196" s="84"/>
      <c r="MPJ196" s="84"/>
      <c r="MPK196" s="84"/>
      <c r="MPL196" s="84"/>
      <c r="MPM196" s="84"/>
      <c r="MPN196" s="84"/>
      <c r="MPO196" s="84"/>
      <c r="MPP196" s="84"/>
      <c r="MPQ196" s="84"/>
      <c r="MPR196" s="84"/>
      <c r="MPS196" s="84"/>
      <c r="MPT196" s="84"/>
      <c r="MPU196" s="84"/>
      <c r="MPV196" s="84"/>
      <c r="MPW196" s="84"/>
      <c r="MPX196" s="84"/>
      <c r="MPY196" s="84"/>
      <c r="MPZ196" s="84"/>
      <c r="MQA196" s="84"/>
      <c r="MQB196" s="84"/>
      <c r="MQC196" s="84"/>
      <c r="MQD196" s="84"/>
      <c r="MQE196" s="84"/>
      <c r="MQF196" s="84"/>
      <c r="MQG196" s="84"/>
      <c r="MQH196" s="84"/>
      <c r="MQI196" s="84"/>
      <c r="MQJ196" s="84"/>
      <c r="MQK196" s="84"/>
      <c r="MQL196" s="84"/>
      <c r="MQM196" s="84"/>
      <c r="MQN196" s="84"/>
      <c r="MQO196" s="84"/>
      <c r="MQP196" s="84"/>
      <c r="MQQ196" s="84"/>
      <c r="MQR196" s="84"/>
      <c r="MQS196" s="84"/>
      <c r="MQT196" s="84"/>
      <c r="MQU196" s="84"/>
      <c r="MQV196" s="84"/>
      <c r="MQW196" s="84"/>
      <c r="MQX196" s="84"/>
      <c r="MQY196" s="84"/>
      <c r="MQZ196" s="84"/>
      <c r="MRA196" s="84"/>
      <c r="MRB196" s="84"/>
      <c r="MRC196" s="84"/>
      <c r="MRD196" s="84"/>
      <c r="MRE196" s="84"/>
      <c r="MRF196" s="84"/>
      <c r="MRG196" s="84"/>
      <c r="MRH196" s="84"/>
      <c r="MRI196" s="84"/>
      <c r="MRJ196" s="84"/>
      <c r="MRK196" s="84"/>
      <c r="MRL196" s="84"/>
      <c r="MRM196" s="84"/>
      <c r="MRN196" s="84"/>
      <c r="MRO196" s="84"/>
      <c r="MRP196" s="84"/>
      <c r="MRQ196" s="84"/>
      <c r="MRR196" s="84"/>
      <c r="MRS196" s="84"/>
      <c r="MRT196" s="84"/>
      <c r="MRU196" s="84"/>
      <c r="MRV196" s="84"/>
      <c r="MRW196" s="84"/>
      <c r="MRX196" s="84"/>
      <c r="MRY196" s="84"/>
      <c r="MRZ196" s="84"/>
      <c r="MSA196" s="84"/>
      <c r="MSB196" s="84"/>
      <c r="MSC196" s="84"/>
      <c r="MSD196" s="84"/>
      <c r="MSE196" s="84"/>
      <c r="MSF196" s="84"/>
      <c r="MSG196" s="84"/>
      <c r="MSH196" s="84"/>
      <c r="MSI196" s="84"/>
      <c r="MSJ196" s="84"/>
      <c r="MSK196" s="84"/>
      <c r="MSL196" s="84"/>
      <c r="MSM196" s="84"/>
      <c r="MSN196" s="84"/>
      <c r="MSO196" s="84"/>
      <c r="MSP196" s="84"/>
      <c r="MSQ196" s="84"/>
      <c r="MSR196" s="84"/>
      <c r="MSS196" s="84"/>
      <c r="MST196" s="84"/>
      <c r="MSU196" s="84"/>
      <c r="MSV196" s="84"/>
      <c r="MSW196" s="84"/>
      <c r="MSX196" s="84"/>
      <c r="MSY196" s="84"/>
      <c r="MSZ196" s="84"/>
      <c r="MTA196" s="84"/>
      <c r="MTB196" s="84"/>
      <c r="MTC196" s="84"/>
      <c r="MTD196" s="84"/>
      <c r="MTE196" s="84"/>
      <c r="MTF196" s="84"/>
      <c r="MTG196" s="84"/>
      <c r="MTH196" s="84"/>
      <c r="MTI196" s="84"/>
      <c r="MTJ196" s="84"/>
      <c r="MTK196" s="84"/>
      <c r="MTL196" s="84"/>
      <c r="MTM196" s="84"/>
      <c r="MTN196" s="84"/>
      <c r="MTO196" s="84"/>
      <c r="MTP196" s="84"/>
      <c r="MTQ196" s="84"/>
      <c r="MTR196" s="84"/>
      <c r="MTS196" s="84"/>
      <c r="MTT196" s="84"/>
      <c r="MTU196" s="84"/>
      <c r="MTV196" s="84"/>
      <c r="MTW196" s="84"/>
      <c r="MTX196" s="84"/>
      <c r="MTY196" s="84"/>
      <c r="MTZ196" s="84"/>
      <c r="MUA196" s="84"/>
      <c r="MUB196" s="84"/>
      <c r="MUC196" s="84"/>
      <c r="MUD196" s="84"/>
      <c r="MUE196" s="84"/>
      <c r="MUF196" s="84"/>
      <c r="MUG196" s="84"/>
      <c r="MUH196" s="84"/>
      <c r="MUI196" s="84"/>
      <c r="MUJ196" s="84"/>
      <c r="MUK196" s="84"/>
      <c r="MUL196" s="84"/>
      <c r="MUM196" s="84"/>
      <c r="MUN196" s="84"/>
      <c r="MUO196" s="84"/>
      <c r="MUP196" s="84"/>
      <c r="MUQ196" s="84"/>
      <c r="MUR196" s="84"/>
      <c r="MUS196" s="84"/>
      <c r="MUT196" s="84"/>
      <c r="MUU196" s="84"/>
      <c r="MUV196" s="84"/>
      <c r="MUW196" s="84"/>
      <c r="MUX196" s="84"/>
      <c r="MUY196" s="84"/>
      <c r="MUZ196" s="84"/>
      <c r="MVA196" s="84"/>
      <c r="MVB196" s="84"/>
      <c r="MVC196" s="84"/>
      <c r="MVD196" s="84"/>
      <c r="MVE196" s="84"/>
      <c r="MVF196" s="84"/>
      <c r="MVG196" s="84"/>
      <c r="MVH196" s="84"/>
      <c r="MVI196" s="84"/>
      <c r="MVJ196" s="84"/>
      <c r="MVK196" s="84"/>
      <c r="MVL196" s="84"/>
      <c r="MVM196" s="84"/>
      <c r="MVN196" s="84"/>
      <c r="MVO196" s="84"/>
      <c r="MVP196" s="84"/>
      <c r="MVQ196" s="84"/>
      <c r="MVR196" s="84"/>
      <c r="MVS196" s="84"/>
      <c r="MVT196" s="84"/>
      <c r="MVU196" s="84"/>
      <c r="MVV196" s="84"/>
      <c r="MVW196" s="84"/>
      <c r="MVX196" s="84"/>
      <c r="MVY196" s="84"/>
      <c r="MVZ196" s="84"/>
      <c r="MWA196" s="84"/>
      <c r="MWB196" s="84"/>
      <c r="MWC196" s="84"/>
      <c r="MWD196" s="84"/>
      <c r="MWE196" s="84"/>
      <c r="MWF196" s="84"/>
      <c r="MWG196" s="84"/>
      <c r="MWH196" s="84"/>
      <c r="MWI196" s="84"/>
      <c r="MWJ196" s="84"/>
      <c r="MWK196" s="84"/>
      <c r="MWL196" s="84"/>
      <c r="MWM196" s="84"/>
      <c r="MWN196" s="84"/>
      <c r="MWO196" s="84"/>
      <c r="MWP196" s="84"/>
      <c r="MWQ196" s="84"/>
      <c r="MWR196" s="84"/>
      <c r="MWS196" s="84"/>
      <c r="MWT196" s="84"/>
      <c r="MWU196" s="84"/>
      <c r="MWV196" s="84"/>
      <c r="MWW196" s="84"/>
      <c r="MWX196" s="84"/>
      <c r="MWY196" s="84"/>
      <c r="MWZ196" s="84"/>
      <c r="MXA196" s="84"/>
      <c r="MXB196" s="84"/>
      <c r="MXC196" s="84"/>
      <c r="MXD196" s="84"/>
      <c r="MXE196" s="84"/>
      <c r="MXF196" s="84"/>
      <c r="MXG196" s="84"/>
      <c r="MXH196" s="84"/>
      <c r="MXI196" s="84"/>
      <c r="MXJ196" s="84"/>
      <c r="MXK196" s="84"/>
      <c r="MXL196" s="84"/>
      <c r="MXM196" s="84"/>
      <c r="MXN196" s="84"/>
      <c r="MXO196" s="84"/>
      <c r="MXP196" s="84"/>
      <c r="MXQ196" s="84"/>
      <c r="MXR196" s="84"/>
      <c r="MXS196" s="84"/>
      <c r="MXT196" s="84"/>
      <c r="MXU196" s="84"/>
      <c r="MXV196" s="84"/>
      <c r="MXW196" s="84"/>
      <c r="MXX196" s="84"/>
      <c r="MXY196" s="84"/>
      <c r="MXZ196" s="84"/>
      <c r="MYA196" s="84"/>
      <c r="MYB196" s="84"/>
      <c r="MYC196" s="84"/>
      <c r="MYD196" s="84"/>
      <c r="MYE196" s="84"/>
      <c r="MYF196" s="84"/>
      <c r="MYG196" s="84"/>
      <c r="MYH196" s="84"/>
      <c r="MYI196" s="84"/>
      <c r="MYJ196" s="84"/>
      <c r="MYK196" s="84"/>
      <c r="MYL196" s="84"/>
      <c r="MYM196" s="84"/>
      <c r="MYN196" s="84"/>
      <c r="MYO196" s="84"/>
      <c r="MYP196" s="84"/>
      <c r="MYQ196" s="84"/>
      <c r="MYR196" s="84"/>
      <c r="MYS196" s="84"/>
      <c r="MYT196" s="84"/>
      <c r="MYU196" s="84"/>
      <c r="MYV196" s="84"/>
      <c r="MYW196" s="84"/>
      <c r="MYX196" s="84"/>
      <c r="MYY196" s="84"/>
      <c r="MYZ196" s="84"/>
      <c r="MZA196" s="84"/>
      <c r="MZB196" s="84"/>
      <c r="MZC196" s="84"/>
      <c r="MZD196" s="84"/>
      <c r="MZE196" s="84"/>
      <c r="MZF196" s="84"/>
      <c r="MZG196" s="84"/>
      <c r="MZH196" s="84"/>
      <c r="MZI196" s="84"/>
      <c r="MZJ196" s="84"/>
      <c r="MZK196" s="84"/>
      <c r="MZL196" s="84"/>
      <c r="MZM196" s="84"/>
      <c r="MZN196" s="84"/>
      <c r="MZO196" s="84"/>
      <c r="MZP196" s="84"/>
      <c r="MZQ196" s="84"/>
      <c r="MZR196" s="84"/>
      <c r="MZS196" s="84"/>
      <c r="MZT196" s="84"/>
      <c r="MZU196" s="84"/>
      <c r="MZV196" s="84"/>
      <c r="MZW196" s="84"/>
      <c r="MZX196" s="84"/>
      <c r="MZY196" s="84"/>
      <c r="MZZ196" s="84"/>
      <c r="NAA196" s="84"/>
      <c r="NAB196" s="84"/>
      <c r="NAC196" s="84"/>
      <c r="NAD196" s="84"/>
      <c r="NAE196" s="84"/>
      <c r="NAF196" s="84"/>
      <c r="NAG196" s="84"/>
      <c r="NAH196" s="84"/>
      <c r="NAI196" s="84"/>
      <c r="NAJ196" s="84"/>
      <c r="NAK196" s="84"/>
      <c r="NAL196" s="84"/>
      <c r="NAM196" s="84"/>
      <c r="NAN196" s="84"/>
      <c r="NAO196" s="84"/>
      <c r="NAP196" s="84"/>
      <c r="NAQ196" s="84"/>
      <c r="NAR196" s="84"/>
      <c r="NAS196" s="84"/>
      <c r="NAT196" s="84"/>
      <c r="NAU196" s="84"/>
      <c r="NAV196" s="84"/>
      <c r="NAW196" s="84"/>
      <c r="NAX196" s="84"/>
      <c r="NAY196" s="84"/>
      <c r="NAZ196" s="84"/>
      <c r="NBA196" s="84"/>
      <c r="NBB196" s="84"/>
      <c r="NBC196" s="84"/>
      <c r="NBD196" s="84"/>
      <c r="NBE196" s="84"/>
      <c r="NBF196" s="84"/>
      <c r="NBG196" s="84"/>
      <c r="NBH196" s="84"/>
      <c r="NBI196" s="84"/>
      <c r="NBJ196" s="84"/>
      <c r="NBK196" s="84"/>
      <c r="NBL196" s="84"/>
      <c r="NBM196" s="84"/>
      <c r="NBN196" s="84"/>
      <c r="NBO196" s="84"/>
      <c r="NBP196" s="84"/>
      <c r="NBQ196" s="84"/>
      <c r="NBR196" s="84"/>
      <c r="NBS196" s="84"/>
      <c r="NBT196" s="84"/>
      <c r="NBU196" s="84"/>
      <c r="NBV196" s="84"/>
      <c r="NBW196" s="84"/>
      <c r="NBX196" s="84"/>
      <c r="NBY196" s="84"/>
      <c r="NBZ196" s="84"/>
      <c r="NCA196" s="84"/>
      <c r="NCB196" s="84"/>
      <c r="NCC196" s="84"/>
      <c r="NCD196" s="84"/>
      <c r="NCE196" s="84"/>
      <c r="NCF196" s="84"/>
      <c r="NCG196" s="84"/>
      <c r="NCH196" s="84"/>
      <c r="NCI196" s="84"/>
      <c r="NCJ196" s="84"/>
      <c r="NCK196" s="84"/>
      <c r="NCL196" s="84"/>
      <c r="NCM196" s="84"/>
      <c r="NCN196" s="84"/>
      <c r="NCO196" s="84"/>
      <c r="NCP196" s="84"/>
      <c r="NCQ196" s="84"/>
      <c r="NCR196" s="84"/>
      <c r="NCS196" s="84"/>
      <c r="NCT196" s="84"/>
      <c r="NCU196" s="84"/>
      <c r="NCV196" s="84"/>
      <c r="NCW196" s="84"/>
      <c r="NCX196" s="84"/>
      <c r="NCY196" s="84"/>
      <c r="NCZ196" s="84"/>
      <c r="NDA196" s="84"/>
      <c r="NDB196" s="84"/>
      <c r="NDC196" s="84"/>
      <c r="NDD196" s="84"/>
      <c r="NDE196" s="84"/>
      <c r="NDF196" s="84"/>
      <c r="NDG196" s="84"/>
      <c r="NDH196" s="84"/>
      <c r="NDI196" s="84"/>
      <c r="NDJ196" s="84"/>
      <c r="NDK196" s="84"/>
      <c r="NDL196" s="84"/>
      <c r="NDM196" s="84"/>
      <c r="NDN196" s="84"/>
      <c r="NDO196" s="84"/>
      <c r="NDP196" s="84"/>
      <c r="NDQ196" s="84"/>
      <c r="NDR196" s="84"/>
      <c r="NDS196" s="84"/>
      <c r="NDT196" s="84"/>
      <c r="NDU196" s="84"/>
      <c r="NDV196" s="84"/>
      <c r="NDW196" s="84"/>
      <c r="NDX196" s="84"/>
      <c r="NDY196" s="84"/>
      <c r="NDZ196" s="84"/>
      <c r="NEA196" s="84"/>
      <c r="NEB196" s="84"/>
      <c r="NEC196" s="84"/>
      <c r="NED196" s="84"/>
      <c r="NEE196" s="84"/>
      <c r="NEF196" s="84"/>
      <c r="NEG196" s="84"/>
      <c r="NEH196" s="84"/>
      <c r="NEI196" s="84"/>
      <c r="NEJ196" s="84"/>
      <c r="NEK196" s="84"/>
      <c r="NEL196" s="84"/>
      <c r="NEM196" s="84"/>
      <c r="NEN196" s="84"/>
      <c r="NEO196" s="84"/>
      <c r="NEP196" s="84"/>
      <c r="NEQ196" s="84"/>
      <c r="NER196" s="84"/>
      <c r="NES196" s="84"/>
      <c r="NET196" s="84"/>
      <c r="NEU196" s="84"/>
      <c r="NEV196" s="84"/>
      <c r="NEW196" s="84"/>
      <c r="NEX196" s="84"/>
      <c r="NEY196" s="84"/>
      <c r="NEZ196" s="84"/>
      <c r="NFA196" s="84"/>
      <c r="NFB196" s="84"/>
      <c r="NFC196" s="84"/>
      <c r="NFD196" s="84"/>
      <c r="NFE196" s="84"/>
      <c r="NFF196" s="84"/>
      <c r="NFG196" s="84"/>
      <c r="NFH196" s="84"/>
      <c r="NFI196" s="84"/>
      <c r="NFJ196" s="84"/>
      <c r="NFK196" s="84"/>
      <c r="NFL196" s="84"/>
      <c r="NFM196" s="84"/>
      <c r="NFN196" s="84"/>
      <c r="NFO196" s="84"/>
      <c r="NFP196" s="84"/>
      <c r="NFQ196" s="84"/>
      <c r="NFR196" s="84"/>
      <c r="NFS196" s="84"/>
      <c r="NFT196" s="84"/>
      <c r="NFU196" s="84"/>
      <c r="NFV196" s="84"/>
      <c r="NFW196" s="84"/>
      <c r="NFX196" s="84"/>
      <c r="NFY196" s="84"/>
      <c r="NFZ196" s="84"/>
      <c r="NGA196" s="84"/>
      <c r="NGB196" s="84"/>
      <c r="NGC196" s="84"/>
      <c r="NGD196" s="84"/>
      <c r="NGE196" s="84"/>
      <c r="NGF196" s="84"/>
      <c r="NGG196" s="84"/>
      <c r="NGH196" s="84"/>
      <c r="NGI196" s="84"/>
      <c r="NGJ196" s="84"/>
      <c r="NGK196" s="84"/>
      <c r="NGL196" s="84"/>
      <c r="NGM196" s="84"/>
      <c r="NGN196" s="84"/>
      <c r="NGO196" s="84"/>
      <c r="NGP196" s="84"/>
      <c r="NGQ196" s="84"/>
      <c r="NGR196" s="84"/>
      <c r="NGS196" s="84"/>
      <c r="NGT196" s="84"/>
      <c r="NGU196" s="84"/>
      <c r="NGV196" s="84"/>
      <c r="NGW196" s="84"/>
      <c r="NGX196" s="84"/>
      <c r="NGY196" s="84"/>
      <c r="NGZ196" s="84"/>
      <c r="NHA196" s="84"/>
      <c r="NHB196" s="84"/>
      <c r="NHC196" s="84"/>
      <c r="NHD196" s="84"/>
      <c r="NHE196" s="84"/>
      <c r="NHF196" s="84"/>
      <c r="NHG196" s="84"/>
      <c r="NHH196" s="84"/>
      <c r="NHI196" s="84"/>
      <c r="NHJ196" s="84"/>
      <c r="NHK196" s="84"/>
      <c r="NHL196" s="84"/>
      <c r="NHM196" s="84"/>
      <c r="NHN196" s="84"/>
      <c r="NHO196" s="84"/>
      <c r="NHP196" s="84"/>
      <c r="NHQ196" s="84"/>
      <c r="NHR196" s="84"/>
      <c r="NHS196" s="84"/>
      <c r="NHT196" s="84"/>
      <c r="NHU196" s="84"/>
      <c r="NHV196" s="84"/>
      <c r="NHW196" s="84"/>
      <c r="NHX196" s="84"/>
      <c r="NHY196" s="84"/>
      <c r="NHZ196" s="84"/>
      <c r="NIA196" s="84"/>
      <c r="NIB196" s="84"/>
      <c r="NIC196" s="84"/>
      <c r="NID196" s="84"/>
      <c r="NIE196" s="84"/>
      <c r="NIF196" s="84"/>
      <c r="NIG196" s="84"/>
      <c r="NIH196" s="84"/>
      <c r="NII196" s="84"/>
      <c r="NIJ196" s="84"/>
      <c r="NIK196" s="84"/>
      <c r="NIL196" s="84"/>
      <c r="NIM196" s="84"/>
      <c r="NIN196" s="84"/>
      <c r="NIO196" s="84"/>
      <c r="NIP196" s="84"/>
      <c r="NIQ196" s="84"/>
      <c r="NIR196" s="84"/>
      <c r="NIS196" s="84"/>
      <c r="NIT196" s="84"/>
      <c r="NIU196" s="84"/>
      <c r="NIV196" s="84"/>
      <c r="NIW196" s="84"/>
      <c r="NIX196" s="84"/>
      <c r="NIY196" s="84"/>
      <c r="NIZ196" s="84"/>
      <c r="NJA196" s="84"/>
      <c r="NJB196" s="84"/>
      <c r="NJC196" s="84"/>
      <c r="NJD196" s="84"/>
      <c r="NJE196" s="84"/>
      <c r="NJF196" s="84"/>
      <c r="NJG196" s="84"/>
      <c r="NJH196" s="84"/>
      <c r="NJI196" s="84"/>
      <c r="NJJ196" s="84"/>
      <c r="NJK196" s="84"/>
      <c r="NJL196" s="84"/>
      <c r="NJM196" s="84"/>
      <c r="NJN196" s="84"/>
      <c r="NJO196" s="84"/>
      <c r="NJP196" s="84"/>
      <c r="NJQ196" s="84"/>
      <c r="NJR196" s="84"/>
      <c r="NJS196" s="84"/>
      <c r="NJT196" s="84"/>
      <c r="NJU196" s="84"/>
      <c r="NJV196" s="84"/>
      <c r="NJW196" s="84"/>
      <c r="NJX196" s="84"/>
      <c r="NJY196" s="84"/>
      <c r="NJZ196" s="84"/>
      <c r="NKA196" s="84"/>
      <c r="NKB196" s="84"/>
      <c r="NKC196" s="84"/>
      <c r="NKD196" s="84"/>
      <c r="NKE196" s="84"/>
      <c r="NKF196" s="84"/>
      <c r="NKG196" s="84"/>
      <c r="NKH196" s="84"/>
      <c r="NKI196" s="84"/>
      <c r="NKJ196" s="84"/>
      <c r="NKK196" s="84"/>
      <c r="NKL196" s="84"/>
      <c r="NKM196" s="84"/>
      <c r="NKN196" s="84"/>
      <c r="NKO196" s="84"/>
      <c r="NKP196" s="84"/>
      <c r="NKQ196" s="84"/>
      <c r="NKR196" s="84"/>
      <c r="NKS196" s="84"/>
      <c r="NKT196" s="84"/>
      <c r="NKU196" s="84"/>
      <c r="NKV196" s="84"/>
      <c r="NKW196" s="84"/>
      <c r="NKX196" s="84"/>
      <c r="NKY196" s="84"/>
      <c r="NKZ196" s="84"/>
      <c r="NLA196" s="84"/>
      <c r="NLB196" s="84"/>
      <c r="NLC196" s="84"/>
      <c r="NLD196" s="84"/>
      <c r="NLE196" s="84"/>
      <c r="NLF196" s="84"/>
      <c r="NLG196" s="84"/>
      <c r="NLH196" s="84"/>
      <c r="NLI196" s="84"/>
      <c r="NLJ196" s="84"/>
      <c r="NLK196" s="84"/>
      <c r="NLL196" s="84"/>
      <c r="NLM196" s="84"/>
      <c r="NLN196" s="84"/>
      <c r="NLO196" s="84"/>
      <c r="NLP196" s="84"/>
      <c r="NLQ196" s="84"/>
      <c r="NLR196" s="84"/>
      <c r="NLS196" s="84"/>
      <c r="NLT196" s="84"/>
      <c r="NLU196" s="84"/>
      <c r="NLV196" s="84"/>
      <c r="NLW196" s="84"/>
      <c r="NLX196" s="84"/>
      <c r="NLY196" s="84"/>
      <c r="NLZ196" s="84"/>
      <c r="NMA196" s="84"/>
      <c r="NMB196" s="84"/>
      <c r="NMC196" s="84"/>
      <c r="NMD196" s="84"/>
      <c r="NME196" s="84"/>
      <c r="NMF196" s="84"/>
      <c r="NMG196" s="84"/>
      <c r="NMH196" s="84"/>
      <c r="NMI196" s="84"/>
      <c r="NMJ196" s="84"/>
      <c r="NMK196" s="84"/>
      <c r="NML196" s="84"/>
      <c r="NMM196" s="84"/>
      <c r="NMN196" s="84"/>
      <c r="NMO196" s="84"/>
      <c r="NMP196" s="84"/>
      <c r="NMQ196" s="84"/>
      <c r="NMR196" s="84"/>
      <c r="NMS196" s="84"/>
      <c r="NMT196" s="84"/>
      <c r="NMU196" s="84"/>
      <c r="NMV196" s="84"/>
      <c r="NMW196" s="84"/>
      <c r="NMX196" s="84"/>
      <c r="NMY196" s="84"/>
      <c r="NMZ196" s="84"/>
      <c r="NNA196" s="84"/>
      <c r="NNB196" s="84"/>
      <c r="NNC196" s="84"/>
      <c r="NND196" s="84"/>
      <c r="NNE196" s="84"/>
      <c r="NNF196" s="84"/>
      <c r="NNG196" s="84"/>
      <c r="NNH196" s="84"/>
      <c r="NNI196" s="84"/>
      <c r="NNJ196" s="84"/>
      <c r="NNK196" s="84"/>
      <c r="NNL196" s="84"/>
      <c r="NNM196" s="84"/>
      <c r="NNN196" s="84"/>
      <c r="NNO196" s="84"/>
      <c r="NNP196" s="84"/>
      <c r="NNQ196" s="84"/>
      <c r="NNR196" s="84"/>
      <c r="NNS196" s="84"/>
      <c r="NNT196" s="84"/>
      <c r="NNU196" s="84"/>
      <c r="NNV196" s="84"/>
      <c r="NNW196" s="84"/>
      <c r="NNX196" s="84"/>
      <c r="NNY196" s="84"/>
      <c r="NNZ196" s="84"/>
      <c r="NOA196" s="84"/>
      <c r="NOB196" s="84"/>
      <c r="NOC196" s="84"/>
      <c r="NOD196" s="84"/>
      <c r="NOE196" s="84"/>
      <c r="NOF196" s="84"/>
      <c r="NOG196" s="84"/>
      <c r="NOH196" s="84"/>
      <c r="NOI196" s="84"/>
      <c r="NOJ196" s="84"/>
      <c r="NOK196" s="84"/>
      <c r="NOL196" s="84"/>
      <c r="NOM196" s="84"/>
      <c r="NON196" s="84"/>
      <c r="NOO196" s="84"/>
      <c r="NOP196" s="84"/>
      <c r="NOQ196" s="84"/>
      <c r="NOR196" s="84"/>
      <c r="NOS196" s="84"/>
      <c r="NOT196" s="84"/>
      <c r="NOU196" s="84"/>
      <c r="NOV196" s="84"/>
      <c r="NOW196" s="84"/>
      <c r="NOX196" s="84"/>
      <c r="NOY196" s="84"/>
      <c r="NOZ196" s="84"/>
      <c r="NPA196" s="84"/>
      <c r="NPB196" s="84"/>
      <c r="NPC196" s="84"/>
      <c r="NPD196" s="84"/>
      <c r="NPE196" s="84"/>
      <c r="NPF196" s="84"/>
      <c r="NPG196" s="84"/>
      <c r="NPH196" s="84"/>
      <c r="NPI196" s="84"/>
      <c r="NPJ196" s="84"/>
      <c r="NPK196" s="84"/>
      <c r="NPL196" s="84"/>
      <c r="NPM196" s="84"/>
      <c r="NPN196" s="84"/>
      <c r="NPO196" s="84"/>
      <c r="NPP196" s="84"/>
      <c r="NPQ196" s="84"/>
      <c r="NPR196" s="84"/>
      <c r="NPS196" s="84"/>
      <c r="NPT196" s="84"/>
      <c r="NPU196" s="84"/>
      <c r="NPV196" s="84"/>
      <c r="NPW196" s="84"/>
      <c r="NPX196" s="84"/>
      <c r="NPY196" s="84"/>
      <c r="NPZ196" s="84"/>
      <c r="NQA196" s="84"/>
      <c r="NQB196" s="84"/>
      <c r="NQC196" s="84"/>
      <c r="NQD196" s="84"/>
      <c r="NQE196" s="84"/>
      <c r="NQF196" s="84"/>
      <c r="NQG196" s="84"/>
      <c r="NQH196" s="84"/>
      <c r="NQI196" s="84"/>
      <c r="NQJ196" s="84"/>
      <c r="NQK196" s="84"/>
      <c r="NQL196" s="84"/>
      <c r="NQM196" s="84"/>
      <c r="NQN196" s="84"/>
      <c r="NQO196" s="84"/>
      <c r="NQP196" s="84"/>
      <c r="NQQ196" s="84"/>
      <c r="NQR196" s="84"/>
      <c r="NQS196" s="84"/>
      <c r="NQT196" s="84"/>
      <c r="NQU196" s="84"/>
      <c r="NQV196" s="84"/>
      <c r="NQW196" s="84"/>
      <c r="NQX196" s="84"/>
      <c r="NQY196" s="84"/>
      <c r="NQZ196" s="84"/>
      <c r="NRA196" s="84"/>
      <c r="NRB196" s="84"/>
      <c r="NRC196" s="84"/>
      <c r="NRD196" s="84"/>
      <c r="NRE196" s="84"/>
      <c r="NRF196" s="84"/>
      <c r="NRG196" s="84"/>
      <c r="NRH196" s="84"/>
      <c r="NRI196" s="84"/>
      <c r="NRJ196" s="84"/>
      <c r="NRK196" s="84"/>
      <c r="NRL196" s="84"/>
      <c r="NRM196" s="84"/>
      <c r="NRN196" s="84"/>
      <c r="NRO196" s="84"/>
      <c r="NRP196" s="84"/>
      <c r="NRQ196" s="84"/>
      <c r="NRR196" s="84"/>
      <c r="NRS196" s="84"/>
      <c r="NRT196" s="84"/>
      <c r="NRU196" s="84"/>
      <c r="NRV196" s="84"/>
      <c r="NRW196" s="84"/>
      <c r="NRX196" s="84"/>
      <c r="NRY196" s="84"/>
      <c r="NRZ196" s="84"/>
      <c r="NSA196" s="84"/>
      <c r="NSB196" s="84"/>
      <c r="NSC196" s="84"/>
      <c r="NSD196" s="84"/>
      <c r="NSE196" s="84"/>
      <c r="NSF196" s="84"/>
      <c r="NSG196" s="84"/>
      <c r="NSH196" s="84"/>
      <c r="NSI196" s="84"/>
      <c r="NSJ196" s="84"/>
      <c r="NSK196" s="84"/>
      <c r="NSL196" s="84"/>
      <c r="NSM196" s="84"/>
      <c r="NSN196" s="84"/>
      <c r="NSO196" s="84"/>
      <c r="NSP196" s="84"/>
      <c r="NSQ196" s="84"/>
      <c r="NSR196" s="84"/>
      <c r="NSS196" s="84"/>
      <c r="NST196" s="84"/>
      <c r="NSU196" s="84"/>
      <c r="NSV196" s="84"/>
      <c r="NSW196" s="84"/>
      <c r="NSX196" s="84"/>
      <c r="NSY196" s="84"/>
      <c r="NSZ196" s="84"/>
      <c r="NTA196" s="84"/>
      <c r="NTB196" s="84"/>
      <c r="NTC196" s="84"/>
      <c r="NTD196" s="84"/>
      <c r="NTE196" s="84"/>
      <c r="NTF196" s="84"/>
      <c r="NTG196" s="84"/>
      <c r="NTH196" s="84"/>
      <c r="NTI196" s="84"/>
      <c r="NTJ196" s="84"/>
      <c r="NTK196" s="84"/>
      <c r="NTL196" s="84"/>
      <c r="NTM196" s="84"/>
      <c r="NTN196" s="84"/>
      <c r="NTO196" s="84"/>
      <c r="NTP196" s="84"/>
      <c r="NTQ196" s="84"/>
      <c r="NTR196" s="84"/>
      <c r="NTS196" s="84"/>
      <c r="NTT196" s="84"/>
      <c r="NTU196" s="84"/>
      <c r="NTV196" s="84"/>
      <c r="NTW196" s="84"/>
      <c r="NTX196" s="84"/>
      <c r="NTY196" s="84"/>
      <c r="NTZ196" s="84"/>
      <c r="NUA196" s="84"/>
      <c r="NUB196" s="84"/>
      <c r="NUC196" s="84"/>
      <c r="NUD196" s="84"/>
      <c r="NUE196" s="84"/>
      <c r="NUF196" s="84"/>
      <c r="NUG196" s="84"/>
      <c r="NUH196" s="84"/>
      <c r="NUI196" s="84"/>
      <c r="NUJ196" s="84"/>
      <c r="NUK196" s="84"/>
      <c r="NUL196" s="84"/>
      <c r="NUM196" s="84"/>
      <c r="NUN196" s="84"/>
      <c r="NUO196" s="84"/>
      <c r="NUP196" s="84"/>
      <c r="NUQ196" s="84"/>
      <c r="NUR196" s="84"/>
      <c r="NUS196" s="84"/>
      <c r="NUT196" s="84"/>
      <c r="NUU196" s="84"/>
      <c r="NUV196" s="84"/>
      <c r="NUW196" s="84"/>
      <c r="NUX196" s="84"/>
      <c r="NUY196" s="84"/>
      <c r="NUZ196" s="84"/>
      <c r="NVA196" s="84"/>
      <c r="NVB196" s="84"/>
      <c r="NVC196" s="84"/>
      <c r="NVD196" s="84"/>
      <c r="NVE196" s="84"/>
      <c r="NVF196" s="84"/>
      <c r="NVG196" s="84"/>
      <c r="NVH196" s="84"/>
      <c r="NVI196" s="84"/>
      <c r="NVJ196" s="84"/>
      <c r="NVK196" s="84"/>
      <c r="NVL196" s="84"/>
      <c r="NVM196" s="84"/>
      <c r="NVN196" s="84"/>
      <c r="NVO196" s="84"/>
      <c r="NVP196" s="84"/>
      <c r="NVQ196" s="84"/>
      <c r="NVR196" s="84"/>
      <c r="NVS196" s="84"/>
      <c r="NVT196" s="84"/>
      <c r="NVU196" s="84"/>
      <c r="NVV196" s="84"/>
      <c r="NVW196" s="84"/>
      <c r="NVX196" s="84"/>
      <c r="NVY196" s="84"/>
      <c r="NVZ196" s="84"/>
      <c r="NWA196" s="84"/>
      <c r="NWB196" s="84"/>
      <c r="NWC196" s="84"/>
      <c r="NWD196" s="84"/>
      <c r="NWE196" s="84"/>
      <c r="NWF196" s="84"/>
      <c r="NWG196" s="84"/>
      <c r="NWH196" s="84"/>
      <c r="NWI196" s="84"/>
      <c r="NWJ196" s="84"/>
      <c r="NWK196" s="84"/>
      <c r="NWL196" s="84"/>
      <c r="NWM196" s="84"/>
      <c r="NWN196" s="84"/>
      <c r="NWO196" s="84"/>
      <c r="NWP196" s="84"/>
      <c r="NWQ196" s="84"/>
      <c r="NWR196" s="84"/>
      <c r="NWS196" s="84"/>
      <c r="NWT196" s="84"/>
      <c r="NWU196" s="84"/>
      <c r="NWV196" s="84"/>
      <c r="NWW196" s="84"/>
      <c r="NWX196" s="84"/>
      <c r="NWY196" s="84"/>
      <c r="NWZ196" s="84"/>
      <c r="NXA196" s="84"/>
      <c r="NXB196" s="84"/>
      <c r="NXC196" s="84"/>
      <c r="NXD196" s="84"/>
      <c r="NXE196" s="84"/>
      <c r="NXF196" s="84"/>
      <c r="NXG196" s="84"/>
      <c r="NXH196" s="84"/>
      <c r="NXI196" s="84"/>
      <c r="NXJ196" s="84"/>
      <c r="NXK196" s="84"/>
      <c r="NXL196" s="84"/>
      <c r="NXM196" s="84"/>
      <c r="NXN196" s="84"/>
      <c r="NXO196" s="84"/>
      <c r="NXP196" s="84"/>
      <c r="NXQ196" s="84"/>
      <c r="NXR196" s="84"/>
      <c r="NXS196" s="84"/>
      <c r="NXT196" s="84"/>
      <c r="NXU196" s="84"/>
      <c r="NXV196" s="84"/>
      <c r="NXW196" s="84"/>
      <c r="NXX196" s="84"/>
      <c r="NXY196" s="84"/>
      <c r="NXZ196" s="84"/>
      <c r="NYA196" s="84"/>
      <c r="NYB196" s="84"/>
      <c r="NYC196" s="84"/>
      <c r="NYD196" s="84"/>
      <c r="NYE196" s="84"/>
      <c r="NYF196" s="84"/>
      <c r="NYG196" s="84"/>
      <c r="NYH196" s="84"/>
      <c r="NYI196" s="84"/>
      <c r="NYJ196" s="84"/>
      <c r="NYK196" s="84"/>
      <c r="NYL196" s="84"/>
      <c r="NYM196" s="84"/>
      <c r="NYN196" s="84"/>
      <c r="NYO196" s="84"/>
      <c r="NYP196" s="84"/>
      <c r="NYQ196" s="84"/>
      <c r="NYR196" s="84"/>
      <c r="NYS196" s="84"/>
      <c r="NYT196" s="84"/>
      <c r="NYU196" s="84"/>
      <c r="NYV196" s="84"/>
      <c r="NYW196" s="84"/>
      <c r="NYX196" s="84"/>
      <c r="NYY196" s="84"/>
      <c r="NYZ196" s="84"/>
      <c r="NZA196" s="84"/>
      <c r="NZB196" s="84"/>
      <c r="NZC196" s="84"/>
      <c r="NZD196" s="84"/>
      <c r="NZE196" s="84"/>
      <c r="NZF196" s="84"/>
      <c r="NZG196" s="84"/>
      <c r="NZH196" s="84"/>
      <c r="NZI196" s="84"/>
      <c r="NZJ196" s="84"/>
      <c r="NZK196" s="84"/>
      <c r="NZL196" s="84"/>
      <c r="NZM196" s="84"/>
      <c r="NZN196" s="84"/>
      <c r="NZO196" s="84"/>
      <c r="NZP196" s="84"/>
      <c r="NZQ196" s="84"/>
      <c r="NZR196" s="84"/>
      <c r="NZS196" s="84"/>
      <c r="NZT196" s="84"/>
      <c r="NZU196" s="84"/>
      <c r="NZV196" s="84"/>
      <c r="NZW196" s="84"/>
      <c r="NZX196" s="84"/>
      <c r="NZY196" s="84"/>
      <c r="NZZ196" s="84"/>
      <c r="OAA196" s="84"/>
      <c r="OAB196" s="84"/>
      <c r="OAC196" s="84"/>
      <c r="OAD196" s="84"/>
      <c r="OAE196" s="84"/>
      <c r="OAF196" s="84"/>
      <c r="OAG196" s="84"/>
      <c r="OAH196" s="84"/>
      <c r="OAI196" s="84"/>
      <c r="OAJ196" s="84"/>
      <c r="OAK196" s="84"/>
      <c r="OAL196" s="84"/>
      <c r="OAM196" s="84"/>
      <c r="OAN196" s="84"/>
      <c r="OAO196" s="84"/>
      <c r="OAP196" s="84"/>
      <c r="OAQ196" s="84"/>
      <c r="OAR196" s="84"/>
      <c r="OAS196" s="84"/>
      <c r="OAT196" s="84"/>
      <c r="OAU196" s="84"/>
      <c r="OAV196" s="84"/>
      <c r="OAW196" s="84"/>
      <c r="OAX196" s="84"/>
      <c r="OAY196" s="84"/>
      <c r="OAZ196" s="84"/>
      <c r="OBA196" s="84"/>
      <c r="OBB196" s="84"/>
      <c r="OBC196" s="84"/>
      <c r="OBD196" s="84"/>
      <c r="OBE196" s="84"/>
      <c r="OBF196" s="84"/>
      <c r="OBG196" s="84"/>
      <c r="OBH196" s="84"/>
      <c r="OBI196" s="84"/>
      <c r="OBJ196" s="84"/>
      <c r="OBK196" s="84"/>
      <c r="OBL196" s="84"/>
      <c r="OBM196" s="84"/>
      <c r="OBN196" s="84"/>
      <c r="OBO196" s="84"/>
      <c r="OBP196" s="84"/>
      <c r="OBQ196" s="84"/>
      <c r="OBR196" s="84"/>
      <c r="OBS196" s="84"/>
      <c r="OBT196" s="84"/>
      <c r="OBU196" s="84"/>
      <c r="OBV196" s="84"/>
      <c r="OBW196" s="84"/>
      <c r="OBX196" s="84"/>
      <c r="OBY196" s="84"/>
      <c r="OBZ196" s="84"/>
      <c r="OCA196" s="84"/>
      <c r="OCB196" s="84"/>
      <c r="OCC196" s="84"/>
      <c r="OCD196" s="84"/>
      <c r="OCE196" s="84"/>
      <c r="OCF196" s="84"/>
      <c r="OCG196" s="84"/>
      <c r="OCH196" s="84"/>
      <c r="OCI196" s="84"/>
      <c r="OCJ196" s="84"/>
      <c r="OCK196" s="84"/>
      <c r="OCL196" s="84"/>
      <c r="OCM196" s="84"/>
      <c r="OCN196" s="84"/>
      <c r="OCO196" s="84"/>
      <c r="OCP196" s="84"/>
      <c r="OCQ196" s="84"/>
      <c r="OCR196" s="84"/>
      <c r="OCS196" s="84"/>
      <c r="OCT196" s="84"/>
      <c r="OCU196" s="84"/>
      <c r="OCV196" s="84"/>
      <c r="OCW196" s="84"/>
      <c r="OCX196" s="84"/>
      <c r="OCY196" s="84"/>
      <c r="OCZ196" s="84"/>
      <c r="ODA196" s="84"/>
      <c r="ODB196" s="84"/>
      <c r="ODC196" s="84"/>
      <c r="ODD196" s="84"/>
      <c r="ODE196" s="84"/>
      <c r="ODF196" s="84"/>
      <c r="ODG196" s="84"/>
      <c r="ODH196" s="84"/>
      <c r="ODI196" s="84"/>
      <c r="ODJ196" s="84"/>
      <c r="ODK196" s="84"/>
      <c r="ODL196" s="84"/>
      <c r="ODM196" s="84"/>
      <c r="ODN196" s="84"/>
      <c r="ODO196" s="84"/>
      <c r="ODP196" s="84"/>
      <c r="ODQ196" s="84"/>
      <c r="ODR196" s="84"/>
      <c r="ODS196" s="84"/>
      <c r="ODT196" s="84"/>
      <c r="ODU196" s="84"/>
      <c r="ODV196" s="84"/>
      <c r="ODW196" s="84"/>
      <c r="ODX196" s="84"/>
      <c r="ODY196" s="84"/>
      <c r="ODZ196" s="84"/>
      <c r="OEA196" s="84"/>
      <c r="OEB196" s="84"/>
      <c r="OEC196" s="84"/>
      <c r="OED196" s="84"/>
      <c r="OEE196" s="84"/>
      <c r="OEF196" s="84"/>
      <c r="OEG196" s="84"/>
      <c r="OEH196" s="84"/>
      <c r="OEI196" s="84"/>
      <c r="OEJ196" s="84"/>
      <c r="OEK196" s="84"/>
      <c r="OEL196" s="84"/>
      <c r="OEM196" s="84"/>
      <c r="OEN196" s="84"/>
      <c r="OEO196" s="84"/>
      <c r="OEP196" s="84"/>
      <c r="OEQ196" s="84"/>
      <c r="OER196" s="84"/>
      <c r="OES196" s="84"/>
      <c r="OET196" s="84"/>
      <c r="OEU196" s="84"/>
      <c r="OEV196" s="84"/>
      <c r="OEW196" s="84"/>
      <c r="OEX196" s="84"/>
      <c r="OEY196" s="84"/>
      <c r="OEZ196" s="84"/>
      <c r="OFA196" s="84"/>
      <c r="OFB196" s="84"/>
      <c r="OFC196" s="84"/>
      <c r="OFD196" s="84"/>
      <c r="OFE196" s="84"/>
      <c r="OFF196" s="84"/>
      <c r="OFG196" s="84"/>
      <c r="OFH196" s="84"/>
      <c r="OFI196" s="84"/>
      <c r="OFJ196" s="84"/>
      <c r="OFK196" s="84"/>
      <c r="OFL196" s="84"/>
      <c r="OFM196" s="84"/>
      <c r="OFN196" s="84"/>
      <c r="OFO196" s="84"/>
      <c r="OFP196" s="84"/>
      <c r="OFQ196" s="84"/>
      <c r="OFR196" s="84"/>
      <c r="OFS196" s="84"/>
      <c r="OFT196" s="84"/>
      <c r="OFU196" s="84"/>
      <c r="OFV196" s="84"/>
      <c r="OFW196" s="84"/>
      <c r="OFX196" s="84"/>
      <c r="OFY196" s="84"/>
      <c r="OFZ196" s="84"/>
      <c r="OGA196" s="84"/>
      <c r="OGB196" s="84"/>
      <c r="OGC196" s="84"/>
      <c r="OGD196" s="84"/>
      <c r="OGE196" s="84"/>
      <c r="OGF196" s="84"/>
      <c r="OGG196" s="84"/>
      <c r="OGH196" s="84"/>
      <c r="OGI196" s="84"/>
      <c r="OGJ196" s="84"/>
      <c r="OGK196" s="84"/>
      <c r="OGL196" s="84"/>
      <c r="OGM196" s="84"/>
      <c r="OGN196" s="84"/>
      <c r="OGO196" s="84"/>
      <c r="OGP196" s="84"/>
      <c r="OGQ196" s="84"/>
      <c r="OGR196" s="84"/>
      <c r="OGS196" s="84"/>
      <c r="OGT196" s="84"/>
      <c r="OGU196" s="84"/>
      <c r="OGV196" s="84"/>
      <c r="OGW196" s="84"/>
      <c r="OGX196" s="84"/>
      <c r="OGY196" s="84"/>
      <c r="OGZ196" s="84"/>
      <c r="OHA196" s="84"/>
      <c r="OHB196" s="84"/>
      <c r="OHC196" s="84"/>
      <c r="OHD196" s="84"/>
      <c r="OHE196" s="84"/>
      <c r="OHF196" s="84"/>
      <c r="OHG196" s="84"/>
      <c r="OHH196" s="84"/>
      <c r="OHI196" s="84"/>
      <c r="OHJ196" s="84"/>
      <c r="OHK196" s="84"/>
      <c r="OHL196" s="84"/>
      <c r="OHM196" s="84"/>
      <c r="OHN196" s="84"/>
      <c r="OHO196" s="84"/>
      <c r="OHP196" s="84"/>
      <c r="OHQ196" s="84"/>
      <c r="OHR196" s="84"/>
      <c r="OHS196" s="84"/>
      <c r="OHT196" s="84"/>
      <c r="OHU196" s="84"/>
      <c r="OHV196" s="84"/>
      <c r="OHW196" s="84"/>
      <c r="OHX196" s="84"/>
      <c r="OHY196" s="84"/>
      <c r="OHZ196" s="84"/>
      <c r="OIA196" s="84"/>
      <c r="OIB196" s="84"/>
      <c r="OIC196" s="84"/>
      <c r="OID196" s="84"/>
      <c r="OIE196" s="84"/>
      <c r="OIF196" s="84"/>
      <c r="OIG196" s="84"/>
      <c r="OIH196" s="84"/>
      <c r="OII196" s="84"/>
      <c r="OIJ196" s="84"/>
      <c r="OIK196" s="84"/>
      <c r="OIL196" s="84"/>
      <c r="OIM196" s="84"/>
      <c r="OIN196" s="84"/>
      <c r="OIO196" s="84"/>
      <c r="OIP196" s="84"/>
      <c r="OIQ196" s="84"/>
      <c r="OIR196" s="84"/>
      <c r="OIS196" s="84"/>
      <c r="OIT196" s="84"/>
      <c r="OIU196" s="84"/>
      <c r="OIV196" s="84"/>
      <c r="OIW196" s="84"/>
      <c r="OIX196" s="84"/>
      <c r="OIY196" s="84"/>
      <c r="OIZ196" s="84"/>
      <c r="OJA196" s="84"/>
      <c r="OJB196" s="84"/>
      <c r="OJC196" s="84"/>
      <c r="OJD196" s="84"/>
      <c r="OJE196" s="84"/>
      <c r="OJF196" s="84"/>
      <c r="OJG196" s="84"/>
      <c r="OJH196" s="84"/>
      <c r="OJI196" s="84"/>
      <c r="OJJ196" s="84"/>
      <c r="OJK196" s="84"/>
      <c r="OJL196" s="84"/>
      <c r="OJM196" s="84"/>
      <c r="OJN196" s="84"/>
      <c r="OJO196" s="84"/>
      <c r="OJP196" s="84"/>
      <c r="OJQ196" s="84"/>
      <c r="OJR196" s="84"/>
      <c r="OJS196" s="84"/>
      <c r="OJT196" s="84"/>
      <c r="OJU196" s="84"/>
      <c r="OJV196" s="84"/>
      <c r="OJW196" s="84"/>
      <c r="OJX196" s="84"/>
      <c r="OJY196" s="84"/>
      <c r="OJZ196" s="84"/>
      <c r="OKA196" s="84"/>
      <c r="OKB196" s="84"/>
      <c r="OKC196" s="84"/>
      <c r="OKD196" s="84"/>
      <c r="OKE196" s="84"/>
      <c r="OKF196" s="84"/>
      <c r="OKG196" s="84"/>
      <c r="OKH196" s="84"/>
      <c r="OKI196" s="84"/>
      <c r="OKJ196" s="84"/>
      <c r="OKK196" s="84"/>
      <c r="OKL196" s="84"/>
      <c r="OKM196" s="84"/>
      <c r="OKN196" s="84"/>
      <c r="OKO196" s="84"/>
      <c r="OKP196" s="84"/>
      <c r="OKQ196" s="84"/>
      <c r="OKR196" s="84"/>
      <c r="OKS196" s="84"/>
      <c r="OKT196" s="84"/>
      <c r="OKU196" s="84"/>
      <c r="OKV196" s="84"/>
      <c r="OKW196" s="84"/>
      <c r="OKX196" s="84"/>
      <c r="OKY196" s="84"/>
      <c r="OKZ196" s="84"/>
      <c r="OLA196" s="84"/>
      <c r="OLB196" s="84"/>
      <c r="OLC196" s="84"/>
      <c r="OLD196" s="84"/>
      <c r="OLE196" s="84"/>
      <c r="OLF196" s="84"/>
      <c r="OLG196" s="84"/>
      <c r="OLH196" s="84"/>
      <c r="OLI196" s="84"/>
      <c r="OLJ196" s="84"/>
      <c r="OLK196" s="84"/>
      <c r="OLL196" s="84"/>
      <c r="OLM196" s="84"/>
      <c r="OLN196" s="84"/>
      <c r="OLO196" s="84"/>
      <c r="OLP196" s="84"/>
      <c r="OLQ196" s="84"/>
      <c r="OLR196" s="84"/>
      <c r="OLS196" s="84"/>
      <c r="OLT196" s="84"/>
      <c r="OLU196" s="84"/>
      <c r="OLV196" s="84"/>
      <c r="OLW196" s="84"/>
      <c r="OLX196" s="84"/>
      <c r="OLY196" s="84"/>
      <c r="OLZ196" s="84"/>
      <c r="OMA196" s="84"/>
      <c r="OMB196" s="84"/>
      <c r="OMC196" s="84"/>
      <c r="OMD196" s="84"/>
      <c r="OME196" s="84"/>
      <c r="OMF196" s="84"/>
      <c r="OMG196" s="84"/>
      <c r="OMH196" s="84"/>
      <c r="OMI196" s="84"/>
      <c r="OMJ196" s="84"/>
      <c r="OMK196" s="84"/>
      <c r="OML196" s="84"/>
      <c r="OMM196" s="84"/>
      <c r="OMN196" s="84"/>
      <c r="OMO196" s="84"/>
      <c r="OMP196" s="84"/>
      <c r="OMQ196" s="84"/>
      <c r="OMR196" s="84"/>
      <c r="OMS196" s="84"/>
      <c r="OMT196" s="84"/>
      <c r="OMU196" s="84"/>
      <c r="OMV196" s="84"/>
      <c r="OMW196" s="84"/>
      <c r="OMX196" s="84"/>
      <c r="OMY196" s="84"/>
      <c r="OMZ196" s="84"/>
      <c r="ONA196" s="84"/>
      <c r="ONB196" s="84"/>
      <c r="ONC196" s="84"/>
      <c r="OND196" s="84"/>
      <c r="ONE196" s="84"/>
      <c r="ONF196" s="84"/>
      <c r="ONG196" s="84"/>
      <c r="ONH196" s="84"/>
      <c r="ONI196" s="84"/>
      <c r="ONJ196" s="84"/>
      <c r="ONK196" s="84"/>
      <c r="ONL196" s="84"/>
      <c r="ONM196" s="84"/>
      <c r="ONN196" s="84"/>
      <c r="ONO196" s="84"/>
      <c r="ONP196" s="84"/>
      <c r="ONQ196" s="84"/>
      <c r="ONR196" s="84"/>
      <c r="ONS196" s="84"/>
      <c r="ONT196" s="84"/>
      <c r="ONU196" s="84"/>
      <c r="ONV196" s="84"/>
      <c r="ONW196" s="84"/>
      <c r="ONX196" s="84"/>
      <c r="ONY196" s="84"/>
      <c r="ONZ196" s="84"/>
      <c r="OOA196" s="84"/>
      <c r="OOB196" s="84"/>
      <c r="OOC196" s="84"/>
      <c r="OOD196" s="84"/>
      <c r="OOE196" s="84"/>
      <c r="OOF196" s="84"/>
      <c r="OOG196" s="84"/>
      <c r="OOH196" s="84"/>
      <c r="OOI196" s="84"/>
      <c r="OOJ196" s="84"/>
      <c r="OOK196" s="84"/>
      <c r="OOL196" s="84"/>
      <c r="OOM196" s="84"/>
      <c r="OON196" s="84"/>
      <c r="OOO196" s="84"/>
      <c r="OOP196" s="84"/>
      <c r="OOQ196" s="84"/>
      <c r="OOR196" s="84"/>
      <c r="OOS196" s="84"/>
      <c r="OOT196" s="84"/>
      <c r="OOU196" s="84"/>
      <c r="OOV196" s="84"/>
      <c r="OOW196" s="84"/>
      <c r="OOX196" s="84"/>
      <c r="OOY196" s="84"/>
      <c r="OOZ196" s="84"/>
      <c r="OPA196" s="84"/>
      <c r="OPB196" s="84"/>
      <c r="OPC196" s="84"/>
      <c r="OPD196" s="84"/>
      <c r="OPE196" s="84"/>
      <c r="OPF196" s="84"/>
      <c r="OPG196" s="84"/>
      <c r="OPH196" s="84"/>
      <c r="OPI196" s="84"/>
      <c r="OPJ196" s="84"/>
      <c r="OPK196" s="84"/>
      <c r="OPL196" s="84"/>
      <c r="OPM196" s="84"/>
      <c r="OPN196" s="84"/>
      <c r="OPO196" s="84"/>
      <c r="OPP196" s="84"/>
      <c r="OPQ196" s="84"/>
      <c r="OPR196" s="84"/>
      <c r="OPS196" s="84"/>
      <c r="OPT196" s="84"/>
      <c r="OPU196" s="84"/>
      <c r="OPV196" s="84"/>
      <c r="OPW196" s="84"/>
      <c r="OPX196" s="84"/>
      <c r="OPY196" s="84"/>
      <c r="OPZ196" s="84"/>
      <c r="OQA196" s="84"/>
      <c r="OQB196" s="84"/>
      <c r="OQC196" s="84"/>
      <c r="OQD196" s="84"/>
      <c r="OQE196" s="84"/>
      <c r="OQF196" s="84"/>
      <c r="OQG196" s="84"/>
      <c r="OQH196" s="84"/>
      <c r="OQI196" s="84"/>
      <c r="OQJ196" s="84"/>
      <c r="OQK196" s="84"/>
      <c r="OQL196" s="84"/>
      <c r="OQM196" s="84"/>
      <c r="OQN196" s="84"/>
      <c r="OQO196" s="84"/>
      <c r="OQP196" s="84"/>
      <c r="OQQ196" s="84"/>
      <c r="OQR196" s="84"/>
      <c r="OQS196" s="84"/>
      <c r="OQT196" s="84"/>
      <c r="OQU196" s="84"/>
      <c r="OQV196" s="84"/>
      <c r="OQW196" s="84"/>
      <c r="OQX196" s="84"/>
      <c r="OQY196" s="84"/>
      <c r="OQZ196" s="84"/>
      <c r="ORA196" s="84"/>
      <c r="ORB196" s="84"/>
      <c r="ORC196" s="84"/>
      <c r="ORD196" s="84"/>
      <c r="ORE196" s="84"/>
      <c r="ORF196" s="84"/>
      <c r="ORG196" s="84"/>
      <c r="ORH196" s="84"/>
      <c r="ORI196" s="84"/>
      <c r="ORJ196" s="84"/>
      <c r="ORK196" s="84"/>
      <c r="ORL196" s="84"/>
      <c r="ORM196" s="84"/>
      <c r="ORN196" s="84"/>
      <c r="ORO196" s="84"/>
      <c r="ORP196" s="84"/>
      <c r="ORQ196" s="84"/>
      <c r="ORR196" s="84"/>
      <c r="ORS196" s="84"/>
      <c r="ORT196" s="84"/>
      <c r="ORU196" s="84"/>
      <c r="ORV196" s="84"/>
      <c r="ORW196" s="84"/>
      <c r="ORX196" s="84"/>
      <c r="ORY196" s="84"/>
      <c r="ORZ196" s="84"/>
      <c r="OSA196" s="84"/>
      <c r="OSB196" s="84"/>
      <c r="OSC196" s="84"/>
      <c r="OSD196" s="84"/>
      <c r="OSE196" s="84"/>
      <c r="OSF196" s="84"/>
      <c r="OSG196" s="84"/>
      <c r="OSH196" s="84"/>
      <c r="OSI196" s="84"/>
      <c r="OSJ196" s="84"/>
      <c r="OSK196" s="84"/>
      <c r="OSL196" s="84"/>
      <c r="OSM196" s="84"/>
      <c r="OSN196" s="84"/>
      <c r="OSO196" s="84"/>
      <c r="OSP196" s="84"/>
      <c r="OSQ196" s="84"/>
      <c r="OSR196" s="84"/>
      <c r="OSS196" s="84"/>
      <c r="OST196" s="84"/>
      <c r="OSU196" s="84"/>
      <c r="OSV196" s="84"/>
      <c r="OSW196" s="84"/>
      <c r="OSX196" s="84"/>
      <c r="OSY196" s="84"/>
      <c r="OSZ196" s="84"/>
      <c r="OTA196" s="84"/>
      <c r="OTB196" s="84"/>
      <c r="OTC196" s="84"/>
      <c r="OTD196" s="84"/>
      <c r="OTE196" s="84"/>
      <c r="OTF196" s="84"/>
      <c r="OTG196" s="84"/>
      <c r="OTH196" s="84"/>
      <c r="OTI196" s="84"/>
      <c r="OTJ196" s="84"/>
      <c r="OTK196" s="84"/>
      <c r="OTL196" s="84"/>
      <c r="OTM196" s="84"/>
      <c r="OTN196" s="84"/>
      <c r="OTO196" s="84"/>
      <c r="OTP196" s="84"/>
      <c r="OTQ196" s="84"/>
      <c r="OTR196" s="84"/>
      <c r="OTS196" s="84"/>
      <c r="OTT196" s="84"/>
      <c r="OTU196" s="84"/>
      <c r="OTV196" s="84"/>
      <c r="OTW196" s="84"/>
      <c r="OTX196" s="84"/>
      <c r="OTY196" s="84"/>
      <c r="OTZ196" s="84"/>
      <c r="OUA196" s="84"/>
      <c r="OUB196" s="84"/>
      <c r="OUC196" s="84"/>
      <c r="OUD196" s="84"/>
      <c r="OUE196" s="84"/>
      <c r="OUF196" s="84"/>
      <c r="OUG196" s="84"/>
      <c r="OUH196" s="84"/>
      <c r="OUI196" s="84"/>
      <c r="OUJ196" s="84"/>
      <c r="OUK196" s="84"/>
      <c r="OUL196" s="84"/>
      <c r="OUM196" s="84"/>
      <c r="OUN196" s="84"/>
      <c r="OUO196" s="84"/>
      <c r="OUP196" s="84"/>
      <c r="OUQ196" s="84"/>
      <c r="OUR196" s="84"/>
      <c r="OUS196" s="84"/>
      <c r="OUT196" s="84"/>
      <c r="OUU196" s="84"/>
      <c r="OUV196" s="84"/>
      <c r="OUW196" s="84"/>
      <c r="OUX196" s="84"/>
      <c r="OUY196" s="84"/>
      <c r="OUZ196" s="84"/>
      <c r="OVA196" s="84"/>
      <c r="OVB196" s="84"/>
      <c r="OVC196" s="84"/>
      <c r="OVD196" s="84"/>
      <c r="OVE196" s="84"/>
      <c r="OVF196" s="84"/>
      <c r="OVG196" s="84"/>
      <c r="OVH196" s="84"/>
      <c r="OVI196" s="84"/>
      <c r="OVJ196" s="84"/>
      <c r="OVK196" s="84"/>
      <c r="OVL196" s="84"/>
      <c r="OVM196" s="84"/>
      <c r="OVN196" s="84"/>
      <c r="OVO196" s="84"/>
      <c r="OVP196" s="84"/>
      <c r="OVQ196" s="84"/>
      <c r="OVR196" s="84"/>
      <c r="OVS196" s="84"/>
      <c r="OVT196" s="84"/>
      <c r="OVU196" s="84"/>
      <c r="OVV196" s="84"/>
      <c r="OVW196" s="84"/>
      <c r="OVX196" s="84"/>
      <c r="OVY196" s="84"/>
      <c r="OVZ196" s="84"/>
      <c r="OWA196" s="84"/>
      <c r="OWB196" s="84"/>
      <c r="OWC196" s="84"/>
      <c r="OWD196" s="84"/>
      <c r="OWE196" s="84"/>
      <c r="OWF196" s="84"/>
      <c r="OWG196" s="84"/>
      <c r="OWH196" s="84"/>
      <c r="OWI196" s="84"/>
      <c r="OWJ196" s="84"/>
      <c r="OWK196" s="84"/>
      <c r="OWL196" s="84"/>
      <c r="OWM196" s="84"/>
      <c r="OWN196" s="84"/>
      <c r="OWO196" s="84"/>
      <c r="OWP196" s="84"/>
      <c r="OWQ196" s="84"/>
      <c r="OWR196" s="84"/>
      <c r="OWS196" s="84"/>
      <c r="OWT196" s="84"/>
      <c r="OWU196" s="84"/>
      <c r="OWV196" s="84"/>
      <c r="OWW196" s="84"/>
      <c r="OWX196" s="84"/>
      <c r="OWY196" s="84"/>
      <c r="OWZ196" s="84"/>
      <c r="OXA196" s="84"/>
      <c r="OXB196" s="84"/>
      <c r="OXC196" s="84"/>
      <c r="OXD196" s="84"/>
      <c r="OXE196" s="84"/>
      <c r="OXF196" s="84"/>
      <c r="OXG196" s="84"/>
      <c r="OXH196" s="84"/>
      <c r="OXI196" s="84"/>
      <c r="OXJ196" s="84"/>
      <c r="OXK196" s="84"/>
      <c r="OXL196" s="84"/>
      <c r="OXM196" s="84"/>
      <c r="OXN196" s="84"/>
      <c r="OXO196" s="84"/>
      <c r="OXP196" s="84"/>
      <c r="OXQ196" s="84"/>
      <c r="OXR196" s="84"/>
      <c r="OXS196" s="84"/>
      <c r="OXT196" s="84"/>
      <c r="OXU196" s="84"/>
      <c r="OXV196" s="84"/>
      <c r="OXW196" s="84"/>
      <c r="OXX196" s="84"/>
      <c r="OXY196" s="84"/>
      <c r="OXZ196" s="84"/>
      <c r="OYA196" s="84"/>
      <c r="OYB196" s="84"/>
      <c r="OYC196" s="84"/>
      <c r="OYD196" s="84"/>
      <c r="OYE196" s="84"/>
      <c r="OYF196" s="84"/>
      <c r="OYG196" s="84"/>
      <c r="OYH196" s="84"/>
      <c r="OYI196" s="84"/>
      <c r="OYJ196" s="84"/>
      <c r="OYK196" s="84"/>
      <c r="OYL196" s="84"/>
      <c r="OYM196" s="84"/>
      <c r="OYN196" s="84"/>
      <c r="OYO196" s="84"/>
      <c r="OYP196" s="84"/>
      <c r="OYQ196" s="84"/>
      <c r="OYR196" s="84"/>
      <c r="OYS196" s="84"/>
      <c r="OYT196" s="84"/>
      <c r="OYU196" s="84"/>
      <c r="OYV196" s="84"/>
      <c r="OYW196" s="84"/>
      <c r="OYX196" s="84"/>
      <c r="OYY196" s="84"/>
      <c r="OYZ196" s="84"/>
      <c r="OZA196" s="84"/>
      <c r="OZB196" s="84"/>
      <c r="OZC196" s="84"/>
      <c r="OZD196" s="84"/>
      <c r="OZE196" s="84"/>
      <c r="OZF196" s="84"/>
      <c r="OZG196" s="84"/>
      <c r="OZH196" s="84"/>
      <c r="OZI196" s="84"/>
      <c r="OZJ196" s="84"/>
      <c r="OZK196" s="84"/>
      <c r="OZL196" s="84"/>
      <c r="OZM196" s="84"/>
      <c r="OZN196" s="84"/>
      <c r="OZO196" s="84"/>
      <c r="OZP196" s="84"/>
      <c r="OZQ196" s="84"/>
      <c r="OZR196" s="84"/>
      <c r="OZS196" s="84"/>
      <c r="OZT196" s="84"/>
      <c r="OZU196" s="84"/>
      <c r="OZV196" s="84"/>
      <c r="OZW196" s="84"/>
      <c r="OZX196" s="84"/>
      <c r="OZY196" s="84"/>
      <c r="OZZ196" s="84"/>
      <c r="PAA196" s="84"/>
      <c r="PAB196" s="84"/>
      <c r="PAC196" s="84"/>
      <c r="PAD196" s="84"/>
      <c r="PAE196" s="84"/>
      <c r="PAF196" s="84"/>
      <c r="PAG196" s="84"/>
      <c r="PAH196" s="84"/>
      <c r="PAI196" s="84"/>
      <c r="PAJ196" s="84"/>
      <c r="PAK196" s="84"/>
      <c r="PAL196" s="84"/>
      <c r="PAM196" s="84"/>
      <c r="PAN196" s="84"/>
      <c r="PAO196" s="84"/>
      <c r="PAP196" s="84"/>
      <c r="PAQ196" s="84"/>
      <c r="PAR196" s="84"/>
      <c r="PAS196" s="84"/>
      <c r="PAT196" s="84"/>
      <c r="PAU196" s="84"/>
      <c r="PAV196" s="84"/>
      <c r="PAW196" s="84"/>
      <c r="PAX196" s="84"/>
      <c r="PAY196" s="84"/>
      <c r="PAZ196" s="84"/>
      <c r="PBA196" s="84"/>
      <c r="PBB196" s="84"/>
      <c r="PBC196" s="84"/>
      <c r="PBD196" s="84"/>
      <c r="PBE196" s="84"/>
      <c r="PBF196" s="84"/>
      <c r="PBG196" s="84"/>
      <c r="PBH196" s="84"/>
      <c r="PBI196" s="84"/>
      <c r="PBJ196" s="84"/>
      <c r="PBK196" s="84"/>
      <c r="PBL196" s="84"/>
      <c r="PBM196" s="84"/>
      <c r="PBN196" s="84"/>
      <c r="PBO196" s="84"/>
      <c r="PBP196" s="84"/>
      <c r="PBQ196" s="84"/>
      <c r="PBR196" s="84"/>
      <c r="PBS196" s="84"/>
      <c r="PBT196" s="84"/>
      <c r="PBU196" s="84"/>
      <c r="PBV196" s="84"/>
      <c r="PBW196" s="84"/>
      <c r="PBX196" s="84"/>
      <c r="PBY196" s="84"/>
      <c r="PBZ196" s="84"/>
      <c r="PCA196" s="84"/>
      <c r="PCB196" s="84"/>
      <c r="PCC196" s="84"/>
      <c r="PCD196" s="84"/>
      <c r="PCE196" s="84"/>
      <c r="PCF196" s="84"/>
      <c r="PCG196" s="84"/>
      <c r="PCH196" s="84"/>
      <c r="PCI196" s="84"/>
      <c r="PCJ196" s="84"/>
      <c r="PCK196" s="84"/>
      <c r="PCL196" s="84"/>
      <c r="PCM196" s="84"/>
      <c r="PCN196" s="84"/>
      <c r="PCO196" s="84"/>
      <c r="PCP196" s="84"/>
      <c r="PCQ196" s="84"/>
      <c r="PCR196" s="84"/>
      <c r="PCS196" s="84"/>
      <c r="PCT196" s="84"/>
      <c r="PCU196" s="84"/>
      <c r="PCV196" s="84"/>
      <c r="PCW196" s="84"/>
      <c r="PCX196" s="84"/>
      <c r="PCY196" s="84"/>
      <c r="PCZ196" s="84"/>
      <c r="PDA196" s="84"/>
      <c r="PDB196" s="84"/>
      <c r="PDC196" s="84"/>
      <c r="PDD196" s="84"/>
      <c r="PDE196" s="84"/>
      <c r="PDF196" s="84"/>
      <c r="PDG196" s="84"/>
      <c r="PDH196" s="84"/>
      <c r="PDI196" s="84"/>
      <c r="PDJ196" s="84"/>
      <c r="PDK196" s="84"/>
      <c r="PDL196" s="84"/>
      <c r="PDM196" s="84"/>
      <c r="PDN196" s="84"/>
      <c r="PDO196" s="84"/>
      <c r="PDP196" s="84"/>
      <c r="PDQ196" s="84"/>
      <c r="PDR196" s="84"/>
      <c r="PDS196" s="84"/>
      <c r="PDT196" s="84"/>
      <c r="PDU196" s="84"/>
      <c r="PDV196" s="84"/>
      <c r="PDW196" s="84"/>
      <c r="PDX196" s="84"/>
      <c r="PDY196" s="84"/>
      <c r="PDZ196" s="84"/>
      <c r="PEA196" s="84"/>
      <c r="PEB196" s="84"/>
      <c r="PEC196" s="84"/>
      <c r="PED196" s="84"/>
      <c r="PEE196" s="84"/>
      <c r="PEF196" s="84"/>
      <c r="PEG196" s="84"/>
      <c r="PEH196" s="84"/>
      <c r="PEI196" s="84"/>
      <c r="PEJ196" s="84"/>
      <c r="PEK196" s="84"/>
      <c r="PEL196" s="84"/>
      <c r="PEM196" s="84"/>
      <c r="PEN196" s="84"/>
      <c r="PEO196" s="84"/>
      <c r="PEP196" s="84"/>
      <c r="PEQ196" s="84"/>
      <c r="PER196" s="84"/>
      <c r="PES196" s="84"/>
      <c r="PET196" s="84"/>
      <c r="PEU196" s="84"/>
      <c r="PEV196" s="84"/>
      <c r="PEW196" s="84"/>
      <c r="PEX196" s="84"/>
      <c r="PEY196" s="84"/>
      <c r="PEZ196" s="84"/>
      <c r="PFA196" s="84"/>
      <c r="PFB196" s="84"/>
      <c r="PFC196" s="84"/>
      <c r="PFD196" s="84"/>
      <c r="PFE196" s="84"/>
      <c r="PFF196" s="84"/>
      <c r="PFG196" s="84"/>
      <c r="PFH196" s="84"/>
      <c r="PFI196" s="84"/>
      <c r="PFJ196" s="84"/>
      <c r="PFK196" s="84"/>
      <c r="PFL196" s="84"/>
      <c r="PFM196" s="84"/>
      <c r="PFN196" s="84"/>
      <c r="PFO196" s="84"/>
      <c r="PFP196" s="84"/>
      <c r="PFQ196" s="84"/>
      <c r="PFR196" s="84"/>
      <c r="PFS196" s="84"/>
      <c r="PFT196" s="84"/>
      <c r="PFU196" s="84"/>
      <c r="PFV196" s="84"/>
      <c r="PFW196" s="84"/>
      <c r="PFX196" s="84"/>
      <c r="PFY196" s="84"/>
      <c r="PFZ196" s="84"/>
      <c r="PGA196" s="84"/>
      <c r="PGB196" s="84"/>
      <c r="PGC196" s="84"/>
      <c r="PGD196" s="84"/>
      <c r="PGE196" s="84"/>
      <c r="PGF196" s="84"/>
      <c r="PGG196" s="84"/>
      <c r="PGH196" s="84"/>
      <c r="PGI196" s="84"/>
      <c r="PGJ196" s="84"/>
      <c r="PGK196" s="84"/>
      <c r="PGL196" s="84"/>
      <c r="PGM196" s="84"/>
      <c r="PGN196" s="84"/>
      <c r="PGO196" s="84"/>
      <c r="PGP196" s="84"/>
      <c r="PGQ196" s="84"/>
      <c r="PGR196" s="84"/>
      <c r="PGS196" s="84"/>
      <c r="PGT196" s="84"/>
      <c r="PGU196" s="84"/>
      <c r="PGV196" s="84"/>
      <c r="PGW196" s="84"/>
      <c r="PGX196" s="84"/>
      <c r="PGY196" s="84"/>
      <c r="PGZ196" s="84"/>
      <c r="PHA196" s="84"/>
      <c r="PHB196" s="84"/>
      <c r="PHC196" s="84"/>
      <c r="PHD196" s="84"/>
      <c r="PHE196" s="84"/>
      <c r="PHF196" s="84"/>
      <c r="PHG196" s="84"/>
      <c r="PHH196" s="84"/>
      <c r="PHI196" s="84"/>
      <c r="PHJ196" s="84"/>
      <c r="PHK196" s="84"/>
      <c r="PHL196" s="84"/>
      <c r="PHM196" s="84"/>
      <c r="PHN196" s="84"/>
      <c r="PHO196" s="84"/>
      <c r="PHP196" s="84"/>
      <c r="PHQ196" s="84"/>
      <c r="PHR196" s="84"/>
      <c r="PHS196" s="84"/>
      <c r="PHT196" s="84"/>
      <c r="PHU196" s="84"/>
      <c r="PHV196" s="84"/>
      <c r="PHW196" s="84"/>
      <c r="PHX196" s="84"/>
      <c r="PHY196" s="84"/>
      <c r="PHZ196" s="84"/>
      <c r="PIA196" s="84"/>
      <c r="PIB196" s="84"/>
      <c r="PIC196" s="84"/>
      <c r="PID196" s="84"/>
      <c r="PIE196" s="84"/>
      <c r="PIF196" s="84"/>
      <c r="PIG196" s="84"/>
      <c r="PIH196" s="84"/>
      <c r="PII196" s="84"/>
      <c r="PIJ196" s="84"/>
      <c r="PIK196" s="84"/>
      <c r="PIL196" s="84"/>
      <c r="PIM196" s="84"/>
      <c r="PIN196" s="84"/>
      <c r="PIO196" s="84"/>
      <c r="PIP196" s="84"/>
      <c r="PIQ196" s="84"/>
      <c r="PIR196" s="84"/>
      <c r="PIS196" s="84"/>
      <c r="PIT196" s="84"/>
      <c r="PIU196" s="84"/>
      <c r="PIV196" s="84"/>
      <c r="PIW196" s="84"/>
      <c r="PIX196" s="84"/>
      <c r="PIY196" s="84"/>
      <c r="PIZ196" s="84"/>
      <c r="PJA196" s="84"/>
      <c r="PJB196" s="84"/>
      <c r="PJC196" s="84"/>
      <c r="PJD196" s="84"/>
      <c r="PJE196" s="84"/>
      <c r="PJF196" s="84"/>
      <c r="PJG196" s="84"/>
      <c r="PJH196" s="84"/>
      <c r="PJI196" s="84"/>
      <c r="PJJ196" s="84"/>
      <c r="PJK196" s="84"/>
      <c r="PJL196" s="84"/>
      <c r="PJM196" s="84"/>
      <c r="PJN196" s="84"/>
      <c r="PJO196" s="84"/>
      <c r="PJP196" s="84"/>
      <c r="PJQ196" s="84"/>
      <c r="PJR196" s="84"/>
      <c r="PJS196" s="84"/>
      <c r="PJT196" s="84"/>
      <c r="PJU196" s="84"/>
      <c r="PJV196" s="84"/>
      <c r="PJW196" s="84"/>
      <c r="PJX196" s="84"/>
      <c r="PJY196" s="84"/>
      <c r="PJZ196" s="84"/>
      <c r="PKA196" s="84"/>
      <c r="PKB196" s="84"/>
      <c r="PKC196" s="84"/>
      <c r="PKD196" s="84"/>
      <c r="PKE196" s="84"/>
      <c r="PKF196" s="84"/>
      <c r="PKG196" s="84"/>
      <c r="PKH196" s="84"/>
      <c r="PKI196" s="84"/>
      <c r="PKJ196" s="84"/>
      <c r="PKK196" s="84"/>
      <c r="PKL196" s="84"/>
      <c r="PKM196" s="84"/>
      <c r="PKN196" s="84"/>
      <c r="PKO196" s="84"/>
      <c r="PKP196" s="84"/>
      <c r="PKQ196" s="84"/>
      <c r="PKR196" s="84"/>
      <c r="PKS196" s="84"/>
      <c r="PKT196" s="84"/>
      <c r="PKU196" s="84"/>
      <c r="PKV196" s="84"/>
      <c r="PKW196" s="84"/>
      <c r="PKX196" s="84"/>
      <c r="PKY196" s="84"/>
      <c r="PKZ196" s="84"/>
      <c r="PLA196" s="84"/>
      <c r="PLB196" s="84"/>
      <c r="PLC196" s="84"/>
      <c r="PLD196" s="84"/>
      <c r="PLE196" s="84"/>
      <c r="PLF196" s="84"/>
      <c r="PLG196" s="84"/>
      <c r="PLH196" s="84"/>
      <c r="PLI196" s="84"/>
      <c r="PLJ196" s="84"/>
      <c r="PLK196" s="84"/>
      <c r="PLL196" s="84"/>
      <c r="PLM196" s="84"/>
      <c r="PLN196" s="84"/>
      <c r="PLO196" s="84"/>
      <c r="PLP196" s="84"/>
      <c r="PLQ196" s="84"/>
      <c r="PLR196" s="84"/>
      <c r="PLS196" s="84"/>
      <c r="PLT196" s="84"/>
      <c r="PLU196" s="84"/>
      <c r="PLV196" s="84"/>
      <c r="PLW196" s="84"/>
      <c r="PLX196" s="84"/>
      <c r="PLY196" s="84"/>
      <c r="PLZ196" s="84"/>
      <c r="PMA196" s="84"/>
      <c r="PMB196" s="84"/>
      <c r="PMC196" s="84"/>
      <c r="PMD196" s="84"/>
      <c r="PME196" s="84"/>
      <c r="PMF196" s="84"/>
      <c r="PMG196" s="84"/>
      <c r="PMH196" s="84"/>
      <c r="PMI196" s="84"/>
      <c r="PMJ196" s="84"/>
      <c r="PMK196" s="84"/>
      <c r="PML196" s="84"/>
      <c r="PMM196" s="84"/>
      <c r="PMN196" s="84"/>
      <c r="PMO196" s="84"/>
      <c r="PMP196" s="84"/>
      <c r="PMQ196" s="84"/>
      <c r="PMR196" s="84"/>
      <c r="PMS196" s="84"/>
      <c r="PMT196" s="84"/>
      <c r="PMU196" s="84"/>
      <c r="PMV196" s="84"/>
      <c r="PMW196" s="84"/>
      <c r="PMX196" s="84"/>
      <c r="PMY196" s="84"/>
      <c r="PMZ196" s="84"/>
      <c r="PNA196" s="84"/>
      <c r="PNB196" s="84"/>
      <c r="PNC196" s="84"/>
      <c r="PND196" s="84"/>
      <c r="PNE196" s="84"/>
      <c r="PNF196" s="84"/>
      <c r="PNG196" s="84"/>
      <c r="PNH196" s="84"/>
      <c r="PNI196" s="84"/>
      <c r="PNJ196" s="84"/>
      <c r="PNK196" s="84"/>
      <c r="PNL196" s="84"/>
      <c r="PNM196" s="84"/>
      <c r="PNN196" s="84"/>
      <c r="PNO196" s="84"/>
      <c r="PNP196" s="84"/>
      <c r="PNQ196" s="84"/>
      <c r="PNR196" s="84"/>
      <c r="PNS196" s="84"/>
      <c r="PNT196" s="84"/>
      <c r="PNU196" s="84"/>
      <c r="PNV196" s="84"/>
      <c r="PNW196" s="84"/>
      <c r="PNX196" s="84"/>
      <c r="PNY196" s="84"/>
      <c r="PNZ196" s="84"/>
      <c r="POA196" s="84"/>
      <c r="POB196" s="84"/>
      <c r="POC196" s="84"/>
      <c r="POD196" s="84"/>
      <c r="POE196" s="84"/>
      <c r="POF196" s="84"/>
      <c r="POG196" s="84"/>
      <c r="POH196" s="84"/>
      <c r="POI196" s="84"/>
      <c r="POJ196" s="84"/>
      <c r="POK196" s="84"/>
      <c r="POL196" s="84"/>
      <c r="POM196" s="84"/>
      <c r="PON196" s="84"/>
      <c r="POO196" s="84"/>
      <c r="POP196" s="84"/>
      <c r="POQ196" s="84"/>
      <c r="POR196" s="84"/>
      <c r="POS196" s="84"/>
      <c r="POT196" s="84"/>
      <c r="POU196" s="84"/>
      <c r="POV196" s="84"/>
      <c r="POW196" s="84"/>
      <c r="POX196" s="84"/>
      <c r="POY196" s="84"/>
      <c r="POZ196" s="84"/>
      <c r="PPA196" s="84"/>
      <c r="PPB196" s="84"/>
      <c r="PPC196" s="84"/>
      <c r="PPD196" s="84"/>
      <c r="PPE196" s="84"/>
      <c r="PPF196" s="84"/>
      <c r="PPG196" s="84"/>
      <c r="PPH196" s="84"/>
      <c r="PPI196" s="84"/>
      <c r="PPJ196" s="84"/>
      <c r="PPK196" s="84"/>
      <c r="PPL196" s="84"/>
      <c r="PPM196" s="84"/>
      <c r="PPN196" s="84"/>
      <c r="PPO196" s="84"/>
      <c r="PPP196" s="84"/>
      <c r="PPQ196" s="84"/>
      <c r="PPR196" s="84"/>
      <c r="PPS196" s="84"/>
      <c r="PPT196" s="84"/>
      <c r="PPU196" s="84"/>
      <c r="PPV196" s="84"/>
      <c r="PPW196" s="84"/>
      <c r="PPX196" s="84"/>
      <c r="PPY196" s="84"/>
      <c r="PPZ196" s="84"/>
      <c r="PQA196" s="84"/>
      <c r="PQB196" s="84"/>
      <c r="PQC196" s="84"/>
      <c r="PQD196" s="84"/>
      <c r="PQE196" s="84"/>
      <c r="PQF196" s="84"/>
      <c r="PQG196" s="84"/>
      <c r="PQH196" s="84"/>
      <c r="PQI196" s="84"/>
      <c r="PQJ196" s="84"/>
      <c r="PQK196" s="84"/>
      <c r="PQL196" s="84"/>
      <c r="PQM196" s="84"/>
      <c r="PQN196" s="84"/>
      <c r="PQO196" s="84"/>
      <c r="PQP196" s="84"/>
      <c r="PQQ196" s="84"/>
      <c r="PQR196" s="84"/>
      <c r="PQS196" s="84"/>
      <c r="PQT196" s="84"/>
      <c r="PQU196" s="84"/>
      <c r="PQV196" s="84"/>
      <c r="PQW196" s="84"/>
      <c r="PQX196" s="84"/>
      <c r="PQY196" s="84"/>
      <c r="PQZ196" s="84"/>
      <c r="PRA196" s="84"/>
      <c r="PRB196" s="84"/>
      <c r="PRC196" s="84"/>
      <c r="PRD196" s="84"/>
      <c r="PRE196" s="84"/>
      <c r="PRF196" s="84"/>
      <c r="PRG196" s="84"/>
      <c r="PRH196" s="84"/>
      <c r="PRI196" s="84"/>
      <c r="PRJ196" s="84"/>
      <c r="PRK196" s="84"/>
      <c r="PRL196" s="84"/>
      <c r="PRM196" s="84"/>
      <c r="PRN196" s="84"/>
      <c r="PRO196" s="84"/>
      <c r="PRP196" s="84"/>
      <c r="PRQ196" s="84"/>
      <c r="PRR196" s="84"/>
      <c r="PRS196" s="84"/>
      <c r="PRT196" s="84"/>
      <c r="PRU196" s="84"/>
      <c r="PRV196" s="84"/>
      <c r="PRW196" s="84"/>
      <c r="PRX196" s="84"/>
      <c r="PRY196" s="84"/>
      <c r="PRZ196" s="84"/>
      <c r="PSA196" s="84"/>
      <c r="PSB196" s="84"/>
      <c r="PSC196" s="84"/>
      <c r="PSD196" s="84"/>
      <c r="PSE196" s="84"/>
      <c r="PSF196" s="84"/>
      <c r="PSG196" s="84"/>
      <c r="PSH196" s="84"/>
      <c r="PSI196" s="84"/>
      <c r="PSJ196" s="84"/>
      <c r="PSK196" s="84"/>
      <c r="PSL196" s="84"/>
      <c r="PSM196" s="84"/>
      <c r="PSN196" s="84"/>
      <c r="PSO196" s="84"/>
      <c r="PSP196" s="84"/>
      <c r="PSQ196" s="84"/>
      <c r="PSR196" s="84"/>
      <c r="PSS196" s="84"/>
      <c r="PST196" s="84"/>
      <c r="PSU196" s="84"/>
      <c r="PSV196" s="84"/>
      <c r="PSW196" s="84"/>
      <c r="PSX196" s="84"/>
      <c r="PSY196" s="84"/>
      <c r="PSZ196" s="84"/>
      <c r="PTA196" s="84"/>
      <c r="PTB196" s="84"/>
      <c r="PTC196" s="84"/>
      <c r="PTD196" s="84"/>
      <c r="PTE196" s="84"/>
      <c r="PTF196" s="84"/>
      <c r="PTG196" s="84"/>
      <c r="PTH196" s="84"/>
      <c r="PTI196" s="84"/>
      <c r="PTJ196" s="84"/>
      <c r="PTK196" s="84"/>
      <c r="PTL196" s="84"/>
      <c r="PTM196" s="84"/>
      <c r="PTN196" s="84"/>
      <c r="PTO196" s="84"/>
      <c r="PTP196" s="84"/>
      <c r="PTQ196" s="84"/>
      <c r="PTR196" s="84"/>
      <c r="PTS196" s="84"/>
      <c r="PTT196" s="84"/>
      <c r="PTU196" s="84"/>
      <c r="PTV196" s="84"/>
      <c r="PTW196" s="84"/>
      <c r="PTX196" s="84"/>
      <c r="PTY196" s="84"/>
      <c r="PTZ196" s="84"/>
      <c r="PUA196" s="84"/>
      <c r="PUB196" s="84"/>
      <c r="PUC196" s="84"/>
      <c r="PUD196" s="84"/>
      <c r="PUE196" s="84"/>
      <c r="PUF196" s="84"/>
      <c r="PUG196" s="84"/>
      <c r="PUH196" s="84"/>
      <c r="PUI196" s="84"/>
      <c r="PUJ196" s="84"/>
      <c r="PUK196" s="84"/>
      <c r="PUL196" s="84"/>
      <c r="PUM196" s="84"/>
      <c r="PUN196" s="84"/>
      <c r="PUO196" s="84"/>
      <c r="PUP196" s="84"/>
      <c r="PUQ196" s="84"/>
      <c r="PUR196" s="84"/>
      <c r="PUS196" s="84"/>
      <c r="PUT196" s="84"/>
      <c r="PUU196" s="84"/>
      <c r="PUV196" s="84"/>
      <c r="PUW196" s="84"/>
      <c r="PUX196" s="84"/>
      <c r="PUY196" s="84"/>
      <c r="PUZ196" s="84"/>
      <c r="PVA196" s="84"/>
      <c r="PVB196" s="84"/>
      <c r="PVC196" s="84"/>
      <c r="PVD196" s="84"/>
      <c r="PVE196" s="84"/>
      <c r="PVF196" s="84"/>
      <c r="PVG196" s="84"/>
      <c r="PVH196" s="84"/>
      <c r="PVI196" s="84"/>
      <c r="PVJ196" s="84"/>
      <c r="PVK196" s="84"/>
      <c r="PVL196" s="84"/>
      <c r="PVM196" s="84"/>
      <c r="PVN196" s="84"/>
      <c r="PVO196" s="84"/>
      <c r="PVP196" s="84"/>
      <c r="PVQ196" s="84"/>
      <c r="PVR196" s="84"/>
      <c r="PVS196" s="84"/>
      <c r="PVT196" s="84"/>
      <c r="PVU196" s="84"/>
      <c r="PVV196" s="84"/>
      <c r="PVW196" s="84"/>
      <c r="PVX196" s="84"/>
      <c r="PVY196" s="84"/>
      <c r="PVZ196" s="84"/>
      <c r="PWA196" s="84"/>
      <c r="PWB196" s="84"/>
      <c r="PWC196" s="84"/>
      <c r="PWD196" s="84"/>
      <c r="PWE196" s="84"/>
      <c r="PWF196" s="84"/>
      <c r="PWG196" s="84"/>
      <c r="PWH196" s="84"/>
      <c r="PWI196" s="84"/>
      <c r="PWJ196" s="84"/>
      <c r="PWK196" s="84"/>
      <c r="PWL196" s="84"/>
      <c r="PWM196" s="84"/>
      <c r="PWN196" s="84"/>
      <c r="PWO196" s="84"/>
      <c r="PWP196" s="84"/>
      <c r="PWQ196" s="84"/>
      <c r="PWR196" s="84"/>
      <c r="PWS196" s="84"/>
      <c r="PWT196" s="84"/>
      <c r="PWU196" s="84"/>
      <c r="PWV196" s="84"/>
      <c r="PWW196" s="84"/>
      <c r="PWX196" s="84"/>
      <c r="PWY196" s="84"/>
      <c r="PWZ196" s="84"/>
      <c r="PXA196" s="84"/>
      <c r="PXB196" s="84"/>
      <c r="PXC196" s="84"/>
      <c r="PXD196" s="84"/>
      <c r="PXE196" s="84"/>
      <c r="PXF196" s="84"/>
      <c r="PXG196" s="84"/>
      <c r="PXH196" s="84"/>
      <c r="PXI196" s="84"/>
      <c r="PXJ196" s="84"/>
      <c r="PXK196" s="84"/>
      <c r="PXL196" s="84"/>
      <c r="PXM196" s="84"/>
      <c r="PXN196" s="84"/>
      <c r="PXO196" s="84"/>
      <c r="PXP196" s="84"/>
      <c r="PXQ196" s="84"/>
      <c r="PXR196" s="84"/>
      <c r="PXS196" s="84"/>
      <c r="PXT196" s="84"/>
      <c r="PXU196" s="84"/>
      <c r="PXV196" s="84"/>
      <c r="PXW196" s="84"/>
      <c r="PXX196" s="84"/>
      <c r="PXY196" s="84"/>
      <c r="PXZ196" s="84"/>
      <c r="PYA196" s="84"/>
      <c r="PYB196" s="84"/>
      <c r="PYC196" s="84"/>
      <c r="PYD196" s="84"/>
      <c r="PYE196" s="84"/>
      <c r="PYF196" s="84"/>
      <c r="PYG196" s="84"/>
      <c r="PYH196" s="84"/>
      <c r="PYI196" s="84"/>
      <c r="PYJ196" s="84"/>
      <c r="PYK196" s="84"/>
      <c r="PYL196" s="84"/>
      <c r="PYM196" s="84"/>
      <c r="PYN196" s="84"/>
      <c r="PYO196" s="84"/>
      <c r="PYP196" s="84"/>
      <c r="PYQ196" s="84"/>
      <c r="PYR196" s="84"/>
      <c r="PYS196" s="84"/>
      <c r="PYT196" s="84"/>
      <c r="PYU196" s="84"/>
      <c r="PYV196" s="84"/>
      <c r="PYW196" s="84"/>
      <c r="PYX196" s="84"/>
      <c r="PYY196" s="84"/>
      <c r="PYZ196" s="84"/>
      <c r="PZA196" s="84"/>
      <c r="PZB196" s="84"/>
      <c r="PZC196" s="84"/>
      <c r="PZD196" s="84"/>
      <c r="PZE196" s="84"/>
      <c r="PZF196" s="84"/>
      <c r="PZG196" s="84"/>
      <c r="PZH196" s="84"/>
      <c r="PZI196" s="84"/>
      <c r="PZJ196" s="84"/>
      <c r="PZK196" s="84"/>
      <c r="PZL196" s="84"/>
      <c r="PZM196" s="84"/>
      <c r="PZN196" s="84"/>
      <c r="PZO196" s="84"/>
      <c r="PZP196" s="84"/>
      <c r="PZQ196" s="84"/>
      <c r="PZR196" s="84"/>
      <c r="PZS196" s="84"/>
      <c r="PZT196" s="84"/>
      <c r="PZU196" s="84"/>
      <c r="PZV196" s="84"/>
      <c r="PZW196" s="84"/>
      <c r="PZX196" s="84"/>
      <c r="PZY196" s="84"/>
      <c r="PZZ196" s="84"/>
      <c r="QAA196" s="84"/>
      <c r="QAB196" s="84"/>
      <c r="QAC196" s="84"/>
      <c r="QAD196" s="84"/>
      <c r="QAE196" s="84"/>
      <c r="QAF196" s="84"/>
      <c r="QAG196" s="84"/>
      <c r="QAH196" s="84"/>
      <c r="QAI196" s="84"/>
      <c r="QAJ196" s="84"/>
      <c r="QAK196" s="84"/>
      <c r="QAL196" s="84"/>
      <c r="QAM196" s="84"/>
      <c r="QAN196" s="84"/>
      <c r="QAO196" s="84"/>
      <c r="QAP196" s="84"/>
      <c r="QAQ196" s="84"/>
      <c r="QAR196" s="84"/>
      <c r="QAS196" s="84"/>
      <c r="QAT196" s="84"/>
      <c r="QAU196" s="84"/>
      <c r="QAV196" s="84"/>
      <c r="QAW196" s="84"/>
      <c r="QAX196" s="84"/>
      <c r="QAY196" s="84"/>
      <c r="QAZ196" s="84"/>
      <c r="QBA196" s="84"/>
      <c r="QBB196" s="84"/>
      <c r="QBC196" s="84"/>
      <c r="QBD196" s="84"/>
      <c r="QBE196" s="84"/>
      <c r="QBF196" s="84"/>
      <c r="QBG196" s="84"/>
      <c r="QBH196" s="84"/>
      <c r="QBI196" s="84"/>
      <c r="QBJ196" s="84"/>
      <c r="QBK196" s="84"/>
      <c r="QBL196" s="84"/>
      <c r="QBM196" s="84"/>
      <c r="QBN196" s="84"/>
      <c r="QBO196" s="84"/>
      <c r="QBP196" s="84"/>
      <c r="QBQ196" s="84"/>
      <c r="QBR196" s="84"/>
      <c r="QBS196" s="84"/>
      <c r="QBT196" s="84"/>
      <c r="QBU196" s="84"/>
      <c r="QBV196" s="84"/>
      <c r="QBW196" s="84"/>
      <c r="QBX196" s="84"/>
      <c r="QBY196" s="84"/>
      <c r="QBZ196" s="84"/>
      <c r="QCA196" s="84"/>
      <c r="QCB196" s="84"/>
      <c r="QCC196" s="84"/>
      <c r="QCD196" s="84"/>
      <c r="QCE196" s="84"/>
      <c r="QCF196" s="84"/>
      <c r="QCG196" s="84"/>
      <c r="QCH196" s="84"/>
      <c r="QCI196" s="84"/>
      <c r="QCJ196" s="84"/>
      <c r="QCK196" s="84"/>
      <c r="QCL196" s="84"/>
      <c r="QCM196" s="84"/>
      <c r="QCN196" s="84"/>
      <c r="QCO196" s="84"/>
      <c r="QCP196" s="84"/>
      <c r="QCQ196" s="84"/>
      <c r="QCR196" s="84"/>
      <c r="QCS196" s="84"/>
      <c r="QCT196" s="84"/>
      <c r="QCU196" s="84"/>
      <c r="QCV196" s="84"/>
      <c r="QCW196" s="84"/>
      <c r="QCX196" s="84"/>
      <c r="QCY196" s="84"/>
      <c r="QCZ196" s="84"/>
      <c r="QDA196" s="84"/>
      <c r="QDB196" s="84"/>
      <c r="QDC196" s="84"/>
      <c r="QDD196" s="84"/>
      <c r="QDE196" s="84"/>
      <c r="QDF196" s="84"/>
      <c r="QDG196" s="84"/>
      <c r="QDH196" s="84"/>
      <c r="QDI196" s="84"/>
      <c r="QDJ196" s="84"/>
      <c r="QDK196" s="84"/>
      <c r="QDL196" s="84"/>
      <c r="QDM196" s="84"/>
      <c r="QDN196" s="84"/>
      <c r="QDO196" s="84"/>
      <c r="QDP196" s="84"/>
      <c r="QDQ196" s="84"/>
      <c r="QDR196" s="84"/>
      <c r="QDS196" s="84"/>
      <c r="QDT196" s="84"/>
      <c r="QDU196" s="84"/>
      <c r="QDV196" s="84"/>
      <c r="QDW196" s="84"/>
      <c r="QDX196" s="84"/>
      <c r="QDY196" s="84"/>
      <c r="QDZ196" s="84"/>
      <c r="QEA196" s="84"/>
      <c r="QEB196" s="84"/>
      <c r="QEC196" s="84"/>
      <c r="QED196" s="84"/>
      <c r="QEE196" s="84"/>
      <c r="QEF196" s="84"/>
      <c r="QEG196" s="84"/>
      <c r="QEH196" s="84"/>
      <c r="QEI196" s="84"/>
      <c r="QEJ196" s="84"/>
      <c r="QEK196" s="84"/>
      <c r="QEL196" s="84"/>
      <c r="QEM196" s="84"/>
      <c r="QEN196" s="84"/>
      <c r="QEO196" s="84"/>
      <c r="QEP196" s="84"/>
      <c r="QEQ196" s="84"/>
      <c r="QER196" s="84"/>
      <c r="QES196" s="84"/>
      <c r="QET196" s="84"/>
      <c r="QEU196" s="84"/>
      <c r="QEV196" s="84"/>
      <c r="QEW196" s="84"/>
      <c r="QEX196" s="84"/>
      <c r="QEY196" s="84"/>
      <c r="QEZ196" s="84"/>
      <c r="QFA196" s="84"/>
      <c r="QFB196" s="84"/>
      <c r="QFC196" s="84"/>
      <c r="QFD196" s="84"/>
      <c r="QFE196" s="84"/>
      <c r="QFF196" s="84"/>
      <c r="QFG196" s="84"/>
      <c r="QFH196" s="84"/>
      <c r="QFI196" s="84"/>
      <c r="QFJ196" s="84"/>
      <c r="QFK196" s="84"/>
      <c r="QFL196" s="84"/>
      <c r="QFM196" s="84"/>
      <c r="QFN196" s="84"/>
      <c r="QFO196" s="84"/>
      <c r="QFP196" s="84"/>
      <c r="QFQ196" s="84"/>
      <c r="QFR196" s="84"/>
      <c r="QFS196" s="84"/>
      <c r="QFT196" s="84"/>
      <c r="QFU196" s="84"/>
      <c r="QFV196" s="84"/>
      <c r="QFW196" s="84"/>
      <c r="QFX196" s="84"/>
      <c r="QFY196" s="84"/>
      <c r="QFZ196" s="84"/>
      <c r="QGA196" s="84"/>
      <c r="QGB196" s="84"/>
      <c r="QGC196" s="84"/>
      <c r="QGD196" s="84"/>
      <c r="QGE196" s="84"/>
      <c r="QGF196" s="84"/>
      <c r="QGG196" s="84"/>
      <c r="QGH196" s="84"/>
      <c r="QGI196" s="84"/>
      <c r="QGJ196" s="84"/>
      <c r="QGK196" s="84"/>
      <c r="QGL196" s="84"/>
      <c r="QGM196" s="84"/>
      <c r="QGN196" s="84"/>
      <c r="QGO196" s="84"/>
      <c r="QGP196" s="84"/>
      <c r="QGQ196" s="84"/>
      <c r="QGR196" s="84"/>
      <c r="QGS196" s="84"/>
      <c r="QGT196" s="84"/>
      <c r="QGU196" s="84"/>
      <c r="QGV196" s="84"/>
      <c r="QGW196" s="84"/>
      <c r="QGX196" s="84"/>
      <c r="QGY196" s="84"/>
      <c r="QGZ196" s="84"/>
      <c r="QHA196" s="84"/>
      <c r="QHB196" s="84"/>
      <c r="QHC196" s="84"/>
      <c r="QHD196" s="84"/>
      <c r="QHE196" s="84"/>
      <c r="QHF196" s="84"/>
      <c r="QHG196" s="84"/>
      <c r="QHH196" s="84"/>
      <c r="QHI196" s="84"/>
      <c r="QHJ196" s="84"/>
      <c r="QHK196" s="84"/>
      <c r="QHL196" s="84"/>
      <c r="QHM196" s="84"/>
      <c r="QHN196" s="84"/>
      <c r="QHO196" s="84"/>
      <c r="QHP196" s="84"/>
      <c r="QHQ196" s="84"/>
      <c r="QHR196" s="84"/>
      <c r="QHS196" s="84"/>
      <c r="QHT196" s="84"/>
      <c r="QHU196" s="84"/>
      <c r="QHV196" s="84"/>
      <c r="QHW196" s="84"/>
      <c r="QHX196" s="84"/>
      <c r="QHY196" s="84"/>
      <c r="QHZ196" s="84"/>
      <c r="QIA196" s="84"/>
      <c r="QIB196" s="84"/>
      <c r="QIC196" s="84"/>
      <c r="QID196" s="84"/>
      <c r="QIE196" s="84"/>
      <c r="QIF196" s="84"/>
      <c r="QIG196" s="84"/>
      <c r="QIH196" s="84"/>
      <c r="QII196" s="84"/>
      <c r="QIJ196" s="84"/>
      <c r="QIK196" s="84"/>
      <c r="QIL196" s="84"/>
      <c r="QIM196" s="84"/>
      <c r="QIN196" s="84"/>
      <c r="QIO196" s="84"/>
      <c r="QIP196" s="84"/>
      <c r="QIQ196" s="84"/>
      <c r="QIR196" s="84"/>
      <c r="QIS196" s="84"/>
      <c r="QIT196" s="84"/>
      <c r="QIU196" s="84"/>
      <c r="QIV196" s="84"/>
      <c r="QIW196" s="84"/>
      <c r="QIX196" s="84"/>
      <c r="QIY196" s="84"/>
      <c r="QIZ196" s="84"/>
      <c r="QJA196" s="84"/>
      <c r="QJB196" s="84"/>
      <c r="QJC196" s="84"/>
      <c r="QJD196" s="84"/>
      <c r="QJE196" s="84"/>
      <c r="QJF196" s="84"/>
      <c r="QJG196" s="84"/>
      <c r="QJH196" s="84"/>
      <c r="QJI196" s="84"/>
      <c r="QJJ196" s="84"/>
      <c r="QJK196" s="84"/>
      <c r="QJL196" s="84"/>
      <c r="QJM196" s="84"/>
      <c r="QJN196" s="84"/>
      <c r="QJO196" s="84"/>
      <c r="QJP196" s="84"/>
      <c r="QJQ196" s="84"/>
      <c r="QJR196" s="84"/>
      <c r="QJS196" s="84"/>
      <c r="QJT196" s="84"/>
      <c r="QJU196" s="84"/>
      <c r="QJV196" s="84"/>
      <c r="QJW196" s="84"/>
      <c r="QJX196" s="84"/>
      <c r="QJY196" s="84"/>
      <c r="QJZ196" s="84"/>
      <c r="QKA196" s="84"/>
      <c r="QKB196" s="84"/>
      <c r="QKC196" s="84"/>
      <c r="QKD196" s="84"/>
      <c r="QKE196" s="84"/>
      <c r="QKF196" s="84"/>
      <c r="QKG196" s="84"/>
      <c r="QKH196" s="84"/>
      <c r="QKI196" s="84"/>
      <c r="QKJ196" s="84"/>
      <c r="QKK196" s="84"/>
      <c r="QKL196" s="84"/>
      <c r="QKM196" s="84"/>
      <c r="QKN196" s="84"/>
      <c r="QKO196" s="84"/>
      <c r="QKP196" s="84"/>
      <c r="QKQ196" s="84"/>
      <c r="QKR196" s="84"/>
      <c r="QKS196" s="84"/>
      <c r="QKT196" s="84"/>
      <c r="QKU196" s="84"/>
      <c r="QKV196" s="84"/>
      <c r="QKW196" s="84"/>
      <c r="QKX196" s="84"/>
      <c r="QKY196" s="84"/>
      <c r="QKZ196" s="84"/>
      <c r="QLA196" s="84"/>
      <c r="QLB196" s="84"/>
      <c r="QLC196" s="84"/>
      <c r="QLD196" s="84"/>
      <c r="QLE196" s="84"/>
      <c r="QLF196" s="84"/>
      <c r="QLG196" s="84"/>
      <c r="QLH196" s="84"/>
      <c r="QLI196" s="84"/>
      <c r="QLJ196" s="84"/>
      <c r="QLK196" s="84"/>
      <c r="QLL196" s="84"/>
      <c r="QLM196" s="84"/>
      <c r="QLN196" s="84"/>
      <c r="QLO196" s="84"/>
      <c r="QLP196" s="84"/>
      <c r="QLQ196" s="84"/>
      <c r="QLR196" s="84"/>
      <c r="QLS196" s="84"/>
      <c r="QLT196" s="84"/>
      <c r="QLU196" s="84"/>
      <c r="QLV196" s="84"/>
      <c r="QLW196" s="84"/>
      <c r="QLX196" s="84"/>
      <c r="QLY196" s="84"/>
      <c r="QLZ196" s="84"/>
      <c r="QMA196" s="84"/>
      <c r="QMB196" s="84"/>
      <c r="QMC196" s="84"/>
      <c r="QMD196" s="84"/>
      <c r="QME196" s="84"/>
      <c r="QMF196" s="84"/>
      <c r="QMG196" s="84"/>
      <c r="QMH196" s="84"/>
      <c r="QMI196" s="84"/>
      <c r="QMJ196" s="84"/>
      <c r="QMK196" s="84"/>
      <c r="QML196" s="84"/>
      <c r="QMM196" s="84"/>
      <c r="QMN196" s="84"/>
      <c r="QMO196" s="84"/>
      <c r="QMP196" s="84"/>
      <c r="QMQ196" s="84"/>
      <c r="QMR196" s="84"/>
      <c r="QMS196" s="84"/>
      <c r="QMT196" s="84"/>
      <c r="QMU196" s="84"/>
      <c r="QMV196" s="84"/>
      <c r="QMW196" s="84"/>
      <c r="QMX196" s="84"/>
      <c r="QMY196" s="84"/>
      <c r="QMZ196" s="84"/>
      <c r="QNA196" s="84"/>
      <c r="QNB196" s="84"/>
      <c r="QNC196" s="84"/>
      <c r="QND196" s="84"/>
      <c r="QNE196" s="84"/>
      <c r="QNF196" s="84"/>
      <c r="QNG196" s="84"/>
      <c r="QNH196" s="84"/>
      <c r="QNI196" s="84"/>
      <c r="QNJ196" s="84"/>
      <c r="QNK196" s="84"/>
      <c r="QNL196" s="84"/>
      <c r="QNM196" s="84"/>
      <c r="QNN196" s="84"/>
      <c r="QNO196" s="84"/>
      <c r="QNP196" s="84"/>
      <c r="QNQ196" s="84"/>
      <c r="QNR196" s="84"/>
      <c r="QNS196" s="84"/>
      <c r="QNT196" s="84"/>
      <c r="QNU196" s="84"/>
      <c r="QNV196" s="84"/>
      <c r="QNW196" s="84"/>
      <c r="QNX196" s="84"/>
      <c r="QNY196" s="84"/>
      <c r="QNZ196" s="84"/>
      <c r="QOA196" s="84"/>
      <c r="QOB196" s="84"/>
      <c r="QOC196" s="84"/>
      <c r="QOD196" s="84"/>
      <c r="QOE196" s="84"/>
      <c r="QOF196" s="84"/>
      <c r="QOG196" s="84"/>
      <c r="QOH196" s="84"/>
      <c r="QOI196" s="84"/>
      <c r="QOJ196" s="84"/>
      <c r="QOK196" s="84"/>
      <c r="QOL196" s="84"/>
      <c r="QOM196" s="84"/>
      <c r="QON196" s="84"/>
      <c r="QOO196" s="84"/>
      <c r="QOP196" s="84"/>
      <c r="QOQ196" s="84"/>
      <c r="QOR196" s="84"/>
      <c r="QOS196" s="84"/>
      <c r="QOT196" s="84"/>
      <c r="QOU196" s="84"/>
      <c r="QOV196" s="84"/>
      <c r="QOW196" s="84"/>
      <c r="QOX196" s="84"/>
      <c r="QOY196" s="84"/>
      <c r="QOZ196" s="84"/>
      <c r="QPA196" s="84"/>
      <c r="QPB196" s="84"/>
      <c r="QPC196" s="84"/>
      <c r="QPD196" s="84"/>
      <c r="QPE196" s="84"/>
      <c r="QPF196" s="84"/>
      <c r="QPG196" s="84"/>
      <c r="QPH196" s="84"/>
      <c r="QPI196" s="84"/>
      <c r="QPJ196" s="84"/>
      <c r="QPK196" s="84"/>
      <c r="QPL196" s="84"/>
      <c r="QPM196" s="84"/>
      <c r="QPN196" s="84"/>
      <c r="QPO196" s="84"/>
      <c r="QPP196" s="84"/>
      <c r="QPQ196" s="84"/>
      <c r="QPR196" s="84"/>
      <c r="QPS196" s="84"/>
      <c r="QPT196" s="84"/>
      <c r="QPU196" s="84"/>
      <c r="QPV196" s="84"/>
      <c r="QPW196" s="84"/>
      <c r="QPX196" s="84"/>
      <c r="QPY196" s="84"/>
      <c r="QPZ196" s="84"/>
      <c r="QQA196" s="84"/>
      <c r="QQB196" s="84"/>
      <c r="QQC196" s="84"/>
      <c r="QQD196" s="84"/>
      <c r="QQE196" s="84"/>
      <c r="QQF196" s="84"/>
      <c r="QQG196" s="84"/>
      <c r="QQH196" s="84"/>
      <c r="QQI196" s="84"/>
      <c r="QQJ196" s="84"/>
      <c r="QQK196" s="84"/>
      <c r="QQL196" s="84"/>
      <c r="QQM196" s="84"/>
      <c r="QQN196" s="84"/>
      <c r="QQO196" s="84"/>
      <c r="QQP196" s="84"/>
      <c r="QQQ196" s="84"/>
      <c r="QQR196" s="84"/>
      <c r="QQS196" s="84"/>
      <c r="QQT196" s="84"/>
      <c r="QQU196" s="84"/>
      <c r="QQV196" s="84"/>
      <c r="QQW196" s="84"/>
      <c r="QQX196" s="84"/>
      <c r="QQY196" s="84"/>
      <c r="QQZ196" s="84"/>
      <c r="QRA196" s="84"/>
      <c r="QRB196" s="84"/>
      <c r="QRC196" s="84"/>
      <c r="QRD196" s="84"/>
      <c r="QRE196" s="84"/>
      <c r="QRF196" s="84"/>
      <c r="QRG196" s="84"/>
      <c r="QRH196" s="84"/>
      <c r="QRI196" s="84"/>
      <c r="QRJ196" s="84"/>
      <c r="QRK196" s="84"/>
      <c r="QRL196" s="84"/>
      <c r="QRM196" s="84"/>
      <c r="QRN196" s="84"/>
      <c r="QRO196" s="84"/>
      <c r="QRP196" s="84"/>
      <c r="QRQ196" s="84"/>
      <c r="QRR196" s="84"/>
      <c r="QRS196" s="84"/>
      <c r="QRT196" s="84"/>
      <c r="QRU196" s="84"/>
      <c r="QRV196" s="84"/>
      <c r="QRW196" s="84"/>
      <c r="QRX196" s="84"/>
      <c r="QRY196" s="84"/>
      <c r="QRZ196" s="84"/>
      <c r="QSA196" s="84"/>
      <c r="QSB196" s="84"/>
      <c r="QSC196" s="84"/>
      <c r="QSD196" s="84"/>
      <c r="QSE196" s="84"/>
      <c r="QSF196" s="84"/>
      <c r="QSG196" s="84"/>
      <c r="QSH196" s="84"/>
      <c r="QSI196" s="84"/>
      <c r="QSJ196" s="84"/>
      <c r="QSK196" s="84"/>
      <c r="QSL196" s="84"/>
      <c r="QSM196" s="84"/>
      <c r="QSN196" s="84"/>
      <c r="QSO196" s="84"/>
      <c r="QSP196" s="84"/>
      <c r="QSQ196" s="84"/>
      <c r="QSR196" s="84"/>
      <c r="QSS196" s="84"/>
      <c r="QST196" s="84"/>
      <c r="QSU196" s="84"/>
      <c r="QSV196" s="84"/>
      <c r="QSW196" s="84"/>
      <c r="QSX196" s="84"/>
      <c r="QSY196" s="84"/>
      <c r="QSZ196" s="84"/>
      <c r="QTA196" s="84"/>
      <c r="QTB196" s="84"/>
      <c r="QTC196" s="84"/>
      <c r="QTD196" s="84"/>
      <c r="QTE196" s="84"/>
      <c r="QTF196" s="84"/>
      <c r="QTG196" s="84"/>
      <c r="QTH196" s="84"/>
      <c r="QTI196" s="84"/>
      <c r="QTJ196" s="84"/>
      <c r="QTK196" s="84"/>
      <c r="QTL196" s="84"/>
      <c r="QTM196" s="84"/>
      <c r="QTN196" s="84"/>
      <c r="QTO196" s="84"/>
      <c r="QTP196" s="84"/>
      <c r="QTQ196" s="84"/>
      <c r="QTR196" s="84"/>
      <c r="QTS196" s="84"/>
      <c r="QTT196" s="84"/>
      <c r="QTU196" s="84"/>
      <c r="QTV196" s="84"/>
      <c r="QTW196" s="84"/>
      <c r="QTX196" s="84"/>
      <c r="QTY196" s="84"/>
      <c r="QTZ196" s="84"/>
      <c r="QUA196" s="84"/>
      <c r="QUB196" s="84"/>
      <c r="QUC196" s="84"/>
      <c r="QUD196" s="84"/>
      <c r="QUE196" s="84"/>
      <c r="QUF196" s="84"/>
      <c r="QUG196" s="84"/>
      <c r="QUH196" s="84"/>
      <c r="QUI196" s="84"/>
      <c r="QUJ196" s="84"/>
      <c r="QUK196" s="84"/>
      <c r="QUL196" s="84"/>
      <c r="QUM196" s="84"/>
      <c r="QUN196" s="84"/>
      <c r="QUO196" s="84"/>
      <c r="QUP196" s="84"/>
      <c r="QUQ196" s="84"/>
      <c r="QUR196" s="84"/>
      <c r="QUS196" s="84"/>
      <c r="QUT196" s="84"/>
      <c r="QUU196" s="84"/>
      <c r="QUV196" s="84"/>
      <c r="QUW196" s="84"/>
      <c r="QUX196" s="84"/>
      <c r="QUY196" s="84"/>
      <c r="QUZ196" s="84"/>
      <c r="QVA196" s="84"/>
      <c r="QVB196" s="84"/>
      <c r="QVC196" s="84"/>
      <c r="QVD196" s="84"/>
      <c r="QVE196" s="84"/>
      <c r="QVF196" s="84"/>
      <c r="QVG196" s="84"/>
      <c r="QVH196" s="84"/>
      <c r="QVI196" s="84"/>
      <c r="QVJ196" s="84"/>
      <c r="QVK196" s="84"/>
      <c r="QVL196" s="84"/>
      <c r="QVM196" s="84"/>
      <c r="QVN196" s="84"/>
      <c r="QVO196" s="84"/>
      <c r="QVP196" s="84"/>
      <c r="QVQ196" s="84"/>
      <c r="QVR196" s="84"/>
      <c r="QVS196" s="84"/>
      <c r="QVT196" s="84"/>
      <c r="QVU196" s="84"/>
      <c r="QVV196" s="84"/>
      <c r="QVW196" s="84"/>
      <c r="QVX196" s="84"/>
      <c r="QVY196" s="84"/>
      <c r="QVZ196" s="84"/>
      <c r="QWA196" s="84"/>
      <c r="QWB196" s="84"/>
      <c r="QWC196" s="84"/>
      <c r="QWD196" s="84"/>
      <c r="QWE196" s="84"/>
      <c r="QWF196" s="84"/>
      <c r="QWG196" s="84"/>
      <c r="QWH196" s="84"/>
      <c r="QWI196" s="84"/>
      <c r="QWJ196" s="84"/>
      <c r="QWK196" s="84"/>
      <c r="QWL196" s="84"/>
      <c r="QWM196" s="84"/>
      <c r="QWN196" s="84"/>
      <c r="QWO196" s="84"/>
      <c r="QWP196" s="84"/>
      <c r="QWQ196" s="84"/>
      <c r="QWR196" s="84"/>
      <c r="QWS196" s="84"/>
      <c r="QWT196" s="84"/>
      <c r="QWU196" s="84"/>
      <c r="QWV196" s="84"/>
      <c r="QWW196" s="84"/>
      <c r="QWX196" s="84"/>
      <c r="QWY196" s="84"/>
      <c r="QWZ196" s="84"/>
      <c r="QXA196" s="84"/>
      <c r="QXB196" s="84"/>
      <c r="QXC196" s="84"/>
      <c r="QXD196" s="84"/>
      <c r="QXE196" s="84"/>
      <c r="QXF196" s="84"/>
      <c r="QXG196" s="84"/>
      <c r="QXH196" s="84"/>
      <c r="QXI196" s="84"/>
      <c r="QXJ196" s="84"/>
      <c r="QXK196" s="84"/>
      <c r="QXL196" s="84"/>
      <c r="QXM196" s="84"/>
      <c r="QXN196" s="84"/>
      <c r="QXO196" s="84"/>
      <c r="QXP196" s="84"/>
      <c r="QXQ196" s="84"/>
      <c r="QXR196" s="84"/>
      <c r="QXS196" s="84"/>
      <c r="QXT196" s="84"/>
      <c r="QXU196" s="84"/>
      <c r="QXV196" s="84"/>
      <c r="QXW196" s="84"/>
      <c r="QXX196" s="84"/>
      <c r="QXY196" s="84"/>
      <c r="QXZ196" s="84"/>
      <c r="QYA196" s="84"/>
      <c r="QYB196" s="84"/>
      <c r="QYC196" s="84"/>
      <c r="QYD196" s="84"/>
      <c r="QYE196" s="84"/>
      <c r="QYF196" s="84"/>
      <c r="QYG196" s="84"/>
      <c r="QYH196" s="84"/>
      <c r="QYI196" s="84"/>
      <c r="QYJ196" s="84"/>
      <c r="QYK196" s="84"/>
      <c r="QYL196" s="84"/>
      <c r="QYM196" s="84"/>
      <c r="QYN196" s="84"/>
      <c r="QYO196" s="84"/>
      <c r="QYP196" s="84"/>
      <c r="QYQ196" s="84"/>
      <c r="QYR196" s="84"/>
      <c r="QYS196" s="84"/>
      <c r="QYT196" s="84"/>
      <c r="QYU196" s="84"/>
      <c r="QYV196" s="84"/>
      <c r="QYW196" s="84"/>
      <c r="QYX196" s="84"/>
      <c r="QYY196" s="84"/>
      <c r="QYZ196" s="84"/>
      <c r="QZA196" s="84"/>
      <c r="QZB196" s="84"/>
      <c r="QZC196" s="84"/>
      <c r="QZD196" s="84"/>
      <c r="QZE196" s="84"/>
      <c r="QZF196" s="84"/>
      <c r="QZG196" s="84"/>
      <c r="QZH196" s="84"/>
      <c r="QZI196" s="84"/>
      <c r="QZJ196" s="84"/>
      <c r="QZK196" s="84"/>
      <c r="QZL196" s="84"/>
      <c r="QZM196" s="84"/>
      <c r="QZN196" s="84"/>
      <c r="QZO196" s="84"/>
      <c r="QZP196" s="84"/>
      <c r="QZQ196" s="84"/>
      <c r="QZR196" s="84"/>
      <c r="QZS196" s="84"/>
      <c r="QZT196" s="84"/>
      <c r="QZU196" s="84"/>
      <c r="QZV196" s="84"/>
      <c r="QZW196" s="84"/>
      <c r="QZX196" s="84"/>
      <c r="QZY196" s="84"/>
      <c r="QZZ196" s="84"/>
      <c r="RAA196" s="84"/>
      <c r="RAB196" s="84"/>
      <c r="RAC196" s="84"/>
      <c r="RAD196" s="84"/>
      <c r="RAE196" s="84"/>
      <c r="RAF196" s="84"/>
      <c r="RAG196" s="84"/>
      <c r="RAH196" s="84"/>
      <c r="RAI196" s="84"/>
      <c r="RAJ196" s="84"/>
      <c r="RAK196" s="84"/>
      <c r="RAL196" s="84"/>
      <c r="RAM196" s="84"/>
      <c r="RAN196" s="84"/>
      <c r="RAO196" s="84"/>
      <c r="RAP196" s="84"/>
      <c r="RAQ196" s="84"/>
      <c r="RAR196" s="84"/>
      <c r="RAS196" s="84"/>
      <c r="RAT196" s="84"/>
      <c r="RAU196" s="84"/>
      <c r="RAV196" s="84"/>
      <c r="RAW196" s="84"/>
      <c r="RAX196" s="84"/>
      <c r="RAY196" s="84"/>
      <c r="RAZ196" s="84"/>
      <c r="RBA196" s="84"/>
      <c r="RBB196" s="84"/>
      <c r="RBC196" s="84"/>
      <c r="RBD196" s="84"/>
      <c r="RBE196" s="84"/>
      <c r="RBF196" s="84"/>
      <c r="RBG196" s="84"/>
      <c r="RBH196" s="84"/>
      <c r="RBI196" s="84"/>
      <c r="RBJ196" s="84"/>
      <c r="RBK196" s="84"/>
      <c r="RBL196" s="84"/>
      <c r="RBM196" s="84"/>
      <c r="RBN196" s="84"/>
      <c r="RBO196" s="84"/>
      <c r="RBP196" s="84"/>
      <c r="RBQ196" s="84"/>
      <c r="RBR196" s="84"/>
      <c r="RBS196" s="84"/>
      <c r="RBT196" s="84"/>
      <c r="RBU196" s="84"/>
      <c r="RBV196" s="84"/>
      <c r="RBW196" s="84"/>
      <c r="RBX196" s="84"/>
      <c r="RBY196" s="84"/>
      <c r="RBZ196" s="84"/>
      <c r="RCA196" s="84"/>
      <c r="RCB196" s="84"/>
      <c r="RCC196" s="84"/>
      <c r="RCD196" s="84"/>
      <c r="RCE196" s="84"/>
      <c r="RCF196" s="84"/>
      <c r="RCG196" s="84"/>
      <c r="RCH196" s="84"/>
      <c r="RCI196" s="84"/>
      <c r="RCJ196" s="84"/>
      <c r="RCK196" s="84"/>
      <c r="RCL196" s="84"/>
      <c r="RCM196" s="84"/>
      <c r="RCN196" s="84"/>
      <c r="RCO196" s="84"/>
      <c r="RCP196" s="84"/>
      <c r="RCQ196" s="84"/>
      <c r="RCR196" s="84"/>
      <c r="RCS196" s="84"/>
      <c r="RCT196" s="84"/>
      <c r="RCU196" s="84"/>
      <c r="RCV196" s="84"/>
      <c r="RCW196" s="84"/>
      <c r="RCX196" s="84"/>
      <c r="RCY196" s="84"/>
      <c r="RCZ196" s="84"/>
      <c r="RDA196" s="84"/>
      <c r="RDB196" s="84"/>
      <c r="RDC196" s="84"/>
      <c r="RDD196" s="84"/>
      <c r="RDE196" s="84"/>
      <c r="RDF196" s="84"/>
      <c r="RDG196" s="84"/>
      <c r="RDH196" s="84"/>
      <c r="RDI196" s="84"/>
      <c r="RDJ196" s="84"/>
      <c r="RDK196" s="84"/>
      <c r="RDL196" s="84"/>
      <c r="RDM196" s="84"/>
      <c r="RDN196" s="84"/>
      <c r="RDO196" s="84"/>
      <c r="RDP196" s="84"/>
      <c r="RDQ196" s="84"/>
      <c r="RDR196" s="84"/>
      <c r="RDS196" s="84"/>
      <c r="RDT196" s="84"/>
      <c r="RDU196" s="84"/>
      <c r="RDV196" s="84"/>
      <c r="RDW196" s="84"/>
      <c r="RDX196" s="84"/>
      <c r="RDY196" s="84"/>
      <c r="RDZ196" s="84"/>
      <c r="REA196" s="84"/>
      <c r="REB196" s="84"/>
      <c r="REC196" s="84"/>
      <c r="RED196" s="84"/>
      <c r="REE196" s="84"/>
      <c r="REF196" s="84"/>
      <c r="REG196" s="84"/>
      <c r="REH196" s="84"/>
      <c r="REI196" s="84"/>
      <c r="REJ196" s="84"/>
      <c r="REK196" s="84"/>
      <c r="REL196" s="84"/>
      <c r="REM196" s="84"/>
      <c r="REN196" s="84"/>
      <c r="REO196" s="84"/>
      <c r="REP196" s="84"/>
      <c r="REQ196" s="84"/>
      <c r="RER196" s="84"/>
      <c r="RES196" s="84"/>
      <c r="RET196" s="84"/>
      <c r="REU196" s="84"/>
      <c r="REV196" s="84"/>
      <c r="REW196" s="84"/>
      <c r="REX196" s="84"/>
      <c r="REY196" s="84"/>
      <c r="REZ196" s="84"/>
      <c r="RFA196" s="84"/>
      <c r="RFB196" s="84"/>
      <c r="RFC196" s="84"/>
      <c r="RFD196" s="84"/>
      <c r="RFE196" s="84"/>
      <c r="RFF196" s="84"/>
      <c r="RFG196" s="84"/>
      <c r="RFH196" s="84"/>
      <c r="RFI196" s="84"/>
      <c r="RFJ196" s="84"/>
      <c r="RFK196" s="84"/>
      <c r="RFL196" s="84"/>
      <c r="RFM196" s="84"/>
      <c r="RFN196" s="84"/>
      <c r="RFO196" s="84"/>
      <c r="RFP196" s="84"/>
      <c r="RFQ196" s="84"/>
      <c r="RFR196" s="84"/>
      <c r="RFS196" s="84"/>
      <c r="RFT196" s="84"/>
      <c r="RFU196" s="84"/>
      <c r="RFV196" s="84"/>
      <c r="RFW196" s="84"/>
      <c r="RFX196" s="84"/>
      <c r="RFY196" s="84"/>
      <c r="RFZ196" s="84"/>
      <c r="RGA196" s="84"/>
      <c r="RGB196" s="84"/>
      <c r="RGC196" s="84"/>
      <c r="RGD196" s="84"/>
      <c r="RGE196" s="84"/>
      <c r="RGF196" s="84"/>
      <c r="RGG196" s="84"/>
      <c r="RGH196" s="84"/>
      <c r="RGI196" s="84"/>
      <c r="RGJ196" s="84"/>
      <c r="RGK196" s="84"/>
      <c r="RGL196" s="84"/>
      <c r="RGM196" s="84"/>
      <c r="RGN196" s="84"/>
      <c r="RGO196" s="84"/>
      <c r="RGP196" s="84"/>
      <c r="RGQ196" s="84"/>
      <c r="RGR196" s="84"/>
      <c r="RGS196" s="84"/>
      <c r="RGT196" s="84"/>
      <c r="RGU196" s="84"/>
      <c r="RGV196" s="84"/>
      <c r="RGW196" s="84"/>
      <c r="RGX196" s="84"/>
      <c r="RGY196" s="84"/>
      <c r="RGZ196" s="84"/>
      <c r="RHA196" s="84"/>
      <c r="RHB196" s="84"/>
      <c r="RHC196" s="84"/>
      <c r="RHD196" s="84"/>
      <c r="RHE196" s="84"/>
      <c r="RHF196" s="84"/>
      <c r="RHG196" s="84"/>
      <c r="RHH196" s="84"/>
      <c r="RHI196" s="84"/>
      <c r="RHJ196" s="84"/>
      <c r="RHK196" s="84"/>
      <c r="RHL196" s="84"/>
      <c r="RHM196" s="84"/>
      <c r="RHN196" s="84"/>
      <c r="RHO196" s="84"/>
      <c r="RHP196" s="84"/>
      <c r="RHQ196" s="84"/>
      <c r="RHR196" s="84"/>
      <c r="RHS196" s="84"/>
      <c r="RHT196" s="84"/>
      <c r="RHU196" s="84"/>
      <c r="RHV196" s="84"/>
      <c r="RHW196" s="84"/>
      <c r="RHX196" s="84"/>
      <c r="RHY196" s="84"/>
      <c r="RHZ196" s="84"/>
      <c r="RIA196" s="84"/>
      <c r="RIB196" s="84"/>
      <c r="RIC196" s="84"/>
      <c r="RID196" s="84"/>
      <c r="RIE196" s="84"/>
      <c r="RIF196" s="84"/>
      <c r="RIG196" s="84"/>
      <c r="RIH196" s="84"/>
      <c r="RII196" s="84"/>
      <c r="RIJ196" s="84"/>
      <c r="RIK196" s="84"/>
      <c r="RIL196" s="84"/>
      <c r="RIM196" s="84"/>
      <c r="RIN196" s="84"/>
      <c r="RIO196" s="84"/>
      <c r="RIP196" s="84"/>
      <c r="RIQ196" s="84"/>
      <c r="RIR196" s="84"/>
      <c r="RIS196" s="84"/>
      <c r="RIT196" s="84"/>
      <c r="RIU196" s="84"/>
      <c r="RIV196" s="84"/>
      <c r="RIW196" s="84"/>
      <c r="RIX196" s="84"/>
      <c r="RIY196" s="84"/>
      <c r="RIZ196" s="84"/>
      <c r="RJA196" s="84"/>
      <c r="RJB196" s="84"/>
      <c r="RJC196" s="84"/>
      <c r="RJD196" s="84"/>
      <c r="RJE196" s="84"/>
      <c r="RJF196" s="84"/>
      <c r="RJG196" s="84"/>
      <c r="RJH196" s="84"/>
      <c r="RJI196" s="84"/>
      <c r="RJJ196" s="84"/>
      <c r="RJK196" s="84"/>
      <c r="RJL196" s="84"/>
      <c r="RJM196" s="84"/>
      <c r="RJN196" s="84"/>
      <c r="RJO196" s="84"/>
      <c r="RJP196" s="84"/>
      <c r="RJQ196" s="84"/>
      <c r="RJR196" s="84"/>
      <c r="RJS196" s="84"/>
      <c r="RJT196" s="84"/>
      <c r="RJU196" s="84"/>
      <c r="RJV196" s="84"/>
      <c r="RJW196" s="84"/>
      <c r="RJX196" s="84"/>
      <c r="RJY196" s="84"/>
      <c r="RJZ196" s="84"/>
      <c r="RKA196" s="84"/>
      <c r="RKB196" s="84"/>
      <c r="RKC196" s="84"/>
      <c r="RKD196" s="84"/>
      <c r="RKE196" s="84"/>
      <c r="RKF196" s="84"/>
      <c r="RKG196" s="84"/>
      <c r="RKH196" s="84"/>
      <c r="RKI196" s="84"/>
      <c r="RKJ196" s="84"/>
      <c r="RKK196" s="84"/>
      <c r="RKL196" s="84"/>
      <c r="RKM196" s="84"/>
      <c r="RKN196" s="84"/>
      <c r="RKO196" s="84"/>
      <c r="RKP196" s="84"/>
      <c r="RKQ196" s="84"/>
      <c r="RKR196" s="84"/>
      <c r="RKS196" s="84"/>
      <c r="RKT196" s="84"/>
      <c r="RKU196" s="84"/>
      <c r="RKV196" s="84"/>
      <c r="RKW196" s="84"/>
      <c r="RKX196" s="84"/>
      <c r="RKY196" s="84"/>
      <c r="RKZ196" s="84"/>
      <c r="RLA196" s="84"/>
      <c r="RLB196" s="84"/>
      <c r="RLC196" s="84"/>
      <c r="RLD196" s="84"/>
      <c r="RLE196" s="84"/>
      <c r="RLF196" s="84"/>
      <c r="RLG196" s="84"/>
      <c r="RLH196" s="84"/>
      <c r="RLI196" s="84"/>
      <c r="RLJ196" s="84"/>
      <c r="RLK196" s="84"/>
      <c r="RLL196" s="84"/>
      <c r="RLM196" s="84"/>
      <c r="RLN196" s="84"/>
      <c r="RLO196" s="84"/>
      <c r="RLP196" s="84"/>
      <c r="RLQ196" s="84"/>
      <c r="RLR196" s="84"/>
      <c r="RLS196" s="84"/>
      <c r="RLT196" s="84"/>
      <c r="RLU196" s="84"/>
      <c r="RLV196" s="84"/>
      <c r="RLW196" s="84"/>
      <c r="RLX196" s="84"/>
      <c r="RLY196" s="84"/>
      <c r="RLZ196" s="84"/>
      <c r="RMA196" s="84"/>
      <c r="RMB196" s="84"/>
      <c r="RMC196" s="84"/>
      <c r="RMD196" s="84"/>
      <c r="RME196" s="84"/>
      <c r="RMF196" s="84"/>
      <c r="RMG196" s="84"/>
      <c r="RMH196" s="84"/>
      <c r="RMI196" s="84"/>
      <c r="RMJ196" s="84"/>
      <c r="RMK196" s="84"/>
      <c r="RML196" s="84"/>
      <c r="RMM196" s="84"/>
      <c r="RMN196" s="84"/>
      <c r="RMO196" s="84"/>
      <c r="RMP196" s="84"/>
      <c r="RMQ196" s="84"/>
      <c r="RMR196" s="84"/>
      <c r="RMS196" s="84"/>
      <c r="RMT196" s="84"/>
      <c r="RMU196" s="84"/>
      <c r="RMV196" s="84"/>
      <c r="RMW196" s="84"/>
      <c r="RMX196" s="84"/>
      <c r="RMY196" s="84"/>
      <c r="RMZ196" s="84"/>
      <c r="RNA196" s="84"/>
      <c r="RNB196" s="84"/>
      <c r="RNC196" s="84"/>
      <c r="RND196" s="84"/>
      <c r="RNE196" s="84"/>
      <c r="RNF196" s="84"/>
      <c r="RNG196" s="84"/>
      <c r="RNH196" s="84"/>
      <c r="RNI196" s="84"/>
      <c r="RNJ196" s="84"/>
      <c r="RNK196" s="84"/>
      <c r="RNL196" s="84"/>
      <c r="RNM196" s="84"/>
      <c r="RNN196" s="84"/>
      <c r="RNO196" s="84"/>
      <c r="RNP196" s="84"/>
      <c r="RNQ196" s="84"/>
      <c r="RNR196" s="84"/>
      <c r="RNS196" s="84"/>
      <c r="RNT196" s="84"/>
      <c r="RNU196" s="84"/>
      <c r="RNV196" s="84"/>
      <c r="RNW196" s="84"/>
      <c r="RNX196" s="84"/>
      <c r="RNY196" s="84"/>
      <c r="RNZ196" s="84"/>
      <c r="ROA196" s="84"/>
      <c r="ROB196" s="84"/>
      <c r="ROC196" s="84"/>
      <c r="ROD196" s="84"/>
      <c r="ROE196" s="84"/>
      <c r="ROF196" s="84"/>
      <c r="ROG196" s="84"/>
      <c r="ROH196" s="84"/>
      <c r="ROI196" s="84"/>
      <c r="ROJ196" s="84"/>
      <c r="ROK196" s="84"/>
      <c r="ROL196" s="84"/>
      <c r="ROM196" s="84"/>
      <c r="RON196" s="84"/>
      <c r="ROO196" s="84"/>
      <c r="ROP196" s="84"/>
      <c r="ROQ196" s="84"/>
      <c r="ROR196" s="84"/>
      <c r="ROS196" s="84"/>
      <c r="ROT196" s="84"/>
      <c r="ROU196" s="84"/>
      <c r="ROV196" s="84"/>
      <c r="ROW196" s="84"/>
      <c r="ROX196" s="84"/>
      <c r="ROY196" s="84"/>
      <c r="ROZ196" s="84"/>
      <c r="RPA196" s="84"/>
      <c r="RPB196" s="84"/>
      <c r="RPC196" s="84"/>
      <c r="RPD196" s="84"/>
      <c r="RPE196" s="84"/>
      <c r="RPF196" s="84"/>
      <c r="RPG196" s="84"/>
      <c r="RPH196" s="84"/>
      <c r="RPI196" s="84"/>
      <c r="RPJ196" s="84"/>
      <c r="RPK196" s="84"/>
      <c r="RPL196" s="84"/>
      <c r="RPM196" s="84"/>
      <c r="RPN196" s="84"/>
      <c r="RPO196" s="84"/>
      <c r="RPP196" s="84"/>
      <c r="RPQ196" s="84"/>
      <c r="RPR196" s="84"/>
      <c r="RPS196" s="84"/>
      <c r="RPT196" s="84"/>
      <c r="RPU196" s="84"/>
      <c r="RPV196" s="84"/>
      <c r="RPW196" s="84"/>
      <c r="RPX196" s="84"/>
      <c r="RPY196" s="84"/>
      <c r="RPZ196" s="84"/>
      <c r="RQA196" s="84"/>
      <c r="RQB196" s="84"/>
      <c r="RQC196" s="84"/>
      <c r="RQD196" s="84"/>
      <c r="RQE196" s="84"/>
      <c r="RQF196" s="84"/>
      <c r="RQG196" s="84"/>
      <c r="RQH196" s="84"/>
      <c r="RQI196" s="84"/>
      <c r="RQJ196" s="84"/>
      <c r="RQK196" s="84"/>
      <c r="RQL196" s="84"/>
      <c r="RQM196" s="84"/>
      <c r="RQN196" s="84"/>
      <c r="RQO196" s="84"/>
      <c r="RQP196" s="84"/>
      <c r="RQQ196" s="84"/>
      <c r="RQR196" s="84"/>
      <c r="RQS196" s="84"/>
      <c r="RQT196" s="84"/>
      <c r="RQU196" s="84"/>
      <c r="RQV196" s="84"/>
      <c r="RQW196" s="84"/>
      <c r="RQX196" s="84"/>
      <c r="RQY196" s="84"/>
      <c r="RQZ196" s="84"/>
      <c r="RRA196" s="84"/>
      <c r="RRB196" s="84"/>
      <c r="RRC196" s="84"/>
      <c r="RRD196" s="84"/>
      <c r="RRE196" s="84"/>
      <c r="RRF196" s="84"/>
      <c r="RRG196" s="84"/>
      <c r="RRH196" s="84"/>
      <c r="RRI196" s="84"/>
      <c r="RRJ196" s="84"/>
      <c r="RRK196" s="84"/>
      <c r="RRL196" s="84"/>
      <c r="RRM196" s="84"/>
      <c r="RRN196" s="84"/>
      <c r="RRO196" s="84"/>
      <c r="RRP196" s="84"/>
      <c r="RRQ196" s="84"/>
      <c r="RRR196" s="84"/>
      <c r="RRS196" s="84"/>
      <c r="RRT196" s="84"/>
      <c r="RRU196" s="84"/>
      <c r="RRV196" s="84"/>
      <c r="RRW196" s="84"/>
      <c r="RRX196" s="84"/>
      <c r="RRY196" s="84"/>
      <c r="RRZ196" s="84"/>
      <c r="RSA196" s="84"/>
      <c r="RSB196" s="84"/>
      <c r="RSC196" s="84"/>
      <c r="RSD196" s="84"/>
      <c r="RSE196" s="84"/>
      <c r="RSF196" s="84"/>
      <c r="RSG196" s="84"/>
      <c r="RSH196" s="84"/>
      <c r="RSI196" s="84"/>
      <c r="RSJ196" s="84"/>
      <c r="RSK196" s="84"/>
      <c r="RSL196" s="84"/>
      <c r="RSM196" s="84"/>
      <c r="RSN196" s="84"/>
      <c r="RSO196" s="84"/>
      <c r="RSP196" s="84"/>
      <c r="RSQ196" s="84"/>
      <c r="RSR196" s="84"/>
      <c r="RSS196" s="84"/>
      <c r="RST196" s="84"/>
      <c r="RSU196" s="84"/>
      <c r="RSV196" s="84"/>
      <c r="RSW196" s="84"/>
      <c r="RSX196" s="84"/>
      <c r="RSY196" s="84"/>
      <c r="RSZ196" s="84"/>
      <c r="RTA196" s="84"/>
      <c r="RTB196" s="84"/>
      <c r="RTC196" s="84"/>
      <c r="RTD196" s="84"/>
      <c r="RTE196" s="84"/>
      <c r="RTF196" s="84"/>
      <c r="RTG196" s="84"/>
      <c r="RTH196" s="84"/>
      <c r="RTI196" s="84"/>
      <c r="RTJ196" s="84"/>
      <c r="RTK196" s="84"/>
      <c r="RTL196" s="84"/>
      <c r="RTM196" s="84"/>
      <c r="RTN196" s="84"/>
      <c r="RTO196" s="84"/>
      <c r="RTP196" s="84"/>
      <c r="RTQ196" s="84"/>
      <c r="RTR196" s="84"/>
      <c r="RTS196" s="84"/>
      <c r="RTT196" s="84"/>
      <c r="RTU196" s="84"/>
      <c r="RTV196" s="84"/>
      <c r="RTW196" s="84"/>
      <c r="RTX196" s="84"/>
      <c r="RTY196" s="84"/>
      <c r="RTZ196" s="84"/>
      <c r="RUA196" s="84"/>
      <c r="RUB196" s="84"/>
      <c r="RUC196" s="84"/>
      <c r="RUD196" s="84"/>
      <c r="RUE196" s="84"/>
      <c r="RUF196" s="84"/>
      <c r="RUG196" s="84"/>
      <c r="RUH196" s="84"/>
      <c r="RUI196" s="84"/>
      <c r="RUJ196" s="84"/>
      <c r="RUK196" s="84"/>
      <c r="RUL196" s="84"/>
      <c r="RUM196" s="84"/>
      <c r="RUN196" s="84"/>
      <c r="RUO196" s="84"/>
      <c r="RUP196" s="84"/>
      <c r="RUQ196" s="84"/>
      <c r="RUR196" s="84"/>
      <c r="RUS196" s="84"/>
      <c r="RUT196" s="84"/>
      <c r="RUU196" s="84"/>
      <c r="RUV196" s="84"/>
      <c r="RUW196" s="84"/>
      <c r="RUX196" s="84"/>
      <c r="RUY196" s="84"/>
      <c r="RUZ196" s="84"/>
      <c r="RVA196" s="84"/>
      <c r="RVB196" s="84"/>
      <c r="RVC196" s="84"/>
      <c r="RVD196" s="84"/>
      <c r="RVE196" s="84"/>
      <c r="RVF196" s="84"/>
      <c r="RVG196" s="84"/>
      <c r="RVH196" s="84"/>
      <c r="RVI196" s="84"/>
      <c r="RVJ196" s="84"/>
      <c r="RVK196" s="84"/>
      <c r="RVL196" s="84"/>
      <c r="RVM196" s="84"/>
      <c r="RVN196" s="84"/>
      <c r="RVO196" s="84"/>
      <c r="RVP196" s="84"/>
      <c r="RVQ196" s="84"/>
      <c r="RVR196" s="84"/>
      <c r="RVS196" s="84"/>
      <c r="RVT196" s="84"/>
      <c r="RVU196" s="84"/>
      <c r="RVV196" s="84"/>
      <c r="RVW196" s="84"/>
      <c r="RVX196" s="84"/>
      <c r="RVY196" s="84"/>
      <c r="RVZ196" s="84"/>
      <c r="RWA196" s="84"/>
      <c r="RWB196" s="84"/>
      <c r="RWC196" s="84"/>
      <c r="RWD196" s="84"/>
      <c r="RWE196" s="84"/>
      <c r="RWF196" s="84"/>
      <c r="RWG196" s="84"/>
      <c r="RWH196" s="84"/>
      <c r="RWI196" s="84"/>
      <c r="RWJ196" s="84"/>
      <c r="RWK196" s="84"/>
      <c r="RWL196" s="84"/>
      <c r="RWM196" s="84"/>
      <c r="RWN196" s="84"/>
      <c r="RWO196" s="84"/>
      <c r="RWP196" s="84"/>
      <c r="RWQ196" s="84"/>
      <c r="RWR196" s="84"/>
      <c r="RWS196" s="84"/>
      <c r="RWT196" s="84"/>
      <c r="RWU196" s="84"/>
      <c r="RWV196" s="84"/>
      <c r="RWW196" s="84"/>
      <c r="RWX196" s="84"/>
      <c r="RWY196" s="84"/>
      <c r="RWZ196" s="84"/>
      <c r="RXA196" s="84"/>
      <c r="RXB196" s="84"/>
      <c r="RXC196" s="84"/>
      <c r="RXD196" s="84"/>
      <c r="RXE196" s="84"/>
      <c r="RXF196" s="84"/>
      <c r="RXG196" s="84"/>
      <c r="RXH196" s="84"/>
      <c r="RXI196" s="84"/>
      <c r="RXJ196" s="84"/>
      <c r="RXK196" s="84"/>
      <c r="RXL196" s="84"/>
      <c r="RXM196" s="84"/>
      <c r="RXN196" s="84"/>
      <c r="RXO196" s="84"/>
      <c r="RXP196" s="84"/>
      <c r="RXQ196" s="84"/>
      <c r="RXR196" s="84"/>
      <c r="RXS196" s="84"/>
      <c r="RXT196" s="84"/>
      <c r="RXU196" s="84"/>
      <c r="RXV196" s="84"/>
      <c r="RXW196" s="84"/>
      <c r="RXX196" s="84"/>
      <c r="RXY196" s="84"/>
      <c r="RXZ196" s="84"/>
      <c r="RYA196" s="84"/>
      <c r="RYB196" s="84"/>
      <c r="RYC196" s="84"/>
      <c r="RYD196" s="84"/>
      <c r="RYE196" s="84"/>
      <c r="RYF196" s="84"/>
      <c r="RYG196" s="84"/>
      <c r="RYH196" s="84"/>
      <c r="RYI196" s="84"/>
      <c r="RYJ196" s="84"/>
      <c r="RYK196" s="84"/>
      <c r="RYL196" s="84"/>
      <c r="RYM196" s="84"/>
      <c r="RYN196" s="84"/>
      <c r="RYO196" s="84"/>
      <c r="RYP196" s="84"/>
      <c r="RYQ196" s="84"/>
      <c r="RYR196" s="84"/>
      <c r="RYS196" s="84"/>
      <c r="RYT196" s="84"/>
      <c r="RYU196" s="84"/>
      <c r="RYV196" s="84"/>
      <c r="RYW196" s="84"/>
      <c r="RYX196" s="84"/>
      <c r="RYY196" s="84"/>
      <c r="RYZ196" s="84"/>
      <c r="RZA196" s="84"/>
      <c r="RZB196" s="84"/>
      <c r="RZC196" s="84"/>
      <c r="RZD196" s="84"/>
      <c r="RZE196" s="84"/>
      <c r="RZF196" s="84"/>
      <c r="RZG196" s="84"/>
      <c r="RZH196" s="84"/>
      <c r="RZI196" s="84"/>
      <c r="RZJ196" s="84"/>
      <c r="RZK196" s="84"/>
      <c r="RZL196" s="84"/>
      <c r="RZM196" s="84"/>
      <c r="RZN196" s="84"/>
      <c r="RZO196" s="84"/>
      <c r="RZP196" s="84"/>
      <c r="RZQ196" s="84"/>
      <c r="RZR196" s="84"/>
      <c r="RZS196" s="84"/>
      <c r="RZT196" s="84"/>
      <c r="RZU196" s="84"/>
      <c r="RZV196" s="84"/>
      <c r="RZW196" s="84"/>
      <c r="RZX196" s="84"/>
      <c r="RZY196" s="84"/>
      <c r="RZZ196" s="84"/>
      <c r="SAA196" s="84"/>
      <c r="SAB196" s="84"/>
      <c r="SAC196" s="84"/>
      <c r="SAD196" s="84"/>
      <c r="SAE196" s="84"/>
      <c r="SAF196" s="84"/>
      <c r="SAG196" s="84"/>
      <c r="SAH196" s="84"/>
      <c r="SAI196" s="84"/>
      <c r="SAJ196" s="84"/>
      <c r="SAK196" s="84"/>
      <c r="SAL196" s="84"/>
      <c r="SAM196" s="84"/>
      <c r="SAN196" s="84"/>
      <c r="SAO196" s="84"/>
      <c r="SAP196" s="84"/>
      <c r="SAQ196" s="84"/>
      <c r="SAR196" s="84"/>
      <c r="SAS196" s="84"/>
      <c r="SAT196" s="84"/>
      <c r="SAU196" s="84"/>
      <c r="SAV196" s="84"/>
      <c r="SAW196" s="84"/>
      <c r="SAX196" s="84"/>
      <c r="SAY196" s="84"/>
      <c r="SAZ196" s="84"/>
      <c r="SBA196" s="84"/>
      <c r="SBB196" s="84"/>
      <c r="SBC196" s="84"/>
      <c r="SBD196" s="84"/>
      <c r="SBE196" s="84"/>
      <c r="SBF196" s="84"/>
      <c r="SBG196" s="84"/>
      <c r="SBH196" s="84"/>
      <c r="SBI196" s="84"/>
      <c r="SBJ196" s="84"/>
      <c r="SBK196" s="84"/>
      <c r="SBL196" s="84"/>
      <c r="SBM196" s="84"/>
      <c r="SBN196" s="84"/>
      <c r="SBO196" s="84"/>
      <c r="SBP196" s="84"/>
      <c r="SBQ196" s="84"/>
      <c r="SBR196" s="84"/>
      <c r="SBS196" s="84"/>
      <c r="SBT196" s="84"/>
      <c r="SBU196" s="84"/>
      <c r="SBV196" s="84"/>
      <c r="SBW196" s="84"/>
      <c r="SBX196" s="84"/>
      <c r="SBY196" s="84"/>
      <c r="SBZ196" s="84"/>
      <c r="SCA196" s="84"/>
      <c r="SCB196" s="84"/>
      <c r="SCC196" s="84"/>
      <c r="SCD196" s="84"/>
      <c r="SCE196" s="84"/>
      <c r="SCF196" s="84"/>
      <c r="SCG196" s="84"/>
      <c r="SCH196" s="84"/>
      <c r="SCI196" s="84"/>
      <c r="SCJ196" s="84"/>
      <c r="SCK196" s="84"/>
      <c r="SCL196" s="84"/>
      <c r="SCM196" s="84"/>
      <c r="SCN196" s="84"/>
      <c r="SCO196" s="84"/>
      <c r="SCP196" s="84"/>
      <c r="SCQ196" s="84"/>
      <c r="SCR196" s="84"/>
      <c r="SCS196" s="84"/>
      <c r="SCT196" s="84"/>
      <c r="SCU196" s="84"/>
      <c r="SCV196" s="84"/>
      <c r="SCW196" s="84"/>
      <c r="SCX196" s="84"/>
      <c r="SCY196" s="84"/>
      <c r="SCZ196" s="84"/>
      <c r="SDA196" s="84"/>
      <c r="SDB196" s="84"/>
      <c r="SDC196" s="84"/>
      <c r="SDD196" s="84"/>
      <c r="SDE196" s="84"/>
      <c r="SDF196" s="84"/>
      <c r="SDG196" s="84"/>
      <c r="SDH196" s="84"/>
      <c r="SDI196" s="84"/>
      <c r="SDJ196" s="84"/>
      <c r="SDK196" s="84"/>
      <c r="SDL196" s="84"/>
      <c r="SDM196" s="84"/>
      <c r="SDN196" s="84"/>
      <c r="SDO196" s="84"/>
      <c r="SDP196" s="84"/>
      <c r="SDQ196" s="84"/>
      <c r="SDR196" s="84"/>
      <c r="SDS196" s="84"/>
      <c r="SDT196" s="84"/>
      <c r="SDU196" s="84"/>
      <c r="SDV196" s="84"/>
      <c r="SDW196" s="84"/>
      <c r="SDX196" s="84"/>
      <c r="SDY196" s="84"/>
      <c r="SDZ196" s="84"/>
      <c r="SEA196" s="84"/>
      <c r="SEB196" s="84"/>
      <c r="SEC196" s="84"/>
      <c r="SED196" s="84"/>
      <c r="SEE196" s="84"/>
      <c r="SEF196" s="84"/>
      <c r="SEG196" s="84"/>
      <c r="SEH196" s="84"/>
      <c r="SEI196" s="84"/>
      <c r="SEJ196" s="84"/>
      <c r="SEK196" s="84"/>
      <c r="SEL196" s="84"/>
      <c r="SEM196" s="84"/>
      <c r="SEN196" s="84"/>
      <c r="SEO196" s="84"/>
      <c r="SEP196" s="84"/>
      <c r="SEQ196" s="84"/>
      <c r="SER196" s="84"/>
      <c r="SES196" s="84"/>
      <c r="SET196" s="84"/>
      <c r="SEU196" s="84"/>
      <c r="SEV196" s="84"/>
      <c r="SEW196" s="84"/>
      <c r="SEX196" s="84"/>
      <c r="SEY196" s="84"/>
      <c r="SEZ196" s="84"/>
      <c r="SFA196" s="84"/>
      <c r="SFB196" s="84"/>
      <c r="SFC196" s="84"/>
      <c r="SFD196" s="84"/>
      <c r="SFE196" s="84"/>
      <c r="SFF196" s="84"/>
      <c r="SFG196" s="84"/>
      <c r="SFH196" s="84"/>
      <c r="SFI196" s="84"/>
      <c r="SFJ196" s="84"/>
      <c r="SFK196" s="84"/>
      <c r="SFL196" s="84"/>
      <c r="SFM196" s="84"/>
      <c r="SFN196" s="84"/>
      <c r="SFO196" s="84"/>
      <c r="SFP196" s="84"/>
      <c r="SFQ196" s="84"/>
      <c r="SFR196" s="84"/>
      <c r="SFS196" s="84"/>
      <c r="SFT196" s="84"/>
      <c r="SFU196" s="84"/>
      <c r="SFV196" s="84"/>
      <c r="SFW196" s="84"/>
      <c r="SFX196" s="84"/>
      <c r="SFY196" s="84"/>
      <c r="SFZ196" s="84"/>
      <c r="SGA196" s="84"/>
      <c r="SGB196" s="84"/>
      <c r="SGC196" s="84"/>
      <c r="SGD196" s="84"/>
      <c r="SGE196" s="84"/>
      <c r="SGF196" s="84"/>
      <c r="SGG196" s="84"/>
      <c r="SGH196" s="84"/>
      <c r="SGI196" s="84"/>
      <c r="SGJ196" s="84"/>
      <c r="SGK196" s="84"/>
      <c r="SGL196" s="84"/>
      <c r="SGM196" s="84"/>
      <c r="SGN196" s="84"/>
      <c r="SGO196" s="84"/>
      <c r="SGP196" s="84"/>
      <c r="SGQ196" s="84"/>
      <c r="SGR196" s="84"/>
      <c r="SGS196" s="84"/>
      <c r="SGT196" s="84"/>
      <c r="SGU196" s="84"/>
      <c r="SGV196" s="84"/>
      <c r="SGW196" s="84"/>
      <c r="SGX196" s="84"/>
      <c r="SGY196" s="84"/>
      <c r="SGZ196" s="84"/>
      <c r="SHA196" s="84"/>
      <c r="SHB196" s="84"/>
      <c r="SHC196" s="84"/>
      <c r="SHD196" s="84"/>
      <c r="SHE196" s="84"/>
      <c r="SHF196" s="84"/>
      <c r="SHG196" s="84"/>
      <c r="SHH196" s="84"/>
      <c r="SHI196" s="84"/>
      <c r="SHJ196" s="84"/>
      <c r="SHK196" s="84"/>
      <c r="SHL196" s="84"/>
      <c r="SHM196" s="84"/>
      <c r="SHN196" s="84"/>
      <c r="SHO196" s="84"/>
      <c r="SHP196" s="84"/>
      <c r="SHQ196" s="84"/>
      <c r="SHR196" s="84"/>
      <c r="SHS196" s="84"/>
      <c r="SHT196" s="84"/>
      <c r="SHU196" s="84"/>
      <c r="SHV196" s="84"/>
      <c r="SHW196" s="84"/>
      <c r="SHX196" s="84"/>
      <c r="SHY196" s="84"/>
      <c r="SHZ196" s="84"/>
      <c r="SIA196" s="84"/>
      <c r="SIB196" s="84"/>
      <c r="SIC196" s="84"/>
      <c r="SID196" s="84"/>
      <c r="SIE196" s="84"/>
      <c r="SIF196" s="84"/>
      <c r="SIG196" s="84"/>
      <c r="SIH196" s="84"/>
      <c r="SII196" s="84"/>
      <c r="SIJ196" s="84"/>
      <c r="SIK196" s="84"/>
      <c r="SIL196" s="84"/>
      <c r="SIM196" s="84"/>
      <c r="SIN196" s="84"/>
      <c r="SIO196" s="84"/>
      <c r="SIP196" s="84"/>
      <c r="SIQ196" s="84"/>
      <c r="SIR196" s="84"/>
      <c r="SIS196" s="84"/>
      <c r="SIT196" s="84"/>
      <c r="SIU196" s="84"/>
      <c r="SIV196" s="84"/>
      <c r="SIW196" s="84"/>
      <c r="SIX196" s="84"/>
      <c r="SIY196" s="84"/>
      <c r="SIZ196" s="84"/>
      <c r="SJA196" s="84"/>
      <c r="SJB196" s="84"/>
      <c r="SJC196" s="84"/>
      <c r="SJD196" s="84"/>
      <c r="SJE196" s="84"/>
      <c r="SJF196" s="84"/>
      <c r="SJG196" s="84"/>
      <c r="SJH196" s="84"/>
      <c r="SJI196" s="84"/>
      <c r="SJJ196" s="84"/>
      <c r="SJK196" s="84"/>
      <c r="SJL196" s="84"/>
      <c r="SJM196" s="84"/>
      <c r="SJN196" s="84"/>
      <c r="SJO196" s="84"/>
      <c r="SJP196" s="84"/>
      <c r="SJQ196" s="84"/>
      <c r="SJR196" s="84"/>
      <c r="SJS196" s="84"/>
      <c r="SJT196" s="84"/>
      <c r="SJU196" s="84"/>
      <c r="SJV196" s="84"/>
      <c r="SJW196" s="84"/>
      <c r="SJX196" s="84"/>
      <c r="SJY196" s="84"/>
      <c r="SJZ196" s="84"/>
      <c r="SKA196" s="84"/>
      <c r="SKB196" s="84"/>
      <c r="SKC196" s="84"/>
      <c r="SKD196" s="84"/>
      <c r="SKE196" s="84"/>
      <c r="SKF196" s="84"/>
      <c r="SKG196" s="84"/>
      <c r="SKH196" s="84"/>
      <c r="SKI196" s="84"/>
      <c r="SKJ196" s="84"/>
      <c r="SKK196" s="84"/>
      <c r="SKL196" s="84"/>
      <c r="SKM196" s="84"/>
      <c r="SKN196" s="84"/>
      <c r="SKO196" s="84"/>
      <c r="SKP196" s="84"/>
      <c r="SKQ196" s="84"/>
      <c r="SKR196" s="84"/>
      <c r="SKS196" s="84"/>
      <c r="SKT196" s="84"/>
      <c r="SKU196" s="84"/>
      <c r="SKV196" s="84"/>
      <c r="SKW196" s="84"/>
      <c r="SKX196" s="84"/>
      <c r="SKY196" s="84"/>
      <c r="SKZ196" s="84"/>
      <c r="SLA196" s="84"/>
      <c r="SLB196" s="84"/>
      <c r="SLC196" s="84"/>
      <c r="SLD196" s="84"/>
      <c r="SLE196" s="84"/>
      <c r="SLF196" s="84"/>
      <c r="SLG196" s="84"/>
      <c r="SLH196" s="84"/>
      <c r="SLI196" s="84"/>
      <c r="SLJ196" s="84"/>
      <c r="SLK196" s="84"/>
      <c r="SLL196" s="84"/>
      <c r="SLM196" s="84"/>
      <c r="SLN196" s="84"/>
      <c r="SLO196" s="84"/>
      <c r="SLP196" s="84"/>
      <c r="SLQ196" s="84"/>
      <c r="SLR196" s="84"/>
      <c r="SLS196" s="84"/>
      <c r="SLT196" s="84"/>
      <c r="SLU196" s="84"/>
      <c r="SLV196" s="84"/>
      <c r="SLW196" s="84"/>
      <c r="SLX196" s="84"/>
      <c r="SLY196" s="84"/>
      <c r="SLZ196" s="84"/>
      <c r="SMA196" s="84"/>
      <c r="SMB196" s="84"/>
      <c r="SMC196" s="84"/>
      <c r="SMD196" s="84"/>
      <c r="SME196" s="84"/>
      <c r="SMF196" s="84"/>
      <c r="SMG196" s="84"/>
      <c r="SMH196" s="84"/>
      <c r="SMI196" s="84"/>
      <c r="SMJ196" s="84"/>
      <c r="SMK196" s="84"/>
      <c r="SML196" s="84"/>
      <c r="SMM196" s="84"/>
      <c r="SMN196" s="84"/>
      <c r="SMO196" s="84"/>
      <c r="SMP196" s="84"/>
      <c r="SMQ196" s="84"/>
      <c r="SMR196" s="84"/>
      <c r="SMS196" s="84"/>
      <c r="SMT196" s="84"/>
      <c r="SMU196" s="84"/>
      <c r="SMV196" s="84"/>
      <c r="SMW196" s="84"/>
      <c r="SMX196" s="84"/>
      <c r="SMY196" s="84"/>
      <c r="SMZ196" s="84"/>
      <c r="SNA196" s="84"/>
      <c r="SNB196" s="84"/>
      <c r="SNC196" s="84"/>
      <c r="SND196" s="84"/>
      <c r="SNE196" s="84"/>
      <c r="SNF196" s="84"/>
      <c r="SNG196" s="84"/>
      <c r="SNH196" s="84"/>
      <c r="SNI196" s="84"/>
      <c r="SNJ196" s="84"/>
      <c r="SNK196" s="84"/>
      <c r="SNL196" s="84"/>
      <c r="SNM196" s="84"/>
      <c r="SNN196" s="84"/>
      <c r="SNO196" s="84"/>
      <c r="SNP196" s="84"/>
      <c r="SNQ196" s="84"/>
      <c r="SNR196" s="84"/>
      <c r="SNS196" s="84"/>
      <c r="SNT196" s="84"/>
      <c r="SNU196" s="84"/>
      <c r="SNV196" s="84"/>
      <c r="SNW196" s="84"/>
      <c r="SNX196" s="84"/>
      <c r="SNY196" s="84"/>
      <c r="SNZ196" s="84"/>
      <c r="SOA196" s="84"/>
      <c r="SOB196" s="84"/>
      <c r="SOC196" s="84"/>
      <c r="SOD196" s="84"/>
      <c r="SOE196" s="84"/>
      <c r="SOF196" s="84"/>
      <c r="SOG196" s="84"/>
      <c r="SOH196" s="84"/>
      <c r="SOI196" s="84"/>
      <c r="SOJ196" s="84"/>
      <c r="SOK196" s="84"/>
      <c r="SOL196" s="84"/>
      <c r="SOM196" s="84"/>
      <c r="SON196" s="84"/>
      <c r="SOO196" s="84"/>
      <c r="SOP196" s="84"/>
      <c r="SOQ196" s="84"/>
      <c r="SOR196" s="84"/>
      <c r="SOS196" s="84"/>
      <c r="SOT196" s="84"/>
      <c r="SOU196" s="84"/>
      <c r="SOV196" s="84"/>
      <c r="SOW196" s="84"/>
      <c r="SOX196" s="84"/>
      <c r="SOY196" s="84"/>
      <c r="SOZ196" s="84"/>
      <c r="SPA196" s="84"/>
      <c r="SPB196" s="84"/>
      <c r="SPC196" s="84"/>
      <c r="SPD196" s="84"/>
      <c r="SPE196" s="84"/>
      <c r="SPF196" s="84"/>
      <c r="SPG196" s="84"/>
      <c r="SPH196" s="84"/>
      <c r="SPI196" s="84"/>
      <c r="SPJ196" s="84"/>
      <c r="SPK196" s="84"/>
      <c r="SPL196" s="84"/>
      <c r="SPM196" s="84"/>
      <c r="SPN196" s="84"/>
      <c r="SPO196" s="84"/>
      <c r="SPP196" s="84"/>
      <c r="SPQ196" s="84"/>
      <c r="SPR196" s="84"/>
      <c r="SPS196" s="84"/>
      <c r="SPT196" s="84"/>
      <c r="SPU196" s="84"/>
      <c r="SPV196" s="84"/>
      <c r="SPW196" s="84"/>
      <c r="SPX196" s="84"/>
      <c r="SPY196" s="84"/>
      <c r="SPZ196" s="84"/>
      <c r="SQA196" s="84"/>
      <c r="SQB196" s="84"/>
      <c r="SQC196" s="84"/>
      <c r="SQD196" s="84"/>
      <c r="SQE196" s="84"/>
      <c r="SQF196" s="84"/>
      <c r="SQG196" s="84"/>
      <c r="SQH196" s="84"/>
      <c r="SQI196" s="84"/>
      <c r="SQJ196" s="84"/>
      <c r="SQK196" s="84"/>
      <c r="SQL196" s="84"/>
      <c r="SQM196" s="84"/>
      <c r="SQN196" s="84"/>
      <c r="SQO196" s="84"/>
      <c r="SQP196" s="84"/>
      <c r="SQQ196" s="84"/>
      <c r="SQR196" s="84"/>
      <c r="SQS196" s="84"/>
      <c r="SQT196" s="84"/>
      <c r="SQU196" s="84"/>
      <c r="SQV196" s="84"/>
      <c r="SQW196" s="84"/>
      <c r="SQX196" s="84"/>
      <c r="SQY196" s="84"/>
      <c r="SQZ196" s="84"/>
      <c r="SRA196" s="84"/>
      <c r="SRB196" s="84"/>
      <c r="SRC196" s="84"/>
      <c r="SRD196" s="84"/>
      <c r="SRE196" s="84"/>
      <c r="SRF196" s="84"/>
      <c r="SRG196" s="84"/>
      <c r="SRH196" s="84"/>
      <c r="SRI196" s="84"/>
      <c r="SRJ196" s="84"/>
      <c r="SRK196" s="84"/>
      <c r="SRL196" s="84"/>
      <c r="SRM196" s="84"/>
      <c r="SRN196" s="84"/>
      <c r="SRO196" s="84"/>
      <c r="SRP196" s="84"/>
      <c r="SRQ196" s="84"/>
      <c r="SRR196" s="84"/>
      <c r="SRS196" s="84"/>
      <c r="SRT196" s="84"/>
      <c r="SRU196" s="84"/>
      <c r="SRV196" s="84"/>
      <c r="SRW196" s="84"/>
      <c r="SRX196" s="84"/>
      <c r="SRY196" s="84"/>
      <c r="SRZ196" s="84"/>
      <c r="SSA196" s="84"/>
      <c r="SSB196" s="84"/>
      <c r="SSC196" s="84"/>
      <c r="SSD196" s="84"/>
      <c r="SSE196" s="84"/>
      <c r="SSF196" s="84"/>
      <c r="SSG196" s="84"/>
      <c r="SSH196" s="84"/>
      <c r="SSI196" s="84"/>
      <c r="SSJ196" s="84"/>
      <c r="SSK196" s="84"/>
      <c r="SSL196" s="84"/>
      <c r="SSM196" s="84"/>
      <c r="SSN196" s="84"/>
      <c r="SSO196" s="84"/>
      <c r="SSP196" s="84"/>
      <c r="SSQ196" s="84"/>
      <c r="SSR196" s="84"/>
      <c r="SSS196" s="84"/>
      <c r="SST196" s="84"/>
      <c r="SSU196" s="84"/>
      <c r="SSV196" s="84"/>
      <c r="SSW196" s="84"/>
      <c r="SSX196" s="84"/>
      <c r="SSY196" s="84"/>
      <c r="SSZ196" s="84"/>
      <c r="STA196" s="84"/>
      <c r="STB196" s="84"/>
      <c r="STC196" s="84"/>
      <c r="STD196" s="84"/>
      <c r="STE196" s="84"/>
      <c r="STF196" s="84"/>
      <c r="STG196" s="84"/>
      <c r="STH196" s="84"/>
      <c r="STI196" s="84"/>
      <c r="STJ196" s="84"/>
      <c r="STK196" s="84"/>
      <c r="STL196" s="84"/>
      <c r="STM196" s="84"/>
      <c r="STN196" s="84"/>
      <c r="STO196" s="84"/>
      <c r="STP196" s="84"/>
      <c r="STQ196" s="84"/>
      <c r="STR196" s="84"/>
      <c r="STS196" s="84"/>
      <c r="STT196" s="84"/>
      <c r="STU196" s="84"/>
      <c r="STV196" s="84"/>
      <c r="STW196" s="84"/>
      <c r="STX196" s="84"/>
      <c r="STY196" s="84"/>
      <c r="STZ196" s="84"/>
      <c r="SUA196" s="84"/>
      <c r="SUB196" s="84"/>
      <c r="SUC196" s="84"/>
      <c r="SUD196" s="84"/>
      <c r="SUE196" s="84"/>
      <c r="SUF196" s="84"/>
      <c r="SUG196" s="84"/>
      <c r="SUH196" s="84"/>
      <c r="SUI196" s="84"/>
      <c r="SUJ196" s="84"/>
      <c r="SUK196" s="84"/>
      <c r="SUL196" s="84"/>
      <c r="SUM196" s="84"/>
      <c r="SUN196" s="84"/>
      <c r="SUO196" s="84"/>
      <c r="SUP196" s="84"/>
      <c r="SUQ196" s="84"/>
      <c r="SUR196" s="84"/>
      <c r="SUS196" s="84"/>
      <c r="SUT196" s="84"/>
      <c r="SUU196" s="84"/>
      <c r="SUV196" s="84"/>
      <c r="SUW196" s="84"/>
      <c r="SUX196" s="84"/>
      <c r="SUY196" s="84"/>
      <c r="SUZ196" s="84"/>
      <c r="SVA196" s="84"/>
      <c r="SVB196" s="84"/>
      <c r="SVC196" s="84"/>
      <c r="SVD196" s="84"/>
      <c r="SVE196" s="84"/>
      <c r="SVF196" s="84"/>
      <c r="SVG196" s="84"/>
      <c r="SVH196" s="84"/>
      <c r="SVI196" s="84"/>
      <c r="SVJ196" s="84"/>
      <c r="SVK196" s="84"/>
      <c r="SVL196" s="84"/>
      <c r="SVM196" s="84"/>
      <c r="SVN196" s="84"/>
      <c r="SVO196" s="84"/>
      <c r="SVP196" s="84"/>
      <c r="SVQ196" s="84"/>
      <c r="SVR196" s="84"/>
      <c r="SVS196" s="84"/>
      <c r="SVT196" s="84"/>
      <c r="SVU196" s="84"/>
      <c r="SVV196" s="84"/>
      <c r="SVW196" s="84"/>
      <c r="SVX196" s="84"/>
      <c r="SVY196" s="84"/>
      <c r="SVZ196" s="84"/>
      <c r="SWA196" s="84"/>
      <c r="SWB196" s="84"/>
      <c r="SWC196" s="84"/>
      <c r="SWD196" s="84"/>
      <c r="SWE196" s="84"/>
      <c r="SWF196" s="84"/>
      <c r="SWG196" s="84"/>
      <c r="SWH196" s="84"/>
      <c r="SWI196" s="84"/>
      <c r="SWJ196" s="84"/>
      <c r="SWK196" s="84"/>
      <c r="SWL196" s="84"/>
      <c r="SWM196" s="84"/>
      <c r="SWN196" s="84"/>
      <c r="SWO196" s="84"/>
      <c r="SWP196" s="84"/>
      <c r="SWQ196" s="84"/>
      <c r="SWR196" s="84"/>
      <c r="SWS196" s="84"/>
      <c r="SWT196" s="84"/>
      <c r="SWU196" s="84"/>
      <c r="SWV196" s="84"/>
      <c r="SWW196" s="84"/>
      <c r="SWX196" s="84"/>
      <c r="SWY196" s="84"/>
      <c r="SWZ196" s="84"/>
      <c r="SXA196" s="84"/>
      <c r="SXB196" s="84"/>
      <c r="SXC196" s="84"/>
      <c r="SXD196" s="84"/>
      <c r="SXE196" s="84"/>
      <c r="SXF196" s="84"/>
      <c r="SXG196" s="84"/>
      <c r="SXH196" s="84"/>
      <c r="SXI196" s="84"/>
      <c r="SXJ196" s="84"/>
      <c r="SXK196" s="84"/>
      <c r="SXL196" s="84"/>
      <c r="SXM196" s="84"/>
      <c r="SXN196" s="84"/>
      <c r="SXO196" s="84"/>
      <c r="SXP196" s="84"/>
      <c r="SXQ196" s="84"/>
      <c r="SXR196" s="84"/>
      <c r="SXS196" s="84"/>
      <c r="SXT196" s="84"/>
      <c r="SXU196" s="84"/>
      <c r="SXV196" s="84"/>
      <c r="SXW196" s="84"/>
      <c r="SXX196" s="84"/>
      <c r="SXY196" s="84"/>
      <c r="SXZ196" s="84"/>
      <c r="SYA196" s="84"/>
      <c r="SYB196" s="84"/>
      <c r="SYC196" s="84"/>
      <c r="SYD196" s="84"/>
      <c r="SYE196" s="84"/>
      <c r="SYF196" s="84"/>
      <c r="SYG196" s="84"/>
      <c r="SYH196" s="84"/>
      <c r="SYI196" s="84"/>
      <c r="SYJ196" s="84"/>
      <c r="SYK196" s="84"/>
      <c r="SYL196" s="84"/>
      <c r="SYM196" s="84"/>
      <c r="SYN196" s="84"/>
      <c r="SYO196" s="84"/>
      <c r="SYP196" s="84"/>
      <c r="SYQ196" s="84"/>
      <c r="SYR196" s="84"/>
      <c r="SYS196" s="84"/>
      <c r="SYT196" s="84"/>
      <c r="SYU196" s="84"/>
      <c r="SYV196" s="84"/>
      <c r="SYW196" s="84"/>
      <c r="SYX196" s="84"/>
      <c r="SYY196" s="84"/>
      <c r="SYZ196" s="84"/>
      <c r="SZA196" s="84"/>
      <c r="SZB196" s="84"/>
      <c r="SZC196" s="84"/>
      <c r="SZD196" s="84"/>
      <c r="SZE196" s="84"/>
      <c r="SZF196" s="84"/>
      <c r="SZG196" s="84"/>
      <c r="SZH196" s="84"/>
      <c r="SZI196" s="84"/>
      <c r="SZJ196" s="84"/>
      <c r="SZK196" s="84"/>
      <c r="SZL196" s="84"/>
      <c r="SZM196" s="84"/>
      <c r="SZN196" s="84"/>
      <c r="SZO196" s="84"/>
      <c r="SZP196" s="84"/>
      <c r="SZQ196" s="84"/>
      <c r="SZR196" s="84"/>
      <c r="SZS196" s="84"/>
      <c r="SZT196" s="84"/>
      <c r="SZU196" s="84"/>
      <c r="SZV196" s="84"/>
      <c r="SZW196" s="84"/>
      <c r="SZX196" s="84"/>
      <c r="SZY196" s="84"/>
      <c r="SZZ196" s="84"/>
      <c r="TAA196" s="84"/>
      <c r="TAB196" s="84"/>
      <c r="TAC196" s="84"/>
      <c r="TAD196" s="84"/>
      <c r="TAE196" s="84"/>
      <c r="TAF196" s="84"/>
      <c r="TAG196" s="84"/>
      <c r="TAH196" s="84"/>
      <c r="TAI196" s="84"/>
      <c r="TAJ196" s="84"/>
      <c r="TAK196" s="84"/>
      <c r="TAL196" s="84"/>
      <c r="TAM196" s="84"/>
      <c r="TAN196" s="84"/>
      <c r="TAO196" s="84"/>
      <c r="TAP196" s="84"/>
      <c r="TAQ196" s="84"/>
      <c r="TAR196" s="84"/>
      <c r="TAS196" s="84"/>
      <c r="TAT196" s="84"/>
      <c r="TAU196" s="84"/>
      <c r="TAV196" s="84"/>
      <c r="TAW196" s="84"/>
      <c r="TAX196" s="84"/>
      <c r="TAY196" s="84"/>
      <c r="TAZ196" s="84"/>
      <c r="TBA196" s="84"/>
      <c r="TBB196" s="84"/>
      <c r="TBC196" s="84"/>
      <c r="TBD196" s="84"/>
      <c r="TBE196" s="84"/>
      <c r="TBF196" s="84"/>
      <c r="TBG196" s="84"/>
      <c r="TBH196" s="84"/>
      <c r="TBI196" s="84"/>
      <c r="TBJ196" s="84"/>
      <c r="TBK196" s="84"/>
      <c r="TBL196" s="84"/>
      <c r="TBM196" s="84"/>
      <c r="TBN196" s="84"/>
      <c r="TBO196" s="84"/>
      <c r="TBP196" s="84"/>
      <c r="TBQ196" s="84"/>
      <c r="TBR196" s="84"/>
      <c r="TBS196" s="84"/>
      <c r="TBT196" s="84"/>
      <c r="TBU196" s="84"/>
      <c r="TBV196" s="84"/>
      <c r="TBW196" s="84"/>
      <c r="TBX196" s="84"/>
      <c r="TBY196" s="84"/>
      <c r="TBZ196" s="84"/>
      <c r="TCA196" s="84"/>
      <c r="TCB196" s="84"/>
      <c r="TCC196" s="84"/>
      <c r="TCD196" s="84"/>
      <c r="TCE196" s="84"/>
      <c r="TCF196" s="84"/>
      <c r="TCG196" s="84"/>
      <c r="TCH196" s="84"/>
      <c r="TCI196" s="84"/>
      <c r="TCJ196" s="84"/>
      <c r="TCK196" s="84"/>
      <c r="TCL196" s="84"/>
      <c r="TCM196" s="84"/>
      <c r="TCN196" s="84"/>
      <c r="TCO196" s="84"/>
      <c r="TCP196" s="84"/>
      <c r="TCQ196" s="84"/>
      <c r="TCR196" s="84"/>
      <c r="TCS196" s="84"/>
      <c r="TCT196" s="84"/>
      <c r="TCU196" s="84"/>
      <c r="TCV196" s="84"/>
      <c r="TCW196" s="84"/>
      <c r="TCX196" s="84"/>
      <c r="TCY196" s="84"/>
      <c r="TCZ196" s="84"/>
      <c r="TDA196" s="84"/>
      <c r="TDB196" s="84"/>
      <c r="TDC196" s="84"/>
      <c r="TDD196" s="84"/>
      <c r="TDE196" s="84"/>
      <c r="TDF196" s="84"/>
      <c r="TDG196" s="84"/>
      <c r="TDH196" s="84"/>
      <c r="TDI196" s="84"/>
      <c r="TDJ196" s="84"/>
      <c r="TDK196" s="84"/>
      <c r="TDL196" s="84"/>
      <c r="TDM196" s="84"/>
      <c r="TDN196" s="84"/>
      <c r="TDO196" s="84"/>
      <c r="TDP196" s="84"/>
      <c r="TDQ196" s="84"/>
      <c r="TDR196" s="84"/>
      <c r="TDS196" s="84"/>
      <c r="TDT196" s="84"/>
      <c r="TDU196" s="84"/>
      <c r="TDV196" s="84"/>
      <c r="TDW196" s="84"/>
      <c r="TDX196" s="84"/>
      <c r="TDY196" s="84"/>
      <c r="TDZ196" s="84"/>
      <c r="TEA196" s="84"/>
      <c r="TEB196" s="84"/>
      <c r="TEC196" s="84"/>
      <c r="TED196" s="84"/>
      <c r="TEE196" s="84"/>
      <c r="TEF196" s="84"/>
      <c r="TEG196" s="84"/>
      <c r="TEH196" s="84"/>
      <c r="TEI196" s="84"/>
      <c r="TEJ196" s="84"/>
      <c r="TEK196" s="84"/>
      <c r="TEL196" s="84"/>
      <c r="TEM196" s="84"/>
      <c r="TEN196" s="84"/>
      <c r="TEO196" s="84"/>
      <c r="TEP196" s="84"/>
      <c r="TEQ196" s="84"/>
      <c r="TER196" s="84"/>
      <c r="TES196" s="84"/>
      <c r="TET196" s="84"/>
      <c r="TEU196" s="84"/>
      <c r="TEV196" s="84"/>
      <c r="TEW196" s="84"/>
      <c r="TEX196" s="84"/>
      <c r="TEY196" s="84"/>
      <c r="TEZ196" s="84"/>
      <c r="TFA196" s="84"/>
      <c r="TFB196" s="84"/>
      <c r="TFC196" s="84"/>
      <c r="TFD196" s="84"/>
      <c r="TFE196" s="84"/>
      <c r="TFF196" s="84"/>
      <c r="TFG196" s="84"/>
      <c r="TFH196" s="84"/>
      <c r="TFI196" s="84"/>
      <c r="TFJ196" s="84"/>
      <c r="TFK196" s="84"/>
      <c r="TFL196" s="84"/>
      <c r="TFM196" s="84"/>
      <c r="TFN196" s="84"/>
      <c r="TFO196" s="84"/>
      <c r="TFP196" s="84"/>
      <c r="TFQ196" s="84"/>
      <c r="TFR196" s="84"/>
      <c r="TFS196" s="84"/>
      <c r="TFT196" s="84"/>
      <c r="TFU196" s="84"/>
      <c r="TFV196" s="84"/>
      <c r="TFW196" s="84"/>
      <c r="TFX196" s="84"/>
      <c r="TFY196" s="84"/>
      <c r="TFZ196" s="84"/>
      <c r="TGA196" s="84"/>
      <c r="TGB196" s="84"/>
      <c r="TGC196" s="84"/>
      <c r="TGD196" s="84"/>
      <c r="TGE196" s="84"/>
      <c r="TGF196" s="84"/>
      <c r="TGG196" s="84"/>
      <c r="TGH196" s="84"/>
      <c r="TGI196" s="84"/>
      <c r="TGJ196" s="84"/>
      <c r="TGK196" s="84"/>
      <c r="TGL196" s="84"/>
      <c r="TGM196" s="84"/>
      <c r="TGN196" s="84"/>
      <c r="TGO196" s="84"/>
      <c r="TGP196" s="84"/>
      <c r="TGQ196" s="84"/>
      <c r="TGR196" s="84"/>
      <c r="TGS196" s="84"/>
      <c r="TGT196" s="84"/>
      <c r="TGU196" s="84"/>
      <c r="TGV196" s="84"/>
      <c r="TGW196" s="84"/>
      <c r="TGX196" s="84"/>
      <c r="TGY196" s="84"/>
      <c r="TGZ196" s="84"/>
      <c r="THA196" s="84"/>
      <c r="THB196" s="84"/>
      <c r="THC196" s="84"/>
      <c r="THD196" s="84"/>
      <c r="THE196" s="84"/>
      <c r="THF196" s="84"/>
      <c r="THG196" s="84"/>
      <c r="THH196" s="84"/>
      <c r="THI196" s="84"/>
      <c r="THJ196" s="84"/>
      <c r="THK196" s="84"/>
      <c r="THL196" s="84"/>
      <c r="THM196" s="84"/>
      <c r="THN196" s="84"/>
      <c r="THO196" s="84"/>
      <c r="THP196" s="84"/>
      <c r="THQ196" s="84"/>
      <c r="THR196" s="84"/>
      <c r="THS196" s="84"/>
      <c r="THT196" s="84"/>
      <c r="THU196" s="84"/>
      <c r="THV196" s="84"/>
      <c r="THW196" s="84"/>
      <c r="THX196" s="84"/>
      <c r="THY196" s="84"/>
      <c r="THZ196" s="84"/>
      <c r="TIA196" s="84"/>
      <c r="TIB196" s="84"/>
      <c r="TIC196" s="84"/>
      <c r="TID196" s="84"/>
      <c r="TIE196" s="84"/>
      <c r="TIF196" s="84"/>
      <c r="TIG196" s="84"/>
      <c r="TIH196" s="84"/>
      <c r="TII196" s="84"/>
      <c r="TIJ196" s="84"/>
      <c r="TIK196" s="84"/>
      <c r="TIL196" s="84"/>
      <c r="TIM196" s="84"/>
      <c r="TIN196" s="84"/>
      <c r="TIO196" s="84"/>
      <c r="TIP196" s="84"/>
      <c r="TIQ196" s="84"/>
      <c r="TIR196" s="84"/>
      <c r="TIS196" s="84"/>
      <c r="TIT196" s="84"/>
      <c r="TIU196" s="84"/>
      <c r="TIV196" s="84"/>
      <c r="TIW196" s="84"/>
      <c r="TIX196" s="84"/>
      <c r="TIY196" s="84"/>
      <c r="TIZ196" s="84"/>
      <c r="TJA196" s="84"/>
      <c r="TJB196" s="84"/>
      <c r="TJC196" s="84"/>
      <c r="TJD196" s="84"/>
      <c r="TJE196" s="84"/>
      <c r="TJF196" s="84"/>
      <c r="TJG196" s="84"/>
      <c r="TJH196" s="84"/>
      <c r="TJI196" s="84"/>
      <c r="TJJ196" s="84"/>
      <c r="TJK196" s="84"/>
      <c r="TJL196" s="84"/>
      <c r="TJM196" s="84"/>
      <c r="TJN196" s="84"/>
      <c r="TJO196" s="84"/>
      <c r="TJP196" s="84"/>
      <c r="TJQ196" s="84"/>
      <c r="TJR196" s="84"/>
      <c r="TJS196" s="84"/>
      <c r="TJT196" s="84"/>
      <c r="TJU196" s="84"/>
      <c r="TJV196" s="84"/>
      <c r="TJW196" s="84"/>
      <c r="TJX196" s="84"/>
      <c r="TJY196" s="84"/>
      <c r="TJZ196" s="84"/>
      <c r="TKA196" s="84"/>
      <c r="TKB196" s="84"/>
      <c r="TKC196" s="84"/>
      <c r="TKD196" s="84"/>
      <c r="TKE196" s="84"/>
      <c r="TKF196" s="84"/>
      <c r="TKG196" s="84"/>
      <c r="TKH196" s="84"/>
      <c r="TKI196" s="84"/>
      <c r="TKJ196" s="84"/>
      <c r="TKK196" s="84"/>
      <c r="TKL196" s="84"/>
      <c r="TKM196" s="84"/>
      <c r="TKN196" s="84"/>
      <c r="TKO196" s="84"/>
      <c r="TKP196" s="84"/>
      <c r="TKQ196" s="84"/>
      <c r="TKR196" s="84"/>
      <c r="TKS196" s="84"/>
      <c r="TKT196" s="84"/>
      <c r="TKU196" s="84"/>
      <c r="TKV196" s="84"/>
      <c r="TKW196" s="84"/>
      <c r="TKX196" s="84"/>
      <c r="TKY196" s="84"/>
      <c r="TKZ196" s="84"/>
      <c r="TLA196" s="84"/>
      <c r="TLB196" s="84"/>
      <c r="TLC196" s="84"/>
      <c r="TLD196" s="84"/>
      <c r="TLE196" s="84"/>
      <c r="TLF196" s="84"/>
      <c r="TLG196" s="84"/>
      <c r="TLH196" s="84"/>
      <c r="TLI196" s="84"/>
      <c r="TLJ196" s="84"/>
      <c r="TLK196" s="84"/>
      <c r="TLL196" s="84"/>
      <c r="TLM196" s="84"/>
      <c r="TLN196" s="84"/>
      <c r="TLO196" s="84"/>
      <c r="TLP196" s="84"/>
      <c r="TLQ196" s="84"/>
      <c r="TLR196" s="84"/>
      <c r="TLS196" s="84"/>
      <c r="TLT196" s="84"/>
      <c r="TLU196" s="84"/>
      <c r="TLV196" s="84"/>
      <c r="TLW196" s="84"/>
      <c r="TLX196" s="84"/>
      <c r="TLY196" s="84"/>
      <c r="TLZ196" s="84"/>
      <c r="TMA196" s="84"/>
      <c r="TMB196" s="84"/>
      <c r="TMC196" s="84"/>
      <c r="TMD196" s="84"/>
      <c r="TME196" s="84"/>
      <c r="TMF196" s="84"/>
      <c r="TMG196" s="84"/>
      <c r="TMH196" s="84"/>
      <c r="TMI196" s="84"/>
      <c r="TMJ196" s="84"/>
      <c r="TMK196" s="84"/>
      <c r="TML196" s="84"/>
      <c r="TMM196" s="84"/>
      <c r="TMN196" s="84"/>
      <c r="TMO196" s="84"/>
      <c r="TMP196" s="84"/>
      <c r="TMQ196" s="84"/>
      <c r="TMR196" s="84"/>
      <c r="TMS196" s="84"/>
      <c r="TMT196" s="84"/>
      <c r="TMU196" s="84"/>
      <c r="TMV196" s="84"/>
      <c r="TMW196" s="84"/>
      <c r="TMX196" s="84"/>
      <c r="TMY196" s="84"/>
      <c r="TMZ196" s="84"/>
      <c r="TNA196" s="84"/>
      <c r="TNB196" s="84"/>
      <c r="TNC196" s="84"/>
      <c r="TND196" s="84"/>
      <c r="TNE196" s="84"/>
      <c r="TNF196" s="84"/>
      <c r="TNG196" s="84"/>
      <c r="TNH196" s="84"/>
      <c r="TNI196" s="84"/>
      <c r="TNJ196" s="84"/>
      <c r="TNK196" s="84"/>
      <c r="TNL196" s="84"/>
      <c r="TNM196" s="84"/>
      <c r="TNN196" s="84"/>
      <c r="TNO196" s="84"/>
      <c r="TNP196" s="84"/>
      <c r="TNQ196" s="84"/>
      <c r="TNR196" s="84"/>
      <c r="TNS196" s="84"/>
      <c r="TNT196" s="84"/>
      <c r="TNU196" s="84"/>
      <c r="TNV196" s="84"/>
      <c r="TNW196" s="84"/>
      <c r="TNX196" s="84"/>
      <c r="TNY196" s="84"/>
      <c r="TNZ196" s="84"/>
      <c r="TOA196" s="84"/>
      <c r="TOB196" s="84"/>
      <c r="TOC196" s="84"/>
      <c r="TOD196" s="84"/>
      <c r="TOE196" s="84"/>
      <c r="TOF196" s="84"/>
      <c r="TOG196" s="84"/>
      <c r="TOH196" s="84"/>
      <c r="TOI196" s="84"/>
      <c r="TOJ196" s="84"/>
      <c r="TOK196" s="84"/>
      <c r="TOL196" s="84"/>
      <c r="TOM196" s="84"/>
      <c r="TON196" s="84"/>
      <c r="TOO196" s="84"/>
      <c r="TOP196" s="84"/>
      <c r="TOQ196" s="84"/>
      <c r="TOR196" s="84"/>
      <c r="TOS196" s="84"/>
      <c r="TOT196" s="84"/>
      <c r="TOU196" s="84"/>
      <c r="TOV196" s="84"/>
      <c r="TOW196" s="84"/>
      <c r="TOX196" s="84"/>
      <c r="TOY196" s="84"/>
      <c r="TOZ196" s="84"/>
      <c r="TPA196" s="84"/>
      <c r="TPB196" s="84"/>
      <c r="TPC196" s="84"/>
      <c r="TPD196" s="84"/>
      <c r="TPE196" s="84"/>
      <c r="TPF196" s="84"/>
      <c r="TPG196" s="84"/>
      <c r="TPH196" s="84"/>
      <c r="TPI196" s="84"/>
      <c r="TPJ196" s="84"/>
      <c r="TPK196" s="84"/>
      <c r="TPL196" s="84"/>
      <c r="TPM196" s="84"/>
      <c r="TPN196" s="84"/>
      <c r="TPO196" s="84"/>
      <c r="TPP196" s="84"/>
      <c r="TPQ196" s="84"/>
      <c r="TPR196" s="84"/>
      <c r="TPS196" s="84"/>
      <c r="TPT196" s="84"/>
      <c r="TPU196" s="84"/>
      <c r="TPV196" s="84"/>
      <c r="TPW196" s="84"/>
      <c r="TPX196" s="84"/>
      <c r="TPY196" s="84"/>
      <c r="TPZ196" s="84"/>
      <c r="TQA196" s="84"/>
      <c r="TQB196" s="84"/>
      <c r="TQC196" s="84"/>
      <c r="TQD196" s="84"/>
      <c r="TQE196" s="84"/>
      <c r="TQF196" s="84"/>
      <c r="TQG196" s="84"/>
      <c r="TQH196" s="84"/>
      <c r="TQI196" s="84"/>
      <c r="TQJ196" s="84"/>
      <c r="TQK196" s="84"/>
      <c r="TQL196" s="84"/>
      <c r="TQM196" s="84"/>
      <c r="TQN196" s="84"/>
      <c r="TQO196" s="84"/>
      <c r="TQP196" s="84"/>
      <c r="TQQ196" s="84"/>
      <c r="TQR196" s="84"/>
      <c r="TQS196" s="84"/>
      <c r="TQT196" s="84"/>
      <c r="TQU196" s="84"/>
      <c r="TQV196" s="84"/>
      <c r="TQW196" s="84"/>
      <c r="TQX196" s="84"/>
      <c r="TQY196" s="84"/>
      <c r="TQZ196" s="84"/>
      <c r="TRA196" s="84"/>
      <c r="TRB196" s="84"/>
      <c r="TRC196" s="84"/>
      <c r="TRD196" s="84"/>
      <c r="TRE196" s="84"/>
      <c r="TRF196" s="84"/>
      <c r="TRG196" s="84"/>
      <c r="TRH196" s="84"/>
      <c r="TRI196" s="84"/>
      <c r="TRJ196" s="84"/>
      <c r="TRK196" s="84"/>
      <c r="TRL196" s="84"/>
      <c r="TRM196" s="84"/>
      <c r="TRN196" s="84"/>
      <c r="TRO196" s="84"/>
      <c r="TRP196" s="84"/>
      <c r="TRQ196" s="84"/>
      <c r="TRR196" s="84"/>
      <c r="TRS196" s="84"/>
      <c r="TRT196" s="84"/>
      <c r="TRU196" s="84"/>
      <c r="TRV196" s="84"/>
      <c r="TRW196" s="84"/>
      <c r="TRX196" s="84"/>
      <c r="TRY196" s="84"/>
      <c r="TRZ196" s="84"/>
      <c r="TSA196" s="84"/>
      <c r="TSB196" s="84"/>
      <c r="TSC196" s="84"/>
      <c r="TSD196" s="84"/>
      <c r="TSE196" s="84"/>
      <c r="TSF196" s="84"/>
      <c r="TSG196" s="84"/>
      <c r="TSH196" s="84"/>
      <c r="TSI196" s="84"/>
      <c r="TSJ196" s="84"/>
      <c r="TSK196" s="84"/>
      <c r="TSL196" s="84"/>
      <c r="TSM196" s="84"/>
      <c r="TSN196" s="84"/>
      <c r="TSO196" s="84"/>
      <c r="TSP196" s="84"/>
      <c r="TSQ196" s="84"/>
      <c r="TSR196" s="84"/>
      <c r="TSS196" s="84"/>
      <c r="TST196" s="84"/>
      <c r="TSU196" s="84"/>
      <c r="TSV196" s="84"/>
      <c r="TSW196" s="84"/>
      <c r="TSX196" s="84"/>
      <c r="TSY196" s="84"/>
      <c r="TSZ196" s="84"/>
      <c r="TTA196" s="84"/>
      <c r="TTB196" s="84"/>
      <c r="TTC196" s="84"/>
      <c r="TTD196" s="84"/>
      <c r="TTE196" s="84"/>
      <c r="TTF196" s="84"/>
      <c r="TTG196" s="84"/>
      <c r="TTH196" s="84"/>
      <c r="TTI196" s="84"/>
      <c r="TTJ196" s="84"/>
      <c r="TTK196" s="84"/>
      <c r="TTL196" s="84"/>
      <c r="TTM196" s="84"/>
      <c r="TTN196" s="84"/>
      <c r="TTO196" s="84"/>
      <c r="TTP196" s="84"/>
      <c r="TTQ196" s="84"/>
      <c r="TTR196" s="84"/>
      <c r="TTS196" s="84"/>
      <c r="TTT196" s="84"/>
      <c r="TTU196" s="84"/>
      <c r="TTV196" s="84"/>
      <c r="TTW196" s="84"/>
      <c r="TTX196" s="84"/>
      <c r="TTY196" s="84"/>
      <c r="TTZ196" s="84"/>
      <c r="TUA196" s="84"/>
      <c r="TUB196" s="84"/>
      <c r="TUC196" s="84"/>
      <c r="TUD196" s="84"/>
      <c r="TUE196" s="84"/>
      <c r="TUF196" s="84"/>
      <c r="TUG196" s="84"/>
      <c r="TUH196" s="84"/>
      <c r="TUI196" s="84"/>
      <c r="TUJ196" s="84"/>
      <c r="TUK196" s="84"/>
      <c r="TUL196" s="84"/>
      <c r="TUM196" s="84"/>
      <c r="TUN196" s="84"/>
      <c r="TUO196" s="84"/>
      <c r="TUP196" s="84"/>
      <c r="TUQ196" s="84"/>
      <c r="TUR196" s="84"/>
      <c r="TUS196" s="84"/>
      <c r="TUT196" s="84"/>
      <c r="TUU196" s="84"/>
      <c r="TUV196" s="84"/>
      <c r="TUW196" s="84"/>
      <c r="TUX196" s="84"/>
      <c r="TUY196" s="84"/>
      <c r="TUZ196" s="84"/>
      <c r="TVA196" s="84"/>
      <c r="TVB196" s="84"/>
      <c r="TVC196" s="84"/>
      <c r="TVD196" s="84"/>
      <c r="TVE196" s="84"/>
      <c r="TVF196" s="84"/>
      <c r="TVG196" s="84"/>
      <c r="TVH196" s="84"/>
      <c r="TVI196" s="84"/>
      <c r="TVJ196" s="84"/>
      <c r="TVK196" s="84"/>
      <c r="TVL196" s="84"/>
      <c r="TVM196" s="84"/>
      <c r="TVN196" s="84"/>
      <c r="TVO196" s="84"/>
      <c r="TVP196" s="84"/>
      <c r="TVQ196" s="84"/>
      <c r="TVR196" s="84"/>
      <c r="TVS196" s="84"/>
      <c r="TVT196" s="84"/>
      <c r="TVU196" s="84"/>
      <c r="TVV196" s="84"/>
      <c r="TVW196" s="84"/>
      <c r="TVX196" s="84"/>
      <c r="TVY196" s="84"/>
      <c r="TVZ196" s="84"/>
      <c r="TWA196" s="84"/>
      <c r="TWB196" s="84"/>
      <c r="TWC196" s="84"/>
      <c r="TWD196" s="84"/>
      <c r="TWE196" s="84"/>
      <c r="TWF196" s="84"/>
      <c r="TWG196" s="84"/>
      <c r="TWH196" s="84"/>
      <c r="TWI196" s="84"/>
      <c r="TWJ196" s="84"/>
      <c r="TWK196" s="84"/>
      <c r="TWL196" s="84"/>
      <c r="TWM196" s="84"/>
      <c r="TWN196" s="84"/>
      <c r="TWO196" s="84"/>
      <c r="TWP196" s="84"/>
      <c r="TWQ196" s="84"/>
      <c r="TWR196" s="84"/>
      <c r="TWS196" s="84"/>
      <c r="TWT196" s="84"/>
      <c r="TWU196" s="84"/>
      <c r="TWV196" s="84"/>
      <c r="TWW196" s="84"/>
      <c r="TWX196" s="84"/>
      <c r="TWY196" s="84"/>
      <c r="TWZ196" s="84"/>
      <c r="TXA196" s="84"/>
      <c r="TXB196" s="84"/>
      <c r="TXC196" s="84"/>
      <c r="TXD196" s="84"/>
      <c r="TXE196" s="84"/>
      <c r="TXF196" s="84"/>
      <c r="TXG196" s="84"/>
      <c r="TXH196" s="84"/>
      <c r="TXI196" s="84"/>
      <c r="TXJ196" s="84"/>
      <c r="TXK196" s="84"/>
      <c r="TXL196" s="84"/>
      <c r="TXM196" s="84"/>
      <c r="TXN196" s="84"/>
      <c r="TXO196" s="84"/>
      <c r="TXP196" s="84"/>
      <c r="TXQ196" s="84"/>
      <c r="TXR196" s="84"/>
      <c r="TXS196" s="84"/>
      <c r="TXT196" s="84"/>
      <c r="TXU196" s="84"/>
      <c r="TXV196" s="84"/>
      <c r="TXW196" s="84"/>
      <c r="TXX196" s="84"/>
      <c r="TXY196" s="84"/>
      <c r="TXZ196" s="84"/>
      <c r="TYA196" s="84"/>
      <c r="TYB196" s="84"/>
      <c r="TYC196" s="84"/>
      <c r="TYD196" s="84"/>
      <c r="TYE196" s="84"/>
      <c r="TYF196" s="84"/>
      <c r="TYG196" s="84"/>
      <c r="TYH196" s="84"/>
      <c r="TYI196" s="84"/>
      <c r="TYJ196" s="84"/>
      <c r="TYK196" s="84"/>
      <c r="TYL196" s="84"/>
      <c r="TYM196" s="84"/>
      <c r="TYN196" s="84"/>
      <c r="TYO196" s="84"/>
      <c r="TYP196" s="84"/>
      <c r="TYQ196" s="84"/>
      <c r="TYR196" s="84"/>
      <c r="TYS196" s="84"/>
      <c r="TYT196" s="84"/>
      <c r="TYU196" s="84"/>
      <c r="TYV196" s="84"/>
      <c r="TYW196" s="84"/>
      <c r="TYX196" s="84"/>
      <c r="TYY196" s="84"/>
      <c r="TYZ196" s="84"/>
      <c r="TZA196" s="84"/>
      <c r="TZB196" s="84"/>
      <c r="TZC196" s="84"/>
      <c r="TZD196" s="84"/>
      <c r="TZE196" s="84"/>
      <c r="TZF196" s="84"/>
      <c r="TZG196" s="84"/>
      <c r="TZH196" s="84"/>
      <c r="TZI196" s="84"/>
      <c r="TZJ196" s="84"/>
      <c r="TZK196" s="84"/>
      <c r="TZL196" s="84"/>
      <c r="TZM196" s="84"/>
      <c r="TZN196" s="84"/>
      <c r="TZO196" s="84"/>
      <c r="TZP196" s="84"/>
      <c r="TZQ196" s="84"/>
      <c r="TZR196" s="84"/>
      <c r="TZS196" s="84"/>
      <c r="TZT196" s="84"/>
      <c r="TZU196" s="84"/>
      <c r="TZV196" s="84"/>
      <c r="TZW196" s="84"/>
      <c r="TZX196" s="84"/>
      <c r="TZY196" s="84"/>
      <c r="TZZ196" s="84"/>
      <c r="UAA196" s="84"/>
      <c r="UAB196" s="84"/>
      <c r="UAC196" s="84"/>
      <c r="UAD196" s="84"/>
      <c r="UAE196" s="84"/>
      <c r="UAF196" s="84"/>
      <c r="UAG196" s="84"/>
      <c r="UAH196" s="84"/>
      <c r="UAI196" s="84"/>
      <c r="UAJ196" s="84"/>
      <c r="UAK196" s="84"/>
      <c r="UAL196" s="84"/>
      <c r="UAM196" s="84"/>
      <c r="UAN196" s="84"/>
      <c r="UAO196" s="84"/>
      <c r="UAP196" s="84"/>
      <c r="UAQ196" s="84"/>
      <c r="UAR196" s="84"/>
      <c r="UAS196" s="84"/>
      <c r="UAT196" s="84"/>
      <c r="UAU196" s="84"/>
      <c r="UAV196" s="84"/>
      <c r="UAW196" s="84"/>
      <c r="UAX196" s="84"/>
      <c r="UAY196" s="84"/>
      <c r="UAZ196" s="84"/>
      <c r="UBA196" s="84"/>
      <c r="UBB196" s="84"/>
      <c r="UBC196" s="84"/>
      <c r="UBD196" s="84"/>
      <c r="UBE196" s="84"/>
      <c r="UBF196" s="84"/>
      <c r="UBG196" s="84"/>
      <c r="UBH196" s="84"/>
      <c r="UBI196" s="84"/>
      <c r="UBJ196" s="84"/>
      <c r="UBK196" s="84"/>
      <c r="UBL196" s="84"/>
      <c r="UBM196" s="84"/>
      <c r="UBN196" s="84"/>
      <c r="UBO196" s="84"/>
      <c r="UBP196" s="84"/>
      <c r="UBQ196" s="84"/>
      <c r="UBR196" s="84"/>
      <c r="UBS196" s="84"/>
      <c r="UBT196" s="84"/>
      <c r="UBU196" s="84"/>
      <c r="UBV196" s="84"/>
      <c r="UBW196" s="84"/>
      <c r="UBX196" s="84"/>
      <c r="UBY196" s="84"/>
      <c r="UBZ196" s="84"/>
      <c r="UCA196" s="84"/>
      <c r="UCB196" s="84"/>
      <c r="UCC196" s="84"/>
      <c r="UCD196" s="84"/>
      <c r="UCE196" s="84"/>
      <c r="UCF196" s="84"/>
      <c r="UCG196" s="84"/>
      <c r="UCH196" s="84"/>
      <c r="UCI196" s="84"/>
      <c r="UCJ196" s="84"/>
      <c r="UCK196" s="84"/>
      <c r="UCL196" s="84"/>
      <c r="UCM196" s="84"/>
      <c r="UCN196" s="84"/>
      <c r="UCO196" s="84"/>
      <c r="UCP196" s="84"/>
      <c r="UCQ196" s="84"/>
      <c r="UCR196" s="84"/>
      <c r="UCS196" s="84"/>
      <c r="UCT196" s="84"/>
      <c r="UCU196" s="84"/>
      <c r="UCV196" s="84"/>
      <c r="UCW196" s="84"/>
      <c r="UCX196" s="84"/>
      <c r="UCY196" s="84"/>
      <c r="UCZ196" s="84"/>
      <c r="UDA196" s="84"/>
      <c r="UDB196" s="84"/>
      <c r="UDC196" s="84"/>
      <c r="UDD196" s="84"/>
      <c r="UDE196" s="84"/>
      <c r="UDF196" s="84"/>
      <c r="UDG196" s="84"/>
      <c r="UDH196" s="84"/>
      <c r="UDI196" s="84"/>
      <c r="UDJ196" s="84"/>
      <c r="UDK196" s="84"/>
      <c r="UDL196" s="84"/>
      <c r="UDM196" s="84"/>
      <c r="UDN196" s="84"/>
      <c r="UDO196" s="84"/>
      <c r="UDP196" s="84"/>
      <c r="UDQ196" s="84"/>
      <c r="UDR196" s="84"/>
      <c r="UDS196" s="84"/>
      <c r="UDT196" s="84"/>
      <c r="UDU196" s="84"/>
      <c r="UDV196" s="84"/>
      <c r="UDW196" s="84"/>
      <c r="UDX196" s="84"/>
      <c r="UDY196" s="84"/>
      <c r="UDZ196" s="84"/>
      <c r="UEA196" s="84"/>
      <c r="UEB196" s="84"/>
      <c r="UEC196" s="84"/>
      <c r="UED196" s="84"/>
      <c r="UEE196" s="84"/>
      <c r="UEF196" s="84"/>
      <c r="UEG196" s="84"/>
      <c r="UEH196" s="84"/>
      <c r="UEI196" s="84"/>
      <c r="UEJ196" s="84"/>
      <c r="UEK196" s="84"/>
      <c r="UEL196" s="84"/>
      <c r="UEM196" s="84"/>
      <c r="UEN196" s="84"/>
      <c r="UEO196" s="84"/>
      <c r="UEP196" s="84"/>
      <c r="UEQ196" s="84"/>
      <c r="UER196" s="84"/>
      <c r="UES196" s="84"/>
      <c r="UET196" s="84"/>
      <c r="UEU196" s="84"/>
      <c r="UEV196" s="84"/>
      <c r="UEW196" s="84"/>
      <c r="UEX196" s="84"/>
      <c r="UEY196" s="84"/>
      <c r="UEZ196" s="84"/>
      <c r="UFA196" s="84"/>
      <c r="UFB196" s="84"/>
      <c r="UFC196" s="84"/>
      <c r="UFD196" s="84"/>
      <c r="UFE196" s="84"/>
      <c r="UFF196" s="84"/>
      <c r="UFG196" s="84"/>
      <c r="UFH196" s="84"/>
      <c r="UFI196" s="84"/>
      <c r="UFJ196" s="84"/>
      <c r="UFK196" s="84"/>
      <c r="UFL196" s="84"/>
      <c r="UFM196" s="84"/>
      <c r="UFN196" s="84"/>
      <c r="UFO196" s="84"/>
      <c r="UFP196" s="84"/>
      <c r="UFQ196" s="84"/>
      <c r="UFR196" s="84"/>
      <c r="UFS196" s="84"/>
      <c r="UFT196" s="84"/>
      <c r="UFU196" s="84"/>
      <c r="UFV196" s="84"/>
      <c r="UFW196" s="84"/>
      <c r="UFX196" s="84"/>
      <c r="UFY196" s="84"/>
      <c r="UFZ196" s="84"/>
      <c r="UGA196" s="84"/>
      <c r="UGB196" s="84"/>
      <c r="UGC196" s="84"/>
      <c r="UGD196" s="84"/>
      <c r="UGE196" s="84"/>
      <c r="UGF196" s="84"/>
      <c r="UGG196" s="84"/>
      <c r="UGH196" s="84"/>
      <c r="UGI196" s="84"/>
      <c r="UGJ196" s="84"/>
      <c r="UGK196" s="84"/>
      <c r="UGL196" s="84"/>
      <c r="UGM196" s="84"/>
      <c r="UGN196" s="84"/>
      <c r="UGO196" s="84"/>
      <c r="UGP196" s="84"/>
      <c r="UGQ196" s="84"/>
      <c r="UGR196" s="84"/>
      <c r="UGS196" s="84"/>
      <c r="UGT196" s="84"/>
      <c r="UGU196" s="84"/>
      <c r="UGV196" s="84"/>
      <c r="UGW196" s="84"/>
      <c r="UGX196" s="84"/>
      <c r="UGY196" s="84"/>
      <c r="UGZ196" s="84"/>
      <c r="UHA196" s="84"/>
      <c r="UHB196" s="84"/>
      <c r="UHC196" s="84"/>
      <c r="UHD196" s="84"/>
      <c r="UHE196" s="84"/>
      <c r="UHF196" s="84"/>
      <c r="UHG196" s="84"/>
      <c r="UHH196" s="84"/>
      <c r="UHI196" s="84"/>
      <c r="UHJ196" s="84"/>
      <c r="UHK196" s="84"/>
      <c r="UHL196" s="84"/>
      <c r="UHM196" s="84"/>
      <c r="UHN196" s="84"/>
      <c r="UHO196" s="84"/>
      <c r="UHP196" s="84"/>
      <c r="UHQ196" s="84"/>
      <c r="UHR196" s="84"/>
      <c r="UHS196" s="84"/>
      <c r="UHT196" s="84"/>
      <c r="UHU196" s="84"/>
      <c r="UHV196" s="84"/>
      <c r="UHW196" s="84"/>
      <c r="UHX196" s="84"/>
      <c r="UHY196" s="84"/>
      <c r="UHZ196" s="84"/>
      <c r="UIA196" s="84"/>
      <c r="UIB196" s="84"/>
      <c r="UIC196" s="84"/>
      <c r="UID196" s="84"/>
      <c r="UIE196" s="84"/>
      <c r="UIF196" s="84"/>
      <c r="UIG196" s="84"/>
      <c r="UIH196" s="84"/>
      <c r="UII196" s="84"/>
      <c r="UIJ196" s="84"/>
      <c r="UIK196" s="84"/>
      <c r="UIL196" s="84"/>
      <c r="UIM196" s="84"/>
      <c r="UIN196" s="84"/>
      <c r="UIO196" s="84"/>
      <c r="UIP196" s="84"/>
      <c r="UIQ196" s="84"/>
      <c r="UIR196" s="84"/>
      <c r="UIS196" s="84"/>
      <c r="UIT196" s="84"/>
      <c r="UIU196" s="84"/>
      <c r="UIV196" s="84"/>
      <c r="UIW196" s="84"/>
      <c r="UIX196" s="84"/>
      <c r="UIY196" s="84"/>
      <c r="UIZ196" s="84"/>
      <c r="UJA196" s="84"/>
      <c r="UJB196" s="84"/>
      <c r="UJC196" s="84"/>
      <c r="UJD196" s="84"/>
      <c r="UJE196" s="84"/>
      <c r="UJF196" s="84"/>
      <c r="UJG196" s="84"/>
      <c r="UJH196" s="84"/>
      <c r="UJI196" s="84"/>
      <c r="UJJ196" s="84"/>
      <c r="UJK196" s="84"/>
      <c r="UJL196" s="84"/>
      <c r="UJM196" s="84"/>
      <c r="UJN196" s="84"/>
      <c r="UJO196" s="84"/>
      <c r="UJP196" s="84"/>
      <c r="UJQ196" s="84"/>
      <c r="UJR196" s="84"/>
      <c r="UJS196" s="84"/>
      <c r="UJT196" s="84"/>
      <c r="UJU196" s="84"/>
      <c r="UJV196" s="84"/>
      <c r="UJW196" s="84"/>
      <c r="UJX196" s="84"/>
      <c r="UJY196" s="84"/>
      <c r="UJZ196" s="84"/>
      <c r="UKA196" s="84"/>
      <c r="UKB196" s="84"/>
      <c r="UKC196" s="84"/>
      <c r="UKD196" s="84"/>
      <c r="UKE196" s="84"/>
      <c r="UKF196" s="84"/>
      <c r="UKG196" s="84"/>
      <c r="UKH196" s="84"/>
      <c r="UKI196" s="84"/>
      <c r="UKJ196" s="84"/>
      <c r="UKK196" s="84"/>
      <c r="UKL196" s="84"/>
      <c r="UKM196" s="84"/>
      <c r="UKN196" s="84"/>
      <c r="UKO196" s="84"/>
      <c r="UKP196" s="84"/>
      <c r="UKQ196" s="84"/>
      <c r="UKR196" s="84"/>
      <c r="UKS196" s="84"/>
      <c r="UKT196" s="84"/>
      <c r="UKU196" s="84"/>
      <c r="UKV196" s="84"/>
      <c r="UKW196" s="84"/>
      <c r="UKX196" s="84"/>
      <c r="UKY196" s="84"/>
      <c r="UKZ196" s="84"/>
      <c r="ULA196" s="84"/>
      <c r="ULB196" s="84"/>
      <c r="ULC196" s="84"/>
      <c r="ULD196" s="84"/>
      <c r="ULE196" s="84"/>
      <c r="ULF196" s="84"/>
      <c r="ULG196" s="84"/>
      <c r="ULH196" s="84"/>
      <c r="ULI196" s="84"/>
      <c r="ULJ196" s="84"/>
      <c r="ULK196" s="84"/>
      <c r="ULL196" s="84"/>
      <c r="ULM196" s="84"/>
      <c r="ULN196" s="84"/>
      <c r="ULO196" s="84"/>
      <c r="ULP196" s="84"/>
      <c r="ULQ196" s="84"/>
      <c r="ULR196" s="84"/>
      <c r="ULS196" s="84"/>
      <c r="ULT196" s="84"/>
      <c r="ULU196" s="84"/>
      <c r="ULV196" s="84"/>
      <c r="ULW196" s="84"/>
      <c r="ULX196" s="84"/>
      <c r="ULY196" s="84"/>
      <c r="ULZ196" s="84"/>
      <c r="UMA196" s="84"/>
      <c r="UMB196" s="84"/>
      <c r="UMC196" s="84"/>
      <c r="UMD196" s="84"/>
      <c r="UME196" s="84"/>
      <c r="UMF196" s="84"/>
      <c r="UMG196" s="84"/>
      <c r="UMH196" s="84"/>
      <c r="UMI196" s="84"/>
      <c r="UMJ196" s="84"/>
      <c r="UMK196" s="84"/>
      <c r="UML196" s="84"/>
      <c r="UMM196" s="84"/>
      <c r="UMN196" s="84"/>
      <c r="UMO196" s="84"/>
      <c r="UMP196" s="84"/>
      <c r="UMQ196" s="84"/>
      <c r="UMR196" s="84"/>
      <c r="UMS196" s="84"/>
      <c r="UMT196" s="84"/>
      <c r="UMU196" s="84"/>
      <c r="UMV196" s="84"/>
      <c r="UMW196" s="84"/>
      <c r="UMX196" s="84"/>
      <c r="UMY196" s="84"/>
      <c r="UMZ196" s="84"/>
      <c r="UNA196" s="84"/>
      <c r="UNB196" s="84"/>
      <c r="UNC196" s="84"/>
      <c r="UND196" s="84"/>
      <c r="UNE196" s="84"/>
      <c r="UNF196" s="84"/>
      <c r="UNG196" s="84"/>
      <c r="UNH196" s="84"/>
      <c r="UNI196" s="84"/>
      <c r="UNJ196" s="84"/>
      <c r="UNK196" s="84"/>
      <c r="UNL196" s="84"/>
      <c r="UNM196" s="84"/>
      <c r="UNN196" s="84"/>
      <c r="UNO196" s="84"/>
      <c r="UNP196" s="84"/>
      <c r="UNQ196" s="84"/>
      <c r="UNR196" s="84"/>
      <c r="UNS196" s="84"/>
      <c r="UNT196" s="84"/>
      <c r="UNU196" s="84"/>
      <c r="UNV196" s="84"/>
      <c r="UNW196" s="84"/>
      <c r="UNX196" s="84"/>
      <c r="UNY196" s="84"/>
      <c r="UNZ196" s="84"/>
      <c r="UOA196" s="84"/>
      <c r="UOB196" s="84"/>
      <c r="UOC196" s="84"/>
      <c r="UOD196" s="84"/>
      <c r="UOE196" s="84"/>
      <c r="UOF196" s="84"/>
      <c r="UOG196" s="84"/>
      <c r="UOH196" s="84"/>
      <c r="UOI196" s="84"/>
      <c r="UOJ196" s="84"/>
      <c r="UOK196" s="84"/>
      <c r="UOL196" s="84"/>
      <c r="UOM196" s="84"/>
      <c r="UON196" s="84"/>
      <c r="UOO196" s="84"/>
      <c r="UOP196" s="84"/>
      <c r="UOQ196" s="84"/>
      <c r="UOR196" s="84"/>
      <c r="UOS196" s="84"/>
      <c r="UOT196" s="84"/>
      <c r="UOU196" s="84"/>
      <c r="UOV196" s="84"/>
      <c r="UOW196" s="84"/>
      <c r="UOX196" s="84"/>
      <c r="UOY196" s="84"/>
      <c r="UOZ196" s="84"/>
      <c r="UPA196" s="84"/>
      <c r="UPB196" s="84"/>
      <c r="UPC196" s="84"/>
      <c r="UPD196" s="84"/>
      <c r="UPE196" s="84"/>
      <c r="UPF196" s="84"/>
      <c r="UPG196" s="84"/>
      <c r="UPH196" s="84"/>
      <c r="UPI196" s="84"/>
      <c r="UPJ196" s="84"/>
      <c r="UPK196" s="84"/>
      <c r="UPL196" s="84"/>
      <c r="UPM196" s="84"/>
      <c r="UPN196" s="84"/>
      <c r="UPO196" s="84"/>
      <c r="UPP196" s="84"/>
      <c r="UPQ196" s="84"/>
      <c r="UPR196" s="84"/>
      <c r="UPS196" s="84"/>
      <c r="UPT196" s="84"/>
      <c r="UPU196" s="84"/>
      <c r="UPV196" s="84"/>
      <c r="UPW196" s="84"/>
      <c r="UPX196" s="84"/>
      <c r="UPY196" s="84"/>
      <c r="UPZ196" s="84"/>
      <c r="UQA196" s="84"/>
      <c r="UQB196" s="84"/>
      <c r="UQC196" s="84"/>
      <c r="UQD196" s="84"/>
      <c r="UQE196" s="84"/>
      <c r="UQF196" s="84"/>
      <c r="UQG196" s="84"/>
      <c r="UQH196" s="84"/>
      <c r="UQI196" s="84"/>
      <c r="UQJ196" s="84"/>
      <c r="UQK196" s="84"/>
      <c r="UQL196" s="84"/>
      <c r="UQM196" s="84"/>
      <c r="UQN196" s="84"/>
      <c r="UQO196" s="84"/>
      <c r="UQP196" s="84"/>
      <c r="UQQ196" s="84"/>
      <c r="UQR196" s="84"/>
      <c r="UQS196" s="84"/>
      <c r="UQT196" s="84"/>
      <c r="UQU196" s="84"/>
      <c r="UQV196" s="84"/>
      <c r="UQW196" s="84"/>
      <c r="UQX196" s="84"/>
      <c r="UQY196" s="84"/>
      <c r="UQZ196" s="84"/>
      <c r="URA196" s="84"/>
      <c r="URB196" s="84"/>
      <c r="URC196" s="84"/>
      <c r="URD196" s="84"/>
      <c r="URE196" s="84"/>
      <c r="URF196" s="84"/>
      <c r="URG196" s="84"/>
      <c r="URH196" s="84"/>
      <c r="URI196" s="84"/>
      <c r="URJ196" s="84"/>
      <c r="URK196" s="84"/>
      <c r="URL196" s="84"/>
      <c r="URM196" s="84"/>
      <c r="URN196" s="84"/>
      <c r="URO196" s="84"/>
      <c r="URP196" s="84"/>
      <c r="URQ196" s="84"/>
      <c r="URR196" s="84"/>
      <c r="URS196" s="84"/>
      <c r="URT196" s="84"/>
      <c r="URU196" s="84"/>
      <c r="URV196" s="84"/>
      <c r="URW196" s="84"/>
      <c r="URX196" s="84"/>
      <c r="URY196" s="84"/>
      <c r="URZ196" s="84"/>
      <c r="USA196" s="84"/>
      <c r="USB196" s="84"/>
      <c r="USC196" s="84"/>
      <c r="USD196" s="84"/>
      <c r="USE196" s="84"/>
      <c r="USF196" s="84"/>
      <c r="USG196" s="84"/>
      <c r="USH196" s="84"/>
      <c r="USI196" s="84"/>
      <c r="USJ196" s="84"/>
      <c r="USK196" s="84"/>
      <c r="USL196" s="84"/>
      <c r="USM196" s="84"/>
      <c r="USN196" s="84"/>
      <c r="USO196" s="84"/>
      <c r="USP196" s="84"/>
      <c r="USQ196" s="84"/>
      <c r="USR196" s="84"/>
      <c r="USS196" s="84"/>
      <c r="UST196" s="84"/>
      <c r="USU196" s="84"/>
      <c r="USV196" s="84"/>
      <c r="USW196" s="84"/>
      <c r="USX196" s="84"/>
      <c r="USY196" s="84"/>
      <c r="USZ196" s="84"/>
      <c r="UTA196" s="84"/>
      <c r="UTB196" s="84"/>
      <c r="UTC196" s="84"/>
      <c r="UTD196" s="84"/>
      <c r="UTE196" s="84"/>
      <c r="UTF196" s="84"/>
      <c r="UTG196" s="84"/>
      <c r="UTH196" s="84"/>
      <c r="UTI196" s="84"/>
      <c r="UTJ196" s="84"/>
      <c r="UTK196" s="84"/>
      <c r="UTL196" s="84"/>
      <c r="UTM196" s="84"/>
      <c r="UTN196" s="84"/>
      <c r="UTO196" s="84"/>
      <c r="UTP196" s="84"/>
      <c r="UTQ196" s="84"/>
      <c r="UTR196" s="84"/>
      <c r="UTS196" s="84"/>
      <c r="UTT196" s="84"/>
      <c r="UTU196" s="84"/>
      <c r="UTV196" s="84"/>
      <c r="UTW196" s="84"/>
      <c r="UTX196" s="84"/>
      <c r="UTY196" s="84"/>
      <c r="UTZ196" s="84"/>
      <c r="UUA196" s="84"/>
      <c r="UUB196" s="84"/>
      <c r="UUC196" s="84"/>
      <c r="UUD196" s="84"/>
      <c r="UUE196" s="84"/>
      <c r="UUF196" s="84"/>
      <c r="UUG196" s="84"/>
      <c r="UUH196" s="84"/>
      <c r="UUI196" s="84"/>
      <c r="UUJ196" s="84"/>
      <c r="UUK196" s="84"/>
      <c r="UUL196" s="84"/>
      <c r="UUM196" s="84"/>
      <c r="UUN196" s="84"/>
      <c r="UUO196" s="84"/>
      <c r="UUP196" s="84"/>
      <c r="UUQ196" s="84"/>
      <c r="UUR196" s="84"/>
      <c r="UUS196" s="84"/>
      <c r="UUT196" s="84"/>
      <c r="UUU196" s="84"/>
      <c r="UUV196" s="84"/>
      <c r="UUW196" s="84"/>
      <c r="UUX196" s="84"/>
      <c r="UUY196" s="84"/>
      <c r="UUZ196" s="84"/>
      <c r="UVA196" s="84"/>
      <c r="UVB196" s="84"/>
      <c r="UVC196" s="84"/>
      <c r="UVD196" s="84"/>
      <c r="UVE196" s="84"/>
      <c r="UVF196" s="84"/>
      <c r="UVG196" s="84"/>
      <c r="UVH196" s="84"/>
      <c r="UVI196" s="84"/>
      <c r="UVJ196" s="84"/>
      <c r="UVK196" s="84"/>
      <c r="UVL196" s="84"/>
      <c r="UVM196" s="84"/>
      <c r="UVN196" s="84"/>
      <c r="UVO196" s="84"/>
      <c r="UVP196" s="84"/>
      <c r="UVQ196" s="84"/>
      <c r="UVR196" s="84"/>
      <c r="UVS196" s="84"/>
      <c r="UVT196" s="84"/>
      <c r="UVU196" s="84"/>
      <c r="UVV196" s="84"/>
      <c r="UVW196" s="84"/>
      <c r="UVX196" s="84"/>
      <c r="UVY196" s="84"/>
      <c r="UVZ196" s="84"/>
      <c r="UWA196" s="84"/>
      <c r="UWB196" s="84"/>
      <c r="UWC196" s="84"/>
      <c r="UWD196" s="84"/>
      <c r="UWE196" s="84"/>
      <c r="UWF196" s="84"/>
      <c r="UWG196" s="84"/>
      <c r="UWH196" s="84"/>
      <c r="UWI196" s="84"/>
      <c r="UWJ196" s="84"/>
      <c r="UWK196" s="84"/>
      <c r="UWL196" s="84"/>
      <c r="UWM196" s="84"/>
      <c r="UWN196" s="84"/>
      <c r="UWO196" s="84"/>
      <c r="UWP196" s="84"/>
      <c r="UWQ196" s="84"/>
      <c r="UWR196" s="84"/>
      <c r="UWS196" s="84"/>
      <c r="UWT196" s="84"/>
      <c r="UWU196" s="84"/>
      <c r="UWV196" s="84"/>
      <c r="UWW196" s="84"/>
      <c r="UWX196" s="84"/>
      <c r="UWY196" s="84"/>
      <c r="UWZ196" s="84"/>
      <c r="UXA196" s="84"/>
      <c r="UXB196" s="84"/>
      <c r="UXC196" s="84"/>
      <c r="UXD196" s="84"/>
      <c r="UXE196" s="84"/>
      <c r="UXF196" s="84"/>
      <c r="UXG196" s="84"/>
      <c r="UXH196" s="84"/>
      <c r="UXI196" s="84"/>
      <c r="UXJ196" s="84"/>
      <c r="UXK196" s="84"/>
      <c r="UXL196" s="84"/>
      <c r="UXM196" s="84"/>
      <c r="UXN196" s="84"/>
      <c r="UXO196" s="84"/>
      <c r="UXP196" s="84"/>
      <c r="UXQ196" s="84"/>
      <c r="UXR196" s="84"/>
      <c r="UXS196" s="84"/>
      <c r="UXT196" s="84"/>
      <c r="UXU196" s="84"/>
      <c r="UXV196" s="84"/>
      <c r="UXW196" s="84"/>
      <c r="UXX196" s="84"/>
      <c r="UXY196" s="84"/>
      <c r="UXZ196" s="84"/>
      <c r="UYA196" s="84"/>
      <c r="UYB196" s="84"/>
      <c r="UYC196" s="84"/>
      <c r="UYD196" s="84"/>
      <c r="UYE196" s="84"/>
      <c r="UYF196" s="84"/>
      <c r="UYG196" s="84"/>
      <c r="UYH196" s="84"/>
      <c r="UYI196" s="84"/>
      <c r="UYJ196" s="84"/>
      <c r="UYK196" s="84"/>
      <c r="UYL196" s="84"/>
      <c r="UYM196" s="84"/>
      <c r="UYN196" s="84"/>
      <c r="UYO196" s="84"/>
      <c r="UYP196" s="84"/>
      <c r="UYQ196" s="84"/>
      <c r="UYR196" s="84"/>
      <c r="UYS196" s="84"/>
      <c r="UYT196" s="84"/>
      <c r="UYU196" s="84"/>
      <c r="UYV196" s="84"/>
      <c r="UYW196" s="84"/>
      <c r="UYX196" s="84"/>
      <c r="UYY196" s="84"/>
      <c r="UYZ196" s="84"/>
      <c r="UZA196" s="84"/>
      <c r="UZB196" s="84"/>
      <c r="UZC196" s="84"/>
      <c r="UZD196" s="84"/>
      <c r="UZE196" s="84"/>
      <c r="UZF196" s="84"/>
      <c r="UZG196" s="84"/>
      <c r="UZH196" s="84"/>
      <c r="UZI196" s="84"/>
      <c r="UZJ196" s="84"/>
      <c r="UZK196" s="84"/>
      <c r="UZL196" s="84"/>
      <c r="UZM196" s="84"/>
      <c r="UZN196" s="84"/>
      <c r="UZO196" s="84"/>
      <c r="UZP196" s="84"/>
      <c r="UZQ196" s="84"/>
      <c r="UZR196" s="84"/>
      <c r="UZS196" s="84"/>
      <c r="UZT196" s="84"/>
      <c r="UZU196" s="84"/>
      <c r="UZV196" s="84"/>
      <c r="UZW196" s="84"/>
      <c r="UZX196" s="84"/>
      <c r="UZY196" s="84"/>
      <c r="UZZ196" s="84"/>
      <c r="VAA196" s="84"/>
      <c r="VAB196" s="84"/>
      <c r="VAC196" s="84"/>
      <c r="VAD196" s="84"/>
      <c r="VAE196" s="84"/>
      <c r="VAF196" s="84"/>
      <c r="VAG196" s="84"/>
      <c r="VAH196" s="84"/>
      <c r="VAI196" s="84"/>
      <c r="VAJ196" s="84"/>
      <c r="VAK196" s="84"/>
      <c r="VAL196" s="84"/>
      <c r="VAM196" s="84"/>
      <c r="VAN196" s="84"/>
      <c r="VAO196" s="84"/>
      <c r="VAP196" s="84"/>
      <c r="VAQ196" s="84"/>
      <c r="VAR196" s="84"/>
      <c r="VAS196" s="84"/>
      <c r="VAT196" s="84"/>
      <c r="VAU196" s="84"/>
      <c r="VAV196" s="84"/>
      <c r="VAW196" s="84"/>
      <c r="VAX196" s="84"/>
      <c r="VAY196" s="84"/>
      <c r="VAZ196" s="84"/>
      <c r="VBA196" s="84"/>
      <c r="VBB196" s="84"/>
      <c r="VBC196" s="84"/>
      <c r="VBD196" s="84"/>
      <c r="VBE196" s="84"/>
      <c r="VBF196" s="84"/>
      <c r="VBG196" s="84"/>
      <c r="VBH196" s="84"/>
      <c r="VBI196" s="84"/>
      <c r="VBJ196" s="84"/>
      <c r="VBK196" s="84"/>
      <c r="VBL196" s="84"/>
      <c r="VBM196" s="84"/>
      <c r="VBN196" s="84"/>
      <c r="VBO196" s="84"/>
      <c r="VBP196" s="84"/>
      <c r="VBQ196" s="84"/>
      <c r="VBR196" s="84"/>
      <c r="VBS196" s="84"/>
      <c r="VBT196" s="84"/>
      <c r="VBU196" s="84"/>
      <c r="VBV196" s="84"/>
      <c r="VBW196" s="84"/>
      <c r="VBX196" s="84"/>
      <c r="VBY196" s="84"/>
      <c r="VBZ196" s="84"/>
      <c r="VCA196" s="84"/>
      <c r="VCB196" s="84"/>
      <c r="VCC196" s="84"/>
      <c r="VCD196" s="84"/>
      <c r="VCE196" s="84"/>
      <c r="VCF196" s="84"/>
      <c r="VCG196" s="84"/>
      <c r="VCH196" s="84"/>
      <c r="VCI196" s="84"/>
      <c r="VCJ196" s="84"/>
      <c r="VCK196" s="84"/>
      <c r="VCL196" s="84"/>
      <c r="VCM196" s="84"/>
      <c r="VCN196" s="84"/>
      <c r="VCO196" s="84"/>
      <c r="VCP196" s="84"/>
      <c r="VCQ196" s="84"/>
      <c r="VCR196" s="84"/>
      <c r="VCS196" s="84"/>
      <c r="VCT196" s="84"/>
      <c r="VCU196" s="84"/>
      <c r="VCV196" s="84"/>
      <c r="VCW196" s="84"/>
      <c r="VCX196" s="84"/>
      <c r="VCY196" s="84"/>
      <c r="VCZ196" s="84"/>
      <c r="VDA196" s="84"/>
      <c r="VDB196" s="84"/>
      <c r="VDC196" s="84"/>
      <c r="VDD196" s="84"/>
      <c r="VDE196" s="84"/>
      <c r="VDF196" s="84"/>
      <c r="VDG196" s="84"/>
      <c r="VDH196" s="84"/>
      <c r="VDI196" s="84"/>
      <c r="VDJ196" s="84"/>
      <c r="VDK196" s="84"/>
      <c r="VDL196" s="84"/>
      <c r="VDM196" s="84"/>
      <c r="VDN196" s="84"/>
      <c r="VDO196" s="84"/>
      <c r="VDP196" s="84"/>
      <c r="VDQ196" s="84"/>
      <c r="VDR196" s="84"/>
      <c r="VDS196" s="84"/>
      <c r="VDT196" s="84"/>
      <c r="VDU196" s="84"/>
      <c r="VDV196" s="84"/>
      <c r="VDW196" s="84"/>
      <c r="VDX196" s="84"/>
      <c r="VDY196" s="84"/>
      <c r="VDZ196" s="84"/>
      <c r="VEA196" s="84"/>
      <c r="VEB196" s="84"/>
      <c r="VEC196" s="84"/>
      <c r="VED196" s="84"/>
      <c r="VEE196" s="84"/>
      <c r="VEF196" s="84"/>
      <c r="VEG196" s="84"/>
      <c r="VEH196" s="84"/>
      <c r="VEI196" s="84"/>
      <c r="VEJ196" s="84"/>
      <c r="VEK196" s="84"/>
      <c r="VEL196" s="84"/>
      <c r="VEM196" s="84"/>
      <c r="VEN196" s="84"/>
      <c r="VEO196" s="84"/>
      <c r="VEP196" s="84"/>
      <c r="VEQ196" s="84"/>
      <c r="VER196" s="84"/>
      <c r="VES196" s="84"/>
      <c r="VET196" s="84"/>
      <c r="VEU196" s="84"/>
      <c r="VEV196" s="84"/>
      <c r="VEW196" s="84"/>
      <c r="VEX196" s="84"/>
      <c r="VEY196" s="84"/>
      <c r="VEZ196" s="84"/>
      <c r="VFA196" s="84"/>
      <c r="VFB196" s="84"/>
      <c r="VFC196" s="84"/>
      <c r="VFD196" s="84"/>
      <c r="VFE196" s="84"/>
      <c r="VFF196" s="84"/>
      <c r="VFG196" s="84"/>
      <c r="VFH196" s="84"/>
      <c r="VFI196" s="84"/>
      <c r="VFJ196" s="84"/>
      <c r="VFK196" s="84"/>
      <c r="VFL196" s="84"/>
      <c r="VFM196" s="84"/>
      <c r="VFN196" s="84"/>
      <c r="VFO196" s="84"/>
      <c r="VFP196" s="84"/>
      <c r="VFQ196" s="84"/>
      <c r="VFR196" s="84"/>
      <c r="VFS196" s="84"/>
      <c r="VFT196" s="84"/>
      <c r="VFU196" s="84"/>
      <c r="VFV196" s="84"/>
      <c r="VFW196" s="84"/>
      <c r="VFX196" s="84"/>
      <c r="VFY196" s="84"/>
      <c r="VFZ196" s="84"/>
      <c r="VGA196" s="84"/>
      <c r="VGB196" s="84"/>
      <c r="VGC196" s="84"/>
      <c r="VGD196" s="84"/>
      <c r="VGE196" s="84"/>
      <c r="VGF196" s="84"/>
      <c r="VGG196" s="84"/>
      <c r="VGH196" s="84"/>
      <c r="VGI196" s="84"/>
      <c r="VGJ196" s="84"/>
      <c r="VGK196" s="84"/>
      <c r="VGL196" s="84"/>
      <c r="VGM196" s="84"/>
      <c r="VGN196" s="84"/>
      <c r="VGO196" s="84"/>
      <c r="VGP196" s="84"/>
      <c r="VGQ196" s="84"/>
      <c r="VGR196" s="84"/>
      <c r="VGS196" s="84"/>
      <c r="VGT196" s="84"/>
      <c r="VGU196" s="84"/>
      <c r="VGV196" s="84"/>
      <c r="VGW196" s="84"/>
      <c r="VGX196" s="84"/>
      <c r="VGY196" s="84"/>
      <c r="VGZ196" s="84"/>
      <c r="VHA196" s="84"/>
      <c r="VHB196" s="84"/>
      <c r="VHC196" s="84"/>
      <c r="VHD196" s="84"/>
      <c r="VHE196" s="84"/>
      <c r="VHF196" s="84"/>
      <c r="VHG196" s="84"/>
      <c r="VHH196" s="84"/>
      <c r="VHI196" s="84"/>
      <c r="VHJ196" s="84"/>
      <c r="VHK196" s="84"/>
      <c r="VHL196" s="84"/>
      <c r="VHM196" s="84"/>
      <c r="VHN196" s="84"/>
      <c r="VHO196" s="84"/>
      <c r="VHP196" s="84"/>
      <c r="VHQ196" s="84"/>
      <c r="VHR196" s="84"/>
      <c r="VHS196" s="84"/>
      <c r="VHT196" s="84"/>
      <c r="VHU196" s="84"/>
      <c r="VHV196" s="84"/>
      <c r="VHW196" s="84"/>
      <c r="VHX196" s="84"/>
      <c r="VHY196" s="84"/>
      <c r="VHZ196" s="84"/>
      <c r="VIA196" s="84"/>
      <c r="VIB196" s="84"/>
      <c r="VIC196" s="84"/>
      <c r="VID196" s="84"/>
      <c r="VIE196" s="84"/>
      <c r="VIF196" s="84"/>
      <c r="VIG196" s="84"/>
      <c r="VIH196" s="84"/>
      <c r="VII196" s="84"/>
      <c r="VIJ196" s="84"/>
      <c r="VIK196" s="84"/>
      <c r="VIL196" s="84"/>
      <c r="VIM196" s="84"/>
      <c r="VIN196" s="84"/>
      <c r="VIO196" s="84"/>
      <c r="VIP196" s="84"/>
      <c r="VIQ196" s="84"/>
      <c r="VIR196" s="84"/>
      <c r="VIS196" s="84"/>
      <c r="VIT196" s="84"/>
      <c r="VIU196" s="84"/>
      <c r="VIV196" s="84"/>
      <c r="VIW196" s="84"/>
      <c r="VIX196" s="84"/>
      <c r="VIY196" s="84"/>
      <c r="VIZ196" s="84"/>
      <c r="VJA196" s="84"/>
      <c r="VJB196" s="84"/>
      <c r="VJC196" s="84"/>
      <c r="VJD196" s="84"/>
      <c r="VJE196" s="84"/>
      <c r="VJF196" s="84"/>
      <c r="VJG196" s="84"/>
      <c r="VJH196" s="84"/>
      <c r="VJI196" s="84"/>
      <c r="VJJ196" s="84"/>
      <c r="VJK196" s="84"/>
      <c r="VJL196" s="84"/>
      <c r="VJM196" s="84"/>
      <c r="VJN196" s="84"/>
      <c r="VJO196" s="84"/>
      <c r="VJP196" s="84"/>
      <c r="VJQ196" s="84"/>
      <c r="VJR196" s="84"/>
      <c r="VJS196" s="84"/>
      <c r="VJT196" s="84"/>
      <c r="VJU196" s="84"/>
      <c r="VJV196" s="84"/>
      <c r="VJW196" s="84"/>
      <c r="VJX196" s="84"/>
      <c r="VJY196" s="84"/>
      <c r="VJZ196" s="84"/>
      <c r="VKA196" s="84"/>
      <c r="VKB196" s="84"/>
      <c r="VKC196" s="84"/>
      <c r="VKD196" s="84"/>
      <c r="VKE196" s="84"/>
      <c r="VKF196" s="84"/>
      <c r="VKG196" s="84"/>
      <c r="VKH196" s="84"/>
      <c r="VKI196" s="84"/>
      <c r="VKJ196" s="84"/>
      <c r="VKK196" s="84"/>
      <c r="VKL196" s="84"/>
      <c r="VKM196" s="84"/>
      <c r="VKN196" s="84"/>
      <c r="VKO196" s="84"/>
      <c r="VKP196" s="84"/>
      <c r="VKQ196" s="84"/>
      <c r="VKR196" s="84"/>
      <c r="VKS196" s="84"/>
      <c r="VKT196" s="84"/>
      <c r="VKU196" s="84"/>
      <c r="VKV196" s="84"/>
      <c r="VKW196" s="84"/>
      <c r="VKX196" s="84"/>
      <c r="VKY196" s="84"/>
      <c r="VKZ196" s="84"/>
      <c r="VLA196" s="84"/>
      <c r="VLB196" s="84"/>
      <c r="VLC196" s="84"/>
      <c r="VLD196" s="84"/>
      <c r="VLE196" s="84"/>
      <c r="VLF196" s="84"/>
      <c r="VLG196" s="84"/>
      <c r="VLH196" s="84"/>
      <c r="VLI196" s="84"/>
      <c r="VLJ196" s="84"/>
      <c r="VLK196" s="84"/>
      <c r="VLL196" s="84"/>
      <c r="VLM196" s="84"/>
      <c r="VLN196" s="84"/>
      <c r="VLO196" s="84"/>
      <c r="VLP196" s="84"/>
      <c r="VLQ196" s="84"/>
      <c r="VLR196" s="84"/>
      <c r="VLS196" s="84"/>
      <c r="VLT196" s="84"/>
      <c r="VLU196" s="84"/>
      <c r="VLV196" s="84"/>
      <c r="VLW196" s="84"/>
      <c r="VLX196" s="84"/>
      <c r="VLY196" s="84"/>
      <c r="VLZ196" s="84"/>
      <c r="VMA196" s="84"/>
      <c r="VMB196" s="84"/>
      <c r="VMC196" s="84"/>
      <c r="VMD196" s="84"/>
      <c r="VME196" s="84"/>
      <c r="VMF196" s="84"/>
      <c r="VMG196" s="84"/>
      <c r="VMH196" s="84"/>
      <c r="VMI196" s="84"/>
      <c r="VMJ196" s="84"/>
      <c r="VMK196" s="84"/>
      <c r="VML196" s="84"/>
      <c r="VMM196" s="84"/>
      <c r="VMN196" s="84"/>
      <c r="VMO196" s="84"/>
      <c r="VMP196" s="84"/>
      <c r="VMQ196" s="84"/>
      <c r="VMR196" s="84"/>
      <c r="VMS196" s="84"/>
      <c r="VMT196" s="84"/>
      <c r="VMU196" s="84"/>
      <c r="VMV196" s="84"/>
      <c r="VMW196" s="84"/>
      <c r="VMX196" s="84"/>
      <c r="VMY196" s="84"/>
      <c r="VMZ196" s="84"/>
      <c r="VNA196" s="84"/>
      <c r="VNB196" s="84"/>
      <c r="VNC196" s="84"/>
      <c r="VND196" s="84"/>
      <c r="VNE196" s="84"/>
      <c r="VNF196" s="84"/>
      <c r="VNG196" s="84"/>
      <c r="VNH196" s="84"/>
      <c r="VNI196" s="84"/>
      <c r="VNJ196" s="84"/>
      <c r="VNK196" s="84"/>
      <c r="VNL196" s="84"/>
      <c r="VNM196" s="84"/>
      <c r="VNN196" s="84"/>
      <c r="VNO196" s="84"/>
      <c r="VNP196" s="84"/>
      <c r="VNQ196" s="84"/>
      <c r="VNR196" s="84"/>
      <c r="VNS196" s="84"/>
      <c r="VNT196" s="84"/>
      <c r="VNU196" s="84"/>
      <c r="VNV196" s="84"/>
      <c r="VNW196" s="84"/>
      <c r="VNX196" s="84"/>
      <c r="VNY196" s="84"/>
      <c r="VNZ196" s="84"/>
      <c r="VOA196" s="84"/>
      <c r="VOB196" s="84"/>
      <c r="VOC196" s="84"/>
      <c r="VOD196" s="84"/>
      <c r="VOE196" s="84"/>
      <c r="VOF196" s="84"/>
      <c r="VOG196" s="84"/>
      <c r="VOH196" s="84"/>
      <c r="VOI196" s="84"/>
      <c r="VOJ196" s="84"/>
      <c r="VOK196" s="84"/>
      <c r="VOL196" s="84"/>
      <c r="VOM196" s="84"/>
      <c r="VON196" s="84"/>
      <c r="VOO196" s="84"/>
      <c r="VOP196" s="84"/>
      <c r="VOQ196" s="84"/>
      <c r="VOR196" s="84"/>
      <c r="VOS196" s="84"/>
      <c r="VOT196" s="84"/>
      <c r="VOU196" s="84"/>
      <c r="VOV196" s="84"/>
      <c r="VOW196" s="84"/>
      <c r="VOX196" s="84"/>
      <c r="VOY196" s="84"/>
      <c r="VOZ196" s="84"/>
      <c r="VPA196" s="84"/>
      <c r="VPB196" s="84"/>
      <c r="VPC196" s="84"/>
      <c r="VPD196" s="84"/>
      <c r="VPE196" s="84"/>
      <c r="VPF196" s="84"/>
      <c r="VPG196" s="84"/>
      <c r="VPH196" s="84"/>
      <c r="VPI196" s="84"/>
      <c r="VPJ196" s="84"/>
      <c r="VPK196" s="84"/>
      <c r="VPL196" s="84"/>
      <c r="VPM196" s="84"/>
      <c r="VPN196" s="84"/>
      <c r="VPO196" s="84"/>
      <c r="VPP196" s="84"/>
      <c r="VPQ196" s="84"/>
      <c r="VPR196" s="84"/>
      <c r="VPS196" s="84"/>
      <c r="VPT196" s="84"/>
      <c r="VPU196" s="84"/>
      <c r="VPV196" s="84"/>
      <c r="VPW196" s="84"/>
      <c r="VPX196" s="84"/>
      <c r="VPY196" s="84"/>
      <c r="VPZ196" s="84"/>
      <c r="VQA196" s="84"/>
      <c r="VQB196" s="84"/>
      <c r="VQC196" s="84"/>
      <c r="VQD196" s="84"/>
      <c r="VQE196" s="84"/>
      <c r="VQF196" s="84"/>
      <c r="VQG196" s="84"/>
      <c r="VQH196" s="84"/>
      <c r="VQI196" s="84"/>
      <c r="VQJ196" s="84"/>
      <c r="VQK196" s="84"/>
      <c r="VQL196" s="84"/>
      <c r="VQM196" s="84"/>
      <c r="VQN196" s="84"/>
      <c r="VQO196" s="84"/>
      <c r="VQP196" s="84"/>
      <c r="VQQ196" s="84"/>
      <c r="VQR196" s="84"/>
      <c r="VQS196" s="84"/>
      <c r="VQT196" s="84"/>
      <c r="VQU196" s="84"/>
      <c r="VQV196" s="84"/>
      <c r="VQW196" s="84"/>
      <c r="VQX196" s="84"/>
      <c r="VQY196" s="84"/>
      <c r="VQZ196" s="84"/>
      <c r="VRA196" s="84"/>
      <c r="VRB196" s="84"/>
      <c r="VRC196" s="84"/>
      <c r="VRD196" s="84"/>
      <c r="VRE196" s="84"/>
      <c r="VRF196" s="84"/>
      <c r="VRG196" s="84"/>
      <c r="VRH196" s="84"/>
      <c r="VRI196" s="84"/>
      <c r="VRJ196" s="84"/>
      <c r="VRK196" s="84"/>
      <c r="VRL196" s="84"/>
      <c r="VRM196" s="84"/>
      <c r="VRN196" s="84"/>
      <c r="VRO196" s="84"/>
      <c r="VRP196" s="84"/>
      <c r="VRQ196" s="84"/>
      <c r="VRR196" s="84"/>
      <c r="VRS196" s="84"/>
      <c r="VRT196" s="84"/>
      <c r="VRU196" s="84"/>
      <c r="VRV196" s="84"/>
      <c r="VRW196" s="84"/>
      <c r="VRX196" s="84"/>
      <c r="VRY196" s="84"/>
      <c r="VRZ196" s="84"/>
      <c r="VSA196" s="84"/>
      <c r="VSB196" s="84"/>
      <c r="VSC196" s="84"/>
      <c r="VSD196" s="84"/>
      <c r="VSE196" s="84"/>
      <c r="VSF196" s="84"/>
      <c r="VSG196" s="84"/>
      <c r="VSH196" s="84"/>
      <c r="VSI196" s="84"/>
      <c r="VSJ196" s="84"/>
      <c r="VSK196" s="84"/>
      <c r="VSL196" s="84"/>
      <c r="VSM196" s="84"/>
      <c r="VSN196" s="84"/>
      <c r="VSO196" s="84"/>
      <c r="VSP196" s="84"/>
      <c r="VSQ196" s="84"/>
      <c r="VSR196" s="84"/>
      <c r="VSS196" s="84"/>
      <c r="VST196" s="84"/>
      <c r="VSU196" s="84"/>
      <c r="VSV196" s="84"/>
      <c r="VSW196" s="84"/>
      <c r="VSX196" s="84"/>
      <c r="VSY196" s="84"/>
      <c r="VSZ196" s="84"/>
      <c r="VTA196" s="84"/>
      <c r="VTB196" s="84"/>
      <c r="VTC196" s="84"/>
      <c r="VTD196" s="84"/>
      <c r="VTE196" s="84"/>
      <c r="VTF196" s="84"/>
      <c r="VTG196" s="84"/>
      <c r="VTH196" s="84"/>
      <c r="VTI196" s="84"/>
      <c r="VTJ196" s="84"/>
      <c r="VTK196" s="84"/>
      <c r="VTL196" s="84"/>
      <c r="VTM196" s="84"/>
      <c r="VTN196" s="84"/>
      <c r="VTO196" s="84"/>
      <c r="VTP196" s="84"/>
      <c r="VTQ196" s="84"/>
      <c r="VTR196" s="84"/>
      <c r="VTS196" s="84"/>
      <c r="VTT196" s="84"/>
      <c r="VTU196" s="84"/>
      <c r="VTV196" s="84"/>
      <c r="VTW196" s="84"/>
      <c r="VTX196" s="84"/>
      <c r="VTY196" s="84"/>
      <c r="VTZ196" s="84"/>
      <c r="VUA196" s="84"/>
      <c r="VUB196" s="84"/>
      <c r="VUC196" s="84"/>
      <c r="VUD196" s="84"/>
      <c r="VUE196" s="84"/>
      <c r="VUF196" s="84"/>
      <c r="VUG196" s="84"/>
      <c r="VUH196" s="84"/>
      <c r="VUI196" s="84"/>
      <c r="VUJ196" s="84"/>
      <c r="VUK196" s="84"/>
      <c r="VUL196" s="84"/>
      <c r="VUM196" s="84"/>
      <c r="VUN196" s="84"/>
      <c r="VUO196" s="84"/>
      <c r="VUP196" s="84"/>
      <c r="VUQ196" s="84"/>
      <c r="VUR196" s="84"/>
      <c r="VUS196" s="84"/>
      <c r="VUT196" s="84"/>
      <c r="VUU196" s="84"/>
      <c r="VUV196" s="84"/>
      <c r="VUW196" s="84"/>
      <c r="VUX196" s="84"/>
      <c r="VUY196" s="84"/>
      <c r="VUZ196" s="84"/>
      <c r="VVA196" s="84"/>
      <c r="VVB196" s="84"/>
      <c r="VVC196" s="84"/>
      <c r="VVD196" s="84"/>
      <c r="VVE196" s="84"/>
      <c r="VVF196" s="84"/>
      <c r="VVG196" s="84"/>
      <c r="VVH196" s="84"/>
      <c r="VVI196" s="84"/>
      <c r="VVJ196" s="84"/>
      <c r="VVK196" s="84"/>
      <c r="VVL196" s="84"/>
      <c r="VVM196" s="84"/>
      <c r="VVN196" s="84"/>
      <c r="VVO196" s="84"/>
      <c r="VVP196" s="84"/>
      <c r="VVQ196" s="84"/>
      <c r="VVR196" s="84"/>
      <c r="VVS196" s="84"/>
      <c r="VVT196" s="84"/>
      <c r="VVU196" s="84"/>
      <c r="VVV196" s="84"/>
      <c r="VVW196" s="84"/>
      <c r="VVX196" s="84"/>
      <c r="VVY196" s="84"/>
      <c r="VVZ196" s="84"/>
      <c r="VWA196" s="84"/>
      <c r="VWB196" s="84"/>
      <c r="VWC196" s="84"/>
      <c r="VWD196" s="84"/>
      <c r="VWE196" s="84"/>
      <c r="VWF196" s="84"/>
      <c r="VWG196" s="84"/>
      <c r="VWH196" s="84"/>
      <c r="VWI196" s="84"/>
      <c r="VWJ196" s="84"/>
      <c r="VWK196" s="84"/>
      <c r="VWL196" s="84"/>
      <c r="VWM196" s="84"/>
      <c r="VWN196" s="84"/>
      <c r="VWO196" s="84"/>
      <c r="VWP196" s="84"/>
      <c r="VWQ196" s="84"/>
      <c r="VWR196" s="84"/>
      <c r="VWS196" s="84"/>
      <c r="VWT196" s="84"/>
      <c r="VWU196" s="84"/>
      <c r="VWV196" s="84"/>
      <c r="VWW196" s="84"/>
      <c r="VWX196" s="84"/>
      <c r="VWY196" s="84"/>
      <c r="VWZ196" s="84"/>
      <c r="VXA196" s="84"/>
      <c r="VXB196" s="84"/>
      <c r="VXC196" s="84"/>
      <c r="VXD196" s="84"/>
      <c r="VXE196" s="84"/>
      <c r="VXF196" s="84"/>
      <c r="VXG196" s="84"/>
      <c r="VXH196" s="84"/>
      <c r="VXI196" s="84"/>
      <c r="VXJ196" s="84"/>
      <c r="VXK196" s="84"/>
      <c r="VXL196" s="84"/>
      <c r="VXM196" s="84"/>
      <c r="VXN196" s="84"/>
      <c r="VXO196" s="84"/>
      <c r="VXP196" s="84"/>
      <c r="VXQ196" s="84"/>
      <c r="VXR196" s="84"/>
      <c r="VXS196" s="84"/>
      <c r="VXT196" s="84"/>
      <c r="VXU196" s="84"/>
      <c r="VXV196" s="84"/>
      <c r="VXW196" s="84"/>
      <c r="VXX196" s="84"/>
      <c r="VXY196" s="84"/>
      <c r="VXZ196" s="84"/>
      <c r="VYA196" s="84"/>
      <c r="VYB196" s="84"/>
      <c r="VYC196" s="84"/>
      <c r="VYD196" s="84"/>
      <c r="VYE196" s="84"/>
      <c r="VYF196" s="84"/>
      <c r="VYG196" s="84"/>
      <c r="VYH196" s="84"/>
      <c r="VYI196" s="84"/>
      <c r="VYJ196" s="84"/>
      <c r="VYK196" s="84"/>
      <c r="VYL196" s="84"/>
      <c r="VYM196" s="84"/>
      <c r="VYN196" s="84"/>
      <c r="VYO196" s="84"/>
      <c r="VYP196" s="84"/>
      <c r="VYQ196" s="84"/>
      <c r="VYR196" s="84"/>
      <c r="VYS196" s="84"/>
      <c r="VYT196" s="84"/>
      <c r="VYU196" s="84"/>
      <c r="VYV196" s="84"/>
      <c r="VYW196" s="84"/>
      <c r="VYX196" s="84"/>
      <c r="VYY196" s="84"/>
      <c r="VYZ196" s="84"/>
      <c r="VZA196" s="84"/>
      <c r="VZB196" s="84"/>
      <c r="VZC196" s="84"/>
      <c r="VZD196" s="84"/>
      <c r="VZE196" s="84"/>
      <c r="VZF196" s="84"/>
      <c r="VZG196" s="84"/>
      <c r="VZH196" s="84"/>
      <c r="VZI196" s="84"/>
      <c r="VZJ196" s="84"/>
      <c r="VZK196" s="84"/>
      <c r="VZL196" s="84"/>
      <c r="VZM196" s="84"/>
      <c r="VZN196" s="84"/>
      <c r="VZO196" s="84"/>
      <c r="VZP196" s="84"/>
      <c r="VZQ196" s="84"/>
      <c r="VZR196" s="84"/>
      <c r="VZS196" s="84"/>
      <c r="VZT196" s="84"/>
      <c r="VZU196" s="84"/>
      <c r="VZV196" s="84"/>
      <c r="VZW196" s="84"/>
      <c r="VZX196" s="84"/>
      <c r="VZY196" s="84"/>
      <c r="VZZ196" s="84"/>
      <c r="WAA196" s="84"/>
      <c r="WAB196" s="84"/>
      <c r="WAC196" s="84"/>
      <c r="WAD196" s="84"/>
      <c r="WAE196" s="84"/>
      <c r="WAF196" s="84"/>
      <c r="WAG196" s="84"/>
      <c r="WAH196" s="84"/>
      <c r="WAI196" s="84"/>
      <c r="WAJ196" s="84"/>
      <c r="WAK196" s="84"/>
      <c r="WAL196" s="84"/>
      <c r="WAM196" s="84"/>
      <c r="WAN196" s="84"/>
      <c r="WAO196" s="84"/>
      <c r="WAP196" s="84"/>
      <c r="WAQ196" s="84"/>
      <c r="WAR196" s="84"/>
      <c r="WAS196" s="84"/>
      <c r="WAT196" s="84"/>
      <c r="WAU196" s="84"/>
      <c r="WAV196" s="84"/>
      <c r="WAW196" s="84"/>
      <c r="WAX196" s="84"/>
      <c r="WAY196" s="84"/>
      <c r="WAZ196" s="84"/>
      <c r="WBA196" s="84"/>
      <c r="WBB196" s="84"/>
      <c r="WBC196" s="84"/>
      <c r="WBD196" s="84"/>
      <c r="WBE196" s="84"/>
      <c r="WBF196" s="84"/>
      <c r="WBG196" s="84"/>
      <c r="WBH196" s="84"/>
      <c r="WBI196" s="84"/>
      <c r="WBJ196" s="84"/>
      <c r="WBK196" s="84"/>
      <c r="WBL196" s="84"/>
      <c r="WBM196" s="84"/>
      <c r="WBN196" s="84"/>
      <c r="WBO196" s="84"/>
      <c r="WBP196" s="84"/>
      <c r="WBQ196" s="84"/>
      <c r="WBR196" s="84"/>
      <c r="WBS196" s="84"/>
      <c r="WBT196" s="84"/>
      <c r="WBU196" s="84"/>
      <c r="WBV196" s="84"/>
      <c r="WBW196" s="84"/>
      <c r="WBX196" s="84"/>
      <c r="WBY196" s="84"/>
      <c r="WBZ196" s="84"/>
      <c r="WCA196" s="84"/>
      <c r="WCB196" s="84"/>
      <c r="WCC196" s="84"/>
      <c r="WCD196" s="84"/>
      <c r="WCE196" s="84"/>
      <c r="WCF196" s="84"/>
      <c r="WCG196" s="84"/>
      <c r="WCH196" s="84"/>
      <c r="WCI196" s="84"/>
      <c r="WCJ196" s="84"/>
      <c r="WCK196" s="84"/>
      <c r="WCL196" s="84"/>
      <c r="WCM196" s="84"/>
      <c r="WCN196" s="84"/>
      <c r="WCO196" s="84"/>
      <c r="WCP196" s="84"/>
      <c r="WCQ196" s="84"/>
      <c r="WCR196" s="84"/>
      <c r="WCS196" s="84"/>
      <c r="WCT196" s="84"/>
      <c r="WCU196" s="84"/>
      <c r="WCV196" s="84"/>
      <c r="WCW196" s="84"/>
      <c r="WCX196" s="84"/>
      <c r="WCY196" s="84"/>
      <c r="WCZ196" s="84"/>
      <c r="WDA196" s="84"/>
      <c r="WDB196" s="84"/>
      <c r="WDC196" s="84"/>
      <c r="WDD196" s="84"/>
      <c r="WDE196" s="84"/>
      <c r="WDF196" s="84"/>
      <c r="WDG196" s="84"/>
      <c r="WDH196" s="84"/>
      <c r="WDI196" s="84"/>
      <c r="WDJ196" s="84"/>
      <c r="WDK196" s="84"/>
      <c r="WDL196" s="84"/>
      <c r="WDM196" s="84"/>
      <c r="WDN196" s="84"/>
      <c r="WDO196" s="84"/>
      <c r="WDP196" s="84"/>
      <c r="WDQ196" s="84"/>
      <c r="WDR196" s="84"/>
      <c r="WDS196" s="84"/>
      <c r="WDT196" s="84"/>
      <c r="WDU196" s="84"/>
      <c r="WDV196" s="84"/>
      <c r="WDW196" s="84"/>
      <c r="WDX196" s="84"/>
      <c r="WDY196" s="84"/>
      <c r="WDZ196" s="84"/>
      <c r="WEA196" s="84"/>
      <c r="WEB196" s="84"/>
      <c r="WEC196" s="84"/>
      <c r="WED196" s="84"/>
      <c r="WEE196" s="84"/>
      <c r="WEF196" s="84"/>
      <c r="WEG196" s="84"/>
      <c r="WEH196" s="84"/>
      <c r="WEI196" s="84"/>
      <c r="WEJ196" s="84"/>
      <c r="WEK196" s="84"/>
      <c r="WEL196" s="84"/>
      <c r="WEM196" s="84"/>
      <c r="WEN196" s="84"/>
      <c r="WEO196" s="84"/>
      <c r="WEP196" s="84"/>
      <c r="WEQ196" s="84"/>
      <c r="WER196" s="84"/>
      <c r="WES196" s="84"/>
      <c r="WET196" s="84"/>
      <c r="WEU196" s="84"/>
      <c r="WEV196" s="84"/>
      <c r="WEW196" s="84"/>
      <c r="WEX196" s="84"/>
      <c r="WEY196" s="84"/>
      <c r="WEZ196" s="84"/>
      <c r="WFA196" s="84"/>
      <c r="WFB196" s="84"/>
      <c r="WFC196" s="84"/>
      <c r="WFD196" s="84"/>
      <c r="WFE196" s="84"/>
      <c r="WFF196" s="84"/>
      <c r="WFG196" s="84"/>
      <c r="WFH196" s="84"/>
      <c r="WFI196" s="84"/>
      <c r="WFJ196" s="84"/>
      <c r="WFK196" s="84"/>
      <c r="WFL196" s="84"/>
      <c r="WFM196" s="84"/>
      <c r="WFN196" s="84"/>
      <c r="WFO196" s="84"/>
      <c r="WFP196" s="84"/>
      <c r="WFQ196" s="84"/>
      <c r="WFR196" s="84"/>
      <c r="WFS196" s="84"/>
      <c r="WFT196" s="84"/>
      <c r="WFU196" s="84"/>
      <c r="WFV196" s="84"/>
      <c r="WFW196" s="84"/>
      <c r="WFX196" s="84"/>
      <c r="WFY196" s="84"/>
      <c r="WFZ196" s="84"/>
      <c r="WGA196" s="84"/>
      <c r="WGB196" s="84"/>
      <c r="WGC196" s="84"/>
      <c r="WGD196" s="84"/>
      <c r="WGE196" s="84"/>
      <c r="WGF196" s="84"/>
      <c r="WGG196" s="84"/>
      <c r="WGH196" s="84"/>
      <c r="WGI196" s="84"/>
      <c r="WGJ196" s="84"/>
      <c r="WGK196" s="84"/>
      <c r="WGL196" s="84"/>
      <c r="WGM196" s="84"/>
      <c r="WGN196" s="84"/>
      <c r="WGO196" s="84"/>
      <c r="WGP196" s="84"/>
      <c r="WGQ196" s="84"/>
      <c r="WGR196" s="84"/>
      <c r="WGS196" s="84"/>
      <c r="WGT196" s="84"/>
      <c r="WGU196" s="84"/>
      <c r="WGV196" s="84"/>
      <c r="WGW196" s="84"/>
      <c r="WGX196" s="84"/>
      <c r="WGY196" s="84"/>
      <c r="WGZ196" s="84"/>
      <c r="WHA196" s="84"/>
      <c r="WHB196" s="84"/>
      <c r="WHC196" s="84"/>
      <c r="WHD196" s="84"/>
      <c r="WHE196" s="84"/>
      <c r="WHF196" s="84"/>
      <c r="WHG196" s="84"/>
      <c r="WHH196" s="84"/>
      <c r="WHI196" s="84"/>
      <c r="WHJ196" s="84"/>
      <c r="WHK196" s="84"/>
      <c r="WHL196" s="84"/>
      <c r="WHM196" s="84"/>
      <c r="WHN196" s="84"/>
      <c r="WHO196" s="84"/>
      <c r="WHP196" s="84"/>
      <c r="WHQ196" s="84"/>
      <c r="WHR196" s="84"/>
      <c r="WHS196" s="84"/>
      <c r="WHT196" s="84"/>
      <c r="WHU196" s="84"/>
      <c r="WHV196" s="84"/>
      <c r="WHW196" s="84"/>
      <c r="WHX196" s="84"/>
      <c r="WHY196" s="84"/>
      <c r="WHZ196" s="84"/>
      <c r="WIA196" s="84"/>
      <c r="WIB196" s="84"/>
      <c r="WIC196" s="84"/>
      <c r="WID196" s="84"/>
      <c r="WIE196" s="84"/>
      <c r="WIF196" s="84"/>
      <c r="WIG196" s="84"/>
      <c r="WIH196" s="84"/>
      <c r="WII196" s="84"/>
      <c r="WIJ196" s="84"/>
      <c r="WIK196" s="84"/>
      <c r="WIL196" s="84"/>
      <c r="WIM196" s="84"/>
      <c r="WIN196" s="84"/>
      <c r="WIO196" s="84"/>
      <c r="WIP196" s="84"/>
      <c r="WIQ196" s="84"/>
      <c r="WIR196" s="84"/>
      <c r="WIS196" s="84"/>
      <c r="WIT196" s="84"/>
      <c r="WIU196" s="84"/>
      <c r="WIV196" s="84"/>
      <c r="WIW196" s="84"/>
      <c r="WIX196" s="84"/>
      <c r="WIY196" s="84"/>
      <c r="WIZ196" s="84"/>
      <c r="WJA196" s="84"/>
      <c r="WJB196" s="84"/>
      <c r="WJC196" s="84"/>
      <c r="WJD196" s="84"/>
      <c r="WJE196" s="84"/>
      <c r="WJF196" s="84"/>
      <c r="WJG196" s="84"/>
      <c r="WJH196" s="84"/>
      <c r="WJI196" s="84"/>
      <c r="WJJ196" s="84"/>
      <c r="WJK196" s="84"/>
      <c r="WJL196" s="84"/>
      <c r="WJM196" s="84"/>
      <c r="WJN196" s="84"/>
      <c r="WJO196" s="84"/>
      <c r="WJP196" s="84"/>
      <c r="WJQ196" s="84"/>
      <c r="WJR196" s="84"/>
      <c r="WJS196" s="84"/>
      <c r="WJT196" s="84"/>
      <c r="WJU196" s="84"/>
      <c r="WJV196" s="84"/>
      <c r="WJW196" s="84"/>
      <c r="WJX196" s="84"/>
      <c r="WJY196" s="84"/>
      <c r="WJZ196" s="84"/>
      <c r="WKA196" s="84"/>
      <c r="WKB196" s="84"/>
      <c r="WKC196" s="84"/>
      <c r="WKD196" s="84"/>
      <c r="WKE196" s="84"/>
      <c r="WKF196" s="84"/>
      <c r="WKG196" s="84"/>
      <c r="WKH196" s="84"/>
      <c r="WKI196" s="84"/>
      <c r="WKJ196" s="84"/>
      <c r="WKK196" s="84"/>
      <c r="WKL196" s="84"/>
      <c r="WKM196" s="84"/>
      <c r="WKN196" s="84"/>
      <c r="WKO196" s="84"/>
      <c r="WKP196" s="84"/>
      <c r="WKQ196" s="84"/>
      <c r="WKR196" s="84"/>
      <c r="WKS196" s="84"/>
      <c r="WKT196" s="84"/>
      <c r="WKU196" s="84"/>
      <c r="WKV196" s="84"/>
      <c r="WKW196" s="84"/>
      <c r="WKX196" s="84"/>
      <c r="WKY196" s="84"/>
      <c r="WKZ196" s="84"/>
      <c r="WLA196" s="84"/>
      <c r="WLB196" s="84"/>
      <c r="WLC196" s="84"/>
      <c r="WLD196" s="84"/>
      <c r="WLE196" s="84"/>
      <c r="WLF196" s="84"/>
      <c r="WLG196" s="84"/>
      <c r="WLH196" s="84"/>
      <c r="WLI196" s="84"/>
      <c r="WLJ196" s="84"/>
      <c r="WLK196" s="84"/>
      <c r="WLL196" s="84"/>
      <c r="WLM196" s="84"/>
      <c r="WLN196" s="84"/>
      <c r="WLO196" s="84"/>
      <c r="WLP196" s="84"/>
      <c r="WLQ196" s="84"/>
      <c r="WLR196" s="84"/>
      <c r="WLS196" s="84"/>
      <c r="WLT196" s="84"/>
      <c r="WLU196" s="84"/>
      <c r="WLV196" s="84"/>
      <c r="WLW196" s="84"/>
      <c r="WLX196" s="84"/>
      <c r="WLY196" s="84"/>
      <c r="WLZ196" s="84"/>
      <c r="WMA196" s="84"/>
      <c r="WMB196" s="84"/>
      <c r="WMC196" s="84"/>
      <c r="WMD196" s="84"/>
      <c r="WME196" s="84"/>
      <c r="WMF196" s="84"/>
      <c r="WMG196" s="84"/>
      <c r="WMH196" s="84"/>
      <c r="WMI196" s="84"/>
      <c r="WMJ196" s="84"/>
      <c r="WMK196" s="84"/>
      <c r="WML196" s="84"/>
      <c r="WMM196" s="84"/>
      <c r="WMN196" s="84"/>
      <c r="WMO196" s="84"/>
      <c r="WMP196" s="84"/>
      <c r="WMQ196" s="84"/>
      <c r="WMR196" s="84"/>
      <c r="WMS196" s="84"/>
      <c r="WMT196" s="84"/>
      <c r="WMU196" s="84"/>
      <c r="WMV196" s="84"/>
      <c r="WMW196" s="84"/>
      <c r="WMX196" s="84"/>
      <c r="WMY196" s="84"/>
      <c r="WMZ196" s="84"/>
      <c r="WNA196" s="84"/>
      <c r="WNB196" s="84"/>
      <c r="WNC196" s="84"/>
      <c r="WND196" s="84"/>
      <c r="WNE196" s="84"/>
      <c r="WNF196" s="84"/>
      <c r="WNG196" s="84"/>
      <c r="WNH196" s="84"/>
      <c r="WNI196" s="84"/>
      <c r="WNJ196" s="84"/>
      <c r="WNK196" s="84"/>
      <c r="WNL196" s="84"/>
      <c r="WNM196" s="84"/>
      <c r="WNN196" s="84"/>
      <c r="WNO196" s="84"/>
      <c r="WNP196" s="84"/>
      <c r="WNQ196" s="84"/>
      <c r="WNR196" s="84"/>
      <c r="WNS196" s="84"/>
      <c r="WNT196" s="84"/>
      <c r="WNU196" s="84"/>
      <c r="WNV196" s="84"/>
      <c r="WNW196" s="84"/>
      <c r="WNX196" s="84"/>
      <c r="WNY196" s="84"/>
      <c r="WNZ196" s="84"/>
      <c r="WOA196" s="84"/>
      <c r="WOB196" s="84"/>
      <c r="WOC196" s="84"/>
      <c r="WOD196" s="84"/>
      <c r="WOE196" s="84"/>
      <c r="WOF196" s="84"/>
      <c r="WOG196" s="84"/>
      <c r="WOH196" s="84"/>
      <c r="WOI196" s="84"/>
      <c r="WOJ196" s="84"/>
      <c r="WOK196" s="84"/>
      <c r="WOL196" s="84"/>
      <c r="WOM196" s="84"/>
      <c r="WON196" s="84"/>
      <c r="WOO196" s="84"/>
      <c r="WOP196" s="84"/>
      <c r="WOQ196" s="84"/>
      <c r="WOR196" s="84"/>
      <c r="WOS196" s="84"/>
      <c r="WOT196" s="84"/>
      <c r="WOU196" s="84"/>
      <c r="WOV196" s="84"/>
      <c r="WOW196" s="84"/>
      <c r="WOX196" s="84"/>
      <c r="WOY196" s="84"/>
      <c r="WOZ196" s="84"/>
      <c r="WPA196" s="84"/>
      <c r="WPB196" s="84"/>
      <c r="WPC196" s="84"/>
      <c r="WPD196" s="84"/>
      <c r="WPE196" s="84"/>
      <c r="WPF196" s="84"/>
      <c r="WPG196" s="84"/>
      <c r="WPH196" s="84"/>
      <c r="WPI196" s="84"/>
      <c r="WPJ196" s="84"/>
      <c r="WPK196" s="84"/>
      <c r="WPL196" s="84"/>
      <c r="WPM196" s="84"/>
      <c r="WPN196" s="84"/>
      <c r="WPO196" s="84"/>
      <c r="WPP196" s="84"/>
      <c r="WPQ196" s="84"/>
      <c r="WPR196" s="84"/>
      <c r="WPS196" s="84"/>
      <c r="WPT196" s="84"/>
      <c r="WPU196" s="84"/>
      <c r="WPV196" s="84"/>
      <c r="WPW196" s="84"/>
      <c r="WPX196" s="84"/>
      <c r="WPY196" s="84"/>
      <c r="WPZ196" s="84"/>
      <c r="WQA196" s="84"/>
      <c r="WQB196" s="84"/>
      <c r="WQC196" s="84"/>
      <c r="WQD196" s="84"/>
      <c r="WQE196" s="84"/>
      <c r="WQF196" s="84"/>
      <c r="WQG196" s="84"/>
      <c r="WQH196" s="84"/>
      <c r="WQI196" s="84"/>
      <c r="WQJ196" s="84"/>
      <c r="WQK196" s="84"/>
      <c r="WQL196" s="84"/>
      <c r="WQM196" s="84"/>
      <c r="WQN196" s="84"/>
      <c r="WQO196" s="84"/>
      <c r="WQP196" s="84"/>
      <c r="WQQ196" s="84"/>
      <c r="WQR196" s="84"/>
      <c r="WQS196" s="84"/>
      <c r="WQT196" s="84"/>
      <c r="WQU196" s="84"/>
      <c r="WQV196" s="84"/>
      <c r="WQW196" s="84"/>
      <c r="WQX196" s="84"/>
      <c r="WQY196" s="84"/>
      <c r="WQZ196" s="84"/>
      <c r="WRA196" s="84"/>
      <c r="WRB196" s="84"/>
      <c r="WRC196" s="84"/>
      <c r="WRD196" s="84"/>
      <c r="WRE196" s="84"/>
      <c r="WRF196" s="84"/>
      <c r="WRG196" s="84"/>
      <c r="WRH196" s="84"/>
      <c r="WRI196" s="84"/>
      <c r="WRJ196" s="84"/>
      <c r="WRK196" s="84"/>
      <c r="WRL196" s="84"/>
      <c r="WRM196" s="84"/>
      <c r="WRN196" s="84"/>
      <c r="WRO196" s="84"/>
      <c r="WRP196" s="84"/>
      <c r="WRQ196" s="84"/>
      <c r="WRR196" s="84"/>
      <c r="WRS196" s="84"/>
      <c r="WRT196" s="84"/>
      <c r="WRU196" s="84"/>
      <c r="WRV196" s="84"/>
      <c r="WRW196" s="84"/>
      <c r="WRX196" s="84"/>
      <c r="WRY196" s="84"/>
      <c r="WRZ196" s="84"/>
      <c r="WSA196" s="84"/>
      <c r="WSB196" s="84"/>
      <c r="WSC196" s="84"/>
      <c r="WSD196" s="84"/>
      <c r="WSE196" s="84"/>
      <c r="WSF196" s="84"/>
      <c r="WSG196" s="84"/>
      <c r="WSH196" s="84"/>
      <c r="WSI196" s="84"/>
      <c r="WSJ196" s="84"/>
      <c r="WSK196" s="84"/>
      <c r="WSL196" s="84"/>
      <c r="WSM196" s="84"/>
      <c r="WSN196" s="84"/>
      <c r="WSO196" s="84"/>
      <c r="WSP196" s="84"/>
      <c r="WSQ196" s="84"/>
      <c r="WSR196" s="84"/>
      <c r="WSS196" s="84"/>
      <c r="WST196" s="84"/>
      <c r="WSU196" s="84"/>
      <c r="WSV196" s="84"/>
      <c r="WSW196" s="84"/>
      <c r="WSX196" s="84"/>
      <c r="WSY196" s="84"/>
      <c r="WSZ196" s="84"/>
      <c r="WTA196" s="84"/>
      <c r="WTB196" s="84"/>
      <c r="WTC196" s="84"/>
      <c r="WTD196" s="84"/>
      <c r="WTE196" s="84"/>
      <c r="WTF196" s="84"/>
      <c r="WTG196" s="84"/>
      <c r="WTH196" s="84"/>
      <c r="WTI196" s="84"/>
      <c r="WTJ196" s="84"/>
      <c r="WTK196" s="84"/>
      <c r="WTL196" s="84"/>
      <c r="WTM196" s="84"/>
      <c r="WTN196" s="84"/>
      <c r="WTO196" s="84"/>
      <c r="WTP196" s="84"/>
      <c r="WTQ196" s="84"/>
      <c r="WTR196" s="84"/>
      <c r="WTS196" s="84"/>
      <c r="WTT196" s="84"/>
      <c r="WTU196" s="84"/>
      <c r="WTV196" s="84"/>
      <c r="WTW196" s="84"/>
      <c r="WTX196" s="84"/>
      <c r="WTY196" s="84"/>
      <c r="WTZ196" s="84"/>
      <c r="WUA196" s="84"/>
      <c r="WUB196" s="84"/>
      <c r="WUC196" s="84"/>
      <c r="WUD196" s="84"/>
      <c r="WUE196" s="84"/>
      <c r="WUF196" s="84"/>
      <c r="WUG196" s="84"/>
      <c r="WUH196" s="84"/>
      <c r="WUI196" s="84"/>
      <c r="WUJ196" s="84"/>
      <c r="WUK196" s="84"/>
      <c r="WUL196" s="84"/>
      <c r="WUM196" s="84"/>
      <c r="WUN196" s="84"/>
      <c r="WUO196" s="84"/>
      <c r="WUP196" s="84"/>
      <c r="WUQ196" s="84"/>
      <c r="WUR196" s="84"/>
      <c r="WUS196" s="84"/>
      <c r="WUT196" s="84"/>
      <c r="WUU196" s="84"/>
      <c r="WUV196" s="84"/>
      <c r="WUW196" s="84"/>
      <c r="WUX196" s="84"/>
      <c r="WUY196" s="84"/>
      <c r="WUZ196" s="84"/>
      <c r="WVA196" s="84"/>
      <c r="WVB196" s="84"/>
      <c r="WVC196" s="84"/>
      <c r="WVD196" s="84"/>
      <c r="WVE196" s="84"/>
      <c r="WVF196" s="84"/>
      <c r="WVG196" s="84"/>
      <c r="WVH196" s="84"/>
      <c r="WVI196" s="84"/>
      <c r="WVJ196" s="84"/>
      <c r="WVK196" s="84"/>
      <c r="WVL196" s="84"/>
      <c r="WVM196" s="84"/>
      <c r="WVN196" s="84"/>
      <c r="WVO196" s="84"/>
      <c r="WVP196" s="84"/>
      <c r="WVQ196" s="84"/>
      <c r="WVR196" s="84"/>
      <c r="WVS196" s="84"/>
      <c r="WVT196" s="84"/>
      <c r="WVU196" s="84"/>
      <c r="WVV196" s="84"/>
      <c r="WVW196" s="84"/>
      <c r="WVX196" s="84"/>
      <c r="WVY196" s="84"/>
      <c r="WVZ196" s="84"/>
      <c r="WWA196" s="84"/>
      <c r="WWB196" s="84"/>
      <c r="WWC196" s="84"/>
      <c r="WWD196" s="84"/>
      <c r="WWE196" s="84"/>
      <c r="WWF196" s="84"/>
      <c r="WWG196" s="84"/>
      <c r="WWH196" s="84"/>
      <c r="WWI196" s="84"/>
      <c r="WWJ196" s="84"/>
      <c r="WWK196" s="84"/>
      <c r="WWL196" s="84"/>
      <c r="WWM196" s="84"/>
      <c r="WWN196" s="84"/>
      <c r="WWO196" s="84"/>
      <c r="WWP196" s="84"/>
      <c r="WWQ196" s="84"/>
      <c r="WWR196" s="84"/>
      <c r="WWS196" s="84"/>
      <c r="WWT196" s="84"/>
      <c r="WWU196" s="84"/>
      <c r="WWV196" s="84"/>
      <c r="WWW196" s="84"/>
      <c r="WWX196" s="84"/>
      <c r="WWY196" s="84"/>
      <c r="WWZ196" s="84"/>
      <c r="WXA196" s="84"/>
      <c r="WXB196" s="84"/>
      <c r="WXC196" s="84"/>
      <c r="WXD196" s="84"/>
      <c r="WXE196" s="84"/>
      <c r="WXF196" s="84"/>
      <c r="WXG196" s="84"/>
      <c r="WXH196" s="84"/>
      <c r="WXI196" s="84"/>
      <c r="WXJ196" s="84"/>
      <c r="WXK196" s="84"/>
      <c r="WXL196" s="84"/>
      <c r="WXM196" s="84"/>
      <c r="WXN196" s="84"/>
      <c r="WXO196" s="84"/>
      <c r="WXP196" s="84"/>
      <c r="WXQ196" s="84"/>
      <c r="WXR196" s="84"/>
      <c r="WXS196" s="84"/>
      <c r="WXT196" s="84"/>
      <c r="WXU196" s="84"/>
      <c r="WXV196" s="84"/>
      <c r="WXW196" s="84"/>
      <c r="WXX196" s="84"/>
      <c r="WXY196" s="84"/>
      <c r="WXZ196" s="84"/>
      <c r="WYA196" s="84"/>
      <c r="WYB196" s="84"/>
      <c r="WYC196" s="84"/>
      <c r="WYD196" s="84"/>
      <c r="WYE196" s="84"/>
      <c r="WYF196" s="84"/>
      <c r="WYG196" s="84"/>
      <c r="WYH196" s="84"/>
      <c r="WYI196" s="84"/>
      <c r="WYJ196" s="84"/>
      <c r="WYK196" s="84"/>
      <c r="WYL196" s="84"/>
      <c r="WYM196" s="84"/>
      <c r="WYN196" s="84"/>
      <c r="WYO196" s="84"/>
      <c r="WYP196" s="84"/>
      <c r="WYQ196" s="84"/>
      <c r="WYR196" s="84"/>
      <c r="WYS196" s="84"/>
      <c r="WYT196" s="84"/>
      <c r="WYU196" s="84"/>
      <c r="WYV196" s="84"/>
      <c r="WYW196" s="84"/>
      <c r="WYX196" s="84"/>
      <c r="WYY196" s="84"/>
      <c r="WYZ196" s="84"/>
      <c r="WZA196" s="84"/>
      <c r="WZB196" s="84"/>
      <c r="WZC196" s="84"/>
      <c r="WZD196" s="84"/>
      <c r="WZE196" s="84"/>
      <c r="WZF196" s="84"/>
      <c r="WZG196" s="84"/>
      <c r="WZH196" s="84"/>
      <c r="WZI196" s="84"/>
      <c r="WZJ196" s="84"/>
      <c r="WZK196" s="84"/>
      <c r="WZL196" s="84"/>
      <c r="WZM196" s="84"/>
      <c r="WZN196" s="84"/>
      <c r="WZO196" s="84"/>
      <c r="WZP196" s="84"/>
      <c r="WZQ196" s="84"/>
      <c r="WZR196" s="84"/>
      <c r="WZS196" s="84"/>
      <c r="WZT196" s="84"/>
      <c r="WZU196" s="84"/>
      <c r="WZV196" s="84"/>
      <c r="WZW196" s="84"/>
      <c r="WZX196" s="84"/>
      <c r="WZY196" s="84"/>
      <c r="WZZ196" s="84"/>
      <c r="XAA196" s="84"/>
      <c r="XAB196" s="84"/>
      <c r="XAC196" s="84"/>
      <c r="XAD196" s="84"/>
      <c r="XAE196" s="84"/>
      <c r="XAF196" s="84"/>
      <c r="XAG196" s="84"/>
      <c r="XAH196" s="84"/>
      <c r="XAI196" s="84"/>
      <c r="XAJ196" s="84"/>
      <c r="XAK196" s="84"/>
      <c r="XAL196" s="84"/>
      <c r="XAM196" s="84"/>
      <c r="XAN196" s="84"/>
      <c r="XAO196" s="84"/>
      <c r="XAP196" s="84"/>
      <c r="XAQ196" s="84"/>
      <c r="XAR196" s="84"/>
      <c r="XAS196" s="84"/>
      <c r="XAT196" s="84"/>
      <c r="XAU196" s="84"/>
      <c r="XAV196" s="84"/>
      <c r="XAW196" s="84"/>
      <c r="XAX196" s="84"/>
      <c r="XAY196" s="84"/>
      <c r="XAZ196" s="84"/>
      <c r="XBA196" s="84"/>
      <c r="XBB196" s="84"/>
      <c r="XBC196" s="84"/>
      <c r="XBD196" s="84"/>
      <c r="XBE196" s="84"/>
      <c r="XBF196" s="84"/>
      <c r="XBG196" s="84"/>
      <c r="XBH196" s="84"/>
      <c r="XBI196" s="84"/>
      <c r="XBJ196" s="84"/>
      <c r="XBK196" s="84"/>
      <c r="XBL196" s="84"/>
      <c r="XBM196" s="84"/>
      <c r="XBN196" s="84"/>
      <c r="XBO196" s="84"/>
      <c r="XBP196" s="84"/>
      <c r="XBQ196" s="84"/>
      <c r="XBR196" s="84"/>
      <c r="XBS196" s="84"/>
      <c r="XBT196" s="84"/>
      <c r="XBU196" s="84"/>
      <c r="XBV196" s="84"/>
      <c r="XBW196" s="84"/>
      <c r="XBX196" s="84"/>
      <c r="XBY196" s="84"/>
      <c r="XBZ196" s="84"/>
      <c r="XCA196" s="84"/>
      <c r="XCB196" s="84"/>
      <c r="XCC196" s="84"/>
      <c r="XCD196" s="84"/>
      <c r="XCE196" s="84"/>
      <c r="XCF196" s="84"/>
      <c r="XCG196" s="84"/>
      <c r="XCH196" s="84"/>
      <c r="XCI196" s="84"/>
      <c r="XCJ196" s="84"/>
      <c r="XCK196" s="84"/>
      <c r="XCL196" s="84"/>
      <c r="XCM196" s="84"/>
      <c r="XCN196" s="84"/>
      <c r="XCO196" s="84"/>
      <c r="XCP196" s="84"/>
      <c r="XCQ196" s="84"/>
      <c r="XCR196" s="84"/>
      <c r="XCS196" s="84"/>
      <c r="XCT196" s="84"/>
      <c r="XCU196" s="84"/>
      <c r="XCV196" s="84"/>
      <c r="XCW196" s="84"/>
      <c r="XCX196" s="84"/>
      <c r="XCY196" s="84"/>
      <c r="XCZ196" s="84"/>
      <c r="XDA196" s="84"/>
      <c r="XDB196" s="84"/>
      <c r="XDC196" s="84"/>
      <c r="XDD196" s="84"/>
      <c r="XDE196" s="84"/>
      <c r="XDF196" s="84"/>
      <c r="XDG196" s="84"/>
      <c r="XDH196" s="84"/>
      <c r="XDI196" s="84"/>
      <c r="XDJ196" s="84"/>
      <c r="XDK196" s="84"/>
      <c r="XDL196" s="84"/>
      <c r="XDM196" s="84"/>
      <c r="XDN196" s="84"/>
      <c r="XDO196" s="84"/>
      <c r="XDP196" s="84"/>
      <c r="XDQ196" s="84"/>
      <c r="XDR196" s="84"/>
      <c r="XDS196" s="84"/>
      <c r="XDT196" s="84"/>
      <c r="XDU196" s="84"/>
      <c r="XDV196" s="84"/>
      <c r="XDW196" s="84"/>
      <c r="XDX196" s="84"/>
    </row>
    <row r="197" spans="1:16352" s="91" customFormat="1" x14ac:dyDescent="0.3">
      <c r="A197" s="119" t="s">
        <v>62</v>
      </c>
      <c r="B197" s="120"/>
      <c r="C197" s="121"/>
      <c r="D197" s="89" t="s">
        <v>348</v>
      </c>
      <c r="E197" s="90">
        <v>3</v>
      </c>
      <c r="F197" s="90">
        <f>3+5</f>
        <v>8</v>
      </c>
      <c r="G197" s="90">
        <f>3+5</f>
        <v>8</v>
      </c>
      <c r="H197" s="90">
        <f>3+3</f>
        <v>6</v>
      </c>
      <c r="I197" s="90">
        <f>4+4</f>
        <v>8</v>
      </c>
      <c r="J197" s="90">
        <f>4+4</f>
        <v>8</v>
      </c>
      <c r="K197" s="90">
        <f>3+3</f>
        <v>6</v>
      </c>
      <c r="L197" s="90" t="s">
        <v>360</v>
      </c>
      <c r="M197" s="90">
        <f>4+5</f>
        <v>9</v>
      </c>
      <c r="N197" s="90">
        <f>3+5</f>
        <v>8</v>
      </c>
      <c r="O197" s="90">
        <f>3+5</f>
        <v>8</v>
      </c>
      <c r="P197" s="90">
        <f>3+5</f>
        <v>8</v>
      </c>
      <c r="Q197" s="90">
        <f>3+5</f>
        <v>8</v>
      </c>
      <c r="R197" s="90">
        <f>3+5</f>
        <v>8</v>
      </c>
      <c r="S197" s="90">
        <f>4+4</f>
        <v>8</v>
      </c>
      <c r="T197" s="90">
        <v>4</v>
      </c>
      <c r="U197" s="90">
        <f>5+5</f>
        <v>10</v>
      </c>
      <c r="V197" s="90">
        <v>7</v>
      </c>
      <c r="W197" s="90">
        <f>3+3</f>
        <v>6</v>
      </c>
      <c r="X197" s="90">
        <f>4+3</f>
        <v>7</v>
      </c>
      <c r="Y197" s="90">
        <f>3+5</f>
        <v>8</v>
      </c>
      <c r="Z197" s="90">
        <v>3</v>
      </c>
      <c r="AA197" s="90" t="s">
        <v>360</v>
      </c>
      <c r="AB197" s="90" t="s">
        <v>360</v>
      </c>
      <c r="AC197" s="90">
        <f>5+4</f>
        <v>9</v>
      </c>
      <c r="AD197" s="90">
        <f>5+5</f>
        <v>10</v>
      </c>
      <c r="AE197" s="90">
        <f>4+9</f>
        <v>13</v>
      </c>
      <c r="AF197" s="90">
        <f>5+3</f>
        <v>8</v>
      </c>
      <c r="AG197" s="90">
        <f>4+5</f>
        <v>9</v>
      </c>
      <c r="AH197" s="90">
        <f>5+4</f>
        <v>9</v>
      </c>
      <c r="AI197" s="90">
        <f>5+2</f>
        <v>7</v>
      </c>
      <c r="AJ197" s="90">
        <f>3+5</f>
        <v>8</v>
      </c>
      <c r="AK197" s="90">
        <f>4+4</f>
        <v>8</v>
      </c>
    </row>
    <row r="198" spans="1:16352" x14ac:dyDescent="0.3">
      <c r="A198" s="122"/>
      <c r="B198" s="123"/>
      <c r="C198" s="124"/>
      <c r="D198" s="72" t="s">
        <v>354</v>
      </c>
      <c r="E198" s="73">
        <f t="shared" ref="E198:AK198" si="0">COUNTIFS(E2:E195,"Digi_National")</f>
        <v>3</v>
      </c>
      <c r="F198" s="73">
        <f t="shared" si="0"/>
        <v>3</v>
      </c>
      <c r="G198" s="73">
        <f t="shared" si="0"/>
        <v>3</v>
      </c>
      <c r="H198" s="73">
        <f t="shared" si="0"/>
        <v>3</v>
      </c>
      <c r="I198" s="73">
        <f t="shared" si="0"/>
        <v>3</v>
      </c>
      <c r="J198" s="73">
        <f t="shared" si="0"/>
        <v>4</v>
      </c>
      <c r="K198" s="73">
        <f t="shared" si="0"/>
        <v>3</v>
      </c>
      <c r="L198" s="73">
        <f t="shared" si="0"/>
        <v>4</v>
      </c>
      <c r="M198" s="73">
        <f t="shared" ref="M198" si="1">COUNTIFS(M2:M195,"Digi_National")</f>
        <v>4</v>
      </c>
      <c r="N198" s="73">
        <f t="shared" si="0"/>
        <v>3</v>
      </c>
      <c r="O198" s="73">
        <f t="shared" si="0"/>
        <v>3</v>
      </c>
      <c r="P198" s="73">
        <f t="shared" si="0"/>
        <v>3</v>
      </c>
      <c r="Q198" s="73">
        <f t="shared" si="0"/>
        <v>3</v>
      </c>
      <c r="R198" s="73">
        <f t="shared" si="0"/>
        <v>3</v>
      </c>
      <c r="S198" s="73">
        <f>COUNTIFS(S3:S195,"Digi_National")</f>
        <v>4</v>
      </c>
      <c r="T198" s="73">
        <f t="shared" si="0"/>
        <v>3</v>
      </c>
      <c r="U198" s="73">
        <f t="shared" si="0"/>
        <v>4</v>
      </c>
      <c r="V198" s="73">
        <f t="shared" si="0"/>
        <v>4</v>
      </c>
      <c r="W198" s="73">
        <f t="shared" si="0"/>
        <v>3</v>
      </c>
      <c r="X198" s="73">
        <f t="shared" si="0"/>
        <v>4</v>
      </c>
      <c r="Y198" s="73">
        <f t="shared" si="0"/>
        <v>3</v>
      </c>
      <c r="Z198" s="73">
        <f t="shared" si="0"/>
        <v>3</v>
      </c>
      <c r="AA198" s="73">
        <f t="shared" si="0"/>
        <v>3</v>
      </c>
      <c r="AB198" s="73">
        <f>COUNTIFS(AB3:AB195,"Digi_National")</f>
        <v>3</v>
      </c>
      <c r="AC198" s="73">
        <f t="shared" si="0"/>
        <v>4</v>
      </c>
      <c r="AD198" s="73">
        <f t="shared" si="0"/>
        <v>4</v>
      </c>
      <c r="AE198" s="73">
        <f t="shared" si="0"/>
        <v>4</v>
      </c>
      <c r="AF198" s="73">
        <f t="shared" si="0"/>
        <v>4</v>
      </c>
      <c r="AG198" s="73">
        <f t="shared" si="0"/>
        <v>4</v>
      </c>
      <c r="AH198" s="73">
        <f t="shared" si="0"/>
        <v>3</v>
      </c>
      <c r="AI198" s="73">
        <f t="shared" si="0"/>
        <v>5</v>
      </c>
      <c r="AJ198" s="73">
        <f t="shared" si="0"/>
        <v>3</v>
      </c>
      <c r="AK198" s="73">
        <f t="shared" si="0"/>
        <v>4</v>
      </c>
    </row>
    <row r="199" spans="1:16352" x14ac:dyDescent="0.3">
      <c r="A199" s="122"/>
      <c r="B199" s="123"/>
      <c r="C199" s="124"/>
      <c r="D199" s="72" t="s">
        <v>355</v>
      </c>
      <c r="E199" s="73">
        <f t="shared" ref="E199:AK199" si="2">COUNTIFS(E2:E195,"Digi_Festival")</f>
        <v>8</v>
      </c>
      <c r="F199" s="73">
        <f t="shared" si="2"/>
        <v>8</v>
      </c>
      <c r="G199" s="73">
        <f t="shared" si="2"/>
        <v>8</v>
      </c>
      <c r="H199" s="73">
        <f t="shared" si="2"/>
        <v>8</v>
      </c>
      <c r="I199" s="73">
        <f t="shared" si="2"/>
        <v>8</v>
      </c>
      <c r="J199" s="73">
        <f t="shared" si="2"/>
        <v>7</v>
      </c>
      <c r="K199" s="73">
        <f t="shared" si="2"/>
        <v>8</v>
      </c>
      <c r="L199" s="73">
        <f t="shared" si="2"/>
        <v>7</v>
      </c>
      <c r="M199" s="73">
        <f t="shared" ref="M199" si="3">COUNTIFS(M2:M195,"Digi_Festival")</f>
        <v>7</v>
      </c>
      <c r="N199" s="73">
        <f t="shared" si="2"/>
        <v>8</v>
      </c>
      <c r="O199" s="73">
        <f t="shared" si="2"/>
        <v>8</v>
      </c>
      <c r="P199" s="73">
        <f t="shared" si="2"/>
        <v>8</v>
      </c>
      <c r="Q199" s="73">
        <f t="shared" si="2"/>
        <v>8</v>
      </c>
      <c r="R199" s="73">
        <f t="shared" si="2"/>
        <v>8</v>
      </c>
      <c r="S199" s="73">
        <f>COUNTIFS(S3:S195,"Digi_Festival")</f>
        <v>7</v>
      </c>
      <c r="T199" s="73">
        <f t="shared" si="2"/>
        <v>8</v>
      </c>
      <c r="U199" s="73">
        <f t="shared" si="2"/>
        <v>7</v>
      </c>
      <c r="V199" s="73">
        <f t="shared" si="2"/>
        <v>7</v>
      </c>
      <c r="W199" s="73">
        <f t="shared" si="2"/>
        <v>8</v>
      </c>
      <c r="X199" s="73">
        <f t="shared" si="2"/>
        <v>7</v>
      </c>
      <c r="Y199" s="73">
        <f t="shared" si="2"/>
        <v>8</v>
      </c>
      <c r="Z199" s="73">
        <f t="shared" si="2"/>
        <v>8</v>
      </c>
      <c r="AA199" s="73">
        <f t="shared" si="2"/>
        <v>8</v>
      </c>
      <c r="AB199" s="73">
        <f>COUNTIFS(AB3:AB195,"Digi_Festival")</f>
        <v>8</v>
      </c>
      <c r="AC199" s="73">
        <f t="shared" si="2"/>
        <v>7</v>
      </c>
      <c r="AD199" s="73">
        <f t="shared" si="2"/>
        <v>7</v>
      </c>
      <c r="AE199" s="73">
        <f t="shared" si="2"/>
        <v>9</v>
      </c>
      <c r="AF199" s="73">
        <f t="shared" si="2"/>
        <v>7</v>
      </c>
      <c r="AG199" s="73">
        <f t="shared" si="2"/>
        <v>7</v>
      </c>
      <c r="AH199" s="73">
        <f t="shared" si="2"/>
        <v>8</v>
      </c>
      <c r="AI199" s="73">
        <f t="shared" si="2"/>
        <v>6</v>
      </c>
      <c r="AJ199" s="73">
        <f t="shared" si="2"/>
        <v>8</v>
      </c>
      <c r="AK199" s="73">
        <f t="shared" si="2"/>
        <v>7</v>
      </c>
    </row>
    <row r="200" spans="1:16352" x14ac:dyDescent="0.3">
      <c r="A200" s="122"/>
      <c r="B200" s="123"/>
      <c r="C200" s="124"/>
      <c r="D200" s="72" t="s">
        <v>356</v>
      </c>
      <c r="E200" s="73">
        <f t="shared" ref="E200:AK200" si="4">COUNTIF(E2:E195,"Digi_Optional")</f>
        <v>0</v>
      </c>
      <c r="F200" s="73">
        <f t="shared" si="4"/>
        <v>0</v>
      </c>
      <c r="G200" s="73">
        <f t="shared" si="4"/>
        <v>0</v>
      </c>
      <c r="H200" s="73">
        <f t="shared" si="4"/>
        <v>0</v>
      </c>
      <c r="I200" s="73">
        <f t="shared" si="4"/>
        <v>0</v>
      </c>
      <c r="J200" s="73">
        <f t="shared" si="4"/>
        <v>0</v>
      </c>
      <c r="K200" s="73">
        <f t="shared" si="4"/>
        <v>0</v>
      </c>
      <c r="L200" s="73">
        <f t="shared" si="4"/>
        <v>0</v>
      </c>
      <c r="M200" s="73">
        <f t="shared" ref="M200" si="5">COUNTIF(M2:M195,"Digi_Optional")</f>
        <v>0</v>
      </c>
      <c r="N200" s="73">
        <f t="shared" si="4"/>
        <v>0</v>
      </c>
      <c r="O200" s="73">
        <f t="shared" si="4"/>
        <v>0</v>
      </c>
      <c r="P200" s="73">
        <f t="shared" si="4"/>
        <v>0</v>
      </c>
      <c r="Q200" s="73">
        <f t="shared" si="4"/>
        <v>0</v>
      </c>
      <c r="R200" s="73">
        <f t="shared" si="4"/>
        <v>0</v>
      </c>
      <c r="S200" s="73">
        <f>COUNTIF(S3:S195,"Digi_Optional")</f>
        <v>0</v>
      </c>
      <c r="T200" s="73">
        <f t="shared" si="4"/>
        <v>0</v>
      </c>
      <c r="U200" s="73">
        <f t="shared" si="4"/>
        <v>0</v>
      </c>
      <c r="V200" s="73">
        <f t="shared" si="4"/>
        <v>0</v>
      </c>
      <c r="W200" s="73">
        <f t="shared" si="4"/>
        <v>0</v>
      </c>
      <c r="X200" s="73">
        <f t="shared" si="4"/>
        <v>0</v>
      </c>
      <c r="Y200" s="73">
        <f t="shared" si="4"/>
        <v>0</v>
      </c>
      <c r="Z200" s="73">
        <f t="shared" si="4"/>
        <v>0</v>
      </c>
      <c r="AA200" s="73">
        <f t="shared" si="4"/>
        <v>0</v>
      </c>
      <c r="AB200" s="73">
        <f>COUNTIF(AB3:AB195,"Digi_Optional")</f>
        <v>0</v>
      </c>
      <c r="AC200" s="73">
        <f t="shared" si="4"/>
        <v>0</v>
      </c>
      <c r="AD200" s="73">
        <f t="shared" si="4"/>
        <v>0</v>
      </c>
      <c r="AE200" s="73">
        <f t="shared" si="4"/>
        <v>0</v>
      </c>
      <c r="AF200" s="73">
        <f t="shared" si="4"/>
        <v>0</v>
      </c>
      <c r="AG200" s="73">
        <f t="shared" si="4"/>
        <v>0</v>
      </c>
      <c r="AH200" s="73">
        <f t="shared" si="4"/>
        <v>0</v>
      </c>
      <c r="AI200" s="73">
        <f t="shared" si="4"/>
        <v>0</v>
      </c>
      <c r="AJ200" s="73">
        <f t="shared" si="4"/>
        <v>0</v>
      </c>
      <c r="AK200" s="73">
        <f t="shared" si="4"/>
        <v>0</v>
      </c>
    </row>
    <row r="201" spans="1:16352" x14ac:dyDescent="0.3">
      <c r="A201" s="122"/>
      <c r="B201" s="123"/>
      <c r="C201" s="124"/>
      <c r="D201" s="72" t="s">
        <v>302</v>
      </c>
      <c r="E201" s="73">
        <f t="shared" ref="E201:AK201" si="6">COUNTIFS(E2:E195,"National-WE")</f>
        <v>0</v>
      </c>
      <c r="F201" s="73">
        <f t="shared" si="6"/>
        <v>0</v>
      </c>
      <c r="G201" s="73">
        <f t="shared" si="6"/>
        <v>0</v>
      </c>
      <c r="H201" s="73">
        <f t="shared" si="6"/>
        <v>0</v>
      </c>
      <c r="I201" s="73">
        <f t="shared" si="6"/>
        <v>0</v>
      </c>
      <c r="J201" s="73">
        <f t="shared" si="6"/>
        <v>0</v>
      </c>
      <c r="K201" s="73">
        <f t="shared" si="6"/>
        <v>0</v>
      </c>
      <c r="L201" s="73">
        <f t="shared" si="6"/>
        <v>0</v>
      </c>
      <c r="M201" s="73">
        <f t="shared" ref="M201" si="7">COUNTIFS(M2:M195,"National-WE")</f>
        <v>0</v>
      </c>
      <c r="N201" s="73">
        <f t="shared" si="6"/>
        <v>0</v>
      </c>
      <c r="O201" s="73">
        <f t="shared" si="6"/>
        <v>0</v>
      </c>
      <c r="P201" s="73">
        <f t="shared" si="6"/>
        <v>0</v>
      </c>
      <c r="Q201" s="73">
        <f t="shared" si="6"/>
        <v>0</v>
      </c>
      <c r="R201" s="73">
        <f t="shared" si="6"/>
        <v>0</v>
      </c>
      <c r="S201" s="73">
        <f>COUNTIFS(S3:S195,"National-WE")</f>
        <v>0</v>
      </c>
      <c r="T201" s="73">
        <f t="shared" si="6"/>
        <v>0</v>
      </c>
      <c r="U201" s="73">
        <f t="shared" si="6"/>
        <v>0</v>
      </c>
      <c r="V201" s="73">
        <f t="shared" si="6"/>
        <v>0</v>
      </c>
      <c r="W201" s="73">
        <f t="shared" si="6"/>
        <v>0</v>
      </c>
      <c r="X201" s="73">
        <f t="shared" si="6"/>
        <v>0</v>
      </c>
      <c r="Y201" s="73">
        <f t="shared" si="6"/>
        <v>0</v>
      </c>
      <c r="Z201" s="73">
        <f t="shared" si="6"/>
        <v>0</v>
      </c>
      <c r="AA201" s="73">
        <f t="shared" si="6"/>
        <v>0</v>
      </c>
      <c r="AB201" s="73">
        <f>COUNTIFS(AB3:AB195,"National-WE")</f>
        <v>0</v>
      </c>
      <c r="AC201" s="73">
        <f t="shared" si="6"/>
        <v>0</v>
      </c>
      <c r="AD201" s="73">
        <f t="shared" si="6"/>
        <v>0</v>
      </c>
      <c r="AE201" s="73">
        <f t="shared" si="6"/>
        <v>0</v>
      </c>
      <c r="AF201" s="73">
        <f t="shared" si="6"/>
        <v>0</v>
      </c>
      <c r="AG201" s="73">
        <f t="shared" si="6"/>
        <v>0</v>
      </c>
      <c r="AH201" s="73">
        <f t="shared" si="6"/>
        <v>0</v>
      </c>
      <c r="AI201" s="73">
        <f t="shared" si="6"/>
        <v>0</v>
      </c>
      <c r="AJ201" s="73">
        <f t="shared" si="6"/>
        <v>0</v>
      </c>
      <c r="AK201" s="73">
        <f t="shared" si="6"/>
        <v>0</v>
      </c>
    </row>
    <row r="202" spans="1:16352" x14ac:dyDescent="0.3">
      <c r="A202" s="122"/>
      <c r="B202" s="123"/>
      <c r="C202" s="124"/>
      <c r="D202" s="72" t="s">
        <v>353</v>
      </c>
      <c r="E202" s="73">
        <f t="shared" ref="E202:AK202" si="8">COUNTIF(E2:E195,"Festival-WE")</f>
        <v>0</v>
      </c>
      <c r="F202" s="73">
        <f t="shared" si="8"/>
        <v>0</v>
      </c>
      <c r="G202" s="73">
        <f t="shared" si="8"/>
        <v>0</v>
      </c>
      <c r="H202" s="73">
        <f t="shared" si="8"/>
        <v>0</v>
      </c>
      <c r="I202" s="73">
        <f t="shared" si="8"/>
        <v>0</v>
      </c>
      <c r="J202" s="73">
        <f t="shared" si="8"/>
        <v>0</v>
      </c>
      <c r="K202" s="73">
        <f t="shared" si="8"/>
        <v>0</v>
      </c>
      <c r="L202" s="73">
        <f t="shared" si="8"/>
        <v>0</v>
      </c>
      <c r="M202" s="73">
        <f t="shared" ref="M202" si="9">COUNTIF(M2:M195,"Festival-WE")</f>
        <v>0</v>
      </c>
      <c r="N202" s="73">
        <f t="shared" si="8"/>
        <v>0</v>
      </c>
      <c r="O202" s="73">
        <f t="shared" si="8"/>
        <v>0</v>
      </c>
      <c r="P202" s="73">
        <f t="shared" si="8"/>
        <v>0</v>
      </c>
      <c r="Q202" s="73">
        <f t="shared" si="8"/>
        <v>0</v>
      </c>
      <c r="R202" s="73">
        <f t="shared" si="8"/>
        <v>0</v>
      </c>
      <c r="S202" s="73">
        <f>COUNTIF(S3:S195,"Festival-WE")</f>
        <v>0</v>
      </c>
      <c r="T202" s="73">
        <f t="shared" si="8"/>
        <v>0</v>
      </c>
      <c r="U202" s="73">
        <f t="shared" si="8"/>
        <v>0</v>
      </c>
      <c r="V202" s="73">
        <f t="shared" si="8"/>
        <v>0</v>
      </c>
      <c r="W202" s="73">
        <f t="shared" si="8"/>
        <v>0</v>
      </c>
      <c r="X202" s="73">
        <f t="shared" si="8"/>
        <v>0</v>
      </c>
      <c r="Y202" s="73">
        <f t="shared" si="8"/>
        <v>0</v>
      </c>
      <c r="Z202" s="73">
        <f t="shared" si="8"/>
        <v>0</v>
      </c>
      <c r="AA202" s="73">
        <f t="shared" si="8"/>
        <v>0</v>
      </c>
      <c r="AB202" s="73">
        <f>COUNTIF(AB3:AB195,"Festival-WE")</f>
        <v>0</v>
      </c>
      <c r="AC202" s="73">
        <f t="shared" si="8"/>
        <v>0</v>
      </c>
      <c r="AD202" s="73">
        <f t="shared" si="8"/>
        <v>0</v>
      </c>
      <c r="AE202" s="73">
        <f t="shared" si="8"/>
        <v>0</v>
      </c>
      <c r="AF202" s="73">
        <f t="shared" si="8"/>
        <v>0</v>
      </c>
      <c r="AG202" s="73">
        <f t="shared" si="8"/>
        <v>0</v>
      </c>
      <c r="AH202" s="73">
        <f t="shared" si="8"/>
        <v>0</v>
      </c>
      <c r="AI202" s="73">
        <f t="shared" si="8"/>
        <v>0</v>
      </c>
      <c r="AJ202" s="73">
        <f t="shared" si="8"/>
        <v>0</v>
      </c>
      <c r="AK202" s="73">
        <f t="shared" si="8"/>
        <v>0</v>
      </c>
    </row>
    <row r="203" spans="1:16352" x14ac:dyDescent="0.3">
      <c r="A203" s="122"/>
      <c r="B203" s="123"/>
      <c r="C203" s="124"/>
      <c r="D203" s="72" t="s">
        <v>221</v>
      </c>
      <c r="E203" s="73">
        <f t="shared" ref="E203:AK203" si="10">COUNTIF(E2:E195,"Optional-WE")</f>
        <v>0</v>
      </c>
      <c r="F203" s="73">
        <f t="shared" si="10"/>
        <v>0</v>
      </c>
      <c r="G203" s="73">
        <f t="shared" si="10"/>
        <v>0</v>
      </c>
      <c r="H203" s="73">
        <f t="shared" si="10"/>
        <v>0</v>
      </c>
      <c r="I203" s="73">
        <f t="shared" si="10"/>
        <v>0</v>
      </c>
      <c r="J203" s="73">
        <f t="shared" si="10"/>
        <v>0</v>
      </c>
      <c r="K203" s="73">
        <f t="shared" si="10"/>
        <v>0</v>
      </c>
      <c r="L203" s="73">
        <f t="shared" si="10"/>
        <v>0</v>
      </c>
      <c r="M203" s="73">
        <f t="shared" ref="M203" si="11">COUNTIF(M2:M195,"Optional-WE")</f>
        <v>0</v>
      </c>
      <c r="N203" s="73">
        <f t="shared" si="10"/>
        <v>0</v>
      </c>
      <c r="O203" s="73">
        <f t="shared" si="10"/>
        <v>0</v>
      </c>
      <c r="P203" s="73">
        <f t="shared" si="10"/>
        <v>0</v>
      </c>
      <c r="Q203" s="73">
        <f t="shared" si="10"/>
        <v>0</v>
      </c>
      <c r="R203" s="73">
        <f t="shared" si="10"/>
        <v>0</v>
      </c>
      <c r="S203" s="73">
        <f>COUNTIF(S3:S195,"Optional-WE")</f>
        <v>0</v>
      </c>
      <c r="T203" s="73">
        <f t="shared" si="10"/>
        <v>0</v>
      </c>
      <c r="U203" s="73">
        <f t="shared" si="10"/>
        <v>0</v>
      </c>
      <c r="V203" s="73">
        <f t="shared" si="10"/>
        <v>0</v>
      </c>
      <c r="W203" s="73">
        <f t="shared" si="10"/>
        <v>0</v>
      </c>
      <c r="X203" s="73">
        <f t="shared" si="10"/>
        <v>0</v>
      </c>
      <c r="Y203" s="73">
        <f t="shared" si="10"/>
        <v>0</v>
      </c>
      <c r="Z203" s="73">
        <f t="shared" si="10"/>
        <v>0</v>
      </c>
      <c r="AA203" s="73">
        <f t="shared" si="10"/>
        <v>0</v>
      </c>
      <c r="AB203" s="73">
        <f>COUNTIF(AB3:AB195,"Optional-WE")</f>
        <v>0</v>
      </c>
      <c r="AC203" s="73">
        <f t="shared" si="10"/>
        <v>0</v>
      </c>
      <c r="AD203" s="73">
        <f t="shared" si="10"/>
        <v>0</v>
      </c>
      <c r="AE203" s="73">
        <f t="shared" si="10"/>
        <v>0</v>
      </c>
      <c r="AF203" s="73">
        <f t="shared" si="10"/>
        <v>0</v>
      </c>
      <c r="AG203" s="73">
        <f t="shared" si="10"/>
        <v>0</v>
      </c>
      <c r="AH203" s="73">
        <f t="shared" si="10"/>
        <v>0</v>
      </c>
      <c r="AI203" s="73">
        <f t="shared" si="10"/>
        <v>0</v>
      </c>
      <c r="AJ203" s="73">
        <f t="shared" si="10"/>
        <v>0</v>
      </c>
      <c r="AK203" s="73">
        <f t="shared" si="10"/>
        <v>0</v>
      </c>
    </row>
    <row r="204" spans="1:16352" s="48" customFormat="1" x14ac:dyDescent="0.3">
      <c r="A204" s="122"/>
      <c r="B204" s="123"/>
      <c r="C204" s="124"/>
      <c r="D204" s="86" t="s">
        <v>350</v>
      </c>
      <c r="E204" s="87">
        <f>E198+E199+E200</f>
        <v>11</v>
      </c>
      <c r="F204" s="87">
        <f t="shared" ref="F204:AK204" si="12">F198+F199+F200</f>
        <v>11</v>
      </c>
      <c r="G204" s="87">
        <f t="shared" si="12"/>
        <v>11</v>
      </c>
      <c r="H204" s="87">
        <f t="shared" si="12"/>
        <v>11</v>
      </c>
      <c r="I204" s="87">
        <f t="shared" si="12"/>
        <v>11</v>
      </c>
      <c r="J204" s="87">
        <f t="shared" si="12"/>
        <v>11</v>
      </c>
      <c r="K204" s="87">
        <f t="shared" si="12"/>
        <v>11</v>
      </c>
      <c r="L204" s="87">
        <f t="shared" si="12"/>
        <v>11</v>
      </c>
      <c r="M204" s="87">
        <f t="shared" si="12"/>
        <v>11</v>
      </c>
      <c r="N204" s="87">
        <f t="shared" si="12"/>
        <v>11</v>
      </c>
      <c r="O204" s="87">
        <f t="shared" si="12"/>
        <v>11</v>
      </c>
      <c r="P204" s="87">
        <f t="shared" si="12"/>
        <v>11</v>
      </c>
      <c r="Q204" s="87">
        <f t="shared" si="12"/>
        <v>11</v>
      </c>
      <c r="R204" s="87">
        <f t="shared" si="12"/>
        <v>11</v>
      </c>
      <c r="S204" s="87">
        <f t="shared" si="12"/>
        <v>11</v>
      </c>
      <c r="T204" s="87">
        <f t="shared" si="12"/>
        <v>11</v>
      </c>
      <c r="U204" s="87">
        <f t="shared" si="12"/>
        <v>11</v>
      </c>
      <c r="V204" s="87">
        <f t="shared" si="12"/>
        <v>11</v>
      </c>
      <c r="W204" s="87">
        <f t="shared" si="12"/>
        <v>11</v>
      </c>
      <c r="X204" s="87">
        <f t="shared" si="12"/>
        <v>11</v>
      </c>
      <c r="Y204" s="87">
        <f t="shared" si="12"/>
        <v>11</v>
      </c>
      <c r="Z204" s="87">
        <f t="shared" si="12"/>
        <v>11</v>
      </c>
      <c r="AA204" s="87">
        <f t="shared" si="12"/>
        <v>11</v>
      </c>
      <c r="AB204" s="87">
        <f t="shared" si="12"/>
        <v>11</v>
      </c>
      <c r="AC204" s="87">
        <f t="shared" si="12"/>
        <v>11</v>
      </c>
      <c r="AD204" s="87">
        <f t="shared" si="12"/>
        <v>11</v>
      </c>
      <c r="AE204" s="87">
        <f t="shared" si="12"/>
        <v>13</v>
      </c>
      <c r="AF204" s="87">
        <f t="shared" si="12"/>
        <v>11</v>
      </c>
      <c r="AG204" s="87">
        <f t="shared" si="12"/>
        <v>11</v>
      </c>
      <c r="AH204" s="87">
        <f t="shared" si="12"/>
        <v>11</v>
      </c>
      <c r="AI204" s="87">
        <f t="shared" si="12"/>
        <v>11</v>
      </c>
      <c r="AJ204" s="87">
        <f t="shared" si="12"/>
        <v>11</v>
      </c>
      <c r="AK204" s="87">
        <f t="shared" si="12"/>
        <v>11</v>
      </c>
    </row>
    <row r="205" spans="1:16352" hidden="1" x14ac:dyDescent="0.3">
      <c r="A205" s="122"/>
      <c r="B205" s="123"/>
      <c r="C205" s="124"/>
      <c r="D205" s="72" t="s">
        <v>212</v>
      </c>
      <c r="E205" s="73"/>
      <c r="F205" s="73"/>
      <c r="G205" s="73"/>
      <c r="H205" s="73">
        <f t="shared" ref="H205:AI205" si="13">COUNTIFS(H2:H195,"National")</f>
        <v>0</v>
      </c>
      <c r="I205" s="73">
        <f t="shared" si="13"/>
        <v>0</v>
      </c>
      <c r="J205" s="73">
        <f t="shared" si="13"/>
        <v>0</v>
      </c>
      <c r="K205" s="73">
        <f t="shared" si="13"/>
        <v>0</v>
      </c>
      <c r="L205" s="73">
        <f t="shared" si="13"/>
        <v>0</v>
      </c>
      <c r="M205" s="73">
        <f t="shared" si="13"/>
        <v>0</v>
      </c>
      <c r="N205" s="73">
        <f t="shared" si="13"/>
        <v>0</v>
      </c>
      <c r="O205" s="73">
        <f t="shared" si="13"/>
        <v>0</v>
      </c>
      <c r="P205" s="73">
        <f t="shared" si="13"/>
        <v>0</v>
      </c>
      <c r="Q205" s="73">
        <f t="shared" si="13"/>
        <v>0</v>
      </c>
      <c r="R205" s="73">
        <f t="shared" si="13"/>
        <v>0</v>
      </c>
      <c r="S205" s="73">
        <f>COUNTIFS(S3:S195,"National")</f>
        <v>0</v>
      </c>
      <c r="T205" s="73">
        <f t="shared" si="13"/>
        <v>0</v>
      </c>
      <c r="U205" s="73">
        <f t="shared" si="13"/>
        <v>0</v>
      </c>
      <c r="V205" s="73">
        <f t="shared" si="13"/>
        <v>0</v>
      </c>
      <c r="W205" s="73">
        <f t="shared" si="13"/>
        <v>0</v>
      </c>
      <c r="X205" s="73">
        <f t="shared" si="13"/>
        <v>0</v>
      </c>
      <c r="Y205" s="73">
        <f t="shared" si="13"/>
        <v>0</v>
      </c>
      <c r="Z205" s="73">
        <f t="shared" si="13"/>
        <v>0</v>
      </c>
      <c r="AA205" s="73">
        <f t="shared" si="13"/>
        <v>0</v>
      </c>
      <c r="AB205" s="73">
        <f>COUNTIFS(AB3:AB195,"National")</f>
        <v>0</v>
      </c>
      <c r="AC205" s="73">
        <f t="shared" si="13"/>
        <v>0</v>
      </c>
      <c r="AD205" s="73">
        <f t="shared" si="13"/>
        <v>0</v>
      </c>
      <c r="AE205" s="73">
        <f t="shared" si="13"/>
        <v>0</v>
      </c>
      <c r="AF205" s="73">
        <f t="shared" si="13"/>
        <v>0</v>
      </c>
      <c r="AG205" s="73">
        <f t="shared" si="13"/>
        <v>0</v>
      </c>
      <c r="AH205" s="73">
        <f t="shared" si="13"/>
        <v>0</v>
      </c>
      <c r="AI205" s="73">
        <f t="shared" si="13"/>
        <v>0</v>
      </c>
    </row>
    <row r="206" spans="1:16352" s="25" customFormat="1" ht="14.5" hidden="1" customHeight="1" x14ac:dyDescent="0.3">
      <c r="A206" s="122"/>
      <c r="B206" s="123"/>
      <c r="C206" s="124"/>
      <c r="D206" s="72" t="s">
        <v>213</v>
      </c>
      <c r="E206" s="73"/>
      <c r="F206" s="73"/>
      <c r="G206" s="73"/>
      <c r="H206" s="73">
        <f>COUNTIFS(H2:H197,"Regional")</f>
        <v>0</v>
      </c>
      <c r="I206" s="73">
        <f>COUNTIFS(I2:I197,"Regional")</f>
        <v>0</v>
      </c>
      <c r="J206" s="73">
        <f>COUNTIFS(J2:J197,"Regional")</f>
        <v>0</v>
      </c>
      <c r="K206" s="73">
        <f>COUNTIFS(K2:K197,"Regional")</f>
        <v>0</v>
      </c>
      <c r="L206" s="73">
        <f>COUNTIFS(L2:L197,"Regional")</f>
        <v>0</v>
      </c>
      <c r="M206" s="73">
        <f t="shared" ref="M206:AI206" si="14">COUNTIFS(M3:M205,"Regional")</f>
        <v>0</v>
      </c>
      <c r="N206" s="73">
        <f t="shared" si="14"/>
        <v>0</v>
      </c>
      <c r="O206" s="73">
        <f t="shared" si="14"/>
        <v>0</v>
      </c>
      <c r="P206" s="73">
        <f t="shared" si="14"/>
        <v>0</v>
      </c>
      <c r="Q206" s="73">
        <f t="shared" si="14"/>
        <v>0</v>
      </c>
      <c r="R206" s="73">
        <f t="shared" si="14"/>
        <v>0</v>
      </c>
      <c r="S206" s="73">
        <f t="shared" si="14"/>
        <v>0</v>
      </c>
      <c r="T206" s="73">
        <f t="shared" si="14"/>
        <v>0</v>
      </c>
      <c r="U206" s="73">
        <f t="shared" si="14"/>
        <v>0</v>
      </c>
      <c r="V206" s="73">
        <f t="shared" si="14"/>
        <v>0</v>
      </c>
      <c r="W206" s="73">
        <f t="shared" si="14"/>
        <v>0</v>
      </c>
      <c r="X206" s="73">
        <f t="shared" si="14"/>
        <v>0</v>
      </c>
      <c r="Y206" s="73">
        <f t="shared" si="14"/>
        <v>0</v>
      </c>
      <c r="Z206" s="73">
        <f t="shared" si="14"/>
        <v>0</v>
      </c>
      <c r="AA206" s="73">
        <f t="shared" si="14"/>
        <v>0</v>
      </c>
      <c r="AB206" s="73">
        <f t="shared" si="14"/>
        <v>0</v>
      </c>
      <c r="AC206" s="73">
        <f t="shared" si="14"/>
        <v>0</v>
      </c>
      <c r="AD206" s="73">
        <f t="shared" si="14"/>
        <v>0</v>
      </c>
      <c r="AE206" s="73">
        <f t="shared" si="14"/>
        <v>0</v>
      </c>
      <c r="AF206" s="73">
        <f t="shared" si="14"/>
        <v>0</v>
      </c>
      <c r="AG206" s="73">
        <f t="shared" si="14"/>
        <v>0</v>
      </c>
      <c r="AH206" s="73">
        <f t="shared" si="14"/>
        <v>0</v>
      </c>
      <c r="AI206" s="73">
        <f t="shared" si="14"/>
        <v>0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  <c r="ANK206" s="3"/>
      <c r="ANL206" s="3"/>
      <c r="ANM206" s="3"/>
      <c r="ANN206" s="3"/>
      <c r="ANO206" s="3"/>
      <c r="ANP206" s="3"/>
      <c r="ANQ206" s="3"/>
      <c r="ANR206" s="3"/>
      <c r="ANS206" s="3"/>
      <c r="ANT206" s="3"/>
      <c r="ANU206" s="3"/>
      <c r="ANV206" s="3"/>
      <c r="ANW206" s="3"/>
      <c r="ANX206" s="3"/>
      <c r="ANY206" s="3"/>
      <c r="ANZ206" s="3"/>
      <c r="AOA206" s="3"/>
      <c r="AOB206" s="3"/>
      <c r="AOC206" s="3"/>
      <c r="AOD206" s="3"/>
      <c r="AOE206" s="3"/>
      <c r="AOF206" s="3"/>
      <c r="AOG206" s="3"/>
      <c r="AOH206" s="3"/>
      <c r="AOI206" s="3"/>
      <c r="AOJ206" s="3"/>
      <c r="AOK206" s="3"/>
      <c r="AOL206" s="3"/>
      <c r="AOM206" s="3"/>
      <c r="AON206" s="3"/>
      <c r="AOO206" s="3"/>
      <c r="AOP206" s="3"/>
      <c r="AOQ206" s="3"/>
      <c r="AOR206" s="3"/>
      <c r="AOS206" s="3"/>
      <c r="AOT206" s="3"/>
      <c r="AOU206" s="3"/>
      <c r="AOV206" s="3"/>
      <c r="AOW206" s="3"/>
      <c r="AOX206" s="3"/>
      <c r="AOY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  <c r="BCX206" s="3"/>
      <c r="BCY206" s="3"/>
      <c r="BCZ206" s="3"/>
      <c r="BDA206" s="3"/>
      <c r="BDB206" s="3"/>
      <c r="BDC206" s="3"/>
      <c r="BDD206" s="3"/>
      <c r="BDE206" s="3"/>
      <c r="BDF206" s="3"/>
      <c r="BDG206" s="3"/>
      <c r="BDH206" s="3"/>
      <c r="BDI206" s="3"/>
      <c r="BDJ206" s="3"/>
      <c r="BDK206" s="3"/>
      <c r="BDL206" s="3"/>
      <c r="BDM206" s="3"/>
      <c r="BDN206" s="3"/>
      <c r="BDO206" s="3"/>
      <c r="BDP206" s="3"/>
      <c r="BDQ206" s="3"/>
      <c r="BDR206" s="3"/>
      <c r="BDS206" s="3"/>
      <c r="BDT206" s="3"/>
      <c r="BDU206" s="3"/>
      <c r="BDV206" s="3"/>
      <c r="BDW206" s="3"/>
      <c r="BDX206" s="3"/>
      <c r="BDY206" s="3"/>
      <c r="BDZ206" s="3"/>
      <c r="BEA206" s="3"/>
      <c r="BEB206" s="3"/>
      <c r="BEC206" s="3"/>
      <c r="BED206" s="3"/>
      <c r="BEE206" s="3"/>
      <c r="BEF206" s="3"/>
      <c r="BEG206" s="3"/>
      <c r="BEH206" s="3"/>
      <c r="BEI206" s="3"/>
      <c r="BEJ206" s="3"/>
      <c r="BEK206" s="3"/>
      <c r="BEL206" s="3"/>
      <c r="BEM206" s="3"/>
      <c r="BEN206" s="3"/>
      <c r="BEO206" s="3"/>
      <c r="BEP206" s="3"/>
      <c r="BEQ206" s="3"/>
      <c r="BER206" s="3"/>
      <c r="BES206" s="3"/>
      <c r="BET206" s="3"/>
      <c r="BEU206" s="3"/>
      <c r="BEV206" s="3"/>
      <c r="BEW206" s="3"/>
      <c r="BEX206" s="3"/>
      <c r="BEY206" s="3"/>
      <c r="BEZ206" s="3"/>
      <c r="BFA206" s="3"/>
      <c r="BFB206" s="3"/>
      <c r="BFC206" s="3"/>
      <c r="BFD206" s="3"/>
      <c r="BFE206" s="3"/>
      <c r="BFF206" s="3"/>
      <c r="BFG206" s="3"/>
      <c r="BFH206" s="3"/>
      <c r="BFI206" s="3"/>
      <c r="BFJ206" s="3"/>
      <c r="BFK206" s="3"/>
      <c r="BFL206" s="3"/>
      <c r="BFM206" s="3"/>
      <c r="BFN206" s="3"/>
      <c r="BFO206" s="3"/>
      <c r="BFP206" s="3"/>
      <c r="BFQ206" s="3"/>
      <c r="BFR206" s="3"/>
      <c r="BFS206" s="3"/>
      <c r="BFT206" s="3"/>
      <c r="BFU206" s="3"/>
      <c r="BFV206" s="3"/>
      <c r="BFW206" s="3"/>
      <c r="BFX206" s="3"/>
      <c r="BFY206" s="3"/>
      <c r="BFZ206" s="3"/>
      <c r="BGA206" s="3"/>
      <c r="BGB206" s="3"/>
      <c r="BGC206" s="3"/>
      <c r="BGD206" s="3"/>
      <c r="BGE206" s="3"/>
      <c r="BGF206" s="3"/>
      <c r="BGG206" s="3"/>
      <c r="BGH206" s="3"/>
      <c r="BGI206" s="3"/>
      <c r="BGJ206" s="3"/>
      <c r="BGK206" s="3"/>
      <c r="BGL206" s="3"/>
      <c r="BGM206" s="3"/>
      <c r="BGN206" s="3"/>
      <c r="BGO206" s="3"/>
      <c r="BGP206" s="3"/>
      <c r="BGQ206" s="3"/>
      <c r="BGR206" s="3"/>
      <c r="BGS206" s="3"/>
      <c r="BGT206" s="3"/>
      <c r="BGU206" s="3"/>
      <c r="BGV206" s="3"/>
      <c r="BGW206" s="3"/>
      <c r="BGX206" s="3"/>
      <c r="BGY206" s="3"/>
      <c r="BGZ206" s="3"/>
      <c r="BHA206" s="3"/>
      <c r="BHB206" s="3"/>
      <c r="BHC206" s="3"/>
      <c r="BHD206" s="3"/>
      <c r="BHE206" s="3"/>
      <c r="BHF206" s="3"/>
      <c r="BHG206" s="3"/>
      <c r="BHH206" s="3"/>
      <c r="BHI206" s="3"/>
      <c r="BHJ206" s="3"/>
      <c r="BHK206" s="3"/>
      <c r="BHL206" s="3"/>
      <c r="BHM206" s="3"/>
      <c r="BHN206" s="3"/>
      <c r="BHO206" s="3"/>
      <c r="BHP206" s="3"/>
      <c r="BHQ206" s="3"/>
      <c r="BHR206" s="3"/>
      <c r="BHS206" s="3"/>
      <c r="BHT206" s="3"/>
      <c r="BHU206" s="3"/>
      <c r="BHV206" s="3"/>
      <c r="BHW206" s="3"/>
      <c r="BHX206" s="3"/>
      <c r="BHY206" s="3"/>
      <c r="BHZ206" s="3"/>
      <c r="BIA206" s="3"/>
      <c r="BIB206" s="3"/>
      <c r="BIC206" s="3"/>
      <c r="BID206" s="3"/>
      <c r="BIE206" s="3"/>
      <c r="BIF206" s="3"/>
      <c r="BIG206" s="3"/>
      <c r="BIH206" s="3"/>
      <c r="BII206" s="3"/>
      <c r="BIJ206" s="3"/>
      <c r="BIK206" s="3"/>
      <c r="BIL206" s="3"/>
      <c r="BIM206" s="3"/>
      <c r="BIN206" s="3"/>
      <c r="BIO206" s="3"/>
      <c r="BIP206" s="3"/>
      <c r="BIQ206" s="3"/>
      <c r="BIR206" s="3"/>
      <c r="BIS206" s="3"/>
      <c r="BIT206" s="3"/>
      <c r="BIU206" s="3"/>
      <c r="BIV206" s="3"/>
      <c r="BIW206" s="3"/>
      <c r="BIX206" s="3"/>
      <c r="BIY206" s="3"/>
      <c r="BIZ206" s="3"/>
      <c r="BJA206" s="3"/>
      <c r="BJB206" s="3"/>
      <c r="BJC206" s="3"/>
      <c r="BJD206" s="3"/>
      <c r="BJE206" s="3"/>
      <c r="BJF206" s="3"/>
      <c r="BJG206" s="3"/>
      <c r="BJH206" s="3"/>
      <c r="BJI206" s="3"/>
      <c r="BJJ206" s="3"/>
      <c r="BJK206" s="3"/>
      <c r="BJL206" s="3"/>
      <c r="BJM206" s="3"/>
      <c r="BJN206" s="3"/>
      <c r="BJO206" s="3"/>
      <c r="BJP206" s="3"/>
      <c r="BJQ206" s="3"/>
      <c r="BJR206" s="3"/>
      <c r="BJS206" s="3"/>
      <c r="BJT206" s="3"/>
      <c r="BJU206" s="3"/>
      <c r="BJV206" s="3"/>
      <c r="BJW206" s="3"/>
      <c r="BJX206" s="3"/>
      <c r="BJY206" s="3"/>
      <c r="BJZ206" s="3"/>
      <c r="BKA206" s="3"/>
      <c r="BKB206" s="3"/>
      <c r="BKC206" s="3"/>
      <c r="BKD206" s="3"/>
      <c r="BKE206" s="3"/>
      <c r="BKF206" s="3"/>
      <c r="BKG206" s="3"/>
      <c r="BKH206" s="3"/>
      <c r="BKI206" s="3"/>
      <c r="BKJ206" s="3"/>
      <c r="BKK206" s="3"/>
      <c r="BKL206" s="3"/>
      <c r="BKM206" s="3"/>
      <c r="BKN206" s="3"/>
      <c r="BKO206" s="3"/>
      <c r="BKP206" s="3"/>
      <c r="BKQ206" s="3"/>
      <c r="BKR206" s="3"/>
      <c r="BKS206" s="3"/>
      <c r="BKT206" s="3"/>
      <c r="BKU206" s="3"/>
      <c r="BKV206" s="3"/>
      <c r="BKW206" s="3"/>
      <c r="BKX206" s="3"/>
      <c r="BKY206" s="3"/>
      <c r="BKZ206" s="3"/>
      <c r="BLA206" s="3"/>
      <c r="BLB206" s="3"/>
      <c r="BLC206" s="3"/>
      <c r="BLD206" s="3"/>
      <c r="BLE206" s="3"/>
      <c r="BLF206" s="3"/>
      <c r="BLG206" s="3"/>
      <c r="BLH206" s="3"/>
      <c r="BLI206" s="3"/>
      <c r="BLJ206" s="3"/>
      <c r="BLK206" s="3"/>
      <c r="BLL206" s="3"/>
      <c r="BLM206" s="3"/>
      <c r="BLN206" s="3"/>
      <c r="BLO206" s="3"/>
      <c r="BLP206" s="3"/>
      <c r="BLQ206" s="3"/>
      <c r="BLR206" s="3"/>
      <c r="BLS206" s="3"/>
      <c r="BLT206" s="3"/>
      <c r="BLU206" s="3"/>
      <c r="BLV206" s="3"/>
      <c r="BLW206" s="3"/>
      <c r="BLX206" s="3"/>
      <c r="BLY206" s="3"/>
      <c r="BLZ206" s="3"/>
      <c r="BMA206" s="3"/>
      <c r="BMB206" s="3"/>
      <c r="BMC206" s="3"/>
      <c r="BMD206" s="3"/>
      <c r="BME206" s="3"/>
      <c r="BMF206" s="3"/>
      <c r="BMG206" s="3"/>
      <c r="BMH206" s="3"/>
      <c r="BMI206" s="3"/>
      <c r="BMJ206" s="3"/>
      <c r="BMK206" s="3"/>
      <c r="BML206" s="3"/>
      <c r="BMM206" s="3"/>
      <c r="BMN206" s="3"/>
      <c r="BMO206" s="3"/>
      <c r="BMP206" s="3"/>
      <c r="BMQ206" s="3"/>
      <c r="BMR206" s="3"/>
      <c r="BMS206" s="3"/>
      <c r="BMT206" s="3"/>
      <c r="BMU206" s="3"/>
      <c r="BMV206" s="3"/>
      <c r="BMW206" s="3"/>
      <c r="BMX206" s="3"/>
      <c r="BMY206" s="3"/>
      <c r="BMZ206" s="3"/>
      <c r="BNA206" s="3"/>
      <c r="BNB206" s="3"/>
      <c r="BNC206" s="3"/>
      <c r="BND206" s="3"/>
      <c r="BNE206" s="3"/>
      <c r="BNF206" s="3"/>
      <c r="BNG206" s="3"/>
      <c r="BNH206" s="3"/>
      <c r="BNI206" s="3"/>
      <c r="BNJ206" s="3"/>
      <c r="BNK206" s="3"/>
      <c r="BNL206" s="3"/>
      <c r="BNM206" s="3"/>
      <c r="BNN206" s="3"/>
      <c r="BNO206" s="3"/>
      <c r="BNP206" s="3"/>
      <c r="BNQ206" s="3"/>
      <c r="BNR206" s="3"/>
      <c r="BNS206" s="3"/>
      <c r="BNT206" s="3"/>
      <c r="BNU206" s="3"/>
      <c r="BNV206" s="3"/>
      <c r="BNW206" s="3"/>
      <c r="BNX206" s="3"/>
      <c r="BNY206" s="3"/>
      <c r="BNZ206" s="3"/>
      <c r="BOA206" s="3"/>
      <c r="BOB206" s="3"/>
      <c r="BOC206" s="3"/>
      <c r="BOD206" s="3"/>
      <c r="BOE206" s="3"/>
      <c r="BOF206" s="3"/>
      <c r="BOG206" s="3"/>
      <c r="BOH206" s="3"/>
      <c r="BOI206" s="3"/>
      <c r="BOJ206" s="3"/>
      <c r="BOK206" s="3"/>
      <c r="BOL206" s="3"/>
      <c r="BOM206" s="3"/>
      <c r="BON206" s="3"/>
      <c r="BOO206" s="3"/>
      <c r="BOP206" s="3"/>
      <c r="BOQ206" s="3"/>
      <c r="BOR206" s="3"/>
      <c r="BOS206" s="3"/>
      <c r="BOT206" s="3"/>
      <c r="BOU206" s="3"/>
      <c r="BOV206" s="3"/>
      <c r="BOW206" s="3"/>
      <c r="BOX206" s="3"/>
      <c r="BOY206" s="3"/>
      <c r="BOZ206" s="3"/>
      <c r="BPA206" s="3"/>
      <c r="BPB206" s="3"/>
      <c r="BPC206" s="3"/>
      <c r="BPD206" s="3"/>
      <c r="BPE206" s="3"/>
      <c r="BPF206" s="3"/>
      <c r="BPG206" s="3"/>
      <c r="BPH206" s="3"/>
      <c r="BPI206" s="3"/>
      <c r="BPJ206" s="3"/>
      <c r="BPK206" s="3"/>
      <c r="BPL206" s="3"/>
      <c r="BPM206" s="3"/>
      <c r="BPN206" s="3"/>
      <c r="BPO206" s="3"/>
      <c r="BPP206" s="3"/>
      <c r="BPQ206" s="3"/>
      <c r="BPR206" s="3"/>
      <c r="BPS206" s="3"/>
      <c r="BPT206" s="3"/>
      <c r="BPU206" s="3"/>
      <c r="BPV206" s="3"/>
      <c r="BPW206" s="3"/>
      <c r="BPX206" s="3"/>
      <c r="BPY206" s="3"/>
      <c r="BPZ206" s="3"/>
      <c r="BQA206" s="3"/>
      <c r="BQB206" s="3"/>
      <c r="BQC206" s="3"/>
      <c r="BQD206" s="3"/>
      <c r="BQE206" s="3"/>
      <c r="BQF206" s="3"/>
      <c r="BQG206" s="3"/>
      <c r="BQH206" s="3"/>
      <c r="BQI206" s="3"/>
      <c r="BQJ206" s="3"/>
      <c r="BQK206" s="3"/>
      <c r="BQL206" s="3"/>
      <c r="BQM206" s="3"/>
      <c r="BQN206" s="3"/>
      <c r="BQO206" s="3"/>
      <c r="BQP206" s="3"/>
      <c r="BQQ206" s="3"/>
      <c r="BQR206" s="3"/>
      <c r="BQS206" s="3"/>
      <c r="BQT206" s="3"/>
      <c r="BQU206" s="3"/>
      <c r="BQV206" s="3"/>
      <c r="BQW206" s="3"/>
      <c r="BQX206" s="3"/>
      <c r="BQY206" s="3"/>
      <c r="BQZ206" s="3"/>
      <c r="BRA206" s="3"/>
      <c r="BRB206" s="3"/>
      <c r="BRC206" s="3"/>
      <c r="BRD206" s="3"/>
      <c r="BRE206" s="3"/>
      <c r="BRF206" s="3"/>
      <c r="BRG206" s="3"/>
      <c r="BRH206" s="3"/>
      <c r="BRI206" s="3"/>
      <c r="BRJ206" s="3"/>
      <c r="BRK206" s="3"/>
      <c r="BRL206" s="3"/>
      <c r="BRM206" s="3"/>
      <c r="BRN206" s="3"/>
      <c r="BRO206" s="3"/>
      <c r="BRP206" s="3"/>
      <c r="BRQ206" s="3"/>
      <c r="BRR206" s="3"/>
      <c r="BRS206" s="3"/>
      <c r="BRT206" s="3"/>
      <c r="BRU206" s="3"/>
      <c r="BRV206" s="3"/>
      <c r="BRW206" s="3"/>
      <c r="BRX206" s="3"/>
      <c r="BRY206" s="3"/>
      <c r="BRZ206" s="3"/>
      <c r="BSA206" s="3"/>
      <c r="BSB206" s="3"/>
      <c r="BSC206" s="3"/>
      <c r="BSD206" s="3"/>
      <c r="BSE206" s="3"/>
      <c r="BSF206" s="3"/>
      <c r="BSG206" s="3"/>
      <c r="BSH206" s="3"/>
      <c r="BSI206" s="3"/>
      <c r="BSJ206" s="3"/>
      <c r="BSK206" s="3"/>
      <c r="BSL206" s="3"/>
      <c r="BSM206" s="3"/>
      <c r="BSN206" s="3"/>
      <c r="BSO206" s="3"/>
      <c r="BSP206" s="3"/>
      <c r="BSQ206" s="3"/>
      <c r="BSR206" s="3"/>
      <c r="BSS206" s="3"/>
      <c r="BST206" s="3"/>
      <c r="BSU206" s="3"/>
      <c r="BSV206" s="3"/>
      <c r="BSW206" s="3"/>
      <c r="BSX206" s="3"/>
      <c r="BSY206" s="3"/>
      <c r="BSZ206" s="3"/>
      <c r="BTA206" s="3"/>
      <c r="BTB206" s="3"/>
      <c r="BTC206" s="3"/>
      <c r="BTD206" s="3"/>
      <c r="BTE206" s="3"/>
      <c r="BTF206" s="3"/>
      <c r="BTG206" s="3"/>
      <c r="BTH206" s="3"/>
      <c r="BTI206" s="3"/>
      <c r="BTJ206" s="3"/>
      <c r="BTK206" s="3"/>
      <c r="BTL206" s="3"/>
      <c r="BTM206" s="3"/>
      <c r="BTN206" s="3"/>
      <c r="BTO206" s="3"/>
      <c r="BTP206" s="3"/>
      <c r="BTQ206" s="3"/>
      <c r="BTR206" s="3"/>
      <c r="BTS206" s="3"/>
      <c r="BTT206" s="3"/>
      <c r="BTU206" s="3"/>
      <c r="BTV206" s="3"/>
      <c r="BTW206" s="3"/>
      <c r="BTX206" s="3"/>
      <c r="BTY206" s="3"/>
      <c r="BTZ206" s="3"/>
      <c r="BUA206" s="3"/>
      <c r="BUB206" s="3"/>
      <c r="BUC206" s="3"/>
      <c r="BUD206" s="3"/>
      <c r="BUE206" s="3"/>
      <c r="BUF206" s="3"/>
      <c r="BUG206" s="3"/>
      <c r="BUH206" s="3"/>
      <c r="BUI206" s="3"/>
      <c r="BUJ206" s="3"/>
      <c r="BUK206" s="3"/>
      <c r="BUL206" s="3"/>
      <c r="BUM206" s="3"/>
      <c r="BUN206" s="3"/>
      <c r="BUO206" s="3"/>
      <c r="BUP206" s="3"/>
      <c r="BUQ206" s="3"/>
      <c r="BUR206" s="3"/>
      <c r="BUS206" s="3"/>
      <c r="BUT206" s="3"/>
      <c r="BUU206" s="3"/>
      <c r="BUV206" s="3"/>
      <c r="BUW206" s="3"/>
      <c r="BUX206" s="3"/>
      <c r="BUY206" s="3"/>
      <c r="BUZ206" s="3"/>
      <c r="BVA206" s="3"/>
      <c r="BVB206" s="3"/>
      <c r="BVC206" s="3"/>
      <c r="BVD206" s="3"/>
      <c r="BVE206" s="3"/>
      <c r="BVF206" s="3"/>
      <c r="BVG206" s="3"/>
      <c r="BVH206" s="3"/>
      <c r="BVI206" s="3"/>
      <c r="BVJ206" s="3"/>
      <c r="BVK206" s="3"/>
      <c r="BVL206" s="3"/>
      <c r="BVM206" s="3"/>
      <c r="BVN206" s="3"/>
      <c r="BVO206" s="3"/>
      <c r="BVP206" s="3"/>
      <c r="BVQ206" s="3"/>
      <c r="BVR206" s="3"/>
      <c r="BVS206" s="3"/>
      <c r="BVT206" s="3"/>
      <c r="BVU206" s="3"/>
      <c r="BVV206" s="3"/>
      <c r="BVW206" s="3"/>
      <c r="BVX206" s="3"/>
      <c r="BVY206" s="3"/>
      <c r="BVZ206" s="3"/>
      <c r="BWA206" s="3"/>
      <c r="BWB206" s="3"/>
      <c r="BWC206" s="3"/>
      <c r="BWD206" s="3"/>
      <c r="BWE206" s="3"/>
      <c r="BWF206" s="3"/>
      <c r="BWG206" s="3"/>
      <c r="BWH206" s="3"/>
      <c r="BWI206" s="3"/>
      <c r="BWJ206" s="3"/>
      <c r="BWK206" s="3"/>
      <c r="BWL206" s="3"/>
      <c r="BWM206" s="3"/>
      <c r="BWN206" s="3"/>
      <c r="BWO206" s="3"/>
      <c r="BWP206" s="3"/>
      <c r="BWQ206" s="3"/>
      <c r="BWR206" s="3"/>
      <c r="BWS206" s="3"/>
      <c r="BWT206" s="3"/>
      <c r="BWU206" s="3"/>
      <c r="BWV206" s="3"/>
      <c r="BWW206" s="3"/>
      <c r="BWX206" s="3"/>
      <c r="BWY206" s="3"/>
      <c r="BWZ206" s="3"/>
      <c r="BXA206" s="3"/>
      <c r="BXB206" s="3"/>
      <c r="BXC206" s="3"/>
      <c r="BXD206" s="3"/>
      <c r="BXE206" s="3"/>
      <c r="BXF206" s="3"/>
      <c r="BXG206" s="3"/>
      <c r="BXH206" s="3"/>
      <c r="BXI206" s="3"/>
      <c r="BXJ206" s="3"/>
      <c r="BXK206" s="3"/>
      <c r="BXL206" s="3"/>
      <c r="BXM206" s="3"/>
      <c r="BXN206" s="3"/>
      <c r="BXO206" s="3"/>
      <c r="BXP206" s="3"/>
      <c r="BXQ206" s="3"/>
      <c r="BXR206" s="3"/>
      <c r="BXS206" s="3"/>
      <c r="BXT206" s="3"/>
      <c r="BXU206" s="3"/>
      <c r="BXV206" s="3"/>
      <c r="BXW206" s="3"/>
      <c r="BXX206" s="3"/>
      <c r="BXY206" s="3"/>
      <c r="BXZ206" s="3"/>
      <c r="BYA206" s="3"/>
      <c r="BYB206" s="3"/>
      <c r="BYC206" s="3"/>
      <c r="BYD206" s="3"/>
      <c r="BYE206" s="3"/>
      <c r="BYF206" s="3"/>
      <c r="BYG206" s="3"/>
      <c r="BYH206" s="3"/>
      <c r="BYI206" s="3"/>
      <c r="BYJ206" s="3"/>
      <c r="BYK206" s="3"/>
      <c r="BYL206" s="3"/>
      <c r="BYM206" s="3"/>
      <c r="BYN206" s="3"/>
      <c r="BYO206" s="3"/>
      <c r="BYP206" s="3"/>
      <c r="BYQ206" s="3"/>
      <c r="BYR206" s="3"/>
      <c r="BYS206" s="3"/>
      <c r="BYT206" s="3"/>
      <c r="BYU206" s="3"/>
      <c r="BYV206" s="3"/>
      <c r="BYW206" s="3"/>
      <c r="BYX206" s="3"/>
      <c r="BYY206" s="3"/>
      <c r="BYZ206" s="3"/>
      <c r="BZA206" s="3"/>
      <c r="BZB206" s="3"/>
      <c r="BZC206" s="3"/>
      <c r="BZD206" s="3"/>
      <c r="BZE206" s="3"/>
      <c r="BZF206" s="3"/>
      <c r="BZG206" s="3"/>
      <c r="BZH206" s="3"/>
      <c r="BZI206" s="3"/>
      <c r="BZJ206" s="3"/>
      <c r="BZK206" s="3"/>
      <c r="BZL206" s="3"/>
      <c r="BZM206" s="3"/>
      <c r="BZN206" s="3"/>
      <c r="BZO206" s="3"/>
      <c r="BZP206" s="3"/>
      <c r="BZQ206" s="3"/>
      <c r="BZR206" s="3"/>
      <c r="BZS206" s="3"/>
      <c r="BZT206" s="3"/>
      <c r="BZU206" s="3"/>
      <c r="BZV206" s="3"/>
      <c r="BZW206" s="3"/>
      <c r="BZX206" s="3"/>
      <c r="BZY206" s="3"/>
      <c r="BZZ206" s="3"/>
      <c r="CAA206" s="3"/>
      <c r="CAB206" s="3"/>
      <c r="CAC206" s="3"/>
      <c r="CAD206" s="3"/>
      <c r="CAE206" s="3"/>
      <c r="CAF206" s="3"/>
      <c r="CAG206" s="3"/>
      <c r="CAH206" s="3"/>
      <c r="CAI206" s="3"/>
      <c r="CAJ206" s="3"/>
      <c r="CAK206" s="3"/>
      <c r="CAL206" s="3"/>
      <c r="CAM206" s="3"/>
      <c r="CAN206" s="3"/>
      <c r="CAO206" s="3"/>
      <c r="CAP206" s="3"/>
      <c r="CAQ206" s="3"/>
      <c r="CAR206" s="3"/>
      <c r="CAS206" s="3"/>
      <c r="CAT206" s="3"/>
      <c r="CAU206" s="3"/>
      <c r="CAV206" s="3"/>
      <c r="CAW206" s="3"/>
      <c r="CAX206" s="3"/>
      <c r="CAY206" s="3"/>
      <c r="CAZ206" s="3"/>
      <c r="CBA206" s="3"/>
      <c r="CBB206" s="3"/>
      <c r="CBC206" s="3"/>
      <c r="CBD206" s="3"/>
      <c r="CBE206" s="3"/>
      <c r="CBF206" s="3"/>
      <c r="CBG206" s="3"/>
      <c r="CBH206" s="3"/>
      <c r="CBI206" s="3"/>
      <c r="CBJ206" s="3"/>
      <c r="CBK206" s="3"/>
      <c r="CBL206" s="3"/>
      <c r="CBM206" s="3"/>
      <c r="CBN206" s="3"/>
      <c r="CBO206" s="3"/>
      <c r="CBP206" s="3"/>
      <c r="CBQ206" s="3"/>
      <c r="CBR206" s="3"/>
      <c r="CBS206" s="3"/>
      <c r="CBT206" s="3"/>
      <c r="CBU206" s="3"/>
      <c r="CBV206" s="3"/>
      <c r="CBW206" s="3"/>
      <c r="CBX206" s="3"/>
      <c r="CBY206" s="3"/>
      <c r="CBZ206" s="3"/>
      <c r="CCA206" s="3"/>
      <c r="CCB206" s="3"/>
      <c r="CCC206" s="3"/>
      <c r="CCD206" s="3"/>
      <c r="CCE206" s="3"/>
      <c r="CCF206" s="3"/>
      <c r="CCG206" s="3"/>
      <c r="CCH206" s="3"/>
      <c r="CCI206" s="3"/>
      <c r="CCJ206" s="3"/>
      <c r="CCK206" s="3"/>
      <c r="CCL206" s="3"/>
      <c r="CCM206" s="3"/>
      <c r="CCN206" s="3"/>
      <c r="CCO206" s="3"/>
      <c r="CCP206" s="3"/>
      <c r="CCQ206" s="3"/>
      <c r="CCR206" s="3"/>
      <c r="CCS206" s="3"/>
      <c r="CCT206" s="3"/>
      <c r="CCU206" s="3"/>
      <c r="CCV206" s="3"/>
      <c r="CCW206" s="3"/>
      <c r="CCX206" s="3"/>
      <c r="CCY206" s="3"/>
      <c r="CCZ206" s="3"/>
      <c r="CDA206" s="3"/>
      <c r="CDB206" s="3"/>
      <c r="CDC206" s="3"/>
      <c r="CDD206" s="3"/>
      <c r="CDE206" s="3"/>
      <c r="CDF206" s="3"/>
      <c r="CDG206" s="3"/>
      <c r="CDH206" s="3"/>
      <c r="CDI206" s="3"/>
      <c r="CDJ206" s="3"/>
      <c r="CDK206" s="3"/>
      <c r="CDL206" s="3"/>
      <c r="CDM206" s="3"/>
      <c r="CDN206" s="3"/>
      <c r="CDO206" s="3"/>
      <c r="CDP206" s="3"/>
      <c r="CDQ206" s="3"/>
      <c r="CDR206" s="3"/>
      <c r="CDS206" s="3"/>
      <c r="CDT206" s="3"/>
      <c r="CDU206" s="3"/>
      <c r="CDV206" s="3"/>
      <c r="CDW206" s="3"/>
      <c r="CDX206" s="3"/>
      <c r="CDY206" s="3"/>
      <c r="CDZ206" s="3"/>
      <c r="CEA206" s="3"/>
      <c r="CEB206" s="3"/>
      <c r="CEC206" s="3"/>
      <c r="CED206" s="3"/>
      <c r="CEE206" s="3"/>
      <c r="CEF206" s="3"/>
      <c r="CEG206" s="3"/>
      <c r="CEH206" s="3"/>
      <c r="CEI206" s="3"/>
      <c r="CEJ206" s="3"/>
      <c r="CEK206" s="3"/>
      <c r="CEL206" s="3"/>
      <c r="CEM206" s="3"/>
      <c r="CEN206" s="3"/>
      <c r="CEO206" s="3"/>
      <c r="CEP206" s="3"/>
      <c r="CEQ206" s="3"/>
      <c r="CER206" s="3"/>
      <c r="CES206" s="3"/>
      <c r="CET206" s="3"/>
      <c r="CEU206" s="3"/>
      <c r="CEV206" s="3"/>
      <c r="CEW206" s="3"/>
      <c r="CEX206" s="3"/>
      <c r="CEY206" s="3"/>
      <c r="CEZ206" s="3"/>
      <c r="CFA206" s="3"/>
      <c r="CFB206" s="3"/>
      <c r="CFC206" s="3"/>
      <c r="CFD206" s="3"/>
      <c r="CFE206" s="3"/>
      <c r="CFF206" s="3"/>
      <c r="CFG206" s="3"/>
      <c r="CFH206" s="3"/>
      <c r="CFI206" s="3"/>
      <c r="CFJ206" s="3"/>
      <c r="CFK206" s="3"/>
      <c r="CFL206" s="3"/>
      <c r="CFM206" s="3"/>
      <c r="CFN206" s="3"/>
      <c r="CFO206" s="3"/>
      <c r="CFP206" s="3"/>
      <c r="CFQ206" s="3"/>
      <c r="CFR206" s="3"/>
      <c r="CFS206" s="3"/>
      <c r="CFT206" s="3"/>
      <c r="CFU206" s="3"/>
      <c r="CFV206" s="3"/>
      <c r="CFW206" s="3"/>
      <c r="CFX206" s="3"/>
      <c r="CFY206" s="3"/>
      <c r="CFZ206" s="3"/>
      <c r="CGA206" s="3"/>
      <c r="CGB206" s="3"/>
      <c r="CGC206" s="3"/>
      <c r="CGD206" s="3"/>
      <c r="CGE206" s="3"/>
      <c r="CGF206" s="3"/>
      <c r="CGG206" s="3"/>
      <c r="CGH206" s="3"/>
      <c r="CGI206" s="3"/>
      <c r="CGJ206" s="3"/>
      <c r="CGK206" s="3"/>
      <c r="CGL206" s="3"/>
      <c r="CGM206" s="3"/>
      <c r="CGN206" s="3"/>
      <c r="CGO206" s="3"/>
      <c r="CGP206" s="3"/>
      <c r="CGQ206" s="3"/>
      <c r="CGR206" s="3"/>
      <c r="CGS206" s="3"/>
      <c r="CGT206" s="3"/>
      <c r="CGU206" s="3"/>
      <c r="CGV206" s="3"/>
      <c r="CGW206" s="3"/>
      <c r="CGX206" s="3"/>
      <c r="CGY206" s="3"/>
      <c r="CGZ206" s="3"/>
      <c r="CHA206" s="3"/>
      <c r="CHB206" s="3"/>
      <c r="CHC206" s="3"/>
      <c r="CHD206" s="3"/>
      <c r="CHE206" s="3"/>
      <c r="CHF206" s="3"/>
      <c r="CHG206" s="3"/>
      <c r="CHH206" s="3"/>
      <c r="CHI206" s="3"/>
      <c r="CHJ206" s="3"/>
      <c r="CHK206" s="3"/>
      <c r="CHL206" s="3"/>
      <c r="CHM206" s="3"/>
      <c r="CHN206" s="3"/>
      <c r="CHO206" s="3"/>
      <c r="CHP206" s="3"/>
      <c r="CHQ206" s="3"/>
      <c r="CHR206" s="3"/>
      <c r="CHS206" s="3"/>
      <c r="CHT206" s="3"/>
      <c r="CHU206" s="3"/>
      <c r="CHV206" s="3"/>
      <c r="CHW206" s="3"/>
      <c r="CHX206" s="3"/>
      <c r="CHY206" s="3"/>
      <c r="CHZ206" s="3"/>
      <c r="CIA206" s="3"/>
      <c r="CIB206" s="3"/>
      <c r="CIC206" s="3"/>
      <c r="CID206" s="3"/>
      <c r="CIE206" s="3"/>
      <c r="CIF206" s="3"/>
      <c r="CIG206" s="3"/>
      <c r="CIH206" s="3"/>
      <c r="CII206" s="3"/>
      <c r="CIJ206" s="3"/>
      <c r="CIK206" s="3"/>
      <c r="CIL206" s="3"/>
      <c r="CIM206" s="3"/>
      <c r="CIN206" s="3"/>
      <c r="CIO206" s="3"/>
      <c r="CIP206" s="3"/>
      <c r="CIQ206" s="3"/>
      <c r="CIR206" s="3"/>
      <c r="CIS206" s="3"/>
      <c r="CIT206" s="3"/>
      <c r="CIU206" s="3"/>
      <c r="CIV206" s="3"/>
      <c r="CIW206" s="3"/>
      <c r="CIX206" s="3"/>
      <c r="CIY206" s="3"/>
      <c r="CIZ206" s="3"/>
      <c r="CJA206" s="3"/>
      <c r="CJB206" s="3"/>
      <c r="CJC206" s="3"/>
      <c r="CJD206" s="3"/>
      <c r="CJE206" s="3"/>
      <c r="CJF206" s="3"/>
      <c r="CJG206" s="3"/>
      <c r="CJH206" s="3"/>
      <c r="CJI206" s="3"/>
      <c r="CJJ206" s="3"/>
      <c r="CJK206" s="3"/>
      <c r="CJL206" s="3"/>
      <c r="CJM206" s="3"/>
      <c r="CJN206" s="3"/>
      <c r="CJO206" s="3"/>
      <c r="CJP206" s="3"/>
      <c r="CJQ206" s="3"/>
      <c r="CJR206" s="3"/>
      <c r="CJS206" s="3"/>
      <c r="CJT206" s="3"/>
      <c r="CJU206" s="3"/>
      <c r="CJV206" s="3"/>
      <c r="CJW206" s="3"/>
      <c r="CJX206" s="3"/>
      <c r="CJY206" s="3"/>
      <c r="CJZ206" s="3"/>
      <c r="CKA206" s="3"/>
      <c r="CKB206" s="3"/>
      <c r="CKC206" s="3"/>
      <c r="CKD206" s="3"/>
      <c r="CKE206" s="3"/>
      <c r="CKF206" s="3"/>
      <c r="CKG206" s="3"/>
      <c r="CKH206" s="3"/>
      <c r="CKI206" s="3"/>
      <c r="CKJ206" s="3"/>
      <c r="CKK206" s="3"/>
      <c r="CKL206" s="3"/>
      <c r="CKM206" s="3"/>
      <c r="CKN206" s="3"/>
      <c r="CKO206" s="3"/>
      <c r="CKP206" s="3"/>
      <c r="CKQ206" s="3"/>
      <c r="CKR206" s="3"/>
      <c r="CKS206" s="3"/>
      <c r="CKT206" s="3"/>
      <c r="CKU206" s="3"/>
      <c r="CKV206" s="3"/>
      <c r="CKW206" s="3"/>
      <c r="CKX206" s="3"/>
      <c r="CKY206" s="3"/>
      <c r="CKZ206" s="3"/>
      <c r="CLA206" s="3"/>
      <c r="CLB206" s="3"/>
      <c r="CLC206" s="3"/>
      <c r="CLD206" s="3"/>
      <c r="CLE206" s="3"/>
      <c r="CLF206" s="3"/>
      <c r="CLG206" s="3"/>
      <c r="CLH206" s="3"/>
      <c r="CLI206" s="3"/>
      <c r="CLJ206" s="3"/>
      <c r="CLK206" s="3"/>
      <c r="CLL206" s="3"/>
      <c r="CLM206" s="3"/>
      <c r="CLN206" s="3"/>
      <c r="CLO206" s="3"/>
      <c r="CLP206" s="3"/>
      <c r="CLQ206" s="3"/>
      <c r="CLR206" s="3"/>
      <c r="CLS206" s="3"/>
      <c r="CLT206" s="3"/>
      <c r="CLU206" s="3"/>
      <c r="CLV206" s="3"/>
      <c r="CLW206" s="3"/>
      <c r="CLX206" s="3"/>
      <c r="CLY206" s="3"/>
      <c r="CLZ206" s="3"/>
      <c r="CMA206" s="3"/>
      <c r="CMB206" s="3"/>
      <c r="CMC206" s="3"/>
      <c r="CMD206" s="3"/>
      <c r="CME206" s="3"/>
      <c r="CMF206" s="3"/>
      <c r="CMG206" s="3"/>
      <c r="CMH206" s="3"/>
      <c r="CMI206" s="3"/>
      <c r="CMJ206" s="3"/>
      <c r="CMK206" s="3"/>
      <c r="CML206" s="3"/>
      <c r="CMM206" s="3"/>
      <c r="CMN206" s="3"/>
      <c r="CMO206" s="3"/>
      <c r="CMP206" s="3"/>
      <c r="CMQ206" s="3"/>
      <c r="CMR206" s="3"/>
      <c r="CMS206" s="3"/>
      <c r="CMT206" s="3"/>
      <c r="CMU206" s="3"/>
      <c r="CMV206" s="3"/>
      <c r="CMW206" s="3"/>
      <c r="CMX206" s="3"/>
      <c r="CMY206" s="3"/>
      <c r="CMZ206" s="3"/>
      <c r="CNA206" s="3"/>
      <c r="CNB206" s="3"/>
      <c r="CNC206" s="3"/>
      <c r="CND206" s="3"/>
      <c r="CNE206" s="3"/>
      <c r="CNF206" s="3"/>
      <c r="CNG206" s="3"/>
      <c r="CNH206" s="3"/>
      <c r="CNI206" s="3"/>
      <c r="CNJ206" s="3"/>
      <c r="CNK206" s="3"/>
      <c r="CNL206" s="3"/>
      <c r="CNM206" s="3"/>
      <c r="CNN206" s="3"/>
      <c r="CNO206" s="3"/>
      <c r="CNP206" s="3"/>
      <c r="CNQ206" s="3"/>
      <c r="CNR206" s="3"/>
      <c r="CNS206" s="3"/>
      <c r="CNT206" s="3"/>
      <c r="CNU206" s="3"/>
      <c r="CNV206" s="3"/>
      <c r="CNW206" s="3"/>
      <c r="CNX206" s="3"/>
      <c r="CNY206" s="3"/>
      <c r="CNZ206" s="3"/>
      <c r="COA206" s="3"/>
      <c r="COB206" s="3"/>
      <c r="COC206" s="3"/>
      <c r="COD206" s="3"/>
      <c r="COE206" s="3"/>
      <c r="COF206" s="3"/>
      <c r="COG206" s="3"/>
      <c r="COH206" s="3"/>
      <c r="COI206" s="3"/>
      <c r="COJ206" s="3"/>
      <c r="COK206" s="3"/>
      <c r="COL206" s="3"/>
      <c r="COM206" s="3"/>
      <c r="CON206" s="3"/>
      <c r="COO206" s="3"/>
      <c r="COP206" s="3"/>
      <c r="COQ206" s="3"/>
      <c r="COR206" s="3"/>
      <c r="COS206" s="3"/>
      <c r="COT206" s="3"/>
      <c r="COU206" s="3"/>
      <c r="COV206" s="3"/>
      <c r="COW206" s="3"/>
      <c r="COX206" s="3"/>
      <c r="COY206" s="3"/>
      <c r="COZ206" s="3"/>
      <c r="CPA206" s="3"/>
      <c r="CPB206" s="3"/>
      <c r="CPC206" s="3"/>
      <c r="CPD206" s="3"/>
      <c r="CPE206" s="3"/>
      <c r="CPF206" s="3"/>
      <c r="CPG206" s="3"/>
      <c r="CPH206" s="3"/>
      <c r="CPI206" s="3"/>
      <c r="CPJ206" s="3"/>
      <c r="CPK206" s="3"/>
      <c r="CPL206" s="3"/>
      <c r="CPM206" s="3"/>
      <c r="CPN206" s="3"/>
      <c r="CPO206" s="3"/>
      <c r="CPP206" s="3"/>
      <c r="CPQ206" s="3"/>
      <c r="CPR206" s="3"/>
      <c r="CPS206" s="3"/>
      <c r="CPT206" s="3"/>
      <c r="CPU206" s="3"/>
      <c r="CPV206" s="3"/>
      <c r="CPW206" s="3"/>
      <c r="CPX206" s="3"/>
      <c r="CPY206" s="3"/>
      <c r="CPZ206" s="3"/>
      <c r="CQA206" s="3"/>
      <c r="CQB206" s="3"/>
      <c r="CQC206" s="3"/>
      <c r="CQD206" s="3"/>
      <c r="CQE206" s="3"/>
      <c r="CQF206" s="3"/>
      <c r="CQG206" s="3"/>
      <c r="CQH206" s="3"/>
      <c r="CQI206" s="3"/>
      <c r="CQJ206" s="3"/>
      <c r="CQK206" s="3"/>
      <c r="CQL206" s="3"/>
      <c r="CQM206" s="3"/>
      <c r="CQN206" s="3"/>
      <c r="CQO206" s="3"/>
      <c r="CQP206" s="3"/>
      <c r="CQQ206" s="3"/>
      <c r="CQR206" s="3"/>
      <c r="CQS206" s="3"/>
      <c r="CQT206" s="3"/>
      <c r="CQU206" s="3"/>
      <c r="CQV206" s="3"/>
      <c r="CQW206" s="3"/>
      <c r="CQX206" s="3"/>
      <c r="CQY206" s="3"/>
      <c r="CQZ206" s="3"/>
      <c r="CRA206" s="3"/>
      <c r="CRB206" s="3"/>
      <c r="CRC206" s="3"/>
      <c r="CRD206" s="3"/>
      <c r="CRE206" s="3"/>
      <c r="CRF206" s="3"/>
      <c r="CRG206" s="3"/>
      <c r="CRH206" s="3"/>
      <c r="CRI206" s="3"/>
      <c r="CRJ206" s="3"/>
      <c r="CRK206" s="3"/>
      <c r="CRL206" s="3"/>
      <c r="CRM206" s="3"/>
      <c r="CRN206" s="3"/>
      <c r="CRO206" s="3"/>
      <c r="CRP206" s="3"/>
      <c r="CRQ206" s="3"/>
      <c r="CRR206" s="3"/>
      <c r="CRS206" s="3"/>
      <c r="CRT206" s="3"/>
      <c r="CRU206" s="3"/>
      <c r="CRV206" s="3"/>
      <c r="CRW206" s="3"/>
      <c r="CRX206" s="3"/>
      <c r="CRY206" s="3"/>
      <c r="CRZ206" s="3"/>
      <c r="CSA206" s="3"/>
      <c r="CSB206" s="3"/>
      <c r="CSC206" s="3"/>
      <c r="CSD206" s="3"/>
      <c r="CSE206" s="3"/>
      <c r="CSF206" s="3"/>
      <c r="CSG206" s="3"/>
      <c r="CSH206" s="3"/>
      <c r="CSI206" s="3"/>
      <c r="CSJ206" s="3"/>
      <c r="CSK206" s="3"/>
      <c r="CSL206" s="3"/>
      <c r="CSM206" s="3"/>
      <c r="CSN206" s="3"/>
      <c r="CSO206" s="3"/>
      <c r="CSP206" s="3"/>
      <c r="CSQ206" s="3"/>
      <c r="CSR206" s="3"/>
      <c r="CSS206" s="3"/>
      <c r="CST206" s="3"/>
      <c r="CSU206" s="3"/>
      <c r="CSV206" s="3"/>
      <c r="CSW206" s="3"/>
      <c r="CSX206" s="3"/>
      <c r="CSY206" s="3"/>
      <c r="CSZ206" s="3"/>
      <c r="CTA206" s="3"/>
      <c r="CTB206" s="3"/>
      <c r="CTC206" s="3"/>
      <c r="CTD206" s="3"/>
      <c r="CTE206" s="3"/>
      <c r="CTF206" s="3"/>
      <c r="CTG206" s="3"/>
      <c r="CTH206" s="3"/>
      <c r="CTI206" s="3"/>
      <c r="CTJ206" s="3"/>
      <c r="CTK206" s="3"/>
      <c r="CTL206" s="3"/>
      <c r="CTM206" s="3"/>
      <c r="CTN206" s="3"/>
      <c r="CTO206" s="3"/>
      <c r="CTP206" s="3"/>
      <c r="CTQ206" s="3"/>
      <c r="CTR206" s="3"/>
      <c r="CTS206" s="3"/>
      <c r="CTT206" s="3"/>
      <c r="CTU206" s="3"/>
      <c r="CTV206" s="3"/>
      <c r="CTW206" s="3"/>
      <c r="CTX206" s="3"/>
      <c r="CTY206" s="3"/>
      <c r="CTZ206" s="3"/>
      <c r="CUA206" s="3"/>
      <c r="CUB206" s="3"/>
      <c r="CUC206" s="3"/>
      <c r="CUD206" s="3"/>
      <c r="CUE206" s="3"/>
      <c r="CUF206" s="3"/>
      <c r="CUG206" s="3"/>
      <c r="CUH206" s="3"/>
      <c r="CUI206" s="3"/>
      <c r="CUJ206" s="3"/>
      <c r="CUK206" s="3"/>
      <c r="CUL206" s="3"/>
      <c r="CUM206" s="3"/>
      <c r="CUN206" s="3"/>
      <c r="CUO206" s="3"/>
      <c r="CUP206" s="3"/>
      <c r="CUQ206" s="3"/>
      <c r="CUR206" s="3"/>
      <c r="CUS206" s="3"/>
      <c r="CUT206" s="3"/>
      <c r="CUU206" s="3"/>
      <c r="CUV206" s="3"/>
      <c r="CUW206" s="3"/>
      <c r="CUX206" s="3"/>
      <c r="CUY206" s="3"/>
      <c r="CUZ206" s="3"/>
      <c r="CVA206" s="3"/>
      <c r="CVB206" s="3"/>
      <c r="CVC206" s="3"/>
      <c r="CVD206" s="3"/>
      <c r="CVE206" s="3"/>
      <c r="CVF206" s="3"/>
      <c r="CVG206" s="3"/>
      <c r="CVH206" s="3"/>
      <c r="CVI206" s="3"/>
      <c r="CVJ206" s="3"/>
      <c r="CVK206" s="3"/>
      <c r="CVL206" s="3"/>
      <c r="CVM206" s="3"/>
      <c r="CVN206" s="3"/>
      <c r="CVO206" s="3"/>
      <c r="CVP206" s="3"/>
      <c r="CVQ206" s="3"/>
      <c r="CVR206" s="3"/>
      <c r="CVS206" s="3"/>
      <c r="CVT206" s="3"/>
      <c r="CVU206" s="3"/>
      <c r="CVV206" s="3"/>
      <c r="CVW206" s="3"/>
      <c r="CVX206" s="3"/>
      <c r="CVY206" s="3"/>
      <c r="CVZ206" s="3"/>
      <c r="CWA206" s="3"/>
      <c r="CWB206" s="3"/>
      <c r="CWC206" s="3"/>
      <c r="CWD206" s="3"/>
      <c r="CWE206" s="3"/>
      <c r="CWF206" s="3"/>
      <c r="CWG206" s="3"/>
      <c r="CWH206" s="3"/>
      <c r="CWI206" s="3"/>
      <c r="CWJ206" s="3"/>
      <c r="CWK206" s="3"/>
      <c r="CWL206" s="3"/>
      <c r="CWM206" s="3"/>
      <c r="CWN206" s="3"/>
      <c r="CWO206" s="3"/>
      <c r="CWP206" s="3"/>
      <c r="CWQ206" s="3"/>
      <c r="CWR206" s="3"/>
      <c r="CWS206" s="3"/>
      <c r="CWT206" s="3"/>
      <c r="CWU206" s="3"/>
      <c r="CWV206" s="3"/>
      <c r="CWW206" s="3"/>
      <c r="CWX206" s="3"/>
      <c r="CWY206" s="3"/>
      <c r="CWZ206" s="3"/>
      <c r="CXA206" s="3"/>
      <c r="CXB206" s="3"/>
      <c r="CXC206" s="3"/>
      <c r="CXD206" s="3"/>
      <c r="CXE206" s="3"/>
      <c r="CXF206" s="3"/>
      <c r="CXG206" s="3"/>
      <c r="CXH206" s="3"/>
      <c r="CXI206" s="3"/>
      <c r="CXJ206" s="3"/>
      <c r="CXK206" s="3"/>
      <c r="CXL206" s="3"/>
      <c r="CXM206" s="3"/>
      <c r="CXN206" s="3"/>
      <c r="CXO206" s="3"/>
      <c r="CXP206" s="3"/>
      <c r="CXQ206" s="3"/>
      <c r="CXR206" s="3"/>
      <c r="CXS206" s="3"/>
      <c r="CXT206" s="3"/>
      <c r="CXU206" s="3"/>
      <c r="CXV206" s="3"/>
      <c r="CXW206" s="3"/>
      <c r="CXX206" s="3"/>
      <c r="CXY206" s="3"/>
      <c r="CXZ206" s="3"/>
      <c r="CYA206" s="3"/>
      <c r="CYB206" s="3"/>
      <c r="CYC206" s="3"/>
      <c r="CYD206" s="3"/>
      <c r="CYE206" s="3"/>
      <c r="CYF206" s="3"/>
      <c r="CYG206" s="3"/>
      <c r="CYH206" s="3"/>
      <c r="CYI206" s="3"/>
      <c r="CYJ206" s="3"/>
      <c r="CYK206" s="3"/>
      <c r="CYL206" s="3"/>
      <c r="CYM206" s="3"/>
      <c r="CYN206" s="3"/>
      <c r="CYO206" s="3"/>
      <c r="CYP206" s="3"/>
      <c r="CYQ206" s="3"/>
      <c r="CYR206" s="3"/>
      <c r="CYS206" s="3"/>
      <c r="CYT206" s="3"/>
      <c r="CYU206" s="3"/>
      <c r="CYV206" s="3"/>
      <c r="CYW206" s="3"/>
      <c r="CYX206" s="3"/>
      <c r="CYY206" s="3"/>
      <c r="CYZ206" s="3"/>
      <c r="CZA206" s="3"/>
      <c r="CZB206" s="3"/>
      <c r="CZC206" s="3"/>
      <c r="CZD206" s="3"/>
      <c r="CZE206" s="3"/>
      <c r="CZF206" s="3"/>
      <c r="CZG206" s="3"/>
      <c r="CZH206" s="3"/>
      <c r="CZI206" s="3"/>
      <c r="CZJ206" s="3"/>
      <c r="CZK206" s="3"/>
      <c r="CZL206" s="3"/>
      <c r="CZM206" s="3"/>
      <c r="CZN206" s="3"/>
      <c r="CZO206" s="3"/>
      <c r="CZP206" s="3"/>
      <c r="CZQ206" s="3"/>
      <c r="CZR206" s="3"/>
      <c r="CZS206" s="3"/>
      <c r="CZT206" s="3"/>
      <c r="CZU206" s="3"/>
      <c r="CZV206" s="3"/>
      <c r="CZW206" s="3"/>
      <c r="CZX206" s="3"/>
      <c r="CZY206" s="3"/>
      <c r="CZZ206" s="3"/>
      <c r="DAA206" s="3"/>
      <c r="DAB206" s="3"/>
      <c r="DAC206" s="3"/>
      <c r="DAD206" s="3"/>
      <c r="DAE206" s="3"/>
      <c r="DAF206" s="3"/>
      <c r="DAG206" s="3"/>
      <c r="DAH206" s="3"/>
      <c r="DAI206" s="3"/>
      <c r="DAJ206" s="3"/>
      <c r="DAK206" s="3"/>
      <c r="DAL206" s="3"/>
      <c r="DAM206" s="3"/>
      <c r="DAN206" s="3"/>
      <c r="DAO206" s="3"/>
      <c r="DAP206" s="3"/>
      <c r="DAQ206" s="3"/>
      <c r="DAR206" s="3"/>
      <c r="DAS206" s="3"/>
      <c r="DAT206" s="3"/>
      <c r="DAU206" s="3"/>
      <c r="DAV206" s="3"/>
      <c r="DAW206" s="3"/>
      <c r="DAX206" s="3"/>
      <c r="DAY206" s="3"/>
      <c r="DAZ206" s="3"/>
      <c r="DBA206" s="3"/>
      <c r="DBB206" s="3"/>
      <c r="DBC206" s="3"/>
      <c r="DBD206" s="3"/>
      <c r="DBE206" s="3"/>
      <c r="DBF206" s="3"/>
      <c r="DBG206" s="3"/>
      <c r="DBH206" s="3"/>
      <c r="DBI206" s="3"/>
      <c r="DBJ206" s="3"/>
      <c r="DBK206" s="3"/>
      <c r="DBL206" s="3"/>
      <c r="DBM206" s="3"/>
      <c r="DBN206" s="3"/>
      <c r="DBO206" s="3"/>
      <c r="DBP206" s="3"/>
      <c r="DBQ206" s="3"/>
      <c r="DBR206" s="3"/>
      <c r="DBS206" s="3"/>
      <c r="DBT206" s="3"/>
      <c r="DBU206" s="3"/>
      <c r="DBV206" s="3"/>
      <c r="DBW206" s="3"/>
      <c r="DBX206" s="3"/>
      <c r="DBY206" s="3"/>
      <c r="DBZ206" s="3"/>
      <c r="DCA206" s="3"/>
      <c r="DCB206" s="3"/>
      <c r="DCC206" s="3"/>
      <c r="DCD206" s="3"/>
      <c r="DCE206" s="3"/>
      <c r="DCF206" s="3"/>
      <c r="DCG206" s="3"/>
      <c r="DCH206" s="3"/>
      <c r="DCI206" s="3"/>
      <c r="DCJ206" s="3"/>
      <c r="DCK206" s="3"/>
      <c r="DCL206" s="3"/>
      <c r="DCM206" s="3"/>
      <c r="DCN206" s="3"/>
      <c r="DCO206" s="3"/>
      <c r="DCP206" s="3"/>
      <c r="DCQ206" s="3"/>
      <c r="DCR206" s="3"/>
      <c r="DCS206" s="3"/>
      <c r="DCT206" s="3"/>
      <c r="DCU206" s="3"/>
      <c r="DCV206" s="3"/>
      <c r="DCW206" s="3"/>
      <c r="DCX206" s="3"/>
      <c r="DCY206" s="3"/>
      <c r="DCZ206" s="3"/>
      <c r="DDA206" s="3"/>
      <c r="DDB206" s="3"/>
      <c r="DDC206" s="3"/>
      <c r="DDD206" s="3"/>
      <c r="DDE206" s="3"/>
      <c r="DDF206" s="3"/>
      <c r="DDG206" s="3"/>
      <c r="DDH206" s="3"/>
      <c r="DDI206" s="3"/>
      <c r="DDJ206" s="3"/>
      <c r="DDK206" s="3"/>
      <c r="DDL206" s="3"/>
      <c r="DDM206" s="3"/>
      <c r="DDN206" s="3"/>
      <c r="DDO206" s="3"/>
      <c r="DDP206" s="3"/>
      <c r="DDQ206" s="3"/>
      <c r="DDR206" s="3"/>
      <c r="DDS206" s="3"/>
      <c r="DDT206" s="3"/>
      <c r="DDU206" s="3"/>
      <c r="DDV206" s="3"/>
      <c r="DDW206" s="3"/>
      <c r="DDX206" s="3"/>
      <c r="DDY206" s="3"/>
      <c r="DDZ206" s="3"/>
      <c r="DEA206" s="3"/>
      <c r="DEB206" s="3"/>
      <c r="DEC206" s="3"/>
      <c r="DED206" s="3"/>
      <c r="DEE206" s="3"/>
      <c r="DEF206" s="3"/>
      <c r="DEG206" s="3"/>
      <c r="DEH206" s="3"/>
      <c r="DEI206" s="3"/>
      <c r="DEJ206" s="3"/>
      <c r="DEK206" s="3"/>
      <c r="DEL206" s="3"/>
      <c r="DEM206" s="3"/>
      <c r="DEN206" s="3"/>
      <c r="DEO206" s="3"/>
      <c r="DEP206" s="3"/>
      <c r="DEQ206" s="3"/>
      <c r="DER206" s="3"/>
      <c r="DES206" s="3"/>
      <c r="DET206" s="3"/>
      <c r="DEU206" s="3"/>
      <c r="DEV206" s="3"/>
      <c r="DEW206" s="3"/>
      <c r="DEX206" s="3"/>
      <c r="DEY206" s="3"/>
      <c r="DEZ206" s="3"/>
      <c r="DFA206" s="3"/>
      <c r="DFB206" s="3"/>
      <c r="DFC206" s="3"/>
      <c r="DFD206" s="3"/>
      <c r="DFE206" s="3"/>
      <c r="DFF206" s="3"/>
      <c r="DFG206" s="3"/>
      <c r="DFH206" s="3"/>
      <c r="DFI206" s="3"/>
      <c r="DFJ206" s="3"/>
      <c r="DFK206" s="3"/>
      <c r="DFL206" s="3"/>
      <c r="DFM206" s="3"/>
      <c r="DFN206" s="3"/>
      <c r="DFO206" s="3"/>
      <c r="DFP206" s="3"/>
      <c r="DFQ206" s="3"/>
      <c r="DFR206" s="3"/>
      <c r="DFS206" s="3"/>
      <c r="DFT206" s="3"/>
      <c r="DFU206" s="3"/>
      <c r="DFV206" s="3"/>
      <c r="DFW206" s="3"/>
      <c r="DFX206" s="3"/>
      <c r="DFY206" s="3"/>
      <c r="DFZ206" s="3"/>
      <c r="DGA206" s="3"/>
      <c r="DGB206" s="3"/>
      <c r="DGC206" s="3"/>
      <c r="DGD206" s="3"/>
      <c r="DGE206" s="3"/>
      <c r="DGF206" s="3"/>
      <c r="DGG206" s="3"/>
      <c r="DGH206" s="3"/>
      <c r="DGI206" s="3"/>
      <c r="DGJ206" s="3"/>
      <c r="DGK206" s="3"/>
      <c r="DGL206" s="3"/>
      <c r="DGM206" s="3"/>
      <c r="DGN206" s="3"/>
      <c r="DGO206" s="3"/>
      <c r="DGP206" s="3"/>
      <c r="DGQ206" s="3"/>
      <c r="DGR206" s="3"/>
      <c r="DGS206" s="3"/>
      <c r="DGT206" s="3"/>
      <c r="DGU206" s="3"/>
      <c r="DGV206" s="3"/>
      <c r="DGW206" s="3"/>
      <c r="DGX206" s="3"/>
      <c r="DGY206" s="3"/>
      <c r="DGZ206" s="3"/>
      <c r="DHA206" s="3"/>
      <c r="DHB206" s="3"/>
      <c r="DHC206" s="3"/>
      <c r="DHD206" s="3"/>
      <c r="DHE206" s="3"/>
      <c r="DHF206" s="3"/>
      <c r="DHG206" s="3"/>
      <c r="DHH206" s="3"/>
      <c r="DHI206" s="3"/>
      <c r="DHJ206" s="3"/>
      <c r="DHK206" s="3"/>
      <c r="DHL206" s="3"/>
      <c r="DHM206" s="3"/>
      <c r="DHN206" s="3"/>
      <c r="DHO206" s="3"/>
      <c r="DHP206" s="3"/>
      <c r="DHQ206" s="3"/>
      <c r="DHR206" s="3"/>
      <c r="DHS206" s="3"/>
      <c r="DHT206" s="3"/>
      <c r="DHU206" s="3"/>
      <c r="DHV206" s="3"/>
      <c r="DHW206" s="3"/>
      <c r="DHX206" s="3"/>
      <c r="DHY206" s="3"/>
      <c r="DHZ206" s="3"/>
      <c r="DIA206" s="3"/>
      <c r="DIB206" s="3"/>
      <c r="DIC206" s="3"/>
      <c r="DID206" s="3"/>
      <c r="DIE206" s="3"/>
      <c r="DIF206" s="3"/>
      <c r="DIG206" s="3"/>
      <c r="DIH206" s="3"/>
      <c r="DII206" s="3"/>
      <c r="DIJ206" s="3"/>
      <c r="DIK206" s="3"/>
      <c r="DIL206" s="3"/>
      <c r="DIM206" s="3"/>
      <c r="DIN206" s="3"/>
      <c r="DIO206" s="3"/>
      <c r="DIP206" s="3"/>
      <c r="DIQ206" s="3"/>
      <c r="DIR206" s="3"/>
      <c r="DIS206" s="3"/>
      <c r="DIT206" s="3"/>
      <c r="DIU206" s="3"/>
      <c r="DIV206" s="3"/>
      <c r="DIW206" s="3"/>
      <c r="DIX206" s="3"/>
      <c r="DIY206" s="3"/>
      <c r="DIZ206" s="3"/>
      <c r="DJA206" s="3"/>
      <c r="DJB206" s="3"/>
      <c r="DJC206" s="3"/>
      <c r="DJD206" s="3"/>
      <c r="DJE206" s="3"/>
      <c r="DJF206" s="3"/>
      <c r="DJG206" s="3"/>
      <c r="DJH206" s="3"/>
      <c r="DJI206" s="3"/>
      <c r="DJJ206" s="3"/>
      <c r="DJK206" s="3"/>
      <c r="DJL206" s="3"/>
      <c r="DJM206" s="3"/>
      <c r="DJN206" s="3"/>
      <c r="DJO206" s="3"/>
      <c r="DJP206" s="3"/>
      <c r="DJQ206" s="3"/>
      <c r="DJR206" s="3"/>
      <c r="DJS206" s="3"/>
      <c r="DJT206" s="3"/>
      <c r="DJU206" s="3"/>
      <c r="DJV206" s="3"/>
      <c r="DJW206" s="3"/>
      <c r="DJX206" s="3"/>
      <c r="DJY206" s="3"/>
      <c r="DJZ206" s="3"/>
      <c r="DKA206" s="3"/>
      <c r="DKB206" s="3"/>
      <c r="DKC206" s="3"/>
      <c r="DKD206" s="3"/>
      <c r="DKE206" s="3"/>
      <c r="DKF206" s="3"/>
      <c r="DKG206" s="3"/>
      <c r="DKH206" s="3"/>
      <c r="DKI206" s="3"/>
      <c r="DKJ206" s="3"/>
      <c r="DKK206" s="3"/>
      <c r="DKL206" s="3"/>
      <c r="DKM206" s="3"/>
      <c r="DKN206" s="3"/>
      <c r="DKO206" s="3"/>
      <c r="DKP206" s="3"/>
      <c r="DKQ206" s="3"/>
      <c r="DKR206" s="3"/>
      <c r="DKS206" s="3"/>
      <c r="DKT206" s="3"/>
      <c r="DKU206" s="3"/>
      <c r="DKV206" s="3"/>
      <c r="DKW206" s="3"/>
      <c r="DKX206" s="3"/>
      <c r="DKY206" s="3"/>
      <c r="DKZ206" s="3"/>
      <c r="DLA206" s="3"/>
      <c r="DLB206" s="3"/>
      <c r="DLC206" s="3"/>
      <c r="DLD206" s="3"/>
      <c r="DLE206" s="3"/>
      <c r="DLF206" s="3"/>
      <c r="DLG206" s="3"/>
      <c r="DLH206" s="3"/>
      <c r="DLI206" s="3"/>
      <c r="DLJ206" s="3"/>
      <c r="DLK206" s="3"/>
      <c r="DLL206" s="3"/>
      <c r="DLM206" s="3"/>
      <c r="DLN206" s="3"/>
      <c r="DLO206" s="3"/>
      <c r="DLP206" s="3"/>
      <c r="DLQ206" s="3"/>
      <c r="DLR206" s="3"/>
      <c r="DLS206" s="3"/>
      <c r="DLT206" s="3"/>
      <c r="DLU206" s="3"/>
      <c r="DLV206" s="3"/>
      <c r="DLW206" s="3"/>
      <c r="DLX206" s="3"/>
      <c r="DLY206" s="3"/>
      <c r="DLZ206" s="3"/>
      <c r="DMA206" s="3"/>
      <c r="DMB206" s="3"/>
      <c r="DMC206" s="3"/>
      <c r="DMD206" s="3"/>
      <c r="DME206" s="3"/>
      <c r="DMF206" s="3"/>
      <c r="DMG206" s="3"/>
      <c r="DMH206" s="3"/>
      <c r="DMI206" s="3"/>
      <c r="DMJ206" s="3"/>
      <c r="DMK206" s="3"/>
      <c r="DML206" s="3"/>
      <c r="DMM206" s="3"/>
      <c r="DMN206" s="3"/>
      <c r="DMO206" s="3"/>
      <c r="DMP206" s="3"/>
      <c r="DMQ206" s="3"/>
      <c r="DMR206" s="3"/>
      <c r="DMS206" s="3"/>
      <c r="DMT206" s="3"/>
      <c r="DMU206" s="3"/>
      <c r="DMV206" s="3"/>
      <c r="DMW206" s="3"/>
      <c r="DMX206" s="3"/>
      <c r="DMY206" s="3"/>
      <c r="DMZ206" s="3"/>
      <c r="DNA206" s="3"/>
      <c r="DNB206" s="3"/>
      <c r="DNC206" s="3"/>
      <c r="DND206" s="3"/>
      <c r="DNE206" s="3"/>
      <c r="DNF206" s="3"/>
      <c r="DNG206" s="3"/>
      <c r="DNH206" s="3"/>
      <c r="DNI206" s="3"/>
      <c r="DNJ206" s="3"/>
      <c r="DNK206" s="3"/>
      <c r="DNL206" s="3"/>
      <c r="DNM206" s="3"/>
      <c r="DNN206" s="3"/>
      <c r="DNO206" s="3"/>
      <c r="DNP206" s="3"/>
      <c r="DNQ206" s="3"/>
      <c r="DNR206" s="3"/>
      <c r="DNS206" s="3"/>
      <c r="DNT206" s="3"/>
      <c r="DNU206" s="3"/>
      <c r="DNV206" s="3"/>
      <c r="DNW206" s="3"/>
      <c r="DNX206" s="3"/>
      <c r="DNY206" s="3"/>
      <c r="DNZ206" s="3"/>
      <c r="DOA206" s="3"/>
      <c r="DOB206" s="3"/>
      <c r="DOC206" s="3"/>
      <c r="DOD206" s="3"/>
      <c r="DOE206" s="3"/>
      <c r="DOF206" s="3"/>
      <c r="DOG206" s="3"/>
      <c r="DOH206" s="3"/>
      <c r="DOI206" s="3"/>
      <c r="DOJ206" s="3"/>
      <c r="DOK206" s="3"/>
      <c r="DOL206" s="3"/>
      <c r="DOM206" s="3"/>
      <c r="DON206" s="3"/>
      <c r="DOO206" s="3"/>
      <c r="DOP206" s="3"/>
      <c r="DOQ206" s="3"/>
      <c r="DOR206" s="3"/>
      <c r="DOS206" s="3"/>
      <c r="DOT206" s="3"/>
      <c r="DOU206" s="3"/>
      <c r="DOV206" s="3"/>
      <c r="DOW206" s="3"/>
      <c r="DOX206" s="3"/>
      <c r="DOY206" s="3"/>
      <c r="DOZ206" s="3"/>
      <c r="DPA206" s="3"/>
      <c r="DPB206" s="3"/>
      <c r="DPC206" s="3"/>
      <c r="DPD206" s="3"/>
      <c r="DPE206" s="3"/>
      <c r="DPF206" s="3"/>
      <c r="DPG206" s="3"/>
      <c r="DPH206" s="3"/>
      <c r="DPI206" s="3"/>
      <c r="DPJ206" s="3"/>
      <c r="DPK206" s="3"/>
      <c r="DPL206" s="3"/>
      <c r="DPM206" s="3"/>
      <c r="DPN206" s="3"/>
      <c r="DPO206" s="3"/>
      <c r="DPP206" s="3"/>
      <c r="DPQ206" s="3"/>
      <c r="DPR206" s="3"/>
      <c r="DPS206" s="3"/>
      <c r="DPT206" s="3"/>
      <c r="DPU206" s="3"/>
      <c r="DPV206" s="3"/>
      <c r="DPW206" s="3"/>
      <c r="DPX206" s="3"/>
      <c r="DPY206" s="3"/>
      <c r="DPZ206" s="3"/>
      <c r="DQA206" s="3"/>
      <c r="DQB206" s="3"/>
      <c r="DQC206" s="3"/>
      <c r="DQD206" s="3"/>
      <c r="DQE206" s="3"/>
      <c r="DQF206" s="3"/>
      <c r="DQG206" s="3"/>
      <c r="DQH206" s="3"/>
      <c r="DQI206" s="3"/>
      <c r="DQJ206" s="3"/>
      <c r="DQK206" s="3"/>
      <c r="DQL206" s="3"/>
      <c r="DQM206" s="3"/>
      <c r="DQN206" s="3"/>
      <c r="DQO206" s="3"/>
      <c r="DQP206" s="3"/>
      <c r="DQQ206" s="3"/>
      <c r="DQR206" s="3"/>
      <c r="DQS206" s="3"/>
      <c r="DQT206" s="3"/>
      <c r="DQU206" s="3"/>
      <c r="DQV206" s="3"/>
      <c r="DQW206" s="3"/>
      <c r="DQX206" s="3"/>
      <c r="DQY206" s="3"/>
      <c r="DQZ206" s="3"/>
      <c r="DRA206" s="3"/>
      <c r="DRB206" s="3"/>
      <c r="DRC206" s="3"/>
      <c r="DRD206" s="3"/>
      <c r="DRE206" s="3"/>
      <c r="DRF206" s="3"/>
      <c r="DRG206" s="3"/>
      <c r="DRH206" s="3"/>
      <c r="DRI206" s="3"/>
      <c r="DRJ206" s="3"/>
      <c r="DRK206" s="3"/>
      <c r="DRL206" s="3"/>
      <c r="DRM206" s="3"/>
      <c r="DRN206" s="3"/>
      <c r="DRO206" s="3"/>
      <c r="DRP206" s="3"/>
      <c r="DRQ206" s="3"/>
      <c r="DRR206" s="3"/>
      <c r="DRS206" s="3"/>
      <c r="DRT206" s="3"/>
      <c r="DRU206" s="3"/>
      <c r="DRV206" s="3"/>
      <c r="DRW206" s="3"/>
      <c r="DRX206" s="3"/>
      <c r="DRY206" s="3"/>
      <c r="DRZ206" s="3"/>
      <c r="DSA206" s="3"/>
      <c r="DSB206" s="3"/>
      <c r="DSC206" s="3"/>
      <c r="DSD206" s="3"/>
      <c r="DSE206" s="3"/>
      <c r="DSF206" s="3"/>
      <c r="DSG206" s="3"/>
      <c r="DSH206" s="3"/>
      <c r="DSI206" s="3"/>
      <c r="DSJ206" s="3"/>
      <c r="DSK206" s="3"/>
      <c r="DSL206" s="3"/>
      <c r="DSM206" s="3"/>
      <c r="DSN206" s="3"/>
      <c r="DSO206" s="3"/>
      <c r="DSP206" s="3"/>
      <c r="DSQ206" s="3"/>
      <c r="DSR206" s="3"/>
      <c r="DSS206" s="3"/>
      <c r="DST206" s="3"/>
      <c r="DSU206" s="3"/>
      <c r="DSV206" s="3"/>
      <c r="DSW206" s="3"/>
      <c r="DSX206" s="3"/>
      <c r="DSY206" s="3"/>
      <c r="DSZ206" s="3"/>
      <c r="DTA206" s="3"/>
      <c r="DTB206" s="3"/>
      <c r="DTC206" s="3"/>
      <c r="DTD206" s="3"/>
      <c r="DTE206" s="3"/>
      <c r="DTF206" s="3"/>
      <c r="DTG206" s="3"/>
      <c r="DTH206" s="3"/>
      <c r="DTI206" s="3"/>
      <c r="DTJ206" s="3"/>
      <c r="DTK206" s="3"/>
      <c r="DTL206" s="3"/>
      <c r="DTM206" s="3"/>
      <c r="DTN206" s="3"/>
      <c r="DTO206" s="3"/>
      <c r="DTP206" s="3"/>
      <c r="DTQ206" s="3"/>
      <c r="DTR206" s="3"/>
      <c r="DTS206" s="3"/>
      <c r="DTT206" s="3"/>
      <c r="DTU206" s="3"/>
      <c r="DTV206" s="3"/>
      <c r="DTW206" s="3"/>
      <c r="DTX206" s="3"/>
      <c r="DTY206" s="3"/>
      <c r="DTZ206" s="3"/>
      <c r="DUA206" s="3"/>
      <c r="DUB206" s="3"/>
      <c r="DUC206" s="3"/>
      <c r="DUD206" s="3"/>
      <c r="DUE206" s="3"/>
      <c r="DUF206" s="3"/>
      <c r="DUG206" s="3"/>
      <c r="DUH206" s="3"/>
      <c r="DUI206" s="3"/>
      <c r="DUJ206" s="3"/>
      <c r="DUK206" s="3"/>
      <c r="DUL206" s="3"/>
      <c r="DUM206" s="3"/>
      <c r="DUN206" s="3"/>
      <c r="DUO206" s="3"/>
      <c r="DUP206" s="3"/>
      <c r="DUQ206" s="3"/>
      <c r="DUR206" s="3"/>
      <c r="DUS206" s="3"/>
      <c r="DUT206" s="3"/>
      <c r="DUU206" s="3"/>
      <c r="DUV206" s="3"/>
      <c r="DUW206" s="3"/>
      <c r="DUX206" s="3"/>
      <c r="DUY206" s="3"/>
      <c r="DUZ206" s="3"/>
      <c r="DVA206" s="3"/>
      <c r="DVB206" s="3"/>
      <c r="DVC206" s="3"/>
      <c r="DVD206" s="3"/>
      <c r="DVE206" s="3"/>
      <c r="DVF206" s="3"/>
      <c r="DVG206" s="3"/>
      <c r="DVH206" s="3"/>
      <c r="DVI206" s="3"/>
      <c r="DVJ206" s="3"/>
      <c r="DVK206" s="3"/>
      <c r="DVL206" s="3"/>
      <c r="DVM206" s="3"/>
      <c r="DVN206" s="3"/>
      <c r="DVO206" s="3"/>
      <c r="DVP206" s="3"/>
      <c r="DVQ206" s="3"/>
      <c r="DVR206" s="3"/>
      <c r="DVS206" s="3"/>
      <c r="DVT206" s="3"/>
      <c r="DVU206" s="3"/>
      <c r="DVV206" s="3"/>
      <c r="DVW206" s="3"/>
      <c r="DVX206" s="3"/>
      <c r="DVY206" s="3"/>
      <c r="DVZ206" s="3"/>
      <c r="DWA206" s="3"/>
      <c r="DWB206" s="3"/>
      <c r="DWC206" s="3"/>
      <c r="DWD206" s="3"/>
      <c r="DWE206" s="3"/>
      <c r="DWF206" s="3"/>
      <c r="DWG206" s="3"/>
      <c r="DWH206" s="3"/>
      <c r="DWI206" s="3"/>
      <c r="DWJ206" s="3"/>
      <c r="DWK206" s="3"/>
      <c r="DWL206" s="3"/>
      <c r="DWM206" s="3"/>
      <c r="DWN206" s="3"/>
      <c r="DWO206" s="3"/>
      <c r="DWP206" s="3"/>
      <c r="DWQ206" s="3"/>
      <c r="DWR206" s="3"/>
      <c r="DWS206" s="3"/>
      <c r="DWT206" s="3"/>
      <c r="DWU206" s="3"/>
      <c r="DWV206" s="3"/>
      <c r="DWW206" s="3"/>
      <c r="DWX206" s="3"/>
      <c r="DWY206" s="3"/>
      <c r="DWZ206" s="3"/>
      <c r="DXA206" s="3"/>
      <c r="DXB206" s="3"/>
      <c r="DXC206" s="3"/>
      <c r="DXD206" s="3"/>
      <c r="DXE206" s="3"/>
      <c r="DXF206" s="3"/>
      <c r="DXG206" s="3"/>
      <c r="DXH206" s="3"/>
      <c r="DXI206" s="3"/>
      <c r="DXJ206" s="3"/>
      <c r="DXK206" s="3"/>
      <c r="DXL206" s="3"/>
      <c r="DXM206" s="3"/>
      <c r="DXN206" s="3"/>
      <c r="DXO206" s="3"/>
      <c r="DXP206" s="3"/>
      <c r="DXQ206" s="3"/>
      <c r="DXR206" s="3"/>
      <c r="DXS206" s="3"/>
      <c r="DXT206" s="3"/>
      <c r="DXU206" s="3"/>
      <c r="DXV206" s="3"/>
      <c r="DXW206" s="3"/>
      <c r="DXX206" s="3"/>
      <c r="DXY206" s="3"/>
      <c r="DXZ206" s="3"/>
      <c r="DYA206" s="3"/>
      <c r="DYB206" s="3"/>
      <c r="DYC206" s="3"/>
      <c r="DYD206" s="3"/>
      <c r="DYE206" s="3"/>
      <c r="DYF206" s="3"/>
      <c r="DYG206" s="3"/>
      <c r="DYH206" s="3"/>
      <c r="DYI206" s="3"/>
      <c r="DYJ206" s="3"/>
      <c r="DYK206" s="3"/>
      <c r="DYL206" s="3"/>
      <c r="DYM206" s="3"/>
      <c r="DYN206" s="3"/>
      <c r="DYO206" s="3"/>
      <c r="DYP206" s="3"/>
      <c r="DYQ206" s="3"/>
      <c r="DYR206" s="3"/>
      <c r="DYS206" s="3"/>
      <c r="DYT206" s="3"/>
      <c r="DYU206" s="3"/>
      <c r="DYV206" s="3"/>
      <c r="DYW206" s="3"/>
      <c r="DYX206" s="3"/>
      <c r="DYY206" s="3"/>
      <c r="DYZ206" s="3"/>
      <c r="DZA206" s="3"/>
      <c r="DZB206" s="3"/>
      <c r="DZC206" s="3"/>
      <c r="DZD206" s="3"/>
      <c r="DZE206" s="3"/>
      <c r="DZF206" s="3"/>
      <c r="DZG206" s="3"/>
      <c r="DZH206" s="3"/>
      <c r="DZI206" s="3"/>
      <c r="DZJ206" s="3"/>
      <c r="DZK206" s="3"/>
      <c r="DZL206" s="3"/>
      <c r="DZM206" s="3"/>
      <c r="DZN206" s="3"/>
      <c r="DZO206" s="3"/>
      <c r="DZP206" s="3"/>
      <c r="DZQ206" s="3"/>
      <c r="DZR206" s="3"/>
      <c r="DZS206" s="3"/>
      <c r="DZT206" s="3"/>
      <c r="DZU206" s="3"/>
      <c r="DZV206" s="3"/>
      <c r="DZW206" s="3"/>
      <c r="DZX206" s="3"/>
      <c r="DZY206" s="3"/>
      <c r="DZZ206" s="3"/>
      <c r="EAA206" s="3"/>
      <c r="EAB206" s="3"/>
      <c r="EAC206" s="3"/>
      <c r="EAD206" s="3"/>
      <c r="EAE206" s="3"/>
      <c r="EAF206" s="3"/>
      <c r="EAG206" s="3"/>
      <c r="EAH206" s="3"/>
      <c r="EAI206" s="3"/>
      <c r="EAJ206" s="3"/>
      <c r="EAK206" s="3"/>
      <c r="EAL206" s="3"/>
      <c r="EAM206" s="3"/>
      <c r="EAN206" s="3"/>
      <c r="EAO206" s="3"/>
      <c r="EAP206" s="3"/>
      <c r="EAQ206" s="3"/>
      <c r="EAR206" s="3"/>
      <c r="EAS206" s="3"/>
      <c r="EAT206" s="3"/>
      <c r="EAU206" s="3"/>
      <c r="EAV206" s="3"/>
      <c r="EAW206" s="3"/>
      <c r="EAX206" s="3"/>
      <c r="EAY206" s="3"/>
      <c r="EAZ206" s="3"/>
      <c r="EBA206" s="3"/>
      <c r="EBB206" s="3"/>
      <c r="EBC206" s="3"/>
      <c r="EBD206" s="3"/>
      <c r="EBE206" s="3"/>
      <c r="EBF206" s="3"/>
      <c r="EBG206" s="3"/>
      <c r="EBH206" s="3"/>
      <c r="EBI206" s="3"/>
      <c r="EBJ206" s="3"/>
      <c r="EBK206" s="3"/>
      <c r="EBL206" s="3"/>
      <c r="EBM206" s="3"/>
      <c r="EBN206" s="3"/>
      <c r="EBO206" s="3"/>
      <c r="EBP206" s="3"/>
      <c r="EBQ206" s="3"/>
      <c r="EBR206" s="3"/>
      <c r="EBS206" s="3"/>
      <c r="EBT206" s="3"/>
      <c r="EBU206" s="3"/>
      <c r="EBV206" s="3"/>
      <c r="EBW206" s="3"/>
      <c r="EBX206" s="3"/>
      <c r="EBY206" s="3"/>
      <c r="EBZ206" s="3"/>
      <c r="ECA206" s="3"/>
      <c r="ECB206" s="3"/>
      <c r="ECC206" s="3"/>
      <c r="ECD206" s="3"/>
      <c r="ECE206" s="3"/>
      <c r="ECF206" s="3"/>
      <c r="ECG206" s="3"/>
      <c r="ECH206" s="3"/>
      <c r="ECI206" s="3"/>
      <c r="ECJ206" s="3"/>
      <c r="ECK206" s="3"/>
      <c r="ECL206" s="3"/>
      <c r="ECM206" s="3"/>
      <c r="ECN206" s="3"/>
      <c r="ECO206" s="3"/>
      <c r="ECP206" s="3"/>
      <c r="ECQ206" s="3"/>
      <c r="ECR206" s="3"/>
      <c r="ECS206" s="3"/>
      <c r="ECT206" s="3"/>
      <c r="ECU206" s="3"/>
      <c r="ECV206" s="3"/>
      <c r="ECW206" s="3"/>
      <c r="ECX206" s="3"/>
      <c r="ECY206" s="3"/>
      <c r="ECZ206" s="3"/>
      <c r="EDA206" s="3"/>
      <c r="EDB206" s="3"/>
      <c r="EDC206" s="3"/>
      <c r="EDD206" s="3"/>
      <c r="EDE206" s="3"/>
      <c r="EDF206" s="3"/>
      <c r="EDG206" s="3"/>
      <c r="EDH206" s="3"/>
      <c r="EDI206" s="3"/>
      <c r="EDJ206" s="3"/>
      <c r="EDK206" s="3"/>
      <c r="EDL206" s="3"/>
      <c r="EDM206" s="3"/>
      <c r="EDN206" s="3"/>
      <c r="EDO206" s="3"/>
      <c r="EDP206" s="3"/>
      <c r="EDQ206" s="3"/>
      <c r="EDR206" s="3"/>
      <c r="EDS206" s="3"/>
      <c r="EDT206" s="3"/>
      <c r="EDU206" s="3"/>
      <c r="EDV206" s="3"/>
      <c r="EDW206" s="3"/>
      <c r="EDX206" s="3"/>
      <c r="EDY206" s="3"/>
      <c r="EDZ206" s="3"/>
      <c r="EEA206" s="3"/>
      <c r="EEB206" s="3"/>
      <c r="EEC206" s="3"/>
      <c r="EED206" s="3"/>
      <c r="EEE206" s="3"/>
      <c r="EEF206" s="3"/>
      <c r="EEG206" s="3"/>
      <c r="EEH206" s="3"/>
      <c r="EEI206" s="3"/>
      <c r="EEJ206" s="3"/>
      <c r="EEK206" s="3"/>
      <c r="EEL206" s="3"/>
      <c r="EEM206" s="3"/>
      <c r="EEN206" s="3"/>
      <c r="EEO206" s="3"/>
      <c r="EEP206" s="3"/>
      <c r="EEQ206" s="3"/>
      <c r="EER206" s="3"/>
      <c r="EES206" s="3"/>
      <c r="EET206" s="3"/>
      <c r="EEU206" s="3"/>
      <c r="EEV206" s="3"/>
      <c r="EEW206" s="3"/>
      <c r="EEX206" s="3"/>
      <c r="EEY206" s="3"/>
      <c r="EEZ206" s="3"/>
      <c r="EFA206" s="3"/>
      <c r="EFB206" s="3"/>
      <c r="EFC206" s="3"/>
      <c r="EFD206" s="3"/>
      <c r="EFE206" s="3"/>
      <c r="EFF206" s="3"/>
      <c r="EFG206" s="3"/>
      <c r="EFH206" s="3"/>
      <c r="EFI206" s="3"/>
      <c r="EFJ206" s="3"/>
      <c r="EFK206" s="3"/>
      <c r="EFL206" s="3"/>
      <c r="EFM206" s="3"/>
      <c r="EFN206" s="3"/>
      <c r="EFO206" s="3"/>
      <c r="EFP206" s="3"/>
      <c r="EFQ206" s="3"/>
      <c r="EFR206" s="3"/>
      <c r="EFS206" s="3"/>
      <c r="EFT206" s="3"/>
      <c r="EFU206" s="3"/>
      <c r="EFV206" s="3"/>
      <c r="EFW206" s="3"/>
      <c r="EFX206" s="3"/>
      <c r="EFY206" s="3"/>
      <c r="EFZ206" s="3"/>
      <c r="EGA206" s="3"/>
      <c r="EGB206" s="3"/>
      <c r="EGC206" s="3"/>
      <c r="EGD206" s="3"/>
      <c r="EGE206" s="3"/>
      <c r="EGF206" s="3"/>
      <c r="EGG206" s="3"/>
      <c r="EGH206" s="3"/>
      <c r="EGI206" s="3"/>
      <c r="EGJ206" s="3"/>
      <c r="EGK206" s="3"/>
      <c r="EGL206" s="3"/>
      <c r="EGM206" s="3"/>
      <c r="EGN206" s="3"/>
      <c r="EGO206" s="3"/>
      <c r="EGP206" s="3"/>
      <c r="EGQ206" s="3"/>
      <c r="EGR206" s="3"/>
      <c r="EGS206" s="3"/>
      <c r="EGT206" s="3"/>
      <c r="EGU206" s="3"/>
      <c r="EGV206" s="3"/>
      <c r="EGW206" s="3"/>
      <c r="EGX206" s="3"/>
      <c r="EGY206" s="3"/>
      <c r="EGZ206" s="3"/>
      <c r="EHA206" s="3"/>
      <c r="EHB206" s="3"/>
      <c r="EHC206" s="3"/>
      <c r="EHD206" s="3"/>
      <c r="EHE206" s="3"/>
      <c r="EHF206" s="3"/>
      <c r="EHG206" s="3"/>
      <c r="EHH206" s="3"/>
      <c r="EHI206" s="3"/>
      <c r="EHJ206" s="3"/>
      <c r="EHK206" s="3"/>
      <c r="EHL206" s="3"/>
      <c r="EHM206" s="3"/>
      <c r="EHN206" s="3"/>
      <c r="EHO206" s="3"/>
      <c r="EHP206" s="3"/>
      <c r="EHQ206" s="3"/>
      <c r="EHR206" s="3"/>
      <c r="EHS206" s="3"/>
      <c r="EHT206" s="3"/>
      <c r="EHU206" s="3"/>
      <c r="EHV206" s="3"/>
      <c r="EHW206" s="3"/>
      <c r="EHX206" s="3"/>
      <c r="EHY206" s="3"/>
      <c r="EHZ206" s="3"/>
      <c r="EIA206" s="3"/>
      <c r="EIB206" s="3"/>
      <c r="EIC206" s="3"/>
      <c r="EID206" s="3"/>
      <c r="EIE206" s="3"/>
      <c r="EIF206" s="3"/>
      <c r="EIG206" s="3"/>
      <c r="EIH206" s="3"/>
      <c r="EII206" s="3"/>
      <c r="EIJ206" s="3"/>
      <c r="EIK206" s="3"/>
      <c r="EIL206" s="3"/>
      <c r="EIM206" s="3"/>
      <c r="EIN206" s="3"/>
      <c r="EIO206" s="3"/>
      <c r="EIP206" s="3"/>
      <c r="EIQ206" s="3"/>
      <c r="EIR206" s="3"/>
      <c r="EIS206" s="3"/>
      <c r="EIT206" s="3"/>
      <c r="EIU206" s="3"/>
      <c r="EIV206" s="3"/>
      <c r="EIW206" s="3"/>
      <c r="EIX206" s="3"/>
      <c r="EIY206" s="3"/>
      <c r="EIZ206" s="3"/>
      <c r="EJA206" s="3"/>
      <c r="EJB206" s="3"/>
      <c r="EJC206" s="3"/>
      <c r="EJD206" s="3"/>
      <c r="EJE206" s="3"/>
      <c r="EJF206" s="3"/>
      <c r="EJG206" s="3"/>
      <c r="EJH206" s="3"/>
      <c r="EJI206" s="3"/>
      <c r="EJJ206" s="3"/>
      <c r="EJK206" s="3"/>
      <c r="EJL206" s="3"/>
      <c r="EJM206" s="3"/>
      <c r="EJN206" s="3"/>
      <c r="EJO206" s="3"/>
      <c r="EJP206" s="3"/>
      <c r="EJQ206" s="3"/>
      <c r="EJR206" s="3"/>
      <c r="EJS206" s="3"/>
      <c r="EJT206" s="3"/>
      <c r="EJU206" s="3"/>
      <c r="EJV206" s="3"/>
      <c r="EJW206" s="3"/>
      <c r="EJX206" s="3"/>
      <c r="EJY206" s="3"/>
      <c r="EJZ206" s="3"/>
      <c r="EKA206" s="3"/>
      <c r="EKB206" s="3"/>
      <c r="EKC206" s="3"/>
      <c r="EKD206" s="3"/>
      <c r="EKE206" s="3"/>
      <c r="EKF206" s="3"/>
      <c r="EKG206" s="3"/>
      <c r="EKH206" s="3"/>
      <c r="EKI206" s="3"/>
      <c r="EKJ206" s="3"/>
      <c r="EKK206" s="3"/>
      <c r="EKL206" s="3"/>
      <c r="EKM206" s="3"/>
      <c r="EKN206" s="3"/>
      <c r="EKO206" s="3"/>
      <c r="EKP206" s="3"/>
      <c r="EKQ206" s="3"/>
      <c r="EKR206" s="3"/>
      <c r="EKS206" s="3"/>
      <c r="EKT206" s="3"/>
      <c r="EKU206" s="3"/>
      <c r="EKV206" s="3"/>
      <c r="EKW206" s="3"/>
      <c r="EKX206" s="3"/>
      <c r="EKY206" s="3"/>
      <c r="EKZ206" s="3"/>
      <c r="ELA206" s="3"/>
      <c r="ELB206" s="3"/>
      <c r="ELC206" s="3"/>
      <c r="ELD206" s="3"/>
      <c r="ELE206" s="3"/>
      <c r="ELF206" s="3"/>
      <c r="ELG206" s="3"/>
      <c r="ELH206" s="3"/>
      <c r="ELI206" s="3"/>
      <c r="ELJ206" s="3"/>
      <c r="ELK206" s="3"/>
      <c r="ELL206" s="3"/>
      <c r="ELM206" s="3"/>
      <c r="ELN206" s="3"/>
      <c r="ELO206" s="3"/>
      <c r="ELP206" s="3"/>
      <c r="ELQ206" s="3"/>
      <c r="ELR206" s="3"/>
      <c r="ELS206" s="3"/>
      <c r="ELT206" s="3"/>
      <c r="ELU206" s="3"/>
      <c r="ELV206" s="3"/>
      <c r="ELW206" s="3"/>
      <c r="ELX206" s="3"/>
      <c r="ELY206" s="3"/>
      <c r="ELZ206" s="3"/>
      <c r="EMA206" s="3"/>
      <c r="EMB206" s="3"/>
      <c r="EMC206" s="3"/>
      <c r="EMD206" s="3"/>
      <c r="EME206" s="3"/>
      <c r="EMF206" s="3"/>
      <c r="EMG206" s="3"/>
      <c r="EMH206" s="3"/>
      <c r="EMI206" s="3"/>
      <c r="EMJ206" s="3"/>
      <c r="EMK206" s="3"/>
      <c r="EML206" s="3"/>
      <c r="EMM206" s="3"/>
      <c r="EMN206" s="3"/>
      <c r="EMO206" s="3"/>
      <c r="EMP206" s="3"/>
      <c r="EMQ206" s="3"/>
      <c r="EMR206" s="3"/>
      <c r="EMS206" s="3"/>
      <c r="EMT206" s="3"/>
      <c r="EMU206" s="3"/>
      <c r="EMV206" s="3"/>
      <c r="EMW206" s="3"/>
      <c r="EMX206" s="3"/>
      <c r="EMY206" s="3"/>
      <c r="EMZ206" s="3"/>
      <c r="ENA206" s="3"/>
      <c r="ENB206" s="3"/>
      <c r="ENC206" s="3"/>
      <c r="END206" s="3"/>
      <c r="ENE206" s="3"/>
      <c r="ENF206" s="3"/>
      <c r="ENG206" s="3"/>
      <c r="ENH206" s="3"/>
      <c r="ENI206" s="3"/>
      <c r="ENJ206" s="3"/>
      <c r="ENK206" s="3"/>
      <c r="ENL206" s="3"/>
      <c r="ENM206" s="3"/>
      <c r="ENN206" s="3"/>
      <c r="ENO206" s="3"/>
      <c r="ENP206" s="3"/>
      <c r="ENQ206" s="3"/>
      <c r="ENR206" s="3"/>
      <c r="ENS206" s="3"/>
      <c r="ENT206" s="3"/>
      <c r="ENU206" s="3"/>
      <c r="ENV206" s="3"/>
      <c r="ENW206" s="3"/>
      <c r="ENX206" s="3"/>
      <c r="ENY206" s="3"/>
      <c r="ENZ206" s="3"/>
      <c r="EOA206" s="3"/>
      <c r="EOB206" s="3"/>
      <c r="EOC206" s="3"/>
      <c r="EOD206" s="3"/>
      <c r="EOE206" s="3"/>
      <c r="EOF206" s="3"/>
      <c r="EOG206" s="3"/>
      <c r="EOH206" s="3"/>
      <c r="EOI206" s="3"/>
      <c r="EOJ206" s="3"/>
      <c r="EOK206" s="3"/>
      <c r="EOL206" s="3"/>
      <c r="EOM206" s="3"/>
      <c r="EON206" s="3"/>
      <c r="EOO206" s="3"/>
      <c r="EOP206" s="3"/>
      <c r="EOQ206" s="3"/>
      <c r="EOR206" s="3"/>
      <c r="EOS206" s="3"/>
      <c r="EOT206" s="3"/>
      <c r="EOU206" s="3"/>
      <c r="EOV206" s="3"/>
      <c r="EOW206" s="3"/>
      <c r="EOX206" s="3"/>
      <c r="EOY206" s="3"/>
      <c r="EOZ206" s="3"/>
      <c r="EPA206" s="3"/>
      <c r="EPB206" s="3"/>
      <c r="EPC206" s="3"/>
      <c r="EPD206" s="3"/>
      <c r="EPE206" s="3"/>
      <c r="EPF206" s="3"/>
      <c r="EPG206" s="3"/>
      <c r="EPH206" s="3"/>
      <c r="EPI206" s="3"/>
      <c r="EPJ206" s="3"/>
      <c r="EPK206" s="3"/>
      <c r="EPL206" s="3"/>
      <c r="EPM206" s="3"/>
      <c r="EPN206" s="3"/>
      <c r="EPO206" s="3"/>
      <c r="EPP206" s="3"/>
      <c r="EPQ206" s="3"/>
      <c r="EPR206" s="3"/>
      <c r="EPS206" s="3"/>
      <c r="EPT206" s="3"/>
      <c r="EPU206" s="3"/>
      <c r="EPV206" s="3"/>
      <c r="EPW206" s="3"/>
      <c r="EPX206" s="3"/>
      <c r="EPY206" s="3"/>
      <c r="EPZ206" s="3"/>
      <c r="EQA206" s="3"/>
      <c r="EQB206" s="3"/>
      <c r="EQC206" s="3"/>
      <c r="EQD206" s="3"/>
      <c r="EQE206" s="3"/>
      <c r="EQF206" s="3"/>
      <c r="EQG206" s="3"/>
      <c r="EQH206" s="3"/>
      <c r="EQI206" s="3"/>
      <c r="EQJ206" s="3"/>
      <c r="EQK206" s="3"/>
      <c r="EQL206" s="3"/>
      <c r="EQM206" s="3"/>
      <c r="EQN206" s="3"/>
      <c r="EQO206" s="3"/>
      <c r="EQP206" s="3"/>
      <c r="EQQ206" s="3"/>
      <c r="EQR206" s="3"/>
      <c r="EQS206" s="3"/>
      <c r="EQT206" s="3"/>
      <c r="EQU206" s="3"/>
      <c r="EQV206" s="3"/>
      <c r="EQW206" s="3"/>
      <c r="EQX206" s="3"/>
      <c r="EQY206" s="3"/>
      <c r="EQZ206" s="3"/>
      <c r="ERA206" s="3"/>
      <c r="ERB206" s="3"/>
      <c r="ERC206" s="3"/>
      <c r="ERD206" s="3"/>
      <c r="ERE206" s="3"/>
      <c r="ERF206" s="3"/>
      <c r="ERG206" s="3"/>
      <c r="ERH206" s="3"/>
      <c r="ERI206" s="3"/>
      <c r="ERJ206" s="3"/>
      <c r="ERK206" s="3"/>
      <c r="ERL206" s="3"/>
      <c r="ERM206" s="3"/>
      <c r="ERN206" s="3"/>
      <c r="ERO206" s="3"/>
      <c r="ERP206" s="3"/>
      <c r="ERQ206" s="3"/>
      <c r="ERR206" s="3"/>
      <c r="ERS206" s="3"/>
      <c r="ERT206" s="3"/>
      <c r="ERU206" s="3"/>
      <c r="ERV206" s="3"/>
      <c r="ERW206" s="3"/>
      <c r="ERX206" s="3"/>
      <c r="ERY206" s="3"/>
      <c r="ERZ206" s="3"/>
      <c r="ESA206" s="3"/>
      <c r="ESB206" s="3"/>
      <c r="ESC206" s="3"/>
      <c r="ESD206" s="3"/>
      <c r="ESE206" s="3"/>
      <c r="ESF206" s="3"/>
      <c r="ESG206" s="3"/>
      <c r="ESH206" s="3"/>
      <c r="ESI206" s="3"/>
      <c r="ESJ206" s="3"/>
      <c r="ESK206" s="3"/>
      <c r="ESL206" s="3"/>
      <c r="ESM206" s="3"/>
      <c r="ESN206" s="3"/>
      <c r="ESO206" s="3"/>
      <c r="ESP206" s="3"/>
      <c r="ESQ206" s="3"/>
      <c r="ESR206" s="3"/>
      <c r="ESS206" s="3"/>
      <c r="EST206" s="3"/>
      <c r="ESU206" s="3"/>
      <c r="ESV206" s="3"/>
      <c r="ESW206" s="3"/>
      <c r="ESX206" s="3"/>
      <c r="ESY206" s="3"/>
      <c r="ESZ206" s="3"/>
      <c r="ETA206" s="3"/>
      <c r="ETB206" s="3"/>
      <c r="ETC206" s="3"/>
      <c r="ETD206" s="3"/>
      <c r="ETE206" s="3"/>
      <c r="ETF206" s="3"/>
      <c r="ETG206" s="3"/>
      <c r="ETH206" s="3"/>
      <c r="ETI206" s="3"/>
      <c r="ETJ206" s="3"/>
      <c r="ETK206" s="3"/>
      <c r="ETL206" s="3"/>
      <c r="ETM206" s="3"/>
      <c r="ETN206" s="3"/>
      <c r="ETO206" s="3"/>
      <c r="ETP206" s="3"/>
      <c r="ETQ206" s="3"/>
      <c r="ETR206" s="3"/>
      <c r="ETS206" s="3"/>
      <c r="ETT206" s="3"/>
      <c r="ETU206" s="3"/>
      <c r="ETV206" s="3"/>
      <c r="ETW206" s="3"/>
      <c r="ETX206" s="3"/>
      <c r="ETY206" s="3"/>
      <c r="ETZ206" s="3"/>
      <c r="EUA206" s="3"/>
      <c r="EUB206" s="3"/>
      <c r="EUC206" s="3"/>
      <c r="EUD206" s="3"/>
      <c r="EUE206" s="3"/>
      <c r="EUF206" s="3"/>
      <c r="EUG206" s="3"/>
      <c r="EUH206" s="3"/>
      <c r="EUI206" s="3"/>
      <c r="EUJ206" s="3"/>
      <c r="EUK206" s="3"/>
      <c r="EUL206" s="3"/>
      <c r="EUM206" s="3"/>
      <c r="EUN206" s="3"/>
      <c r="EUO206" s="3"/>
      <c r="EUP206" s="3"/>
      <c r="EUQ206" s="3"/>
      <c r="EUR206" s="3"/>
      <c r="EUS206" s="3"/>
      <c r="EUT206" s="3"/>
      <c r="EUU206" s="3"/>
      <c r="EUV206" s="3"/>
      <c r="EUW206" s="3"/>
      <c r="EUX206" s="3"/>
      <c r="EUY206" s="3"/>
      <c r="EUZ206" s="3"/>
      <c r="EVA206" s="3"/>
      <c r="EVB206" s="3"/>
      <c r="EVC206" s="3"/>
      <c r="EVD206" s="3"/>
      <c r="EVE206" s="3"/>
      <c r="EVF206" s="3"/>
      <c r="EVG206" s="3"/>
      <c r="EVH206" s="3"/>
      <c r="EVI206" s="3"/>
      <c r="EVJ206" s="3"/>
      <c r="EVK206" s="3"/>
      <c r="EVL206" s="3"/>
      <c r="EVM206" s="3"/>
      <c r="EVN206" s="3"/>
      <c r="EVO206" s="3"/>
      <c r="EVP206" s="3"/>
      <c r="EVQ206" s="3"/>
      <c r="EVR206" s="3"/>
      <c r="EVS206" s="3"/>
      <c r="EVT206" s="3"/>
      <c r="EVU206" s="3"/>
      <c r="EVV206" s="3"/>
      <c r="EVW206" s="3"/>
      <c r="EVX206" s="3"/>
      <c r="EVY206" s="3"/>
      <c r="EVZ206" s="3"/>
      <c r="EWA206" s="3"/>
      <c r="EWB206" s="3"/>
      <c r="EWC206" s="3"/>
      <c r="EWD206" s="3"/>
      <c r="EWE206" s="3"/>
      <c r="EWF206" s="3"/>
      <c r="EWG206" s="3"/>
      <c r="EWH206" s="3"/>
      <c r="EWI206" s="3"/>
      <c r="EWJ206" s="3"/>
      <c r="EWK206" s="3"/>
      <c r="EWL206" s="3"/>
      <c r="EWM206" s="3"/>
      <c r="EWN206" s="3"/>
      <c r="EWO206" s="3"/>
      <c r="EWP206" s="3"/>
      <c r="EWQ206" s="3"/>
      <c r="EWR206" s="3"/>
      <c r="EWS206" s="3"/>
      <c r="EWT206" s="3"/>
      <c r="EWU206" s="3"/>
      <c r="EWV206" s="3"/>
      <c r="EWW206" s="3"/>
      <c r="EWX206" s="3"/>
      <c r="EWY206" s="3"/>
      <c r="EWZ206" s="3"/>
      <c r="EXA206" s="3"/>
      <c r="EXB206" s="3"/>
      <c r="EXC206" s="3"/>
      <c r="EXD206" s="3"/>
      <c r="EXE206" s="3"/>
      <c r="EXF206" s="3"/>
      <c r="EXG206" s="3"/>
      <c r="EXH206" s="3"/>
      <c r="EXI206" s="3"/>
      <c r="EXJ206" s="3"/>
      <c r="EXK206" s="3"/>
      <c r="EXL206" s="3"/>
      <c r="EXM206" s="3"/>
      <c r="EXN206" s="3"/>
      <c r="EXO206" s="3"/>
      <c r="EXP206" s="3"/>
      <c r="EXQ206" s="3"/>
      <c r="EXR206" s="3"/>
      <c r="EXS206" s="3"/>
      <c r="EXT206" s="3"/>
      <c r="EXU206" s="3"/>
      <c r="EXV206" s="3"/>
      <c r="EXW206" s="3"/>
      <c r="EXX206" s="3"/>
      <c r="EXY206" s="3"/>
      <c r="EXZ206" s="3"/>
      <c r="EYA206" s="3"/>
      <c r="EYB206" s="3"/>
      <c r="EYC206" s="3"/>
      <c r="EYD206" s="3"/>
      <c r="EYE206" s="3"/>
      <c r="EYF206" s="3"/>
      <c r="EYG206" s="3"/>
      <c r="EYH206" s="3"/>
      <c r="EYI206" s="3"/>
      <c r="EYJ206" s="3"/>
      <c r="EYK206" s="3"/>
      <c r="EYL206" s="3"/>
      <c r="EYM206" s="3"/>
      <c r="EYN206" s="3"/>
      <c r="EYO206" s="3"/>
      <c r="EYP206" s="3"/>
      <c r="EYQ206" s="3"/>
      <c r="EYR206" s="3"/>
      <c r="EYS206" s="3"/>
      <c r="EYT206" s="3"/>
      <c r="EYU206" s="3"/>
      <c r="EYV206" s="3"/>
      <c r="EYW206" s="3"/>
      <c r="EYX206" s="3"/>
      <c r="EYY206" s="3"/>
      <c r="EYZ206" s="3"/>
      <c r="EZA206" s="3"/>
      <c r="EZB206" s="3"/>
      <c r="EZC206" s="3"/>
      <c r="EZD206" s="3"/>
      <c r="EZE206" s="3"/>
      <c r="EZF206" s="3"/>
      <c r="EZG206" s="3"/>
      <c r="EZH206" s="3"/>
      <c r="EZI206" s="3"/>
      <c r="EZJ206" s="3"/>
      <c r="EZK206" s="3"/>
      <c r="EZL206" s="3"/>
      <c r="EZM206" s="3"/>
      <c r="EZN206" s="3"/>
      <c r="EZO206" s="3"/>
      <c r="EZP206" s="3"/>
      <c r="EZQ206" s="3"/>
      <c r="EZR206" s="3"/>
      <c r="EZS206" s="3"/>
      <c r="EZT206" s="3"/>
      <c r="EZU206" s="3"/>
      <c r="EZV206" s="3"/>
      <c r="EZW206" s="3"/>
      <c r="EZX206" s="3"/>
      <c r="EZY206" s="3"/>
      <c r="EZZ206" s="3"/>
      <c r="FAA206" s="3"/>
      <c r="FAB206" s="3"/>
      <c r="FAC206" s="3"/>
      <c r="FAD206" s="3"/>
      <c r="FAE206" s="3"/>
      <c r="FAF206" s="3"/>
      <c r="FAG206" s="3"/>
      <c r="FAH206" s="3"/>
      <c r="FAI206" s="3"/>
      <c r="FAJ206" s="3"/>
      <c r="FAK206" s="3"/>
      <c r="FAL206" s="3"/>
      <c r="FAM206" s="3"/>
      <c r="FAN206" s="3"/>
      <c r="FAO206" s="3"/>
      <c r="FAP206" s="3"/>
      <c r="FAQ206" s="3"/>
      <c r="FAR206" s="3"/>
      <c r="FAS206" s="3"/>
      <c r="FAT206" s="3"/>
      <c r="FAU206" s="3"/>
      <c r="FAV206" s="3"/>
      <c r="FAW206" s="3"/>
      <c r="FAX206" s="3"/>
      <c r="FAY206" s="3"/>
      <c r="FAZ206" s="3"/>
      <c r="FBA206" s="3"/>
      <c r="FBB206" s="3"/>
      <c r="FBC206" s="3"/>
      <c r="FBD206" s="3"/>
      <c r="FBE206" s="3"/>
      <c r="FBF206" s="3"/>
      <c r="FBG206" s="3"/>
      <c r="FBH206" s="3"/>
      <c r="FBI206" s="3"/>
      <c r="FBJ206" s="3"/>
      <c r="FBK206" s="3"/>
      <c r="FBL206" s="3"/>
      <c r="FBM206" s="3"/>
      <c r="FBN206" s="3"/>
      <c r="FBO206" s="3"/>
      <c r="FBP206" s="3"/>
      <c r="FBQ206" s="3"/>
      <c r="FBR206" s="3"/>
      <c r="FBS206" s="3"/>
      <c r="FBT206" s="3"/>
      <c r="FBU206" s="3"/>
      <c r="FBV206" s="3"/>
      <c r="FBW206" s="3"/>
      <c r="FBX206" s="3"/>
      <c r="FBY206" s="3"/>
      <c r="FBZ206" s="3"/>
      <c r="FCA206" s="3"/>
      <c r="FCB206" s="3"/>
      <c r="FCC206" s="3"/>
      <c r="FCD206" s="3"/>
      <c r="FCE206" s="3"/>
      <c r="FCF206" s="3"/>
      <c r="FCG206" s="3"/>
      <c r="FCH206" s="3"/>
      <c r="FCI206" s="3"/>
      <c r="FCJ206" s="3"/>
      <c r="FCK206" s="3"/>
      <c r="FCL206" s="3"/>
      <c r="FCM206" s="3"/>
      <c r="FCN206" s="3"/>
      <c r="FCO206" s="3"/>
      <c r="FCP206" s="3"/>
      <c r="FCQ206" s="3"/>
      <c r="FCR206" s="3"/>
      <c r="FCS206" s="3"/>
      <c r="FCT206" s="3"/>
      <c r="FCU206" s="3"/>
      <c r="FCV206" s="3"/>
      <c r="FCW206" s="3"/>
      <c r="FCX206" s="3"/>
      <c r="FCY206" s="3"/>
      <c r="FCZ206" s="3"/>
      <c r="FDA206" s="3"/>
      <c r="FDB206" s="3"/>
      <c r="FDC206" s="3"/>
      <c r="FDD206" s="3"/>
      <c r="FDE206" s="3"/>
      <c r="FDF206" s="3"/>
      <c r="FDG206" s="3"/>
      <c r="FDH206" s="3"/>
      <c r="FDI206" s="3"/>
      <c r="FDJ206" s="3"/>
      <c r="FDK206" s="3"/>
      <c r="FDL206" s="3"/>
      <c r="FDM206" s="3"/>
      <c r="FDN206" s="3"/>
      <c r="FDO206" s="3"/>
      <c r="FDP206" s="3"/>
      <c r="FDQ206" s="3"/>
      <c r="FDR206" s="3"/>
      <c r="FDS206" s="3"/>
      <c r="FDT206" s="3"/>
      <c r="FDU206" s="3"/>
      <c r="FDV206" s="3"/>
      <c r="FDW206" s="3"/>
      <c r="FDX206" s="3"/>
      <c r="FDY206" s="3"/>
      <c r="FDZ206" s="3"/>
      <c r="FEA206" s="3"/>
      <c r="FEB206" s="3"/>
      <c r="FEC206" s="3"/>
      <c r="FED206" s="3"/>
      <c r="FEE206" s="3"/>
      <c r="FEF206" s="3"/>
      <c r="FEG206" s="3"/>
      <c r="FEH206" s="3"/>
      <c r="FEI206" s="3"/>
      <c r="FEJ206" s="3"/>
      <c r="FEK206" s="3"/>
      <c r="FEL206" s="3"/>
      <c r="FEM206" s="3"/>
      <c r="FEN206" s="3"/>
      <c r="FEO206" s="3"/>
      <c r="FEP206" s="3"/>
      <c r="FEQ206" s="3"/>
      <c r="FER206" s="3"/>
      <c r="FES206" s="3"/>
      <c r="FET206" s="3"/>
      <c r="FEU206" s="3"/>
      <c r="FEV206" s="3"/>
      <c r="FEW206" s="3"/>
      <c r="FEX206" s="3"/>
      <c r="FEY206" s="3"/>
      <c r="FEZ206" s="3"/>
      <c r="FFA206" s="3"/>
      <c r="FFB206" s="3"/>
      <c r="FFC206" s="3"/>
      <c r="FFD206" s="3"/>
      <c r="FFE206" s="3"/>
      <c r="FFF206" s="3"/>
      <c r="FFG206" s="3"/>
      <c r="FFH206" s="3"/>
      <c r="FFI206" s="3"/>
      <c r="FFJ206" s="3"/>
      <c r="FFK206" s="3"/>
      <c r="FFL206" s="3"/>
      <c r="FFM206" s="3"/>
      <c r="FFN206" s="3"/>
      <c r="FFO206" s="3"/>
      <c r="FFP206" s="3"/>
      <c r="FFQ206" s="3"/>
      <c r="FFR206" s="3"/>
      <c r="FFS206" s="3"/>
      <c r="FFT206" s="3"/>
      <c r="FFU206" s="3"/>
      <c r="FFV206" s="3"/>
      <c r="FFW206" s="3"/>
      <c r="FFX206" s="3"/>
      <c r="FFY206" s="3"/>
      <c r="FFZ206" s="3"/>
      <c r="FGA206" s="3"/>
      <c r="FGB206" s="3"/>
      <c r="FGC206" s="3"/>
      <c r="FGD206" s="3"/>
      <c r="FGE206" s="3"/>
      <c r="FGF206" s="3"/>
      <c r="FGG206" s="3"/>
      <c r="FGH206" s="3"/>
      <c r="FGI206" s="3"/>
      <c r="FGJ206" s="3"/>
      <c r="FGK206" s="3"/>
      <c r="FGL206" s="3"/>
      <c r="FGM206" s="3"/>
      <c r="FGN206" s="3"/>
      <c r="FGO206" s="3"/>
      <c r="FGP206" s="3"/>
      <c r="FGQ206" s="3"/>
      <c r="FGR206" s="3"/>
      <c r="FGS206" s="3"/>
      <c r="FGT206" s="3"/>
      <c r="FGU206" s="3"/>
      <c r="FGV206" s="3"/>
      <c r="FGW206" s="3"/>
      <c r="FGX206" s="3"/>
      <c r="FGY206" s="3"/>
      <c r="FGZ206" s="3"/>
      <c r="FHA206" s="3"/>
      <c r="FHB206" s="3"/>
      <c r="FHC206" s="3"/>
      <c r="FHD206" s="3"/>
      <c r="FHE206" s="3"/>
      <c r="FHF206" s="3"/>
      <c r="FHG206" s="3"/>
      <c r="FHH206" s="3"/>
      <c r="FHI206" s="3"/>
      <c r="FHJ206" s="3"/>
      <c r="FHK206" s="3"/>
      <c r="FHL206" s="3"/>
      <c r="FHM206" s="3"/>
      <c r="FHN206" s="3"/>
      <c r="FHO206" s="3"/>
      <c r="FHP206" s="3"/>
      <c r="FHQ206" s="3"/>
      <c r="FHR206" s="3"/>
      <c r="FHS206" s="3"/>
      <c r="FHT206" s="3"/>
      <c r="FHU206" s="3"/>
      <c r="FHV206" s="3"/>
      <c r="FHW206" s="3"/>
      <c r="FHX206" s="3"/>
      <c r="FHY206" s="3"/>
      <c r="FHZ206" s="3"/>
      <c r="FIA206" s="3"/>
      <c r="FIB206" s="3"/>
      <c r="FIC206" s="3"/>
      <c r="FID206" s="3"/>
      <c r="FIE206" s="3"/>
      <c r="FIF206" s="3"/>
      <c r="FIG206" s="3"/>
      <c r="FIH206" s="3"/>
      <c r="FII206" s="3"/>
      <c r="FIJ206" s="3"/>
      <c r="FIK206" s="3"/>
      <c r="FIL206" s="3"/>
      <c r="FIM206" s="3"/>
      <c r="FIN206" s="3"/>
      <c r="FIO206" s="3"/>
      <c r="FIP206" s="3"/>
      <c r="FIQ206" s="3"/>
      <c r="FIR206" s="3"/>
      <c r="FIS206" s="3"/>
      <c r="FIT206" s="3"/>
      <c r="FIU206" s="3"/>
      <c r="FIV206" s="3"/>
      <c r="FIW206" s="3"/>
      <c r="FIX206" s="3"/>
      <c r="FIY206" s="3"/>
      <c r="FIZ206" s="3"/>
      <c r="FJA206" s="3"/>
      <c r="FJB206" s="3"/>
      <c r="FJC206" s="3"/>
      <c r="FJD206" s="3"/>
      <c r="FJE206" s="3"/>
      <c r="FJF206" s="3"/>
      <c r="FJG206" s="3"/>
      <c r="FJH206" s="3"/>
      <c r="FJI206" s="3"/>
      <c r="FJJ206" s="3"/>
      <c r="FJK206" s="3"/>
      <c r="FJL206" s="3"/>
      <c r="FJM206" s="3"/>
      <c r="FJN206" s="3"/>
      <c r="FJO206" s="3"/>
      <c r="FJP206" s="3"/>
      <c r="FJQ206" s="3"/>
      <c r="FJR206" s="3"/>
      <c r="FJS206" s="3"/>
      <c r="FJT206" s="3"/>
      <c r="FJU206" s="3"/>
      <c r="FJV206" s="3"/>
      <c r="FJW206" s="3"/>
      <c r="FJX206" s="3"/>
      <c r="FJY206" s="3"/>
      <c r="FJZ206" s="3"/>
      <c r="FKA206" s="3"/>
      <c r="FKB206" s="3"/>
      <c r="FKC206" s="3"/>
      <c r="FKD206" s="3"/>
      <c r="FKE206" s="3"/>
      <c r="FKF206" s="3"/>
      <c r="FKG206" s="3"/>
      <c r="FKH206" s="3"/>
      <c r="FKI206" s="3"/>
      <c r="FKJ206" s="3"/>
      <c r="FKK206" s="3"/>
      <c r="FKL206" s="3"/>
      <c r="FKM206" s="3"/>
      <c r="FKN206" s="3"/>
      <c r="FKO206" s="3"/>
      <c r="FKP206" s="3"/>
      <c r="FKQ206" s="3"/>
      <c r="FKR206" s="3"/>
      <c r="FKS206" s="3"/>
      <c r="FKT206" s="3"/>
      <c r="FKU206" s="3"/>
      <c r="FKV206" s="3"/>
      <c r="FKW206" s="3"/>
      <c r="FKX206" s="3"/>
      <c r="FKY206" s="3"/>
      <c r="FKZ206" s="3"/>
      <c r="FLA206" s="3"/>
      <c r="FLB206" s="3"/>
      <c r="FLC206" s="3"/>
      <c r="FLD206" s="3"/>
      <c r="FLE206" s="3"/>
      <c r="FLF206" s="3"/>
      <c r="FLG206" s="3"/>
      <c r="FLH206" s="3"/>
      <c r="FLI206" s="3"/>
      <c r="FLJ206" s="3"/>
      <c r="FLK206" s="3"/>
      <c r="FLL206" s="3"/>
      <c r="FLM206" s="3"/>
      <c r="FLN206" s="3"/>
      <c r="FLO206" s="3"/>
      <c r="FLP206" s="3"/>
      <c r="FLQ206" s="3"/>
      <c r="FLR206" s="3"/>
      <c r="FLS206" s="3"/>
      <c r="FLT206" s="3"/>
      <c r="FLU206" s="3"/>
      <c r="FLV206" s="3"/>
      <c r="FLW206" s="3"/>
      <c r="FLX206" s="3"/>
      <c r="FLY206" s="3"/>
      <c r="FLZ206" s="3"/>
      <c r="FMA206" s="3"/>
      <c r="FMB206" s="3"/>
      <c r="FMC206" s="3"/>
      <c r="FMD206" s="3"/>
      <c r="FME206" s="3"/>
      <c r="FMF206" s="3"/>
      <c r="FMG206" s="3"/>
      <c r="FMH206" s="3"/>
      <c r="FMI206" s="3"/>
      <c r="FMJ206" s="3"/>
      <c r="FMK206" s="3"/>
      <c r="FML206" s="3"/>
      <c r="FMM206" s="3"/>
      <c r="FMN206" s="3"/>
      <c r="FMO206" s="3"/>
      <c r="FMP206" s="3"/>
      <c r="FMQ206" s="3"/>
      <c r="FMR206" s="3"/>
      <c r="FMS206" s="3"/>
      <c r="FMT206" s="3"/>
      <c r="FMU206" s="3"/>
      <c r="FMV206" s="3"/>
      <c r="FMW206" s="3"/>
      <c r="FMX206" s="3"/>
      <c r="FMY206" s="3"/>
      <c r="FMZ206" s="3"/>
      <c r="FNA206" s="3"/>
      <c r="FNB206" s="3"/>
      <c r="FNC206" s="3"/>
      <c r="FND206" s="3"/>
      <c r="FNE206" s="3"/>
      <c r="FNF206" s="3"/>
      <c r="FNG206" s="3"/>
      <c r="FNH206" s="3"/>
      <c r="FNI206" s="3"/>
      <c r="FNJ206" s="3"/>
      <c r="FNK206" s="3"/>
      <c r="FNL206" s="3"/>
      <c r="FNM206" s="3"/>
      <c r="FNN206" s="3"/>
      <c r="FNO206" s="3"/>
      <c r="FNP206" s="3"/>
      <c r="FNQ206" s="3"/>
      <c r="FNR206" s="3"/>
      <c r="FNS206" s="3"/>
      <c r="FNT206" s="3"/>
      <c r="FNU206" s="3"/>
      <c r="FNV206" s="3"/>
      <c r="FNW206" s="3"/>
      <c r="FNX206" s="3"/>
      <c r="FNY206" s="3"/>
      <c r="FNZ206" s="3"/>
      <c r="FOA206" s="3"/>
      <c r="FOB206" s="3"/>
      <c r="FOC206" s="3"/>
      <c r="FOD206" s="3"/>
      <c r="FOE206" s="3"/>
      <c r="FOF206" s="3"/>
      <c r="FOG206" s="3"/>
      <c r="FOH206" s="3"/>
      <c r="FOI206" s="3"/>
      <c r="FOJ206" s="3"/>
      <c r="FOK206" s="3"/>
      <c r="FOL206" s="3"/>
      <c r="FOM206" s="3"/>
      <c r="FON206" s="3"/>
      <c r="FOO206" s="3"/>
      <c r="FOP206" s="3"/>
      <c r="FOQ206" s="3"/>
      <c r="FOR206" s="3"/>
      <c r="FOS206" s="3"/>
      <c r="FOT206" s="3"/>
      <c r="FOU206" s="3"/>
      <c r="FOV206" s="3"/>
      <c r="FOW206" s="3"/>
      <c r="FOX206" s="3"/>
      <c r="FOY206" s="3"/>
      <c r="FOZ206" s="3"/>
      <c r="FPA206" s="3"/>
      <c r="FPB206" s="3"/>
      <c r="FPC206" s="3"/>
      <c r="FPD206" s="3"/>
      <c r="FPE206" s="3"/>
      <c r="FPF206" s="3"/>
      <c r="FPG206" s="3"/>
      <c r="FPH206" s="3"/>
      <c r="FPI206" s="3"/>
      <c r="FPJ206" s="3"/>
      <c r="FPK206" s="3"/>
      <c r="FPL206" s="3"/>
      <c r="FPM206" s="3"/>
      <c r="FPN206" s="3"/>
      <c r="FPO206" s="3"/>
      <c r="FPP206" s="3"/>
      <c r="FPQ206" s="3"/>
      <c r="FPR206" s="3"/>
      <c r="FPS206" s="3"/>
      <c r="FPT206" s="3"/>
      <c r="FPU206" s="3"/>
      <c r="FPV206" s="3"/>
      <c r="FPW206" s="3"/>
      <c r="FPX206" s="3"/>
      <c r="FPY206" s="3"/>
      <c r="FPZ206" s="3"/>
      <c r="FQA206" s="3"/>
      <c r="FQB206" s="3"/>
      <c r="FQC206" s="3"/>
      <c r="FQD206" s="3"/>
      <c r="FQE206" s="3"/>
      <c r="FQF206" s="3"/>
      <c r="FQG206" s="3"/>
      <c r="FQH206" s="3"/>
      <c r="FQI206" s="3"/>
      <c r="FQJ206" s="3"/>
      <c r="FQK206" s="3"/>
      <c r="FQL206" s="3"/>
      <c r="FQM206" s="3"/>
      <c r="FQN206" s="3"/>
      <c r="FQO206" s="3"/>
      <c r="FQP206" s="3"/>
      <c r="FQQ206" s="3"/>
      <c r="FQR206" s="3"/>
      <c r="FQS206" s="3"/>
      <c r="FQT206" s="3"/>
      <c r="FQU206" s="3"/>
      <c r="FQV206" s="3"/>
      <c r="FQW206" s="3"/>
      <c r="FQX206" s="3"/>
      <c r="FQY206" s="3"/>
      <c r="FQZ206" s="3"/>
      <c r="FRA206" s="3"/>
      <c r="FRB206" s="3"/>
      <c r="FRC206" s="3"/>
      <c r="FRD206" s="3"/>
      <c r="FRE206" s="3"/>
      <c r="FRF206" s="3"/>
      <c r="FRG206" s="3"/>
      <c r="FRH206" s="3"/>
      <c r="FRI206" s="3"/>
      <c r="FRJ206" s="3"/>
      <c r="FRK206" s="3"/>
      <c r="FRL206" s="3"/>
      <c r="FRM206" s="3"/>
      <c r="FRN206" s="3"/>
      <c r="FRO206" s="3"/>
      <c r="FRP206" s="3"/>
      <c r="FRQ206" s="3"/>
      <c r="FRR206" s="3"/>
      <c r="FRS206" s="3"/>
      <c r="FRT206" s="3"/>
      <c r="FRU206" s="3"/>
      <c r="FRV206" s="3"/>
      <c r="FRW206" s="3"/>
      <c r="FRX206" s="3"/>
      <c r="FRY206" s="3"/>
      <c r="FRZ206" s="3"/>
      <c r="FSA206" s="3"/>
      <c r="FSB206" s="3"/>
      <c r="FSC206" s="3"/>
      <c r="FSD206" s="3"/>
      <c r="FSE206" s="3"/>
      <c r="FSF206" s="3"/>
      <c r="FSG206" s="3"/>
      <c r="FSH206" s="3"/>
      <c r="FSI206" s="3"/>
      <c r="FSJ206" s="3"/>
      <c r="FSK206" s="3"/>
      <c r="FSL206" s="3"/>
      <c r="FSM206" s="3"/>
      <c r="FSN206" s="3"/>
      <c r="FSO206" s="3"/>
      <c r="FSP206" s="3"/>
      <c r="FSQ206" s="3"/>
      <c r="FSR206" s="3"/>
      <c r="FSS206" s="3"/>
      <c r="FST206" s="3"/>
      <c r="FSU206" s="3"/>
      <c r="FSV206" s="3"/>
      <c r="FSW206" s="3"/>
      <c r="FSX206" s="3"/>
      <c r="FSY206" s="3"/>
      <c r="FSZ206" s="3"/>
      <c r="FTA206" s="3"/>
      <c r="FTB206" s="3"/>
      <c r="FTC206" s="3"/>
      <c r="FTD206" s="3"/>
      <c r="FTE206" s="3"/>
      <c r="FTF206" s="3"/>
      <c r="FTG206" s="3"/>
      <c r="FTH206" s="3"/>
      <c r="FTI206" s="3"/>
      <c r="FTJ206" s="3"/>
      <c r="FTK206" s="3"/>
      <c r="FTL206" s="3"/>
      <c r="FTM206" s="3"/>
      <c r="FTN206" s="3"/>
      <c r="FTO206" s="3"/>
      <c r="FTP206" s="3"/>
      <c r="FTQ206" s="3"/>
      <c r="FTR206" s="3"/>
      <c r="FTS206" s="3"/>
      <c r="FTT206" s="3"/>
      <c r="FTU206" s="3"/>
      <c r="FTV206" s="3"/>
      <c r="FTW206" s="3"/>
      <c r="FTX206" s="3"/>
      <c r="FTY206" s="3"/>
      <c r="FTZ206" s="3"/>
      <c r="FUA206" s="3"/>
      <c r="FUB206" s="3"/>
      <c r="FUC206" s="3"/>
      <c r="FUD206" s="3"/>
      <c r="FUE206" s="3"/>
      <c r="FUF206" s="3"/>
      <c r="FUG206" s="3"/>
      <c r="FUH206" s="3"/>
      <c r="FUI206" s="3"/>
      <c r="FUJ206" s="3"/>
      <c r="FUK206" s="3"/>
      <c r="FUL206" s="3"/>
      <c r="FUM206" s="3"/>
      <c r="FUN206" s="3"/>
      <c r="FUO206" s="3"/>
      <c r="FUP206" s="3"/>
      <c r="FUQ206" s="3"/>
      <c r="FUR206" s="3"/>
      <c r="FUS206" s="3"/>
      <c r="FUT206" s="3"/>
      <c r="FUU206" s="3"/>
      <c r="FUV206" s="3"/>
      <c r="FUW206" s="3"/>
      <c r="FUX206" s="3"/>
      <c r="FUY206" s="3"/>
      <c r="FUZ206" s="3"/>
      <c r="FVA206" s="3"/>
      <c r="FVB206" s="3"/>
      <c r="FVC206" s="3"/>
      <c r="FVD206" s="3"/>
      <c r="FVE206" s="3"/>
      <c r="FVF206" s="3"/>
      <c r="FVG206" s="3"/>
      <c r="FVH206" s="3"/>
      <c r="FVI206" s="3"/>
      <c r="FVJ206" s="3"/>
      <c r="FVK206" s="3"/>
      <c r="FVL206" s="3"/>
      <c r="FVM206" s="3"/>
      <c r="FVN206" s="3"/>
      <c r="FVO206" s="3"/>
      <c r="FVP206" s="3"/>
      <c r="FVQ206" s="3"/>
      <c r="FVR206" s="3"/>
      <c r="FVS206" s="3"/>
      <c r="FVT206" s="3"/>
      <c r="FVU206" s="3"/>
      <c r="FVV206" s="3"/>
      <c r="FVW206" s="3"/>
      <c r="FVX206" s="3"/>
      <c r="FVY206" s="3"/>
      <c r="FVZ206" s="3"/>
      <c r="FWA206" s="3"/>
      <c r="FWB206" s="3"/>
      <c r="FWC206" s="3"/>
      <c r="FWD206" s="3"/>
      <c r="FWE206" s="3"/>
      <c r="FWF206" s="3"/>
      <c r="FWG206" s="3"/>
      <c r="FWH206" s="3"/>
      <c r="FWI206" s="3"/>
      <c r="FWJ206" s="3"/>
      <c r="FWK206" s="3"/>
      <c r="FWL206" s="3"/>
      <c r="FWM206" s="3"/>
      <c r="FWN206" s="3"/>
      <c r="FWO206" s="3"/>
      <c r="FWP206" s="3"/>
      <c r="FWQ206" s="3"/>
      <c r="FWR206" s="3"/>
      <c r="FWS206" s="3"/>
      <c r="FWT206" s="3"/>
      <c r="FWU206" s="3"/>
      <c r="FWV206" s="3"/>
      <c r="FWW206" s="3"/>
      <c r="FWX206" s="3"/>
      <c r="FWY206" s="3"/>
      <c r="FWZ206" s="3"/>
      <c r="FXA206" s="3"/>
      <c r="FXB206" s="3"/>
      <c r="FXC206" s="3"/>
      <c r="FXD206" s="3"/>
      <c r="FXE206" s="3"/>
      <c r="FXF206" s="3"/>
      <c r="FXG206" s="3"/>
      <c r="FXH206" s="3"/>
      <c r="FXI206" s="3"/>
      <c r="FXJ206" s="3"/>
      <c r="FXK206" s="3"/>
      <c r="FXL206" s="3"/>
      <c r="FXM206" s="3"/>
      <c r="FXN206" s="3"/>
      <c r="FXO206" s="3"/>
      <c r="FXP206" s="3"/>
      <c r="FXQ206" s="3"/>
      <c r="FXR206" s="3"/>
      <c r="FXS206" s="3"/>
      <c r="FXT206" s="3"/>
      <c r="FXU206" s="3"/>
      <c r="FXV206" s="3"/>
      <c r="FXW206" s="3"/>
      <c r="FXX206" s="3"/>
      <c r="FXY206" s="3"/>
      <c r="FXZ206" s="3"/>
      <c r="FYA206" s="3"/>
      <c r="FYB206" s="3"/>
      <c r="FYC206" s="3"/>
      <c r="FYD206" s="3"/>
      <c r="FYE206" s="3"/>
      <c r="FYF206" s="3"/>
      <c r="FYG206" s="3"/>
      <c r="FYH206" s="3"/>
      <c r="FYI206" s="3"/>
      <c r="FYJ206" s="3"/>
      <c r="FYK206" s="3"/>
      <c r="FYL206" s="3"/>
      <c r="FYM206" s="3"/>
      <c r="FYN206" s="3"/>
      <c r="FYO206" s="3"/>
      <c r="FYP206" s="3"/>
      <c r="FYQ206" s="3"/>
      <c r="FYR206" s="3"/>
      <c r="FYS206" s="3"/>
      <c r="FYT206" s="3"/>
      <c r="FYU206" s="3"/>
      <c r="FYV206" s="3"/>
      <c r="FYW206" s="3"/>
      <c r="FYX206" s="3"/>
      <c r="FYY206" s="3"/>
      <c r="FYZ206" s="3"/>
      <c r="FZA206" s="3"/>
      <c r="FZB206" s="3"/>
      <c r="FZC206" s="3"/>
      <c r="FZD206" s="3"/>
      <c r="FZE206" s="3"/>
      <c r="FZF206" s="3"/>
      <c r="FZG206" s="3"/>
      <c r="FZH206" s="3"/>
      <c r="FZI206" s="3"/>
      <c r="FZJ206" s="3"/>
      <c r="FZK206" s="3"/>
      <c r="FZL206" s="3"/>
      <c r="FZM206" s="3"/>
      <c r="FZN206" s="3"/>
      <c r="FZO206" s="3"/>
      <c r="FZP206" s="3"/>
      <c r="FZQ206" s="3"/>
      <c r="FZR206" s="3"/>
      <c r="FZS206" s="3"/>
      <c r="FZT206" s="3"/>
      <c r="FZU206" s="3"/>
      <c r="FZV206" s="3"/>
      <c r="FZW206" s="3"/>
      <c r="FZX206" s="3"/>
      <c r="FZY206" s="3"/>
      <c r="FZZ206" s="3"/>
      <c r="GAA206" s="3"/>
      <c r="GAB206" s="3"/>
      <c r="GAC206" s="3"/>
      <c r="GAD206" s="3"/>
      <c r="GAE206" s="3"/>
      <c r="GAF206" s="3"/>
      <c r="GAG206" s="3"/>
      <c r="GAH206" s="3"/>
      <c r="GAI206" s="3"/>
      <c r="GAJ206" s="3"/>
      <c r="GAK206" s="3"/>
      <c r="GAL206" s="3"/>
      <c r="GAM206" s="3"/>
      <c r="GAN206" s="3"/>
      <c r="GAO206" s="3"/>
      <c r="GAP206" s="3"/>
      <c r="GAQ206" s="3"/>
      <c r="GAR206" s="3"/>
      <c r="GAS206" s="3"/>
      <c r="GAT206" s="3"/>
      <c r="GAU206" s="3"/>
      <c r="GAV206" s="3"/>
      <c r="GAW206" s="3"/>
      <c r="GAX206" s="3"/>
      <c r="GAY206" s="3"/>
      <c r="GAZ206" s="3"/>
      <c r="GBA206" s="3"/>
      <c r="GBB206" s="3"/>
      <c r="GBC206" s="3"/>
      <c r="GBD206" s="3"/>
      <c r="GBE206" s="3"/>
      <c r="GBF206" s="3"/>
      <c r="GBG206" s="3"/>
      <c r="GBH206" s="3"/>
      <c r="GBI206" s="3"/>
      <c r="GBJ206" s="3"/>
      <c r="GBK206" s="3"/>
      <c r="GBL206" s="3"/>
      <c r="GBM206" s="3"/>
      <c r="GBN206" s="3"/>
      <c r="GBO206" s="3"/>
      <c r="GBP206" s="3"/>
      <c r="GBQ206" s="3"/>
      <c r="GBR206" s="3"/>
      <c r="GBS206" s="3"/>
      <c r="GBT206" s="3"/>
      <c r="GBU206" s="3"/>
      <c r="GBV206" s="3"/>
      <c r="GBW206" s="3"/>
      <c r="GBX206" s="3"/>
      <c r="GBY206" s="3"/>
      <c r="GBZ206" s="3"/>
      <c r="GCA206" s="3"/>
      <c r="GCB206" s="3"/>
      <c r="GCC206" s="3"/>
      <c r="GCD206" s="3"/>
      <c r="GCE206" s="3"/>
      <c r="GCF206" s="3"/>
      <c r="GCG206" s="3"/>
      <c r="GCH206" s="3"/>
      <c r="GCI206" s="3"/>
      <c r="GCJ206" s="3"/>
      <c r="GCK206" s="3"/>
      <c r="GCL206" s="3"/>
      <c r="GCM206" s="3"/>
      <c r="GCN206" s="3"/>
      <c r="GCO206" s="3"/>
      <c r="GCP206" s="3"/>
      <c r="GCQ206" s="3"/>
      <c r="GCR206" s="3"/>
      <c r="GCS206" s="3"/>
      <c r="GCT206" s="3"/>
      <c r="GCU206" s="3"/>
      <c r="GCV206" s="3"/>
      <c r="GCW206" s="3"/>
      <c r="GCX206" s="3"/>
      <c r="GCY206" s="3"/>
      <c r="GCZ206" s="3"/>
      <c r="GDA206" s="3"/>
      <c r="GDB206" s="3"/>
      <c r="GDC206" s="3"/>
      <c r="GDD206" s="3"/>
      <c r="GDE206" s="3"/>
      <c r="GDF206" s="3"/>
      <c r="GDG206" s="3"/>
      <c r="GDH206" s="3"/>
      <c r="GDI206" s="3"/>
      <c r="GDJ206" s="3"/>
      <c r="GDK206" s="3"/>
      <c r="GDL206" s="3"/>
      <c r="GDM206" s="3"/>
      <c r="GDN206" s="3"/>
      <c r="GDO206" s="3"/>
      <c r="GDP206" s="3"/>
      <c r="GDQ206" s="3"/>
      <c r="GDR206" s="3"/>
      <c r="GDS206" s="3"/>
      <c r="GDT206" s="3"/>
      <c r="GDU206" s="3"/>
      <c r="GDV206" s="3"/>
      <c r="GDW206" s="3"/>
      <c r="GDX206" s="3"/>
      <c r="GDY206" s="3"/>
      <c r="GDZ206" s="3"/>
      <c r="GEA206" s="3"/>
      <c r="GEB206" s="3"/>
      <c r="GEC206" s="3"/>
      <c r="GED206" s="3"/>
      <c r="GEE206" s="3"/>
      <c r="GEF206" s="3"/>
      <c r="GEG206" s="3"/>
      <c r="GEH206" s="3"/>
      <c r="GEI206" s="3"/>
      <c r="GEJ206" s="3"/>
      <c r="GEK206" s="3"/>
      <c r="GEL206" s="3"/>
      <c r="GEM206" s="3"/>
      <c r="GEN206" s="3"/>
      <c r="GEO206" s="3"/>
      <c r="GEP206" s="3"/>
      <c r="GEQ206" s="3"/>
      <c r="GER206" s="3"/>
      <c r="GES206" s="3"/>
      <c r="GET206" s="3"/>
      <c r="GEU206" s="3"/>
      <c r="GEV206" s="3"/>
      <c r="GEW206" s="3"/>
      <c r="GEX206" s="3"/>
      <c r="GEY206" s="3"/>
      <c r="GEZ206" s="3"/>
      <c r="GFA206" s="3"/>
      <c r="GFB206" s="3"/>
      <c r="GFC206" s="3"/>
      <c r="GFD206" s="3"/>
      <c r="GFE206" s="3"/>
      <c r="GFF206" s="3"/>
      <c r="GFG206" s="3"/>
      <c r="GFH206" s="3"/>
      <c r="GFI206" s="3"/>
      <c r="GFJ206" s="3"/>
      <c r="GFK206" s="3"/>
      <c r="GFL206" s="3"/>
      <c r="GFM206" s="3"/>
      <c r="GFN206" s="3"/>
      <c r="GFO206" s="3"/>
      <c r="GFP206" s="3"/>
      <c r="GFQ206" s="3"/>
      <c r="GFR206" s="3"/>
      <c r="GFS206" s="3"/>
      <c r="GFT206" s="3"/>
      <c r="GFU206" s="3"/>
      <c r="GFV206" s="3"/>
      <c r="GFW206" s="3"/>
      <c r="GFX206" s="3"/>
      <c r="GFY206" s="3"/>
      <c r="GFZ206" s="3"/>
      <c r="GGA206" s="3"/>
      <c r="GGB206" s="3"/>
      <c r="GGC206" s="3"/>
      <c r="GGD206" s="3"/>
      <c r="GGE206" s="3"/>
      <c r="GGF206" s="3"/>
      <c r="GGG206" s="3"/>
      <c r="GGH206" s="3"/>
      <c r="GGI206" s="3"/>
      <c r="GGJ206" s="3"/>
      <c r="GGK206" s="3"/>
      <c r="GGL206" s="3"/>
      <c r="GGM206" s="3"/>
      <c r="GGN206" s="3"/>
      <c r="GGO206" s="3"/>
      <c r="GGP206" s="3"/>
      <c r="GGQ206" s="3"/>
      <c r="GGR206" s="3"/>
      <c r="GGS206" s="3"/>
      <c r="GGT206" s="3"/>
      <c r="GGU206" s="3"/>
      <c r="GGV206" s="3"/>
      <c r="GGW206" s="3"/>
      <c r="GGX206" s="3"/>
      <c r="GGY206" s="3"/>
      <c r="GGZ206" s="3"/>
      <c r="GHA206" s="3"/>
      <c r="GHB206" s="3"/>
      <c r="GHC206" s="3"/>
      <c r="GHD206" s="3"/>
      <c r="GHE206" s="3"/>
      <c r="GHF206" s="3"/>
      <c r="GHG206" s="3"/>
      <c r="GHH206" s="3"/>
      <c r="GHI206" s="3"/>
      <c r="GHJ206" s="3"/>
      <c r="GHK206" s="3"/>
      <c r="GHL206" s="3"/>
      <c r="GHM206" s="3"/>
      <c r="GHN206" s="3"/>
      <c r="GHO206" s="3"/>
      <c r="GHP206" s="3"/>
      <c r="GHQ206" s="3"/>
      <c r="GHR206" s="3"/>
      <c r="GHS206" s="3"/>
      <c r="GHT206" s="3"/>
      <c r="GHU206" s="3"/>
      <c r="GHV206" s="3"/>
      <c r="GHW206" s="3"/>
      <c r="GHX206" s="3"/>
      <c r="GHY206" s="3"/>
      <c r="GHZ206" s="3"/>
      <c r="GIA206" s="3"/>
      <c r="GIB206" s="3"/>
      <c r="GIC206" s="3"/>
      <c r="GID206" s="3"/>
      <c r="GIE206" s="3"/>
      <c r="GIF206" s="3"/>
      <c r="GIG206" s="3"/>
      <c r="GIH206" s="3"/>
      <c r="GII206" s="3"/>
      <c r="GIJ206" s="3"/>
      <c r="GIK206" s="3"/>
      <c r="GIL206" s="3"/>
      <c r="GIM206" s="3"/>
      <c r="GIN206" s="3"/>
      <c r="GIO206" s="3"/>
      <c r="GIP206" s="3"/>
      <c r="GIQ206" s="3"/>
      <c r="GIR206" s="3"/>
      <c r="GIS206" s="3"/>
      <c r="GIT206" s="3"/>
      <c r="GIU206" s="3"/>
      <c r="GIV206" s="3"/>
      <c r="GIW206" s="3"/>
      <c r="GIX206" s="3"/>
      <c r="GIY206" s="3"/>
      <c r="GIZ206" s="3"/>
      <c r="GJA206" s="3"/>
      <c r="GJB206" s="3"/>
      <c r="GJC206" s="3"/>
      <c r="GJD206" s="3"/>
      <c r="GJE206" s="3"/>
      <c r="GJF206" s="3"/>
      <c r="GJG206" s="3"/>
      <c r="GJH206" s="3"/>
      <c r="GJI206" s="3"/>
      <c r="GJJ206" s="3"/>
      <c r="GJK206" s="3"/>
      <c r="GJL206" s="3"/>
      <c r="GJM206" s="3"/>
      <c r="GJN206" s="3"/>
      <c r="GJO206" s="3"/>
      <c r="GJP206" s="3"/>
      <c r="GJQ206" s="3"/>
      <c r="GJR206" s="3"/>
      <c r="GJS206" s="3"/>
      <c r="GJT206" s="3"/>
      <c r="GJU206" s="3"/>
      <c r="GJV206" s="3"/>
      <c r="GJW206" s="3"/>
      <c r="GJX206" s="3"/>
      <c r="GJY206" s="3"/>
      <c r="GJZ206" s="3"/>
      <c r="GKA206" s="3"/>
      <c r="GKB206" s="3"/>
      <c r="GKC206" s="3"/>
      <c r="GKD206" s="3"/>
      <c r="GKE206" s="3"/>
      <c r="GKF206" s="3"/>
      <c r="GKG206" s="3"/>
      <c r="GKH206" s="3"/>
      <c r="GKI206" s="3"/>
      <c r="GKJ206" s="3"/>
      <c r="GKK206" s="3"/>
      <c r="GKL206" s="3"/>
      <c r="GKM206" s="3"/>
      <c r="GKN206" s="3"/>
      <c r="GKO206" s="3"/>
      <c r="GKP206" s="3"/>
      <c r="GKQ206" s="3"/>
      <c r="GKR206" s="3"/>
      <c r="GKS206" s="3"/>
      <c r="GKT206" s="3"/>
      <c r="GKU206" s="3"/>
      <c r="GKV206" s="3"/>
      <c r="GKW206" s="3"/>
      <c r="GKX206" s="3"/>
      <c r="GKY206" s="3"/>
      <c r="GKZ206" s="3"/>
      <c r="GLA206" s="3"/>
      <c r="GLB206" s="3"/>
      <c r="GLC206" s="3"/>
      <c r="GLD206" s="3"/>
      <c r="GLE206" s="3"/>
      <c r="GLF206" s="3"/>
      <c r="GLG206" s="3"/>
      <c r="GLH206" s="3"/>
      <c r="GLI206" s="3"/>
      <c r="GLJ206" s="3"/>
      <c r="GLK206" s="3"/>
      <c r="GLL206" s="3"/>
      <c r="GLM206" s="3"/>
      <c r="GLN206" s="3"/>
      <c r="GLO206" s="3"/>
      <c r="GLP206" s="3"/>
      <c r="GLQ206" s="3"/>
      <c r="GLR206" s="3"/>
      <c r="GLS206" s="3"/>
      <c r="GLT206" s="3"/>
      <c r="GLU206" s="3"/>
      <c r="GLV206" s="3"/>
      <c r="GLW206" s="3"/>
      <c r="GLX206" s="3"/>
      <c r="GLY206" s="3"/>
      <c r="GLZ206" s="3"/>
      <c r="GMA206" s="3"/>
      <c r="GMB206" s="3"/>
      <c r="GMC206" s="3"/>
      <c r="GMD206" s="3"/>
      <c r="GME206" s="3"/>
      <c r="GMF206" s="3"/>
      <c r="GMG206" s="3"/>
      <c r="GMH206" s="3"/>
      <c r="GMI206" s="3"/>
      <c r="GMJ206" s="3"/>
      <c r="GMK206" s="3"/>
      <c r="GML206" s="3"/>
      <c r="GMM206" s="3"/>
      <c r="GMN206" s="3"/>
      <c r="GMO206" s="3"/>
      <c r="GMP206" s="3"/>
      <c r="GMQ206" s="3"/>
      <c r="GMR206" s="3"/>
      <c r="GMS206" s="3"/>
      <c r="GMT206" s="3"/>
      <c r="GMU206" s="3"/>
      <c r="GMV206" s="3"/>
      <c r="GMW206" s="3"/>
      <c r="GMX206" s="3"/>
      <c r="GMY206" s="3"/>
      <c r="GMZ206" s="3"/>
      <c r="GNA206" s="3"/>
      <c r="GNB206" s="3"/>
      <c r="GNC206" s="3"/>
      <c r="GND206" s="3"/>
      <c r="GNE206" s="3"/>
      <c r="GNF206" s="3"/>
      <c r="GNG206" s="3"/>
      <c r="GNH206" s="3"/>
      <c r="GNI206" s="3"/>
      <c r="GNJ206" s="3"/>
      <c r="GNK206" s="3"/>
      <c r="GNL206" s="3"/>
      <c r="GNM206" s="3"/>
      <c r="GNN206" s="3"/>
      <c r="GNO206" s="3"/>
      <c r="GNP206" s="3"/>
      <c r="GNQ206" s="3"/>
      <c r="GNR206" s="3"/>
      <c r="GNS206" s="3"/>
      <c r="GNT206" s="3"/>
      <c r="GNU206" s="3"/>
      <c r="GNV206" s="3"/>
      <c r="GNW206" s="3"/>
      <c r="GNX206" s="3"/>
      <c r="GNY206" s="3"/>
      <c r="GNZ206" s="3"/>
      <c r="GOA206" s="3"/>
      <c r="GOB206" s="3"/>
      <c r="GOC206" s="3"/>
      <c r="GOD206" s="3"/>
      <c r="GOE206" s="3"/>
      <c r="GOF206" s="3"/>
      <c r="GOG206" s="3"/>
      <c r="GOH206" s="3"/>
      <c r="GOI206" s="3"/>
      <c r="GOJ206" s="3"/>
      <c r="GOK206" s="3"/>
      <c r="GOL206" s="3"/>
      <c r="GOM206" s="3"/>
      <c r="GON206" s="3"/>
      <c r="GOO206" s="3"/>
      <c r="GOP206" s="3"/>
      <c r="GOQ206" s="3"/>
      <c r="GOR206" s="3"/>
      <c r="GOS206" s="3"/>
      <c r="GOT206" s="3"/>
      <c r="GOU206" s="3"/>
      <c r="GOV206" s="3"/>
      <c r="GOW206" s="3"/>
      <c r="GOX206" s="3"/>
      <c r="GOY206" s="3"/>
      <c r="GOZ206" s="3"/>
      <c r="GPA206" s="3"/>
      <c r="GPB206" s="3"/>
      <c r="GPC206" s="3"/>
      <c r="GPD206" s="3"/>
      <c r="GPE206" s="3"/>
      <c r="GPF206" s="3"/>
      <c r="GPG206" s="3"/>
      <c r="GPH206" s="3"/>
      <c r="GPI206" s="3"/>
      <c r="GPJ206" s="3"/>
      <c r="GPK206" s="3"/>
      <c r="GPL206" s="3"/>
      <c r="GPM206" s="3"/>
      <c r="GPN206" s="3"/>
      <c r="GPO206" s="3"/>
      <c r="GPP206" s="3"/>
      <c r="GPQ206" s="3"/>
      <c r="GPR206" s="3"/>
      <c r="GPS206" s="3"/>
      <c r="GPT206" s="3"/>
      <c r="GPU206" s="3"/>
      <c r="GPV206" s="3"/>
      <c r="GPW206" s="3"/>
      <c r="GPX206" s="3"/>
      <c r="GPY206" s="3"/>
      <c r="GPZ206" s="3"/>
      <c r="GQA206" s="3"/>
      <c r="GQB206" s="3"/>
      <c r="GQC206" s="3"/>
      <c r="GQD206" s="3"/>
      <c r="GQE206" s="3"/>
      <c r="GQF206" s="3"/>
      <c r="GQG206" s="3"/>
      <c r="GQH206" s="3"/>
      <c r="GQI206" s="3"/>
      <c r="GQJ206" s="3"/>
      <c r="GQK206" s="3"/>
      <c r="GQL206" s="3"/>
      <c r="GQM206" s="3"/>
      <c r="GQN206" s="3"/>
      <c r="GQO206" s="3"/>
      <c r="GQP206" s="3"/>
      <c r="GQQ206" s="3"/>
      <c r="GQR206" s="3"/>
      <c r="GQS206" s="3"/>
      <c r="GQT206" s="3"/>
      <c r="GQU206" s="3"/>
      <c r="GQV206" s="3"/>
      <c r="GQW206" s="3"/>
      <c r="GQX206" s="3"/>
      <c r="GQY206" s="3"/>
      <c r="GQZ206" s="3"/>
      <c r="GRA206" s="3"/>
      <c r="GRB206" s="3"/>
      <c r="GRC206" s="3"/>
      <c r="GRD206" s="3"/>
      <c r="GRE206" s="3"/>
      <c r="GRF206" s="3"/>
      <c r="GRG206" s="3"/>
      <c r="GRH206" s="3"/>
      <c r="GRI206" s="3"/>
      <c r="GRJ206" s="3"/>
      <c r="GRK206" s="3"/>
      <c r="GRL206" s="3"/>
      <c r="GRM206" s="3"/>
      <c r="GRN206" s="3"/>
      <c r="GRO206" s="3"/>
      <c r="GRP206" s="3"/>
      <c r="GRQ206" s="3"/>
      <c r="GRR206" s="3"/>
      <c r="GRS206" s="3"/>
      <c r="GRT206" s="3"/>
      <c r="GRU206" s="3"/>
      <c r="GRV206" s="3"/>
      <c r="GRW206" s="3"/>
      <c r="GRX206" s="3"/>
      <c r="GRY206" s="3"/>
      <c r="GRZ206" s="3"/>
      <c r="GSA206" s="3"/>
      <c r="GSB206" s="3"/>
      <c r="GSC206" s="3"/>
      <c r="GSD206" s="3"/>
      <c r="GSE206" s="3"/>
      <c r="GSF206" s="3"/>
      <c r="GSG206" s="3"/>
      <c r="GSH206" s="3"/>
      <c r="GSI206" s="3"/>
      <c r="GSJ206" s="3"/>
      <c r="GSK206" s="3"/>
      <c r="GSL206" s="3"/>
      <c r="GSM206" s="3"/>
      <c r="GSN206" s="3"/>
      <c r="GSO206" s="3"/>
      <c r="GSP206" s="3"/>
      <c r="GSQ206" s="3"/>
      <c r="GSR206" s="3"/>
      <c r="GSS206" s="3"/>
      <c r="GST206" s="3"/>
      <c r="GSU206" s="3"/>
      <c r="GSV206" s="3"/>
      <c r="GSW206" s="3"/>
      <c r="GSX206" s="3"/>
      <c r="GSY206" s="3"/>
      <c r="GSZ206" s="3"/>
      <c r="GTA206" s="3"/>
      <c r="GTB206" s="3"/>
      <c r="GTC206" s="3"/>
      <c r="GTD206" s="3"/>
      <c r="GTE206" s="3"/>
      <c r="GTF206" s="3"/>
      <c r="GTG206" s="3"/>
      <c r="GTH206" s="3"/>
      <c r="GTI206" s="3"/>
      <c r="GTJ206" s="3"/>
      <c r="GTK206" s="3"/>
      <c r="GTL206" s="3"/>
      <c r="GTM206" s="3"/>
      <c r="GTN206" s="3"/>
      <c r="GTO206" s="3"/>
      <c r="GTP206" s="3"/>
      <c r="GTQ206" s="3"/>
      <c r="GTR206" s="3"/>
      <c r="GTS206" s="3"/>
      <c r="GTT206" s="3"/>
      <c r="GTU206" s="3"/>
      <c r="GTV206" s="3"/>
      <c r="GTW206" s="3"/>
      <c r="GTX206" s="3"/>
      <c r="GTY206" s="3"/>
      <c r="GTZ206" s="3"/>
      <c r="GUA206" s="3"/>
      <c r="GUB206" s="3"/>
      <c r="GUC206" s="3"/>
      <c r="GUD206" s="3"/>
      <c r="GUE206" s="3"/>
      <c r="GUF206" s="3"/>
      <c r="GUG206" s="3"/>
      <c r="GUH206" s="3"/>
      <c r="GUI206" s="3"/>
      <c r="GUJ206" s="3"/>
      <c r="GUK206" s="3"/>
      <c r="GUL206" s="3"/>
      <c r="GUM206" s="3"/>
      <c r="GUN206" s="3"/>
      <c r="GUO206" s="3"/>
      <c r="GUP206" s="3"/>
      <c r="GUQ206" s="3"/>
      <c r="GUR206" s="3"/>
      <c r="GUS206" s="3"/>
      <c r="GUT206" s="3"/>
      <c r="GUU206" s="3"/>
      <c r="GUV206" s="3"/>
      <c r="GUW206" s="3"/>
      <c r="GUX206" s="3"/>
      <c r="GUY206" s="3"/>
      <c r="GUZ206" s="3"/>
      <c r="GVA206" s="3"/>
      <c r="GVB206" s="3"/>
      <c r="GVC206" s="3"/>
      <c r="GVD206" s="3"/>
      <c r="GVE206" s="3"/>
      <c r="GVF206" s="3"/>
      <c r="GVG206" s="3"/>
      <c r="GVH206" s="3"/>
      <c r="GVI206" s="3"/>
      <c r="GVJ206" s="3"/>
      <c r="GVK206" s="3"/>
      <c r="GVL206" s="3"/>
      <c r="GVM206" s="3"/>
      <c r="GVN206" s="3"/>
      <c r="GVO206" s="3"/>
      <c r="GVP206" s="3"/>
      <c r="GVQ206" s="3"/>
      <c r="GVR206" s="3"/>
      <c r="GVS206" s="3"/>
      <c r="GVT206" s="3"/>
      <c r="GVU206" s="3"/>
      <c r="GVV206" s="3"/>
      <c r="GVW206" s="3"/>
      <c r="GVX206" s="3"/>
      <c r="GVY206" s="3"/>
      <c r="GVZ206" s="3"/>
      <c r="GWA206" s="3"/>
      <c r="GWB206" s="3"/>
      <c r="GWC206" s="3"/>
      <c r="GWD206" s="3"/>
      <c r="GWE206" s="3"/>
      <c r="GWF206" s="3"/>
      <c r="GWG206" s="3"/>
      <c r="GWH206" s="3"/>
      <c r="GWI206" s="3"/>
      <c r="GWJ206" s="3"/>
      <c r="GWK206" s="3"/>
      <c r="GWL206" s="3"/>
      <c r="GWM206" s="3"/>
      <c r="GWN206" s="3"/>
      <c r="GWO206" s="3"/>
      <c r="GWP206" s="3"/>
      <c r="GWQ206" s="3"/>
      <c r="GWR206" s="3"/>
      <c r="GWS206" s="3"/>
      <c r="GWT206" s="3"/>
      <c r="GWU206" s="3"/>
      <c r="GWV206" s="3"/>
      <c r="GWW206" s="3"/>
      <c r="GWX206" s="3"/>
      <c r="GWY206" s="3"/>
      <c r="GWZ206" s="3"/>
      <c r="GXA206" s="3"/>
      <c r="GXB206" s="3"/>
      <c r="GXC206" s="3"/>
      <c r="GXD206" s="3"/>
      <c r="GXE206" s="3"/>
      <c r="GXF206" s="3"/>
      <c r="GXG206" s="3"/>
      <c r="GXH206" s="3"/>
      <c r="GXI206" s="3"/>
      <c r="GXJ206" s="3"/>
      <c r="GXK206" s="3"/>
      <c r="GXL206" s="3"/>
      <c r="GXM206" s="3"/>
      <c r="GXN206" s="3"/>
      <c r="GXO206" s="3"/>
      <c r="GXP206" s="3"/>
      <c r="GXQ206" s="3"/>
      <c r="GXR206" s="3"/>
      <c r="GXS206" s="3"/>
      <c r="GXT206" s="3"/>
      <c r="GXU206" s="3"/>
      <c r="GXV206" s="3"/>
      <c r="GXW206" s="3"/>
      <c r="GXX206" s="3"/>
      <c r="GXY206" s="3"/>
      <c r="GXZ206" s="3"/>
      <c r="GYA206" s="3"/>
      <c r="GYB206" s="3"/>
      <c r="GYC206" s="3"/>
      <c r="GYD206" s="3"/>
      <c r="GYE206" s="3"/>
      <c r="GYF206" s="3"/>
      <c r="GYG206" s="3"/>
      <c r="GYH206" s="3"/>
      <c r="GYI206" s="3"/>
      <c r="GYJ206" s="3"/>
      <c r="GYK206" s="3"/>
      <c r="GYL206" s="3"/>
      <c r="GYM206" s="3"/>
      <c r="GYN206" s="3"/>
      <c r="GYO206" s="3"/>
      <c r="GYP206" s="3"/>
      <c r="GYQ206" s="3"/>
      <c r="GYR206" s="3"/>
      <c r="GYS206" s="3"/>
      <c r="GYT206" s="3"/>
      <c r="GYU206" s="3"/>
      <c r="GYV206" s="3"/>
      <c r="GYW206" s="3"/>
      <c r="GYX206" s="3"/>
      <c r="GYY206" s="3"/>
      <c r="GYZ206" s="3"/>
      <c r="GZA206" s="3"/>
      <c r="GZB206" s="3"/>
      <c r="GZC206" s="3"/>
      <c r="GZD206" s="3"/>
      <c r="GZE206" s="3"/>
      <c r="GZF206" s="3"/>
      <c r="GZG206" s="3"/>
      <c r="GZH206" s="3"/>
      <c r="GZI206" s="3"/>
      <c r="GZJ206" s="3"/>
      <c r="GZK206" s="3"/>
      <c r="GZL206" s="3"/>
      <c r="GZM206" s="3"/>
      <c r="GZN206" s="3"/>
      <c r="GZO206" s="3"/>
      <c r="GZP206" s="3"/>
      <c r="GZQ206" s="3"/>
      <c r="GZR206" s="3"/>
      <c r="GZS206" s="3"/>
      <c r="GZT206" s="3"/>
      <c r="GZU206" s="3"/>
      <c r="GZV206" s="3"/>
      <c r="GZW206" s="3"/>
      <c r="GZX206" s="3"/>
      <c r="GZY206" s="3"/>
      <c r="GZZ206" s="3"/>
      <c r="HAA206" s="3"/>
      <c r="HAB206" s="3"/>
      <c r="HAC206" s="3"/>
      <c r="HAD206" s="3"/>
      <c r="HAE206" s="3"/>
      <c r="HAF206" s="3"/>
      <c r="HAG206" s="3"/>
      <c r="HAH206" s="3"/>
      <c r="HAI206" s="3"/>
      <c r="HAJ206" s="3"/>
      <c r="HAK206" s="3"/>
      <c r="HAL206" s="3"/>
      <c r="HAM206" s="3"/>
      <c r="HAN206" s="3"/>
      <c r="HAO206" s="3"/>
      <c r="HAP206" s="3"/>
      <c r="HAQ206" s="3"/>
      <c r="HAR206" s="3"/>
      <c r="HAS206" s="3"/>
      <c r="HAT206" s="3"/>
      <c r="HAU206" s="3"/>
      <c r="HAV206" s="3"/>
      <c r="HAW206" s="3"/>
      <c r="HAX206" s="3"/>
      <c r="HAY206" s="3"/>
      <c r="HAZ206" s="3"/>
      <c r="HBA206" s="3"/>
      <c r="HBB206" s="3"/>
      <c r="HBC206" s="3"/>
      <c r="HBD206" s="3"/>
      <c r="HBE206" s="3"/>
      <c r="HBF206" s="3"/>
      <c r="HBG206" s="3"/>
      <c r="HBH206" s="3"/>
      <c r="HBI206" s="3"/>
      <c r="HBJ206" s="3"/>
      <c r="HBK206" s="3"/>
      <c r="HBL206" s="3"/>
      <c r="HBM206" s="3"/>
      <c r="HBN206" s="3"/>
      <c r="HBO206" s="3"/>
      <c r="HBP206" s="3"/>
      <c r="HBQ206" s="3"/>
      <c r="HBR206" s="3"/>
      <c r="HBS206" s="3"/>
      <c r="HBT206" s="3"/>
      <c r="HBU206" s="3"/>
      <c r="HBV206" s="3"/>
      <c r="HBW206" s="3"/>
      <c r="HBX206" s="3"/>
      <c r="HBY206" s="3"/>
      <c r="HBZ206" s="3"/>
      <c r="HCA206" s="3"/>
      <c r="HCB206" s="3"/>
      <c r="HCC206" s="3"/>
      <c r="HCD206" s="3"/>
      <c r="HCE206" s="3"/>
      <c r="HCF206" s="3"/>
      <c r="HCG206" s="3"/>
      <c r="HCH206" s="3"/>
      <c r="HCI206" s="3"/>
      <c r="HCJ206" s="3"/>
      <c r="HCK206" s="3"/>
      <c r="HCL206" s="3"/>
      <c r="HCM206" s="3"/>
      <c r="HCN206" s="3"/>
      <c r="HCO206" s="3"/>
      <c r="HCP206" s="3"/>
      <c r="HCQ206" s="3"/>
      <c r="HCR206" s="3"/>
      <c r="HCS206" s="3"/>
      <c r="HCT206" s="3"/>
      <c r="HCU206" s="3"/>
      <c r="HCV206" s="3"/>
      <c r="HCW206" s="3"/>
      <c r="HCX206" s="3"/>
      <c r="HCY206" s="3"/>
      <c r="HCZ206" s="3"/>
      <c r="HDA206" s="3"/>
      <c r="HDB206" s="3"/>
      <c r="HDC206" s="3"/>
      <c r="HDD206" s="3"/>
      <c r="HDE206" s="3"/>
      <c r="HDF206" s="3"/>
      <c r="HDG206" s="3"/>
      <c r="HDH206" s="3"/>
      <c r="HDI206" s="3"/>
      <c r="HDJ206" s="3"/>
      <c r="HDK206" s="3"/>
      <c r="HDL206" s="3"/>
      <c r="HDM206" s="3"/>
      <c r="HDN206" s="3"/>
      <c r="HDO206" s="3"/>
      <c r="HDP206" s="3"/>
      <c r="HDQ206" s="3"/>
      <c r="HDR206" s="3"/>
      <c r="HDS206" s="3"/>
      <c r="HDT206" s="3"/>
      <c r="HDU206" s="3"/>
      <c r="HDV206" s="3"/>
      <c r="HDW206" s="3"/>
      <c r="HDX206" s="3"/>
      <c r="HDY206" s="3"/>
      <c r="HDZ206" s="3"/>
      <c r="HEA206" s="3"/>
      <c r="HEB206" s="3"/>
      <c r="HEC206" s="3"/>
      <c r="HED206" s="3"/>
      <c r="HEE206" s="3"/>
      <c r="HEF206" s="3"/>
      <c r="HEG206" s="3"/>
      <c r="HEH206" s="3"/>
      <c r="HEI206" s="3"/>
      <c r="HEJ206" s="3"/>
      <c r="HEK206" s="3"/>
      <c r="HEL206" s="3"/>
      <c r="HEM206" s="3"/>
      <c r="HEN206" s="3"/>
      <c r="HEO206" s="3"/>
      <c r="HEP206" s="3"/>
      <c r="HEQ206" s="3"/>
      <c r="HER206" s="3"/>
      <c r="HES206" s="3"/>
      <c r="HET206" s="3"/>
      <c r="HEU206" s="3"/>
      <c r="HEV206" s="3"/>
      <c r="HEW206" s="3"/>
      <c r="HEX206" s="3"/>
      <c r="HEY206" s="3"/>
      <c r="HEZ206" s="3"/>
      <c r="HFA206" s="3"/>
      <c r="HFB206" s="3"/>
      <c r="HFC206" s="3"/>
      <c r="HFD206" s="3"/>
      <c r="HFE206" s="3"/>
      <c r="HFF206" s="3"/>
      <c r="HFG206" s="3"/>
      <c r="HFH206" s="3"/>
      <c r="HFI206" s="3"/>
      <c r="HFJ206" s="3"/>
      <c r="HFK206" s="3"/>
      <c r="HFL206" s="3"/>
      <c r="HFM206" s="3"/>
      <c r="HFN206" s="3"/>
      <c r="HFO206" s="3"/>
      <c r="HFP206" s="3"/>
      <c r="HFQ206" s="3"/>
      <c r="HFR206" s="3"/>
      <c r="HFS206" s="3"/>
      <c r="HFT206" s="3"/>
      <c r="HFU206" s="3"/>
      <c r="HFV206" s="3"/>
      <c r="HFW206" s="3"/>
      <c r="HFX206" s="3"/>
      <c r="HFY206" s="3"/>
      <c r="HFZ206" s="3"/>
      <c r="HGA206" s="3"/>
      <c r="HGB206" s="3"/>
      <c r="HGC206" s="3"/>
      <c r="HGD206" s="3"/>
      <c r="HGE206" s="3"/>
      <c r="HGF206" s="3"/>
      <c r="HGG206" s="3"/>
      <c r="HGH206" s="3"/>
      <c r="HGI206" s="3"/>
      <c r="HGJ206" s="3"/>
      <c r="HGK206" s="3"/>
      <c r="HGL206" s="3"/>
      <c r="HGM206" s="3"/>
      <c r="HGN206" s="3"/>
      <c r="HGO206" s="3"/>
      <c r="HGP206" s="3"/>
      <c r="HGQ206" s="3"/>
      <c r="HGR206" s="3"/>
      <c r="HGS206" s="3"/>
      <c r="HGT206" s="3"/>
      <c r="HGU206" s="3"/>
      <c r="HGV206" s="3"/>
      <c r="HGW206" s="3"/>
      <c r="HGX206" s="3"/>
      <c r="HGY206" s="3"/>
      <c r="HGZ206" s="3"/>
      <c r="HHA206" s="3"/>
      <c r="HHB206" s="3"/>
      <c r="HHC206" s="3"/>
      <c r="HHD206" s="3"/>
      <c r="HHE206" s="3"/>
      <c r="HHF206" s="3"/>
      <c r="HHG206" s="3"/>
      <c r="HHH206" s="3"/>
      <c r="HHI206" s="3"/>
      <c r="HHJ206" s="3"/>
      <c r="HHK206" s="3"/>
      <c r="HHL206" s="3"/>
      <c r="HHM206" s="3"/>
      <c r="HHN206" s="3"/>
      <c r="HHO206" s="3"/>
      <c r="HHP206" s="3"/>
      <c r="HHQ206" s="3"/>
      <c r="HHR206" s="3"/>
      <c r="HHS206" s="3"/>
      <c r="HHT206" s="3"/>
      <c r="HHU206" s="3"/>
      <c r="HHV206" s="3"/>
      <c r="HHW206" s="3"/>
      <c r="HHX206" s="3"/>
      <c r="HHY206" s="3"/>
      <c r="HHZ206" s="3"/>
      <c r="HIA206" s="3"/>
      <c r="HIB206" s="3"/>
      <c r="HIC206" s="3"/>
      <c r="HID206" s="3"/>
      <c r="HIE206" s="3"/>
      <c r="HIF206" s="3"/>
      <c r="HIG206" s="3"/>
      <c r="HIH206" s="3"/>
      <c r="HII206" s="3"/>
      <c r="HIJ206" s="3"/>
      <c r="HIK206" s="3"/>
      <c r="HIL206" s="3"/>
      <c r="HIM206" s="3"/>
      <c r="HIN206" s="3"/>
      <c r="HIO206" s="3"/>
      <c r="HIP206" s="3"/>
      <c r="HIQ206" s="3"/>
      <c r="HIR206" s="3"/>
      <c r="HIS206" s="3"/>
      <c r="HIT206" s="3"/>
      <c r="HIU206" s="3"/>
      <c r="HIV206" s="3"/>
      <c r="HIW206" s="3"/>
      <c r="HIX206" s="3"/>
      <c r="HIY206" s="3"/>
      <c r="HIZ206" s="3"/>
      <c r="HJA206" s="3"/>
      <c r="HJB206" s="3"/>
      <c r="HJC206" s="3"/>
      <c r="HJD206" s="3"/>
      <c r="HJE206" s="3"/>
      <c r="HJF206" s="3"/>
      <c r="HJG206" s="3"/>
      <c r="HJH206" s="3"/>
      <c r="HJI206" s="3"/>
      <c r="HJJ206" s="3"/>
      <c r="HJK206" s="3"/>
      <c r="HJL206" s="3"/>
      <c r="HJM206" s="3"/>
      <c r="HJN206" s="3"/>
      <c r="HJO206" s="3"/>
      <c r="HJP206" s="3"/>
      <c r="HJQ206" s="3"/>
      <c r="HJR206" s="3"/>
      <c r="HJS206" s="3"/>
      <c r="HJT206" s="3"/>
      <c r="HJU206" s="3"/>
      <c r="HJV206" s="3"/>
      <c r="HJW206" s="3"/>
      <c r="HJX206" s="3"/>
      <c r="HJY206" s="3"/>
      <c r="HJZ206" s="3"/>
      <c r="HKA206" s="3"/>
      <c r="HKB206" s="3"/>
      <c r="HKC206" s="3"/>
      <c r="HKD206" s="3"/>
      <c r="HKE206" s="3"/>
      <c r="HKF206" s="3"/>
      <c r="HKG206" s="3"/>
      <c r="HKH206" s="3"/>
      <c r="HKI206" s="3"/>
      <c r="HKJ206" s="3"/>
      <c r="HKK206" s="3"/>
      <c r="HKL206" s="3"/>
      <c r="HKM206" s="3"/>
      <c r="HKN206" s="3"/>
      <c r="HKO206" s="3"/>
      <c r="HKP206" s="3"/>
      <c r="HKQ206" s="3"/>
      <c r="HKR206" s="3"/>
      <c r="HKS206" s="3"/>
      <c r="HKT206" s="3"/>
      <c r="HKU206" s="3"/>
      <c r="HKV206" s="3"/>
      <c r="HKW206" s="3"/>
      <c r="HKX206" s="3"/>
      <c r="HKY206" s="3"/>
      <c r="HKZ206" s="3"/>
      <c r="HLA206" s="3"/>
      <c r="HLB206" s="3"/>
      <c r="HLC206" s="3"/>
      <c r="HLD206" s="3"/>
      <c r="HLE206" s="3"/>
      <c r="HLF206" s="3"/>
      <c r="HLG206" s="3"/>
      <c r="HLH206" s="3"/>
      <c r="HLI206" s="3"/>
      <c r="HLJ206" s="3"/>
      <c r="HLK206" s="3"/>
      <c r="HLL206" s="3"/>
      <c r="HLM206" s="3"/>
      <c r="HLN206" s="3"/>
      <c r="HLO206" s="3"/>
      <c r="HLP206" s="3"/>
      <c r="HLQ206" s="3"/>
      <c r="HLR206" s="3"/>
      <c r="HLS206" s="3"/>
      <c r="HLT206" s="3"/>
      <c r="HLU206" s="3"/>
      <c r="HLV206" s="3"/>
      <c r="HLW206" s="3"/>
      <c r="HLX206" s="3"/>
      <c r="HLY206" s="3"/>
      <c r="HLZ206" s="3"/>
      <c r="HMA206" s="3"/>
      <c r="HMB206" s="3"/>
      <c r="HMC206" s="3"/>
      <c r="HMD206" s="3"/>
      <c r="HME206" s="3"/>
      <c r="HMF206" s="3"/>
      <c r="HMG206" s="3"/>
      <c r="HMH206" s="3"/>
      <c r="HMI206" s="3"/>
      <c r="HMJ206" s="3"/>
      <c r="HMK206" s="3"/>
      <c r="HML206" s="3"/>
      <c r="HMM206" s="3"/>
      <c r="HMN206" s="3"/>
      <c r="HMO206" s="3"/>
      <c r="HMP206" s="3"/>
      <c r="HMQ206" s="3"/>
      <c r="HMR206" s="3"/>
      <c r="HMS206" s="3"/>
      <c r="HMT206" s="3"/>
      <c r="HMU206" s="3"/>
      <c r="HMV206" s="3"/>
      <c r="HMW206" s="3"/>
      <c r="HMX206" s="3"/>
      <c r="HMY206" s="3"/>
      <c r="HMZ206" s="3"/>
      <c r="HNA206" s="3"/>
      <c r="HNB206" s="3"/>
      <c r="HNC206" s="3"/>
      <c r="HND206" s="3"/>
      <c r="HNE206" s="3"/>
      <c r="HNF206" s="3"/>
      <c r="HNG206" s="3"/>
      <c r="HNH206" s="3"/>
      <c r="HNI206" s="3"/>
      <c r="HNJ206" s="3"/>
      <c r="HNK206" s="3"/>
      <c r="HNL206" s="3"/>
      <c r="HNM206" s="3"/>
      <c r="HNN206" s="3"/>
      <c r="HNO206" s="3"/>
      <c r="HNP206" s="3"/>
      <c r="HNQ206" s="3"/>
      <c r="HNR206" s="3"/>
      <c r="HNS206" s="3"/>
      <c r="HNT206" s="3"/>
      <c r="HNU206" s="3"/>
      <c r="HNV206" s="3"/>
      <c r="HNW206" s="3"/>
      <c r="HNX206" s="3"/>
      <c r="HNY206" s="3"/>
      <c r="HNZ206" s="3"/>
      <c r="HOA206" s="3"/>
      <c r="HOB206" s="3"/>
      <c r="HOC206" s="3"/>
      <c r="HOD206" s="3"/>
      <c r="HOE206" s="3"/>
      <c r="HOF206" s="3"/>
      <c r="HOG206" s="3"/>
      <c r="HOH206" s="3"/>
      <c r="HOI206" s="3"/>
      <c r="HOJ206" s="3"/>
      <c r="HOK206" s="3"/>
      <c r="HOL206" s="3"/>
      <c r="HOM206" s="3"/>
      <c r="HON206" s="3"/>
      <c r="HOO206" s="3"/>
      <c r="HOP206" s="3"/>
      <c r="HOQ206" s="3"/>
      <c r="HOR206" s="3"/>
      <c r="HOS206" s="3"/>
      <c r="HOT206" s="3"/>
      <c r="HOU206" s="3"/>
      <c r="HOV206" s="3"/>
      <c r="HOW206" s="3"/>
      <c r="HOX206" s="3"/>
      <c r="HOY206" s="3"/>
      <c r="HOZ206" s="3"/>
      <c r="HPA206" s="3"/>
      <c r="HPB206" s="3"/>
      <c r="HPC206" s="3"/>
      <c r="HPD206" s="3"/>
      <c r="HPE206" s="3"/>
      <c r="HPF206" s="3"/>
      <c r="HPG206" s="3"/>
      <c r="HPH206" s="3"/>
      <c r="HPI206" s="3"/>
      <c r="HPJ206" s="3"/>
      <c r="HPK206" s="3"/>
      <c r="HPL206" s="3"/>
      <c r="HPM206" s="3"/>
      <c r="HPN206" s="3"/>
      <c r="HPO206" s="3"/>
      <c r="HPP206" s="3"/>
      <c r="HPQ206" s="3"/>
      <c r="HPR206" s="3"/>
      <c r="HPS206" s="3"/>
      <c r="HPT206" s="3"/>
      <c r="HPU206" s="3"/>
      <c r="HPV206" s="3"/>
      <c r="HPW206" s="3"/>
      <c r="HPX206" s="3"/>
      <c r="HPY206" s="3"/>
      <c r="HPZ206" s="3"/>
      <c r="HQA206" s="3"/>
      <c r="HQB206" s="3"/>
      <c r="HQC206" s="3"/>
      <c r="HQD206" s="3"/>
      <c r="HQE206" s="3"/>
      <c r="HQF206" s="3"/>
      <c r="HQG206" s="3"/>
      <c r="HQH206" s="3"/>
      <c r="HQI206" s="3"/>
      <c r="HQJ206" s="3"/>
      <c r="HQK206" s="3"/>
      <c r="HQL206" s="3"/>
      <c r="HQM206" s="3"/>
      <c r="HQN206" s="3"/>
      <c r="HQO206" s="3"/>
      <c r="HQP206" s="3"/>
      <c r="HQQ206" s="3"/>
      <c r="HQR206" s="3"/>
      <c r="HQS206" s="3"/>
      <c r="HQT206" s="3"/>
      <c r="HQU206" s="3"/>
      <c r="HQV206" s="3"/>
      <c r="HQW206" s="3"/>
      <c r="HQX206" s="3"/>
      <c r="HQY206" s="3"/>
      <c r="HQZ206" s="3"/>
      <c r="HRA206" s="3"/>
      <c r="HRB206" s="3"/>
      <c r="HRC206" s="3"/>
      <c r="HRD206" s="3"/>
      <c r="HRE206" s="3"/>
      <c r="HRF206" s="3"/>
      <c r="HRG206" s="3"/>
      <c r="HRH206" s="3"/>
      <c r="HRI206" s="3"/>
      <c r="HRJ206" s="3"/>
      <c r="HRK206" s="3"/>
      <c r="HRL206" s="3"/>
      <c r="HRM206" s="3"/>
      <c r="HRN206" s="3"/>
      <c r="HRO206" s="3"/>
      <c r="HRP206" s="3"/>
      <c r="HRQ206" s="3"/>
      <c r="HRR206" s="3"/>
      <c r="HRS206" s="3"/>
      <c r="HRT206" s="3"/>
      <c r="HRU206" s="3"/>
      <c r="HRV206" s="3"/>
      <c r="HRW206" s="3"/>
      <c r="HRX206" s="3"/>
      <c r="HRY206" s="3"/>
      <c r="HRZ206" s="3"/>
      <c r="HSA206" s="3"/>
      <c r="HSB206" s="3"/>
      <c r="HSC206" s="3"/>
      <c r="HSD206" s="3"/>
      <c r="HSE206" s="3"/>
      <c r="HSF206" s="3"/>
      <c r="HSG206" s="3"/>
      <c r="HSH206" s="3"/>
      <c r="HSI206" s="3"/>
      <c r="HSJ206" s="3"/>
      <c r="HSK206" s="3"/>
      <c r="HSL206" s="3"/>
      <c r="HSM206" s="3"/>
      <c r="HSN206" s="3"/>
      <c r="HSO206" s="3"/>
      <c r="HSP206" s="3"/>
      <c r="HSQ206" s="3"/>
      <c r="HSR206" s="3"/>
      <c r="HSS206" s="3"/>
      <c r="HST206" s="3"/>
      <c r="HSU206" s="3"/>
      <c r="HSV206" s="3"/>
      <c r="HSW206" s="3"/>
      <c r="HSX206" s="3"/>
      <c r="HSY206" s="3"/>
      <c r="HSZ206" s="3"/>
      <c r="HTA206" s="3"/>
      <c r="HTB206" s="3"/>
      <c r="HTC206" s="3"/>
      <c r="HTD206" s="3"/>
      <c r="HTE206" s="3"/>
      <c r="HTF206" s="3"/>
      <c r="HTG206" s="3"/>
      <c r="HTH206" s="3"/>
      <c r="HTI206" s="3"/>
      <c r="HTJ206" s="3"/>
      <c r="HTK206" s="3"/>
      <c r="HTL206" s="3"/>
      <c r="HTM206" s="3"/>
      <c r="HTN206" s="3"/>
      <c r="HTO206" s="3"/>
      <c r="HTP206" s="3"/>
      <c r="HTQ206" s="3"/>
      <c r="HTR206" s="3"/>
      <c r="HTS206" s="3"/>
      <c r="HTT206" s="3"/>
      <c r="HTU206" s="3"/>
      <c r="HTV206" s="3"/>
      <c r="HTW206" s="3"/>
      <c r="HTX206" s="3"/>
      <c r="HTY206" s="3"/>
      <c r="HTZ206" s="3"/>
      <c r="HUA206" s="3"/>
      <c r="HUB206" s="3"/>
      <c r="HUC206" s="3"/>
      <c r="HUD206" s="3"/>
      <c r="HUE206" s="3"/>
      <c r="HUF206" s="3"/>
      <c r="HUG206" s="3"/>
      <c r="HUH206" s="3"/>
      <c r="HUI206" s="3"/>
      <c r="HUJ206" s="3"/>
      <c r="HUK206" s="3"/>
      <c r="HUL206" s="3"/>
      <c r="HUM206" s="3"/>
      <c r="HUN206" s="3"/>
      <c r="HUO206" s="3"/>
      <c r="HUP206" s="3"/>
      <c r="HUQ206" s="3"/>
      <c r="HUR206" s="3"/>
      <c r="HUS206" s="3"/>
      <c r="HUT206" s="3"/>
      <c r="HUU206" s="3"/>
      <c r="HUV206" s="3"/>
      <c r="HUW206" s="3"/>
      <c r="HUX206" s="3"/>
      <c r="HUY206" s="3"/>
      <c r="HUZ206" s="3"/>
      <c r="HVA206" s="3"/>
      <c r="HVB206" s="3"/>
      <c r="HVC206" s="3"/>
      <c r="HVD206" s="3"/>
      <c r="HVE206" s="3"/>
      <c r="HVF206" s="3"/>
      <c r="HVG206" s="3"/>
      <c r="HVH206" s="3"/>
      <c r="HVI206" s="3"/>
      <c r="HVJ206" s="3"/>
      <c r="HVK206" s="3"/>
      <c r="HVL206" s="3"/>
      <c r="HVM206" s="3"/>
      <c r="HVN206" s="3"/>
      <c r="HVO206" s="3"/>
      <c r="HVP206" s="3"/>
      <c r="HVQ206" s="3"/>
      <c r="HVR206" s="3"/>
      <c r="HVS206" s="3"/>
      <c r="HVT206" s="3"/>
      <c r="HVU206" s="3"/>
      <c r="HVV206" s="3"/>
      <c r="HVW206" s="3"/>
      <c r="HVX206" s="3"/>
      <c r="HVY206" s="3"/>
      <c r="HVZ206" s="3"/>
      <c r="HWA206" s="3"/>
      <c r="HWB206" s="3"/>
      <c r="HWC206" s="3"/>
      <c r="HWD206" s="3"/>
      <c r="HWE206" s="3"/>
      <c r="HWF206" s="3"/>
      <c r="HWG206" s="3"/>
      <c r="HWH206" s="3"/>
      <c r="HWI206" s="3"/>
      <c r="HWJ206" s="3"/>
      <c r="HWK206" s="3"/>
      <c r="HWL206" s="3"/>
      <c r="HWM206" s="3"/>
      <c r="HWN206" s="3"/>
      <c r="HWO206" s="3"/>
      <c r="HWP206" s="3"/>
      <c r="HWQ206" s="3"/>
      <c r="HWR206" s="3"/>
      <c r="HWS206" s="3"/>
      <c r="HWT206" s="3"/>
      <c r="HWU206" s="3"/>
      <c r="HWV206" s="3"/>
      <c r="HWW206" s="3"/>
      <c r="HWX206" s="3"/>
      <c r="HWY206" s="3"/>
      <c r="HWZ206" s="3"/>
      <c r="HXA206" s="3"/>
      <c r="HXB206" s="3"/>
      <c r="HXC206" s="3"/>
      <c r="HXD206" s="3"/>
      <c r="HXE206" s="3"/>
      <c r="HXF206" s="3"/>
      <c r="HXG206" s="3"/>
      <c r="HXH206" s="3"/>
      <c r="HXI206" s="3"/>
      <c r="HXJ206" s="3"/>
      <c r="HXK206" s="3"/>
      <c r="HXL206" s="3"/>
      <c r="HXM206" s="3"/>
      <c r="HXN206" s="3"/>
      <c r="HXO206" s="3"/>
      <c r="HXP206" s="3"/>
      <c r="HXQ206" s="3"/>
      <c r="HXR206" s="3"/>
      <c r="HXS206" s="3"/>
      <c r="HXT206" s="3"/>
      <c r="HXU206" s="3"/>
      <c r="HXV206" s="3"/>
      <c r="HXW206" s="3"/>
      <c r="HXX206" s="3"/>
      <c r="HXY206" s="3"/>
      <c r="HXZ206" s="3"/>
      <c r="HYA206" s="3"/>
      <c r="HYB206" s="3"/>
      <c r="HYC206" s="3"/>
      <c r="HYD206" s="3"/>
      <c r="HYE206" s="3"/>
      <c r="HYF206" s="3"/>
      <c r="HYG206" s="3"/>
      <c r="HYH206" s="3"/>
      <c r="HYI206" s="3"/>
      <c r="HYJ206" s="3"/>
      <c r="HYK206" s="3"/>
      <c r="HYL206" s="3"/>
      <c r="HYM206" s="3"/>
      <c r="HYN206" s="3"/>
      <c r="HYO206" s="3"/>
      <c r="HYP206" s="3"/>
      <c r="HYQ206" s="3"/>
      <c r="HYR206" s="3"/>
      <c r="HYS206" s="3"/>
      <c r="HYT206" s="3"/>
      <c r="HYU206" s="3"/>
      <c r="HYV206" s="3"/>
      <c r="HYW206" s="3"/>
      <c r="HYX206" s="3"/>
      <c r="HYY206" s="3"/>
      <c r="HYZ206" s="3"/>
      <c r="HZA206" s="3"/>
      <c r="HZB206" s="3"/>
      <c r="HZC206" s="3"/>
      <c r="HZD206" s="3"/>
      <c r="HZE206" s="3"/>
      <c r="HZF206" s="3"/>
      <c r="HZG206" s="3"/>
      <c r="HZH206" s="3"/>
      <c r="HZI206" s="3"/>
      <c r="HZJ206" s="3"/>
      <c r="HZK206" s="3"/>
      <c r="HZL206" s="3"/>
      <c r="HZM206" s="3"/>
      <c r="HZN206" s="3"/>
      <c r="HZO206" s="3"/>
      <c r="HZP206" s="3"/>
      <c r="HZQ206" s="3"/>
      <c r="HZR206" s="3"/>
      <c r="HZS206" s="3"/>
      <c r="HZT206" s="3"/>
      <c r="HZU206" s="3"/>
      <c r="HZV206" s="3"/>
      <c r="HZW206" s="3"/>
      <c r="HZX206" s="3"/>
      <c r="HZY206" s="3"/>
      <c r="HZZ206" s="3"/>
      <c r="IAA206" s="3"/>
      <c r="IAB206" s="3"/>
      <c r="IAC206" s="3"/>
      <c r="IAD206" s="3"/>
      <c r="IAE206" s="3"/>
      <c r="IAF206" s="3"/>
      <c r="IAG206" s="3"/>
      <c r="IAH206" s="3"/>
      <c r="IAI206" s="3"/>
      <c r="IAJ206" s="3"/>
      <c r="IAK206" s="3"/>
      <c r="IAL206" s="3"/>
      <c r="IAM206" s="3"/>
      <c r="IAN206" s="3"/>
      <c r="IAO206" s="3"/>
      <c r="IAP206" s="3"/>
      <c r="IAQ206" s="3"/>
      <c r="IAR206" s="3"/>
      <c r="IAS206" s="3"/>
      <c r="IAT206" s="3"/>
      <c r="IAU206" s="3"/>
      <c r="IAV206" s="3"/>
      <c r="IAW206" s="3"/>
      <c r="IAX206" s="3"/>
      <c r="IAY206" s="3"/>
      <c r="IAZ206" s="3"/>
      <c r="IBA206" s="3"/>
      <c r="IBB206" s="3"/>
      <c r="IBC206" s="3"/>
      <c r="IBD206" s="3"/>
      <c r="IBE206" s="3"/>
      <c r="IBF206" s="3"/>
      <c r="IBG206" s="3"/>
      <c r="IBH206" s="3"/>
      <c r="IBI206" s="3"/>
      <c r="IBJ206" s="3"/>
      <c r="IBK206" s="3"/>
      <c r="IBL206" s="3"/>
      <c r="IBM206" s="3"/>
      <c r="IBN206" s="3"/>
      <c r="IBO206" s="3"/>
      <c r="IBP206" s="3"/>
      <c r="IBQ206" s="3"/>
      <c r="IBR206" s="3"/>
      <c r="IBS206" s="3"/>
      <c r="IBT206" s="3"/>
      <c r="IBU206" s="3"/>
      <c r="IBV206" s="3"/>
      <c r="IBW206" s="3"/>
      <c r="IBX206" s="3"/>
      <c r="IBY206" s="3"/>
      <c r="IBZ206" s="3"/>
      <c r="ICA206" s="3"/>
      <c r="ICB206" s="3"/>
      <c r="ICC206" s="3"/>
      <c r="ICD206" s="3"/>
      <c r="ICE206" s="3"/>
      <c r="ICF206" s="3"/>
      <c r="ICG206" s="3"/>
      <c r="ICH206" s="3"/>
      <c r="ICI206" s="3"/>
      <c r="ICJ206" s="3"/>
      <c r="ICK206" s="3"/>
      <c r="ICL206" s="3"/>
      <c r="ICM206" s="3"/>
      <c r="ICN206" s="3"/>
      <c r="ICO206" s="3"/>
      <c r="ICP206" s="3"/>
      <c r="ICQ206" s="3"/>
      <c r="ICR206" s="3"/>
      <c r="ICS206" s="3"/>
      <c r="ICT206" s="3"/>
      <c r="ICU206" s="3"/>
      <c r="ICV206" s="3"/>
      <c r="ICW206" s="3"/>
      <c r="ICX206" s="3"/>
      <c r="ICY206" s="3"/>
      <c r="ICZ206" s="3"/>
      <c r="IDA206" s="3"/>
      <c r="IDB206" s="3"/>
      <c r="IDC206" s="3"/>
      <c r="IDD206" s="3"/>
      <c r="IDE206" s="3"/>
      <c r="IDF206" s="3"/>
      <c r="IDG206" s="3"/>
      <c r="IDH206" s="3"/>
      <c r="IDI206" s="3"/>
      <c r="IDJ206" s="3"/>
      <c r="IDK206" s="3"/>
      <c r="IDL206" s="3"/>
      <c r="IDM206" s="3"/>
      <c r="IDN206" s="3"/>
      <c r="IDO206" s="3"/>
      <c r="IDP206" s="3"/>
      <c r="IDQ206" s="3"/>
      <c r="IDR206" s="3"/>
      <c r="IDS206" s="3"/>
      <c r="IDT206" s="3"/>
      <c r="IDU206" s="3"/>
      <c r="IDV206" s="3"/>
      <c r="IDW206" s="3"/>
      <c r="IDX206" s="3"/>
      <c r="IDY206" s="3"/>
      <c r="IDZ206" s="3"/>
      <c r="IEA206" s="3"/>
      <c r="IEB206" s="3"/>
      <c r="IEC206" s="3"/>
      <c r="IED206" s="3"/>
      <c r="IEE206" s="3"/>
      <c r="IEF206" s="3"/>
      <c r="IEG206" s="3"/>
      <c r="IEH206" s="3"/>
      <c r="IEI206" s="3"/>
      <c r="IEJ206" s="3"/>
      <c r="IEK206" s="3"/>
      <c r="IEL206" s="3"/>
      <c r="IEM206" s="3"/>
      <c r="IEN206" s="3"/>
      <c r="IEO206" s="3"/>
      <c r="IEP206" s="3"/>
      <c r="IEQ206" s="3"/>
      <c r="IER206" s="3"/>
      <c r="IES206" s="3"/>
      <c r="IET206" s="3"/>
      <c r="IEU206" s="3"/>
      <c r="IEV206" s="3"/>
      <c r="IEW206" s="3"/>
      <c r="IEX206" s="3"/>
      <c r="IEY206" s="3"/>
      <c r="IEZ206" s="3"/>
      <c r="IFA206" s="3"/>
      <c r="IFB206" s="3"/>
      <c r="IFC206" s="3"/>
      <c r="IFD206" s="3"/>
      <c r="IFE206" s="3"/>
      <c r="IFF206" s="3"/>
      <c r="IFG206" s="3"/>
      <c r="IFH206" s="3"/>
      <c r="IFI206" s="3"/>
      <c r="IFJ206" s="3"/>
      <c r="IFK206" s="3"/>
      <c r="IFL206" s="3"/>
      <c r="IFM206" s="3"/>
      <c r="IFN206" s="3"/>
      <c r="IFO206" s="3"/>
      <c r="IFP206" s="3"/>
      <c r="IFQ206" s="3"/>
      <c r="IFR206" s="3"/>
      <c r="IFS206" s="3"/>
      <c r="IFT206" s="3"/>
      <c r="IFU206" s="3"/>
      <c r="IFV206" s="3"/>
      <c r="IFW206" s="3"/>
      <c r="IFX206" s="3"/>
      <c r="IFY206" s="3"/>
      <c r="IFZ206" s="3"/>
      <c r="IGA206" s="3"/>
      <c r="IGB206" s="3"/>
      <c r="IGC206" s="3"/>
      <c r="IGD206" s="3"/>
      <c r="IGE206" s="3"/>
      <c r="IGF206" s="3"/>
      <c r="IGG206" s="3"/>
      <c r="IGH206" s="3"/>
      <c r="IGI206" s="3"/>
      <c r="IGJ206" s="3"/>
      <c r="IGK206" s="3"/>
      <c r="IGL206" s="3"/>
      <c r="IGM206" s="3"/>
      <c r="IGN206" s="3"/>
      <c r="IGO206" s="3"/>
      <c r="IGP206" s="3"/>
      <c r="IGQ206" s="3"/>
      <c r="IGR206" s="3"/>
      <c r="IGS206" s="3"/>
      <c r="IGT206" s="3"/>
      <c r="IGU206" s="3"/>
      <c r="IGV206" s="3"/>
      <c r="IGW206" s="3"/>
      <c r="IGX206" s="3"/>
      <c r="IGY206" s="3"/>
      <c r="IGZ206" s="3"/>
      <c r="IHA206" s="3"/>
      <c r="IHB206" s="3"/>
      <c r="IHC206" s="3"/>
      <c r="IHD206" s="3"/>
      <c r="IHE206" s="3"/>
      <c r="IHF206" s="3"/>
      <c r="IHG206" s="3"/>
      <c r="IHH206" s="3"/>
      <c r="IHI206" s="3"/>
      <c r="IHJ206" s="3"/>
      <c r="IHK206" s="3"/>
      <c r="IHL206" s="3"/>
      <c r="IHM206" s="3"/>
      <c r="IHN206" s="3"/>
      <c r="IHO206" s="3"/>
      <c r="IHP206" s="3"/>
      <c r="IHQ206" s="3"/>
      <c r="IHR206" s="3"/>
      <c r="IHS206" s="3"/>
      <c r="IHT206" s="3"/>
      <c r="IHU206" s="3"/>
      <c r="IHV206" s="3"/>
      <c r="IHW206" s="3"/>
      <c r="IHX206" s="3"/>
      <c r="IHY206" s="3"/>
      <c r="IHZ206" s="3"/>
      <c r="IIA206" s="3"/>
      <c r="IIB206" s="3"/>
      <c r="IIC206" s="3"/>
      <c r="IID206" s="3"/>
      <c r="IIE206" s="3"/>
      <c r="IIF206" s="3"/>
      <c r="IIG206" s="3"/>
      <c r="IIH206" s="3"/>
      <c r="III206" s="3"/>
      <c r="IIJ206" s="3"/>
      <c r="IIK206" s="3"/>
      <c r="IIL206" s="3"/>
      <c r="IIM206" s="3"/>
      <c r="IIN206" s="3"/>
      <c r="IIO206" s="3"/>
      <c r="IIP206" s="3"/>
      <c r="IIQ206" s="3"/>
      <c r="IIR206" s="3"/>
      <c r="IIS206" s="3"/>
      <c r="IIT206" s="3"/>
      <c r="IIU206" s="3"/>
      <c r="IIV206" s="3"/>
      <c r="IIW206" s="3"/>
      <c r="IIX206" s="3"/>
      <c r="IIY206" s="3"/>
      <c r="IIZ206" s="3"/>
      <c r="IJA206" s="3"/>
      <c r="IJB206" s="3"/>
      <c r="IJC206" s="3"/>
      <c r="IJD206" s="3"/>
      <c r="IJE206" s="3"/>
      <c r="IJF206" s="3"/>
      <c r="IJG206" s="3"/>
      <c r="IJH206" s="3"/>
      <c r="IJI206" s="3"/>
      <c r="IJJ206" s="3"/>
      <c r="IJK206" s="3"/>
      <c r="IJL206" s="3"/>
      <c r="IJM206" s="3"/>
      <c r="IJN206" s="3"/>
      <c r="IJO206" s="3"/>
      <c r="IJP206" s="3"/>
      <c r="IJQ206" s="3"/>
      <c r="IJR206" s="3"/>
      <c r="IJS206" s="3"/>
      <c r="IJT206" s="3"/>
      <c r="IJU206" s="3"/>
      <c r="IJV206" s="3"/>
      <c r="IJW206" s="3"/>
      <c r="IJX206" s="3"/>
      <c r="IJY206" s="3"/>
      <c r="IJZ206" s="3"/>
      <c r="IKA206" s="3"/>
      <c r="IKB206" s="3"/>
      <c r="IKC206" s="3"/>
      <c r="IKD206" s="3"/>
      <c r="IKE206" s="3"/>
      <c r="IKF206" s="3"/>
      <c r="IKG206" s="3"/>
      <c r="IKH206" s="3"/>
      <c r="IKI206" s="3"/>
      <c r="IKJ206" s="3"/>
      <c r="IKK206" s="3"/>
      <c r="IKL206" s="3"/>
      <c r="IKM206" s="3"/>
      <c r="IKN206" s="3"/>
      <c r="IKO206" s="3"/>
      <c r="IKP206" s="3"/>
      <c r="IKQ206" s="3"/>
      <c r="IKR206" s="3"/>
      <c r="IKS206" s="3"/>
      <c r="IKT206" s="3"/>
      <c r="IKU206" s="3"/>
      <c r="IKV206" s="3"/>
      <c r="IKW206" s="3"/>
      <c r="IKX206" s="3"/>
      <c r="IKY206" s="3"/>
      <c r="IKZ206" s="3"/>
      <c r="ILA206" s="3"/>
      <c r="ILB206" s="3"/>
      <c r="ILC206" s="3"/>
      <c r="ILD206" s="3"/>
      <c r="ILE206" s="3"/>
      <c r="ILF206" s="3"/>
      <c r="ILG206" s="3"/>
      <c r="ILH206" s="3"/>
      <c r="ILI206" s="3"/>
      <c r="ILJ206" s="3"/>
      <c r="ILK206" s="3"/>
      <c r="ILL206" s="3"/>
      <c r="ILM206" s="3"/>
      <c r="ILN206" s="3"/>
      <c r="ILO206" s="3"/>
      <c r="ILP206" s="3"/>
      <c r="ILQ206" s="3"/>
      <c r="ILR206" s="3"/>
      <c r="ILS206" s="3"/>
      <c r="ILT206" s="3"/>
      <c r="ILU206" s="3"/>
      <c r="ILV206" s="3"/>
      <c r="ILW206" s="3"/>
      <c r="ILX206" s="3"/>
      <c r="ILY206" s="3"/>
      <c r="ILZ206" s="3"/>
      <c r="IMA206" s="3"/>
      <c r="IMB206" s="3"/>
      <c r="IMC206" s="3"/>
      <c r="IMD206" s="3"/>
      <c r="IME206" s="3"/>
      <c r="IMF206" s="3"/>
      <c r="IMG206" s="3"/>
      <c r="IMH206" s="3"/>
      <c r="IMI206" s="3"/>
      <c r="IMJ206" s="3"/>
      <c r="IMK206" s="3"/>
      <c r="IML206" s="3"/>
      <c r="IMM206" s="3"/>
      <c r="IMN206" s="3"/>
      <c r="IMO206" s="3"/>
      <c r="IMP206" s="3"/>
      <c r="IMQ206" s="3"/>
      <c r="IMR206" s="3"/>
      <c r="IMS206" s="3"/>
      <c r="IMT206" s="3"/>
      <c r="IMU206" s="3"/>
      <c r="IMV206" s="3"/>
      <c r="IMW206" s="3"/>
      <c r="IMX206" s="3"/>
      <c r="IMY206" s="3"/>
      <c r="IMZ206" s="3"/>
      <c r="INA206" s="3"/>
      <c r="INB206" s="3"/>
      <c r="INC206" s="3"/>
      <c r="IND206" s="3"/>
      <c r="INE206" s="3"/>
      <c r="INF206" s="3"/>
      <c r="ING206" s="3"/>
      <c r="INH206" s="3"/>
      <c r="INI206" s="3"/>
      <c r="INJ206" s="3"/>
      <c r="INK206" s="3"/>
      <c r="INL206" s="3"/>
      <c r="INM206" s="3"/>
      <c r="INN206" s="3"/>
      <c r="INO206" s="3"/>
      <c r="INP206" s="3"/>
      <c r="INQ206" s="3"/>
      <c r="INR206" s="3"/>
      <c r="INS206" s="3"/>
      <c r="INT206" s="3"/>
      <c r="INU206" s="3"/>
      <c r="INV206" s="3"/>
      <c r="INW206" s="3"/>
      <c r="INX206" s="3"/>
      <c r="INY206" s="3"/>
      <c r="INZ206" s="3"/>
      <c r="IOA206" s="3"/>
      <c r="IOB206" s="3"/>
      <c r="IOC206" s="3"/>
      <c r="IOD206" s="3"/>
      <c r="IOE206" s="3"/>
      <c r="IOF206" s="3"/>
      <c r="IOG206" s="3"/>
      <c r="IOH206" s="3"/>
      <c r="IOI206" s="3"/>
      <c r="IOJ206" s="3"/>
      <c r="IOK206" s="3"/>
      <c r="IOL206" s="3"/>
      <c r="IOM206" s="3"/>
      <c r="ION206" s="3"/>
      <c r="IOO206" s="3"/>
      <c r="IOP206" s="3"/>
      <c r="IOQ206" s="3"/>
      <c r="IOR206" s="3"/>
      <c r="IOS206" s="3"/>
      <c r="IOT206" s="3"/>
      <c r="IOU206" s="3"/>
      <c r="IOV206" s="3"/>
      <c r="IOW206" s="3"/>
      <c r="IOX206" s="3"/>
      <c r="IOY206" s="3"/>
      <c r="IOZ206" s="3"/>
      <c r="IPA206" s="3"/>
      <c r="IPB206" s="3"/>
      <c r="IPC206" s="3"/>
      <c r="IPD206" s="3"/>
      <c r="IPE206" s="3"/>
      <c r="IPF206" s="3"/>
      <c r="IPG206" s="3"/>
      <c r="IPH206" s="3"/>
      <c r="IPI206" s="3"/>
      <c r="IPJ206" s="3"/>
      <c r="IPK206" s="3"/>
      <c r="IPL206" s="3"/>
      <c r="IPM206" s="3"/>
      <c r="IPN206" s="3"/>
      <c r="IPO206" s="3"/>
      <c r="IPP206" s="3"/>
      <c r="IPQ206" s="3"/>
      <c r="IPR206" s="3"/>
      <c r="IPS206" s="3"/>
      <c r="IPT206" s="3"/>
      <c r="IPU206" s="3"/>
      <c r="IPV206" s="3"/>
      <c r="IPW206" s="3"/>
      <c r="IPX206" s="3"/>
      <c r="IPY206" s="3"/>
      <c r="IPZ206" s="3"/>
      <c r="IQA206" s="3"/>
      <c r="IQB206" s="3"/>
      <c r="IQC206" s="3"/>
      <c r="IQD206" s="3"/>
      <c r="IQE206" s="3"/>
      <c r="IQF206" s="3"/>
      <c r="IQG206" s="3"/>
      <c r="IQH206" s="3"/>
      <c r="IQI206" s="3"/>
      <c r="IQJ206" s="3"/>
      <c r="IQK206" s="3"/>
      <c r="IQL206" s="3"/>
      <c r="IQM206" s="3"/>
      <c r="IQN206" s="3"/>
      <c r="IQO206" s="3"/>
      <c r="IQP206" s="3"/>
      <c r="IQQ206" s="3"/>
      <c r="IQR206" s="3"/>
      <c r="IQS206" s="3"/>
      <c r="IQT206" s="3"/>
      <c r="IQU206" s="3"/>
      <c r="IQV206" s="3"/>
      <c r="IQW206" s="3"/>
      <c r="IQX206" s="3"/>
      <c r="IQY206" s="3"/>
      <c r="IQZ206" s="3"/>
      <c r="IRA206" s="3"/>
      <c r="IRB206" s="3"/>
      <c r="IRC206" s="3"/>
      <c r="IRD206" s="3"/>
      <c r="IRE206" s="3"/>
      <c r="IRF206" s="3"/>
      <c r="IRG206" s="3"/>
      <c r="IRH206" s="3"/>
      <c r="IRI206" s="3"/>
      <c r="IRJ206" s="3"/>
      <c r="IRK206" s="3"/>
      <c r="IRL206" s="3"/>
      <c r="IRM206" s="3"/>
      <c r="IRN206" s="3"/>
      <c r="IRO206" s="3"/>
      <c r="IRP206" s="3"/>
      <c r="IRQ206" s="3"/>
      <c r="IRR206" s="3"/>
      <c r="IRS206" s="3"/>
      <c r="IRT206" s="3"/>
      <c r="IRU206" s="3"/>
      <c r="IRV206" s="3"/>
      <c r="IRW206" s="3"/>
      <c r="IRX206" s="3"/>
      <c r="IRY206" s="3"/>
      <c r="IRZ206" s="3"/>
      <c r="ISA206" s="3"/>
      <c r="ISB206" s="3"/>
      <c r="ISC206" s="3"/>
      <c r="ISD206" s="3"/>
      <c r="ISE206" s="3"/>
      <c r="ISF206" s="3"/>
      <c r="ISG206" s="3"/>
      <c r="ISH206" s="3"/>
      <c r="ISI206" s="3"/>
      <c r="ISJ206" s="3"/>
      <c r="ISK206" s="3"/>
      <c r="ISL206" s="3"/>
      <c r="ISM206" s="3"/>
      <c r="ISN206" s="3"/>
      <c r="ISO206" s="3"/>
      <c r="ISP206" s="3"/>
      <c r="ISQ206" s="3"/>
      <c r="ISR206" s="3"/>
      <c r="ISS206" s="3"/>
      <c r="IST206" s="3"/>
      <c r="ISU206" s="3"/>
      <c r="ISV206" s="3"/>
      <c r="ISW206" s="3"/>
      <c r="ISX206" s="3"/>
      <c r="ISY206" s="3"/>
      <c r="ISZ206" s="3"/>
      <c r="ITA206" s="3"/>
      <c r="ITB206" s="3"/>
      <c r="ITC206" s="3"/>
      <c r="ITD206" s="3"/>
      <c r="ITE206" s="3"/>
      <c r="ITF206" s="3"/>
      <c r="ITG206" s="3"/>
      <c r="ITH206" s="3"/>
      <c r="ITI206" s="3"/>
      <c r="ITJ206" s="3"/>
      <c r="ITK206" s="3"/>
      <c r="ITL206" s="3"/>
      <c r="ITM206" s="3"/>
      <c r="ITN206" s="3"/>
      <c r="ITO206" s="3"/>
      <c r="ITP206" s="3"/>
      <c r="ITQ206" s="3"/>
      <c r="ITR206" s="3"/>
      <c r="ITS206" s="3"/>
      <c r="ITT206" s="3"/>
      <c r="ITU206" s="3"/>
      <c r="ITV206" s="3"/>
      <c r="ITW206" s="3"/>
      <c r="ITX206" s="3"/>
      <c r="ITY206" s="3"/>
      <c r="ITZ206" s="3"/>
      <c r="IUA206" s="3"/>
      <c r="IUB206" s="3"/>
      <c r="IUC206" s="3"/>
      <c r="IUD206" s="3"/>
      <c r="IUE206" s="3"/>
      <c r="IUF206" s="3"/>
      <c r="IUG206" s="3"/>
      <c r="IUH206" s="3"/>
      <c r="IUI206" s="3"/>
      <c r="IUJ206" s="3"/>
      <c r="IUK206" s="3"/>
      <c r="IUL206" s="3"/>
      <c r="IUM206" s="3"/>
      <c r="IUN206" s="3"/>
      <c r="IUO206" s="3"/>
      <c r="IUP206" s="3"/>
      <c r="IUQ206" s="3"/>
      <c r="IUR206" s="3"/>
      <c r="IUS206" s="3"/>
      <c r="IUT206" s="3"/>
      <c r="IUU206" s="3"/>
      <c r="IUV206" s="3"/>
      <c r="IUW206" s="3"/>
      <c r="IUX206" s="3"/>
      <c r="IUY206" s="3"/>
      <c r="IUZ206" s="3"/>
      <c r="IVA206" s="3"/>
      <c r="IVB206" s="3"/>
      <c r="IVC206" s="3"/>
      <c r="IVD206" s="3"/>
      <c r="IVE206" s="3"/>
      <c r="IVF206" s="3"/>
      <c r="IVG206" s="3"/>
      <c r="IVH206" s="3"/>
      <c r="IVI206" s="3"/>
      <c r="IVJ206" s="3"/>
      <c r="IVK206" s="3"/>
      <c r="IVL206" s="3"/>
      <c r="IVM206" s="3"/>
      <c r="IVN206" s="3"/>
      <c r="IVO206" s="3"/>
      <c r="IVP206" s="3"/>
      <c r="IVQ206" s="3"/>
      <c r="IVR206" s="3"/>
      <c r="IVS206" s="3"/>
      <c r="IVT206" s="3"/>
      <c r="IVU206" s="3"/>
      <c r="IVV206" s="3"/>
      <c r="IVW206" s="3"/>
      <c r="IVX206" s="3"/>
      <c r="IVY206" s="3"/>
      <c r="IVZ206" s="3"/>
      <c r="IWA206" s="3"/>
      <c r="IWB206" s="3"/>
      <c r="IWC206" s="3"/>
      <c r="IWD206" s="3"/>
      <c r="IWE206" s="3"/>
      <c r="IWF206" s="3"/>
      <c r="IWG206" s="3"/>
      <c r="IWH206" s="3"/>
      <c r="IWI206" s="3"/>
      <c r="IWJ206" s="3"/>
      <c r="IWK206" s="3"/>
      <c r="IWL206" s="3"/>
      <c r="IWM206" s="3"/>
      <c r="IWN206" s="3"/>
      <c r="IWO206" s="3"/>
      <c r="IWP206" s="3"/>
      <c r="IWQ206" s="3"/>
      <c r="IWR206" s="3"/>
      <c r="IWS206" s="3"/>
      <c r="IWT206" s="3"/>
      <c r="IWU206" s="3"/>
      <c r="IWV206" s="3"/>
      <c r="IWW206" s="3"/>
      <c r="IWX206" s="3"/>
      <c r="IWY206" s="3"/>
      <c r="IWZ206" s="3"/>
      <c r="IXA206" s="3"/>
      <c r="IXB206" s="3"/>
      <c r="IXC206" s="3"/>
      <c r="IXD206" s="3"/>
      <c r="IXE206" s="3"/>
      <c r="IXF206" s="3"/>
      <c r="IXG206" s="3"/>
      <c r="IXH206" s="3"/>
      <c r="IXI206" s="3"/>
      <c r="IXJ206" s="3"/>
      <c r="IXK206" s="3"/>
      <c r="IXL206" s="3"/>
      <c r="IXM206" s="3"/>
      <c r="IXN206" s="3"/>
      <c r="IXO206" s="3"/>
      <c r="IXP206" s="3"/>
      <c r="IXQ206" s="3"/>
      <c r="IXR206" s="3"/>
      <c r="IXS206" s="3"/>
      <c r="IXT206" s="3"/>
      <c r="IXU206" s="3"/>
      <c r="IXV206" s="3"/>
      <c r="IXW206" s="3"/>
      <c r="IXX206" s="3"/>
      <c r="IXY206" s="3"/>
      <c r="IXZ206" s="3"/>
      <c r="IYA206" s="3"/>
      <c r="IYB206" s="3"/>
      <c r="IYC206" s="3"/>
      <c r="IYD206" s="3"/>
      <c r="IYE206" s="3"/>
      <c r="IYF206" s="3"/>
      <c r="IYG206" s="3"/>
      <c r="IYH206" s="3"/>
      <c r="IYI206" s="3"/>
      <c r="IYJ206" s="3"/>
      <c r="IYK206" s="3"/>
      <c r="IYL206" s="3"/>
      <c r="IYM206" s="3"/>
      <c r="IYN206" s="3"/>
      <c r="IYO206" s="3"/>
      <c r="IYP206" s="3"/>
      <c r="IYQ206" s="3"/>
      <c r="IYR206" s="3"/>
      <c r="IYS206" s="3"/>
      <c r="IYT206" s="3"/>
      <c r="IYU206" s="3"/>
      <c r="IYV206" s="3"/>
      <c r="IYW206" s="3"/>
      <c r="IYX206" s="3"/>
      <c r="IYY206" s="3"/>
      <c r="IYZ206" s="3"/>
      <c r="IZA206" s="3"/>
      <c r="IZB206" s="3"/>
      <c r="IZC206" s="3"/>
      <c r="IZD206" s="3"/>
      <c r="IZE206" s="3"/>
      <c r="IZF206" s="3"/>
      <c r="IZG206" s="3"/>
      <c r="IZH206" s="3"/>
      <c r="IZI206" s="3"/>
      <c r="IZJ206" s="3"/>
      <c r="IZK206" s="3"/>
      <c r="IZL206" s="3"/>
      <c r="IZM206" s="3"/>
      <c r="IZN206" s="3"/>
      <c r="IZO206" s="3"/>
      <c r="IZP206" s="3"/>
      <c r="IZQ206" s="3"/>
      <c r="IZR206" s="3"/>
      <c r="IZS206" s="3"/>
      <c r="IZT206" s="3"/>
      <c r="IZU206" s="3"/>
      <c r="IZV206" s="3"/>
      <c r="IZW206" s="3"/>
      <c r="IZX206" s="3"/>
      <c r="IZY206" s="3"/>
      <c r="IZZ206" s="3"/>
      <c r="JAA206" s="3"/>
      <c r="JAB206" s="3"/>
      <c r="JAC206" s="3"/>
      <c r="JAD206" s="3"/>
      <c r="JAE206" s="3"/>
      <c r="JAF206" s="3"/>
      <c r="JAG206" s="3"/>
      <c r="JAH206" s="3"/>
      <c r="JAI206" s="3"/>
      <c r="JAJ206" s="3"/>
      <c r="JAK206" s="3"/>
      <c r="JAL206" s="3"/>
      <c r="JAM206" s="3"/>
      <c r="JAN206" s="3"/>
      <c r="JAO206" s="3"/>
      <c r="JAP206" s="3"/>
      <c r="JAQ206" s="3"/>
      <c r="JAR206" s="3"/>
      <c r="JAS206" s="3"/>
      <c r="JAT206" s="3"/>
      <c r="JAU206" s="3"/>
      <c r="JAV206" s="3"/>
      <c r="JAW206" s="3"/>
      <c r="JAX206" s="3"/>
      <c r="JAY206" s="3"/>
      <c r="JAZ206" s="3"/>
      <c r="JBA206" s="3"/>
      <c r="JBB206" s="3"/>
      <c r="JBC206" s="3"/>
      <c r="JBD206" s="3"/>
      <c r="JBE206" s="3"/>
      <c r="JBF206" s="3"/>
      <c r="JBG206" s="3"/>
      <c r="JBH206" s="3"/>
      <c r="JBI206" s="3"/>
      <c r="JBJ206" s="3"/>
      <c r="JBK206" s="3"/>
      <c r="JBL206" s="3"/>
      <c r="JBM206" s="3"/>
      <c r="JBN206" s="3"/>
      <c r="JBO206" s="3"/>
      <c r="JBP206" s="3"/>
      <c r="JBQ206" s="3"/>
      <c r="JBR206" s="3"/>
      <c r="JBS206" s="3"/>
      <c r="JBT206" s="3"/>
      <c r="JBU206" s="3"/>
      <c r="JBV206" s="3"/>
      <c r="JBW206" s="3"/>
      <c r="JBX206" s="3"/>
      <c r="JBY206" s="3"/>
      <c r="JBZ206" s="3"/>
      <c r="JCA206" s="3"/>
      <c r="JCB206" s="3"/>
      <c r="JCC206" s="3"/>
      <c r="JCD206" s="3"/>
      <c r="JCE206" s="3"/>
      <c r="JCF206" s="3"/>
      <c r="JCG206" s="3"/>
      <c r="JCH206" s="3"/>
      <c r="JCI206" s="3"/>
      <c r="JCJ206" s="3"/>
      <c r="JCK206" s="3"/>
      <c r="JCL206" s="3"/>
      <c r="JCM206" s="3"/>
      <c r="JCN206" s="3"/>
      <c r="JCO206" s="3"/>
      <c r="JCP206" s="3"/>
      <c r="JCQ206" s="3"/>
      <c r="JCR206" s="3"/>
      <c r="JCS206" s="3"/>
      <c r="JCT206" s="3"/>
      <c r="JCU206" s="3"/>
      <c r="JCV206" s="3"/>
      <c r="JCW206" s="3"/>
      <c r="JCX206" s="3"/>
      <c r="JCY206" s="3"/>
      <c r="JCZ206" s="3"/>
      <c r="JDA206" s="3"/>
      <c r="JDB206" s="3"/>
      <c r="JDC206" s="3"/>
      <c r="JDD206" s="3"/>
      <c r="JDE206" s="3"/>
      <c r="JDF206" s="3"/>
      <c r="JDG206" s="3"/>
      <c r="JDH206" s="3"/>
      <c r="JDI206" s="3"/>
      <c r="JDJ206" s="3"/>
      <c r="JDK206" s="3"/>
      <c r="JDL206" s="3"/>
      <c r="JDM206" s="3"/>
      <c r="JDN206" s="3"/>
      <c r="JDO206" s="3"/>
      <c r="JDP206" s="3"/>
      <c r="JDQ206" s="3"/>
      <c r="JDR206" s="3"/>
      <c r="JDS206" s="3"/>
      <c r="JDT206" s="3"/>
      <c r="JDU206" s="3"/>
      <c r="JDV206" s="3"/>
      <c r="JDW206" s="3"/>
      <c r="JDX206" s="3"/>
      <c r="JDY206" s="3"/>
      <c r="JDZ206" s="3"/>
      <c r="JEA206" s="3"/>
      <c r="JEB206" s="3"/>
      <c r="JEC206" s="3"/>
      <c r="JED206" s="3"/>
      <c r="JEE206" s="3"/>
      <c r="JEF206" s="3"/>
      <c r="JEG206" s="3"/>
      <c r="JEH206" s="3"/>
      <c r="JEI206" s="3"/>
      <c r="JEJ206" s="3"/>
      <c r="JEK206" s="3"/>
      <c r="JEL206" s="3"/>
      <c r="JEM206" s="3"/>
      <c r="JEN206" s="3"/>
      <c r="JEO206" s="3"/>
      <c r="JEP206" s="3"/>
      <c r="JEQ206" s="3"/>
      <c r="JER206" s="3"/>
      <c r="JES206" s="3"/>
      <c r="JET206" s="3"/>
      <c r="JEU206" s="3"/>
      <c r="JEV206" s="3"/>
      <c r="JEW206" s="3"/>
      <c r="JEX206" s="3"/>
      <c r="JEY206" s="3"/>
      <c r="JEZ206" s="3"/>
      <c r="JFA206" s="3"/>
      <c r="JFB206" s="3"/>
      <c r="JFC206" s="3"/>
      <c r="JFD206" s="3"/>
      <c r="JFE206" s="3"/>
      <c r="JFF206" s="3"/>
      <c r="JFG206" s="3"/>
      <c r="JFH206" s="3"/>
      <c r="JFI206" s="3"/>
      <c r="JFJ206" s="3"/>
      <c r="JFK206" s="3"/>
      <c r="JFL206" s="3"/>
      <c r="JFM206" s="3"/>
      <c r="JFN206" s="3"/>
      <c r="JFO206" s="3"/>
      <c r="JFP206" s="3"/>
      <c r="JFQ206" s="3"/>
      <c r="JFR206" s="3"/>
      <c r="JFS206" s="3"/>
      <c r="JFT206" s="3"/>
      <c r="JFU206" s="3"/>
      <c r="JFV206" s="3"/>
      <c r="JFW206" s="3"/>
      <c r="JFX206" s="3"/>
      <c r="JFY206" s="3"/>
      <c r="JFZ206" s="3"/>
      <c r="JGA206" s="3"/>
      <c r="JGB206" s="3"/>
      <c r="JGC206" s="3"/>
      <c r="JGD206" s="3"/>
      <c r="JGE206" s="3"/>
      <c r="JGF206" s="3"/>
      <c r="JGG206" s="3"/>
      <c r="JGH206" s="3"/>
      <c r="JGI206" s="3"/>
      <c r="JGJ206" s="3"/>
      <c r="JGK206" s="3"/>
      <c r="JGL206" s="3"/>
      <c r="JGM206" s="3"/>
      <c r="JGN206" s="3"/>
      <c r="JGO206" s="3"/>
      <c r="JGP206" s="3"/>
      <c r="JGQ206" s="3"/>
      <c r="JGR206" s="3"/>
      <c r="JGS206" s="3"/>
      <c r="JGT206" s="3"/>
      <c r="JGU206" s="3"/>
      <c r="JGV206" s="3"/>
      <c r="JGW206" s="3"/>
      <c r="JGX206" s="3"/>
      <c r="JGY206" s="3"/>
      <c r="JGZ206" s="3"/>
      <c r="JHA206" s="3"/>
      <c r="JHB206" s="3"/>
      <c r="JHC206" s="3"/>
      <c r="JHD206" s="3"/>
      <c r="JHE206" s="3"/>
      <c r="JHF206" s="3"/>
      <c r="JHG206" s="3"/>
      <c r="JHH206" s="3"/>
      <c r="JHI206" s="3"/>
      <c r="JHJ206" s="3"/>
      <c r="JHK206" s="3"/>
      <c r="JHL206" s="3"/>
      <c r="JHM206" s="3"/>
      <c r="JHN206" s="3"/>
      <c r="JHO206" s="3"/>
      <c r="JHP206" s="3"/>
      <c r="JHQ206" s="3"/>
      <c r="JHR206" s="3"/>
      <c r="JHS206" s="3"/>
      <c r="JHT206" s="3"/>
      <c r="JHU206" s="3"/>
      <c r="JHV206" s="3"/>
      <c r="JHW206" s="3"/>
      <c r="JHX206" s="3"/>
      <c r="JHY206" s="3"/>
      <c r="JHZ206" s="3"/>
      <c r="JIA206" s="3"/>
      <c r="JIB206" s="3"/>
      <c r="JIC206" s="3"/>
      <c r="JID206" s="3"/>
      <c r="JIE206" s="3"/>
      <c r="JIF206" s="3"/>
      <c r="JIG206" s="3"/>
      <c r="JIH206" s="3"/>
      <c r="JII206" s="3"/>
      <c r="JIJ206" s="3"/>
      <c r="JIK206" s="3"/>
      <c r="JIL206" s="3"/>
      <c r="JIM206" s="3"/>
      <c r="JIN206" s="3"/>
      <c r="JIO206" s="3"/>
      <c r="JIP206" s="3"/>
      <c r="JIQ206" s="3"/>
      <c r="JIR206" s="3"/>
      <c r="JIS206" s="3"/>
      <c r="JIT206" s="3"/>
      <c r="JIU206" s="3"/>
      <c r="JIV206" s="3"/>
      <c r="JIW206" s="3"/>
      <c r="JIX206" s="3"/>
      <c r="JIY206" s="3"/>
      <c r="JIZ206" s="3"/>
      <c r="JJA206" s="3"/>
      <c r="JJB206" s="3"/>
      <c r="JJC206" s="3"/>
      <c r="JJD206" s="3"/>
      <c r="JJE206" s="3"/>
      <c r="JJF206" s="3"/>
      <c r="JJG206" s="3"/>
      <c r="JJH206" s="3"/>
      <c r="JJI206" s="3"/>
      <c r="JJJ206" s="3"/>
      <c r="JJK206" s="3"/>
      <c r="JJL206" s="3"/>
      <c r="JJM206" s="3"/>
      <c r="JJN206" s="3"/>
      <c r="JJO206" s="3"/>
      <c r="JJP206" s="3"/>
      <c r="JJQ206" s="3"/>
      <c r="JJR206" s="3"/>
      <c r="JJS206" s="3"/>
      <c r="JJT206" s="3"/>
      <c r="JJU206" s="3"/>
      <c r="JJV206" s="3"/>
      <c r="JJW206" s="3"/>
      <c r="JJX206" s="3"/>
      <c r="JJY206" s="3"/>
      <c r="JJZ206" s="3"/>
      <c r="JKA206" s="3"/>
      <c r="JKB206" s="3"/>
      <c r="JKC206" s="3"/>
      <c r="JKD206" s="3"/>
      <c r="JKE206" s="3"/>
      <c r="JKF206" s="3"/>
      <c r="JKG206" s="3"/>
      <c r="JKH206" s="3"/>
      <c r="JKI206" s="3"/>
      <c r="JKJ206" s="3"/>
      <c r="JKK206" s="3"/>
      <c r="JKL206" s="3"/>
      <c r="JKM206" s="3"/>
      <c r="JKN206" s="3"/>
      <c r="JKO206" s="3"/>
      <c r="JKP206" s="3"/>
      <c r="JKQ206" s="3"/>
      <c r="JKR206" s="3"/>
      <c r="JKS206" s="3"/>
      <c r="JKT206" s="3"/>
      <c r="JKU206" s="3"/>
      <c r="JKV206" s="3"/>
      <c r="JKW206" s="3"/>
      <c r="JKX206" s="3"/>
      <c r="JKY206" s="3"/>
      <c r="JKZ206" s="3"/>
      <c r="JLA206" s="3"/>
      <c r="JLB206" s="3"/>
      <c r="JLC206" s="3"/>
      <c r="JLD206" s="3"/>
      <c r="JLE206" s="3"/>
      <c r="JLF206" s="3"/>
      <c r="JLG206" s="3"/>
      <c r="JLH206" s="3"/>
      <c r="JLI206" s="3"/>
      <c r="JLJ206" s="3"/>
      <c r="JLK206" s="3"/>
      <c r="JLL206" s="3"/>
      <c r="JLM206" s="3"/>
      <c r="JLN206" s="3"/>
      <c r="JLO206" s="3"/>
      <c r="JLP206" s="3"/>
      <c r="JLQ206" s="3"/>
      <c r="JLR206" s="3"/>
      <c r="JLS206" s="3"/>
      <c r="JLT206" s="3"/>
      <c r="JLU206" s="3"/>
      <c r="JLV206" s="3"/>
      <c r="JLW206" s="3"/>
      <c r="JLX206" s="3"/>
      <c r="JLY206" s="3"/>
      <c r="JLZ206" s="3"/>
      <c r="JMA206" s="3"/>
      <c r="JMB206" s="3"/>
      <c r="JMC206" s="3"/>
      <c r="JMD206" s="3"/>
      <c r="JME206" s="3"/>
      <c r="JMF206" s="3"/>
      <c r="JMG206" s="3"/>
      <c r="JMH206" s="3"/>
      <c r="JMI206" s="3"/>
      <c r="JMJ206" s="3"/>
      <c r="JMK206" s="3"/>
      <c r="JML206" s="3"/>
      <c r="JMM206" s="3"/>
      <c r="JMN206" s="3"/>
      <c r="JMO206" s="3"/>
      <c r="JMP206" s="3"/>
      <c r="JMQ206" s="3"/>
      <c r="JMR206" s="3"/>
      <c r="JMS206" s="3"/>
      <c r="JMT206" s="3"/>
      <c r="JMU206" s="3"/>
      <c r="JMV206" s="3"/>
      <c r="JMW206" s="3"/>
      <c r="JMX206" s="3"/>
      <c r="JMY206" s="3"/>
      <c r="JMZ206" s="3"/>
      <c r="JNA206" s="3"/>
      <c r="JNB206" s="3"/>
      <c r="JNC206" s="3"/>
      <c r="JND206" s="3"/>
      <c r="JNE206" s="3"/>
      <c r="JNF206" s="3"/>
      <c r="JNG206" s="3"/>
      <c r="JNH206" s="3"/>
      <c r="JNI206" s="3"/>
      <c r="JNJ206" s="3"/>
      <c r="JNK206" s="3"/>
      <c r="JNL206" s="3"/>
      <c r="JNM206" s="3"/>
      <c r="JNN206" s="3"/>
      <c r="JNO206" s="3"/>
      <c r="JNP206" s="3"/>
      <c r="JNQ206" s="3"/>
      <c r="JNR206" s="3"/>
      <c r="JNS206" s="3"/>
      <c r="JNT206" s="3"/>
      <c r="JNU206" s="3"/>
      <c r="JNV206" s="3"/>
      <c r="JNW206" s="3"/>
      <c r="JNX206" s="3"/>
      <c r="JNY206" s="3"/>
      <c r="JNZ206" s="3"/>
      <c r="JOA206" s="3"/>
      <c r="JOB206" s="3"/>
      <c r="JOC206" s="3"/>
      <c r="JOD206" s="3"/>
      <c r="JOE206" s="3"/>
      <c r="JOF206" s="3"/>
      <c r="JOG206" s="3"/>
      <c r="JOH206" s="3"/>
      <c r="JOI206" s="3"/>
      <c r="JOJ206" s="3"/>
      <c r="JOK206" s="3"/>
      <c r="JOL206" s="3"/>
      <c r="JOM206" s="3"/>
      <c r="JON206" s="3"/>
      <c r="JOO206" s="3"/>
      <c r="JOP206" s="3"/>
      <c r="JOQ206" s="3"/>
      <c r="JOR206" s="3"/>
      <c r="JOS206" s="3"/>
      <c r="JOT206" s="3"/>
      <c r="JOU206" s="3"/>
      <c r="JOV206" s="3"/>
      <c r="JOW206" s="3"/>
      <c r="JOX206" s="3"/>
      <c r="JOY206" s="3"/>
      <c r="JOZ206" s="3"/>
      <c r="JPA206" s="3"/>
      <c r="JPB206" s="3"/>
      <c r="JPC206" s="3"/>
      <c r="JPD206" s="3"/>
      <c r="JPE206" s="3"/>
      <c r="JPF206" s="3"/>
      <c r="JPG206" s="3"/>
      <c r="JPH206" s="3"/>
      <c r="JPI206" s="3"/>
      <c r="JPJ206" s="3"/>
      <c r="JPK206" s="3"/>
      <c r="JPL206" s="3"/>
      <c r="JPM206" s="3"/>
      <c r="JPN206" s="3"/>
      <c r="JPO206" s="3"/>
      <c r="JPP206" s="3"/>
      <c r="JPQ206" s="3"/>
      <c r="JPR206" s="3"/>
      <c r="JPS206" s="3"/>
      <c r="JPT206" s="3"/>
      <c r="JPU206" s="3"/>
      <c r="JPV206" s="3"/>
      <c r="JPW206" s="3"/>
      <c r="JPX206" s="3"/>
      <c r="JPY206" s="3"/>
      <c r="JPZ206" s="3"/>
      <c r="JQA206" s="3"/>
      <c r="JQB206" s="3"/>
      <c r="JQC206" s="3"/>
      <c r="JQD206" s="3"/>
      <c r="JQE206" s="3"/>
      <c r="JQF206" s="3"/>
      <c r="JQG206" s="3"/>
      <c r="JQH206" s="3"/>
      <c r="JQI206" s="3"/>
      <c r="JQJ206" s="3"/>
      <c r="JQK206" s="3"/>
      <c r="JQL206" s="3"/>
      <c r="JQM206" s="3"/>
      <c r="JQN206" s="3"/>
      <c r="JQO206" s="3"/>
      <c r="JQP206" s="3"/>
      <c r="JQQ206" s="3"/>
      <c r="JQR206" s="3"/>
      <c r="JQS206" s="3"/>
      <c r="JQT206" s="3"/>
      <c r="JQU206" s="3"/>
      <c r="JQV206" s="3"/>
      <c r="JQW206" s="3"/>
      <c r="JQX206" s="3"/>
      <c r="JQY206" s="3"/>
      <c r="JQZ206" s="3"/>
      <c r="JRA206" s="3"/>
      <c r="JRB206" s="3"/>
      <c r="JRC206" s="3"/>
      <c r="JRD206" s="3"/>
      <c r="JRE206" s="3"/>
      <c r="JRF206" s="3"/>
      <c r="JRG206" s="3"/>
      <c r="JRH206" s="3"/>
      <c r="JRI206" s="3"/>
      <c r="JRJ206" s="3"/>
      <c r="JRK206" s="3"/>
      <c r="JRL206" s="3"/>
      <c r="JRM206" s="3"/>
      <c r="JRN206" s="3"/>
      <c r="JRO206" s="3"/>
      <c r="JRP206" s="3"/>
      <c r="JRQ206" s="3"/>
      <c r="JRR206" s="3"/>
      <c r="JRS206" s="3"/>
      <c r="JRT206" s="3"/>
      <c r="JRU206" s="3"/>
      <c r="JRV206" s="3"/>
      <c r="JRW206" s="3"/>
      <c r="JRX206" s="3"/>
      <c r="JRY206" s="3"/>
      <c r="JRZ206" s="3"/>
      <c r="JSA206" s="3"/>
      <c r="JSB206" s="3"/>
      <c r="JSC206" s="3"/>
      <c r="JSD206" s="3"/>
      <c r="JSE206" s="3"/>
      <c r="JSF206" s="3"/>
      <c r="JSG206" s="3"/>
      <c r="JSH206" s="3"/>
      <c r="JSI206" s="3"/>
      <c r="JSJ206" s="3"/>
      <c r="JSK206" s="3"/>
      <c r="JSL206" s="3"/>
      <c r="JSM206" s="3"/>
      <c r="JSN206" s="3"/>
      <c r="JSO206" s="3"/>
      <c r="JSP206" s="3"/>
      <c r="JSQ206" s="3"/>
      <c r="JSR206" s="3"/>
      <c r="JSS206" s="3"/>
      <c r="JST206" s="3"/>
      <c r="JSU206" s="3"/>
      <c r="JSV206" s="3"/>
      <c r="JSW206" s="3"/>
      <c r="JSX206" s="3"/>
      <c r="JSY206" s="3"/>
      <c r="JSZ206" s="3"/>
      <c r="JTA206" s="3"/>
      <c r="JTB206" s="3"/>
      <c r="JTC206" s="3"/>
      <c r="JTD206" s="3"/>
      <c r="JTE206" s="3"/>
      <c r="JTF206" s="3"/>
      <c r="JTG206" s="3"/>
      <c r="JTH206" s="3"/>
      <c r="JTI206" s="3"/>
      <c r="JTJ206" s="3"/>
      <c r="JTK206" s="3"/>
      <c r="JTL206" s="3"/>
      <c r="JTM206" s="3"/>
      <c r="JTN206" s="3"/>
      <c r="JTO206" s="3"/>
      <c r="JTP206" s="3"/>
      <c r="JTQ206" s="3"/>
      <c r="JTR206" s="3"/>
      <c r="JTS206" s="3"/>
      <c r="JTT206" s="3"/>
      <c r="JTU206" s="3"/>
      <c r="JTV206" s="3"/>
      <c r="JTW206" s="3"/>
      <c r="JTX206" s="3"/>
      <c r="JTY206" s="3"/>
      <c r="JTZ206" s="3"/>
      <c r="JUA206" s="3"/>
      <c r="JUB206" s="3"/>
      <c r="JUC206" s="3"/>
      <c r="JUD206" s="3"/>
      <c r="JUE206" s="3"/>
      <c r="JUF206" s="3"/>
      <c r="JUG206" s="3"/>
      <c r="JUH206" s="3"/>
      <c r="JUI206" s="3"/>
      <c r="JUJ206" s="3"/>
      <c r="JUK206" s="3"/>
      <c r="JUL206" s="3"/>
      <c r="JUM206" s="3"/>
      <c r="JUN206" s="3"/>
      <c r="JUO206" s="3"/>
      <c r="JUP206" s="3"/>
      <c r="JUQ206" s="3"/>
      <c r="JUR206" s="3"/>
      <c r="JUS206" s="3"/>
      <c r="JUT206" s="3"/>
      <c r="JUU206" s="3"/>
      <c r="JUV206" s="3"/>
      <c r="JUW206" s="3"/>
      <c r="JUX206" s="3"/>
      <c r="JUY206" s="3"/>
      <c r="JUZ206" s="3"/>
      <c r="JVA206" s="3"/>
      <c r="JVB206" s="3"/>
      <c r="JVC206" s="3"/>
      <c r="JVD206" s="3"/>
      <c r="JVE206" s="3"/>
      <c r="JVF206" s="3"/>
      <c r="JVG206" s="3"/>
      <c r="JVH206" s="3"/>
      <c r="JVI206" s="3"/>
      <c r="JVJ206" s="3"/>
      <c r="JVK206" s="3"/>
      <c r="JVL206" s="3"/>
      <c r="JVM206" s="3"/>
      <c r="JVN206" s="3"/>
      <c r="JVO206" s="3"/>
      <c r="JVP206" s="3"/>
      <c r="JVQ206" s="3"/>
      <c r="JVR206" s="3"/>
      <c r="JVS206" s="3"/>
      <c r="JVT206" s="3"/>
      <c r="JVU206" s="3"/>
      <c r="JVV206" s="3"/>
      <c r="JVW206" s="3"/>
      <c r="JVX206" s="3"/>
      <c r="JVY206" s="3"/>
      <c r="JVZ206" s="3"/>
      <c r="JWA206" s="3"/>
      <c r="JWB206" s="3"/>
      <c r="JWC206" s="3"/>
      <c r="JWD206" s="3"/>
      <c r="JWE206" s="3"/>
      <c r="JWF206" s="3"/>
      <c r="JWG206" s="3"/>
      <c r="JWH206" s="3"/>
      <c r="JWI206" s="3"/>
      <c r="JWJ206" s="3"/>
      <c r="JWK206" s="3"/>
      <c r="JWL206" s="3"/>
      <c r="JWM206" s="3"/>
      <c r="JWN206" s="3"/>
      <c r="JWO206" s="3"/>
      <c r="JWP206" s="3"/>
      <c r="JWQ206" s="3"/>
      <c r="JWR206" s="3"/>
      <c r="JWS206" s="3"/>
      <c r="JWT206" s="3"/>
      <c r="JWU206" s="3"/>
      <c r="JWV206" s="3"/>
      <c r="JWW206" s="3"/>
      <c r="JWX206" s="3"/>
      <c r="JWY206" s="3"/>
      <c r="JWZ206" s="3"/>
      <c r="JXA206" s="3"/>
      <c r="JXB206" s="3"/>
      <c r="JXC206" s="3"/>
      <c r="JXD206" s="3"/>
      <c r="JXE206" s="3"/>
      <c r="JXF206" s="3"/>
      <c r="JXG206" s="3"/>
      <c r="JXH206" s="3"/>
      <c r="JXI206" s="3"/>
      <c r="JXJ206" s="3"/>
      <c r="JXK206" s="3"/>
      <c r="JXL206" s="3"/>
      <c r="JXM206" s="3"/>
      <c r="JXN206" s="3"/>
      <c r="JXO206" s="3"/>
      <c r="JXP206" s="3"/>
      <c r="JXQ206" s="3"/>
      <c r="JXR206" s="3"/>
      <c r="JXS206" s="3"/>
      <c r="JXT206" s="3"/>
      <c r="JXU206" s="3"/>
      <c r="JXV206" s="3"/>
      <c r="JXW206" s="3"/>
      <c r="JXX206" s="3"/>
      <c r="JXY206" s="3"/>
      <c r="JXZ206" s="3"/>
      <c r="JYA206" s="3"/>
      <c r="JYB206" s="3"/>
      <c r="JYC206" s="3"/>
      <c r="JYD206" s="3"/>
      <c r="JYE206" s="3"/>
      <c r="JYF206" s="3"/>
      <c r="JYG206" s="3"/>
      <c r="JYH206" s="3"/>
      <c r="JYI206" s="3"/>
      <c r="JYJ206" s="3"/>
      <c r="JYK206" s="3"/>
      <c r="JYL206" s="3"/>
      <c r="JYM206" s="3"/>
      <c r="JYN206" s="3"/>
      <c r="JYO206" s="3"/>
      <c r="JYP206" s="3"/>
      <c r="JYQ206" s="3"/>
      <c r="JYR206" s="3"/>
      <c r="JYS206" s="3"/>
      <c r="JYT206" s="3"/>
      <c r="JYU206" s="3"/>
      <c r="JYV206" s="3"/>
      <c r="JYW206" s="3"/>
      <c r="JYX206" s="3"/>
      <c r="JYY206" s="3"/>
      <c r="JYZ206" s="3"/>
      <c r="JZA206" s="3"/>
      <c r="JZB206" s="3"/>
      <c r="JZC206" s="3"/>
      <c r="JZD206" s="3"/>
      <c r="JZE206" s="3"/>
      <c r="JZF206" s="3"/>
      <c r="JZG206" s="3"/>
      <c r="JZH206" s="3"/>
      <c r="JZI206" s="3"/>
      <c r="JZJ206" s="3"/>
      <c r="JZK206" s="3"/>
      <c r="JZL206" s="3"/>
      <c r="JZM206" s="3"/>
      <c r="JZN206" s="3"/>
      <c r="JZO206" s="3"/>
      <c r="JZP206" s="3"/>
      <c r="JZQ206" s="3"/>
      <c r="JZR206" s="3"/>
      <c r="JZS206" s="3"/>
      <c r="JZT206" s="3"/>
      <c r="JZU206" s="3"/>
      <c r="JZV206" s="3"/>
      <c r="JZW206" s="3"/>
      <c r="JZX206" s="3"/>
      <c r="JZY206" s="3"/>
      <c r="JZZ206" s="3"/>
      <c r="KAA206" s="3"/>
      <c r="KAB206" s="3"/>
      <c r="KAC206" s="3"/>
      <c r="KAD206" s="3"/>
      <c r="KAE206" s="3"/>
      <c r="KAF206" s="3"/>
      <c r="KAG206" s="3"/>
      <c r="KAH206" s="3"/>
      <c r="KAI206" s="3"/>
      <c r="KAJ206" s="3"/>
      <c r="KAK206" s="3"/>
      <c r="KAL206" s="3"/>
      <c r="KAM206" s="3"/>
      <c r="KAN206" s="3"/>
      <c r="KAO206" s="3"/>
      <c r="KAP206" s="3"/>
      <c r="KAQ206" s="3"/>
      <c r="KAR206" s="3"/>
      <c r="KAS206" s="3"/>
      <c r="KAT206" s="3"/>
      <c r="KAU206" s="3"/>
      <c r="KAV206" s="3"/>
      <c r="KAW206" s="3"/>
      <c r="KAX206" s="3"/>
      <c r="KAY206" s="3"/>
      <c r="KAZ206" s="3"/>
      <c r="KBA206" s="3"/>
      <c r="KBB206" s="3"/>
      <c r="KBC206" s="3"/>
      <c r="KBD206" s="3"/>
      <c r="KBE206" s="3"/>
      <c r="KBF206" s="3"/>
      <c r="KBG206" s="3"/>
      <c r="KBH206" s="3"/>
      <c r="KBI206" s="3"/>
      <c r="KBJ206" s="3"/>
      <c r="KBK206" s="3"/>
      <c r="KBL206" s="3"/>
      <c r="KBM206" s="3"/>
      <c r="KBN206" s="3"/>
      <c r="KBO206" s="3"/>
      <c r="KBP206" s="3"/>
      <c r="KBQ206" s="3"/>
      <c r="KBR206" s="3"/>
      <c r="KBS206" s="3"/>
      <c r="KBT206" s="3"/>
      <c r="KBU206" s="3"/>
      <c r="KBV206" s="3"/>
      <c r="KBW206" s="3"/>
      <c r="KBX206" s="3"/>
      <c r="KBY206" s="3"/>
      <c r="KBZ206" s="3"/>
      <c r="KCA206" s="3"/>
      <c r="KCB206" s="3"/>
      <c r="KCC206" s="3"/>
      <c r="KCD206" s="3"/>
      <c r="KCE206" s="3"/>
      <c r="KCF206" s="3"/>
      <c r="KCG206" s="3"/>
      <c r="KCH206" s="3"/>
      <c r="KCI206" s="3"/>
      <c r="KCJ206" s="3"/>
      <c r="KCK206" s="3"/>
      <c r="KCL206" s="3"/>
      <c r="KCM206" s="3"/>
      <c r="KCN206" s="3"/>
      <c r="KCO206" s="3"/>
      <c r="KCP206" s="3"/>
      <c r="KCQ206" s="3"/>
      <c r="KCR206" s="3"/>
      <c r="KCS206" s="3"/>
      <c r="KCT206" s="3"/>
      <c r="KCU206" s="3"/>
      <c r="KCV206" s="3"/>
      <c r="KCW206" s="3"/>
      <c r="KCX206" s="3"/>
      <c r="KCY206" s="3"/>
      <c r="KCZ206" s="3"/>
      <c r="KDA206" s="3"/>
      <c r="KDB206" s="3"/>
      <c r="KDC206" s="3"/>
      <c r="KDD206" s="3"/>
      <c r="KDE206" s="3"/>
      <c r="KDF206" s="3"/>
      <c r="KDG206" s="3"/>
      <c r="KDH206" s="3"/>
      <c r="KDI206" s="3"/>
      <c r="KDJ206" s="3"/>
      <c r="KDK206" s="3"/>
      <c r="KDL206" s="3"/>
      <c r="KDM206" s="3"/>
      <c r="KDN206" s="3"/>
      <c r="KDO206" s="3"/>
      <c r="KDP206" s="3"/>
      <c r="KDQ206" s="3"/>
      <c r="KDR206" s="3"/>
      <c r="KDS206" s="3"/>
      <c r="KDT206" s="3"/>
      <c r="KDU206" s="3"/>
      <c r="KDV206" s="3"/>
      <c r="KDW206" s="3"/>
      <c r="KDX206" s="3"/>
      <c r="KDY206" s="3"/>
      <c r="KDZ206" s="3"/>
      <c r="KEA206" s="3"/>
      <c r="KEB206" s="3"/>
      <c r="KEC206" s="3"/>
      <c r="KED206" s="3"/>
      <c r="KEE206" s="3"/>
      <c r="KEF206" s="3"/>
      <c r="KEG206" s="3"/>
      <c r="KEH206" s="3"/>
      <c r="KEI206" s="3"/>
      <c r="KEJ206" s="3"/>
      <c r="KEK206" s="3"/>
      <c r="KEL206" s="3"/>
      <c r="KEM206" s="3"/>
      <c r="KEN206" s="3"/>
      <c r="KEO206" s="3"/>
      <c r="KEP206" s="3"/>
      <c r="KEQ206" s="3"/>
      <c r="KER206" s="3"/>
      <c r="KES206" s="3"/>
      <c r="KET206" s="3"/>
      <c r="KEU206" s="3"/>
      <c r="KEV206" s="3"/>
      <c r="KEW206" s="3"/>
      <c r="KEX206" s="3"/>
      <c r="KEY206" s="3"/>
      <c r="KEZ206" s="3"/>
      <c r="KFA206" s="3"/>
      <c r="KFB206" s="3"/>
      <c r="KFC206" s="3"/>
      <c r="KFD206" s="3"/>
      <c r="KFE206" s="3"/>
      <c r="KFF206" s="3"/>
      <c r="KFG206" s="3"/>
      <c r="KFH206" s="3"/>
      <c r="KFI206" s="3"/>
      <c r="KFJ206" s="3"/>
      <c r="KFK206" s="3"/>
      <c r="KFL206" s="3"/>
      <c r="KFM206" s="3"/>
      <c r="KFN206" s="3"/>
      <c r="KFO206" s="3"/>
      <c r="KFP206" s="3"/>
      <c r="KFQ206" s="3"/>
      <c r="KFR206" s="3"/>
      <c r="KFS206" s="3"/>
      <c r="KFT206" s="3"/>
      <c r="KFU206" s="3"/>
      <c r="KFV206" s="3"/>
      <c r="KFW206" s="3"/>
      <c r="KFX206" s="3"/>
      <c r="KFY206" s="3"/>
      <c r="KFZ206" s="3"/>
      <c r="KGA206" s="3"/>
      <c r="KGB206" s="3"/>
      <c r="KGC206" s="3"/>
      <c r="KGD206" s="3"/>
      <c r="KGE206" s="3"/>
      <c r="KGF206" s="3"/>
      <c r="KGG206" s="3"/>
      <c r="KGH206" s="3"/>
      <c r="KGI206" s="3"/>
      <c r="KGJ206" s="3"/>
      <c r="KGK206" s="3"/>
      <c r="KGL206" s="3"/>
      <c r="KGM206" s="3"/>
      <c r="KGN206" s="3"/>
      <c r="KGO206" s="3"/>
      <c r="KGP206" s="3"/>
      <c r="KGQ206" s="3"/>
      <c r="KGR206" s="3"/>
      <c r="KGS206" s="3"/>
      <c r="KGT206" s="3"/>
      <c r="KGU206" s="3"/>
      <c r="KGV206" s="3"/>
      <c r="KGW206" s="3"/>
      <c r="KGX206" s="3"/>
      <c r="KGY206" s="3"/>
      <c r="KGZ206" s="3"/>
      <c r="KHA206" s="3"/>
      <c r="KHB206" s="3"/>
      <c r="KHC206" s="3"/>
      <c r="KHD206" s="3"/>
      <c r="KHE206" s="3"/>
      <c r="KHF206" s="3"/>
      <c r="KHG206" s="3"/>
      <c r="KHH206" s="3"/>
      <c r="KHI206" s="3"/>
      <c r="KHJ206" s="3"/>
      <c r="KHK206" s="3"/>
      <c r="KHL206" s="3"/>
      <c r="KHM206" s="3"/>
      <c r="KHN206" s="3"/>
      <c r="KHO206" s="3"/>
      <c r="KHP206" s="3"/>
      <c r="KHQ206" s="3"/>
      <c r="KHR206" s="3"/>
      <c r="KHS206" s="3"/>
      <c r="KHT206" s="3"/>
      <c r="KHU206" s="3"/>
      <c r="KHV206" s="3"/>
      <c r="KHW206" s="3"/>
      <c r="KHX206" s="3"/>
      <c r="KHY206" s="3"/>
      <c r="KHZ206" s="3"/>
      <c r="KIA206" s="3"/>
      <c r="KIB206" s="3"/>
      <c r="KIC206" s="3"/>
      <c r="KID206" s="3"/>
      <c r="KIE206" s="3"/>
      <c r="KIF206" s="3"/>
      <c r="KIG206" s="3"/>
      <c r="KIH206" s="3"/>
      <c r="KII206" s="3"/>
      <c r="KIJ206" s="3"/>
      <c r="KIK206" s="3"/>
      <c r="KIL206" s="3"/>
      <c r="KIM206" s="3"/>
      <c r="KIN206" s="3"/>
      <c r="KIO206" s="3"/>
      <c r="KIP206" s="3"/>
      <c r="KIQ206" s="3"/>
      <c r="KIR206" s="3"/>
      <c r="KIS206" s="3"/>
      <c r="KIT206" s="3"/>
      <c r="KIU206" s="3"/>
      <c r="KIV206" s="3"/>
      <c r="KIW206" s="3"/>
      <c r="KIX206" s="3"/>
      <c r="KIY206" s="3"/>
      <c r="KIZ206" s="3"/>
      <c r="KJA206" s="3"/>
      <c r="KJB206" s="3"/>
      <c r="KJC206" s="3"/>
      <c r="KJD206" s="3"/>
      <c r="KJE206" s="3"/>
      <c r="KJF206" s="3"/>
      <c r="KJG206" s="3"/>
      <c r="KJH206" s="3"/>
      <c r="KJI206" s="3"/>
      <c r="KJJ206" s="3"/>
      <c r="KJK206" s="3"/>
      <c r="KJL206" s="3"/>
      <c r="KJM206" s="3"/>
      <c r="KJN206" s="3"/>
      <c r="KJO206" s="3"/>
      <c r="KJP206" s="3"/>
      <c r="KJQ206" s="3"/>
      <c r="KJR206" s="3"/>
      <c r="KJS206" s="3"/>
      <c r="KJT206" s="3"/>
      <c r="KJU206" s="3"/>
      <c r="KJV206" s="3"/>
      <c r="KJW206" s="3"/>
      <c r="KJX206" s="3"/>
      <c r="KJY206" s="3"/>
      <c r="KJZ206" s="3"/>
      <c r="KKA206" s="3"/>
      <c r="KKB206" s="3"/>
      <c r="KKC206" s="3"/>
      <c r="KKD206" s="3"/>
      <c r="KKE206" s="3"/>
      <c r="KKF206" s="3"/>
      <c r="KKG206" s="3"/>
      <c r="KKH206" s="3"/>
      <c r="KKI206" s="3"/>
      <c r="KKJ206" s="3"/>
      <c r="KKK206" s="3"/>
      <c r="KKL206" s="3"/>
      <c r="KKM206" s="3"/>
      <c r="KKN206" s="3"/>
      <c r="KKO206" s="3"/>
      <c r="KKP206" s="3"/>
      <c r="KKQ206" s="3"/>
      <c r="KKR206" s="3"/>
      <c r="KKS206" s="3"/>
      <c r="KKT206" s="3"/>
      <c r="KKU206" s="3"/>
      <c r="KKV206" s="3"/>
      <c r="KKW206" s="3"/>
      <c r="KKX206" s="3"/>
      <c r="KKY206" s="3"/>
      <c r="KKZ206" s="3"/>
      <c r="KLA206" s="3"/>
      <c r="KLB206" s="3"/>
      <c r="KLC206" s="3"/>
      <c r="KLD206" s="3"/>
      <c r="KLE206" s="3"/>
      <c r="KLF206" s="3"/>
      <c r="KLG206" s="3"/>
      <c r="KLH206" s="3"/>
      <c r="KLI206" s="3"/>
      <c r="KLJ206" s="3"/>
      <c r="KLK206" s="3"/>
      <c r="KLL206" s="3"/>
      <c r="KLM206" s="3"/>
      <c r="KLN206" s="3"/>
      <c r="KLO206" s="3"/>
      <c r="KLP206" s="3"/>
      <c r="KLQ206" s="3"/>
      <c r="KLR206" s="3"/>
      <c r="KLS206" s="3"/>
      <c r="KLT206" s="3"/>
      <c r="KLU206" s="3"/>
      <c r="KLV206" s="3"/>
      <c r="KLW206" s="3"/>
      <c r="KLX206" s="3"/>
      <c r="KLY206" s="3"/>
      <c r="KLZ206" s="3"/>
      <c r="KMA206" s="3"/>
      <c r="KMB206" s="3"/>
      <c r="KMC206" s="3"/>
      <c r="KMD206" s="3"/>
      <c r="KME206" s="3"/>
      <c r="KMF206" s="3"/>
      <c r="KMG206" s="3"/>
      <c r="KMH206" s="3"/>
      <c r="KMI206" s="3"/>
      <c r="KMJ206" s="3"/>
      <c r="KMK206" s="3"/>
      <c r="KML206" s="3"/>
      <c r="KMM206" s="3"/>
      <c r="KMN206" s="3"/>
      <c r="KMO206" s="3"/>
      <c r="KMP206" s="3"/>
      <c r="KMQ206" s="3"/>
      <c r="KMR206" s="3"/>
      <c r="KMS206" s="3"/>
      <c r="KMT206" s="3"/>
      <c r="KMU206" s="3"/>
      <c r="KMV206" s="3"/>
      <c r="KMW206" s="3"/>
      <c r="KMX206" s="3"/>
      <c r="KMY206" s="3"/>
      <c r="KMZ206" s="3"/>
      <c r="KNA206" s="3"/>
      <c r="KNB206" s="3"/>
      <c r="KNC206" s="3"/>
      <c r="KND206" s="3"/>
      <c r="KNE206" s="3"/>
      <c r="KNF206" s="3"/>
      <c r="KNG206" s="3"/>
      <c r="KNH206" s="3"/>
      <c r="KNI206" s="3"/>
      <c r="KNJ206" s="3"/>
      <c r="KNK206" s="3"/>
      <c r="KNL206" s="3"/>
      <c r="KNM206" s="3"/>
      <c r="KNN206" s="3"/>
      <c r="KNO206" s="3"/>
      <c r="KNP206" s="3"/>
      <c r="KNQ206" s="3"/>
      <c r="KNR206" s="3"/>
      <c r="KNS206" s="3"/>
      <c r="KNT206" s="3"/>
      <c r="KNU206" s="3"/>
      <c r="KNV206" s="3"/>
      <c r="KNW206" s="3"/>
      <c r="KNX206" s="3"/>
      <c r="KNY206" s="3"/>
      <c r="KNZ206" s="3"/>
      <c r="KOA206" s="3"/>
      <c r="KOB206" s="3"/>
      <c r="KOC206" s="3"/>
      <c r="KOD206" s="3"/>
      <c r="KOE206" s="3"/>
      <c r="KOF206" s="3"/>
      <c r="KOG206" s="3"/>
      <c r="KOH206" s="3"/>
      <c r="KOI206" s="3"/>
      <c r="KOJ206" s="3"/>
      <c r="KOK206" s="3"/>
      <c r="KOL206" s="3"/>
      <c r="KOM206" s="3"/>
      <c r="KON206" s="3"/>
      <c r="KOO206" s="3"/>
      <c r="KOP206" s="3"/>
      <c r="KOQ206" s="3"/>
      <c r="KOR206" s="3"/>
      <c r="KOS206" s="3"/>
      <c r="KOT206" s="3"/>
      <c r="KOU206" s="3"/>
      <c r="KOV206" s="3"/>
      <c r="KOW206" s="3"/>
      <c r="KOX206" s="3"/>
      <c r="KOY206" s="3"/>
      <c r="KOZ206" s="3"/>
      <c r="KPA206" s="3"/>
      <c r="KPB206" s="3"/>
      <c r="KPC206" s="3"/>
      <c r="KPD206" s="3"/>
      <c r="KPE206" s="3"/>
      <c r="KPF206" s="3"/>
      <c r="KPG206" s="3"/>
      <c r="KPH206" s="3"/>
      <c r="KPI206" s="3"/>
      <c r="KPJ206" s="3"/>
      <c r="KPK206" s="3"/>
      <c r="KPL206" s="3"/>
      <c r="KPM206" s="3"/>
      <c r="KPN206" s="3"/>
      <c r="KPO206" s="3"/>
      <c r="KPP206" s="3"/>
      <c r="KPQ206" s="3"/>
      <c r="KPR206" s="3"/>
      <c r="KPS206" s="3"/>
      <c r="KPT206" s="3"/>
      <c r="KPU206" s="3"/>
      <c r="KPV206" s="3"/>
      <c r="KPW206" s="3"/>
      <c r="KPX206" s="3"/>
      <c r="KPY206" s="3"/>
      <c r="KPZ206" s="3"/>
      <c r="KQA206" s="3"/>
      <c r="KQB206" s="3"/>
      <c r="KQC206" s="3"/>
      <c r="KQD206" s="3"/>
      <c r="KQE206" s="3"/>
      <c r="KQF206" s="3"/>
      <c r="KQG206" s="3"/>
      <c r="KQH206" s="3"/>
      <c r="KQI206" s="3"/>
      <c r="KQJ206" s="3"/>
      <c r="KQK206" s="3"/>
      <c r="KQL206" s="3"/>
      <c r="KQM206" s="3"/>
      <c r="KQN206" s="3"/>
      <c r="KQO206" s="3"/>
      <c r="KQP206" s="3"/>
      <c r="KQQ206" s="3"/>
      <c r="KQR206" s="3"/>
      <c r="KQS206" s="3"/>
      <c r="KQT206" s="3"/>
      <c r="KQU206" s="3"/>
      <c r="KQV206" s="3"/>
      <c r="KQW206" s="3"/>
      <c r="KQX206" s="3"/>
      <c r="KQY206" s="3"/>
      <c r="KQZ206" s="3"/>
      <c r="KRA206" s="3"/>
      <c r="KRB206" s="3"/>
      <c r="KRC206" s="3"/>
      <c r="KRD206" s="3"/>
      <c r="KRE206" s="3"/>
      <c r="KRF206" s="3"/>
      <c r="KRG206" s="3"/>
      <c r="KRH206" s="3"/>
      <c r="KRI206" s="3"/>
      <c r="KRJ206" s="3"/>
      <c r="KRK206" s="3"/>
      <c r="KRL206" s="3"/>
      <c r="KRM206" s="3"/>
      <c r="KRN206" s="3"/>
      <c r="KRO206" s="3"/>
      <c r="KRP206" s="3"/>
      <c r="KRQ206" s="3"/>
      <c r="KRR206" s="3"/>
      <c r="KRS206" s="3"/>
      <c r="KRT206" s="3"/>
      <c r="KRU206" s="3"/>
      <c r="KRV206" s="3"/>
      <c r="KRW206" s="3"/>
      <c r="KRX206" s="3"/>
      <c r="KRY206" s="3"/>
      <c r="KRZ206" s="3"/>
      <c r="KSA206" s="3"/>
      <c r="KSB206" s="3"/>
      <c r="KSC206" s="3"/>
      <c r="KSD206" s="3"/>
      <c r="KSE206" s="3"/>
      <c r="KSF206" s="3"/>
      <c r="KSG206" s="3"/>
      <c r="KSH206" s="3"/>
      <c r="KSI206" s="3"/>
      <c r="KSJ206" s="3"/>
      <c r="KSK206" s="3"/>
      <c r="KSL206" s="3"/>
      <c r="KSM206" s="3"/>
      <c r="KSN206" s="3"/>
      <c r="KSO206" s="3"/>
      <c r="KSP206" s="3"/>
      <c r="KSQ206" s="3"/>
      <c r="KSR206" s="3"/>
      <c r="KSS206" s="3"/>
      <c r="KST206" s="3"/>
      <c r="KSU206" s="3"/>
      <c r="KSV206" s="3"/>
      <c r="KSW206" s="3"/>
      <c r="KSX206" s="3"/>
      <c r="KSY206" s="3"/>
      <c r="KSZ206" s="3"/>
      <c r="KTA206" s="3"/>
      <c r="KTB206" s="3"/>
      <c r="KTC206" s="3"/>
      <c r="KTD206" s="3"/>
      <c r="KTE206" s="3"/>
      <c r="KTF206" s="3"/>
      <c r="KTG206" s="3"/>
      <c r="KTH206" s="3"/>
      <c r="KTI206" s="3"/>
      <c r="KTJ206" s="3"/>
      <c r="KTK206" s="3"/>
      <c r="KTL206" s="3"/>
      <c r="KTM206" s="3"/>
      <c r="KTN206" s="3"/>
      <c r="KTO206" s="3"/>
      <c r="KTP206" s="3"/>
      <c r="KTQ206" s="3"/>
      <c r="KTR206" s="3"/>
      <c r="KTS206" s="3"/>
      <c r="KTT206" s="3"/>
      <c r="KTU206" s="3"/>
      <c r="KTV206" s="3"/>
      <c r="KTW206" s="3"/>
      <c r="KTX206" s="3"/>
      <c r="KTY206" s="3"/>
      <c r="KTZ206" s="3"/>
      <c r="KUA206" s="3"/>
      <c r="KUB206" s="3"/>
      <c r="KUC206" s="3"/>
      <c r="KUD206" s="3"/>
      <c r="KUE206" s="3"/>
      <c r="KUF206" s="3"/>
      <c r="KUG206" s="3"/>
      <c r="KUH206" s="3"/>
      <c r="KUI206" s="3"/>
      <c r="KUJ206" s="3"/>
      <c r="KUK206" s="3"/>
      <c r="KUL206" s="3"/>
      <c r="KUM206" s="3"/>
      <c r="KUN206" s="3"/>
      <c r="KUO206" s="3"/>
      <c r="KUP206" s="3"/>
      <c r="KUQ206" s="3"/>
      <c r="KUR206" s="3"/>
      <c r="KUS206" s="3"/>
      <c r="KUT206" s="3"/>
      <c r="KUU206" s="3"/>
      <c r="KUV206" s="3"/>
      <c r="KUW206" s="3"/>
      <c r="KUX206" s="3"/>
      <c r="KUY206" s="3"/>
      <c r="KUZ206" s="3"/>
      <c r="KVA206" s="3"/>
      <c r="KVB206" s="3"/>
      <c r="KVC206" s="3"/>
      <c r="KVD206" s="3"/>
      <c r="KVE206" s="3"/>
      <c r="KVF206" s="3"/>
      <c r="KVG206" s="3"/>
      <c r="KVH206" s="3"/>
      <c r="KVI206" s="3"/>
      <c r="KVJ206" s="3"/>
      <c r="KVK206" s="3"/>
      <c r="KVL206" s="3"/>
      <c r="KVM206" s="3"/>
      <c r="KVN206" s="3"/>
      <c r="KVO206" s="3"/>
      <c r="KVP206" s="3"/>
      <c r="KVQ206" s="3"/>
      <c r="KVR206" s="3"/>
      <c r="KVS206" s="3"/>
      <c r="KVT206" s="3"/>
      <c r="KVU206" s="3"/>
      <c r="KVV206" s="3"/>
      <c r="KVW206" s="3"/>
      <c r="KVX206" s="3"/>
      <c r="KVY206" s="3"/>
      <c r="KVZ206" s="3"/>
      <c r="KWA206" s="3"/>
      <c r="KWB206" s="3"/>
      <c r="KWC206" s="3"/>
      <c r="KWD206" s="3"/>
      <c r="KWE206" s="3"/>
      <c r="KWF206" s="3"/>
      <c r="KWG206" s="3"/>
      <c r="KWH206" s="3"/>
      <c r="KWI206" s="3"/>
      <c r="KWJ206" s="3"/>
      <c r="KWK206" s="3"/>
      <c r="KWL206" s="3"/>
      <c r="KWM206" s="3"/>
      <c r="KWN206" s="3"/>
      <c r="KWO206" s="3"/>
      <c r="KWP206" s="3"/>
      <c r="KWQ206" s="3"/>
      <c r="KWR206" s="3"/>
      <c r="KWS206" s="3"/>
      <c r="KWT206" s="3"/>
      <c r="KWU206" s="3"/>
      <c r="KWV206" s="3"/>
      <c r="KWW206" s="3"/>
      <c r="KWX206" s="3"/>
      <c r="KWY206" s="3"/>
      <c r="KWZ206" s="3"/>
      <c r="KXA206" s="3"/>
      <c r="KXB206" s="3"/>
      <c r="KXC206" s="3"/>
      <c r="KXD206" s="3"/>
      <c r="KXE206" s="3"/>
      <c r="KXF206" s="3"/>
      <c r="KXG206" s="3"/>
      <c r="KXH206" s="3"/>
      <c r="KXI206" s="3"/>
      <c r="KXJ206" s="3"/>
      <c r="KXK206" s="3"/>
      <c r="KXL206" s="3"/>
      <c r="KXM206" s="3"/>
      <c r="KXN206" s="3"/>
      <c r="KXO206" s="3"/>
      <c r="KXP206" s="3"/>
      <c r="KXQ206" s="3"/>
      <c r="KXR206" s="3"/>
      <c r="KXS206" s="3"/>
      <c r="KXT206" s="3"/>
      <c r="KXU206" s="3"/>
      <c r="KXV206" s="3"/>
      <c r="KXW206" s="3"/>
      <c r="KXX206" s="3"/>
      <c r="KXY206" s="3"/>
      <c r="KXZ206" s="3"/>
      <c r="KYA206" s="3"/>
      <c r="KYB206" s="3"/>
      <c r="KYC206" s="3"/>
      <c r="KYD206" s="3"/>
      <c r="KYE206" s="3"/>
      <c r="KYF206" s="3"/>
      <c r="KYG206" s="3"/>
      <c r="KYH206" s="3"/>
      <c r="KYI206" s="3"/>
      <c r="KYJ206" s="3"/>
      <c r="KYK206" s="3"/>
      <c r="KYL206" s="3"/>
      <c r="KYM206" s="3"/>
      <c r="KYN206" s="3"/>
      <c r="KYO206" s="3"/>
      <c r="KYP206" s="3"/>
      <c r="KYQ206" s="3"/>
      <c r="KYR206" s="3"/>
      <c r="KYS206" s="3"/>
      <c r="KYT206" s="3"/>
      <c r="KYU206" s="3"/>
      <c r="KYV206" s="3"/>
      <c r="KYW206" s="3"/>
      <c r="KYX206" s="3"/>
      <c r="KYY206" s="3"/>
      <c r="KYZ206" s="3"/>
      <c r="KZA206" s="3"/>
      <c r="KZB206" s="3"/>
      <c r="KZC206" s="3"/>
      <c r="KZD206" s="3"/>
      <c r="KZE206" s="3"/>
      <c r="KZF206" s="3"/>
      <c r="KZG206" s="3"/>
      <c r="KZH206" s="3"/>
      <c r="KZI206" s="3"/>
      <c r="KZJ206" s="3"/>
      <c r="KZK206" s="3"/>
      <c r="KZL206" s="3"/>
      <c r="KZM206" s="3"/>
      <c r="KZN206" s="3"/>
      <c r="KZO206" s="3"/>
      <c r="KZP206" s="3"/>
      <c r="KZQ206" s="3"/>
      <c r="KZR206" s="3"/>
      <c r="KZS206" s="3"/>
      <c r="KZT206" s="3"/>
      <c r="KZU206" s="3"/>
      <c r="KZV206" s="3"/>
      <c r="KZW206" s="3"/>
      <c r="KZX206" s="3"/>
      <c r="KZY206" s="3"/>
      <c r="KZZ206" s="3"/>
      <c r="LAA206" s="3"/>
      <c r="LAB206" s="3"/>
      <c r="LAC206" s="3"/>
      <c r="LAD206" s="3"/>
      <c r="LAE206" s="3"/>
      <c r="LAF206" s="3"/>
      <c r="LAG206" s="3"/>
      <c r="LAH206" s="3"/>
      <c r="LAI206" s="3"/>
      <c r="LAJ206" s="3"/>
      <c r="LAK206" s="3"/>
      <c r="LAL206" s="3"/>
      <c r="LAM206" s="3"/>
      <c r="LAN206" s="3"/>
      <c r="LAO206" s="3"/>
      <c r="LAP206" s="3"/>
      <c r="LAQ206" s="3"/>
      <c r="LAR206" s="3"/>
      <c r="LAS206" s="3"/>
      <c r="LAT206" s="3"/>
      <c r="LAU206" s="3"/>
      <c r="LAV206" s="3"/>
      <c r="LAW206" s="3"/>
      <c r="LAX206" s="3"/>
      <c r="LAY206" s="3"/>
      <c r="LAZ206" s="3"/>
      <c r="LBA206" s="3"/>
      <c r="LBB206" s="3"/>
      <c r="LBC206" s="3"/>
      <c r="LBD206" s="3"/>
      <c r="LBE206" s="3"/>
      <c r="LBF206" s="3"/>
      <c r="LBG206" s="3"/>
      <c r="LBH206" s="3"/>
      <c r="LBI206" s="3"/>
      <c r="LBJ206" s="3"/>
      <c r="LBK206" s="3"/>
      <c r="LBL206" s="3"/>
      <c r="LBM206" s="3"/>
      <c r="LBN206" s="3"/>
      <c r="LBO206" s="3"/>
      <c r="LBP206" s="3"/>
      <c r="LBQ206" s="3"/>
      <c r="LBR206" s="3"/>
      <c r="LBS206" s="3"/>
      <c r="LBT206" s="3"/>
      <c r="LBU206" s="3"/>
      <c r="LBV206" s="3"/>
      <c r="LBW206" s="3"/>
      <c r="LBX206" s="3"/>
      <c r="LBY206" s="3"/>
      <c r="LBZ206" s="3"/>
      <c r="LCA206" s="3"/>
      <c r="LCB206" s="3"/>
      <c r="LCC206" s="3"/>
      <c r="LCD206" s="3"/>
      <c r="LCE206" s="3"/>
      <c r="LCF206" s="3"/>
      <c r="LCG206" s="3"/>
      <c r="LCH206" s="3"/>
      <c r="LCI206" s="3"/>
      <c r="LCJ206" s="3"/>
      <c r="LCK206" s="3"/>
      <c r="LCL206" s="3"/>
      <c r="LCM206" s="3"/>
      <c r="LCN206" s="3"/>
      <c r="LCO206" s="3"/>
      <c r="LCP206" s="3"/>
      <c r="LCQ206" s="3"/>
      <c r="LCR206" s="3"/>
      <c r="LCS206" s="3"/>
      <c r="LCT206" s="3"/>
      <c r="LCU206" s="3"/>
      <c r="LCV206" s="3"/>
      <c r="LCW206" s="3"/>
      <c r="LCX206" s="3"/>
      <c r="LCY206" s="3"/>
      <c r="LCZ206" s="3"/>
      <c r="LDA206" s="3"/>
      <c r="LDB206" s="3"/>
      <c r="LDC206" s="3"/>
      <c r="LDD206" s="3"/>
      <c r="LDE206" s="3"/>
      <c r="LDF206" s="3"/>
      <c r="LDG206" s="3"/>
      <c r="LDH206" s="3"/>
      <c r="LDI206" s="3"/>
      <c r="LDJ206" s="3"/>
      <c r="LDK206" s="3"/>
      <c r="LDL206" s="3"/>
      <c r="LDM206" s="3"/>
      <c r="LDN206" s="3"/>
      <c r="LDO206" s="3"/>
      <c r="LDP206" s="3"/>
      <c r="LDQ206" s="3"/>
      <c r="LDR206" s="3"/>
      <c r="LDS206" s="3"/>
      <c r="LDT206" s="3"/>
      <c r="LDU206" s="3"/>
      <c r="LDV206" s="3"/>
      <c r="LDW206" s="3"/>
      <c r="LDX206" s="3"/>
      <c r="LDY206" s="3"/>
      <c r="LDZ206" s="3"/>
      <c r="LEA206" s="3"/>
      <c r="LEB206" s="3"/>
      <c r="LEC206" s="3"/>
      <c r="LED206" s="3"/>
      <c r="LEE206" s="3"/>
      <c r="LEF206" s="3"/>
      <c r="LEG206" s="3"/>
      <c r="LEH206" s="3"/>
      <c r="LEI206" s="3"/>
      <c r="LEJ206" s="3"/>
      <c r="LEK206" s="3"/>
      <c r="LEL206" s="3"/>
      <c r="LEM206" s="3"/>
      <c r="LEN206" s="3"/>
      <c r="LEO206" s="3"/>
      <c r="LEP206" s="3"/>
      <c r="LEQ206" s="3"/>
      <c r="LER206" s="3"/>
      <c r="LES206" s="3"/>
      <c r="LET206" s="3"/>
      <c r="LEU206" s="3"/>
      <c r="LEV206" s="3"/>
      <c r="LEW206" s="3"/>
      <c r="LEX206" s="3"/>
      <c r="LEY206" s="3"/>
      <c r="LEZ206" s="3"/>
      <c r="LFA206" s="3"/>
      <c r="LFB206" s="3"/>
      <c r="LFC206" s="3"/>
      <c r="LFD206" s="3"/>
      <c r="LFE206" s="3"/>
      <c r="LFF206" s="3"/>
      <c r="LFG206" s="3"/>
      <c r="LFH206" s="3"/>
      <c r="LFI206" s="3"/>
      <c r="LFJ206" s="3"/>
      <c r="LFK206" s="3"/>
      <c r="LFL206" s="3"/>
      <c r="LFM206" s="3"/>
      <c r="LFN206" s="3"/>
      <c r="LFO206" s="3"/>
      <c r="LFP206" s="3"/>
      <c r="LFQ206" s="3"/>
      <c r="LFR206" s="3"/>
      <c r="LFS206" s="3"/>
      <c r="LFT206" s="3"/>
      <c r="LFU206" s="3"/>
      <c r="LFV206" s="3"/>
      <c r="LFW206" s="3"/>
      <c r="LFX206" s="3"/>
      <c r="LFY206" s="3"/>
      <c r="LFZ206" s="3"/>
      <c r="LGA206" s="3"/>
      <c r="LGB206" s="3"/>
      <c r="LGC206" s="3"/>
      <c r="LGD206" s="3"/>
      <c r="LGE206" s="3"/>
      <c r="LGF206" s="3"/>
      <c r="LGG206" s="3"/>
      <c r="LGH206" s="3"/>
      <c r="LGI206" s="3"/>
      <c r="LGJ206" s="3"/>
      <c r="LGK206" s="3"/>
      <c r="LGL206" s="3"/>
      <c r="LGM206" s="3"/>
      <c r="LGN206" s="3"/>
      <c r="LGO206" s="3"/>
      <c r="LGP206" s="3"/>
      <c r="LGQ206" s="3"/>
      <c r="LGR206" s="3"/>
      <c r="LGS206" s="3"/>
      <c r="LGT206" s="3"/>
      <c r="LGU206" s="3"/>
      <c r="LGV206" s="3"/>
      <c r="LGW206" s="3"/>
      <c r="LGX206" s="3"/>
      <c r="LGY206" s="3"/>
      <c r="LGZ206" s="3"/>
      <c r="LHA206" s="3"/>
      <c r="LHB206" s="3"/>
      <c r="LHC206" s="3"/>
      <c r="LHD206" s="3"/>
      <c r="LHE206" s="3"/>
      <c r="LHF206" s="3"/>
      <c r="LHG206" s="3"/>
      <c r="LHH206" s="3"/>
      <c r="LHI206" s="3"/>
      <c r="LHJ206" s="3"/>
      <c r="LHK206" s="3"/>
      <c r="LHL206" s="3"/>
      <c r="LHM206" s="3"/>
      <c r="LHN206" s="3"/>
      <c r="LHO206" s="3"/>
      <c r="LHP206" s="3"/>
      <c r="LHQ206" s="3"/>
      <c r="LHR206" s="3"/>
      <c r="LHS206" s="3"/>
      <c r="LHT206" s="3"/>
      <c r="LHU206" s="3"/>
      <c r="LHV206" s="3"/>
      <c r="LHW206" s="3"/>
      <c r="LHX206" s="3"/>
      <c r="LHY206" s="3"/>
      <c r="LHZ206" s="3"/>
      <c r="LIA206" s="3"/>
      <c r="LIB206" s="3"/>
      <c r="LIC206" s="3"/>
      <c r="LID206" s="3"/>
      <c r="LIE206" s="3"/>
      <c r="LIF206" s="3"/>
      <c r="LIG206" s="3"/>
      <c r="LIH206" s="3"/>
      <c r="LII206" s="3"/>
      <c r="LIJ206" s="3"/>
      <c r="LIK206" s="3"/>
      <c r="LIL206" s="3"/>
      <c r="LIM206" s="3"/>
      <c r="LIN206" s="3"/>
      <c r="LIO206" s="3"/>
      <c r="LIP206" s="3"/>
      <c r="LIQ206" s="3"/>
      <c r="LIR206" s="3"/>
      <c r="LIS206" s="3"/>
      <c r="LIT206" s="3"/>
      <c r="LIU206" s="3"/>
      <c r="LIV206" s="3"/>
      <c r="LIW206" s="3"/>
      <c r="LIX206" s="3"/>
      <c r="LIY206" s="3"/>
      <c r="LIZ206" s="3"/>
      <c r="LJA206" s="3"/>
      <c r="LJB206" s="3"/>
      <c r="LJC206" s="3"/>
      <c r="LJD206" s="3"/>
      <c r="LJE206" s="3"/>
      <c r="LJF206" s="3"/>
      <c r="LJG206" s="3"/>
      <c r="LJH206" s="3"/>
      <c r="LJI206" s="3"/>
      <c r="LJJ206" s="3"/>
      <c r="LJK206" s="3"/>
      <c r="LJL206" s="3"/>
      <c r="LJM206" s="3"/>
      <c r="LJN206" s="3"/>
      <c r="LJO206" s="3"/>
      <c r="LJP206" s="3"/>
      <c r="LJQ206" s="3"/>
      <c r="LJR206" s="3"/>
      <c r="LJS206" s="3"/>
      <c r="LJT206" s="3"/>
      <c r="LJU206" s="3"/>
      <c r="LJV206" s="3"/>
      <c r="LJW206" s="3"/>
      <c r="LJX206" s="3"/>
      <c r="LJY206" s="3"/>
      <c r="LJZ206" s="3"/>
      <c r="LKA206" s="3"/>
      <c r="LKB206" s="3"/>
      <c r="LKC206" s="3"/>
      <c r="LKD206" s="3"/>
      <c r="LKE206" s="3"/>
      <c r="LKF206" s="3"/>
      <c r="LKG206" s="3"/>
      <c r="LKH206" s="3"/>
      <c r="LKI206" s="3"/>
      <c r="LKJ206" s="3"/>
      <c r="LKK206" s="3"/>
      <c r="LKL206" s="3"/>
      <c r="LKM206" s="3"/>
      <c r="LKN206" s="3"/>
      <c r="LKO206" s="3"/>
      <c r="LKP206" s="3"/>
      <c r="LKQ206" s="3"/>
      <c r="LKR206" s="3"/>
      <c r="LKS206" s="3"/>
      <c r="LKT206" s="3"/>
      <c r="LKU206" s="3"/>
      <c r="LKV206" s="3"/>
      <c r="LKW206" s="3"/>
      <c r="LKX206" s="3"/>
      <c r="LKY206" s="3"/>
      <c r="LKZ206" s="3"/>
      <c r="LLA206" s="3"/>
      <c r="LLB206" s="3"/>
      <c r="LLC206" s="3"/>
      <c r="LLD206" s="3"/>
      <c r="LLE206" s="3"/>
      <c r="LLF206" s="3"/>
      <c r="LLG206" s="3"/>
      <c r="LLH206" s="3"/>
      <c r="LLI206" s="3"/>
      <c r="LLJ206" s="3"/>
      <c r="LLK206" s="3"/>
      <c r="LLL206" s="3"/>
      <c r="LLM206" s="3"/>
      <c r="LLN206" s="3"/>
      <c r="LLO206" s="3"/>
      <c r="LLP206" s="3"/>
      <c r="LLQ206" s="3"/>
      <c r="LLR206" s="3"/>
      <c r="LLS206" s="3"/>
      <c r="LLT206" s="3"/>
      <c r="LLU206" s="3"/>
      <c r="LLV206" s="3"/>
      <c r="LLW206" s="3"/>
      <c r="LLX206" s="3"/>
      <c r="LLY206" s="3"/>
      <c r="LLZ206" s="3"/>
      <c r="LMA206" s="3"/>
      <c r="LMB206" s="3"/>
      <c r="LMC206" s="3"/>
      <c r="LMD206" s="3"/>
      <c r="LME206" s="3"/>
      <c r="LMF206" s="3"/>
      <c r="LMG206" s="3"/>
      <c r="LMH206" s="3"/>
      <c r="LMI206" s="3"/>
      <c r="LMJ206" s="3"/>
      <c r="LMK206" s="3"/>
      <c r="LML206" s="3"/>
      <c r="LMM206" s="3"/>
      <c r="LMN206" s="3"/>
      <c r="LMO206" s="3"/>
      <c r="LMP206" s="3"/>
      <c r="LMQ206" s="3"/>
      <c r="LMR206" s="3"/>
      <c r="LMS206" s="3"/>
      <c r="LMT206" s="3"/>
      <c r="LMU206" s="3"/>
      <c r="LMV206" s="3"/>
      <c r="LMW206" s="3"/>
      <c r="LMX206" s="3"/>
      <c r="LMY206" s="3"/>
      <c r="LMZ206" s="3"/>
      <c r="LNA206" s="3"/>
      <c r="LNB206" s="3"/>
      <c r="LNC206" s="3"/>
      <c r="LND206" s="3"/>
      <c r="LNE206" s="3"/>
      <c r="LNF206" s="3"/>
      <c r="LNG206" s="3"/>
      <c r="LNH206" s="3"/>
      <c r="LNI206" s="3"/>
      <c r="LNJ206" s="3"/>
      <c r="LNK206" s="3"/>
      <c r="LNL206" s="3"/>
      <c r="LNM206" s="3"/>
      <c r="LNN206" s="3"/>
      <c r="LNO206" s="3"/>
      <c r="LNP206" s="3"/>
      <c r="LNQ206" s="3"/>
      <c r="LNR206" s="3"/>
      <c r="LNS206" s="3"/>
      <c r="LNT206" s="3"/>
      <c r="LNU206" s="3"/>
      <c r="LNV206" s="3"/>
      <c r="LNW206" s="3"/>
      <c r="LNX206" s="3"/>
      <c r="LNY206" s="3"/>
      <c r="LNZ206" s="3"/>
      <c r="LOA206" s="3"/>
      <c r="LOB206" s="3"/>
      <c r="LOC206" s="3"/>
      <c r="LOD206" s="3"/>
      <c r="LOE206" s="3"/>
      <c r="LOF206" s="3"/>
      <c r="LOG206" s="3"/>
      <c r="LOH206" s="3"/>
      <c r="LOI206" s="3"/>
      <c r="LOJ206" s="3"/>
      <c r="LOK206" s="3"/>
      <c r="LOL206" s="3"/>
      <c r="LOM206" s="3"/>
      <c r="LON206" s="3"/>
      <c r="LOO206" s="3"/>
      <c r="LOP206" s="3"/>
      <c r="LOQ206" s="3"/>
      <c r="LOR206" s="3"/>
      <c r="LOS206" s="3"/>
      <c r="LOT206" s="3"/>
      <c r="LOU206" s="3"/>
      <c r="LOV206" s="3"/>
      <c r="LOW206" s="3"/>
      <c r="LOX206" s="3"/>
      <c r="LOY206" s="3"/>
      <c r="LOZ206" s="3"/>
      <c r="LPA206" s="3"/>
      <c r="LPB206" s="3"/>
      <c r="LPC206" s="3"/>
      <c r="LPD206" s="3"/>
      <c r="LPE206" s="3"/>
      <c r="LPF206" s="3"/>
      <c r="LPG206" s="3"/>
      <c r="LPH206" s="3"/>
      <c r="LPI206" s="3"/>
      <c r="LPJ206" s="3"/>
      <c r="LPK206" s="3"/>
      <c r="LPL206" s="3"/>
      <c r="LPM206" s="3"/>
      <c r="LPN206" s="3"/>
      <c r="LPO206" s="3"/>
      <c r="LPP206" s="3"/>
      <c r="LPQ206" s="3"/>
      <c r="LPR206" s="3"/>
      <c r="LPS206" s="3"/>
      <c r="LPT206" s="3"/>
      <c r="LPU206" s="3"/>
      <c r="LPV206" s="3"/>
      <c r="LPW206" s="3"/>
      <c r="LPX206" s="3"/>
      <c r="LPY206" s="3"/>
      <c r="LPZ206" s="3"/>
      <c r="LQA206" s="3"/>
      <c r="LQB206" s="3"/>
      <c r="LQC206" s="3"/>
      <c r="LQD206" s="3"/>
      <c r="LQE206" s="3"/>
      <c r="LQF206" s="3"/>
      <c r="LQG206" s="3"/>
      <c r="LQH206" s="3"/>
      <c r="LQI206" s="3"/>
      <c r="LQJ206" s="3"/>
      <c r="LQK206" s="3"/>
      <c r="LQL206" s="3"/>
      <c r="LQM206" s="3"/>
      <c r="LQN206" s="3"/>
      <c r="LQO206" s="3"/>
      <c r="LQP206" s="3"/>
      <c r="LQQ206" s="3"/>
      <c r="LQR206" s="3"/>
      <c r="LQS206" s="3"/>
      <c r="LQT206" s="3"/>
      <c r="LQU206" s="3"/>
      <c r="LQV206" s="3"/>
      <c r="LQW206" s="3"/>
      <c r="LQX206" s="3"/>
      <c r="LQY206" s="3"/>
      <c r="LQZ206" s="3"/>
      <c r="LRA206" s="3"/>
      <c r="LRB206" s="3"/>
      <c r="LRC206" s="3"/>
      <c r="LRD206" s="3"/>
      <c r="LRE206" s="3"/>
      <c r="LRF206" s="3"/>
      <c r="LRG206" s="3"/>
      <c r="LRH206" s="3"/>
      <c r="LRI206" s="3"/>
      <c r="LRJ206" s="3"/>
      <c r="LRK206" s="3"/>
      <c r="LRL206" s="3"/>
      <c r="LRM206" s="3"/>
      <c r="LRN206" s="3"/>
      <c r="LRO206" s="3"/>
      <c r="LRP206" s="3"/>
      <c r="LRQ206" s="3"/>
      <c r="LRR206" s="3"/>
      <c r="LRS206" s="3"/>
      <c r="LRT206" s="3"/>
      <c r="LRU206" s="3"/>
      <c r="LRV206" s="3"/>
      <c r="LRW206" s="3"/>
      <c r="LRX206" s="3"/>
      <c r="LRY206" s="3"/>
      <c r="LRZ206" s="3"/>
      <c r="LSA206" s="3"/>
      <c r="LSB206" s="3"/>
      <c r="LSC206" s="3"/>
      <c r="LSD206" s="3"/>
      <c r="LSE206" s="3"/>
      <c r="LSF206" s="3"/>
      <c r="LSG206" s="3"/>
      <c r="LSH206" s="3"/>
      <c r="LSI206" s="3"/>
      <c r="LSJ206" s="3"/>
      <c r="LSK206" s="3"/>
      <c r="LSL206" s="3"/>
      <c r="LSM206" s="3"/>
      <c r="LSN206" s="3"/>
      <c r="LSO206" s="3"/>
      <c r="LSP206" s="3"/>
      <c r="LSQ206" s="3"/>
      <c r="LSR206" s="3"/>
      <c r="LSS206" s="3"/>
      <c r="LST206" s="3"/>
      <c r="LSU206" s="3"/>
      <c r="LSV206" s="3"/>
      <c r="LSW206" s="3"/>
      <c r="LSX206" s="3"/>
      <c r="LSY206" s="3"/>
      <c r="LSZ206" s="3"/>
      <c r="LTA206" s="3"/>
      <c r="LTB206" s="3"/>
      <c r="LTC206" s="3"/>
      <c r="LTD206" s="3"/>
      <c r="LTE206" s="3"/>
      <c r="LTF206" s="3"/>
      <c r="LTG206" s="3"/>
      <c r="LTH206" s="3"/>
      <c r="LTI206" s="3"/>
      <c r="LTJ206" s="3"/>
      <c r="LTK206" s="3"/>
      <c r="LTL206" s="3"/>
      <c r="LTM206" s="3"/>
      <c r="LTN206" s="3"/>
      <c r="LTO206" s="3"/>
      <c r="LTP206" s="3"/>
      <c r="LTQ206" s="3"/>
      <c r="LTR206" s="3"/>
      <c r="LTS206" s="3"/>
      <c r="LTT206" s="3"/>
      <c r="LTU206" s="3"/>
      <c r="LTV206" s="3"/>
      <c r="LTW206" s="3"/>
      <c r="LTX206" s="3"/>
      <c r="LTY206" s="3"/>
      <c r="LTZ206" s="3"/>
      <c r="LUA206" s="3"/>
      <c r="LUB206" s="3"/>
      <c r="LUC206" s="3"/>
      <c r="LUD206" s="3"/>
      <c r="LUE206" s="3"/>
      <c r="LUF206" s="3"/>
      <c r="LUG206" s="3"/>
      <c r="LUH206" s="3"/>
      <c r="LUI206" s="3"/>
      <c r="LUJ206" s="3"/>
      <c r="LUK206" s="3"/>
      <c r="LUL206" s="3"/>
      <c r="LUM206" s="3"/>
      <c r="LUN206" s="3"/>
      <c r="LUO206" s="3"/>
      <c r="LUP206" s="3"/>
      <c r="LUQ206" s="3"/>
      <c r="LUR206" s="3"/>
      <c r="LUS206" s="3"/>
      <c r="LUT206" s="3"/>
      <c r="LUU206" s="3"/>
      <c r="LUV206" s="3"/>
      <c r="LUW206" s="3"/>
      <c r="LUX206" s="3"/>
      <c r="LUY206" s="3"/>
      <c r="LUZ206" s="3"/>
      <c r="LVA206" s="3"/>
      <c r="LVB206" s="3"/>
      <c r="LVC206" s="3"/>
      <c r="LVD206" s="3"/>
      <c r="LVE206" s="3"/>
      <c r="LVF206" s="3"/>
      <c r="LVG206" s="3"/>
      <c r="LVH206" s="3"/>
      <c r="LVI206" s="3"/>
      <c r="LVJ206" s="3"/>
      <c r="LVK206" s="3"/>
      <c r="LVL206" s="3"/>
      <c r="LVM206" s="3"/>
      <c r="LVN206" s="3"/>
      <c r="LVO206" s="3"/>
      <c r="LVP206" s="3"/>
      <c r="LVQ206" s="3"/>
      <c r="LVR206" s="3"/>
      <c r="LVS206" s="3"/>
      <c r="LVT206" s="3"/>
      <c r="LVU206" s="3"/>
      <c r="LVV206" s="3"/>
      <c r="LVW206" s="3"/>
      <c r="LVX206" s="3"/>
      <c r="LVY206" s="3"/>
      <c r="LVZ206" s="3"/>
      <c r="LWA206" s="3"/>
      <c r="LWB206" s="3"/>
      <c r="LWC206" s="3"/>
      <c r="LWD206" s="3"/>
      <c r="LWE206" s="3"/>
      <c r="LWF206" s="3"/>
      <c r="LWG206" s="3"/>
      <c r="LWH206" s="3"/>
      <c r="LWI206" s="3"/>
      <c r="LWJ206" s="3"/>
      <c r="LWK206" s="3"/>
      <c r="LWL206" s="3"/>
      <c r="LWM206" s="3"/>
      <c r="LWN206" s="3"/>
      <c r="LWO206" s="3"/>
      <c r="LWP206" s="3"/>
      <c r="LWQ206" s="3"/>
      <c r="LWR206" s="3"/>
      <c r="LWS206" s="3"/>
      <c r="LWT206" s="3"/>
      <c r="LWU206" s="3"/>
      <c r="LWV206" s="3"/>
      <c r="LWW206" s="3"/>
      <c r="LWX206" s="3"/>
      <c r="LWY206" s="3"/>
      <c r="LWZ206" s="3"/>
      <c r="LXA206" s="3"/>
      <c r="LXB206" s="3"/>
      <c r="LXC206" s="3"/>
      <c r="LXD206" s="3"/>
      <c r="LXE206" s="3"/>
      <c r="LXF206" s="3"/>
      <c r="LXG206" s="3"/>
      <c r="LXH206" s="3"/>
      <c r="LXI206" s="3"/>
      <c r="LXJ206" s="3"/>
      <c r="LXK206" s="3"/>
      <c r="LXL206" s="3"/>
      <c r="LXM206" s="3"/>
      <c r="LXN206" s="3"/>
      <c r="LXO206" s="3"/>
      <c r="LXP206" s="3"/>
      <c r="LXQ206" s="3"/>
      <c r="LXR206" s="3"/>
      <c r="LXS206" s="3"/>
      <c r="LXT206" s="3"/>
      <c r="LXU206" s="3"/>
      <c r="LXV206" s="3"/>
      <c r="LXW206" s="3"/>
      <c r="LXX206" s="3"/>
      <c r="LXY206" s="3"/>
      <c r="LXZ206" s="3"/>
      <c r="LYA206" s="3"/>
      <c r="LYB206" s="3"/>
      <c r="LYC206" s="3"/>
      <c r="LYD206" s="3"/>
      <c r="LYE206" s="3"/>
      <c r="LYF206" s="3"/>
      <c r="LYG206" s="3"/>
      <c r="LYH206" s="3"/>
      <c r="LYI206" s="3"/>
      <c r="LYJ206" s="3"/>
      <c r="LYK206" s="3"/>
      <c r="LYL206" s="3"/>
      <c r="LYM206" s="3"/>
      <c r="LYN206" s="3"/>
      <c r="LYO206" s="3"/>
      <c r="LYP206" s="3"/>
      <c r="LYQ206" s="3"/>
      <c r="LYR206" s="3"/>
      <c r="LYS206" s="3"/>
      <c r="LYT206" s="3"/>
      <c r="LYU206" s="3"/>
      <c r="LYV206" s="3"/>
      <c r="LYW206" s="3"/>
      <c r="LYX206" s="3"/>
      <c r="LYY206" s="3"/>
      <c r="LYZ206" s="3"/>
      <c r="LZA206" s="3"/>
      <c r="LZB206" s="3"/>
      <c r="LZC206" s="3"/>
      <c r="LZD206" s="3"/>
      <c r="LZE206" s="3"/>
      <c r="LZF206" s="3"/>
      <c r="LZG206" s="3"/>
      <c r="LZH206" s="3"/>
      <c r="LZI206" s="3"/>
      <c r="LZJ206" s="3"/>
      <c r="LZK206" s="3"/>
      <c r="LZL206" s="3"/>
      <c r="LZM206" s="3"/>
      <c r="LZN206" s="3"/>
      <c r="LZO206" s="3"/>
      <c r="LZP206" s="3"/>
      <c r="LZQ206" s="3"/>
      <c r="LZR206" s="3"/>
      <c r="LZS206" s="3"/>
      <c r="LZT206" s="3"/>
      <c r="LZU206" s="3"/>
      <c r="LZV206" s="3"/>
      <c r="LZW206" s="3"/>
      <c r="LZX206" s="3"/>
      <c r="LZY206" s="3"/>
      <c r="LZZ206" s="3"/>
      <c r="MAA206" s="3"/>
      <c r="MAB206" s="3"/>
      <c r="MAC206" s="3"/>
      <c r="MAD206" s="3"/>
      <c r="MAE206" s="3"/>
      <c r="MAF206" s="3"/>
      <c r="MAG206" s="3"/>
      <c r="MAH206" s="3"/>
      <c r="MAI206" s="3"/>
      <c r="MAJ206" s="3"/>
      <c r="MAK206" s="3"/>
      <c r="MAL206" s="3"/>
      <c r="MAM206" s="3"/>
      <c r="MAN206" s="3"/>
      <c r="MAO206" s="3"/>
      <c r="MAP206" s="3"/>
      <c r="MAQ206" s="3"/>
      <c r="MAR206" s="3"/>
      <c r="MAS206" s="3"/>
      <c r="MAT206" s="3"/>
      <c r="MAU206" s="3"/>
      <c r="MAV206" s="3"/>
      <c r="MAW206" s="3"/>
      <c r="MAX206" s="3"/>
      <c r="MAY206" s="3"/>
      <c r="MAZ206" s="3"/>
      <c r="MBA206" s="3"/>
      <c r="MBB206" s="3"/>
      <c r="MBC206" s="3"/>
      <c r="MBD206" s="3"/>
      <c r="MBE206" s="3"/>
      <c r="MBF206" s="3"/>
      <c r="MBG206" s="3"/>
      <c r="MBH206" s="3"/>
      <c r="MBI206" s="3"/>
      <c r="MBJ206" s="3"/>
      <c r="MBK206" s="3"/>
      <c r="MBL206" s="3"/>
      <c r="MBM206" s="3"/>
      <c r="MBN206" s="3"/>
      <c r="MBO206" s="3"/>
      <c r="MBP206" s="3"/>
      <c r="MBQ206" s="3"/>
      <c r="MBR206" s="3"/>
      <c r="MBS206" s="3"/>
      <c r="MBT206" s="3"/>
      <c r="MBU206" s="3"/>
      <c r="MBV206" s="3"/>
      <c r="MBW206" s="3"/>
      <c r="MBX206" s="3"/>
      <c r="MBY206" s="3"/>
      <c r="MBZ206" s="3"/>
      <c r="MCA206" s="3"/>
      <c r="MCB206" s="3"/>
      <c r="MCC206" s="3"/>
      <c r="MCD206" s="3"/>
      <c r="MCE206" s="3"/>
      <c r="MCF206" s="3"/>
      <c r="MCG206" s="3"/>
      <c r="MCH206" s="3"/>
      <c r="MCI206" s="3"/>
      <c r="MCJ206" s="3"/>
      <c r="MCK206" s="3"/>
      <c r="MCL206" s="3"/>
      <c r="MCM206" s="3"/>
      <c r="MCN206" s="3"/>
      <c r="MCO206" s="3"/>
      <c r="MCP206" s="3"/>
      <c r="MCQ206" s="3"/>
      <c r="MCR206" s="3"/>
      <c r="MCS206" s="3"/>
      <c r="MCT206" s="3"/>
      <c r="MCU206" s="3"/>
      <c r="MCV206" s="3"/>
      <c r="MCW206" s="3"/>
      <c r="MCX206" s="3"/>
      <c r="MCY206" s="3"/>
      <c r="MCZ206" s="3"/>
      <c r="MDA206" s="3"/>
      <c r="MDB206" s="3"/>
      <c r="MDC206" s="3"/>
      <c r="MDD206" s="3"/>
      <c r="MDE206" s="3"/>
      <c r="MDF206" s="3"/>
      <c r="MDG206" s="3"/>
      <c r="MDH206" s="3"/>
      <c r="MDI206" s="3"/>
      <c r="MDJ206" s="3"/>
      <c r="MDK206" s="3"/>
      <c r="MDL206" s="3"/>
      <c r="MDM206" s="3"/>
      <c r="MDN206" s="3"/>
      <c r="MDO206" s="3"/>
      <c r="MDP206" s="3"/>
      <c r="MDQ206" s="3"/>
      <c r="MDR206" s="3"/>
      <c r="MDS206" s="3"/>
      <c r="MDT206" s="3"/>
      <c r="MDU206" s="3"/>
      <c r="MDV206" s="3"/>
      <c r="MDW206" s="3"/>
      <c r="MDX206" s="3"/>
      <c r="MDY206" s="3"/>
      <c r="MDZ206" s="3"/>
      <c r="MEA206" s="3"/>
      <c r="MEB206" s="3"/>
      <c r="MEC206" s="3"/>
      <c r="MED206" s="3"/>
      <c r="MEE206" s="3"/>
      <c r="MEF206" s="3"/>
      <c r="MEG206" s="3"/>
      <c r="MEH206" s="3"/>
      <c r="MEI206" s="3"/>
      <c r="MEJ206" s="3"/>
      <c r="MEK206" s="3"/>
      <c r="MEL206" s="3"/>
      <c r="MEM206" s="3"/>
      <c r="MEN206" s="3"/>
      <c r="MEO206" s="3"/>
      <c r="MEP206" s="3"/>
      <c r="MEQ206" s="3"/>
      <c r="MER206" s="3"/>
      <c r="MES206" s="3"/>
      <c r="MET206" s="3"/>
      <c r="MEU206" s="3"/>
      <c r="MEV206" s="3"/>
      <c r="MEW206" s="3"/>
      <c r="MEX206" s="3"/>
      <c r="MEY206" s="3"/>
      <c r="MEZ206" s="3"/>
      <c r="MFA206" s="3"/>
      <c r="MFB206" s="3"/>
      <c r="MFC206" s="3"/>
      <c r="MFD206" s="3"/>
      <c r="MFE206" s="3"/>
      <c r="MFF206" s="3"/>
      <c r="MFG206" s="3"/>
      <c r="MFH206" s="3"/>
      <c r="MFI206" s="3"/>
      <c r="MFJ206" s="3"/>
      <c r="MFK206" s="3"/>
      <c r="MFL206" s="3"/>
      <c r="MFM206" s="3"/>
      <c r="MFN206" s="3"/>
      <c r="MFO206" s="3"/>
      <c r="MFP206" s="3"/>
      <c r="MFQ206" s="3"/>
      <c r="MFR206" s="3"/>
      <c r="MFS206" s="3"/>
      <c r="MFT206" s="3"/>
      <c r="MFU206" s="3"/>
      <c r="MFV206" s="3"/>
      <c r="MFW206" s="3"/>
      <c r="MFX206" s="3"/>
      <c r="MFY206" s="3"/>
      <c r="MFZ206" s="3"/>
      <c r="MGA206" s="3"/>
      <c r="MGB206" s="3"/>
      <c r="MGC206" s="3"/>
      <c r="MGD206" s="3"/>
      <c r="MGE206" s="3"/>
      <c r="MGF206" s="3"/>
      <c r="MGG206" s="3"/>
      <c r="MGH206" s="3"/>
      <c r="MGI206" s="3"/>
      <c r="MGJ206" s="3"/>
      <c r="MGK206" s="3"/>
      <c r="MGL206" s="3"/>
      <c r="MGM206" s="3"/>
      <c r="MGN206" s="3"/>
      <c r="MGO206" s="3"/>
      <c r="MGP206" s="3"/>
      <c r="MGQ206" s="3"/>
      <c r="MGR206" s="3"/>
      <c r="MGS206" s="3"/>
      <c r="MGT206" s="3"/>
      <c r="MGU206" s="3"/>
      <c r="MGV206" s="3"/>
      <c r="MGW206" s="3"/>
      <c r="MGX206" s="3"/>
      <c r="MGY206" s="3"/>
      <c r="MGZ206" s="3"/>
      <c r="MHA206" s="3"/>
      <c r="MHB206" s="3"/>
      <c r="MHC206" s="3"/>
      <c r="MHD206" s="3"/>
      <c r="MHE206" s="3"/>
      <c r="MHF206" s="3"/>
      <c r="MHG206" s="3"/>
      <c r="MHH206" s="3"/>
      <c r="MHI206" s="3"/>
      <c r="MHJ206" s="3"/>
      <c r="MHK206" s="3"/>
      <c r="MHL206" s="3"/>
      <c r="MHM206" s="3"/>
      <c r="MHN206" s="3"/>
      <c r="MHO206" s="3"/>
      <c r="MHP206" s="3"/>
      <c r="MHQ206" s="3"/>
      <c r="MHR206" s="3"/>
      <c r="MHS206" s="3"/>
      <c r="MHT206" s="3"/>
      <c r="MHU206" s="3"/>
      <c r="MHV206" s="3"/>
      <c r="MHW206" s="3"/>
      <c r="MHX206" s="3"/>
      <c r="MHY206" s="3"/>
      <c r="MHZ206" s="3"/>
      <c r="MIA206" s="3"/>
      <c r="MIB206" s="3"/>
      <c r="MIC206" s="3"/>
      <c r="MID206" s="3"/>
      <c r="MIE206" s="3"/>
      <c r="MIF206" s="3"/>
      <c r="MIG206" s="3"/>
      <c r="MIH206" s="3"/>
      <c r="MII206" s="3"/>
      <c r="MIJ206" s="3"/>
      <c r="MIK206" s="3"/>
      <c r="MIL206" s="3"/>
      <c r="MIM206" s="3"/>
      <c r="MIN206" s="3"/>
      <c r="MIO206" s="3"/>
      <c r="MIP206" s="3"/>
      <c r="MIQ206" s="3"/>
      <c r="MIR206" s="3"/>
      <c r="MIS206" s="3"/>
      <c r="MIT206" s="3"/>
      <c r="MIU206" s="3"/>
      <c r="MIV206" s="3"/>
      <c r="MIW206" s="3"/>
      <c r="MIX206" s="3"/>
      <c r="MIY206" s="3"/>
      <c r="MIZ206" s="3"/>
      <c r="MJA206" s="3"/>
      <c r="MJB206" s="3"/>
      <c r="MJC206" s="3"/>
      <c r="MJD206" s="3"/>
      <c r="MJE206" s="3"/>
      <c r="MJF206" s="3"/>
      <c r="MJG206" s="3"/>
      <c r="MJH206" s="3"/>
      <c r="MJI206" s="3"/>
      <c r="MJJ206" s="3"/>
      <c r="MJK206" s="3"/>
      <c r="MJL206" s="3"/>
      <c r="MJM206" s="3"/>
      <c r="MJN206" s="3"/>
      <c r="MJO206" s="3"/>
      <c r="MJP206" s="3"/>
      <c r="MJQ206" s="3"/>
      <c r="MJR206" s="3"/>
      <c r="MJS206" s="3"/>
      <c r="MJT206" s="3"/>
      <c r="MJU206" s="3"/>
      <c r="MJV206" s="3"/>
      <c r="MJW206" s="3"/>
      <c r="MJX206" s="3"/>
      <c r="MJY206" s="3"/>
      <c r="MJZ206" s="3"/>
      <c r="MKA206" s="3"/>
      <c r="MKB206" s="3"/>
      <c r="MKC206" s="3"/>
      <c r="MKD206" s="3"/>
      <c r="MKE206" s="3"/>
      <c r="MKF206" s="3"/>
      <c r="MKG206" s="3"/>
      <c r="MKH206" s="3"/>
      <c r="MKI206" s="3"/>
      <c r="MKJ206" s="3"/>
      <c r="MKK206" s="3"/>
      <c r="MKL206" s="3"/>
      <c r="MKM206" s="3"/>
      <c r="MKN206" s="3"/>
      <c r="MKO206" s="3"/>
      <c r="MKP206" s="3"/>
      <c r="MKQ206" s="3"/>
      <c r="MKR206" s="3"/>
      <c r="MKS206" s="3"/>
      <c r="MKT206" s="3"/>
      <c r="MKU206" s="3"/>
      <c r="MKV206" s="3"/>
      <c r="MKW206" s="3"/>
      <c r="MKX206" s="3"/>
      <c r="MKY206" s="3"/>
      <c r="MKZ206" s="3"/>
      <c r="MLA206" s="3"/>
      <c r="MLB206" s="3"/>
      <c r="MLC206" s="3"/>
      <c r="MLD206" s="3"/>
      <c r="MLE206" s="3"/>
      <c r="MLF206" s="3"/>
      <c r="MLG206" s="3"/>
      <c r="MLH206" s="3"/>
      <c r="MLI206" s="3"/>
      <c r="MLJ206" s="3"/>
      <c r="MLK206" s="3"/>
      <c r="MLL206" s="3"/>
      <c r="MLM206" s="3"/>
      <c r="MLN206" s="3"/>
      <c r="MLO206" s="3"/>
      <c r="MLP206" s="3"/>
      <c r="MLQ206" s="3"/>
      <c r="MLR206" s="3"/>
      <c r="MLS206" s="3"/>
      <c r="MLT206" s="3"/>
      <c r="MLU206" s="3"/>
      <c r="MLV206" s="3"/>
      <c r="MLW206" s="3"/>
      <c r="MLX206" s="3"/>
      <c r="MLY206" s="3"/>
      <c r="MLZ206" s="3"/>
      <c r="MMA206" s="3"/>
      <c r="MMB206" s="3"/>
      <c r="MMC206" s="3"/>
      <c r="MMD206" s="3"/>
      <c r="MME206" s="3"/>
      <c r="MMF206" s="3"/>
      <c r="MMG206" s="3"/>
      <c r="MMH206" s="3"/>
      <c r="MMI206" s="3"/>
      <c r="MMJ206" s="3"/>
      <c r="MMK206" s="3"/>
      <c r="MML206" s="3"/>
      <c r="MMM206" s="3"/>
      <c r="MMN206" s="3"/>
      <c r="MMO206" s="3"/>
      <c r="MMP206" s="3"/>
      <c r="MMQ206" s="3"/>
      <c r="MMR206" s="3"/>
      <c r="MMS206" s="3"/>
      <c r="MMT206" s="3"/>
      <c r="MMU206" s="3"/>
      <c r="MMV206" s="3"/>
      <c r="MMW206" s="3"/>
      <c r="MMX206" s="3"/>
      <c r="MMY206" s="3"/>
      <c r="MMZ206" s="3"/>
      <c r="MNA206" s="3"/>
      <c r="MNB206" s="3"/>
      <c r="MNC206" s="3"/>
      <c r="MND206" s="3"/>
      <c r="MNE206" s="3"/>
      <c r="MNF206" s="3"/>
      <c r="MNG206" s="3"/>
      <c r="MNH206" s="3"/>
      <c r="MNI206" s="3"/>
      <c r="MNJ206" s="3"/>
      <c r="MNK206" s="3"/>
      <c r="MNL206" s="3"/>
      <c r="MNM206" s="3"/>
      <c r="MNN206" s="3"/>
      <c r="MNO206" s="3"/>
      <c r="MNP206" s="3"/>
      <c r="MNQ206" s="3"/>
      <c r="MNR206" s="3"/>
      <c r="MNS206" s="3"/>
      <c r="MNT206" s="3"/>
      <c r="MNU206" s="3"/>
      <c r="MNV206" s="3"/>
      <c r="MNW206" s="3"/>
      <c r="MNX206" s="3"/>
      <c r="MNY206" s="3"/>
      <c r="MNZ206" s="3"/>
      <c r="MOA206" s="3"/>
      <c r="MOB206" s="3"/>
      <c r="MOC206" s="3"/>
      <c r="MOD206" s="3"/>
      <c r="MOE206" s="3"/>
      <c r="MOF206" s="3"/>
      <c r="MOG206" s="3"/>
      <c r="MOH206" s="3"/>
      <c r="MOI206" s="3"/>
      <c r="MOJ206" s="3"/>
      <c r="MOK206" s="3"/>
      <c r="MOL206" s="3"/>
      <c r="MOM206" s="3"/>
      <c r="MON206" s="3"/>
      <c r="MOO206" s="3"/>
      <c r="MOP206" s="3"/>
      <c r="MOQ206" s="3"/>
      <c r="MOR206" s="3"/>
      <c r="MOS206" s="3"/>
      <c r="MOT206" s="3"/>
      <c r="MOU206" s="3"/>
      <c r="MOV206" s="3"/>
      <c r="MOW206" s="3"/>
      <c r="MOX206" s="3"/>
      <c r="MOY206" s="3"/>
      <c r="MOZ206" s="3"/>
      <c r="MPA206" s="3"/>
      <c r="MPB206" s="3"/>
      <c r="MPC206" s="3"/>
      <c r="MPD206" s="3"/>
      <c r="MPE206" s="3"/>
      <c r="MPF206" s="3"/>
      <c r="MPG206" s="3"/>
      <c r="MPH206" s="3"/>
      <c r="MPI206" s="3"/>
      <c r="MPJ206" s="3"/>
      <c r="MPK206" s="3"/>
      <c r="MPL206" s="3"/>
      <c r="MPM206" s="3"/>
      <c r="MPN206" s="3"/>
      <c r="MPO206" s="3"/>
      <c r="MPP206" s="3"/>
      <c r="MPQ206" s="3"/>
      <c r="MPR206" s="3"/>
      <c r="MPS206" s="3"/>
      <c r="MPT206" s="3"/>
      <c r="MPU206" s="3"/>
      <c r="MPV206" s="3"/>
      <c r="MPW206" s="3"/>
      <c r="MPX206" s="3"/>
      <c r="MPY206" s="3"/>
      <c r="MPZ206" s="3"/>
      <c r="MQA206" s="3"/>
      <c r="MQB206" s="3"/>
      <c r="MQC206" s="3"/>
      <c r="MQD206" s="3"/>
      <c r="MQE206" s="3"/>
      <c r="MQF206" s="3"/>
      <c r="MQG206" s="3"/>
      <c r="MQH206" s="3"/>
      <c r="MQI206" s="3"/>
      <c r="MQJ206" s="3"/>
      <c r="MQK206" s="3"/>
      <c r="MQL206" s="3"/>
      <c r="MQM206" s="3"/>
      <c r="MQN206" s="3"/>
      <c r="MQO206" s="3"/>
      <c r="MQP206" s="3"/>
      <c r="MQQ206" s="3"/>
      <c r="MQR206" s="3"/>
      <c r="MQS206" s="3"/>
      <c r="MQT206" s="3"/>
      <c r="MQU206" s="3"/>
      <c r="MQV206" s="3"/>
      <c r="MQW206" s="3"/>
      <c r="MQX206" s="3"/>
      <c r="MQY206" s="3"/>
      <c r="MQZ206" s="3"/>
      <c r="MRA206" s="3"/>
      <c r="MRB206" s="3"/>
      <c r="MRC206" s="3"/>
      <c r="MRD206" s="3"/>
      <c r="MRE206" s="3"/>
      <c r="MRF206" s="3"/>
      <c r="MRG206" s="3"/>
      <c r="MRH206" s="3"/>
      <c r="MRI206" s="3"/>
      <c r="MRJ206" s="3"/>
      <c r="MRK206" s="3"/>
      <c r="MRL206" s="3"/>
      <c r="MRM206" s="3"/>
      <c r="MRN206" s="3"/>
      <c r="MRO206" s="3"/>
      <c r="MRP206" s="3"/>
      <c r="MRQ206" s="3"/>
      <c r="MRR206" s="3"/>
      <c r="MRS206" s="3"/>
      <c r="MRT206" s="3"/>
      <c r="MRU206" s="3"/>
      <c r="MRV206" s="3"/>
      <c r="MRW206" s="3"/>
      <c r="MRX206" s="3"/>
      <c r="MRY206" s="3"/>
      <c r="MRZ206" s="3"/>
      <c r="MSA206" s="3"/>
      <c r="MSB206" s="3"/>
      <c r="MSC206" s="3"/>
      <c r="MSD206" s="3"/>
      <c r="MSE206" s="3"/>
      <c r="MSF206" s="3"/>
      <c r="MSG206" s="3"/>
      <c r="MSH206" s="3"/>
      <c r="MSI206" s="3"/>
      <c r="MSJ206" s="3"/>
      <c r="MSK206" s="3"/>
      <c r="MSL206" s="3"/>
      <c r="MSM206" s="3"/>
      <c r="MSN206" s="3"/>
      <c r="MSO206" s="3"/>
      <c r="MSP206" s="3"/>
      <c r="MSQ206" s="3"/>
      <c r="MSR206" s="3"/>
      <c r="MSS206" s="3"/>
      <c r="MST206" s="3"/>
      <c r="MSU206" s="3"/>
      <c r="MSV206" s="3"/>
      <c r="MSW206" s="3"/>
      <c r="MSX206" s="3"/>
      <c r="MSY206" s="3"/>
      <c r="MSZ206" s="3"/>
      <c r="MTA206" s="3"/>
      <c r="MTB206" s="3"/>
      <c r="MTC206" s="3"/>
      <c r="MTD206" s="3"/>
      <c r="MTE206" s="3"/>
      <c r="MTF206" s="3"/>
      <c r="MTG206" s="3"/>
      <c r="MTH206" s="3"/>
      <c r="MTI206" s="3"/>
      <c r="MTJ206" s="3"/>
      <c r="MTK206" s="3"/>
      <c r="MTL206" s="3"/>
      <c r="MTM206" s="3"/>
      <c r="MTN206" s="3"/>
      <c r="MTO206" s="3"/>
      <c r="MTP206" s="3"/>
      <c r="MTQ206" s="3"/>
      <c r="MTR206" s="3"/>
      <c r="MTS206" s="3"/>
      <c r="MTT206" s="3"/>
      <c r="MTU206" s="3"/>
      <c r="MTV206" s="3"/>
      <c r="MTW206" s="3"/>
      <c r="MTX206" s="3"/>
      <c r="MTY206" s="3"/>
      <c r="MTZ206" s="3"/>
      <c r="MUA206" s="3"/>
      <c r="MUB206" s="3"/>
      <c r="MUC206" s="3"/>
      <c r="MUD206" s="3"/>
      <c r="MUE206" s="3"/>
      <c r="MUF206" s="3"/>
      <c r="MUG206" s="3"/>
      <c r="MUH206" s="3"/>
      <c r="MUI206" s="3"/>
      <c r="MUJ206" s="3"/>
      <c r="MUK206" s="3"/>
      <c r="MUL206" s="3"/>
      <c r="MUM206" s="3"/>
      <c r="MUN206" s="3"/>
      <c r="MUO206" s="3"/>
      <c r="MUP206" s="3"/>
      <c r="MUQ206" s="3"/>
      <c r="MUR206" s="3"/>
      <c r="MUS206" s="3"/>
      <c r="MUT206" s="3"/>
      <c r="MUU206" s="3"/>
      <c r="MUV206" s="3"/>
      <c r="MUW206" s="3"/>
      <c r="MUX206" s="3"/>
      <c r="MUY206" s="3"/>
      <c r="MUZ206" s="3"/>
      <c r="MVA206" s="3"/>
      <c r="MVB206" s="3"/>
      <c r="MVC206" s="3"/>
      <c r="MVD206" s="3"/>
      <c r="MVE206" s="3"/>
      <c r="MVF206" s="3"/>
      <c r="MVG206" s="3"/>
      <c r="MVH206" s="3"/>
      <c r="MVI206" s="3"/>
      <c r="MVJ206" s="3"/>
      <c r="MVK206" s="3"/>
      <c r="MVL206" s="3"/>
      <c r="MVM206" s="3"/>
      <c r="MVN206" s="3"/>
      <c r="MVO206" s="3"/>
      <c r="MVP206" s="3"/>
      <c r="MVQ206" s="3"/>
      <c r="MVR206" s="3"/>
      <c r="MVS206" s="3"/>
      <c r="MVT206" s="3"/>
      <c r="MVU206" s="3"/>
      <c r="MVV206" s="3"/>
      <c r="MVW206" s="3"/>
      <c r="MVX206" s="3"/>
      <c r="MVY206" s="3"/>
      <c r="MVZ206" s="3"/>
      <c r="MWA206" s="3"/>
      <c r="MWB206" s="3"/>
      <c r="MWC206" s="3"/>
      <c r="MWD206" s="3"/>
      <c r="MWE206" s="3"/>
      <c r="MWF206" s="3"/>
      <c r="MWG206" s="3"/>
      <c r="MWH206" s="3"/>
      <c r="MWI206" s="3"/>
      <c r="MWJ206" s="3"/>
      <c r="MWK206" s="3"/>
      <c r="MWL206" s="3"/>
      <c r="MWM206" s="3"/>
      <c r="MWN206" s="3"/>
      <c r="MWO206" s="3"/>
      <c r="MWP206" s="3"/>
      <c r="MWQ206" s="3"/>
      <c r="MWR206" s="3"/>
      <c r="MWS206" s="3"/>
      <c r="MWT206" s="3"/>
      <c r="MWU206" s="3"/>
      <c r="MWV206" s="3"/>
      <c r="MWW206" s="3"/>
      <c r="MWX206" s="3"/>
      <c r="MWY206" s="3"/>
      <c r="MWZ206" s="3"/>
      <c r="MXA206" s="3"/>
      <c r="MXB206" s="3"/>
      <c r="MXC206" s="3"/>
      <c r="MXD206" s="3"/>
      <c r="MXE206" s="3"/>
      <c r="MXF206" s="3"/>
      <c r="MXG206" s="3"/>
      <c r="MXH206" s="3"/>
      <c r="MXI206" s="3"/>
      <c r="MXJ206" s="3"/>
      <c r="MXK206" s="3"/>
      <c r="MXL206" s="3"/>
      <c r="MXM206" s="3"/>
      <c r="MXN206" s="3"/>
      <c r="MXO206" s="3"/>
      <c r="MXP206" s="3"/>
      <c r="MXQ206" s="3"/>
      <c r="MXR206" s="3"/>
      <c r="MXS206" s="3"/>
      <c r="MXT206" s="3"/>
      <c r="MXU206" s="3"/>
      <c r="MXV206" s="3"/>
      <c r="MXW206" s="3"/>
      <c r="MXX206" s="3"/>
      <c r="MXY206" s="3"/>
      <c r="MXZ206" s="3"/>
      <c r="MYA206" s="3"/>
      <c r="MYB206" s="3"/>
      <c r="MYC206" s="3"/>
      <c r="MYD206" s="3"/>
      <c r="MYE206" s="3"/>
      <c r="MYF206" s="3"/>
      <c r="MYG206" s="3"/>
      <c r="MYH206" s="3"/>
      <c r="MYI206" s="3"/>
      <c r="MYJ206" s="3"/>
      <c r="MYK206" s="3"/>
      <c r="MYL206" s="3"/>
      <c r="MYM206" s="3"/>
      <c r="MYN206" s="3"/>
      <c r="MYO206" s="3"/>
      <c r="MYP206" s="3"/>
      <c r="MYQ206" s="3"/>
      <c r="MYR206" s="3"/>
      <c r="MYS206" s="3"/>
      <c r="MYT206" s="3"/>
      <c r="MYU206" s="3"/>
      <c r="MYV206" s="3"/>
      <c r="MYW206" s="3"/>
      <c r="MYX206" s="3"/>
      <c r="MYY206" s="3"/>
      <c r="MYZ206" s="3"/>
      <c r="MZA206" s="3"/>
      <c r="MZB206" s="3"/>
      <c r="MZC206" s="3"/>
      <c r="MZD206" s="3"/>
      <c r="MZE206" s="3"/>
      <c r="MZF206" s="3"/>
      <c r="MZG206" s="3"/>
      <c r="MZH206" s="3"/>
      <c r="MZI206" s="3"/>
      <c r="MZJ206" s="3"/>
      <c r="MZK206" s="3"/>
      <c r="MZL206" s="3"/>
      <c r="MZM206" s="3"/>
      <c r="MZN206" s="3"/>
      <c r="MZO206" s="3"/>
      <c r="MZP206" s="3"/>
      <c r="MZQ206" s="3"/>
      <c r="MZR206" s="3"/>
      <c r="MZS206" s="3"/>
      <c r="MZT206" s="3"/>
      <c r="MZU206" s="3"/>
      <c r="MZV206" s="3"/>
      <c r="MZW206" s="3"/>
      <c r="MZX206" s="3"/>
      <c r="MZY206" s="3"/>
      <c r="MZZ206" s="3"/>
      <c r="NAA206" s="3"/>
      <c r="NAB206" s="3"/>
      <c r="NAC206" s="3"/>
      <c r="NAD206" s="3"/>
      <c r="NAE206" s="3"/>
      <c r="NAF206" s="3"/>
      <c r="NAG206" s="3"/>
      <c r="NAH206" s="3"/>
      <c r="NAI206" s="3"/>
      <c r="NAJ206" s="3"/>
      <c r="NAK206" s="3"/>
      <c r="NAL206" s="3"/>
      <c r="NAM206" s="3"/>
      <c r="NAN206" s="3"/>
      <c r="NAO206" s="3"/>
      <c r="NAP206" s="3"/>
      <c r="NAQ206" s="3"/>
      <c r="NAR206" s="3"/>
      <c r="NAS206" s="3"/>
      <c r="NAT206" s="3"/>
      <c r="NAU206" s="3"/>
      <c r="NAV206" s="3"/>
      <c r="NAW206" s="3"/>
      <c r="NAX206" s="3"/>
      <c r="NAY206" s="3"/>
      <c r="NAZ206" s="3"/>
      <c r="NBA206" s="3"/>
      <c r="NBB206" s="3"/>
      <c r="NBC206" s="3"/>
      <c r="NBD206" s="3"/>
      <c r="NBE206" s="3"/>
      <c r="NBF206" s="3"/>
      <c r="NBG206" s="3"/>
      <c r="NBH206" s="3"/>
      <c r="NBI206" s="3"/>
      <c r="NBJ206" s="3"/>
      <c r="NBK206" s="3"/>
      <c r="NBL206" s="3"/>
      <c r="NBM206" s="3"/>
      <c r="NBN206" s="3"/>
      <c r="NBO206" s="3"/>
      <c r="NBP206" s="3"/>
      <c r="NBQ206" s="3"/>
      <c r="NBR206" s="3"/>
      <c r="NBS206" s="3"/>
      <c r="NBT206" s="3"/>
      <c r="NBU206" s="3"/>
      <c r="NBV206" s="3"/>
      <c r="NBW206" s="3"/>
      <c r="NBX206" s="3"/>
      <c r="NBY206" s="3"/>
      <c r="NBZ206" s="3"/>
      <c r="NCA206" s="3"/>
      <c r="NCB206" s="3"/>
      <c r="NCC206" s="3"/>
      <c r="NCD206" s="3"/>
      <c r="NCE206" s="3"/>
      <c r="NCF206" s="3"/>
      <c r="NCG206" s="3"/>
      <c r="NCH206" s="3"/>
      <c r="NCI206" s="3"/>
      <c r="NCJ206" s="3"/>
      <c r="NCK206" s="3"/>
      <c r="NCL206" s="3"/>
      <c r="NCM206" s="3"/>
      <c r="NCN206" s="3"/>
      <c r="NCO206" s="3"/>
      <c r="NCP206" s="3"/>
      <c r="NCQ206" s="3"/>
      <c r="NCR206" s="3"/>
      <c r="NCS206" s="3"/>
      <c r="NCT206" s="3"/>
      <c r="NCU206" s="3"/>
      <c r="NCV206" s="3"/>
      <c r="NCW206" s="3"/>
      <c r="NCX206" s="3"/>
      <c r="NCY206" s="3"/>
      <c r="NCZ206" s="3"/>
      <c r="NDA206" s="3"/>
      <c r="NDB206" s="3"/>
      <c r="NDC206" s="3"/>
      <c r="NDD206" s="3"/>
      <c r="NDE206" s="3"/>
      <c r="NDF206" s="3"/>
      <c r="NDG206" s="3"/>
      <c r="NDH206" s="3"/>
      <c r="NDI206" s="3"/>
      <c r="NDJ206" s="3"/>
      <c r="NDK206" s="3"/>
      <c r="NDL206" s="3"/>
      <c r="NDM206" s="3"/>
      <c r="NDN206" s="3"/>
      <c r="NDO206" s="3"/>
      <c r="NDP206" s="3"/>
      <c r="NDQ206" s="3"/>
      <c r="NDR206" s="3"/>
      <c r="NDS206" s="3"/>
      <c r="NDT206" s="3"/>
      <c r="NDU206" s="3"/>
      <c r="NDV206" s="3"/>
      <c r="NDW206" s="3"/>
      <c r="NDX206" s="3"/>
      <c r="NDY206" s="3"/>
      <c r="NDZ206" s="3"/>
      <c r="NEA206" s="3"/>
      <c r="NEB206" s="3"/>
      <c r="NEC206" s="3"/>
      <c r="NED206" s="3"/>
      <c r="NEE206" s="3"/>
      <c r="NEF206" s="3"/>
      <c r="NEG206" s="3"/>
      <c r="NEH206" s="3"/>
      <c r="NEI206" s="3"/>
      <c r="NEJ206" s="3"/>
      <c r="NEK206" s="3"/>
      <c r="NEL206" s="3"/>
      <c r="NEM206" s="3"/>
      <c r="NEN206" s="3"/>
      <c r="NEO206" s="3"/>
      <c r="NEP206" s="3"/>
      <c r="NEQ206" s="3"/>
      <c r="NER206" s="3"/>
      <c r="NES206" s="3"/>
      <c r="NET206" s="3"/>
      <c r="NEU206" s="3"/>
      <c r="NEV206" s="3"/>
      <c r="NEW206" s="3"/>
      <c r="NEX206" s="3"/>
      <c r="NEY206" s="3"/>
      <c r="NEZ206" s="3"/>
      <c r="NFA206" s="3"/>
      <c r="NFB206" s="3"/>
      <c r="NFC206" s="3"/>
      <c r="NFD206" s="3"/>
      <c r="NFE206" s="3"/>
      <c r="NFF206" s="3"/>
      <c r="NFG206" s="3"/>
      <c r="NFH206" s="3"/>
      <c r="NFI206" s="3"/>
      <c r="NFJ206" s="3"/>
      <c r="NFK206" s="3"/>
      <c r="NFL206" s="3"/>
      <c r="NFM206" s="3"/>
      <c r="NFN206" s="3"/>
      <c r="NFO206" s="3"/>
      <c r="NFP206" s="3"/>
      <c r="NFQ206" s="3"/>
      <c r="NFR206" s="3"/>
      <c r="NFS206" s="3"/>
      <c r="NFT206" s="3"/>
      <c r="NFU206" s="3"/>
      <c r="NFV206" s="3"/>
      <c r="NFW206" s="3"/>
      <c r="NFX206" s="3"/>
      <c r="NFY206" s="3"/>
      <c r="NFZ206" s="3"/>
      <c r="NGA206" s="3"/>
      <c r="NGB206" s="3"/>
      <c r="NGC206" s="3"/>
      <c r="NGD206" s="3"/>
      <c r="NGE206" s="3"/>
      <c r="NGF206" s="3"/>
      <c r="NGG206" s="3"/>
      <c r="NGH206" s="3"/>
      <c r="NGI206" s="3"/>
      <c r="NGJ206" s="3"/>
      <c r="NGK206" s="3"/>
      <c r="NGL206" s="3"/>
      <c r="NGM206" s="3"/>
      <c r="NGN206" s="3"/>
      <c r="NGO206" s="3"/>
      <c r="NGP206" s="3"/>
      <c r="NGQ206" s="3"/>
      <c r="NGR206" s="3"/>
      <c r="NGS206" s="3"/>
      <c r="NGT206" s="3"/>
      <c r="NGU206" s="3"/>
      <c r="NGV206" s="3"/>
      <c r="NGW206" s="3"/>
      <c r="NGX206" s="3"/>
      <c r="NGY206" s="3"/>
      <c r="NGZ206" s="3"/>
      <c r="NHA206" s="3"/>
      <c r="NHB206" s="3"/>
      <c r="NHC206" s="3"/>
      <c r="NHD206" s="3"/>
      <c r="NHE206" s="3"/>
      <c r="NHF206" s="3"/>
      <c r="NHG206" s="3"/>
      <c r="NHH206" s="3"/>
      <c r="NHI206" s="3"/>
      <c r="NHJ206" s="3"/>
      <c r="NHK206" s="3"/>
      <c r="NHL206" s="3"/>
      <c r="NHM206" s="3"/>
      <c r="NHN206" s="3"/>
      <c r="NHO206" s="3"/>
      <c r="NHP206" s="3"/>
      <c r="NHQ206" s="3"/>
      <c r="NHR206" s="3"/>
      <c r="NHS206" s="3"/>
      <c r="NHT206" s="3"/>
      <c r="NHU206" s="3"/>
      <c r="NHV206" s="3"/>
      <c r="NHW206" s="3"/>
      <c r="NHX206" s="3"/>
      <c r="NHY206" s="3"/>
      <c r="NHZ206" s="3"/>
      <c r="NIA206" s="3"/>
      <c r="NIB206" s="3"/>
      <c r="NIC206" s="3"/>
      <c r="NID206" s="3"/>
      <c r="NIE206" s="3"/>
      <c r="NIF206" s="3"/>
      <c r="NIG206" s="3"/>
      <c r="NIH206" s="3"/>
      <c r="NII206" s="3"/>
      <c r="NIJ206" s="3"/>
      <c r="NIK206" s="3"/>
      <c r="NIL206" s="3"/>
      <c r="NIM206" s="3"/>
      <c r="NIN206" s="3"/>
      <c r="NIO206" s="3"/>
      <c r="NIP206" s="3"/>
      <c r="NIQ206" s="3"/>
      <c r="NIR206" s="3"/>
      <c r="NIS206" s="3"/>
      <c r="NIT206" s="3"/>
      <c r="NIU206" s="3"/>
      <c r="NIV206" s="3"/>
      <c r="NIW206" s="3"/>
      <c r="NIX206" s="3"/>
      <c r="NIY206" s="3"/>
      <c r="NIZ206" s="3"/>
      <c r="NJA206" s="3"/>
      <c r="NJB206" s="3"/>
      <c r="NJC206" s="3"/>
      <c r="NJD206" s="3"/>
      <c r="NJE206" s="3"/>
      <c r="NJF206" s="3"/>
      <c r="NJG206" s="3"/>
      <c r="NJH206" s="3"/>
      <c r="NJI206" s="3"/>
      <c r="NJJ206" s="3"/>
      <c r="NJK206" s="3"/>
      <c r="NJL206" s="3"/>
      <c r="NJM206" s="3"/>
      <c r="NJN206" s="3"/>
      <c r="NJO206" s="3"/>
      <c r="NJP206" s="3"/>
      <c r="NJQ206" s="3"/>
      <c r="NJR206" s="3"/>
      <c r="NJS206" s="3"/>
      <c r="NJT206" s="3"/>
      <c r="NJU206" s="3"/>
      <c r="NJV206" s="3"/>
      <c r="NJW206" s="3"/>
      <c r="NJX206" s="3"/>
      <c r="NJY206" s="3"/>
      <c r="NJZ206" s="3"/>
      <c r="NKA206" s="3"/>
      <c r="NKB206" s="3"/>
      <c r="NKC206" s="3"/>
      <c r="NKD206" s="3"/>
      <c r="NKE206" s="3"/>
      <c r="NKF206" s="3"/>
      <c r="NKG206" s="3"/>
      <c r="NKH206" s="3"/>
      <c r="NKI206" s="3"/>
      <c r="NKJ206" s="3"/>
      <c r="NKK206" s="3"/>
      <c r="NKL206" s="3"/>
      <c r="NKM206" s="3"/>
      <c r="NKN206" s="3"/>
      <c r="NKO206" s="3"/>
      <c r="NKP206" s="3"/>
      <c r="NKQ206" s="3"/>
      <c r="NKR206" s="3"/>
      <c r="NKS206" s="3"/>
      <c r="NKT206" s="3"/>
      <c r="NKU206" s="3"/>
      <c r="NKV206" s="3"/>
      <c r="NKW206" s="3"/>
      <c r="NKX206" s="3"/>
      <c r="NKY206" s="3"/>
      <c r="NKZ206" s="3"/>
      <c r="NLA206" s="3"/>
      <c r="NLB206" s="3"/>
      <c r="NLC206" s="3"/>
      <c r="NLD206" s="3"/>
      <c r="NLE206" s="3"/>
      <c r="NLF206" s="3"/>
      <c r="NLG206" s="3"/>
      <c r="NLH206" s="3"/>
      <c r="NLI206" s="3"/>
      <c r="NLJ206" s="3"/>
      <c r="NLK206" s="3"/>
      <c r="NLL206" s="3"/>
      <c r="NLM206" s="3"/>
      <c r="NLN206" s="3"/>
      <c r="NLO206" s="3"/>
      <c r="NLP206" s="3"/>
      <c r="NLQ206" s="3"/>
      <c r="NLR206" s="3"/>
      <c r="NLS206" s="3"/>
      <c r="NLT206" s="3"/>
      <c r="NLU206" s="3"/>
      <c r="NLV206" s="3"/>
      <c r="NLW206" s="3"/>
      <c r="NLX206" s="3"/>
      <c r="NLY206" s="3"/>
      <c r="NLZ206" s="3"/>
      <c r="NMA206" s="3"/>
      <c r="NMB206" s="3"/>
      <c r="NMC206" s="3"/>
      <c r="NMD206" s="3"/>
      <c r="NME206" s="3"/>
      <c r="NMF206" s="3"/>
      <c r="NMG206" s="3"/>
      <c r="NMH206" s="3"/>
      <c r="NMI206" s="3"/>
      <c r="NMJ206" s="3"/>
      <c r="NMK206" s="3"/>
      <c r="NML206" s="3"/>
      <c r="NMM206" s="3"/>
      <c r="NMN206" s="3"/>
      <c r="NMO206" s="3"/>
      <c r="NMP206" s="3"/>
      <c r="NMQ206" s="3"/>
      <c r="NMR206" s="3"/>
      <c r="NMS206" s="3"/>
      <c r="NMT206" s="3"/>
      <c r="NMU206" s="3"/>
      <c r="NMV206" s="3"/>
      <c r="NMW206" s="3"/>
      <c r="NMX206" s="3"/>
      <c r="NMY206" s="3"/>
      <c r="NMZ206" s="3"/>
      <c r="NNA206" s="3"/>
      <c r="NNB206" s="3"/>
      <c r="NNC206" s="3"/>
      <c r="NND206" s="3"/>
      <c r="NNE206" s="3"/>
      <c r="NNF206" s="3"/>
      <c r="NNG206" s="3"/>
      <c r="NNH206" s="3"/>
      <c r="NNI206" s="3"/>
      <c r="NNJ206" s="3"/>
      <c r="NNK206" s="3"/>
      <c r="NNL206" s="3"/>
      <c r="NNM206" s="3"/>
      <c r="NNN206" s="3"/>
      <c r="NNO206" s="3"/>
      <c r="NNP206" s="3"/>
      <c r="NNQ206" s="3"/>
      <c r="NNR206" s="3"/>
      <c r="NNS206" s="3"/>
      <c r="NNT206" s="3"/>
      <c r="NNU206" s="3"/>
      <c r="NNV206" s="3"/>
      <c r="NNW206" s="3"/>
      <c r="NNX206" s="3"/>
      <c r="NNY206" s="3"/>
      <c r="NNZ206" s="3"/>
      <c r="NOA206" s="3"/>
      <c r="NOB206" s="3"/>
      <c r="NOC206" s="3"/>
      <c r="NOD206" s="3"/>
      <c r="NOE206" s="3"/>
      <c r="NOF206" s="3"/>
      <c r="NOG206" s="3"/>
      <c r="NOH206" s="3"/>
      <c r="NOI206" s="3"/>
      <c r="NOJ206" s="3"/>
      <c r="NOK206" s="3"/>
      <c r="NOL206" s="3"/>
      <c r="NOM206" s="3"/>
      <c r="NON206" s="3"/>
      <c r="NOO206" s="3"/>
      <c r="NOP206" s="3"/>
      <c r="NOQ206" s="3"/>
      <c r="NOR206" s="3"/>
      <c r="NOS206" s="3"/>
      <c r="NOT206" s="3"/>
      <c r="NOU206" s="3"/>
      <c r="NOV206" s="3"/>
      <c r="NOW206" s="3"/>
      <c r="NOX206" s="3"/>
      <c r="NOY206" s="3"/>
      <c r="NOZ206" s="3"/>
      <c r="NPA206" s="3"/>
      <c r="NPB206" s="3"/>
      <c r="NPC206" s="3"/>
      <c r="NPD206" s="3"/>
      <c r="NPE206" s="3"/>
      <c r="NPF206" s="3"/>
      <c r="NPG206" s="3"/>
      <c r="NPH206" s="3"/>
      <c r="NPI206" s="3"/>
      <c r="NPJ206" s="3"/>
      <c r="NPK206" s="3"/>
      <c r="NPL206" s="3"/>
      <c r="NPM206" s="3"/>
      <c r="NPN206" s="3"/>
      <c r="NPO206" s="3"/>
      <c r="NPP206" s="3"/>
      <c r="NPQ206" s="3"/>
      <c r="NPR206" s="3"/>
      <c r="NPS206" s="3"/>
      <c r="NPT206" s="3"/>
      <c r="NPU206" s="3"/>
      <c r="NPV206" s="3"/>
      <c r="NPW206" s="3"/>
      <c r="NPX206" s="3"/>
      <c r="NPY206" s="3"/>
      <c r="NPZ206" s="3"/>
      <c r="NQA206" s="3"/>
      <c r="NQB206" s="3"/>
      <c r="NQC206" s="3"/>
      <c r="NQD206" s="3"/>
      <c r="NQE206" s="3"/>
      <c r="NQF206" s="3"/>
      <c r="NQG206" s="3"/>
      <c r="NQH206" s="3"/>
      <c r="NQI206" s="3"/>
      <c r="NQJ206" s="3"/>
      <c r="NQK206" s="3"/>
      <c r="NQL206" s="3"/>
      <c r="NQM206" s="3"/>
      <c r="NQN206" s="3"/>
      <c r="NQO206" s="3"/>
      <c r="NQP206" s="3"/>
      <c r="NQQ206" s="3"/>
      <c r="NQR206" s="3"/>
      <c r="NQS206" s="3"/>
      <c r="NQT206" s="3"/>
      <c r="NQU206" s="3"/>
      <c r="NQV206" s="3"/>
      <c r="NQW206" s="3"/>
      <c r="NQX206" s="3"/>
      <c r="NQY206" s="3"/>
      <c r="NQZ206" s="3"/>
      <c r="NRA206" s="3"/>
      <c r="NRB206" s="3"/>
      <c r="NRC206" s="3"/>
      <c r="NRD206" s="3"/>
      <c r="NRE206" s="3"/>
      <c r="NRF206" s="3"/>
      <c r="NRG206" s="3"/>
      <c r="NRH206" s="3"/>
      <c r="NRI206" s="3"/>
      <c r="NRJ206" s="3"/>
      <c r="NRK206" s="3"/>
      <c r="NRL206" s="3"/>
      <c r="NRM206" s="3"/>
      <c r="NRN206" s="3"/>
      <c r="NRO206" s="3"/>
      <c r="NRP206" s="3"/>
      <c r="NRQ206" s="3"/>
      <c r="NRR206" s="3"/>
      <c r="NRS206" s="3"/>
      <c r="NRT206" s="3"/>
      <c r="NRU206" s="3"/>
      <c r="NRV206" s="3"/>
      <c r="NRW206" s="3"/>
      <c r="NRX206" s="3"/>
      <c r="NRY206" s="3"/>
      <c r="NRZ206" s="3"/>
      <c r="NSA206" s="3"/>
      <c r="NSB206" s="3"/>
      <c r="NSC206" s="3"/>
      <c r="NSD206" s="3"/>
      <c r="NSE206" s="3"/>
      <c r="NSF206" s="3"/>
      <c r="NSG206" s="3"/>
      <c r="NSH206" s="3"/>
      <c r="NSI206" s="3"/>
      <c r="NSJ206" s="3"/>
      <c r="NSK206" s="3"/>
      <c r="NSL206" s="3"/>
      <c r="NSM206" s="3"/>
      <c r="NSN206" s="3"/>
      <c r="NSO206" s="3"/>
      <c r="NSP206" s="3"/>
      <c r="NSQ206" s="3"/>
      <c r="NSR206" s="3"/>
      <c r="NSS206" s="3"/>
      <c r="NST206" s="3"/>
      <c r="NSU206" s="3"/>
      <c r="NSV206" s="3"/>
      <c r="NSW206" s="3"/>
      <c r="NSX206" s="3"/>
      <c r="NSY206" s="3"/>
      <c r="NSZ206" s="3"/>
      <c r="NTA206" s="3"/>
      <c r="NTB206" s="3"/>
      <c r="NTC206" s="3"/>
      <c r="NTD206" s="3"/>
      <c r="NTE206" s="3"/>
      <c r="NTF206" s="3"/>
      <c r="NTG206" s="3"/>
      <c r="NTH206" s="3"/>
      <c r="NTI206" s="3"/>
      <c r="NTJ206" s="3"/>
      <c r="NTK206" s="3"/>
      <c r="NTL206" s="3"/>
      <c r="NTM206" s="3"/>
      <c r="NTN206" s="3"/>
      <c r="NTO206" s="3"/>
      <c r="NTP206" s="3"/>
      <c r="NTQ206" s="3"/>
      <c r="NTR206" s="3"/>
      <c r="NTS206" s="3"/>
      <c r="NTT206" s="3"/>
      <c r="NTU206" s="3"/>
      <c r="NTV206" s="3"/>
      <c r="NTW206" s="3"/>
      <c r="NTX206" s="3"/>
      <c r="NTY206" s="3"/>
      <c r="NTZ206" s="3"/>
      <c r="NUA206" s="3"/>
      <c r="NUB206" s="3"/>
      <c r="NUC206" s="3"/>
      <c r="NUD206" s="3"/>
      <c r="NUE206" s="3"/>
      <c r="NUF206" s="3"/>
      <c r="NUG206" s="3"/>
      <c r="NUH206" s="3"/>
      <c r="NUI206" s="3"/>
      <c r="NUJ206" s="3"/>
      <c r="NUK206" s="3"/>
      <c r="NUL206" s="3"/>
      <c r="NUM206" s="3"/>
      <c r="NUN206" s="3"/>
      <c r="NUO206" s="3"/>
      <c r="NUP206" s="3"/>
      <c r="NUQ206" s="3"/>
      <c r="NUR206" s="3"/>
      <c r="NUS206" s="3"/>
      <c r="NUT206" s="3"/>
      <c r="NUU206" s="3"/>
      <c r="NUV206" s="3"/>
      <c r="NUW206" s="3"/>
      <c r="NUX206" s="3"/>
      <c r="NUY206" s="3"/>
      <c r="NUZ206" s="3"/>
      <c r="NVA206" s="3"/>
      <c r="NVB206" s="3"/>
      <c r="NVC206" s="3"/>
      <c r="NVD206" s="3"/>
      <c r="NVE206" s="3"/>
      <c r="NVF206" s="3"/>
      <c r="NVG206" s="3"/>
      <c r="NVH206" s="3"/>
      <c r="NVI206" s="3"/>
      <c r="NVJ206" s="3"/>
      <c r="NVK206" s="3"/>
      <c r="NVL206" s="3"/>
      <c r="NVM206" s="3"/>
      <c r="NVN206" s="3"/>
      <c r="NVO206" s="3"/>
      <c r="NVP206" s="3"/>
      <c r="NVQ206" s="3"/>
      <c r="NVR206" s="3"/>
      <c r="NVS206" s="3"/>
      <c r="NVT206" s="3"/>
      <c r="NVU206" s="3"/>
      <c r="NVV206" s="3"/>
      <c r="NVW206" s="3"/>
      <c r="NVX206" s="3"/>
      <c r="NVY206" s="3"/>
      <c r="NVZ206" s="3"/>
      <c r="NWA206" s="3"/>
      <c r="NWB206" s="3"/>
      <c r="NWC206" s="3"/>
      <c r="NWD206" s="3"/>
      <c r="NWE206" s="3"/>
      <c r="NWF206" s="3"/>
      <c r="NWG206" s="3"/>
      <c r="NWH206" s="3"/>
      <c r="NWI206" s="3"/>
      <c r="NWJ206" s="3"/>
      <c r="NWK206" s="3"/>
      <c r="NWL206" s="3"/>
      <c r="NWM206" s="3"/>
      <c r="NWN206" s="3"/>
      <c r="NWO206" s="3"/>
      <c r="NWP206" s="3"/>
      <c r="NWQ206" s="3"/>
      <c r="NWR206" s="3"/>
      <c r="NWS206" s="3"/>
      <c r="NWT206" s="3"/>
      <c r="NWU206" s="3"/>
      <c r="NWV206" s="3"/>
      <c r="NWW206" s="3"/>
      <c r="NWX206" s="3"/>
      <c r="NWY206" s="3"/>
      <c r="NWZ206" s="3"/>
      <c r="NXA206" s="3"/>
      <c r="NXB206" s="3"/>
      <c r="NXC206" s="3"/>
      <c r="NXD206" s="3"/>
      <c r="NXE206" s="3"/>
      <c r="NXF206" s="3"/>
      <c r="NXG206" s="3"/>
      <c r="NXH206" s="3"/>
      <c r="NXI206" s="3"/>
      <c r="NXJ206" s="3"/>
      <c r="NXK206" s="3"/>
      <c r="NXL206" s="3"/>
      <c r="NXM206" s="3"/>
      <c r="NXN206" s="3"/>
      <c r="NXO206" s="3"/>
      <c r="NXP206" s="3"/>
      <c r="NXQ206" s="3"/>
      <c r="NXR206" s="3"/>
      <c r="NXS206" s="3"/>
      <c r="NXT206" s="3"/>
      <c r="NXU206" s="3"/>
      <c r="NXV206" s="3"/>
      <c r="NXW206" s="3"/>
      <c r="NXX206" s="3"/>
      <c r="NXY206" s="3"/>
      <c r="NXZ206" s="3"/>
      <c r="NYA206" s="3"/>
      <c r="NYB206" s="3"/>
      <c r="NYC206" s="3"/>
      <c r="NYD206" s="3"/>
      <c r="NYE206" s="3"/>
      <c r="NYF206" s="3"/>
      <c r="NYG206" s="3"/>
      <c r="NYH206" s="3"/>
      <c r="NYI206" s="3"/>
      <c r="NYJ206" s="3"/>
      <c r="NYK206" s="3"/>
      <c r="NYL206" s="3"/>
      <c r="NYM206" s="3"/>
      <c r="NYN206" s="3"/>
      <c r="NYO206" s="3"/>
      <c r="NYP206" s="3"/>
      <c r="NYQ206" s="3"/>
      <c r="NYR206" s="3"/>
      <c r="NYS206" s="3"/>
      <c r="NYT206" s="3"/>
      <c r="NYU206" s="3"/>
      <c r="NYV206" s="3"/>
      <c r="NYW206" s="3"/>
      <c r="NYX206" s="3"/>
      <c r="NYY206" s="3"/>
      <c r="NYZ206" s="3"/>
      <c r="NZA206" s="3"/>
      <c r="NZB206" s="3"/>
      <c r="NZC206" s="3"/>
      <c r="NZD206" s="3"/>
      <c r="NZE206" s="3"/>
      <c r="NZF206" s="3"/>
      <c r="NZG206" s="3"/>
      <c r="NZH206" s="3"/>
      <c r="NZI206" s="3"/>
      <c r="NZJ206" s="3"/>
      <c r="NZK206" s="3"/>
      <c r="NZL206" s="3"/>
      <c r="NZM206" s="3"/>
      <c r="NZN206" s="3"/>
      <c r="NZO206" s="3"/>
      <c r="NZP206" s="3"/>
      <c r="NZQ206" s="3"/>
      <c r="NZR206" s="3"/>
      <c r="NZS206" s="3"/>
      <c r="NZT206" s="3"/>
      <c r="NZU206" s="3"/>
      <c r="NZV206" s="3"/>
      <c r="NZW206" s="3"/>
      <c r="NZX206" s="3"/>
      <c r="NZY206" s="3"/>
      <c r="NZZ206" s="3"/>
      <c r="OAA206" s="3"/>
      <c r="OAB206" s="3"/>
      <c r="OAC206" s="3"/>
      <c r="OAD206" s="3"/>
      <c r="OAE206" s="3"/>
      <c r="OAF206" s="3"/>
      <c r="OAG206" s="3"/>
      <c r="OAH206" s="3"/>
      <c r="OAI206" s="3"/>
      <c r="OAJ206" s="3"/>
      <c r="OAK206" s="3"/>
      <c r="OAL206" s="3"/>
      <c r="OAM206" s="3"/>
      <c r="OAN206" s="3"/>
      <c r="OAO206" s="3"/>
      <c r="OAP206" s="3"/>
      <c r="OAQ206" s="3"/>
      <c r="OAR206" s="3"/>
      <c r="OAS206" s="3"/>
      <c r="OAT206" s="3"/>
      <c r="OAU206" s="3"/>
      <c r="OAV206" s="3"/>
      <c r="OAW206" s="3"/>
      <c r="OAX206" s="3"/>
      <c r="OAY206" s="3"/>
      <c r="OAZ206" s="3"/>
      <c r="OBA206" s="3"/>
      <c r="OBB206" s="3"/>
      <c r="OBC206" s="3"/>
      <c r="OBD206" s="3"/>
      <c r="OBE206" s="3"/>
      <c r="OBF206" s="3"/>
      <c r="OBG206" s="3"/>
      <c r="OBH206" s="3"/>
      <c r="OBI206" s="3"/>
      <c r="OBJ206" s="3"/>
      <c r="OBK206" s="3"/>
      <c r="OBL206" s="3"/>
      <c r="OBM206" s="3"/>
      <c r="OBN206" s="3"/>
      <c r="OBO206" s="3"/>
      <c r="OBP206" s="3"/>
      <c r="OBQ206" s="3"/>
      <c r="OBR206" s="3"/>
      <c r="OBS206" s="3"/>
      <c r="OBT206" s="3"/>
      <c r="OBU206" s="3"/>
      <c r="OBV206" s="3"/>
      <c r="OBW206" s="3"/>
      <c r="OBX206" s="3"/>
      <c r="OBY206" s="3"/>
      <c r="OBZ206" s="3"/>
      <c r="OCA206" s="3"/>
      <c r="OCB206" s="3"/>
      <c r="OCC206" s="3"/>
      <c r="OCD206" s="3"/>
      <c r="OCE206" s="3"/>
      <c r="OCF206" s="3"/>
      <c r="OCG206" s="3"/>
      <c r="OCH206" s="3"/>
      <c r="OCI206" s="3"/>
      <c r="OCJ206" s="3"/>
      <c r="OCK206" s="3"/>
      <c r="OCL206" s="3"/>
      <c r="OCM206" s="3"/>
      <c r="OCN206" s="3"/>
      <c r="OCO206" s="3"/>
      <c r="OCP206" s="3"/>
      <c r="OCQ206" s="3"/>
      <c r="OCR206" s="3"/>
      <c r="OCS206" s="3"/>
      <c r="OCT206" s="3"/>
      <c r="OCU206" s="3"/>
      <c r="OCV206" s="3"/>
      <c r="OCW206" s="3"/>
      <c r="OCX206" s="3"/>
      <c r="OCY206" s="3"/>
      <c r="OCZ206" s="3"/>
      <c r="ODA206" s="3"/>
      <c r="ODB206" s="3"/>
      <c r="ODC206" s="3"/>
      <c r="ODD206" s="3"/>
      <c r="ODE206" s="3"/>
      <c r="ODF206" s="3"/>
      <c r="ODG206" s="3"/>
      <c r="ODH206" s="3"/>
      <c r="ODI206" s="3"/>
      <c r="ODJ206" s="3"/>
      <c r="ODK206" s="3"/>
      <c r="ODL206" s="3"/>
      <c r="ODM206" s="3"/>
      <c r="ODN206" s="3"/>
      <c r="ODO206" s="3"/>
      <c r="ODP206" s="3"/>
      <c r="ODQ206" s="3"/>
      <c r="ODR206" s="3"/>
      <c r="ODS206" s="3"/>
      <c r="ODT206" s="3"/>
      <c r="ODU206" s="3"/>
      <c r="ODV206" s="3"/>
      <c r="ODW206" s="3"/>
      <c r="ODX206" s="3"/>
      <c r="ODY206" s="3"/>
      <c r="ODZ206" s="3"/>
      <c r="OEA206" s="3"/>
      <c r="OEB206" s="3"/>
      <c r="OEC206" s="3"/>
      <c r="OED206" s="3"/>
      <c r="OEE206" s="3"/>
      <c r="OEF206" s="3"/>
      <c r="OEG206" s="3"/>
      <c r="OEH206" s="3"/>
      <c r="OEI206" s="3"/>
      <c r="OEJ206" s="3"/>
      <c r="OEK206" s="3"/>
      <c r="OEL206" s="3"/>
      <c r="OEM206" s="3"/>
      <c r="OEN206" s="3"/>
      <c r="OEO206" s="3"/>
      <c r="OEP206" s="3"/>
      <c r="OEQ206" s="3"/>
      <c r="OER206" s="3"/>
      <c r="OES206" s="3"/>
      <c r="OET206" s="3"/>
      <c r="OEU206" s="3"/>
      <c r="OEV206" s="3"/>
      <c r="OEW206" s="3"/>
      <c r="OEX206" s="3"/>
      <c r="OEY206" s="3"/>
      <c r="OEZ206" s="3"/>
      <c r="OFA206" s="3"/>
      <c r="OFB206" s="3"/>
      <c r="OFC206" s="3"/>
      <c r="OFD206" s="3"/>
      <c r="OFE206" s="3"/>
      <c r="OFF206" s="3"/>
      <c r="OFG206" s="3"/>
      <c r="OFH206" s="3"/>
      <c r="OFI206" s="3"/>
      <c r="OFJ206" s="3"/>
      <c r="OFK206" s="3"/>
      <c r="OFL206" s="3"/>
      <c r="OFM206" s="3"/>
      <c r="OFN206" s="3"/>
      <c r="OFO206" s="3"/>
      <c r="OFP206" s="3"/>
      <c r="OFQ206" s="3"/>
      <c r="OFR206" s="3"/>
      <c r="OFS206" s="3"/>
      <c r="OFT206" s="3"/>
      <c r="OFU206" s="3"/>
      <c r="OFV206" s="3"/>
      <c r="OFW206" s="3"/>
      <c r="OFX206" s="3"/>
      <c r="OFY206" s="3"/>
      <c r="OFZ206" s="3"/>
      <c r="OGA206" s="3"/>
      <c r="OGB206" s="3"/>
      <c r="OGC206" s="3"/>
      <c r="OGD206" s="3"/>
      <c r="OGE206" s="3"/>
      <c r="OGF206" s="3"/>
      <c r="OGG206" s="3"/>
      <c r="OGH206" s="3"/>
      <c r="OGI206" s="3"/>
      <c r="OGJ206" s="3"/>
      <c r="OGK206" s="3"/>
      <c r="OGL206" s="3"/>
      <c r="OGM206" s="3"/>
      <c r="OGN206" s="3"/>
      <c r="OGO206" s="3"/>
      <c r="OGP206" s="3"/>
      <c r="OGQ206" s="3"/>
      <c r="OGR206" s="3"/>
      <c r="OGS206" s="3"/>
      <c r="OGT206" s="3"/>
      <c r="OGU206" s="3"/>
      <c r="OGV206" s="3"/>
      <c r="OGW206" s="3"/>
      <c r="OGX206" s="3"/>
      <c r="OGY206" s="3"/>
      <c r="OGZ206" s="3"/>
      <c r="OHA206" s="3"/>
      <c r="OHB206" s="3"/>
      <c r="OHC206" s="3"/>
      <c r="OHD206" s="3"/>
      <c r="OHE206" s="3"/>
      <c r="OHF206" s="3"/>
      <c r="OHG206" s="3"/>
      <c r="OHH206" s="3"/>
      <c r="OHI206" s="3"/>
      <c r="OHJ206" s="3"/>
      <c r="OHK206" s="3"/>
      <c r="OHL206" s="3"/>
      <c r="OHM206" s="3"/>
      <c r="OHN206" s="3"/>
      <c r="OHO206" s="3"/>
      <c r="OHP206" s="3"/>
      <c r="OHQ206" s="3"/>
      <c r="OHR206" s="3"/>
      <c r="OHS206" s="3"/>
      <c r="OHT206" s="3"/>
      <c r="OHU206" s="3"/>
      <c r="OHV206" s="3"/>
      <c r="OHW206" s="3"/>
      <c r="OHX206" s="3"/>
      <c r="OHY206" s="3"/>
      <c r="OHZ206" s="3"/>
      <c r="OIA206" s="3"/>
      <c r="OIB206" s="3"/>
      <c r="OIC206" s="3"/>
      <c r="OID206" s="3"/>
      <c r="OIE206" s="3"/>
      <c r="OIF206" s="3"/>
      <c r="OIG206" s="3"/>
      <c r="OIH206" s="3"/>
      <c r="OII206" s="3"/>
      <c r="OIJ206" s="3"/>
      <c r="OIK206" s="3"/>
      <c r="OIL206" s="3"/>
      <c r="OIM206" s="3"/>
      <c r="OIN206" s="3"/>
      <c r="OIO206" s="3"/>
      <c r="OIP206" s="3"/>
      <c r="OIQ206" s="3"/>
      <c r="OIR206" s="3"/>
      <c r="OIS206" s="3"/>
      <c r="OIT206" s="3"/>
      <c r="OIU206" s="3"/>
      <c r="OIV206" s="3"/>
      <c r="OIW206" s="3"/>
      <c r="OIX206" s="3"/>
      <c r="OIY206" s="3"/>
      <c r="OIZ206" s="3"/>
      <c r="OJA206" s="3"/>
      <c r="OJB206" s="3"/>
      <c r="OJC206" s="3"/>
      <c r="OJD206" s="3"/>
      <c r="OJE206" s="3"/>
      <c r="OJF206" s="3"/>
      <c r="OJG206" s="3"/>
      <c r="OJH206" s="3"/>
      <c r="OJI206" s="3"/>
      <c r="OJJ206" s="3"/>
      <c r="OJK206" s="3"/>
      <c r="OJL206" s="3"/>
      <c r="OJM206" s="3"/>
      <c r="OJN206" s="3"/>
      <c r="OJO206" s="3"/>
      <c r="OJP206" s="3"/>
      <c r="OJQ206" s="3"/>
      <c r="OJR206" s="3"/>
      <c r="OJS206" s="3"/>
      <c r="OJT206" s="3"/>
      <c r="OJU206" s="3"/>
      <c r="OJV206" s="3"/>
      <c r="OJW206" s="3"/>
      <c r="OJX206" s="3"/>
      <c r="OJY206" s="3"/>
      <c r="OJZ206" s="3"/>
      <c r="OKA206" s="3"/>
      <c r="OKB206" s="3"/>
      <c r="OKC206" s="3"/>
      <c r="OKD206" s="3"/>
      <c r="OKE206" s="3"/>
      <c r="OKF206" s="3"/>
      <c r="OKG206" s="3"/>
      <c r="OKH206" s="3"/>
      <c r="OKI206" s="3"/>
      <c r="OKJ206" s="3"/>
      <c r="OKK206" s="3"/>
      <c r="OKL206" s="3"/>
      <c r="OKM206" s="3"/>
      <c r="OKN206" s="3"/>
      <c r="OKO206" s="3"/>
      <c r="OKP206" s="3"/>
      <c r="OKQ206" s="3"/>
      <c r="OKR206" s="3"/>
      <c r="OKS206" s="3"/>
      <c r="OKT206" s="3"/>
      <c r="OKU206" s="3"/>
      <c r="OKV206" s="3"/>
      <c r="OKW206" s="3"/>
      <c r="OKX206" s="3"/>
      <c r="OKY206" s="3"/>
      <c r="OKZ206" s="3"/>
      <c r="OLA206" s="3"/>
      <c r="OLB206" s="3"/>
      <c r="OLC206" s="3"/>
      <c r="OLD206" s="3"/>
      <c r="OLE206" s="3"/>
      <c r="OLF206" s="3"/>
      <c r="OLG206" s="3"/>
      <c r="OLH206" s="3"/>
      <c r="OLI206" s="3"/>
      <c r="OLJ206" s="3"/>
      <c r="OLK206" s="3"/>
      <c r="OLL206" s="3"/>
      <c r="OLM206" s="3"/>
      <c r="OLN206" s="3"/>
      <c r="OLO206" s="3"/>
      <c r="OLP206" s="3"/>
      <c r="OLQ206" s="3"/>
      <c r="OLR206" s="3"/>
      <c r="OLS206" s="3"/>
      <c r="OLT206" s="3"/>
      <c r="OLU206" s="3"/>
      <c r="OLV206" s="3"/>
      <c r="OLW206" s="3"/>
      <c r="OLX206" s="3"/>
      <c r="OLY206" s="3"/>
      <c r="OLZ206" s="3"/>
      <c r="OMA206" s="3"/>
      <c r="OMB206" s="3"/>
      <c r="OMC206" s="3"/>
      <c r="OMD206" s="3"/>
      <c r="OME206" s="3"/>
      <c r="OMF206" s="3"/>
      <c r="OMG206" s="3"/>
      <c r="OMH206" s="3"/>
      <c r="OMI206" s="3"/>
      <c r="OMJ206" s="3"/>
      <c r="OMK206" s="3"/>
      <c r="OML206" s="3"/>
      <c r="OMM206" s="3"/>
      <c r="OMN206" s="3"/>
      <c r="OMO206" s="3"/>
      <c r="OMP206" s="3"/>
      <c r="OMQ206" s="3"/>
      <c r="OMR206" s="3"/>
      <c r="OMS206" s="3"/>
      <c r="OMT206" s="3"/>
      <c r="OMU206" s="3"/>
      <c r="OMV206" s="3"/>
      <c r="OMW206" s="3"/>
      <c r="OMX206" s="3"/>
      <c r="OMY206" s="3"/>
      <c r="OMZ206" s="3"/>
      <c r="ONA206" s="3"/>
      <c r="ONB206" s="3"/>
      <c r="ONC206" s="3"/>
      <c r="OND206" s="3"/>
      <c r="ONE206" s="3"/>
      <c r="ONF206" s="3"/>
      <c r="ONG206" s="3"/>
      <c r="ONH206" s="3"/>
      <c r="ONI206" s="3"/>
      <c r="ONJ206" s="3"/>
      <c r="ONK206" s="3"/>
      <c r="ONL206" s="3"/>
      <c r="ONM206" s="3"/>
      <c r="ONN206" s="3"/>
      <c r="ONO206" s="3"/>
      <c r="ONP206" s="3"/>
      <c r="ONQ206" s="3"/>
      <c r="ONR206" s="3"/>
      <c r="ONS206" s="3"/>
      <c r="ONT206" s="3"/>
      <c r="ONU206" s="3"/>
      <c r="ONV206" s="3"/>
      <c r="ONW206" s="3"/>
      <c r="ONX206" s="3"/>
      <c r="ONY206" s="3"/>
      <c r="ONZ206" s="3"/>
      <c r="OOA206" s="3"/>
      <c r="OOB206" s="3"/>
      <c r="OOC206" s="3"/>
      <c r="OOD206" s="3"/>
      <c r="OOE206" s="3"/>
      <c r="OOF206" s="3"/>
      <c r="OOG206" s="3"/>
      <c r="OOH206" s="3"/>
      <c r="OOI206" s="3"/>
      <c r="OOJ206" s="3"/>
      <c r="OOK206" s="3"/>
      <c r="OOL206" s="3"/>
      <c r="OOM206" s="3"/>
      <c r="OON206" s="3"/>
      <c r="OOO206" s="3"/>
      <c r="OOP206" s="3"/>
      <c r="OOQ206" s="3"/>
      <c r="OOR206" s="3"/>
      <c r="OOS206" s="3"/>
      <c r="OOT206" s="3"/>
      <c r="OOU206" s="3"/>
      <c r="OOV206" s="3"/>
      <c r="OOW206" s="3"/>
      <c r="OOX206" s="3"/>
      <c r="OOY206" s="3"/>
      <c r="OOZ206" s="3"/>
      <c r="OPA206" s="3"/>
      <c r="OPB206" s="3"/>
      <c r="OPC206" s="3"/>
      <c r="OPD206" s="3"/>
      <c r="OPE206" s="3"/>
      <c r="OPF206" s="3"/>
      <c r="OPG206" s="3"/>
      <c r="OPH206" s="3"/>
      <c r="OPI206" s="3"/>
      <c r="OPJ206" s="3"/>
      <c r="OPK206" s="3"/>
      <c r="OPL206" s="3"/>
      <c r="OPM206" s="3"/>
      <c r="OPN206" s="3"/>
      <c r="OPO206" s="3"/>
      <c r="OPP206" s="3"/>
      <c r="OPQ206" s="3"/>
      <c r="OPR206" s="3"/>
      <c r="OPS206" s="3"/>
      <c r="OPT206" s="3"/>
      <c r="OPU206" s="3"/>
      <c r="OPV206" s="3"/>
      <c r="OPW206" s="3"/>
      <c r="OPX206" s="3"/>
      <c r="OPY206" s="3"/>
      <c r="OPZ206" s="3"/>
      <c r="OQA206" s="3"/>
      <c r="OQB206" s="3"/>
      <c r="OQC206" s="3"/>
      <c r="OQD206" s="3"/>
      <c r="OQE206" s="3"/>
      <c r="OQF206" s="3"/>
      <c r="OQG206" s="3"/>
      <c r="OQH206" s="3"/>
      <c r="OQI206" s="3"/>
      <c r="OQJ206" s="3"/>
      <c r="OQK206" s="3"/>
      <c r="OQL206" s="3"/>
      <c r="OQM206" s="3"/>
      <c r="OQN206" s="3"/>
      <c r="OQO206" s="3"/>
      <c r="OQP206" s="3"/>
      <c r="OQQ206" s="3"/>
      <c r="OQR206" s="3"/>
      <c r="OQS206" s="3"/>
      <c r="OQT206" s="3"/>
      <c r="OQU206" s="3"/>
      <c r="OQV206" s="3"/>
      <c r="OQW206" s="3"/>
      <c r="OQX206" s="3"/>
      <c r="OQY206" s="3"/>
      <c r="OQZ206" s="3"/>
      <c r="ORA206" s="3"/>
      <c r="ORB206" s="3"/>
      <c r="ORC206" s="3"/>
      <c r="ORD206" s="3"/>
      <c r="ORE206" s="3"/>
      <c r="ORF206" s="3"/>
      <c r="ORG206" s="3"/>
      <c r="ORH206" s="3"/>
      <c r="ORI206" s="3"/>
      <c r="ORJ206" s="3"/>
      <c r="ORK206" s="3"/>
      <c r="ORL206" s="3"/>
      <c r="ORM206" s="3"/>
      <c r="ORN206" s="3"/>
      <c r="ORO206" s="3"/>
      <c r="ORP206" s="3"/>
      <c r="ORQ206" s="3"/>
      <c r="ORR206" s="3"/>
      <c r="ORS206" s="3"/>
      <c r="ORT206" s="3"/>
      <c r="ORU206" s="3"/>
      <c r="ORV206" s="3"/>
      <c r="ORW206" s="3"/>
      <c r="ORX206" s="3"/>
      <c r="ORY206" s="3"/>
      <c r="ORZ206" s="3"/>
      <c r="OSA206" s="3"/>
      <c r="OSB206" s="3"/>
      <c r="OSC206" s="3"/>
      <c r="OSD206" s="3"/>
      <c r="OSE206" s="3"/>
      <c r="OSF206" s="3"/>
      <c r="OSG206" s="3"/>
      <c r="OSH206" s="3"/>
      <c r="OSI206" s="3"/>
      <c r="OSJ206" s="3"/>
      <c r="OSK206" s="3"/>
      <c r="OSL206" s="3"/>
      <c r="OSM206" s="3"/>
      <c r="OSN206" s="3"/>
      <c r="OSO206" s="3"/>
      <c r="OSP206" s="3"/>
      <c r="OSQ206" s="3"/>
      <c r="OSR206" s="3"/>
      <c r="OSS206" s="3"/>
      <c r="OST206" s="3"/>
      <c r="OSU206" s="3"/>
      <c r="OSV206" s="3"/>
      <c r="OSW206" s="3"/>
      <c r="OSX206" s="3"/>
      <c r="OSY206" s="3"/>
      <c r="OSZ206" s="3"/>
      <c r="OTA206" s="3"/>
      <c r="OTB206" s="3"/>
      <c r="OTC206" s="3"/>
      <c r="OTD206" s="3"/>
      <c r="OTE206" s="3"/>
      <c r="OTF206" s="3"/>
      <c r="OTG206" s="3"/>
      <c r="OTH206" s="3"/>
      <c r="OTI206" s="3"/>
      <c r="OTJ206" s="3"/>
      <c r="OTK206" s="3"/>
      <c r="OTL206" s="3"/>
      <c r="OTM206" s="3"/>
      <c r="OTN206" s="3"/>
      <c r="OTO206" s="3"/>
      <c r="OTP206" s="3"/>
      <c r="OTQ206" s="3"/>
      <c r="OTR206" s="3"/>
      <c r="OTS206" s="3"/>
      <c r="OTT206" s="3"/>
      <c r="OTU206" s="3"/>
      <c r="OTV206" s="3"/>
      <c r="OTW206" s="3"/>
      <c r="OTX206" s="3"/>
      <c r="OTY206" s="3"/>
      <c r="OTZ206" s="3"/>
      <c r="OUA206" s="3"/>
      <c r="OUB206" s="3"/>
      <c r="OUC206" s="3"/>
      <c r="OUD206" s="3"/>
      <c r="OUE206" s="3"/>
      <c r="OUF206" s="3"/>
      <c r="OUG206" s="3"/>
      <c r="OUH206" s="3"/>
      <c r="OUI206" s="3"/>
      <c r="OUJ206" s="3"/>
      <c r="OUK206" s="3"/>
      <c r="OUL206" s="3"/>
      <c r="OUM206" s="3"/>
      <c r="OUN206" s="3"/>
      <c r="OUO206" s="3"/>
      <c r="OUP206" s="3"/>
      <c r="OUQ206" s="3"/>
      <c r="OUR206" s="3"/>
      <c r="OUS206" s="3"/>
      <c r="OUT206" s="3"/>
      <c r="OUU206" s="3"/>
      <c r="OUV206" s="3"/>
      <c r="OUW206" s="3"/>
      <c r="OUX206" s="3"/>
      <c r="OUY206" s="3"/>
      <c r="OUZ206" s="3"/>
      <c r="OVA206" s="3"/>
      <c r="OVB206" s="3"/>
      <c r="OVC206" s="3"/>
      <c r="OVD206" s="3"/>
      <c r="OVE206" s="3"/>
      <c r="OVF206" s="3"/>
      <c r="OVG206" s="3"/>
      <c r="OVH206" s="3"/>
      <c r="OVI206" s="3"/>
      <c r="OVJ206" s="3"/>
      <c r="OVK206" s="3"/>
      <c r="OVL206" s="3"/>
      <c r="OVM206" s="3"/>
      <c r="OVN206" s="3"/>
      <c r="OVO206" s="3"/>
      <c r="OVP206" s="3"/>
      <c r="OVQ206" s="3"/>
      <c r="OVR206" s="3"/>
      <c r="OVS206" s="3"/>
      <c r="OVT206" s="3"/>
      <c r="OVU206" s="3"/>
      <c r="OVV206" s="3"/>
      <c r="OVW206" s="3"/>
      <c r="OVX206" s="3"/>
      <c r="OVY206" s="3"/>
      <c r="OVZ206" s="3"/>
      <c r="OWA206" s="3"/>
      <c r="OWB206" s="3"/>
      <c r="OWC206" s="3"/>
      <c r="OWD206" s="3"/>
      <c r="OWE206" s="3"/>
      <c r="OWF206" s="3"/>
      <c r="OWG206" s="3"/>
      <c r="OWH206" s="3"/>
      <c r="OWI206" s="3"/>
      <c r="OWJ206" s="3"/>
      <c r="OWK206" s="3"/>
      <c r="OWL206" s="3"/>
      <c r="OWM206" s="3"/>
      <c r="OWN206" s="3"/>
      <c r="OWO206" s="3"/>
      <c r="OWP206" s="3"/>
      <c r="OWQ206" s="3"/>
      <c r="OWR206" s="3"/>
      <c r="OWS206" s="3"/>
      <c r="OWT206" s="3"/>
      <c r="OWU206" s="3"/>
      <c r="OWV206" s="3"/>
      <c r="OWW206" s="3"/>
      <c r="OWX206" s="3"/>
      <c r="OWY206" s="3"/>
      <c r="OWZ206" s="3"/>
      <c r="OXA206" s="3"/>
      <c r="OXB206" s="3"/>
      <c r="OXC206" s="3"/>
      <c r="OXD206" s="3"/>
      <c r="OXE206" s="3"/>
      <c r="OXF206" s="3"/>
      <c r="OXG206" s="3"/>
      <c r="OXH206" s="3"/>
      <c r="OXI206" s="3"/>
      <c r="OXJ206" s="3"/>
      <c r="OXK206" s="3"/>
      <c r="OXL206" s="3"/>
      <c r="OXM206" s="3"/>
      <c r="OXN206" s="3"/>
      <c r="OXO206" s="3"/>
      <c r="OXP206" s="3"/>
      <c r="OXQ206" s="3"/>
      <c r="OXR206" s="3"/>
      <c r="OXS206" s="3"/>
      <c r="OXT206" s="3"/>
      <c r="OXU206" s="3"/>
      <c r="OXV206" s="3"/>
      <c r="OXW206" s="3"/>
      <c r="OXX206" s="3"/>
      <c r="OXY206" s="3"/>
      <c r="OXZ206" s="3"/>
      <c r="OYA206" s="3"/>
      <c r="OYB206" s="3"/>
      <c r="OYC206" s="3"/>
      <c r="OYD206" s="3"/>
      <c r="OYE206" s="3"/>
      <c r="OYF206" s="3"/>
      <c r="OYG206" s="3"/>
      <c r="OYH206" s="3"/>
      <c r="OYI206" s="3"/>
      <c r="OYJ206" s="3"/>
      <c r="OYK206" s="3"/>
      <c r="OYL206" s="3"/>
      <c r="OYM206" s="3"/>
      <c r="OYN206" s="3"/>
      <c r="OYO206" s="3"/>
      <c r="OYP206" s="3"/>
      <c r="OYQ206" s="3"/>
      <c r="OYR206" s="3"/>
      <c r="OYS206" s="3"/>
      <c r="OYT206" s="3"/>
      <c r="OYU206" s="3"/>
      <c r="OYV206" s="3"/>
      <c r="OYW206" s="3"/>
      <c r="OYX206" s="3"/>
      <c r="OYY206" s="3"/>
      <c r="OYZ206" s="3"/>
      <c r="OZA206" s="3"/>
      <c r="OZB206" s="3"/>
      <c r="OZC206" s="3"/>
      <c r="OZD206" s="3"/>
      <c r="OZE206" s="3"/>
      <c r="OZF206" s="3"/>
      <c r="OZG206" s="3"/>
      <c r="OZH206" s="3"/>
      <c r="OZI206" s="3"/>
      <c r="OZJ206" s="3"/>
      <c r="OZK206" s="3"/>
      <c r="OZL206" s="3"/>
      <c r="OZM206" s="3"/>
      <c r="OZN206" s="3"/>
      <c r="OZO206" s="3"/>
      <c r="OZP206" s="3"/>
      <c r="OZQ206" s="3"/>
      <c r="OZR206" s="3"/>
      <c r="OZS206" s="3"/>
      <c r="OZT206" s="3"/>
      <c r="OZU206" s="3"/>
      <c r="OZV206" s="3"/>
      <c r="OZW206" s="3"/>
      <c r="OZX206" s="3"/>
      <c r="OZY206" s="3"/>
      <c r="OZZ206" s="3"/>
      <c r="PAA206" s="3"/>
      <c r="PAB206" s="3"/>
      <c r="PAC206" s="3"/>
      <c r="PAD206" s="3"/>
      <c r="PAE206" s="3"/>
      <c r="PAF206" s="3"/>
      <c r="PAG206" s="3"/>
      <c r="PAH206" s="3"/>
      <c r="PAI206" s="3"/>
      <c r="PAJ206" s="3"/>
      <c r="PAK206" s="3"/>
      <c r="PAL206" s="3"/>
      <c r="PAM206" s="3"/>
      <c r="PAN206" s="3"/>
      <c r="PAO206" s="3"/>
      <c r="PAP206" s="3"/>
      <c r="PAQ206" s="3"/>
      <c r="PAR206" s="3"/>
      <c r="PAS206" s="3"/>
      <c r="PAT206" s="3"/>
      <c r="PAU206" s="3"/>
      <c r="PAV206" s="3"/>
      <c r="PAW206" s="3"/>
      <c r="PAX206" s="3"/>
      <c r="PAY206" s="3"/>
      <c r="PAZ206" s="3"/>
      <c r="PBA206" s="3"/>
      <c r="PBB206" s="3"/>
      <c r="PBC206" s="3"/>
      <c r="PBD206" s="3"/>
      <c r="PBE206" s="3"/>
      <c r="PBF206" s="3"/>
      <c r="PBG206" s="3"/>
      <c r="PBH206" s="3"/>
      <c r="PBI206" s="3"/>
      <c r="PBJ206" s="3"/>
      <c r="PBK206" s="3"/>
      <c r="PBL206" s="3"/>
      <c r="PBM206" s="3"/>
      <c r="PBN206" s="3"/>
      <c r="PBO206" s="3"/>
      <c r="PBP206" s="3"/>
      <c r="PBQ206" s="3"/>
      <c r="PBR206" s="3"/>
      <c r="PBS206" s="3"/>
      <c r="PBT206" s="3"/>
      <c r="PBU206" s="3"/>
      <c r="PBV206" s="3"/>
      <c r="PBW206" s="3"/>
      <c r="PBX206" s="3"/>
      <c r="PBY206" s="3"/>
      <c r="PBZ206" s="3"/>
      <c r="PCA206" s="3"/>
      <c r="PCB206" s="3"/>
      <c r="PCC206" s="3"/>
      <c r="PCD206" s="3"/>
      <c r="PCE206" s="3"/>
      <c r="PCF206" s="3"/>
      <c r="PCG206" s="3"/>
      <c r="PCH206" s="3"/>
      <c r="PCI206" s="3"/>
      <c r="PCJ206" s="3"/>
      <c r="PCK206" s="3"/>
      <c r="PCL206" s="3"/>
      <c r="PCM206" s="3"/>
      <c r="PCN206" s="3"/>
      <c r="PCO206" s="3"/>
      <c r="PCP206" s="3"/>
      <c r="PCQ206" s="3"/>
      <c r="PCR206" s="3"/>
      <c r="PCS206" s="3"/>
      <c r="PCT206" s="3"/>
      <c r="PCU206" s="3"/>
      <c r="PCV206" s="3"/>
      <c r="PCW206" s="3"/>
      <c r="PCX206" s="3"/>
      <c r="PCY206" s="3"/>
      <c r="PCZ206" s="3"/>
      <c r="PDA206" s="3"/>
      <c r="PDB206" s="3"/>
      <c r="PDC206" s="3"/>
      <c r="PDD206" s="3"/>
      <c r="PDE206" s="3"/>
      <c r="PDF206" s="3"/>
      <c r="PDG206" s="3"/>
      <c r="PDH206" s="3"/>
      <c r="PDI206" s="3"/>
      <c r="PDJ206" s="3"/>
      <c r="PDK206" s="3"/>
      <c r="PDL206" s="3"/>
      <c r="PDM206" s="3"/>
      <c r="PDN206" s="3"/>
      <c r="PDO206" s="3"/>
      <c r="PDP206" s="3"/>
      <c r="PDQ206" s="3"/>
      <c r="PDR206" s="3"/>
      <c r="PDS206" s="3"/>
      <c r="PDT206" s="3"/>
      <c r="PDU206" s="3"/>
      <c r="PDV206" s="3"/>
      <c r="PDW206" s="3"/>
      <c r="PDX206" s="3"/>
      <c r="PDY206" s="3"/>
      <c r="PDZ206" s="3"/>
      <c r="PEA206" s="3"/>
      <c r="PEB206" s="3"/>
      <c r="PEC206" s="3"/>
      <c r="PED206" s="3"/>
      <c r="PEE206" s="3"/>
      <c r="PEF206" s="3"/>
      <c r="PEG206" s="3"/>
      <c r="PEH206" s="3"/>
      <c r="PEI206" s="3"/>
      <c r="PEJ206" s="3"/>
      <c r="PEK206" s="3"/>
      <c r="PEL206" s="3"/>
      <c r="PEM206" s="3"/>
      <c r="PEN206" s="3"/>
      <c r="PEO206" s="3"/>
      <c r="PEP206" s="3"/>
      <c r="PEQ206" s="3"/>
      <c r="PER206" s="3"/>
      <c r="PES206" s="3"/>
      <c r="PET206" s="3"/>
      <c r="PEU206" s="3"/>
      <c r="PEV206" s="3"/>
      <c r="PEW206" s="3"/>
      <c r="PEX206" s="3"/>
      <c r="PEY206" s="3"/>
      <c r="PEZ206" s="3"/>
      <c r="PFA206" s="3"/>
      <c r="PFB206" s="3"/>
      <c r="PFC206" s="3"/>
      <c r="PFD206" s="3"/>
      <c r="PFE206" s="3"/>
      <c r="PFF206" s="3"/>
      <c r="PFG206" s="3"/>
      <c r="PFH206" s="3"/>
      <c r="PFI206" s="3"/>
      <c r="PFJ206" s="3"/>
      <c r="PFK206" s="3"/>
      <c r="PFL206" s="3"/>
      <c r="PFM206" s="3"/>
      <c r="PFN206" s="3"/>
      <c r="PFO206" s="3"/>
      <c r="PFP206" s="3"/>
      <c r="PFQ206" s="3"/>
      <c r="PFR206" s="3"/>
      <c r="PFS206" s="3"/>
      <c r="PFT206" s="3"/>
      <c r="PFU206" s="3"/>
      <c r="PFV206" s="3"/>
      <c r="PFW206" s="3"/>
      <c r="PFX206" s="3"/>
      <c r="PFY206" s="3"/>
      <c r="PFZ206" s="3"/>
      <c r="PGA206" s="3"/>
      <c r="PGB206" s="3"/>
      <c r="PGC206" s="3"/>
      <c r="PGD206" s="3"/>
      <c r="PGE206" s="3"/>
      <c r="PGF206" s="3"/>
      <c r="PGG206" s="3"/>
      <c r="PGH206" s="3"/>
      <c r="PGI206" s="3"/>
      <c r="PGJ206" s="3"/>
      <c r="PGK206" s="3"/>
      <c r="PGL206" s="3"/>
      <c r="PGM206" s="3"/>
      <c r="PGN206" s="3"/>
      <c r="PGO206" s="3"/>
      <c r="PGP206" s="3"/>
      <c r="PGQ206" s="3"/>
      <c r="PGR206" s="3"/>
      <c r="PGS206" s="3"/>
      <c r="PGT206" s="3"/>
      <c r="PGU206" s="3"/>
      <c r="PGV206" s="3"/>
      <c r="PGW206" s="3"/>
      <c r="PGX206" s="3"/>
      <c r="PGY206" s="3"/>
      <c r="PGZ206" s="3"/>
      <c r="PHA206" s="3"/>
      <c r="PHB206" s="3"/>
      <c r="PHC206" s="3"/>
      <c r="PHD206" s="3"/>
      <c r="PHE206" s="3"/>
      <c r="PHF206" s="3"/>
      <c r="PHG206" s="3"/>
      <c r="PHH206" s="3"/>
      <c r="PHI206" s="3"/>
      <c r="PHJ206" s="3"/>
      <c r="PHK206" s="3"/>
      <c r="PHL206" s="3"/>
      <c r="PHM206" s="3"/>
      <c r="PHN206" s="3"/>
      <c r="PHO206" s="3"/>
      <c r="PHP206" s="3"/>
      <c r="PHQ206" s="3"/>
      <c r="PHR206" s="3"/>
      <c r="PHS206" s="3"/>
      <c r="PHT206" s="3"/>
      <c r="PHU206" s="3"/>
      <c r="PHV206" s="3"/>
      <c r="PHW206" s="3"/>
      <c r="PHX206" s="3"/>
      <c r="PHY206" s="3"/>
      <c r="PHZ206" s="3"/>
      <c r="PIA206" s="3"/>
      <c r="PIB206" s="3"/>
      <c r="PIC206" s="3"/>
      <c r="PID206" s="3"/>
      <c r="PIE206" s="3"/>
      <c r="PIF206" s="3"/>
      <c r="PIG206" s="3"/>
      <c r="PIH206" s="3"/>
      <c r="PII206" s="3"/>
      <c r="PIJ206" s="3"/>
      <c r="PIK206" s="3"/>
      <c r="PIL206" s="3"/>
      <c r="PIM206" s="3"/>
      <c r="PIN206" s="3"/>
      <c r="PIO206" s="3"/>
      <c r="PIP206" s="3"/>
      <c r="PIQ206" s="3"/>
      <c r="PIR206" s="3"/>
      <c r="PIS206" s="3"/>
      <c r="PIT206" s="3"/>
      <c r="PIU206" s="3"/>
      <c r="PIV206" s="3"/>
      <c r="PIW206" s="3"/>
      <c r="PIX206" s="3"/>
      <c r="PIY206" s="3"/>
      <c r="PIZ206" s="3"/>
      <c r="PJA206" s="3"/>
      <c r="PJB206" s="3"/>
      <c r="PJC206" s="3"/>
      <c r="PJD206" s="3"/>
      <c r="PJE206" s="3"/>
      <c r="PJF206" s="3"/>
      <c r="PJG206" s="3"/>
      <c r="PJH206" s="3"/>
      <c r="PJI206" s="3"/>
      <c r="PJJ206" s="3"/>
      <c r="PJK206" s="3"/>
      <c r="PJL206" s="3"/>
      <c r="PJM206" s="3"/>
      <c r="PJN206" s="3"/>
      <c r="PJO206" s="3"/>
      <c r="PJP206" s="3"/>
      <c r="PJQ206" s="3"/>
      <c r="PJR206" s="3"/>
      <c r="PJS206" s="3"/>
      <c r="PJT206" s="3"/>
      <c r="PJU206" s="3"/>
      <c r="PJV206" s="3"/>
      <c r="PJW206" s="3"/>
      <c r="PJX206" s="3"/>
      <c r="PJY206" s="3"/>
      <c r="PJZ206" s="3"/>
      <c r="PKA206" s="3"/>
      <c r="PKB206" s="3"/>
      <c r="PKC206" s="3"/>
      <c r="PKD206" s="3"/>
      <c r="PKE206" s="3"/>
      <c r="PKF206" s="3"/>
      <c r="PKG206" s="3"/>
      <c r="PKH206" s="3"/>
      <c r="PKI206" s="3"/>
      <c r="PKJ206" s="3"/>
      <c r="PKK206" s="3"/>
      <c r="PKL206" s="3"/>
      <c r="PKM206" s="3"/>
      <c r="PKN206" s="3"/>
      <c r="PKO206" s="3"/>
      <c r="PKP206" s="3"/>
      <c r="PKQ206" s="3"/>
      <c r="PKR206" s="3"/>
      <c r="PKS206" s="3"/>
      <c r="PKT206" s="3"/>
      <c r="PKU206" s="3"/>
      <c r="PKV206" s="3"/>
      <c r="PKW206" s="3"/>
      <c r="PKX206" s="3"/>
      <c r="PKY206" s="3"/>
      <c r="PKZ206" s="3"/>
      <c r="PLA206" s="3"/>
      <c r="PLB206" s="3"/>
      <c r="PLC206" s="3"/>
      <c r="PLD206" s="3"/>
      <c r="PLE206" s="3"/>
      <c r="PLF206" s="3"/>
      <c r="PLG206" s="3"/>
      <c r="PLH206" s="3"/>
      <c r="PLI206" s="3"/>
      <c r="PLJ206" s="3"/>
      <c r="PLK206" s="3"/>
      <c r="PLL206" s="3"/>
      <c r="PLM206" s="3"/>
      <c r="PLN206" s="3"/>
      <c r="PLO206" s="3"/>
      <c r="PLP206" s="3"/>
      <c r="PLQ206" s="3"/>
      <c r="PLR206" s="3"/>
      <c r="PLS206" s="3"/>
      <c r="PLT206" s="3"/>
      <c r="PLU206" s="3"/>
      <c r="PLV206" s="3"/>
      <c r="PLW206" s="3"/>
      <c r="PLX206" s="3"/>
      <c r="PLY206" s="3"/>
      <c r="PLZ206" s="3"/>
      <c r="PMA206" s="3"/>
      <c r="PMB206" s="3"/>
      <c r="PMC206" s="3"/>
      <c r="PMD206" s="3"/>
      <c r="PME206" s="3"/>
      <c r="PMF206" s="3"/>
      <c r="PMG206" s="3"/>
      <c r="PMH206" s="3"/>
      <c r="PMI206" s="3"/>
      <c r="PMJ206" s="3"/>
      <c r="PMK206" s="3"/>
      <c r="PML206" s="3"/>
      <c r="PMM206" s="3"/>
      <c r="PMN206" s="3"/>
      <c r="PMO206" s="3"/>
      <c r="PMP206" s="3"/>
      <c r="PMQ206" s="3"/>
      <c r="PMR206" s="3"/>
      <c r="PMS206" s="3"/>
      <c r="PMT206" s="3"/>
      <c r="PMU206" s="3"/>
      <c r="PMV206" s="3"/>
      <c r="PMW206" s="3"/>
      <c r="PMX206" s="3"/>
      <c r="PMY206" s="3"/>
      <c r="PMZ206" s="3"/>
      <c r="PNA206" s="3"/>
      <c r="PNB206" s="3"/>
      <c r="PNC206" s="3"/>
      <c r="PND206" s="3"/>
      <c r="PNE206" s="3"/>
      <c r="PNF206" s="3"/>
      <c r="PNG206" s="3"/>
      <c r="PNH206" s="3"/>
      <c r="PNI206" s="3"/>
      <c r="PNJ206" s="3"/>
      <c r="PNK206" s="3"/>
      <c r="PNL206" s="3"/>
      <c r="PNM206" s="3"/>
      <c r="PNN206" s="3"/>
      <c r="PNO206" s="3"/>
      <c r="PNP206" s="3"/>
      <c r="PNQ206" s="3"/>
      <c r="PNR206" s="3"/>
      <c r="PNS206" s="3"/>
      <c r="PNT206" s="3"/>
      <c r="PNU206" s="3"/>
      <c r="PNV206" s="3"/>
      <c r="PNW206" s="3"/>
      <c r="PNX206" s="3"/>
      <c r="PNY206" s="3"/>
      <c r="PNZ206" s="3"/>
      <c r="POA206" s="3"/>
      <c r="POB206" s="3"/>
      <c r="POC206" s="3"/>
      <c r="POD206" s="3"/>
      <c r="POE206" s="3"/>
      <c r="POF206" s="3"/>
      <c r="POG206" s="3"/>
      <c r="POH206" s="3"/>
      <c r="POI206" s="3"/>
      <c r="POJ206" s="3"/>
      <c r="POK206" s="3"/>
      <c r="POL206" s="3"/>
      <c r="POM206" s="3"/>
      <c r="PON206" s="3"/>
      <c r="POO206" s="3"/>
      <c r="POP206" s="3"/>
      <c r="POQ206" s="3"/>
      <c r="POR206" s="3"/>
      <c r="POS206" s="3"/>
      <c r="POT206" s="3"/>
      <c r="POU206" s="3"/>
      <c r="POV206" s="3"/>
      <c r="POW206" s="3"/>
      <c r="POX206" s="3"/>
      <c r="POY206" s="3"/>
      <c r="POZ206" s="3"/>
      <c r="PPA206" s="3"/>
      <c r="PPB206" s="3"/>
      <c r="PPC206" s="3"/>
      <c r="PPD206" s="3"/>
      <c r="PPE206" s="3"/>
      <c r="PPF206" s="3"/>
      <c r="PPG206" s="3"/>
      <c r="PPH206" s="3"/>
      <c r="PPI206" s="3"/>
      <c r="PPJ206" s="3"/>
      <c r="PPK206" s="3"/>
      <c r="PPL206" s="3"/>
      <c r="PPM206" s="3"/>
      <c r="PPN206" s="3"/>
      <c r="PPO206" s="3"/>
      <c r="PPP206" s="3"/>
      <c r="PPQ206" s="3"/>
      <c r="PPR206" s="3"/>
      <c r="PPS206" s="3"/>
      <c r="PPT206" s="3"/>
      <c r="PPU206" s="3"/>
      <c r="PPV206" s="3"/>
      <c r="PPW206" s="3"/>
      <c r="PPX206" s="3"/>
      <c r="PPY206" s="3"/>
      <c r="PPZ206" s="3"/>
      <c r="PQA206" s="3"/>
      <c r="PQB206" s="3"/>
      <c r="PQC206" s="3"/>
      <c r="PQD206" s="3"/>
      <c r="PQE206" s="3"/>
      <c r="PQF206" s="3"/>
      <c r="PQG206" s="3"/>
      <c r="PQH206" s="3"/>
      <c r="PQI206" s="3"/>
      <c r="PQJ206" s="3"/>
      <c r="PQK206" s="3"/>
      <c r="PQL206" s="3"/>
      <c r="PQM206" s="3"/>
      <c r="PQN206" s="3"/>
      <c r="PQO206" s="3"/>
      <c r="PQP206" s="3"/>
      <c r="PQQ206" s="3"/>
      <c r="PQR206" s="3"/>
      <c r="PQS206" s="3"/>
      <c r="PQT206" s="3"/>
      <c r="PQU206" s="3"/>
      <c r="PQV206" s="3"/>
      <c r="PQW206" s="3"/>
      <c r="PQX206" s="3"/>
      <c r="PQY206" s="3"/>
      <c r="PQZ206" s="3"/>
      <c r="PRA206" s="3"/>
      <c r="PRB206" s="3"/>
      <c r="PRC206" s="3"/>
      <c r="PRD206" s="3"/>
      <c r="PRE206" s="3"/>
      <c r="PRF206" s="3"/>
      <c r="PRG206" s="3"/>
      <c r="PRH206" s="3"/>
      <c r="PRI206" s="3"/>
      <c r="PRJ206" s="3"/>
      <c r="PRK206" s="3"/>
      <c r="PRL206" s="3"/>
      <c r="PRM206" s="3"/>
      <c r="PRN206" s="3"/>
      <c r="PRO206" s="3"/>
      <c r="PRP206" s="3"/>
      <c r="PRQ206" s="3"/>
      <c r="PRR206" s="3"/>
      <c r="PRS206" s="3"/>
      <c r="PRT206" s="3"/>
      <c r="PRU206" s="3"/>
      <c r="PRV206" s="3"/>
      <c r="PRW206" s="3"/>
      <c r="PRX206" s="3"/>
      <c r="PRY206" s="3"/>
      <c r="PRZ206" s="3"/>
      <c r="PSA206" s="3"/>
      <c r="PSB206" s="3"/>
      <c r="PSC206" s="3"/>
      <c r="PSD206" s="3"/>
      <c r="PSE206" s="3"/>
      <c r="PSF206" s="3"/>
      <c r="PSG206" s="3"/>
      <c r="PSH206" s="3"/>
      <c r="PSI206" s="3"/>
      <c r="PSJ206" s="3"/>
      <c r="PSK206" s="3"/>
      <c r="PSL206" s="3"/>
      <c r="PSM206" s="3"/>
      <c r="PSN206" s="3"/>
      <c r="PSO206" s="3"/>
      <c r="PSP206" s="3"/>
      <c r="PSQ206" s="3"/>
      <c r="PSR206" s="3"/>
      <c r="PSS206" s="3"/>
      <c r="PST206" s="3"/>
      <c r="PSU206" s="3"/>
      <c r="PSV206" s="3"/>
      <c r="PSW206" s="3"/>
      <c r="PSX206" s="3"/>
      <c r="PSY206" s="3"/>
      <c r="PSZ206" s="3"/>
      <c r="PTA206" s="3"/>
      <c r="PTB206" s="3"/>
      <c r="PTC206" s="3"/>
      <c r="PTD206" s="3"/>
      <c r="PTE206" s="3"/>
      <c r="PTF206" s="3"/>
      <c r="PTG206" s="3"/>
      <c r="PTH206" s="3"/>
      <c r="PTI206" s="3"/>
      <c r="PTJ206" s="3"/>
      <c r="PTK206" s="3"/>
      <c r="PTL206" s="3"/>
      <c r="PTM206" s="3"/>
      <c r="PTN206" s="3"/>
      <c r="PTO206" s="3"/>
      <c r="PTP206" s="3"/>
      <c r="PTQ206" s="3"/>
      <c r="PTR206" s="3"/>
      <c r="PTS206" s="3"/>
      <c r="PTT206" s="3"/>
      <c r="PTU206" s="3"/>
      <c r="PTV206" s="3"/>
      <c r="PTW206" s="3"/>
      <c r="PTX206" s="3"/>
      <c r="PTY206" s="3"/>
      <c r="PTZ206" s="3"/>
      <c r="PUA206" s="3"/>
      <c r="PUB206" s="3"/>
      <c r="PUC206" s="3"/>
      <c r="PUD206" s="3"/>
      <c r="PUE206" s="3"/>
      <c r="PUF206" s="3"/>
      <c r="PUG206" s="3"/>
      <c r="PUH206" s="3"/>
      <c r="PUI206" s="3"/>
      <c r="PUJ206" s="3"/>
      <c r="PUK206" s="3"/>
      <c r="PUL206" s="3"/>
      <c r="PUM206" s="3"/>
      <c r="PUN206" s="3"/>
      <c r="PUO206" s="3"/>
      <c r="PUP206" s="3"/>
      <c r="PUQ206" s="3"/>
      <c r="PUR206" s="3"/>
      <c r="PUS206" s="3"/>
      <c r="PUT206" s="3"/>
      <c r="PUU206" s="3"/>
      <c r="PUV206" s="3"/>
      <c r="PUW206" s="3"/>
      <c r="PUX206" s="3"/>
      <c r="PUY206" s="3"/>
      <c r="PUZ206" s="3"/>
      <c r="PVA206" s="3"/>
      <c r="PVB206" s="3"/>
      <c r="PVC206" s="3"/>
      <c r="PVD206" s="3"/>
      <c r="PVE206" s="3"/>
      <c r="PVF206" s="3"/>
      <c r="PVG206" s="3"/>
      <c r="PVH206" s="3"/>
      <c r="PVI206" s="3"/>
      <c r="PVJ206" s="3"/>
      <c r="PVK206" s="3"/>
      <c r="PVL206" s="3"/>
      <c r="PVM206" s="3"/>
      <c r="PVN206" s="3"/>
      <c r="PVO206" s="3"/>
      <c r="PVP206" s="3"/>
      <c r="PVQ206" s="3"/>
      <c r="PVR206" s="3"/>
      <c r="PVS206" s="3"/>
      <c r="PVT206" s="3"/>
      <c r="PVU206" s="3"/>
      <c r="PVV206" s="3"/>
      <c r="PVW206" s="3"/>
      <c r="PVX206" s="3"/>
      <c r="PVY206" s="3"/>
      <c r="PVZ206" s="3"/>
      <c r="PWA206" s="3"/>
      <c r="PWB206" s="3"/>
      <c r="PWC206" s="3"/>
      <c r="PWD206" s="3"/>
      <c r="PWE206" s="3"/>
      <c r="PWF206" s="3"/>
      <c r="PWG206" s="3"/>
      <c r="PWH206" s="3"/>
      <c r="PWI206" s="3"/>
      <c r="PWJ206" s="3"/>
      <c r="PWK206" s="3"/>
      <c r="PWL206" s="3"/>
      <c r="PWM206" s="3"/>
      <c r="PWN206" s="3"/>
      <c r="PWO206" s="3"/>
      <c r="PWP206" s="3"/>
      <c r="PWQ206" s="3"/>
      <c r="PWR206" s="3"/>
      <c r="PWS206" s="3"/>
      <c r="PWT206" s="3"/>
      <c r="PWU206" s="3"/>
      <c r="PWV206" s="3"/>
      <c r="PWW206" s="3"/>
      <c r="PWX206" s="3"/>
      <c r="PWY206" s="3"/>
      <c r="PWZ206" s="3"/>
      <c r="PXA206" s="3"/>
      <c r="PXB206" s="3"/>
      <c r="PXC206" s="3"/>
      <c r="PXD206" s="3"/>
      <c r="PXE206" s="3"/>
      <c r="PXF206" s="3"/>
      <c r="PXG206" s="3"/>
      <c r="PXH206" s="3"/>
      <c r="PXI206" s="3"/>
      <c r="PXJ206" s="3"/>
      <c r="PXK206" s="3"/>
      <c r="PXL206" s="3"/>
      <c r="PXM206" s="3"/>
      <c r="PXN206" s="3"/>
      <c r="PXO206" s="3"/>
      <c r="PXP206" s="3"/>
      <c r="PXQ206" s="3"/>
      <c r="PXR206" s="3"/>
      <c r="PXS206" s="3"/>
      <c r="PXT206" s="3"/>
      <c r="PXU206" s="3"/>
      <c r="PXV206" s="3"/>
      <c r="PXW206" s="3"/>
      <c r="PXX206" s="3"/>
      <c r="PXY206" s="3"/>
      <c r="PXZ206" s="3"/>
      <c r="PYA206" s="3"/>
      <c r="PYB206" s="3"/>
      <c r="PYC206" s="3"/>
      <c r="PYD206" s="3"/>
      <c r="PYE206" s="3"/>
      <c r="PYF206" s="3"/>
      <c r="PYG206" s="3"/>
      <c r="PYH206" s="3"/>
      <c r="PYI206" s="3"/>
      <c r="PYJ206" s="3"/>
      <c r="PYK206" s="3"/>
      <c r="PYL206" s="3"/>
      <c r="PYM206" s="3"/>
      <c r="PYN206" s="3"/>
      <c r="PYO206" s="3"/>
      <c r="PYP206" s="3"/>
      <c r="PYQ206" s="3"/>
      <c r="PYR206" s="3"/>
      <c r="PYS206" s="3"/>
      <c r="PYT206" s="3"/>
      <c r="PYU206" s="3"/>
      <c r="PYV206" s="3"/>
      <c r="PYW206" s="3"/>
      <c r="PYX206" s="3"/>
      <c r="PYY206" s="3"/>
      <c r="PYZ206" s="3"/>
      <c r="PZA206" s="3"/>
      <c r="PZB206" s="3"/>
      <c r="PZC206" s="3"/>
      <c r="PZD206" s="3"/>
      <c r="PZE206" s="3"/>
      <c r="PZF206" s="3"/>
      <c r="PZG206" s="3"/>
      <c r="PZH206" s="3"/>
      <c r="PZI206" s="3"/>
      <c r="PZJ206" s="3"/>
      <c r="PZK206" s="3"/>
      <c r="PZL206" s="3"/>
      <c r="PZM206" s="3"/>
      <c r="PZN206" s="3"/>
      <c r="PZO206" s="3"/>
      <c r="PZP206" s="3"/>
      <c r="PZQ206" s="3"/>
      <c r="PZR206" s="3"/>
      <c r="PZS206" s="3"/>
      <c r="PZT206" s="3"/>
      <c r="PZU206" s="3"/>
      <c r="PZV206" s="3"/>
      <c r="PZW206" s="3"/>
      <c r="PZX206" s="3"/>
      <c r="PZY206" s="3"/>
      <c r="PZZ206" s="3"/>
      <c r="QAA206" s="3"/>
      <c r="QAB206" s="3"/>
      <c r="QAC206" s="3"/>
      <c r="QAD206" s="3"/>
      <c r="QAE206" s="3"/>
      <c r="QAF206" s="3"/>
      <c r="QAG206" s="3"/>
      <c r="QAH206" s="3"/>
      <c r="QAI206" s="3"/>
      <c r="QAJ206" s="3"/>
      <c r="QAK206" s="3"/>
      <c r="QAL206" s="3"/>
      <c r="QAM206" s="3"/>
      <c r="QAN206" s="3"/>
      <c r="QAO206" s="3"/>
      <c r="QAP206" s="3"/>
      <c r="QAQ206" s="3"/>
      <c r="QAR206" s="3"/>
      <c r="QAS206" s="3"/>
      <c r="QAT206" s="3"/>
      <c r="QAU206" s="3"/>
      <c r="QAV206" s="3"/>
      <c r="QAW206" s="3"/>
      <c r="QAX206" s="3"/>
      <c r="QAY206" s="3"/>
      <c r="QAZ206" s="3"/>
      <c r="QBA206" s="3"/>
      <c r="QBB206" s="3"/>
      <c r="QBC206" s="3"/>
      <c r="QBD206" s="3"/>
      <c r="QBE206" s="3"/>
      <c r="QBF206" s="3"/>
      <c r="QBG206" s="3"/>
      <c r="QBH206" s="3"/>
      <c r="QBI206" s="3"/>
      <c r="QBJ206" s="3"/>
      <c r="QBK206" s="3"/>
      <c r="QBL206" s="3"/>
      <c r="QBM206" s="3"/>
      <c r="QBN206" s="3"/>
      <c r="QBO206" s="3"/>
      <c r="QBP206" s="3"/>
      <c r="QBQ206" s="3"/>
      <c r="QBR206" s="3"/>
      <c r="QBS206" s="3"/>
      <c r="QBT206" s="3"/>
      <c r="QBU206" s="3"/>
      <c r="QBV206" s="3"/>
      <c r="QBW206" s="3"/>
      <c r="QBX206" s="3"/>
      <c r="QBY206" s="3"/>
      <c r="QBZ206" s="3"/>
      <c r="QCA206" s="3"/>
      <c r="QCB206" s="3"/>
      <c r="QCC206" s="3"/>
      <c r="QCD206" s="3"/>
      <c r="QCE206" s="3"/>
      <c r="QCF206" s="3"/>
      <c r="QCG206" s="3"/>
      <c r="QCH206" s="3"/>
      <c r="QCI206" s="3"/>
      <c r="QCJ206" s="3"/>
      <c r="QCK206" s="3"/>
      <c r="QCL206" s="3"/>
      <c r="QCM206" s="3"/>
      <c r="QCN206" s="3"/>
      <c r="QCO206" s="3"/>
      <c r="QCP206" s="3"/>
      <c r="QCQ206" s="3"/>
      <c r="QCR206" s="3"/>
      <c r="QCS206" s="3"/>
      <c r="QCT206" s="3"/>
      <c r="QCU206" s="3"/>
      <c r="QCV206" s="3"/>
      <c r="QCW206" s="3"/>
      <c r="QCX206" s="3"/>
      <c r="QCY206" s="3"/>
      <c r="QCZ206" s="3"/>
      <c r="QDA206" s="3"/>
      <c r="QDB206" s="3"/>
      <c r="QDC206" s="3"/>
      <c r="QDD206" s="3"/>
      <c r="QDE206" s="3"/>
      <c r="QDF206" s="3"/>
      <c r="QDG206" s="3"/>
      <c r="QDH206" s="3"/>
      <c r="QDI206" s="3"/>
      <c r="QDJ206" s="3"/>
      <c r="QDK206" s="3"/>
      <c r="QDL206" s="3"/>
      <c r="QDM206" s="3"/>
      <c r="QDN206" s="3"/>
      <c r="QDO206" s="3"/>
      <c r="QDP206" s="3"/>
      <c r="QDQ206" s="3"/>
      <c r="QDR206" s="3"/>
      <c r="QDS206" s="3"/>
      <c r="QDT206" s="3"/>
      <c r="QDU206" s="3"/>
      <c r="QDV206" s="3"/>
      <c r="QDW206" s="3"/>
      <c r="QDX206" s="3"/>
      <c r="QDY206" s="3"/>
      <c r="QDZ206" s="3"/>
      <c r="QEA206" s="3"/>
      <c r="QEB206" s="3"/>
      <c r="QEC206" s="3"/>
      <c r="QED206" s="3"/>
      <c r="QEE206" s="3"/>
      <c r="QEF206" s="3"/>
      <c r="QEG206" s="3"/>
      <c r="QEH206" s="3"/>
      <c r="QEI206" s="3"/>
      <c r="QEJ206" s="3"/>
      <c r="QEK206" s="3"/>
      <c r="QEL206" s="3"/>
      <c r="QEM206" s="3"/>
      <c r="QEN206" s="3"/>
      <c r="QEO206" s="3"/>
      <c r="QEP206" s="3"/>
      <c r="QEQ206" s="3"/>
      <c r="QER206" s="3"/>
      <c r="QES206" s="3"/>
      <c r="QET206" s="3"/>
      <c r="QEU206" s="3"/>
      <c r="QEV206" s="3"/>
      <c r="QEW206" s="3"/>
      <c r="QEX206" s="3"/>
      <c r="QEY206" s="3"/>
      <c r="QEZ206" s="3"/>
      <c r="QFA206" s="3"/>
      <c r="QFB206" s="3"/>
      <c r="QFC206" s="3"/>
      <c r="QFD206" s="3"/>
      <c r="QFE206" s="3"/>
      <c r="QFF206" s="3"/>
      <c r="QFG206" s="3"/>
      <c r="QFH206" s="3"/>
      <c r="QFI206" s="3"/>
      <c r="QFJ206" s="3"/>
      <c r="QFK206" s="3"/>
      <c r="QFL206" s="3"/>
      <c r="QFM206" s="3"/>
      <c r="QFN206" s="3"/>
      <c r="QFO206" s="3"/>
      <c r="QFP206" s="3"/>
      <c r="QFQ206" s="3"/>
      <c r="QFR206" s="3"/>
      <c r="QFS206" s="3"/>
      <c r="QFT206" s="3"/>
      <c r="QFU206" s="3"/>
      <c r="QFV206" s="3"/>
      <c r="QFW206" s="3"/>
      <c r="QFX206" s="3"/>
      <c r="QFY206" s="3"/>
      <c r="QFZ206" s="3"/>
      <c r="QGA206" s="3"/>
      <c r="QGB206" s="3"/>
      <c r="QGC206" s="3"/>
      <c r="QGD206" s="3"/>
      <c r="QGE206" s="3"/>
      <c r="QGF206" s="3"/>
      <c r="QGG206" s="3"/>
      <c r="QGH206" s="3"/>
      <c r="QGI206" s="3"/>
      <c r="QGJ206" s="3"/>
      <c r="QGK206" s="3"/>
      <c r="QGL206" s="3"/>
      <c r="QGM206" s="3"/>
      <c r="QGN206" s="3"/>
      <c r="QGO206" s="3"/>
      <c r="QGP206" s="3"/>
      <c r="QGQ206" s="3"/>
      <c r="QGR206" s="3"/>
      <c r="QGS206" s="3"/>
      <c r="QGT206" s="3"/>
      <c r="QGU206" s="3"/>
      <c r="QGV206" s="3"/>
      <c r="QGW206" s="3"/>
      <c r="QGX206" s="3"/>
      <c r="QGY206" s="3"/>
      <c r="QGZ206" s="3"/>
      <c r="QHA206" s="3"/>
      <c r="QHB206" s="3"/>
      <c r="QHC206" s="3"/>
      <c r="QHD206" s="3"/>
      <c r="QHE206" s="3"/>
      <c r="QHF206" s="3"/>
      <c r="QHG206" s="3"/>
      <c r="QHH206" s="3"/>
      <c r="QHI206" s="3"/>
      <c r="QHJ206" s="3"/>
      <c r="QHK206" s="3"/>
      <c r="QHL206" s="3"/>
      <c r="QHM206" s="3"/>
      <c r="QHN206" s="3"/>
      <c r="QHO206" s="3"/>
      <c r="QHP206" s="3"/>
      <c r="QHQ206" s="3"/>
      <c r="QHR206" s="3"/>
      <c r="QHS206" s="3"/>
      <c r="QHT206" s="3"/>
      <c r="QHU206" s="3"/>
      <c r="QHV206" s="3"/>
      <c r="QHW206" s="3"/>
      <c r="QHX206" s="3"/>
      <c r="QHY206" s="3"/>
      <c r="QHZ206" s="3"/>
      <c r="QIA206" s="3"/>
      <c r="QIB206" s="3"/>
      <c r="QIC206" s="3"/>
      <c r="QID206" s="3"/>
      <c r="QIE206" s="3"/>
      <c r="QIF206" s="3"/>
      <c r="QIG206" s="3"/>
      <c r="QIH206" s="3"/>
      <c r="QII206" s="3"/>
      <c r="QIJ206" s="3"/>
      <c r="QIK206" s="3"/>
      <c r="QIL206" s="3"/>
      <c r="QIM206" s="3"/>
      <c r="QIN206" s="3"/>
      <c r="QIO206" s="3"/>
      <c r="QIP206" s="3"/>
      <c r="QIQ206" s="3"/>
      <c r="QIR206" s="3"/>
      <c r="QIS206" s="3"/>
      <c r="QIT206" s="3"/>
      <c r="QIU206" s="3"/>
      <c r="QIV206" s="3"/>
      <c r="QIW206" s="3"/>
      <c r="QIX206" s="3"/>
      <c r="QIY206" s="3"/>
      <c r="QIZ206" s="3"/>
      <c r="QJA206" s="3"/>
      <c r="QJB206" s="3"/>
      <c r="QJC206" s="3"/>
      <c r="QJD206" s="3"/>
      <c r="QJE206" s="3"/>
      <c r="QJF206" s="3"/>
      <c r="QJG206" s="3"/>
      <c r="QJH206" s="3"/>
      <c r="QJI206" s="3"/>
      <c r="QJJ206" s="3"/>
      <c r="QJK206" s="3"/>
      <c r="QJL206" s="3"/>
      <c r="QJM206" s="3"/>
      <c r="QJN206" s="3"/>
      <c r="QJO206" s="3"/>
      <c r="QJP206" s="3"/>
      <c r="QJQ206" s="3"/>
      <c r="QJR206" s="3"/>
      <c r="QJS206" s="3"/>
      <c r="QJT206" s="3"/>
      <c r="QJU206" s="3"/>
      <c r="QJV206" s="3"/>
      <c r="QJW206" s="3"/>
      <c r="QJX206" s="3"/>
      <c r="QJY206" s="3"/>
      <c r="QJZ206" s="3"/>
      <c r="QKA206" s="3"/>
      <c r="QKB206" s="3"/>
      <c r="QKC206" s="3"/>
      <c r="QKD206" s="3"/>
      <c r="QKE206" s="3"/>
      <c r="QKF206" s="3"/>
      <c r="QKG206" s="3"/>
      <c r="QKH206" s="3"/>
      <c r="QKI206" s="3"/>
      <c r="QKJ206" s="3"/>
      <c r="QKK206" s="3"/>
      <c r="QKL206" s="3"/>
      <c r="QKM206" s="3"/>
      <c r="QKN206" s="3"/>
      <c r="QKO206" s="3"/>
      <c r="QKP206" s="3"/>
      <c r="QKQ206" s="3"/>
      <c r="QKR206" s="3"/>
      <c r="QKS206" s="3"/>
      <c r="QKT206" s="3"/>
      <c r="QKU206" s="3"/>
      <c r="QKV206" s="3"/>
      <c r="QKW206" s="3"/>
      <c r="QKX206" s="3"/>
      <c r="QKY206" s="3"/>
      <c r="QKZ206" s="3"/>
      <c r="QLA206" s="3"/>
      <c r="QLB206" s="3"/>
      <c r="QLC206" s="3"/>
      <c r="QLD206" s="3"/>
      <c r="QLE206" s="3"/>
      <c r="QLF206" s="3"/>
      <c r="QLG206" s="3"/>
      <c r="QLH206" s="3"/>
      <c r="QLI206" s="3"/>
      <c r="QLJ206" s="3"/>
      <c r="QLK206" s="3"/>
      <c r="QLL206" s="3"/>
      <c r="QLM206" s="3"/>
      <c r="QLN206" s="3"/>
      <c r="QLO206" s="3"/>
      <c r="QLP206" s="3"/>
      <c r="QLQ206" s="3"/>
      <c r="QLR206" s="3"/>
      <c r="QLS206" s="3"/>
      <c r="QLT206" s="3"/>
      <c r="QLU206" s="3"/>
      <c r="QLV206" s="3"/>
      <c r="QLW206" s="3"/>
      <c r="QLX206" s="3"/>
      <c r="QLY206" s="3"/>
      <c r="QLZ206" s="3"/>
      <c r="QMA206" s="3"/>
      <c r="QMB206" s="3"/>
      <c r="QMC206" s="3"/>
      <c r="QMD206" s="3"/>
      <c r="QME206" s="3"/>
      <c r="QMF206" s="3"/>
      <c r="QMG206" s="3"/>
      <c r="QMH206" s="3"/>
      <c r="QMI206" s="3"/>
      <c r="QMJ206" s="3"/>
      <c r="QMK206" s="3"/>
      <c r="QML206" s="3"/>
      <c r="QMM206" s="3"/>
      <c r="QMN206" s="3"/>
      <c r="QMO206" s="3"/>
      <c r="QMP206" s="3"/>
      <c r="QMQ206" s="3"/>
      <c r="QMR206" s="3"/>
      <c r="QMS206" s="3"/>
      <c r="QMT206" s="3"/>
      <c r="QMU206" s="3"/>
      <c r="QMV206" s="3"/>
      <c r="QMW206" s="3"/>
      <c r="QMX206" s="3"/>
      <c r="QMY206" s="3"/>
      <c r="QMZ206" s="3"/>
      <c r="QNA206" s="3"/>
      <c r="QNB206" s="3"/>
      <c r="QNC206" s="3"/>
      <c r="QND206" s="3"/>
      <c r="QNE206" s="3"/>
      <c r="QNF206" s="3"/>
      <c r="QNG206" s="3"/>
      <c r="QNH206" s="3"/>
      <c r="QNI206" s="3"/>
      <c r="QNJ206" s="3"/>
      <c r="QNK206" s="3"/>
      <c r="QNL206" s="3"/>
      <c r="QNM206" s="3"/>
      <c r="QNN206" s="3"/>
      <c r="QNO206" s="3"/>
      <c r="QNP206" s="3"/>
      <c r="QNQ206" s="3"/>
      <c r="QNR206" s="3"/>
      <c r="QNS206" s="3"/>
      <c r="QNT206" s="3"/>
      <c r="QNU206" s="3"/>
      <c r="QNV206" s="3"/>
      <c r="QNW206" s="3"/>
      <c r="QNX206" s="3"/>
      <c r="QNY206" s="3"/>
      <c r="QNZ206" s="3"/>
      <c r="QOA206" s="3"/>
      <c r="QOB206" s="3"/>
      <c r="QOC206" s="3"/>
      <c r="QOD206" s="3"/>
      <c r="QOE206" s="3"/>
      <c r="QOF206" s="3"/>
      <c r="QOG206" s="3"/>
      <c r="QOH206" s="3"/>
      <c r="QOI206" s="3"/>
      <c r="QOJ206" s="3"/>
      <c r="QOK206" s="3"/>
      <c r="QOL206" s="3"/>
      <c r="QOM206" s="3"/>
      <c r="QON206" s="3"/>
      <c r="QOO206" s="3"/>
      <c r="QOP206" s="3"/>
      <c r="QOQ206" s="3"/>
      <c r="QOR206" s="3"/>
      <c r="QOS206" s="3"/>
      <c r="QOT206" s="3"/>
      <c r="QOU206" s="3"/>
      <c r="QOV206" s="3"/>
      <c r="QOW206" s="3"/>
      <c r="QOX206" s="3"/>
      <c r="QOY206" s="3"/>
      <c r="QOZ206" s="3"/>
      <c r="QPA206" s="3"/>
      <c r="QPB206" s="3"/>
      <c r="QPC206" s="3"/>
      <c r="QPD206" s="3"/>
      <c r="QPE206" s="3"/>
      <c r="QPF206" s="3"/>
      <c r="QPG206" s="3"/>
      <c r="QPH206" s="3"/>
      <c r="QPI206" s="3"/>
      <c r="QPJ206" s="3"/>
      <c r="QPK206" s="3"/>
      <c r="QPL206" s="3"/>
      <c r="QPM206" s="3"/>
      <c r="QPN206" s="3"/>
      <c r="QPO206" s="3"/>
      <c r="QPP206" s="3"/>
      <c r="QPQ206" s="3"/>
      <c r="QPR206" s="3"/>
      <c r="QPS206" s="3"/>
      <c r="QPT206" s="3"/>
      <c r="QPU206" s="3"/>
      <c r="QPV206" s="3"/>
      <c r="QPW206" s="3"/>
      <c r="QPX206" s="3"/>
      <c r="QPY206" s="3"/>
      <c r="QPZ206" s="3"/>
      <c r="QQA206" s="3"/>
      <c r="QQB206" s="3"/>
      <c r="QQC206" s="3"/>
      <c r="QQD206" s="3"/>
      <c r="QQE206" s="3"/>
      <c r="QQF206" s="3"/>
      <c r="QQG206" s="3"/>
      <c r="QQH206" s="3"/>
      <c r="QQI206" s="3"/>
      <c r="QQJ206" s="3"/>
      <c r="QQK206" s="3"/>
      <c r="QQL206" s="3"/>
      <c r="QQM206" s="3"/>
      <c r="QQN206" s="3"/>
      <c r="QQO206" s="3"/>
      <c r="QQP206" s="3"/>
      <c r="QQQ206" s="3"/>
      <c r="QQR206" s="3"/>
      <c r="QQS206" s="3"/>
      <c r="QQT206" s="3"/>
      <c r="QQU206" s="3"/>
      <c r="QQV206" s="3"/>
      <c r="QQW206" s="3"/>
      <c r="QQX206" s="3"/>
      <c r="QQY206" s="3"/>
      <c r="QQZ206" s="3"/>
      <c r="QRA206" s="3"/>
      <c r="QRB206" s="3"/>
      <c r="QRC206" s="3"/>
      <c r="QRD206" s="3"/>
      <c r="QRE206" s="3"/>
      <c r="QRF206" s="3"/>
      <c r="QRG206" s="3"/>
      <c r="QRH206" s="3"/>
      <c r="QRI206" s="3"/>
      <c r="QRJ206" s="3"/>
      <c r="QRK206" s="3"/>
      <c r="QRL206" s="3"/>
      <c r="QRM206" s="3"/>
      <c r="QRN206" s="3"/>
      <c r="QRO206" s="3"/>
      <c r="QRP206" s="3"/>
      <c r="QRQ206" s="3"/>
      <c r="QRR206" s="3"/>
      <c r="QRS206" s="3"/>
      <c r="QRT206" s="3"/>
      <c r="QRU206" s="3"/>
      <c r="QRV206" s="3"/>
      <c r="QRW206" s="3"/>
      <c r="QRX206" s="3"/>
      <c r="QRY206" s="3"/>
      <c r="QRZ206" s="3"/>
      <c r="QSA206" s="3"/>
      <c r="QSB206" s="3"/>
      <c r="QSC206" s="3"/>
      <c r="QSD206" s="3"/>
      <c r="QSE206" s="3"/>
      <c r="QSF206" s="3"/>
      <c r="QSG206" s="3"/>
      <c r="QSH206" s="3"/>
      <c r="QSI206" s="3"/>
      <c r="QSJ206" s="3"/>
      <c r="QSK206" s="3"/>
      <c r="QSL206" s="3"/>
      <c r="QSM206" s="3"/>
      <c r="QSN206" s="3"/>
      <c r="QSO206" s="3"/>
      <c r="QSP206" s="3"/>
      <c r="QSQ206" s="3"/>
      <c r="QSR206" s="3"/>
      <c r="QSS206" s="3"/>
      <c r="QST206" s="3"/>
      <c r="QSU206" s="3"/>
      <c r="QSV206" s="3"/>
      <c r="QSW206" s="3"/>
      <c r="QSX206" s="3"/>
      <c r="QSY206" s="3"/>
      <c r="QSZ206" s="3"/>
      <c r="QTA206" s="3"/>
      <c r="QTB206" s="3"/>
      <c r="QTC206" s="3"/>
      <c r="QTD206" s="3"/>
      <c r="QTE206" s="3"/>
      <c r="QTF206" s="3"/>
      <c r="QTG206" s="3"/>
      <c r="QTH206" s="3"/>
      <c r="QTI206" s="3"/>
      <c r="QTJ206" s="3"/>
      <c r="QTK206" s="3"/>
      <c r="QTL206" s="3"/>
      <c r="QTM206" s="3"/>
      <c r="QTN206" s="3"/>
      <c r="QTO206" s="3"/>
      <c r="QTP206" s="3"/>
      <c r="QTQ206" s="3"/>
      <c r="QTR206" s="3"/>
      <c r="QTS206" s="3"/>
      <c r="QTT206" s="3"/>
      <c r="QTU206" s="3"/>
      <c r="QTV206" s="3"/>
      <c r="QTW206" s="3"/>
      <c r="QTX206" s="3"/>
      <c r="QTY206" s="3"/>
      <c r="QTZ206" s="3"/>
      <c r="QUA206" s="3"/>
      <c r="QUB206" s="3"/>
      <c r="QUC206" s="3"/>
      <c r="QUD206" s="3"/>
      <c r="QUE206" s="3"/>
      <c r="QUF206" s="3"/>
      <c r="QUG206" s="3"/>
      <c r="QUH206" s="3"/>
      <c r="QUI206" s="3"/>
      <c r="QUJ206" s="3"/>
      <c r="QUK206" s="3"/>
      <c r="QUL206" s="3"/>
      <c r="QUM206" s="3"/>
      <c r="QUN206" s="3"/>
      <c r="QUO206" s="3"/>
      <c r="QUP206" s="3"/>
      <c r="QUQ206" s="3"/>
      <c r="QUR206" s="3"/>
      <c r="QUS206" s="3"/>
      <c r="QUT206" s="3"/>
      <c r="QUU206" s="3"/>
      <c r="QUV206" s="3"/>
      <c r="QUW206" s="3"/>
      <c r="QUX206" s="3"/>
      <c r="QUY206" s="3"/>
      <c r="QUZ206" s="3"/>
      <c r="QVA206" s="3"/>
      <c r="QVB206" s="3"/>
      <c r="QVC206" s="3"/>
      <c r="QVD206" s="3"/>
      <c r="QVE206" s="3"/>
      <c r="QVF206" s="3"/>
      <c r="QVG206" s="3"/>
      <c r="QVH206" s="3"/>
      <c r="QVI206" s="3"/>
      <c r="QVJ206" s="3"/>
      <c r="QVK206" s="3"/>
      <c r="QVL206" s="3"/>
      <c r="QVM206" s="3"/>
      <c r="QVN206" s="3"/>
      <c r="QVO206" s="3"/>
      <c r="QVP206" s="3"/>
      <c r="QVQ206" s="3"/>
      <c r="QVR206" s="3"/>
      <c r="QVS206" s="3"/>
      <c r="QVT206" s="3"/>
      <c r="QVU206" s="3"/>
      <c r="QVV206" s="3"/>
      <c r="QVW206" s="3"/>
      <c r="QVX206" s="3"/>
      <c r="QVY206" s="3"/>
      <c r="QVZ206" s="3"/>
      <c r="QWA206" s="3"/>
      <c r="QWB206" s="3"/>
      <c r="QWC206" s="3"/>
      <c r="QWD206" s="3"/>
      <c r="QWE206" s="3"/>
      <c r="QWF206" s="3"/>
      <c r="QWG206" s="3"/>
      <c r="QWH206" s="3"/>
      <c r="QWI206" s="3"/>
      <c r="QWJ206" s="3"/>
      <c r="QWK206" s="3"/>
      <c r="QWL206" s="3"/>
      <c r="QWM206" s="3"/>
      <c r="QWN206" s="3"/>
      <c r="QWO206" s="3"/>
      <c r="QWP206" s="3"/>
      <c r="QWQ206" s="3"/>
      <c r="QWR206" s="3"/>
      <c r="QWS206" s="3"/>
      <c r="QWT206" s="3"/>
      <c r="QWU206" s="3"/>
      <c r="QWV206" s="3"/>
      <c r="QWW206" s="3"/>
      <c r="QWX206" s="3"/>
      <c r="QWY206" s="3"/>
      <c r="QWZ206" s="3"/>
      <c r="QXA206" s="3"/>
      <c r="QXB206" s="3"/>
      <c r="QXC206" s="3"/>
      <c r="QXD206" s="3"/>
      <c r="QXE206" s="3"/>
      <c r="QXF206" s="3"/>
      <c r="QXG206" s="3"/>
      <c r="QXH206" s="3"/>
      <c r="QXI206" s="3"/>
      <c r="QXJ206" s="3"/>
      <c r="QXK206" s="3"/>
      <c r="QXL206" s="3"/>
      <c r="QXM206" s="3"/>
      <c r="QXN206" s="3"/>
      <c r="QXO206" s="3"/>
      <c r="QXP206" s="3"/>
      <c r="QXQ206" s="3"/>
      <c r="QXR206" s="3"/>
      <c r="QXS206" s="3"/>
      <c r="QXT206" s="3"/>
      <c r="QXU206" s="3"/>
      <c r="QXV206" s="3"/>
      <c r="QXW206" s="3"/>
      <c r="QXX206" s="3"/>
      <c r="QXY206" s="3"/>
      <c r="QXZ206" s="3"/>
      <c r="QYA206" s="3"/>
      <c r="QYB206" s="3"/>
      <c r="QYC206" s="3"/>
      <c r="QYD206" s="3"/>
      <c r="QYE206" s="3"/>
      <c r="QYF206" s="3"/>
      <c r="QYG206" s="3"/>
      <c r="QYH206" s="3"/>
      <c r="QYI206" s="3"/>
      <c r="QYJ206" s="3"/>
      <c r="QYK206" s="3"/>
      <c r="QYL206" s="3"/>
      <c r="QYM206" s="3"/>
      <c r="QYN206" s="3"/>
      <c r="QYO206" s="3"/>
      <c r="QYP206" s="3"/>
      <c r="QYQ206" s="3"/>
      <c r="QYR206" s="3"/>
      <c r="QYS206" s="3"/>
      <c r="QYT206" s="3"/>
      <c r="QYU206" s="3"/>
      <c r="QYV206" s="3"/>
      <c r="QYW206" s="3"/>
      <c r="QYX206" s="3"/>
      <c r="QYY206" s="3"/>
      <c r="QYZ206" s="3"/>
      <c r="QZA206" s="3"/>
      <c r="QZB206" s="3"/>
      <c r="QZC206" s="3"/>
      <c r="QZD206" s="3"/>
      <c r="QZE206" s="3"/>
      <c r="QZF206" s="3"/>
      <c r="QZG206" s="3"/>
      <c r="QZH206" s="3"/>
      <c r="QZI206" s="3"/>
      <c r="QZJ206" s="3"/>
      <c r="QZK206" s="3"/>
      <c r="QZL206" s="3"/>
      <c r="QZM206" s="3"/>
      <c r="QZN206" s="3"/>
      <c r="QZO206" s="3"/>
      <c r="QZP206" s="3"/>
      <c r="QZQ206" s="3"/>
      <c r="QZR206" s="3"/>
      <c r="QZS206" s="3"/>
      <c r="QZT206" s="3"/>
      <c r="QZU206" s="3"/>
      <c r="QZV206" s="3"/>
      <c r="QZW206" s="3"/>
      <c r="QZX206" s="3"/>
      <c r="QZY206" s="3"/>
      <c r="QZZ206" s="3"/>
      <c r="RAA206" s="3"/>
      <c r="RAB206" s="3"/>
      <c r="RAC206" s="3"/>
      <c r="RAD206" s="3"/>
      <c r="RAE206" s="3"/>
      <c r="RAF206" s="3"/>
      <c r="RAG206" s="3"/>
      <c r="RAH206" s="3"/>
      <c r="RAI206" s="3"/>
      <c r="RAJ206" s="3"/>
      <c r="RAK206" s="3"/>
      <c r="RAL206" s="3"/>
      <c r="RAM206" s="3"/>
      <c r="RAN206" s="3"/>
      <c r="RAO206" s="3"/>
      <c r="RAP206" s="3"/>
      <c r="RAQ206" s="3"/>
      <c r="RAR206" s="3"/>
      <c r="RAS206" s="3"/>
      <c r="RAT206" s="3"/>
      <c r="RAU206" s="3"/>
      <c r="RAV206" s="3"/>
      <c r="RAW206" s="3"/>
      <c r="RAX206" s="3"/>
      <c r="RAY206" s="3"/>
      <c r="RAZ206" s="3"/>
      <c r="RBA206" s="3"/>
      <c r="RBB206" s="3"/>
      <c r="RBC206" s="3"/>
      <c r="RBD206" s="3"/>
      <c r="RBE206" s="3"/>
      <c r="RBF206" s="3"/>
      <c r="RBG206" s="3"/>
      <c r="RBH206" s="3"/>
      <c r="RBI206" s="3"/>
      <c r="RBJ206" s="3"/>
      <c r="RBK206" s="3"/>
      <c r="RBL206" s="3"/>
      <c r="RBM206" s="3"/>
      <c r="RBN206" s="3"/>
      <c r="RBO206" s="3"/>
      <c r="RBP206" s="3"/>
      <c r="RBQ206" s="3"/>
      <c r="RBR206" s="3"/>
      <c r="RBS206" s="3"/>
      <c r="RBT206" s="3"/>
      <c r="RBU206" s="3"/>
      <c r="RBV206" s="3"/>
      <c r="RBW206" s="3"/>
      <c r="RBX206" s="3"/>
      <c r="RBY206" s="3"/>
      <c r="RBZ206" s="3"/>
      <c r="RCA206" s="3"/>
      <c r="RCB206" s="3"/>
      <c r="RCC206" s="3"/>
      <c r="RCD206" s="3"/>
      <c r="RCE206" s="3"/>
      <c r="RCF206" s="3"/>
      <c r="RCG206" s="3"/>
      <c r="RCH206" s="3"/>
      <c r="RCI206" s="3"/>
      <c r="RCJ206" s="3"/>
      <c r="RCK206" s="3"/>
      <c r="RCL206" s="3"/>
      <c r="RCM206" s="3"/>
      <c r="RCN206" s="3"/>
      <c r="RCO206" s="3"/>
      <c r="RCP206" s="3"/>
      <c r="RCQ206" s="3"/>
      <c r="RCR206" s="3"/>
      <c r="RCS206" s="3"/>
      <c r="RCT206" s="3"/>
      <c r="RCU206" s="3"/>
      <c r="RCV206" s="3"/>
      <c r="RCW206" s="3"/>
      <c r="RCX206" s="3"/>
      <c r="RCY206" s="3"/>
      <c r="RCZ206" s="3"/>
      <c r="RDA206" s="3"/>
      <c r="RDB206" s="3"/>
      <c r="RDC206" s="3"/>
      <c r="RDD206" s="3"/>
      <c r="RDE206" s="3"/>
      <c r="RDF206" s="3"/>
      <c r="RDG206" s="3"/>
      <c r="RDH206" s="3"/>
      <c r="RDI206" s="3"/>
      <c r="RDJ206" s="3"/>
      <c r="RDK206" s="3"/>
      <c r="RDL206" s="3"/>
      <c r="RDM206" s="3"/>
      <c r="RDN206" s="3"/>
      <c r="RDO206" s="3"/>
      <c r="RDP206" s="3"/>
      <c r="RDQ206" s="3"/>
      <c r="RDR206" s="3"/>
      <c r="RDS206" s="3"/>
      <c r="RDT206" s="3"/>
      <c r="RDU206" s="3"/>
      <c r="RDV206" s="3"/>
      <c r="RDW206" s="3"/>
      <c r="RDX206" s="3"/>
      <c r="RDY206" s="3"/>
      <c r="RDZ206" s="3"/>
      <c r="REA206" s="3"/>
      <c r="REB206" s="3"/>
      <c r="REC206" s="3"/>
      <c r="RED206" s="3"/>
      <c r="REE206" s="3"/>
      <c r="REF206" s="3"/>
      <c r="REG206" s="3"/>
      <c r="REH206" s="3"/>
      <c r="REI206" s="3"/>
      <c r="REJ206" s="3"/>
      <c r="REK206" s="3"/>
      <c r="REL206" s="3"/>
      <c r="REM206" s="3"/>
      <c r="REN206" s="3"/>
      <c r="REO206" s="3"/>
      <c r="REP206" s="3"/>
      <c r="REQ206" s="3"/>
      <c r="RER206" s="3"/>
      <c r="RES206" s="3"/>
      <c r="RET206" s="3"/>
      <c r="REU206" s="3"/>
      <c r="REV206" s="3"/>
      <c r="REW206" s="3"/>
      <c r="REX206" s="3"/>
      <c r="REY206" s="3"/>
      <c r="REZ206" s="3"/>
      <c r="RFA206" s="3"/>
      <c r="RFB206" s="3"/>
      <c r="RFC206" s="3"/>
      <c r="RFD206" s="3"/>
      <c r="RFE206" s="3"/>
      <c r="RFF206" s="3"/>
      <c r="RFG206" s="3"/>
      <c r="RFH206" s="3"/>
      <c r="RFI206" s="3"/>
      <c r="RFJ206" s="3"/>
      <c r="RFK206" s="3"/>
      <c r="RFL206" s="3"/>
      <c r="RFM206" s="3"/>
      <c r="RFN206" s="3"/>
      <c r="RFO206" s="3"/>
      <c r="RFP206" s="3"/>
      <c r="RFQ206" s="3"/>
      <c r="RFR206" s="3"/>
      <c r="RFS206" s="3"/>
      <c r="RFT206" s="3"/>
      <c r="RFU206" s="3"/>
      <c r="RFV206" s="3"/>
      <c r="RFW206" s="3"/>
      <c r="RFX206" s="3"/>
      <c r="RFY206" s="3"/>
      <c r="RFZ206" s="3"/>
      <c r="RGA206" s="3"/>
      <c r="RGB206" s="3"/>
      <c r="RGC206" s="3"/>
      <c r="RGD206" s="3"/>
      <c r="RGE206" s="3"/>
      <c r="RGF206" s="3"/>
      <c r="RGG206" s="3"/>
      <c r="RGH206" s="3"/>
      <c r="RGI206" s="3"/>
      <c r="RGJ206" s="3"/>
      <c r="RGK206" s="3"/>
      <c r="RGL206" s="3"/>
      <c r="RGM206" s="3"/>
      <c r="RGN206" s="3"/>
      <c r="RGO206" s="3"/>
      <c r="RGP206" s="3"/>
      <c r="RGQ206" s="3"/>
      <c r="RGR206" s="3"/>
      <c r="RGS206" s="3"/>
      <c r="RGT206" s="3"/>
      <c r="RGU206" s="3"/>
      <c r="RGV206" s="3"/>
      <c r="RGW206" s="3"/>
      <c r="RGX206" s="3"/>
      <c r="RGY206" s="3"/>
      <c r="RGZ206" s="3"/>
      <c r="RHA206" s="3"/>
      <c r="RHB206" s="3"/>
      <c r="RHC206" s="3"/>
      <c r="RHD206" s="3"/>
      <c r="RHE206" s="3"/>
      <c r="RHF206" s="3"/>
      <c r="RHG206" s="3"/>
      <c r="RHH206" s="3"/>
      <c r="RHI206" s="3"/>
      <c r="RHJ206" s="3"/>
      <c r="RHK206" s="3"/>
      <c r="RHL206" s="3"/>
      <c r="RHM206" s="3"/>
      <c r="RHN206" s="3"/>
      <c r="RHO206" s="3"/>
      <c r="RHP206" s="3"/>
      <c r="RHQ206" s="3"/>
      <c r="RHR206" s="3"/>
      <c r="RHS206" s="3"/>
      <c r="RHT206" s="3"/>
      <c r="RHU206" s="3"/>
      <c r="RHV206" s="3"/>
      <c r="RHW206" s="3"/>
      <c r="RHX206" s="3"/>
      <c r="RHY206" s="3"/>
      <c r="RHZ206" s="3"/>
      <c r="RIA206" s="3"/>
      <c r="RIB206" s="3"/>
      <c r="RIC206" s="3"/>
      <c r="RID206" s="3"/>
      <c r="RIE206" s="3"/>
      <c r="RIF206" s="3"/>
      <c r="RIG206" s="3"/>
      <c r="RIH206" s="3"/>
      <c r="RII206" s="3"/>
      <c r="RIJ206" s="3"/>
      <c r="RIK206" s="3"/>
      <c r="RIL206" s="3"/>
      <c r="RIM206" s="3"/>
      <c r="RIN206" s="3"/>
      <c r="RIO206" s="3"/>
      <c r="RIP206" s="3"/>
      <c r="RIQ206" s="3"/>
      <c r="RIR206" s="3"/>
      <c r="RIS206" s="3"/>
      <c r="RIT206" s="3"/>
      <c r="RIU206" s="3"/>
      <c r="RIV206" s="3"/>
      <c r="RIW206" s="3"/>
      <c r="RIX206" s="3"/>
      <c r="RIY206" s="3"/>
      <c r="RIZ206" s="3"/>
      <c r="RJA206" s="3"/>
      <c r="RJB206" s="3"/>
      <c r="RJC206" s="3"/>
      <c r="RJD206" s="3"/>
      <c r="RJE206" s="3"/>
      <c r="RJF206" s="3"/>
      <c r="RJG206" s="3"/>
      <c r="RJH206" s="3"/>
      <c r="RJI206" s="3"/>
      <c r="RJJ206" s="3"/>
      <c r="RJK206" s="3"/>
      <c r="RJL206" s="3"/>
      <c r="RJM206" s="3"/>
      <c r="RJN206" s="3"/>
      <c r="RJO206" s="3"/>
      <c r="RJP206" s="3"/>
      <c r="RJQ206" s="3"/>
      <c r="RJR206" s="3"/>
      <c r="RJS206" s="3"/>
      <c r="RJT206" s="3"/>
      <c r="RJU206" s="3"/>
      <c r="RJV206" s="3"/>
      <c r="RJW206" s="3"/>
      <c r="RJX206" s="3"/>
      <c r="RJY206" s="3"/>
      <c r="RJZ206" s="3"/>
      <c r="RKA206" s="3"/>
      <c r="RKB206" s="3"/>
      <c r="RKC206" s="3"/>
      <c r="RKD206" s="3"/>
      <c r="RKE206" s="3"/>
      <c r="RKF206" s="3"/>
      <c r="RKG206" s="3"/>
      <c r="RKH206" s="3"/>
      <c r="RKI206" s="3"/>
      <c r="RKJ206" s="3"/>
      <c r="RKK206" s="3"/>
      <c r="RKL206" s="3"/>
      <c r="RKM206" s="3"/>
      <c r="RKN206" s="3"/>
      <c r="RKO206" s="3"/>
      <c r="RKP206" s="3"/>
      <c r="RKQ206" s="3"/>
      <c r="RKR206" s="3"/>
      <c r="RKS206" s="3"/>
      <c r="RKT206" s="3"/>
      <c r="RKU206" s="3"/>
      <c r="RKV206" s="3"/>
      <c r="RKW206" s="3"/>
      <c r="RKX206" s="3"/>
      <c r="RKY206" s="3"/>
      <c r="RKZ206" s="3"/>
      <c r="RLA206" s="3"/>
      <c r="RLB206" s="3"/>
      <c r="RLC206" s="3"/>
      <c r="RLD206" s="3"/>
      <c r="RLE206" s="3"/>
      <c r="RLF206" s="3"/>
      <c r="RLG206" s="3"/>
      <c r="RLH206" s="3"/>
      <c r="RLI206" s="3"/>
      <c r="RLJ206" s="3"/>
      <c r="RLK206" s="3"/>
      <c r="RLL206" s="3"/>
      <c r="RLM206" s="3"/>
      <c r="RLN206" s="3"/>
      <c r="RLO206" s="3"/>
      <c r="RLP206" s="3"/>
      <c r="RLQ206" s="3"/>
      <c r="RLR206" s="3"/>
      <c r="RLS206" s="3"/>
      <c r="RLT206" s="3"/>
      <c r="RLU206" s="3"/>
      <c r="RLV206" s="3"/>
      <c r="RLW206" s="3"/>
      <c r="RLX206" s="3"/>
      <c r="RLY206" s="3"/>
      <c r="RLZ206" s="3"/>
      <c r="RMA206" s="3"/>
      <c r="RMB206" s="3"/>
      <c r="RMC206" s="3"/>
      <c r="RMD206" s="3"/>
      <c r="RME206" s="3"/>
      <c r="RMF206" s="3"/>
      <c r="RMG206" s="3"/>
      <c r="RMH206" s="3"/>
      <c r="RMI206" s="3"/>
      <c r="RMJ206" s="3"/>
      <c r="RMK206" s="3"/>
      <c r="RML206" s="3"/>
      <c r="RMM206" s="3"/>
      <c r="RMN206" s="3"/>
      <c r="RMO206" s="3"/>
      <c r="RMP206" s="3"/>
      <c r="RMQ206" s="3"/>
      <c r="RMR206" s="3"/>
      <c r="RMS206" s="3"/>
      <c r="RMT206" s="3"/>
      <c r="RMU206" s="3"/>
      <c r="RMV206" s="3"/>
      <c r="RMW206" s="3"/>
      <c r="RMX206" s="3"/>
      <c r="RMY206" s="3"/>
      <c r="RMZ206" s="3"/>
      <c r="RNA206" s="3"/>
      <c r="RNB206" s="3"/>
      <c r="RNC206" s="3"/>
      <c r="RND206" s="3"/>
      <c r="RNE206" s="3"/>
      <c r="RNF206" s="3"/>
      <c r="RNG206" s="3"/>
      <c r="RNH206" s="3"/>
      <c r="RNI206" s="3"/>
      <c r="RNJ206" s="3"/>
      <c r="RNK206" s="3"/>
      <c r="RNL206" s="3"/>
      <c r="RNM206" s="3"/>
      <c r="RNN206" s="3"/>
      <c r="RNO206" s="3"/>
      <c r="RNP206" s="3"/>
      <c r="RNQ206" s="3"/>
      <c r="RNR206" s="3"/>
      <c r="RNS206" s="3"/>
      <c r="RNT206" s="3"/>
      <c r="RNU206" s="3"/>
      <c r="RNV206" s="3"/>
      <c r="RNW206" s="3"/>
      <c r="RNX206" s="3"/>
      <c r="RNY206" s="3"/>
      <c r="RNZ206" s="3"/>
      <c r="ROA206" s="3"/>
      <c r="ROB206" s="3"/>
      <c r="ROC206" s="3"/>
      <c r="ROD206" s="3"/>
      <c r="ROE206" s="3"/>
      <c r="ROF206" s="3"/>
      <c r="ROG206" s="3"/>
      <c r="ROH206" s="3"/>
      <c r="ROI206" s="3"/>
      <c r="ROJ206" s="3"/>
      <c r="ROK206" s="3"/>
      <c r="ROL206" s="3"/>
      <c r="ROM206" s="3"/>
      <c r="RON206" s="3"/>
      <c r="ROO206" s="3"/>
      <c r="ROP206" s="3"/>
      <c r="ROQ206" s="3"/>
      <c r="ROR206" s="3"/>
      <c r="ROS206" s="3"/>
      <c r="ROT206" s="3"/>
      <c r="ROU206" s="3"/>
      <c r="ROV206" s="3"/>
      <c r="ROW206" s="3"/>
      <c r="ROX206" s="3"/>
      <c r="ROY206" s="3"/>
      <c r="ROZ206" s="3"/>
      <c r="RPA206" s="3"/>
      <c r="RPB206" s="3"/>
      <c r="RPC206" s="3"/>
      <c r="RPD206" s="3"/>
      <c r="RPE206" s="3"/>
      <c r="RPF206" s="3"/>
      <c r="RPG206" s="3"/>
      <c r="RPH206" s="3"/>
      <c r="RPI206" s="3"/>
      <c r="RPJ206" s="3"/>
      <c r="RPK206" s="3"/>
      <c r="RPL206" s="3"/>
      <c r="RPM206" s="3"/>
      <c r="RPN206" s="3"/>
      <c r="RPO206" s="3"/>
      <c r="RPP206" s="3"/>
      <c r="RPQ206" s="3"/>
      <c r="RPR206" s="3"/>
      <c r="RPS206" s="3"/>
      <c r="RPT206" s="3"/>
      <c r="RPU206" s="3"/>
      <c r="RPV206" s="3"/>
      <c r="RPW206" s="3"/>
      <c r="RPX206" s="3"/>
      <c r="RPY206" s="3"/>
      <c r="RPZ206" s="3"/>
      <c r="RQA206" s="3"/>
      <c r="RQB206" s="3"/>
      <c r="RQC206" s="3"/>
      <c r="RQD206" s="3"/>
      <c r="RQE206" s="3"/>
      <c r="RQF206" s="3"/>
      <c r="RQG206" s="3"/>
      <c r="RQH206" s="3"/>
      <c r="RQI206" s="3"/>
      <c r="RQJ206" s="3"/>
      <c r="RQK206" s="3"/>
      <c r="RQL206" s="3"/>
      <c r="RQM206" s="3"/>
      <c r="RQN206" s="3"/>
      <c r="RQO206" s="3"/>
      <c r="RQP206" s="3"/>
      <c r="RQQ206" s="3"/>
      <c r="RQR206" s="3"/>
      <c r="RQS206" s="3"/>
      <c r="RQT206" s="3"/>
      <c r="RQU206" s="3"/>
      <c r="RQV206" s="3"/>
      <c r="RQW206" s="3"/>
      <c r="RQX206" s="3"/>
      <c r="RQY206" s="3"/>
      <c r="RQZ206" s="3"/>
      <c r="RRA206" s="3"/>
      <c r="RRB206" s="3"/>
      <c r="RRC206" s="3"/>
      <c r="RRD206" s="3"/>
      <c r="RRE206" s="3"/>
      <c r="RRF206" s="3"/>
      <c r="RRG206" s="3"/>
      <c r="RRH206" s="3"/>
      <c r="RRI206" s="3"/>
      <c r="RRJ206" s="3"/>
      <c r="RRK206" s="3"/>
      <c r="RRL206" s="3"/>
      <c r="RRM206" s="3"/>
      <c r="RRN206" s="3"/>
      <c r="RRO206" s="3"/>
      <c r="RRP206" s="3"/>
      <c r="RRQ206" s="3"/>
      <c r="RRR206" s="3"/>
      <c r="RRS206" s="3"/>
      <c r="RRT206" s="3"/>
      <c r="RRU206" s="3"/>
      <c r="RRV206" s="3"/>
      <c r="RRW206" s="3"/>
      <c r="RRX206" s="3"/>
      <c r="RRY206" s="3"/>
      <c r="RRZ206" s="3"/>
      <c r="RSA206" s="3"/>
      <c r="RSB206" s="3"/>
      <c r="RSC206" s="3"/>
      <c r="RSD206" s="3"/>
      <c r="RSE206" s="3"/>
      <c r="RSF206" s="3"/>
      <c r="RSG206" s="3"/>
      <c r="RSH206" s="3"/>
      <c r="RSI206" s="3"/>
      <c r="RSJ206" s="3"/>
      <c r="RSK206" s="3"/>
      <c r="RSL206" s="3"/>
      <c r="RSM206" s="3"/>
      <c r="RSN206" s="3"/>
      <c r="RSO206" s="3"/>
      <c r="RSP206" s="3"/>
      <c r="RSQ206" s="3"/>
      <c r="RSR206" s="3"/>
      <c r="RSS206" s="3"/>
      <c r="RST206" s="3"/>
      <c r="RSU206" s="3"/>
      <c r="RSV206" s="3"/>
      <c r="RSW206" s="3"/>
      <c r="RSX206" s="3"/>
      <c r="RSY206" s="3"/>
      <c r="RSZ206" s="3"/>
      <c r="RTA206" s="3"/>
      <c r="RTB206" s="3"/>
      <c r="RTC206" s="3"/>
      <c r="RTD206" s="3"/>
      <c r="RTE206" s="3"/>
      <c r="RTF206" s="3"/>
      <c r="RTG206" s="3"/>
      <c r="RTH206" s="3"/>
      <c r="RTI206" s="3"/>
      <c r="RTJ206" s="3"/>
      <c r="RTK206" s="3"/>
      <c r="RTL206" s="3"/>
      <c r="RTM206" s="3"/>
      <c r="RTN206" s="3"/>
      <c r="RTO206" s="3"/>
      <c r="RTP206" s="3"/>
      <c r="RTQ206" s="3"/>
      <c r="RTR206" s="3"/>
      <c r="RTS206" s="3"/>
      <c r="RTT206" s="3"/>
      <c r="RTU206" s="3"/>
      <c r="RTV206" s="3"/>
      <c r="RTW206" s="3"/>
      <c r="RTX206" s="3"/>
      <c r="RTY206" s="3"/>
      <c r="RTZ206" s="3"/>
      <c r="RUA206" s="3"/>
      <c r="RUB206" s="3"/>
      <c r="RUC206" s="3"/>
      <c r="RUD206" s="3"/>
      <c r="RUE206" s="3"/>
      <c r="RUF206" s="3"/>
      <c r="RUG206" s="3"/>
      <c r="RUH206" s="3"/>
      <c r="RUI206" s="3"/>
      <c r="RUJ206" s="3"/>
      <c r="RUK206" s="3"/>
      <c r="RUL206" s="3"/>
      <c r="RUM206" s="3"/>
      <c r="RUN206" s="3"/>
      <c r="RUO206" s="3"/>
      <c r="RUP206" s="3"/>
      <c r="RUQ206" s="3"/>
      <c r="RUR206" s="3"/>
      <c r="RUS206" s="3"/>
      <c r="RUT206" s="3"/>
      <c r="RUU206" s="3"/>
      <c r="RUV206" s="3"/>
      <c r="RUW206" s="3"/>
      <c r="RUX206" s="3"/>
      <c r="RUY206" s="3"/>
      <c r="RUZ206" s="3"/>
      <c r="RVA206" s="3"/>
      <c r="RVB206" s="3"/>
      <c r="RVC206" s="3"/>
      <c r="RVD206" s="3"/>
      <c r="RVE206" s="3"/>
      <c r="RVF206" s="3"/>
      <c r="RVG206" s="3"/>
      <c r="RVH206" s="3"/>
      <c r="RVI206" s="3"/>
      <c r="RVJ206" s="3"/>
      <c r="RVK206" s="3"/>
      <c r="RVL206" s="3"/>
      <c r="RVM206" s="3"/>
      <c r="RVN206" s="3"/>
      <c r="RVO206" s="3"/>
      <c r="RVP206" s="3"/>
      <c r="RVQ206" s="3"/>
      <c r="RVR206" s="3"/>
      <c r="RVS206" s="3"/>
      <c r="RVT206" s="3"/>
      <c r="RVU206" s="3"/>
      <c r="RVV206" s="3"/>
      <c r="RVW206" s="3"/>
      <c r="RVX206" s="3"/>
      <c r="RVY206" s="3"/>
      <c r="RVZ206" s="3"/>
      <c r="RWA206" s="3"/>
      <c r="RWB206" s="3"/>
      <c r="RWC206" s="3"/>
      <c r="RWD206" s="3"/>
      <c r="RWE206" s="3"/>
      <c r="RWF206" s="3"/>
      <c r="RWG206" s="3"/>
      <c r="RWH206" s="3"/>
      <c r="RWI206" s="3"/>
      <c r="RWJ206" s="3"/>
      <c r="RWK206" s="3"/>
      <c r="RWL206" s="3"/>
      <c r="RWM206" s="3"/>
      <c r="RWN206" s="3"/>
      <c r="RWO206" s="3"/>
      <c r="RWP206" s="3"/>
      <c r="RWQ206" s="3"/>
      <c r="RWR206" s="3"/>
      <c r="RWS206" s="3"/>
      <c r="RWT206" s="3"/>
      <c r="RWU206" s="3"/>
      <c r="RWV206" s="3"/>
      <c r="RWW206" s="3"/>
      <c r="RWX206" s="3"/>
      <c r="RWY206" s="3"/>
      <c r="RWZ206" s="3"/>
      <c r="RXA206" s="3"/>
      <c r="RXB206" s="3"/>
      <c r="RXC206" s="3"/>
      <c r="RXD206" s="3"/>
      <c r="RXE206" s="3"/>
      <c r="RXF206" s="3"/>
      <c r="RXG206" s="3"/>
      <c r="RXH206" s="3"/>
      <c r="RXI206" s="3"/>
      <c r="RXJ206" s="3"/>
      <c r="RXK206" s="3"/>
      <c r="RXL206" s="3"/>
      <c r="RXM206" s="3"/>
      <c r="RXN206" s="3"/>
      <c r="RXO206" s="3"/>
      <c r="RXP206" s="3"/>
      <c r="RXQ206" s="3"/>
      <c r="RXR206" s="3"/>
      <c r="RXS206" s="3"/>
      <c r="RXT206" s="3"/>
      <c r="RXU206" s="3"/>
      <c r="RXV206" s="3"/>
      <c r="RXW206" s="3"/>
      <c r="RXX206" s="3"/>
      <c r="RXY206" s="3"/>
      <c r="RXZ206" s="3"/>
      <c r="RYA206" s="3"/>
      <c r="RYB206" s="3"/>
      <c r="RYC206" s="3"/>
      <c r="RYD206" s="3"/>
      <c r="RYE206" s="3"/>
      <c r="RYF206" s="3"/>
      <c r="RYG206" s="3"/>
      <c r="RYH206" s="3"/>
      <c r="RYI206" s="3"/>
      <c r="RYJ206" s="3"/>
      <c r="RYK206" s="3"/>
      <c r="RYL206" s="3"/>
      <c r="RYM206" s="3"/>
      <c r="RYN206" s="3"/>
      <c r="RYO206" s="3"/>
      <c r="RYP206" s="3"/>
      <c r="RYQ206" s="3"/>
      <c r="RYR206" s="3"/>
      <c r="RYS206" s="3"/>
      <c r="RYT206" s="3"/>
      <c r="RYU206" s="3"/>
      <c r="RYV206" s="3"/>
      <c r="RYW206" s="3"/>
      <c r="RYX206" s="3"/>
      <c r="RYY206" s="3"/>
      <c r="RYZ206" s="3"/>
      <c r="RZA206" s="3"/>
      <c r="RZB206" s="3"/>
      <c r="RZC206" s="3"/>
      <c r="RZD206" s="3"/>
      <c r="RZE206" s="3"/>
      <c r="RZF206" s="3"/>
      <c r="RZG206" s="3"/>
      <c r="RZH206" s="3"/>
      <c r="RZI206" s="3"/>
      <c r="RZJ206" s="3"/>
      <c r="RZK206" s="3"/>
      <c r="RZL206" s="3"/>
      <c r="RZM206" s="3"/>
      <c r="RZN206" s="3"/>
      <c r="RZO206" s="3"/>
      <c r="RZP206" s="3"/>
      <c r="RZQ206" s="3"/>
      <c r="RZR206" s="3"/>
      <c r="RZS206" s="3"/>
      <c r="RZT206" s="3"/>
      <c r="RZU206" s="3"/>
      <c r="RZV206" s="3"/>
      <c r="RZW206" s="3"/>
      <c r="RZX206" s="3"/>
      <c r="RZY206" s="3"/>
      <c r="RZZ206" s="3"/>
      <c r="SAA206" s="3"/>
      <c r="SAB206" s="3"/>
      <c r="SAC206" s="3"/>
      <c r="SAD206" s="3"/>
      <c r="SAE206" s="3"/>
      <c r="SAF206" s="3"/>
      <c r="SAG206" s="3"/>
      <c r="SAH206" s="3"/>
      <c r="SAI206" s="3"/>
      <c r="SAJ206" s="3"/>
      <c r="SAK206" s="3"/>
      <c r="SAL206" s="3"/>
      <c r="SAM206" s="3"/>
      <c r="SAN206" s="3"/>
      <c r="SAO206" s="3"/>
      <c r="SAP206" s="3"/>
      <c r="SAQ206" s="3"/>
      <c r="SAR206" s="3"/>
      <c r="SAS206" s="3"/>
      <c r="SAT206" s="3"/>
      <c r="SAU206" s="3"/>
      <c r="SAV206" s="3"/>
      <c r="SAW206" s="3"/>
      <c r="SAX206" s="3"/>
      <c r="SAY206" s="3"/>
      <c r="SAZ206" s="3"/>
      <c r="SBA206" s="3"/>
      <c r="SBB206" s="3"/>
      <c r="SBC206" s="3"/>
      <c r="SBD206" s="3"/>
      <c r="SBE206" s="3"/>
      <c r="SBF206" s="3"/>
      <c r="SBG206" s="3"/>
      <c r="SBH206" s="3"/>
      <c r="SBI206" s="3"/>
      <c r="SBJ206" s="3"/>
      <c r="SBK206" s="3"/>
      <c r="SBL206" s="3"/>
      <c r="SBM206" s="3"/>
      <c r="SBN206" s="3"/>
      <c r="SBO206" s="3"/>
      <c r="SBP206" s="3"/>
      <c r="SBQ206" s="3"/>
      <c r="SBR206" s="3"/>
      <c r="SBS206" s="3"/>
      <c r="SBT206" s="3"/>
      <c r="SBU206" s="3"/>
      <c r="SBV206" s="3"/>
      <c r="SBW206" s="3"/>
      <c r="SBX206" s="3"/>
      <c r="SBY206" s="3"/>
      <c r="SBZ206" s="3"/>
      <c r="SCA206" s="3"/>
      <c r="SCB206" s="3"/>
      <c r="SCC206" s="3"/>
      <c r="SCD206" s="3"/>
      <c r="SCE206" s="3"/>
      <c r="SCF206" s="3"/>
      <c r="SCG206" s="3"/>
      <c r="SCH206" s="3"/>
      <c r="SCI206" s="3"/>
      <c r="SCJ206" s="3"/>
      <c r="SCK206" s="3"/>
      <c r="SCL206" s="3"/>
      <c r="SCM206" s="3"/>
      <c r="SCN206" s="3"/>
      <c r="SCO206" s="3"/>
      <c r="SCP206" s="3"/>
      <c r="SCQ206" s="3"/>
      <c r="SCR206" s="3"/>
      <c r="SCS206" s="3"/>
      <c r="SCT206" s="3"/>
      <c r="SCU206" s="3"/>
      <c r="SCV206" s="3"/>
      <c r="SCW206" s="3"/>
      <c r="SCX206" s="3"/>
      <c r="SCY206" s="3"/>
      <c r="SCZ206" s="3"/>
      <c r="SDA206" s="3"/>
      <c r="SDB206" s="3"/>
      <c r="SDC206" s="3"/>
      <c r="SDD206" s="3"/>
      <c r="SDE206" s="3"/>
      <c r="SDF206" s="3"/>
      <c r="SDG206" s="3"/>
      <c r="SDH206" s="3"/>
      <c r="SDI206" s="3"/>
      <c r="SDJ206" s="3"/>
      <c r="SDK206" s="3"/>
      <c r="SDL206" s="3"/>
      <c r="SDM206" s="3"/>
      <c r="SDN206" s="3"/>
      <c r="SDO206" s="3"/>
      <c r="SDP206" s="3"/>
      <c r="SDQ206" s="3"/>
      <c r="SDR206" s="3"/>
      <c r="SDS206" s="3"/>
      <c r="SDT206" s="3"/>
      <c r="SDU206" s="3"/>
      <c r="SDV206" s="3"/>
      <c r="SDW206" s="3"/>
      <c r="SDX206" s="3"/>
      <c r="SDY206" s="3"/>
      <c r="SDZ206" s="3"/>
      <c r="SEA206" s="3"/>
      <c r="SEB206" s="3"/>
      <c r="SEC206" s="3"/>
      <c r="SED206" s="3"/>
      <c r="SEE206" s="3"/>
      <c r="SEF206" s="3"/>
      <c r="SEG206" s="3"/>
      <c r="SEH206" s="3"/>
      <c r="SEI206" s="3"/>
      <c r="SEJ206" s="3"/>
      <c r="SEK206" s="3"/>
      <c r="SEL206" s="3"/>
      <c r="SEM206" s="3"/>
      <c r="SEN206" s="3"/>
      <c r="SEO206" s="3"/>
      <c r="SEP206" s="3"/>
      <c r="SEQ206" s="3"/>
      <c r="SER206" s="3"/>
      <c r="SES206" s="3"/>
      <c r="SET206" s="3"/>
      <c r="SEU206" s="3"/>
      <c r="SEV206" s="3"/>
      <c r="SEW206" s="3"/>
      <c r="SEX206" s="3"/>
      <c r="SEY206" s="3"/>
      <c r="SEZ206" s="3"/>
      <c r="SFA206" s="3"/>
      <c r="SFB206" s="3"/>
      <c r="SFC206" s="3"/>
      <c r="SFD206" s="3"/>
      <c r="SFE206" s="3"/>
      <c r="SFF206" s="3"/>
      <c r="SFG206" s="3"/>
      <c r="SFH206" s="3"/>
      <c r="SFI206" s="3"/>
      <c r="SFJ206" s="3"/>
      <c r="SFK206" s="3"/>
      <c r="SFL206" s="3"/>
      <c r="SFM206" s="3"/>
      <c r="SFN206" s="3"/>
      <c r="SFO206" s="3"/>
      <c r="SFP206" s="3"/>
      <c r="SFQ206" s="3"/>
      <c r="SFR206" s="3"/>
      <c r="SFS206" s="3"/>
      <c r="SFT206" s="3"/>
      <c r="SFU206" s="3"/>
      <c r="SFV206" s="3"/>
      <c r="SFW206" s="3"/>
      <c r="SFX206" s="3"/>
      <c r="SFY206" s="3"/>
      <c r="SFZ206" s="3"/>
      <c r="SGA206" s="3"/>
      <c r="SGB206" s="3"/>
      <c r="SGC206" s="3"/>
      <c r="SGD206" s="3"/>
      <c r="SGE206" s="3"/>
      <c r="SGF206" s="3"/>
      <c r="SGG206" s="3"/>
      <c r="SGH206" s="3"/>
      <c r="SGI206" s="3"/>
      <c r="SGJ206" s="3"/>
      <c r="SGK206" s="3"/>
      <c r="SGL206" s="3"/>
      <c r="SGM206" s="3"/>
      <c r="SGN206" s="3"/>
      <c r="SGO206" s="3"/>
      <c r="SGP206" s="3"/>
      <c r="SGQ206" s="3"/>
      <c r="SGR206" s="3"/>
      <c r="SGS206" s="3"/>
      <c r="SGT206" s="3"/>
      <c r="SGU206" s="3"/>
      <c r="SGV206" s="3"/>
      <c r="SGW206" s="3"/>
      <c r="SGX206" s="3"/>
      <c r="SGY206" s="3"/>
      <c r="SGZ206" s="3"/>
      <c r="SHA206" s="3"/>
      <c r="SHB206" s="3"/>
      <c r="SHC206" s="3"/>
      <c r="SHD206" s="3"/>
      <c r="SHE206" s="3"/>
      <c r="SHF206" s="3"/>
      <c r="SHG206" s="3"/>
      <c r="SHH206" s="3"/>
      <c r="SHI206" s="3"/>
      <c r="SHJ206" s="3"/>
      <c r="SHK206" s="3"/>
      <c r="SHL206" s="3"/>
      <c r="SHM206" s="3"/>
      <c r="SHN206" s="3"/>
      <c r="SHO206" s="3"/>
      <c r="SHP206" s="3"/>
      <c r="SHQ206" s="3"/>
      <c r="SHR206" s="3"/>
      <c r="SHS206" s="3"/>
      <c r="SHT206" s="3"/>
      <c r="SHU206" s="3"/>
      <c r="SHV206" s="3"/>
      <c r="SHW206" s="3"/>
      <c r="SHX206" s="3"/>
      <c r="SHY206" s="3"/>
      <c r="SHZ206" s="3"/>
      <c r="SIA206" s="3"/>
      <c r="SIB206" s="3"/>
      <c r="SIC206" s="3"/>
      <c r="SID206" s="3"/>
      <c r="SIE206" s="3"/>
      <c r="SIF206" s="3"/>
      <c r="SIG206" s="3"/>
      <c r="SIH206" s="3"/>
      <c r="SII206" s="3"/>
      <c r="SIJ206" s="3"/>
      <c r="SIK206" s="3"/>
      <c r="SIL206" s="3"/>
      <c r="SIM206" s="3"/>
      <c r="SIN206" s="3"/>
      <c r="SIO206" s="3"/>
      <c r="SIP206" s="3"/>
      <c r="SIQ206" s="3"/>
      <c r="SIR206" s="3"/>
      <c r="SIS206" s="3"/>
      <c r="SIT206" s="3"/>
      <c r="SIU206" s="3"/>
      <c r="SIV206" s="3"/>
      <c r="SIW206" s="3"/>
      <c r="SIX206" s="3"/>
      <c r="SIY206" s="3"/>
      <c r="SIZ206" s="3"/>
      <c r="SJA206" s="3"/>
      <c r="SJB206" s="3"/>
      <c r="SJC206" s="3"/>
      <c r="SJD206" s="3"/>
      <c r="SJE206" s="3"/>
      <c r="SJF206" s="3"/>
      <c r="SJG206" s="3"/>
      <c r="SJH206" s="3"/>
      <c r="SJI206" s="3"/>
      <c r="SJJ206" s="3"/>
      <c r="SJK206" s="3"/>
      <c r="SJL206" s="3"/>
      <c r="SJM206" s="3"/>
      <c r="SJN206" s="3"/>
      <c r="SJO206" s="3"/>
      <c r="SJP206" s="3"/>
      <c r="SJQ206" s="3"/>
      <c r="SJR206" s="3"/>
      <c r="SJS206" s="3"/>
      <c r="SJT206" s="3"/>
      <c r="SJU206" s="3"/>
      <c r="SJV206" s="3"/>
      <c r="SJW206" s="3"/>
      <c r="SJX206" s="3"/>
      <c r="SJY206" s="3"/>
      <c r="SJZ206" s="3"/>
      <c r="SKA206" s="3"/>
      <c r="SKB206" s="3"/>
      <c r="SKC206" s="3"/>
      <c r="SKD206" s="3"/>
      <c r="SKE206" s="3"/>
      <c r="SKF206" s="3"/>
      <c r="SKG206" s="3"/>
      <c r="SKH206" s="3"/>
      <c r="SKI206" s="3"/>
      <c r="SKJ206" s="3"/>
      <c r="SKK206" s="3"/>
      <c r="SKL206" s="3"/>
      <c r="SKM206" s="3"/>
      <c r="SKN206" s="3"/>
      <c r="SKO206" s="3"/>
      <c r="SKP206" s="3"/>
      <c r="SKQ206" s="3"/>
      <c r="SKR206" s="3"/>
      <c r="SKS206" s="3"/>
      <c r="SKT206" s="3"/>
      <c r="SKU206" s="3"/>
      <c r="SKV206" s="3"/>
      <c r="SKW206" s="3"/>
      <c r="SKX206" s="3"/>
      <c r="SKY206" s="3"/>
      <c r="SKZ206" s="3"/>
      <c r="SLA206" s="3"/>
      <c r="SLB206" s="3"/>
      <c r="SLC206" s="3"/>
      <c r="SLD206" s="3"/>
      <c r="SLE206" s="3"/>
      <c r="SLF206" s="3"/>
      <c r="SLG206" s="3"/>
      <c r="SLH206" s="3"/>
      <c r="SLI206" s="3"/>
      <c r="SLJ206" s="3"/>
      <c r="SLK206" s="3"/>
      <c r="SLL206" s="3"/>
      <c r="SLM206" s="3"/>
      <c r="SLN206" s="3"/>
      <c r="SLO206" s="3"/>
      <c r="SLP206" s="3"/>
      <c r="SLQ206" s="3"/>
      <c r="SLR206" s="3"/>
      <c r="SLS206" s="3"/>
      <c r="SLT206" s="3"/>
      <c r="SLU206" s="3"/>
      <c r="SLV206" s="3"/>
      <c r="SLW206" s="3"/>
      <c r="SLX206" s="3"/>
      <c r="SLY206" s="3"/>
      <c r="SLZ206" s="3"/>
      <c r="SMA206" s="3"/>
      <c r="SMB206" s="3"/>
      <c r="SMC206" s="3"/>
      <c r="SMD206" s="3"/>
      <c r="SME206" s="3"/>
      <c r="SMF206" s="3"/>
      <c r="SMG206" s="3"/>
      <c r="SMH206" s="3"/>
      <c r="SMI206" s="3"/>
      <c r="SMJ206" s="3"/>
      <c r="SMK206" s="3"/>
      <c r="SML206" s="3"/>
      <c r="SMM206" s="3"/>
      <c r="SMN206" s="3"/>
      <c r="SMO206" s="3"/>
      <c r="SMP206" s="3"/>
      <c r="SMQ206" s="3"/>
      <c r="SMR206" s="3"/>
      <c r="SMS206" s="3"/>
      <c r="SMT206" s="3"/>
      <c r="SMU206" s="3"/>
      <c r="SMV206" s="3"/>
      <c r="SMW206" s="3"/>
      <c r="SMX206" s="3"/>
      <c r="SMY206" s="3"/>
      <c r="SMZ206" s="3"/>
      <c r="SNA206" s="3"/>
      <c r="SNB206" s="3"/>
      <c r="SNC206" s="3"/>
      <c r="SND206" s="3"/>
      <c r="SNE206" s="3"/>
      <c r="SNF206" s="3"/>
      <c r="SNG206" s="3"/>
      <c r="SNH206" s="3"/>
      <c r="SNI206" s="3"/>
      <c r="SNJ206" s="3"/>
      <c r="SNK206" s="3"/>
      <c r="SNL206" s="3"/>
      <c r="SNM206" s="3"/>
      <c r="SNN206" s="3"/>
      <c r="SNO206" s="3"/>
      <c r="SNP206" s="3"/>
      <c r="SNQ206" s="3"/>
      <c r="SNR206" s="3"/>
      <c r="SNS206" s="3"/>
      <c r="SNT206" s="3"/>
      <c r="SNU206" s="3"/>
      <c r="SNV206" s="3"/>
      <c r="SNW206" s="3"/>
      <c r="SNX206" s="3"/>
      <c r="SNY206" s="3"/>
      <c r="SNZ206" s="3"/>
      <c r="SOA206" s="3"/>
      <c r="SOB206" s="3"/>
      <c r="SOC206" s="3"/>
      <c r="SOD206" s="3"/>
      <c r="SOE206" s="3"/>
      <c r="SOF206" s="3"/>
      <c r="SOG206" s="3"/>
      <c r="SOH206" s="3"/>
      <c r="SOI206" s="3"/>
      <c r="SOJ206" s="3"/>
      <c r="SOK206" s="3"/>
      <c r="SOL206" s="3"/>
      <c r="SOM206" s="3"/>
      <c r="SON206" s="3"/>
      <c r="SOO206" s="3"/>
      <c r="SOP206" s="3"/>
      <c r="SOQ206" s="3"/>
      <c r="SOR206" s="3"/>
      <c r="SOS206" s="3"/>
      <c r="SOT206" s="3"/>
      <c r="SOU206" s="3"/>
      <c r="SOV206" s="3"/>
      <c r="SOW206" s="3"/>
      <c r="SOX206" s="3"/>
      <c r="SOY206" s="3"/>
      <c r="SOZ206" s="3"/>
      <c r="SPA206" s="3"/>
      <c r="SPB206" s="3"/>
      <c r="SPC206" s="3"/>
      <c r="SPD206" s="3"/>
      <c r="SPE206" s="3"/>
      <c r="SPF206" s="3"/>
      <c r="SPG206" s="3"/>
      <c r="SPH206" s="3"/>
      <c r="SPI206" s="3"/>
      <c r="SPJ206" s="3"/>
      <c r="SPK206" s="3"/>
      <c r="SPL206" s="3"/>
      <c r="SPM206" s="3"/>
      <c r="SPN206" s="3"/>
      <c r="SPO206" s="3"/>
      <c r="SPP206" s="3"/>
      <c r="SPQ206" s="3"/>
      <c r="SPR206" s="3"/>
      <c r="SPS206" s="3"/>
      <c r="SPT206" s="3"/>
      <c r="SPU206" s="3"/>
      <c r="SPV206" s="3"/>
      <c r="SPW206" s="3"/>
      <c r="SPX206" s="3"/>
      <c r="SPY206" s="3"/>
      <c r="SPZ206" s="3"/>
      <c r="SQA206" s="3"/>
      <c r="SQB206" s="3"/>
      <c r="SQC206" s="3"/>
      <c r="SQD206" s="3"/>
      <c r="SQE206" s="3"/>
      <c r="SQF206" s="3"/>
      <c r="SQG206" s="3"/>
      <c r="SQH206" s="3"/>
      <c r="SQI206" s="3"/>
      <c r="SQJ206" s="3"/>
      <c r="SQK206" s="3"/>
      <c r="SQL206" s="3"/>
      <c r="SQM206" s="3"/>
      <c r="SQN206" s="3"/>
      <c r="SQO206" s="3"/>
      <c r="SQP206" s="3"/>
      <c r="SQQ206" s="3"/>
      <c r="SQR206" s="3"/>
      <c r="SQS206" s="3"/>
      <c r="SQT206" s="3"/>
      <c r="SQU206" s="3"/>
      <c r="SQV206" s="3"/>
      <c r="SQW206" s="3"/>
      <c r="SQX206" s="3"/>
      <c r="SQY206" s="3"/>
      <c r="SQZ206" s="3"/>
      <c r="SRA206" s="3"/>
      <c r="SRB206" s="3"/>
      <c r="SRC206" s="3"/>
      <c r="SRD206" s="3"/>
      <c r="SRE206" s="3"/>
      <c r="SRF206" s="3"/>
      <c r="SRG206" s="3"/>
      <c r="SRH206" s="3"/>
      <c r="SRI206" s="3"/>
      <c r="SRJ206" s="3"/>
      <c r="SRK206" s="3"/>
      <c r="SRL206" s="3"/>
      <c r="SRM206" s="3"/>
      <c r="SRN206" s="3"/>
      <c r="SRO206" s="3"/>
      <c r="SRP206" s="3"/>
      <c r="SRQ206" s="3"/>
      <c r="SRR206" s="3"/>
      <c r="SRS206" s="3"/>
      <c r="SRT206" s="3"/>
      <c r="SRU206" s="3"/>
      <c r="SRV206" s="3"/>
      <c r="SRW206" s="3"/>
      <c r="SRX206" s="3"/>
      <c r="SRY206" s="3"/>
      <c r="SRZ206" s="3"/>
      <c r="SSA206" s="3"/>
      <c r="SSB206" s="3"/>
      <c r="SSC206" s="3"/>
      <c r="SSD206" s="3"/>
      <c r="SSE206" s="3"/>
      <c r="SSF206" s="3"/>
      <c r="SSG206" s="3"/>
      <c r="SSH206" s="3"/>
      <c r="SSI206" s="3"/>
      <c r="SSJ206" s="3"/>
      <c r="SSK206" s="3"/>
      <c r="SSL206" s="3"/>
      <c r="SSM206" s="3"/>
      <c r="SSN206" s="3"/>
      <c r="SSO206" s="3"/>
      <c r="SSP206" s="3"/>
      <c r="SSQ206" s="3"/>
      <c r="SSR206" s="3"/>
      <c r="SSS206" s="3"/>
      <c r="SST206" s="3"/>
      <c r="SSU206" s="3"/>
      <c r="SSV206" s="3"/>
      <c r="SSW206" s="3"/>
      <c r="SSX206" s="3"/>
      <c r="SSY206" s="3"/>
      <c r="SSZ206" s="3"/>
      <c r="STA206" s="3"/>
      <c r="STB206" s="3"/>
      <c r="STC206" s="3"/>
      <c r="STD206" s="3"/>
      <c r="STE206" s="3"/>
      <c r="STF206" s="3"/>
      <c r="STG206" s="3"/>
      <c r="STH206" s="3"/>
      <c r="STI206" s="3"/>
      <c r="STJ206" s="3"/>
      <c r="STK206" s="3"/>
      <c r="STL206" s="3"/>
      <c r="STM206" s="3"/>
      <c r="STN206" s="3"/>
      <c r="STO206" s="3"/>
      <c r="STP206" s="3"/>
      <c r="STQ206" s="3"/>
      <c r="STR206" s="3"/>
      <c r="STS206" s="3"/>
      <c r="STT206" s="3"/>
      <c r="STU206" s="3"/>
      <c r="STV206" s="3"/>
      <c r="STW206" s="3"/>
      <c r="STX206" s="3"/>
      <c r="STY206" s="3"/>
      <c r="STZ206" s="3"/>
      <c r="SUA206" s="3"/>
      <c r="SUB206" s="3"/>
      <c r="SUC206" s="3"/>
      <c r="SUD206" s="3"/>
      <c r="SUE206" s="3"/>
      <c r="SUF206" s="3"/>
      <c r="SUG206" s="3"/>
      <c r="SUH206" s="3"/>
      <c r="SUI206" s="3"/>
      <c r="SUJ206" s="3"/>
      <c r="SUK206" s="3"/>
      <c r="SUL206" s="3"/>
      <c r="SUM206" s="3"/>
      <c r="SUN206" s="3"/>
      <c r="SUO206" s="3"/>
      <c r="SUP206" s="3"/>
      <c r="SUQ206" s="3"/>
      <c r="SUR206" s="3"/>
      <c r="SUS206" s="3"/>
      <c r="SUT206" s="3"/>
      <c r="SUU206" s="3"/>
      <c r="SUV206" s="3"/>
      <c r="SUW206" s="3"/>
      <c r="SUX206" s="3"/>
      <c r="SUY206" s="3"/>
      <c r="SUZ206" s="3"/>
      <c r="SVA206" s="3"/>
      <c r="SVB206" s="3"/>
      <c r="SVC206" s="3"/>
      <c r="SVD206" s="3"/>
      <c r="SVE206" s="3"/>
      <c r="SVF206" s="3"/>
      <c r="SVG206" s="3"/>
      <c r="SVH206" s="3"/>
      <c r="SVI206" s="3"/>
      <c r="SVJ206" s="3"/>
      <c r="SVK206" s="3"/>
      <c r="SVL206" s="3"/>
      <c r="SVM206" s="3"/>
      <c r="SVN206" s="3"/>
      <c r="SVO206" s="3"/>
      <c r="SVP206" s="3"/>
      <c r="SVQ206" s="3"/>
      <c r="SVR206" s="3"/>
      <c r="SVS206" s="3"/>
      <c r="SVT206" s="3"/>
      <c r="SVU206" s="3"/>
      <c r="SVV206" s="3"/>
      <c r="SVW206" s="3"/>
      <c r="SVX206" s="3"/>
      <c r="SVY206" s="3"/>
      <c r="SVZ206" s="3"/>
      <c r="SWA206" s="3"/>
      <c r="SWB206" s="3"/>
      <c r="SWC206" s="3"/>
      <c r="SWD206" s="3"/>
      <c r="SWE206" s="3"/>
      <c r="SWF206" s="3"/>
      <c r="SWG206" s="3"/>
      <c r="SWH206" s="3"/>
      <c r="SWI206" s="3"/>
      <c r="SWJ206" s="3"/>
      <c r="SWK206" s="3"/>
      <c r="SWL206" s="3"/>
      <c r="SWM206" s="3"/>
      <c r="SWN206" s="3"/>
      <c r="SWO206" s="3"/>
      <c r="SWP206" s="3"/>
      <c r="SWQ206" s="3"/>
      <c r="SWR206" s="3"/>
      <c r="SWS206" s="3"/>
      <c r="SWT206" s="3"/>
      <c r="SWU206" s="3"/>
      <c r="SWV206" s="3"/>
      <c r="SWW206" s="3"/>
      <c r="SWX206" s="3"/>
      <c r="SWY206" s="3"/>
      <c r="SWZ206" s="3"/>
      <c r="SXA206" s="3"/>
      <c r="SXB206" s="3"/>
      <c r="SXC206" s="3"/>
      <c r="SXD206" s="3"/>
      <c r="SXE206" s="3"/>
      <c r="SXF206" s="3"/>
      <c r="SXG206" s="3"/>
      <c r="SXH206" s="3"/>
      <c r="SXI206" s="3"/>
      <c r="SXJ206" s="3"/>
      <c r="SXK206" s="3"/>
      <c r="SXL206" s="3"/>
      <c r="SXM206" s="3"/>
      <c r="SXN206" s="3"/>
      <c r="SXO206" s="3"/>
      <c r="SXP206" s="3"/>
      <c r="SXQ206" s="3"/>
      <c r="SXR206" s="3"/>
      <c r="SXS206" s="3"/>
      <c r="SXT206" s="3"/>
      <c r="SXU206" s="3"/>
      <c r="SXV206" s="3"/>
      <c r="SXW206" s="3"/>
      <c r="SXX206" s="3"/>
      <c r="SXY206" s="3"/>
      <c r="SXZ206" s="3"/>
      <c r="SYA206" s="3"/>
      <c r="SYB206" s="3"/>
      <c r="SYC206" s="3"/>
      <c r="SYD206" s="3"/>
      <c r="SYE206" s="3"/>
      <c r="SYF206" s="3"/>
      <c r="SYG206" s="3"/>
      <c r="SYH206" s="3"/>
      <c r="SYI206" s="3"/>
      <c r="SYJ206" s="3"/>
      <c r="SYK206" s="3"/>
      <c r="SYL206" s="3"/>
      <c r="SYM206" s="3"/>
      <c r="SYN206" s="3"/>
      <c r="SYO206" s="3"/>
      <c r="SYP206" s="3"/>
      <c r="SYQ206" s="3"/>
      <c r="SYR206" s="3"/>
      <c r="SYS206" s="3"/>
      <c r="SYT206" s="3"/>
      <c r="SYU206" s="3"/>
      <c r="SYV206" s="3"/>
      <c r="SYW206" s="3"/>
      <c r="SYX206" s="3"/>
      <c r="SYY206" s="3"/>
      <c r="SYZ206" s="3"/>
      <c r="SZA206" s="3"/>
      <c r="SZB206" s="3"/>
      <c r="SZC206" s="3"/>
      <c r="SZD206" s="3"/>
      <c r="SZE206" s="3"/>
      <c r="SZF206" s="3"/>
      <c r="SZG206" s="3"/>
      <c r="SZH206" s="3"/>
      <c r="SZI206" s="3"/>
      <c r="SZJ206" s="3"/>
      <c r="SZK206" s="3"/>
      <c r="SZL206" s="3"/>
      <c r="SZM206" s="3"/>
      <c r="SZN206" s="3"/>
      <c r="SZO206" s="3"/>
      <c r="SZP206" s="3"/>
      <c r="SZQ206" s="3"/>
      <c r="SZR206" s="3"/>
      <c r="SZS206" s="3"/>
      <c r="SZT206" s="3"/>
      <c r="SZU206" s="3"/>
      <c r="SZV206" s="3"/>
      <c r="SZW206" s="3"/>
      <c r="SZX206" s="3"/>
      <c r="SZY206" s="3"/>
      <c r="SZZ206" s="3"/>
      <c r="TAA206" s="3"/>
      <c r="TAB206" s="3"/>
      <c r="TAC206" s="3"/>
      <c r="TAD206" s="3"/>
      <c r="TAE206" s="3"/>
      <c r="TAF206" s="3"/>
      <c r="TAG206" s="3"/>
      <c r="TAH206" s="3"/>
      <c r="TAI206" s="3"/>
      <c r="TAJ206" s="3"/>
      <c r="TAK206" s="3"/>
      <c r="TAL206" s="3"/>
      <c r="TAM206" s="3"/>
      <c r="TAN206" s="3"/>
      <c r="TAO206" s="3"/>
      <c r="TAP206" s="3"/>
      <c r="TAQ206" s="3"/>
      <c r="TAR206" s="3"/>
      <c r="TAS206" s="3"/>
      <c r="TAT206" s="3"/>
      <c r="TAU206" s="3"/>
      <c r="TAV206" s="3"/>
      <c r="TAW206" s="3"/>
      <c r="TAX206" s="3"/>
      <c r="TAY206" s="3"/>
      <c r="TAZ206" s="3"/>
      <c r="TBA206" s="3"/>
      <c r="TBB206" s="3"/>
      <c r="TBC206" s="3"/>
      <c r="TBD206" s="3"/>
      <c r="TBE206" s="3"/>
      <c r="TBF206" s="3"/>
      <c r="TBG206" s="3"/>
      <c r="TBH206" s="3"/>
      <c r="TBI206" s="3"/>
      <c r="TBJ206" s="3"/>
      <c r="TBK206" s="3"/>
      <c r="TBL206" s="3"/>
      <c r="TBM206" s="3"/>
      <c r="TBN206" s="3"/>
      <c r="TBO206" s="3"/>
      <c r="TBP206" s="3"/>
      <c r="TBQ206" s="3"/>
      <c r="TBR206" s="3"/>
      <c r="TBS206" s="3"/>
      <c r="TBT206" s="3"/>
      <c r="TBU206" s="3"/>
      <c r="TBV206" s="3"/>
      <c r="TBW206" s="3"/>
      <c r="TBX206" s="3"/>
      <c r="TBY206" s="3"/>
      <c r="TBZ206" s="3"/>
      <c r="TCA206" s="3"/>
      <c r="TCB206" s="3"/>
      <c r="TCC206" s="3"/>
      <c r="TCD206" s="3"/>
      <c r="TCE206" s="3"/>
      <c r="TCF206" s="3"/>
      <c r="TCG206" s="3"/>
      <c r="TCH206" s="3"/>
      <c r="TCI206" s="3"/>
      <c r="TCJ206" s="3"/>
      <c r="TCK206" s="3"/>
      <c r="TCL206" s="3"/>
      <c r="TCM206" s="3"/>
      <c r="TCN206" s="3"/>
      <c r="TCO206" s="3"/>
      <c r="TCP206" s="3"/>
      <c r="TCQ206" s="3"/>
      <c r="TCR206" s="3"/>
      <c r="TCS206" s="3"/>
      <c r="TCT206" s="3"/>
      <c r="TCU206" s="3"/>
      <c r="TCV206" s="3"/>
      <c r="TCW206" s="3"/>
      <c r="TCX206" s="3"/>
      <c r="TCY206" s="3"/>
      <c r="TCZ206" s="3"/>
      <c r="TDA206" s="3"/>
      <c r="TDB206" s="3"/>
      <c r="TDC206" s="3"/>
      <c r="TDD206" s="3"/>
      <c r="TDE206" s="3"/>
      <c r="TDF206" s="3"/>
      <c r="TDG206" s="3"/>
      <c r="TDH206" s="3"/>
      <c r="TDI206" s="3"/>
      <c r="TDJ206" s="3"/>
      <c r="TDK206" s="3"/>
      <c r="TDL206" s="3"/>
      <c r="TDM206" s="3"/>
      <c r="TDN206" s="3"/>
      <c r="TDO206" s="3"/>
      <c r="TDP206" s="3"/>
      <c r="TDQ206" s="3"/>
      <c r="TDR206" s="3"/>
      <c r="TDS206" s="3"/>
      <c r="TDT206" s="3"/>
      <c r="TDU206" s="3"/>
      <c r="TDV206" s="3"/>
      <c r="TDW206" s="3"/>
      <c r="TDX206" s="3"/>
      <c r="TDY206" s="3"/>
      <c r="TDZ206" s="3"/>
      <c r="TEA206" s="3"/>
      <c r="TEB206" s="3"/>
      <c r="TEC206" s="3"/>
      <c r="TED206" s="3"/>
      <c r="TEE206" s="3"/>
      <c r="TEF206" s="3"/>
      <c r="TEG206" s="3"/>
      <c r="TEH206" s="3"/>
      <c r="TEI206" s="3"/>
      <c r="TEJ206" s="3"/>
      <c r="TEK206" s="3"/>
      <c r="TEL206" s="3"/>
      <c r="TEM206" s="3"/>
      <c r="TEN206" s="3"/>
      <c r="TEO206" s="3"/>
      <c r="TEP206" s="3"/>
      <c r="TEQ206" s="3"/>
      <c r="TER206" s="3"/>
      <c r="TES206" s="3"/>
      <c r="TET206" s="3"/>
      <c r="TEU206" s="3"/>
      <c r="TEV206" s="3"/>
      <c r="TEW206" s="3"/>
      <c r="TEX206" s="3"/>
      <c r="TEY206" s="3"/>
      <c r="TEZ206" s="3"/>
      <c r="TFA206" s="3"/>
      <c r="TFB206" s="3"/>
      <c r="TFC206" s="3"/>
      <c r="TFD206" s="3"/>
      <c r="TFE206" s="3"/>
      <c r="TFF206" s="3"/>
      <c r="TFG206" s="3"/>
      <c r="TFH206" s="3"/>
      <c r="TFI206" s="3"/>
      <c r="TFJ206" s="3"/>
      <c r="TFK206" s="3"/>
      <c r="TFL206" s="3"/>
      <c r="TFM206" s="3"/>
      <c r="TFN206" s="3"/>
      <c r="TFO206" s="3"/>
      <c r="TFP206" s="3"/>
      <c r="TFQ206" s="3"/>
      <c r="TFR206" s="3"/>
      <c r="TFS206" s="3"/>
      <c r="TFT206" s="3"/>
      <c r="TFU206" s="3"/>
      <c r="TFV206" s="3"/>
      <c r="TFW206" s="3"/>
      <c r="TFX206" s="3"/>
      <c r="TFY206" s="3"/>
      <c r="TFZ206" s="3"/>
      <c r="TGA206" s="3"/>
      <c r="TGB206" s="3"/>
      <c r="TGC206" s="3"/>
      <c r="TGD206" s="3"/>
      <c r="TGE206" s="3"/>
      <c r="TGF206" s="3"/>
      <c r="TGG206" s="3"/>
      <c r="TGH206" s="3"/>
      <c r="TGI206" s="3"/>
      <c r="TGJ206" s="3"/>
      <c r="TGK206" s="3"/>
      <c r="TGL206" s="3"/>
      <c r="TGM206" s="3"/>
      <c r="TGN206" s="3"/>
      <c r="TGO206" s="3"/>
      <c r="TGP206" s="3"/>
      <c r="TGQ206" s="3"/>
      <c r="TGR206" s="3"/>
      <c r="TGS206" s="3"/>
      <c r="TGT206" s="3"/>
      <c r="TGU206" s="3"/>
      <c r="TGV206" s="3"/>
      <c r="TGW206" s="3"/>
      <c r="TGX206" s="3"/>
      <c r="TGY206" s="3"/>
      <c r="TGZ206" s="3"/>
      <c r="THA206" s="3"/>
      <c r="THB206" s="3"/>
      <c r="THC206" s="3"/>
      <c r="THD206" s="3"/>
      <c r="THE206" s="3"/>
      <c r="THF206" s="3"/>
      <c r="THG206" s="3"/>
      <c r="THH206" s="3"/>
      <c r="THI206" s="3"/>
      <c r="THJ206" s="3"/>
      <c r="THK206" s="3"/>
      <c r="THL206" s="3"/>
      <c r="THM206" s="3"/>
      <c r="THN206" s="3"/>
      <c r="THO206" s="3"/>
      <c r="THP206" s="3"/>
      <c r="THQ206" s="3"/>
      <c r="THR206" s="3"/>
      <c r="THS206" s="3"/>
      <c r="THT206" s="3"/>
      <c r="THU206" s="3"/>
      <c r="THV206" s="3"/>
      <c r="THW206" s="3"/>
      <c r="THX206" s="3"/>
      <c r="THY206" s="3"/>
      <c r="THZ206" s="3"/>
      <c r="TIA206" s="3"/>
      <c r="TIB206" s="3"/>
      <c r="TIC206" s="3"/>
      <c r="TID206" s="3"/>
      <c r="TIE206" s="3"/>
      <c r="TIF206" s="3"/>
      <c r="TIG206" s="3"/>
      <c r="TIH206" s="3"/>
      <c r="TII206" s="3"/>
      <c r="TIJ206" s="3"/>
      <c r="TIK206" s="3"/>
      <c r="TIL206" s="3"/>
      <c r="TIM206" s="3"/>
      <c r="TIN206" s="3"/>
      <c r="TIO206" s="3"/>
      <c r="TIP206" s="3"/>
      <c r="TIQ206" s="3"/>
      <c r="TIR206" s="3"/>
      <c r="TIS206" s="3"/>
      <c r="TIT206" s="3"/>
      <c r="TIU206" s="3"/>
      <c r="TIV206" s="3"/>
      <c r="TIW206" s="3"/>
      <c r="TIX206" s="3"/>
      <c r="TIY206" s="3"/>
      <c r="TIZ206" s="3"/>
      <c r="TJA206" s="3"/>
      <c r="TJB206" s="3"/>
      <c r="TJC206" s="3"/>
      <c r="TJD206" s="3"/>
      <c r="TJE206" s="3"/>
      <c r="TJF206" s="3"/>
      <c r="TJG206" s="3"/>
      <c r="TJH206" s="3"/>
      <c r="TJI206" s="3"/>
      <c r="TJJ206" s="3"/>
      <c r="TJK206" s="3"/>
      <c r="TJL206" s="3"/>
      <c r="TJM206" s="3"/>
      <c r="TJN206" s="3"/>
      <c r="TJO206" s="3"/>
      <c r="TJP206" s="3"/>
      <c r="TJQ206" s="3"/>
      <c r="TJR206" s="3"/>
      <c r="TJS206" s="3"/>
      <c r="TJT206" s="3"/>
      <c r="TJU206" s="3"/>
      <c r="TJV206" s="3"/>
      <c r="TJW206" s="3"/>
      <c r="TJX206" s="3"/>
      <c r="TJY206" s="3"/>
      <c r="TJZ206" s="3"/>
      <c r="TKA206" s="3"/>
      <c r="TKB206" s="3"/>
      <c r="TKC206" s="3"/>
      <c r="TKD206" s="3"/>
      <c r="TKE206" s="3"/>
      <c r="TKF206" s="3"/>
      <c r="TKG206" s="3"/>
      <c r="TKH206" s="3"/>
      <c r="TKI206" s="3"/>
      <c r="TKJ206" s="3"/>
      <c r="TKK206" s="3"/>
      <c r="TKL206" s="3"/>
      <c r="TKM206" s="3"/>
      <c r="TKN206" s="3"/>
      <c r="TKO206" s="3"/>
      <c r="TKP206" s="3"/>
      <c r="TKQ206" s="3"/>
      <c r="TKR206" s="3"/>
      <c r="TKS206" s="3"/>
      <c r="TKT206" s="3"/>
      <c r="TKU206" s="3"/>
      <c r="TKV206" s="3"/>
      <c r="TKW206" s="3"/>
      <c r="TKX206" s="3"/>
      <c r="TKY206" s="3"/>
      <c r="TKZ206" s="3"/>
      <c r="TLA206" s="3"/>
      <c r="TLB206" s="3"/>
      <c r="TLC206" s="3"/>
      <c r="TLD206" s="3"/>
      <c r="TLE206" s="3"/>
      <c r="TLF206" s="3"/>
      <c r="TLG206" s="3"/>
      <c r="TLH206" s="3"/>
      <c r="TLI206" s="3"/>
      <c r="TLJ206" s="3"/>
      <c r="TLK206" s="3"/>
      <c r="TLL206" s="3"/>
      <c r="TLM206" s="3"/>
      <c r="TLN206" s="3"/>
      <c r="TLO206" s="3"/>
      <c r="TLP206" s="3"/>
      <c r="TLQ206" s="3"/>
      <c r="TLR206" s="3"/>
      <c r="TLS206" s="3"/>
      <c r="TLT206" s="3"/>
      <c r="TLU206" s="3"/>
      <c r="TLV206" s="3"/>
      <c r="TLW206" s="3"/>
      <c r="TLX206" s="3"/>
      <c r="TLY206" s="3"/>
      <c r="TLZ206" s="3"/>
      <c r="TMA206" s="3"/>
      <c r="TMB206" s="3"/>
      <c r="TMC206" s="3"/>
      <c r="TMD206" s="3"/>
      <c r="TME206" s="3"/>
      <c r="TMF206" s="3"/>
      <c r="TMG206" s="3"/>
      <c r="TMH206" s="3"/>
      <c r="TMI206" s="3"/>
      <c r="TMJ206" s="3"/>
      <c r="TMK206" s="3"/>
      <c r="TML206" s="3"/>
      <c r="TMM206" s="3"/>
      <c r="TMN206" s="3"/>
      <c r="TMO206" s="3"/>
      <c r="TMP206" s="3"/>
      <c r="TMQ206" s="3"/>
      <c r="TMR206" s="3"/>
      <c r="TMS206" s="3"/>
      <c r="TMT206" s="3"/>
      <c r="TMU206" s="3"/>
      <c r="TMV206" s="3"/>
      <c r="TMW206" s="3"/>
      <c r="TMX206" s="3"/>
      <c r="TMY206" s="3"/>
      <c r="TMZ206" s="3"/>
      <c r="TNA206" s="3"/>
      <c r="TNB206" s="3"/>
      <c r="TNC206" s="3"/>
      <c r="TND206" s="3"/>
      <c r="TNE206" s="3"/>
      <c r="TNF206" s="3"/>
      <c r="TNG206" s="3"/>
      <c r="TNH206" s="3"/>
      <c r="TNI206" s="3"/>
      <c r="TNJ206" s="3"/>
      <c r="TNK206" s="3"/>
      <c r="TNL206" s="3"/>
      <c r="TNM206" s="3"/>
      <c r="TNN206" s="3"/>
      <c r="TNO206" s="3"/>
      <c r="TNP206" s="3"/>
      <c r="TNQ206" s="3"/>
      <c r="TNR206" s="3"/>
      <c r="TNS206" s="3"/>
      <c r="TNT206" s="3"/>
      <c r="TNU206" s="3"/>
      <c r="TNV206" s="3"/>
      <c r="TNW206" s="3"/>
      <c r="TNX206" s="3"/>
      <c r="TNY206" s="3"/>
      <c r="TNZ206" s="3"/>
      <c r="TOA206" s="3"/>
      <c r="TOB206" s="3"/>
      <c r="TOC206" s="3"/>
      <c r="TOD206" s="3"/>
      <c r="TOE206" s="3"/>
      <c r="TOF206" s="3"/>
      <c r="TOG206" s="3"/>
      <c r="TOH206" s="3"/>
      <c r="TOI206" s="3"/>
      <c r="TOJ206" s="3"/>
      <c r="TOK206" s="3"/>
      <c r="TOL206" s="3"/>
      <c r="TOM206" s="3"/>
      <c r="TON206" s="3"/>
      <c r="TOO206" s="3"/>
      <c r="TOP206" s="3"/>
      <c r="TOQ206" s="3"/>
      <c r="TOR206" s="3"/>
      <c r="TOS206" s="3"/>
      <c r="TOT206" s="3"/>
      <c r="TOU206" s="3"/>
      <c r="TOV206" s="3"/>
      <c r="TOW206" s="3"/>
      <c r="TOX206" s="3"/>
      <c r="TOY206" s="3"/>
      <c r="TOZ206" s="3"/>
      <c r="TPA206" s="3"/>
      <c r="TPB206" s="3"/>
      <c r="TPC206" s="3"/>
      <c r="TPD206" s="3"/>
      <c r="TPE206" s="3"/>
      <c r="TPF206" s="3"/>
      <c r="TPG206" s="3"/>
      <c r="TPH206" s="3"/>
      <c r="TPI206" s="3"/>
      <c r="TPJ206" s="3"/>
      <c r="TPK206" s="3"/>
      <c r="TPL206" s="3"/>
      <c r="TPM206" s="3"/>
      <c r="TPN206" s="3"/>
      <c r="TPO206" s="3"/>
      <c r="TPP206" s="3"/>
      <c r="TPQ206" s="3"/>
      <c r="TPR206" s="3"/>
      <c r="TPS206" s="3"/>
      <c r="TPT206" s="3"/>
      <c r="TPU206" s="3"/>
      <c r="TPV206" s="3"/>
      <c r="TPW206" s="3"/>
      <c r="TPX206" s="3"/>
      <c r="TPY206" s="3"/>
      <c r="TPZ206" s="3"/>
      <c r="TQA206" s="3"/>
      <c r="TQB206" s="3"/>
      <c r="TQC206" s="3"/>
      <c r="TQD206" s="3"/>
      <c r="TQE206" s="3"/>
      <c r="TQF206" s="3"/>
      <c r="TQG206" s="3"/>
      <c r="TQH206" s="3"/>
      <c r="TQI206" s="3"/>
      <c r="TQJ206" s="3"/>
      <c r="TQK206" s="3"/>
      <c r="TQL206" s="3"/>
      <c r="TQM206" s="3"/>
      <c r="TQN206" s="3"/>
      <c r="TQO206" s="3"/>
      <c r="TQP206" s="3"/>
      <c r="TQQ206" s="3"/>
      <c r="TQR206" s="3"/>
      <c r="TQS206" s="3"/>
      <c r="TQT206" s="3"/>
      <c r="TQU206" s="3"/>
      <c r="TQV206" s="3"/>
      <c r="TQW206" s="3"/>
      <c r="TQX206" s="3"/>
      <c r="TQY206" s="3"/>
      <c r="TQZ206" s="3"/>
      <c r="TRA206" s="3"/>
      <c r="TRB206" s="3"/>
      <c r="TRC206" s="3"/>
      <c r="TRD206" s="3"/>
      <c r="TRE206" s="3"/>
      <c r="TRF206" s="3"/>
      <c r="TRG206" s="3"/>
      <c r="TRH206" s="3"/>
      <c r="TRI206" s="3"/>
      <c r="TRJ206" s="3"/>
      <c r="TRK206" s="3"/>
      <c r="TRL206" s="3"/>
      <c r="TRM206" s="3"/>
      <c r="TRN206" s="3"/>
      <c r="TRO206" s="3"/>
      <c r="TRP206" s="3"/>
      <c r="TRQ206" s="3"/>
      <c r="TRR206" s="3"/>
      <c r="TRS206" s="3"/>
      <c r="TRT206" s="3"/>
      <c r="TRU206" s="3"/>
      <c r="TRV206" s="3"/>
      <c r="TRW206" s="3"/>
      <c r="TRX206" s="3"/>
      <c r="TRY206" s="3"/>
      <c r="TRZ206" s="3"/>
      <c r="TSA206" s="3"/>
      <c r="TSB206" s="3"/>
      <c r="TSC206" s="3"/>
      <c r="TSD206" s="3"/>
      <c r="TSE206" s="3"/>
      <c r="TSF206" s="3"/>
      <c r="TSG206" s="3"/>
      <c r="TSH206" s="3"/>
      <c r="TSI206" s="3"/>
      <c r="TSJ206" s="3"/>
      <c r="TSK206" s="3"/>
      <c r="TSL206" s="3"/>
      <c r="TSM206" s="3"/>
      <c r="TSN206" s="3"/>
      <c r="TSO206" s="3"/>
      <c r="TSP206" s="3"/>
      <c r="TSQ206" s="3"/>
      <c r="TSR206" s="3"/>
      <c r="TSS206" s="3"/>
      <c r="TST206" s="3"/>
      <c r="TSU206" s="3"/>
      <c r="TSV206" s="3"/>
      <c r="TSW206" s="3"/>
      <c r="TSX206" s="3"/>
      <c r="TSY206" s="3"/>
      <c r="TSZ206" s="3"/>
      <c r="TTA206" s="3"/>
      <c r="TTB206" s="3"/>
      <c r="TTC206" s="3"/>
      <c r="TTD206" s="3"/>
      <c r="TTE206" s="3"/>
      <c r="TTF206" s="3"/>
      <c r="TTG206" s="3"/>
      <c r="TTH206" s="3"/>
      <c r="TTI206" s="3"/>
      <c r="TTJ206" s="3"/>
      <c r="TTK206" s="3"/>
      <c r="TTL206" s="3"/>
      <c r="TTM206" s="3"/>
      <c r="TTN206" s="3"/>
      <c r="TTO206" s="3"/>
      <c r="TTP206" s="3"/>
      <c r="TTQ206" s="3"/>
      <c r="TTR206" s="3"/>
      <c r="TTS206" s="3"/>
      <c r="TTT206" s="3"/>
      <c r="TTU206" s="3"/>
      <c r="TTV206" s="3"/>
      <c r="TTW206" s="3"/>
      <c r="TTX206" s="3"/>
      <c r="TTY206" s="3"/>
      <c r="TTZ206" s="3"/>
      <c r="TUA206" s="3"/>
      <c r="TUB206" s="3"/>
      <c r="TUC206" s="3"/>
      <c r="TUD206" s="3"/>
      <c r="TUE206" s="3"/>
      <c r="TUF206" s="3"/>
      <c r="TUG206" s="3"/>
      <c r="TUH206" s="3"/>
      <c r="TUI206" s="3"/>
      <c r="TUJ206" s="3"/>
      <c r="TUK206" s="3"/>
      <c r="TUL206" s="3"/>
      <c r="TUM206" s="3"/>
      <c r="TUN206" s="3"/>
      <c r="TUO206" s="3"/>
      <c r="TUP206" s="3"/>
      <c r="TUQ206" s="3"/>
      <c r="TUR206" s="3"/>
      <c r="TUS206" s="3"/>
      <c r="TUT206" s="3"/>
      <c r="TUU206" s="3"/>
      <c r="TUV206" s="3"/>
      <c r="TUW206" s="3"/>
      <c r="TUX206" s="3"/>
      <c r="TUY206" s="3"/>
      <c r="TUZ206" s="3"/>
      <c r="TVA206" s="3"/>
      <c r="TVB206" s="3"/>
      <c r="TVC206" s="3"/>
      <c r="TVD206" s="3"/>
      <c r="TVE206" s="3"/>
      <c r="TVF206" s="3"/>
      <c r="TVG206" s="3"/>
      <c r="TVH206" s="3"/>
      <c r="TVI206" s="3"/>
      <c r="TVJ206" s="3"/>
      <c r="TVK206" s="3"/>
      <c r="TVL206" s="3"/>
      <c r="TVM206" s="3"/>
      <c r="TVN206" s="3"/>
      <c r="TVO206" s="3"/>
      <c r="TVP206" s="3"/>
      <c r="TVQ206" s="3"/>
      <c r="TVR206" s="3"/>
      <c r="TVS206" s="3"/>
      <c r="TVT206" s="3"/>
      <c r="TVU206" s="3"/>
      <c r="TVV206" s="3"/>
      <c r="TVW206" s="3"/>
      <c r="TVX206" s="3"/>
      <c r="TVY206" s="3"/>
      <c r="TVZ206" s="3"/>
      <c r="TWA206" s="3"/>
      <c r="TWB206" s="3"/>
      <c r="TWC206" s="3"/>
      <c r="TWD206" s="3"/>
      <c r="TWE206" s="3"/>
      <c r="TWF206" s="3"/>
      <c r="TWG206" s="3"/>
      <c r="TWH206" s="3"/>
      <c r="TWI206" s="3"/>
      <c r="TWJ206" s="3"/>
      <c r="TWK206" s="3"/>
      <c r="TWL206" s="3"/>
      <c r="TWM206" s="3"/>
      <c r="TWN206" s="3"/>
      <c r="TWO206" s="3"/>
      <c r="TWP206" s="3"/>
      <c r="TWQ206" s="3"/>
      <c r="TWR206" s="3"/>
      <c r="TWS206" s="3"/>
      <c r="TWT206" s="3"/>
      <c r="TWU206" s="3"/>
      <c r="TWV206" s="3"/>
      <c r="TWW206" s="3"/>
      <c r="TWX206" s="3"/>
      <c r="TWY206" s="3"/>
      <c r="TWZ206" s="3"/>
      <c r="TXA206" s="3"/>
      <c r="TXB206" s="3"/>
      <c r="TXC206" s="3"/>
      <c r="TXD206" s="3"/>
      <c r="TXE206" s="3"/>
      <c r="TXF206" s="3"/>
      <c r="TXG206" s="3"/>
      <c r="TXH206" s="3"/>
      <c r="TXI206" s="3"/>
      <c r="TXJ206" s="3"/>
      <c r="TXK206" s="3"/>
      <c r="TXL206" s="3"/>
      <c r="TXM206" s="3"/>
      <c r="TXN206" s="3"/>
      <c r="TXO206" s="3"/>
      <c r="TXP206" s="3"/>
      <c r="TXQ206" s="3"/>
      <c r="TXR206" s="3"/>
      <c r="TXS206" s="3"/>
      <c r="TXT206" s="3"/>
      <c r="TXU206" s="3"/>
      <c r="TXV206" s="3"/>
      <c r="TXW206" s="3"/>
      <c r="TXX206" s="3"/>
      <c r="TXY206" s="3"/>
      <c r="TXZ206" s="3"/>
      <c r="TYA206" s="3"/>
      <c r="TYB206" s="3"/>
      <c r="TYC206" s="3"/>
      <c r="TYD206" s="3"/>
      <c r="TYE206" s="3"/>
      <c r="TYF206" s="3"/>
      <c r="TYG206" s="3"/>
      <c r="TYH206" s="3"/>
      <c r="TYI206" s="3"/>
      <c r="TYJ206" s="3"/>
      <c r="TYK206" s="3"/>
      <c r="TYL206" s="3"/>
      <c r="TYM206" s="3"/>
      <c r="TYN206" s="3"/>
      <c r="TYO206" s="3"/>
      <c r="TYP206" s="3"/>
      <c r="TYQ206" s="3"/>
      <c r="TYR206" s="3"/>
      <c r="TYS206" s="3"/>
      <c r="TYT206" s="3"/>
      <c r="TYU206" s="3"/>
      <c r="TYV206" s="3"/>
      <c r="TYW206" s="3"/>
      <c r="TYX206" s="3"/>
      <c r="TYY206" s="3"/>
      <c r="TYZ206" s="3"/>
      <c r="TZA206" s="3"/>
      <c r="TZB206" s="3"/>
      <c r="TZC206" s="3"/>
      <c r="TZD206" s="3"/>
      <c r="TZE206" s="3"/>
      <c r="TZF206" s="3"/>
      <c r="TZG206" s="3"/>
      <c r="TZH206" s="3"/>
      <c r="TZI206" s="3"/>
      <c r="TZJ206" s="3"/>
      <c r="TZK206" s="3"/>
      <c r="TZL206" s="3"/>
      <c r="TZM206" s="3"/>
      <c r="TZN206" s="3"/>
      <c r="TZO206" s="3"/>
      <c r="TZP206" s="3"/>
      <c r="TZQ206" s="3"/>
      <c r="TZR206" s="3"/>
      <c r="TZS206" s="3"/>
      <c r="TZT206" s="3"/>
      <c r="TZU206" s="3"/>
      <c r="TZV206" s="3"/>
      <c r="TZW206" s="3"/>
      <c r="TZX206" s="3"/>
      <c r="TZY206" s="3"/>
      <c r="TZZ206" s="3"/>
      <c r="UAA206" s="3"/>
      <c r="UAB206" s="3"/>
      <c r="UAC206" s="3"/>
      <c r="UAD206" s="3"/>
      <c r="UAE206" s="3"/>
      <c r="UAF206" s="3"/>
      <c r="UAG206" s="3"/>
      <c r="UAH206" s="3"/>
      <c r="UAI206" s="3"/>
      <c r="UAJ206" s="3"/>
      <c r="UAK206" s="3"/>
      <c r="UAL206" s="3"/>
      <c r="UAM206" s="3"/>
      <c r="UAN206" s="3"/>
      <c r="UAO206" s="3"/>
      <c r="UAP206" s="3"/>
      <c r="UAQ206" s="3"/>
      <c r="UAR206" s="3"/>
      <c r="UAS206" s="3"/>
      <c r="UAT206" s="3"/>
      <c r="UAU206" s="3"/>
      <c r="UAV206" s="3"/>
      <c r="UAW206" s="3"/>
      <c r="UAX206" s="3"/>
      <c r="UAY206" s="3"/>
      <c r="UAZ206" s="3"/>
      <c r="UBA206" s="3"/>
      <c r="UBB206" s="3"/>
      <c r="UBC206" s="3"/>
      <c r="UBD206" s="3"/>
      <c r="UBE206" s="3"/>
      <c r="UBF206" s="3"/>
      <c r="UBG206" s="3"/>
      <c r="UBH206" s="3"/>
      <c r="UBI206" s="3"/>
      <c r="UBJ206" s="3"/>
      <c r="UBK206" s="3"/>
      <c r="UBL206" s="3"/>
      <c r="UBM206" s="3"/>
      <c r="UBN206" s="3"/>
      <c r="UBO206" s="3"/>
      <c r="UBP206" s="3"/>
      <c r="UBQ206" s="3"/>
      <c r="UBR206" s="3"/>
      <c r="UBS206" s="3"/>
      <c r="UBT206" s="3"/>
      <c r="UBU206" s="3"/>
      <c r="UBV206" s="3"/>
      <c r="UBW206" s="3"/>
      <c r="UBX206" s="3"/>
      <c r="UBY206" s="3"/>
      <c r="UBZ206" s="3"/>
      <c r="UCA206" s="3"/>
      <c r="UCB206" s="3"/>
      <c r="UCC206" s="3"/>
      <c r="UCD206" s="3"/>
      <c r="UCE206" s="3"/>
      <c r="UCF206" s="3"/>
      <c r="UCG206" s="3"/>
      <c r="UCH206" s="3"/>
      <c r="UCI206" s="3"/>
      <c r="UCJ206" s="3"/>
      <c r="UCK206" s="3"/>
      <c r="UCL206" s="3"/>
      <c r="UCM206" s="3"/>
      <c r="UCN206" s="3"/>
      <c r="UCO206" s="3"/>
      <c r="UCP206" s="3"/>
      <c r="UCQ206" s="3"/>
      <c r="UCR206" s="3"/>
      <c r="UCS206" s="3"/>
      <c r="UCT206" s="3"/>
      <c r="UCU206" s="3"/>
      <c r="UCV206" s="3"/>
      <c r="UCW206" s="3"/>
      <c r="UCX206" s="3"/>
      <c r="UCY206" s="3"/>
      <c r="UCZ206" s="3"/>
      <c r="UDA206" s="3"/>
      <c r="UDB206" s="3"/>
      <c r="UDC206" s="3"/>
      <c r="UDD206" s="3"/>
      <c r="UDE206" s="3"/>
      <c r="UDF206" s="3"/>
      <c r="UDG206" s="3"/>
      <c r="UDH206" s="3"/>
      <c r="UDI206" s="3"/>
      <c r="UDJ206" s="3"/>
      <c r="UDK206" s="3"/>
      <c r="UDL206" s="3"/>
      <c r="UDM206" s="3"/>
      <c r="UDN206" s="3"/>
      <c r="UDO206" s="3"/>
      <c r="UDP206" s="3"/>
      <c r="UDQ206" s="3"/>
      <c r="UDR206" s="3"/>
      <c r="UDS206" s="3"/>
      <c r="UDT206" s="3"/>
      <c r="UDU206" s="3"/>
      <c r="UDV206" s="3"/>
      <c r="UDW206" s="3"/>
      <c r="UDX206" s="3"/>
      <c r="UDY206" s="3"/>
      <c r="UDZ206" s="3"/>
      <c r="UEA206" s="3"/>
      <c r="UEB206" s="3"/>
      <c r="UEC206" s="3"/>
      <c r="UED206" s="3"/>
      <c r="UEE206" s="3"/>
      <c r="UEF206" s="3"/>
      <c r="UEG206" s="3"/>
      <c r="UEH206" s="3"/>
      <c r="UEI206" s="3"/>
      <c r="UEJ206" s="3"/>
      <c r="UEK206" s="3"/>
      <c r="UEL206" s="3"/>
      <c r="UEM206" s="3"/>
      <c r="UEN206" s="3"/>
      <c r="UEO206" s="3"/>
      <c r="UEP206" s="3"/>
      <c r="UEQ206" s="3"/>
      <c r="UER206" s="3"/>
      <c r="UES206" s="3"/>
      <c r="UET206" s="3"/>
      <c r="UEU206" s="3"/>
      <c r="UEV206" s="3"/>
      <c r="UEW206" s="3"/>
      <c r="UEX206" s="3"/>
      <c r="UEY206" s="3"/>
      <c r="UEZ206" s="3"/>
      <c r="UFA206" s="3"/>
      <c r="UFB206" s="3"/>
      <c r="UFC206" s="3"/>
      <c r="UFD206" s="3"/>
      <c r="UFE206" s="3"/>
      <c r="UFF206" s="3"/>
      <c r="UFG206" s="3"/>
      <c r="UFH206" s="3"/>
      <c r="UFI206" s="3"/>
      <c r="UFJ206" s="3"/>
      <c r="UFK206" s="3"/>
      <c r="UFL206" s="3"/>
      <c r="UFM206" s="3"/>
      <c r="UFN206" s="3"/>
      <c r="UFO206" s="3"/>
      <c r="UFP206" s="3"/>
      <c r="UFQ206" s="3"/>
      <c r="UFR206" s="3"/>
      <c r="UFS206" s="3"/>
      <c r="UFT206" s="3"/>
      <c r="UFU206" s="3"/>
      <c r="UFV206" s="3"/>
      <c r="UFW206" s="3"/>
      <c r="UFX206" s="3"/>
      <c r="UFY206" s="3"/>
      <c r="UFZ206" s="3"/>
      <c r="UGA206" s="3"/>
      <c r="UGB206" s="3"/>
      <c r="UGC206" s="3"/>
      <c r="UGD206" s="3"/>
      <c r="UGE206" s="3"/>
      <c r="UGF206" s="3"/>
      <c r="UGG206" s="3"/>
      <c r="UGH206" s="3"/>
      <c r="UGI206" s="3"/>
      <c r="UGJ206" s="3"/>
      <c r="UGK206" s="3"/>
      <c r="UGL206" s="3"/>
      <c r="UGM206" s="3"/>
      <c r="UGN206" s="3"/>
      <c r="UGO206" s="3"/>
      <c r="UGP206" s="3"/>
      <c r="UGQ206" s="3"/>
      <c r="UGR206" s="3"/>
      <c r="UGS206" s="3"/>
      <c r="UGT206" s="3"/>
      <c r="UGU206" s="3"/>
      <c r="UGV206" s="3"/>
      <c r="UGW206" s="3"/>
      <c r="UGX206" s="3"/>
      <c r="UGY206" s="3"/>
      <c r="UGZ206" s="3"/>
      <c r="UHA206" s="3"/>
      <c r="UHB206" s="3"/>
      <c r="UHC206" s="3"/>
      <c r="UHD206" s="3"/>
      <c r="UHE206" s="3"/>
      <c r="UHF206" s="3"/>
      <c r="UHG206" s="3"/>
      <c r="UHH206" s="3"/>
      <c r="UHI206" s="3"/>
      <c r="UHJ206" s="3"/>
      <c r="UHK206" s="3"/>
      <c r="UHL206" s="3"/>
      <c r="UHM206" s="3"/>
      <c r="UHN206" s="3"/>
      <c r="UHO206" s="3"/>
      <c r="UHP206" s="3"/>
      <c r="UHQ206" s="3"/>
      <c r="UHR206" s="3"/>
      <c r="UHS206" s="3"/>
      <c r="UHT206" s="3"/>
      <c r="UHU206" s="3"/>
      <c r="UHV206" s="3"/>
      <c r="UHW206" s="3"/>
      <c r="UHX206" s="3"/>
      <c r="UHY206" s="3"/>
      <c r="UHZ206" s="3"/>
      <c r="UIA206" s="3"/>
      <c r="UIB206" s="3"/>
      <c r="UIC206" s="3"/>
      <c r="UID206" s="3"/>
      <c r="UIE206" s="3"/>
      <c r="UIF206" s="3"/>
      <c r="UIG206" s="3"/>
      <c r="UIH206" s="3"/>
      <c r="UII206" s="3"/>
      <c r="UIJ206" s="3"/>
      <c r="UIK206" s="3"/>
      <c r="UIL206" s="3"/>
      <c r="UIM206" s="3"/>
      <c r="UIN206" s="3"/>
      <c r="UIO206" s="3"/>
      <c r="UIP206" s="3"/>
      <c r="UIQ206" s="3"/>
      <c r="UIR206" s="3"/>
      <c r="UIS206" s="3"/>
      <c r="UIT206" s="3"/>
      <c r="UIU206" s="3"/>
      <c r="UIV206" s="3"/>
      <c r="UIW206" s="3"/>
      <c r="UIX206" s="3"/>
      <c r="UIY206" s="3"/>
      <c r="UIZ206" s="3"/>
      <c r="UJA206" s="3"/>
      <c r="UJB206" s="3"/>
      <c r="UJC206" s="3"/>
      <c r="UJD206" s="3"/>
      <c r="UJE206" s="3"/>
      <c r="UJF206" s="3"/>
      <c r="UJG206" s="3"/>
      <c r="UJH206" s="3"/>
      <c r="UJI206" s="3"/>
      <c r="UJJ206" s="3"/>
      <c r="UJK206" s="3"/>
      <c r="UJL206" s="3"/>
      <c r="UJM206" s="3"/>
      <c r="UJN206" s="3"/>
      <c r="UJO206" s="3"/>
      <c r="UJP206" s="3"/>
      <c r="UJQ206" s="3"/>
      <c r="UJR206" s="3"/>
      <c r="UJS206" s="3"/>
      <c r="UJT206" s="3"/>
      <c r="UJU206" s="3"/>
      <c r="UJV206" s="3"/>
      <c r="UJW206" s="3"/>
      <c r="UJX206" s="3"/>
      <c r="UJY206" s="3"/>
      <c r="UJZ206" s="3"/>
      <c r="UKA206" s="3"/>
      <c r="UKB206" s="3"/>
      <c r="UKC206" s="3"/>
      <c r="UKD206" s="3"/>
      <c r="UKE206" s="3"/>
      <c r="UKF206" s="3"/>
      <c r="UKG206" s="3"/>
      <c r="UKH206" s="3"/>
      <c r="UKI206" s="3"/>
      <c r="UKJ206" s="3"/>
      <c r="UKK206" s="3"/>
      <c r="UKL206" s="3"/>
      <c r="UKM206" s="3"/>
      <c r="UKN206" s="3"/>
      <c r="UKO206" s="3"/>
      <c r="UKP206" s="3"/>
      <c r="UKQ206" s="3"/>
      <c r="UKR206" s="3"/>
      <c r="UKS206" s="3"/>
      <c r="UKT206" s="3"/>
      <c r="UKU206" s="3"/>
      <c r="UKV206" s="3"/>
      <c r="UKW206" s="3"/>
      <c r="UKX206" s="3"/>
      <c r="UKY206" s="3"/>
      <c r="UKZ206" s="3"/>
      <c r="ULA206" s="3"/>
      <c r="ULB206" s="3"/>
      <c r="ULC206" s="3"/>
      <c r="ULD206" s="3"/>
      <c r="ULE206" s="3"/>
      <c r="ULF206" s="3"/>
      <c r="ULG206" s="3"/>
      <c r="ULH206" s="3"/>
      <c r="ULI206" s="3"/>
      <c r="ULJ206" s="3"/>
      <c r="ULK206" s="3"/>
      <c r="ULL206" s="3"/>
      <c r="ULM206" s="3"/>
      <c r="ULN206" s="3"/>
      <c r="ULO206" s="3"/>
      <c r="ULP206" s="3"/>
      <c r="ULQ206" s="3"/>
      <c r="ULR206" s="3"/>
      <c r="ULS206" s="3"/>
      <c r="ULT206" s="3"/>
      <c r="ULU206" s="3"/>
      <c r="ULV206" s="3"/>
      <c r="ULW206" s="3"/>
      <c r="ULX206" s="3"/>
      <c r="ULY206" s="3"/>
      <c r="ULZ206" s="3"/>
      <c r="UMA206" s="3"/>
      <c r="UMB206" s="3"/>
      <c r="UMC206" s="3"/>
      <c r="UMD206" s="3"/>
      <c r="UME206" s="3"/>
      <c r="UMF206" s="3"/>
      <c r="UMG206" s="3"/>
      <c r="UMH206" s="3"/>
      <c r="UMI206" s="3"/>
      <c r="UMJ206" s="3"/>
      <c r="UMK206" s="3"/>
      <c r="UML206" s="3"/>
      <c r="UMM206" s="3"/>
      <c r="UMN206" s="3"/>
      <c r="UMO206" s="3"/>
      <c r="UMP206" s="3"/>
      <c r="UMQ206" s="3"/>
      <c r="UMR206" s="3"/>
      <c r="UMS206" s="3"/>
      <c r="UMT206" s="3"/>
      <c r="UMU206" s="3"/>
      <c r="UMV206" s="3"/>
      <c r="UMW206" s="3"/>
      <c r="UMX206" s="3"/>
      <c r="UMY206" s="3"/>
      <c r="UMZ206" s="3"/>
      <c r="UNA206" s="3"/>
      <c r="UNB206" s="3"/>
      <c r="UNC206" s="3"/>
      <c r="UND206" s="3"/>
      <c r="UNE206" s="3"/>
      <c r="UNF206" s="3"/>
      <c r="UNG206" s="3"/>
      <c r="UNH206" s="3"/>
      <c r="UNI206" s="3"/>
      <c r="UNJ206" s="3"/>
      <c r="UNK206" s="3"/>
      <c r="UNL206" s="3"/>
      <c r="UNM206" s="3"/>
      <c r="UNN206" s="3"/>
      <c r="UNO206" s="3"/>
      <c r="UNP206" s="3"/>
      <c r="UNQ206" s="3"/>
      <c r="UNR206" s="3"/>
      <c r="UNS206" s="3"/>
      <c r="UNT206" s="3"/>
      <c r="UNU206" s="3"/>
      <c r="UNV206" s="3"/>
      <c r="UNW206" s="3"/>
      <c r="UNX206" s="3"/>
      <c r="UNY206" s="3"/>
      <c r="UNZ206" s="3"/>
      <c r="UOA206" s="3"/>
      <c r="UOB206" s="3"/>
      <c r="UOC206" s="3"/>
      <c r="UOD206" s="3"/>
      <c r="UOE206" s="3"/>
      <c r="UOF206" s="3"/>
      <c r="UOG206" s="3"/>
      <c r="UOH206" s="3"/>
      <c r="UOI206" s="3"/>
      <c r="UOJ206" s="3"/>
      <c r="UOK206" s="3"/>
      <c r="UOL206" s="3"/>
      <c r="UOM206" s="3"/>
      <c r="UON206" s="3"/>
      <c r="UOO206" s="3"/>
      <c r="UOP206" s="3"/>
      <c r="UOQ206" s="3"/>
      <c r="UOR206" s="3"/>
      <c r="UOS206" s="3"/>
      <c r="UOT206" s="3"/>
      <c r="UOU206" s="3"/>
      <c r="UOV206" s="3"/>
      <c r="UOW206" s="3"/>
      <c r="UOX206" s="3"/>
      <c r="UOY206" s="3"/>
      <c r="UOZ206" s="3"/>
      <c r="UPA206" s="3"/>
      <c r="UPB206" s="3"/>
      <c r="UPC206" s="3"/>
      <c r="UPD206" s="3"/>
      <c r="UPE206" s="3"/>
      <c r="UPF206" s="3"/>
      <c r="UPG206" s="3"/>
      <c r="UPH206" s="3"/>
      <c r="UPI206" s="3"/>
      <c r="UPJ206" s="3"/>
      <c r="UPK206" s="3"/>
      <c r="UPL206" s="3"/>
      <c r="UPM206" s="3"/>
      <c r="UPN206" s="3"/>
      <c r="UPO206" s="3"/>
      <c r="UPP206" s="3"/>
      <c r="UPQ206" s="3"/>
      <c r="UPR206" s="3"/>
      <c r="UPS206" s="3"/>
      <c r="UPT206" s="3"/>
      <c r="UPU206" s="3"/>
      <c r="UPV206" s="3"/>
      <c r="UPW206" s="3"/>
      <c r="UPX206" s="3"/>
      <c r="UPY206" s="3"/>
      <c r="UPZ206" s="3"/>
      <c r="UQA206" s="3"/>
      <c r="UQB206" s="3"/>
      <c r="UQC206" s="3"/>
      <c r="UQD206" s="3"/>
      <c r="UQE206" s="3"/>
      <c r="UQF206" s="3"/>
      <c r="UQG206" s="3"/>
      <c r="UQH206" s="3"/>
      <c r="UQI206" s="3"/>
      <c r="UQJ206" s="3"/>
      <c r="UQK206" s="3"/>
      <c r="UQL206" s="3"/>
      <c r="UQM206" s="3"/>
      <c r="UQN206" s="3"/>
      <c r="UQO206" s="3"/>
      <c r="UQP206" s="3"/>
      <c r="UQQ206" s="3"/>
      <c r="UQR206" s="3"/>
      <c r="UQS206" s="3"/>
      <c r="UQT206" s="3"/>
      <c r="UQU206" s="3"/>
      <c r="UQV206" s="3"/>
      <c r="UQW206" s="3"/>
      <c r="UQX206" s="3"/>
      <c r="UQY206" s="3"/>
      <c r="UQZ206" s="3"/>
      <c r="URA206" s="3"/>
      <c r="URB206" s="3"/>
      <c r="URC206" s="3"/>
      <c r="URD206" s="3"/>
      <c r="URE206" s="3"/>
      <c r="URF206" s="3"/>
      <c r="URG206" s="3"/>
      <c r="URH206" s="3"/>
      <c r="URI206" s="3"/>
      <c r="URJ206" s="3"/>
      <c r="URK206" s="3"/>
      <c r="URL206" s="3"/>
      <c r="URM206" s="3"/>
      <c r="URN206" s="3"/>
      <c r="URO206" s="3"/>
      <c r="URP206" s="3"/>
      <c r="URQ206" s="3"/>
      <c r="URR206" s="3"/>
      <c r="URS206" s="3"/>
      <c r="URT206" s="3"/>
      <c r="URU206" s="3"/>
      <c r="URV206" s="3"/>
      <c r="URW206" s="3"/>
      <c r="URX206" s="3"/>
      <c r="URY206" s="3"/>
      <c r="URZ206" s="3"/>
      <c r="USA206" s="3"/>
      <c r="USB206" s="3"/>
      <c r="USC206" s="3"/>
      <c r="USD206" s="3"/>
      <c r="USE206" s="3"/>
      <c r="USF206" s="3"/>
      <c r="USG206" s="3"/>
      <c r="USH206" s="3"/>
      <c r="USI206" s="3"/>
      <c r="USJ206" s="3"/>
      <c r="USK206" s="3"/>
      <c r="USL206" s="3"/>
      <c r="USM206" s="3"/>
      <c r="USN206" s="3"/>
      <c r="USO206" s="3"/>
      <c r="USP206" s="3"/>
      <c r="USQ206" s="3"/>
      <c r="USR206" s="3"/>
      <c r="USS206" s="3"/>
      <c r="UST206" s="3"/>
      <c r="USU206" s="3"/>
      <c r="USV206" s="3"/>
      <c r="USW206" s="3"/>
      <c r="USX206" s="3"/>
      <c r="USY206" s="3"/>
      <c r="USZ206" s="3"/>
      <c r="UTA206" s="3"/>
      <c r="UTB206" s="3"/>
      <c r="UTC206" s="3"/>
      <c r="UTD206" s="3"/>
      <c r="UTE206" s="3"/>
      <c r="UTF206" s="3"/>
      <c r="UTG206" s="3"/>
      <c r="UTH206" s="3"/>
      <c r="UTI206" s="3"/>
      <c r="UTJ206" s="3"/>
      <c r="UTK206" s="3"/>
      <c r="UTL206" s="3"/>
      <c r="UTM206" s="3"/>
      <c r="UTN206" s="3"/>
      <c r="UTO206" s="3"/>
      <c r="UTP206" s="3"/>
      <c r="UTQ206" s="3"/>
      <c r="UTR206" s="3"/>
      <c r="UTS206" s="3"/>
      <c r="UTT206" s="3"/>
      <c r="UTU206" s="3"/>
      <c r="UTV206" s="3"/>
      <c r="UTW206" s="3"/>
      <c r="UTX206" s="3"/>
      <c r="UTY206" s="3"/>
      <c r="UTZ206" s="3"/>
      <c r="UUA206" s="3"/>
      <c r="UUB206" s="3"/>
      <c r="UUC206" s="3"/>
      <c r="UUD206" s="3"/>
      <c r="UUE206" s="3"/>
      <c r="UUF206" s="3"/>
      <c r="UUG206" s="3"/>
      <c r="UUH206" s="3"/>
      <c r="UUI206" s="3"/>
      <c r="UUJ206" s="3"/>
      <c r="UUK206" s="3"/>
      <c r="UUL206" s="3"/>
      <c r="UUM206" s="3"/>
      <c r="UUN206" s="3"/>
      <c r="UUO206" s="3"/>
      <c r="UUP206" s="3"/>
      <c r="UUQ206" s="3"/>
      <c r="UUR206" s="3"/>
      <c r="UUS206" s="3"/>
      <c r="UUT206" s="3"/>
      <c r="UUU206" s="3"/>
      <c r="UUV206" s="3"/>
      <c r="UUW206" s="3"/>
      <c r="UUX206" s="3"/>
      <c r="UUY206" s="3"/>
      <c r="UUZ206" s="3"/>
      <c r="UVA206" s="3"/>
      <c r="UVB206" s="3"/>
      <c r="UVC206" s="3"/>
      <c r="UVD206" s="3"/>
      <c r="UVE206" s="3"/>
      <c r="UVF206" s="3"/>
      <c r="UVG206" s="3"/>
      <c r="UVH206" s="3"/>
      <c r="UVI206" s="3"/>
      <c r="UVJ206" s="3"/>
      <c r="UVK206" s="3"/>
      <c r="UVL206" s="3"/>
      <c r="UVM206" s="3"/>
      <c r="UVN206" s="3"/>
      <c r="UVO206" s="3"/>
      <c r="UVP206" s="3"/>
      <c r="UVQ206" s="3"/>
      <c r="UVR206" s="3"/>
      <c r="UVS206" s="3"/>
      <c r="UVT206" s="3"/>
      <c r="UVU206" s="3"/>
      <c r="UVV206" s="3"/>
      <c r="UVW206" s="3"/>
      <c r="UVX206" s="3"/>
      <c r="UVY206" s="3"/>
      <c r="UVZ206" s="3"/>
      <c r="UWA206" s="3"/>
      <c r="UWB206" s="3"/>
      <c r="UWC206" s="3"/>
      <c r="UWD206" s="3"/>
      <c r="UWE206" s="3"/>
      <c r="UWF206" s="3"/>
      <c r="UWG206" s="3"/>
      <c r="UWH206" s="3"/>
      <c r="UWI206" s="3"/>
      <c r="UWJ206" s="3"/>
      <c r="UWK206" s="3"/>
      <c r="UWL206" s="3"/>
      <c r="UWM206" s="3"/>
      <c r="UWN206" s="3"/>
      <c r="UWO206" s="3"/>
      <c r="UWP206" s="3"/>
      <c r="UWQ206" s="3"/>
      <c r="UWR206" s="3"/>
      <c r="UWS206" s="3"/>
      <c r="UWT206" s="3"/>
      <c r="UWU206" s="3"/>
      <c r="UWV206" s="3"/>
      <c r="UWW206" s="3"/>
      <c r="UWX206" s="3"/>
      <c r="UWY206" s="3"/>
      <c r="UWZ206" s="3"/>
      <c r="UXA206" s="3"/>
      <c r="UXB206" s="3"/>
      <c r="UXC206" s="3"/>
      <c r="UXD206" s="3"/>
      <c r="UXE206" s="3"/>
      <c r="UXF206" s="3"/>
      <c r="UXG206" s="3"/>
      <c r="UXH206" s="3"/>
      <c r="UXI206" s="3"/>
      <c r="UXJ206" s="3"/>
      <c r="UXK206" s="3"/>
      <c r="UXL206" s="3"/>
      <c r="UXM206" s="3"/>
      <c r="UXN206" s="3"/>
      <c r="UXO206" s="3"/>
      <c r="UXP206" s="3"/>
      <c r="UXQ206" s="3"/>
      <c r="UXR206" s="3"/>
      <c r="UXS206" s="3"/>
      <c r="UXT206" s="3"/>
      <c r="UXU206" s="3"/>
      <c r="UXV206" s="3"/>
      <c r="UXW206" s="3"/>
      <c r="UXX206" s="3"/>
      <c r="UXY206" s="3"/>
      <c r="UXZ206" s="3"/>
      <c r="UYA206" s="3"/>
      <c r="UYB206" s="3"/>
      <c r="UYC206" s="3"/>
      <c r="UYD206" s="3"/>
      <c r="UYE206" s="3"/>
      <c r="UYF206" s="3"/>
      <c r="UYG206" s="3"/>
      <c r="UYH206" s="3"/>
      <c r="UYI206" s="3"/>
      <c r="UYJ206" s="3"/>
      <c r="UYK206" s="3"/>
      <c r="UYL206" s="3"/>
      <c r="UYM206" s="3"/>
      <c r="UYN206" s="3"/>
      <c r="UYO206" s="3"/>
      <c r="UYP206" s="3"/>
      <c r="UYQ206" s="3"/>
      <c r="UYR206" s="3"/>
      <c r="UYS206" s="3"/>
      <c r="UYT206" s="3"/>
      <c r="UYU206" s="3"/>
      <c r="UYV206" s="3"/>
      <c r="UYW206" s="3"/>
      <c r="UYX206" s="3"/>
      <c r="UYY206" s="3"/>
      <c r="UYZ206" s="3"/>
      <c r="UZA206" s="3"/>
      <c r="UZB206" s="3"/>
      <c r="UZC206" s="3"/>
      <c r="UZD206" s="3"/>
      <c r="UZE206" s="3"/>
      <c r="UZF206" s="3"/>
      <c r="UZG206" s="3"/>
      <c r="UZH206" s="3"/>
      <c r="UZI206" s="3"/>
      <c r="UZJ206" s="3"/>
      <c r="UZK206" s="3"/>
      <c r="UZL206" s="3"/>
      <c r="UZM206" s="3"/>
      <c r="UZN206" s="3"/>
      <c r="UZO206" s="3"/>
      <c r="UZP206" s="3"/>
      <c r="UZQ206" s="3"/>
      <c r="UZR206" s="3"/>
      <c r="UZS206" s="3"/>
      <c r="UZT206" s="3"/>
      <c r="UZU206" s="3"/>
      <c r="UZV206" s="3"/>
      <c r="UZW206" s="3"/>
      <c r="UZX206" s="3"/>
      <c r="UZY206" s="3"/>
      <c r="UZZ206" s="3"/>
      <c r="VAA206" s="3"/>
      <c r="VAB206" s="3"/>
      <c r="VAC206" s="3"/>
      <c r="VAD206" s="3"/>
      <c r="VAE206" s="3"/>
      <c r="VAF206" s="3"/>
      <c r="VAG206" s="3"/>
      <c r="VAH206" s="3"/>
      <c r="VAI206" s="3"/>
      <c r="VAJ206" s="3"/>
      <c r="VAK206" s="3"/>
      <c r="VAL206" s="3"/>
      <c r="VAM206" s="3"/>
      <c r="VAN206" s="3"/>
      <c r="VAO206" s="3"/>
      <c r="VAP206" s="3"/>
      <c r="VAQ206" s="3"/>
      <c r="VAR206" s="3"/>
      <c r="VAS206" s="3"/>
      <c r="VAT206" s="3"/>
      <c r="VAU206" s="3"/>
      <c r="VAV206" s="3"/>
      <c r="VAW206" s="3"/>
      <c r="VAX206" s="3"/>
      <c r="VAY206" s="3"/>
      <c r="VAZ206" s="3"/>
      <c r="VBA206" s="3"/>
      <c r="VBB206" s="3"/>
      <c r="VBC206" s="3"/>
      <c r="VBD206" s="3"/>
      <c r="VBE206" s="3"/>
      <c r="VBF206" s="3"/>
      <c r="VBG206" s="3"/>
      <c r="VBH206" s="3"/>
      <c r="VBI206" s="3"/>
      <c r="VBJ206" s="3"/>
      <c r="VBK206" s="3"/>
      <c r="VBL206" s="3"/>
      <c r="VBM206" s="3"/>
      <c r="VBN206" s="3"/>
      <c r="VBO206" s="3"/>
      <c r="VBP206" s="3"/>
      <c r="VBQ206" s="3"/>
      <c r="VBR206" s="3"/>
      <c r="VBS206" s="3"/>
      <c r="VBT206" s="3"/>
      <c r="VBU206" s="3"/>
      <c r="VBV206" s="3"/>
      <c r="VBW206" s="3"/>
      <c r="VBX206" s="3"/>
      <c r="VBY206" s="3"/>
      <c r="VBZ206" s="3"/>
      <c r="VCA206" s="3"/>
      <c r="VCB206" s="3"/>
      <c r="VCC206" s="3"/>
      <c r="VCD206" s="3"/>
      <c r="VCE206" s="3"/>
      <c r="VCF206" s="3"/>
      <c r="VCG206" s="3"/>
      <c r="VCH206" s="3"/>
      <c r="VCI206" s="3"/>
      <c r="VCJ206" s="3"/>
      <c r="VCK206" s="3"/>
      <c r="VCL206" s="3"/>
      <c r="VCM206" s="3"/>
      <c r="VCN206" s="3"/>
      <c r="VCO206" s="3"/>
      <c r="VCP206" s="3"/>
      <c r="VCQ206" s="3"/>
      <c r="VCR206" s="3"/>
      <c r="VCS206" s="3"/>
      <c r="VCT206" s="3"/>
      <c r="VCU206" s="3"/>
      <c r="VCV206" s="3"/>
      <c r="VCW206" s="3"/>
      <c r="VCX206" s="3"/>
      <c r="VCY206" s="3"/>
      <c r="VCZ206" s="3"/>
      <c r="VDA206" s="3"/>
      <c r="VDB206" s="3"/>
      <c r="VDC206" s="3"/>
      <c r="VDD206" s="3"/>
      <c r="VDE206" s="3"/>
      <c r="VDF206" s="3"/>
      <c r="VDG206" s="3"/>
      <c r="VDH206" s="3"/>
      <c r="VDI206" s="3"/>
      <c r="VDJ206" s="3"/>
      <c r="VDK206" s="3"/>
      <c r="VDL206" s="3"/>
      <c r="VDM206" s="3"/>
      <c r="VDN206" s="3"/>
      <c r="VDO206" s="3"/>
      <c r="VDP206" s="3"/>
      <c r="VDQ206" s="3"/>
      <c r="VDR206" s="3"/>
      <c r="VDS206" s="3"/>
      <c r="VDT206" s="3"/>
      <c r="VDU206" s="3"/>
      <c r="VDV206" s="3"/>
      <c r="VDW206" s="3"/>
      <c r="VDX206" s="3"/>
      <c r="VDY206" s="3"/>
      <c r="VDZ206" s="3"/>
      <c r="VEA206" s="3"/>
      <c r="VEB206" s="3"/>
      <c r="VEC206" s="3"/>
      <c r="VED206" s="3"/>
      <c r="VEE206" s="3"/>
      <c r="VEF206" s="3"/>
      <c r="VEG206" s="3"/>
      <c r="VEH206" s="3"/>
      <c r="VEI206" s="3"/>
      <c r="VEJ206" s="3"/>
      <c r="VEK206" s="3"/>
      <c r="VEL206" s="3"/>
      <c r="VEM206" s="3"/>
      <c r="VEN206" s="3"/>
      <c r="VEO206" s="3"/>
      <c r="VEP206" s="3"/>
      <c r="VEQ206" s="3"/>
      <c r="VER206" s="3"/>
      <c r="VES206" s="3"/>
      <c r="VET206" s="3"/>
      <c r="VEU206" s="3"/>
      <c r="VEV206" s="3"/>
      <c r="VEW206" s="3"/>
      <c r="VEX206" s="3"/>
      <c r="VEY206" s="3"/>
      <c r="VEZ206" s="3"/>
      <c r="VFA206" s="3"/>
      <c r="VFB206" s="3"/>
      <c r="VFC206" s="3"/>
      <c r="VFD206" s="3"/>
      <c r="VFE206" s="3"/>
      <c r="VFF206" s="3"/>
      <c r="VFG206" s="3"/>
      <c r="VFH206" s="3"/>
      <c r="VFI206" s="3"/>
      <c r="VFJ206" s="3"/>
      <c r="VFK206" s="3"/>
      <c r="VFL206" s="3"/>
      <c r="VFM206" s="3"/>
      <c r="VFN206" s="3"/>
      <c r="VFO206" s="3"/>
      <c r="VFP206" s="3"/>
      <c r="VFQ206" s="3"/>
      <c r="VFR206" s="3"/>
      <c r="VFS206" s="3"/>
      <c r="VFT206" s="3"/>
      <c r="VFU206" s="3"/>
      <c r="VFV206" s="3"/>
      <c r="VFW206" s="3"/>
      <c r="VFX206" s="3"/>
      <c r="VFY206" s="3"/>
      <c r="VFZ206" s="3"/>
      <c r="VGA206" s="3"/>
      <c r="VGB206" s="3"/>
      <c r="VGC206" s="3"/>
      <c r="VGD206" s="3"/>
      <c r="VGE206" s="3"/>
      <c r="VGF206" s="3"/>
      <c r="VGG206" s="3"/>
      <c r="VGH206" s="3"/>
      <c r="VGI206" s="3"/>
      <c r="VGJ206" s="3"/>
      <c r="VGK206" s="3"/>
      <c r="VGL206" s="3"/>
      <c r="VGM206" s="3"/>
      <c r="VGN206" s="3"/>
      <c r="VGO206" s="3"/>
      <c r="VGP206" s="3"/>
      <c r="VGQ206" s="3"/>
      <c r="VGR206" s="3"/>
      <c r="VGS206" s="3"/>
      <c r="VGT206" s="3"/>
      <c r="VGU206" s="3"/>
      <c r="VGV206" s="3"/>
      <c r="VGW206" s="3"/>
      <c r="VGX206" s="3"/>
      <c r="VGY206" s="3"/>
      <c r="VGZ206" s="3"/>
      <c r="VHA206" s="3"/>
      <c r="VHB206" s="3"/>
      <c r="VHC206" s="3"/>
      <c r="VHD206" s="3"/>
      <c r="VHE206" s="3"/>
      <c r="VHF206" s="3"/>
      <c r="VHG206" s="3"/>
      <c r="VHH206" s="3"/>
      <c r="VHI206" s="3"/>
      <c r="VHJ206" s="3"/>
      <c r="VHK206" s="3"/>
      <c r="VHL206" s="3"/>
      <c r="VHM206" s="3"/>
      <c r="VHN206" s="3"/>
      <c r="VHO206" s="3"/>
      <c r="VHP206" s="3"/>
      <c r="VHQ206" s="3"/>
      <c r="VHR206" s="3"/>
      <c r="VHS206" s="3"/>
      <c r="VHT206" s="3"/>
      <c r="VHU206" s="3"/>
      <c r="VHV206" s="3"/>
      <c r="VHW206" s="3"/>
      <c r="VHX206" s="3"/>
      <c r="VHY206" s="3"/>
      <c r="VHZ206" s="3"/>
      <c r="VIA206" s="3"/>
      <c r="VIB206" s="3"/>
      <c r="VIC206" s="3"/>
      <c r="VID206" s="3"/>
      <c r="VIE206" s="3"/>
      <c r="VIF206" s="3"/>
      <c r="VIG206" s="3"/>
      <c r="VIH206" s="3"/>
      <c r="VII206" s="3"/>
      <c r="VIJ206" s="3"/>
      <c r="VIK206" s="3"/>
      <c r="VIL206" s="3"/>
      <c r="VIM206" s="3"/>
      <c r="VIN206" s="3"/>
      <c r="VIO206" s="3"/>
      <c r="VIP206" s="3"/>
      <c r="VIQ206" s="3"/>
      <c r="VIR206" s="3"/>
      <c r="VIS206" s="3"/>
      <c r="VIT206" s="3"/>
      <c r="VIU206" s="3"/>
      <c r="VIV206" s="3"/>
      <c r="VIW206" s="3"/>
      <c r="VIX206" s="3"/>
      <c r="VIY206" s="3"/>
      <c r="VIZ206" s="3"/>
      <c r="VJA206" s="3"/>
      <c r="VJB206" s="3"/>
      <c r="VJC206" s="3"/>
      <c r="VJD206" s="3"/>
      <c r="VJE206" s="3"/>
      <c r="VJF206" s="3"/>
      <c r="VJG206" s="3"/>
      <c r="VJH206" s="3"/>
      <c r="VJI206" s="3"/>
      <c r="VJJ206" s="3"/>
      <c r="VJK206" s="3"/>
      <c r="VJL206" s="3"/>
      <c r="VJM206" s="3"/>
      <c r="VJN206" s="3"/>
      <c r="VJO206" s="3"/>
      <c r="VJP206" s="3"/>
      <c r="VJQ206" s="3"/>
      <c r="VJR206" s="3"/>
      <c r="VJS206" s="3"/>
      <c r="VJT206" s="3"/>
      <c r="VJU206" s="3"/>
      <c r="VJV206" s="3"/>
      <c r="VJW206" s="3"/>
      <c r="VJX206" s="3"/>
      <c r="VJY206" s="3"/>
      <c r="VJZ206" s="3"/>
      <c r="VKA206" s="3"/>
      <c r="VKB206" s="3"/>
      <c r="VKC206" s="3"/>
      <c r="VKD206" s="3"/>
      <c r="VKE206" s="3"/>
      <c r="VKF206" s="3"/>
      <c r="VKG206" s="3"/>
      <c r="VKH206" s="3"/>
      <c r="VKI206" s="3"/>
      <c r="VKJ206" s="3"/>
      <c r="VKK206" s="3"/>
      <c r="VKL206" s="3"/>
      <c r="VKM206" s="3"/>
      <c r="VKN206" s="3"/>
      <c r="VKO206" s="3"/>
      <c r="VKP206" s="3"/>
      <c r="VKQ206" s="3"/>
      <c r="VKR206" s="3"/>
      <c r="VKS206" s="3"/>
      <c r="VKT206" s="3"/>
      <c r="VKU206" s="3"/>
      <c r="VKV206" s="3"/>
      <c r="VKW206" s="3"/>
      <c r="VKX206" s="3"/>
      <c r="VKY206" s="3"/>
      <c r="VKZ206" s="3"/>
      <c r="VLA206" s="3"/>
      <c r="VLB206" s="3"/>
      <c r="VLC206" s="3"/>
      <c r="VLD206" s="3"/>
      <c r="VLE206" s="3"/>
      <c r="VLF206" s="3"/>
      <c r="VLG206" s="3"/>
      <c r="VLH206" s="3"/>
      <c r="VLI206" s="3"/>
      <c r="VLJ206" s="3"/>
      <c r="VLK206" s="3"/>
      <c r="VLL206" s="3"/>
      <c r="VLM206" s="3"/>
      <c r="VLN206" s="3"/>
      <c r="VLO206" s="3"/>
      <c r="VLP206" s="3"/>
      <c r="VLQ206" s="3"/>
      <c r="VLR206" s="3"/>
      <c r="VLS206" s="3"/>
      <c r="VLT206" s="3"/>
      <c r="VLU206" s="3"/>
      <c r="VLV206" s="3"/>
      <c r="VLW206" s="3"/>
      <c r="VLX206" s="3"/>
      <c r="VLY206" s="3"/>
      <c r="VLZ206" s="3"/>
      <c r="VMA206" s="3"/>
      <c r="VMB206" s="3"/>
      <c r="VMC206" s="3"/>
      <c r="VMD206" s="3"/>
      <c r="VME206" s="3"/>
      <c r="VMF206" s="3"/>
      <c r="VMG206" s="3"/>
      <c r="VMH206" s="3"/>
      <c r="VMI206" s="3"/>
      <c r="VMJ206" s="3"/>
      <c r="VMK206" s="3"/>
      <c r="VML206" s="3"/>
      <c r="VMM206" s="3"/>
      <c r="VMN206" s="3"/>
      <c r="VMO206" s="3"/>
      <c r="VMP206" s="3"/>
      <c r="VMQ206" s="3"/>
      <c r="VMR206" s="3"/>
      <c r="VMS206" s="3"/>
      <c r="VMT206" s="3"/>
      <c r="VMU206" s="3"/>
      <c r="VMV206" s="3"/>
      <c r="VMW206" s="3"/>
      <c r="VMX206" s="3"/>
      <c r="VMY206" s="3"/>
      <c r="VMZ206" s="3"/>
      <c r="VNA206" s="3"/>
      <c r="VNB206" s="3"/>
      <c r="VNC206" s="3"/>
      <c r="VND206" s="3"/>
      <c r="VNE206" s="3"/>
      <c r="VNF206" s="3"/>
      <c r="VNG206" s="3"/>
      <c r="VNH206" s="3"/>
      <c r="VNI206" s="3"/>
      <c r="VNJ206" s="3"/>
      <c r="VNK206" s="3"/>
      <c r="VNL206" s="3"/>
      <c r="VNM206" s="3"/>
      <c r="VNN206" s="3"/>
      <c r="VNO206" s="3"/>
      <c r="VNP206" s="3"/>
      <c r="VNQ206" s="3"/>
      <c r="VNR206" s="3"/>
      <c r="VNS206" s="3"/>
      <c r="VNT206" s="3"/>
      <c r="VNU206" s="3"/>
      <c r="VNV206" s="3"/>
      <c r="VNW206" s="3"/>
      <c r="VNX206" s="3"/>
      <c r="VNY206" s="3"/>
      <c r="VNZ206" s="3"/>
      <c r="VOA206" s="3"/>
      <c r="VOB206" s="3"/>
      <c r="VOC206" s="3"/>
      <c r="VOD206" s="3"/>
      <c r="VOE206" s="3"/>
      <c r="VOF206" s="3"/>
      <c r="VOG206" s="3"/>
      <c r="VOH206" s="3"/>
      <c r="VOI206" s="3"/>
      <c r="VOJ206" s="3"/>
      <c r="VOK206" s="3"/>
      <c r="VOL206" s="3"/>
      <c r="VOM206" s="3"/>
      <c r="VON206" s="3"/>
      <c r="VOO206" s="3"/>
      <c r="VOP206" s="3"/>
      <c r="VOQ206" s="3"/>
      <c r="VOR206" s="3"/>
      <c r="VOS206" s="3"/>
      <c r="VOT206" s="3"/>
      <c r="VOU206" s="3"/>
      <c r="VOV206" s="3"/>
      <c r="VOW206" s="3"/>
      <c r="VOX206" s="3"/>
      <c r="VOY206" s="3"/>
      <c r="VOZ206" s="3"/>
      <c r="VPA206" s="3"/>
      <c r="VPB206" s="3"/>
      <c r="VPC206" s="3"/>
      <c r="VPD206" s="3"/>
      <c r="VPE206" s="3"/>
      <c r="VPF206" s="3"/>
      <c r="VPG206" s="3"/>
      <c r="VPH206" s="3"/>
      <c r="VPI206" s="3"/>
      <c r="VPJ206" s="3"/>
      <c r="VPK206" s="3"/>
      <c r="VPL206" s="3"/>
      <c r="VPM206" s="3"/>
      <c r="VPN206" s="3"/>
      <c r="VPO206" s="3"/>
      <c r="VPP206" s="3"/>
      <c r="VPQ206" s="3"/>
      <c r="VPR206" s="3"/>
      <c r="VPS206" s="3"/>
      <c r="VPT206" s="3"/>
      <c r="VPU206" s="3"/>
      <c r="VPV206" s="3"/>
      <c r="VPW206" s="3"/>
      <c r="VPX206" s="3"/>
      <c r="VPY206" s="3"/>
      <c r="VPZ206" s="3"/>
      <c r="VQA206" s="3"/>
      <c r="VQB206" s="3"/>
      <c r="VQC206" s="3"/>
      <c r="VQD206" s="3"/>
      <c r="VQE206" s="3"/>
      <c r="VQF206" s="3"/>
      <c r="VQG206" s="3"/>
      <c r="VQH206" s="3"/>
      <c r="VQI206" s="3"/>
      <c r="VQJ206" s="3"/>
      <c r="VQK206" s="3"/>
      <c r="VQL206" s="3"/>
      <c r="VQM206" s="3"/>
      <c r="VQN206" s="3"/>
      <c r="VQO206" s="3"/>
      <c r="VQP206" s="3"/>
      <c r="VQQ206" s="3"/>
      <c r="VQR206" s="3"/>
      <c r="VQS206" s="3"/>
      <c r="VQT206" s="3"/>
      <c r="VQU206" s="3"/>
      <c r="VQV206" s="3"/>
      <c r="VQW206" s="3"/>
      <c r="VQX206" s="3"/>
      <c r="VQY206" s="3"/>
      <c r="VQZ206" s="3"/>
      <c r="VRA206" s="3"/>
      <c r="VRB206" s="3"/>
      <c r="VRC206" s="3"/>
      <c r="VRD206" s="3"/>
      <c r="VRE206" s="3"/>
      <c r="VRF206" s="3"/>
      <c r="VRG206" s="3"/>
      <c r="VRH206" s="3"/>
      <c r="VRI206" s="3"/>
      <c r="VRJ206" s="3"/>
      <c r="VRK206" s="3"/>
      <c r="VRL206" s="3"/>
      <c r="VRM206" s="3"/>
      <c r="VRN206" s="3"/>
      <c r="VRO206" s="3"/>
      <c r="VRP206" s="3"/>
      <c r="VRQ206" s="3"/>
      <c r="VRR206" s="3"/>
      <c r="VRS206" s="3"/>
      <c r="VRT206" s="3"/>
      <c r="VRU206" s="3"/>
      <c r="VRV206" s="3"/>
      <c r="VRW206" s="3"/>
      <c r="VRX206" s="3"/>
      <c r="VRY206" s="3"/>
      <c r="VRZ206" s="3"/>
      <c r="VSA206" s="3"/>
      <c r="VSB206" s="3"/>
      <c r="VSC206" s="3"/>
      <c r="VSD206" s="3"/>
      <c r="VSE206" s="3"/>
      <c r="VSF206" s="3"/>
      <c r="VSG206" s="3"/>
      <c r="VSH206" s="3"/>
      <c r="VSI206" s="3"/>
      <c r="VSJ206" s="3"/>
      <c r="VSK206" s="3"/>
      <c r="VSL206" s="3"/>
      <c r="VSM206" s="3"/>
      <c r="VSN206" s="3"/>
      <c r="VSO206" s="3"/>
      <c r="VSP206" s="3"/>
      <c r="VSQ206" s="3"/>
      <c r="VSR206" s="3"/>
      <c r="VSS206" s="3"/>
      <c r="VST206" s="3"/>
      <c r="VSU206" s="3"/>
      <c r="VSV206" s="3"/>
      <c r="VSW206" s="3"/>
      <c r="VSX206" s="3"/>
      <c r="VSY206" s="3"/>
      <c r="VSZ206" s="3"/>
      <c r="VTA206" s="3"/>
      <c r="VTB206" s="3"/>
      <c r="VTC206" s="3"/>
      <c r="VTD206" s="3"/>
      <c r="VTE206" s="3"/>
      <c r="VTF206" s="3"/>
      <c r="VTG206" s="3"/>
      <c r="VTH206" s="3"/>
      <c r="VTI206" s="3"/>
      <c r="VTJ206" s="3"/>
      <c r="VTK206" s="3"/>
      <c r="VTL206" s="3"/>
      <c r="VTM206" s="3"/>
      <c r="VTN206" s="3"/>
      <c r="VTO206" s="3"/>
      <c r="VTP206" s="3"/>
      <c r="VTQ206" s="3"/>
      <c r="VTR206" s="3"/>
      <c r="VTS206" s="3"/>
      <c r="VTT206" s="3"/>
      <c r="VTU206" s="3"/>
      <c r="VTV206" s="3"/>
      <c r="VTW206" s="3"/>
      <c r="VTX206" s="3"/>
      <c r="VTY206" s="3"/>
      <c r="VTZ206" s="3"/>
      <c r="VUA206" s="3"/>
      <c r="VUB206" s="3"/>
      <c r="VUC206" s="3"/>
      <c r="VUD206" s="3"/>
      <c r="VUE206" s="3"/>
      <c r="VUF206" s="3"/>
      <c r="VUG206" s="3"/>
      <c r="VUH206" s="3"/>
      <c r="VUI206" s="3"/>
      <c r="VUJ206" s="3"/>
      <c r="VUK206" s="3"/>
      <c r="VUL206" s="3"/>
      <c r="VUM206" s="3"/>
      <c r="VUN206" s="3"/>
      <c r="VUO206" s="3"/>
      <c r="VUP206" s="3"/>
      <c r="VUQ206" s="3"/>
      <c r="VUR206" s="3"/>
      <c r="VUS206" s="3"/>
      <c r="VUT206" s="3"/>
      <c r="VUU206" s="3"/>
      <c r="VUV206" s="3"/>
      <c r="VUW206" s="3"/>
      <c r="VUX206" s="3"/>
      <c r="VUY206" s="3"/>
      <c r="VUZ206" s="3"/>
      <c r="VVA206" s="3"/>
      <c r="VVB206" s="3"/>
      <c r="VVC206" s="3"/>
      <c r="VVD206" s="3"/>
      <c r="VVE206" s="3"/>
      <c r="VVF206" s="3"/>
      <c r="VVG206" s="3"/>
      <c r="VVH206" s="3"/>
      <c r="VVI206" s="3"/>
      <c r="VVJ206" s="3"/>
      <c r="VVK206" s="3"/>
      <c r="VVL206" s="3"/>
      <c r="VVM206" s="3"/>
      <c r="VVN206" s="3"/>
      <c r="VVO206" s="3"/>
      <c r="VVP206" s="3"/>
      <c r="VVQ206" s="3"/>
      <c r="VVR206" s="3"/>
      <c r="VVS206" s="3"/>
      <c r="VVT206" s="3"/>
      <c r="VVU206" s="3"/>
      <c r="VVV206" s="3"/>
      <c r="VVW206" s="3"/>
      <c r="VVX206" s="3"/>
      <c r="VVY206" s="3"/>
      <c r="VVZ206" s="3"/>
      <c r="VWA206" s="3"/>
      <c r="VWB206" s="3"/>
      <c r="VWC206" s="3"/>
      <c r="VWD206" s="3"/>
      <c r="VWE206" s="3"/>
      <c r="VWF206" s="3"/>
      <c r="VWG206" s="3"/>
      <c r="VWH206" s="3"/>
      <c r="VWI206" s="3"/>
      <c r="VWJ206" s="3"/>
      <c r="VWK206" s="3"/>
      <c r="VWL206" s="3"/>
      <c r="VWM206" s="3"/>
      <c r="VWN206" s="3"/>
      <c r="VWO206" s="3"/>
      <c r="VWP206" s="3"/>
      <c r="VWQ206" s="3"/>
      <c r="VWR206" s="3"/>
      <c r="VWS206" s="3"/>
      <c r="VWT206" s="3"/>
      <c r="VWU206" s="3"/>
      <c r="VWV206" s="3"/>
      <c r="VWW206" s="3"/>
      <c r="VWX206" s="3"/>
      <c r="VWY206" s="3"/>
      <c r="VWZ206" s="3"/>
      <c r="VXA206" s="3"/>
      <c r="VXB206" s="3"/>
      <c r="VXC206" s="3"/>
      <c r="VXD206" s="3"/>
      <c r="VXE206" s="3"/>
      <c r="VXF206" s="3"/>
      <c r="VXG206" s="3"/>
      <c r="VXH206" s="3"/>
      <c r="VXI206" s="3"/>
      <c r="VXJ206" s="3"/>
      <c r="VXK206" s="3"/>
      <c r="VXL206" s="3"/>
      <c r="VXM206" s="3"/>
      <c r="VXN206" s="3"/>
      <c r="VXO206" s="3"/>
      <c r="VXP206" s="3"/>
      <c r="VXQ206" s="3"/>
      <c r="VXR206" s="3"/>
      <c r="VXS206" s="3"/>
      <c r="VXT206" s="3"/>
      <c r="VXU206" s="3"/>
      <c r="VXV206" s="3"/>
      <c r="VXW206" s="3"/>
      <c r="VXX206" s="3"/>
      <c r="VXY206" s="3"/>
      <c r="VXZ206" s="3"/>
      <c r="VYA206" s="3"/>
      <c r="VYB206" s="3"/>
      <c r="VYC206" s="3"/>
      <c r="VYD206" s="3"/>
      <c r="VYE206" s="3"/>
      <c r="VYF206" s="3"/>
      <c r="VYG206" s="3"/>
      <c r="VYH206" s="3"/>
      <c r="VYI206" s="3"/>
      <c r="VYJ206" s="3"/>
      <c r="VYK206" s="3"/>
      <c r="VYL206" s="3"/>
      <c r="VYM206" s="3"/>
      <c r="VYN206" s="3"/>
      <c r="VYO206" s="3"/>
      <c r="VYP206" s="3"/>
      <c r="VYQ206" s="3"/>
      <c r="VYR206" s="3"/>
      <c r="VYS206" s="3"/>
      <c r="VYT206" s="3"/>
      <c r="VYU206" s="3"/>
      <c r="VYV206" s="3"/>
      <c r="VYW206" s="3"/>
      <c r="VYX206" s="3"/>
      <c r="VYY206" s="3"/>
      <c r="VYZ206" s="3"/>
      <c r="VZA206" s="3"/>
      <c r="VZB206" s="3"/>
      <c r="VZC206" s="3"/>
      <c r="VZD206" s="3"/>
      <c r="VZE206" s="3"/>
      <c r="VZF206" s="3"/>
      <c r="VZG206" s="3"/>
      <c r="VZH206" s="3"/>
      <c r="VZI206" s="3"/>
      <c r="VZJ206" s="3"/>
      <c r="VZK206" s="3"/>
      <c r="VZL206" s="3"/>
      <c r="VZM206" s="3"/>
      <c r="VZN206" s="3"/>
      <c r="VZO206" s="3"/>
      <c r="VZP206" s="3"/>
      <c r="VZQ206" s="3"/>
      <c r="VZR206" s="3"/>
      <c r="VZS206" s="3"/>
      <c r="VZT206" s="3"/>
      <c r="VZU206" s="3"/>
      <c r="VZV206" s="3"/>
      <c r="VZW206" s="3"/>
      <c r="VZX206" s="3"/>
      <c r="VZY206" s="3"/>
      <c r="VZZ206" s="3"/>
      <c r="WAA206" s="3"/>
      <c r="WAB206" s="3"/>
      <c r="WAC206" s="3"/>
      <c r="WAD206" s="3"/>
      <c r="WAE206" s="3"/>
      <c r="WAF206" s="3"/>
      <c r="WAG206" s="3"/>
      <c r="WAH206" s="3"/>
      <c r="WAI206" s="3"/>
      <c r="WAJ206" s="3"/>
      <c r="WAK206" s="3"/>
      <c r="WAL206" s="3"/>
      <c r="WAM206" s="3"/>
      <c r="WAN206" s="3"/>
      <c r="WAO206" s="3"/>
      <c r="WAP206" s="3"/>
      <c r="WAQ206" s="3"/>
      <c r="WAR206" s="3"/>
      <c r="WAS206" s="3"/>
      <c r="WAT206" s="3"/>
      <c r="WAU206" s="3"/>
      <c r="WAV206" s="3"/>
      <c r="WAW206" s="3"/>
      <c r="WAX206" s="3"/>
      <c r="WAY206" s="3"/>
      <c r="WAZ206" s="3"/>
      <c r="WBA206" s="3"/>
      <c r="WBB206" s="3"/>
      <c r="WBC206" s="3"/>
      <c r="WBD206" s="3"/>
      <c r="WBE206" s="3"/>
      <c r="WBF206" s="3"/>
      <c r="WBG206" s="3"/>
      <c r="WBH206" s="3"/>
      <c r="WBI206" s="3"/>
      <c r="WBJ206" s="3"/>
      <c r="WBK206" s="3"/>
      <c r="WBL206" s="3"/>
      <c r="WBM206" s="3"/>
      <c r="WBN206" s="3"/>
      <c r="WBO206" s="3"/>
      <c r="WBP206" s="3"/>
      <c r="WBQ206" s="3"/>
      <c r="WBR206" s="3"/>
      <c r="WBS206" s="3"/>
      <c r="WBT206" s="3"/>
      <c r="WBU206" s="3"/>
      <c r="WBV206" s="3"/>
      <c r="WBW206" s="3"/>
      <c r="WBX206" s="3"/>
      <c r="WBY206" s="3"/>
      <c r="WBZ206" s="3"/>
      <c r="WCA206" s="3"/>
      <c r="WCB206" s="3"/>
      <c r="WCC206" s="3"/>
      <c r="WCD206" s="3"/>
      <c r="WCE206" s="3"/>
      <c r="WCF206" s="3"/>
      <c r="WCG206" s="3"/>
      <c r="WCH206" s="3"/>
      <c r="WCI206" s="3"/>
      <c r="WCJ206" s="3"/>
      <c r="WCK206" s="3"/>
      <c r="WCL206" s="3"/>
      <c r="WCM206" s="3"/>
      <c r="WCN206" s="3"/>
      <c r="WCO206" s="3"/>
      <c r="WCP206" s="3"/>
      <c r="WCQ206" s="3"/>
      <c r="WCR206" s="3"/>
      <c r="WCS206" s="3"/>
      <c r="WCT206" s="3"/>
      <c r="WCU206" s="3"/>
      <c r="WCV206" s="3"/>
      <c r="WCW206" s="3"/>
      <c r="WCX206" s="3"/>
      <c r="WCY206" s="3"/>
      <c r="WCZ206" s="3"/>
      <c r="WDA206" s="3"/>
      <c r="WDB206" s="3"/>
      <c r="WDC206" s="3"/>
      <c r="WDD206" s="3"/>
      <c r="WDE206" s="3"/>
      <c r="WDF206" s="3"/>
      <c r="WDG206" s="3"/>
      <c r="WDH206" s="3"/>
      <c r="WDI206" s="3"/>
      <c r="WDJ206" s="3"/>
      <c r="WDK206" s="3"/>
      <c r="WDL206" s="3"/>
      <c r="WDM206" s="3"/>
      <c r="WDN206" s="3"/>
      <c r="WDO206" s="3"/>
      <c r="WDP206" s="3"/>
      <c r="WDQ206" s="3"/>
      <c r="WDR206" s="3"/>
      <c r="WDS206" s="3"/>
      <c r="WDT206" s="3"/>
      <c r="WDU206" s="3"/>
      <c r="WDV206" s="3"/>
      <c r="WDW206" s="3"/>
      <c r="WDX206" s="3"/>
      <c r="WDY206" s="3"/>
      <c r="WDZ206" s="3"/>
      <c r="WEA206" s="3"/>
      <c r="WEB206" s="3"/>
      <c r="WEC206" s="3"/>
      <c r="WED206" s="3"/>
      <c r="WEE206" s="3"/>
      <c r="WEF206" s="3"/>
      <c r="WEG206" s="3"/>
      <c r="WEH206" s="3"/>
      <c r="WEI206" s="3"/>
      <c r="WEJ206" s="3"/>
      <c r="WEK206" s="3"/>
      <c r="WEL206" s="3"/>
      <c r="WEM206" s="3"/>
      <c r="WEN206" s="3"/>
      <c r="WEO206" s="3"/>
      <c r="WEP206" s="3"/>
      <c r="WEQ206" s="3"/>
      <c r="WER206" s="3"/>
      <c r="WES206" s="3"/>
      <c r="WET206" s="3"/>
      <c r="WEU206" s="3"/>
      <c r="WEV206" s="3"/>
      <c r="WEW206" s="3"/>
      <c r="WEX206" s="3"/>
      <c r="WEY206" s="3"/>
      <c r="WEZ206" s="3"/>
      <c r="WFA206" s="3"/>
      <c r="WFB206" s="3"/>
      <c r="WFC206" s="3"/>
      <c r="WFD206" s="3"/>
      <c r="WFE206" s="3"/>
      <c r="WFF206" s="3"/>
      <c r="WFG206" s="3"/>
      <c r="WFH206" s="3"/>
      <c r="WFI206" s="3"/>
      <c r="WFJ206" s="3"/>
      <c r="WFK206" s="3"/>
      <c r="WFL206" s="3"/>
      <c r="WFM206" s="3"/>
      <c r="WFN206" s="3"/>
      <c r="WFO206" s="3"/>
      <c r="WFP206" s="3"/>
      <c r="WFQ206" s="3"/>
      <c r="WFR206" s="3"/>
      <c r="WFS206" s="3"/>
      <c r="WFT206" s="3"/>
      <c r="WFU206" s="3"/>
      <c r="WFV206" s="3"/>
      <c r="WFW206" s="3"/>
      <c r="WFX206" s="3"/>
      <c r="WFY206" s="3"/>
      <c r="WFZ206" s="3"/>
      <c r="WGA206" s="3"/>
      <c r="WGB206" s="3"/>
      <c r="WGC206" s="3"/>
      <c r="WGD206" s="3"/>
      <c r="WGE206" s="3"/>
      <c r="WGF206" s="3"/>
      <c r="WGG206" s="3"/>
      <c r="WGH206" s="3"/>
      <c r="WGI206" s="3"/>
      <c r="WGJ206" s="3"/>
      <c r="WGK206" s="3"/>
      <c r="WGL206" s="3"/>
      <c r="WGM206" s="3"/>
      <c r="WGN206" s="3"/>
      <c r="WGO206" s="3"/>
      <c r="WGP206" s="3"/>
      <c r="WGQ206" s="3"/>
      <c r="WGR206" s="3"/>
      <c r="WGS206" s="3"/>
      <c r="WGT206" s="3"/>
      <c r="WGU206" s="3"/>
      <c r="WGV206" s="3"/>
      <c r="WGW206" s="3"/>
      <c r="WGX206" s="3"/>
      <c r="WGY206" s="3"/>
      <c r="WGZ206" s="3"/>
      <c r="WHA206" s="3"/>
      <c r="WHB206" s="3"/>
      <c r="WHC206" s="3"/>
      <c r="WHD206" s="3"/>
      <c r="WHE206" s="3"/>
      <c r="WHF206" s="3"/>
      <c r="WHG206" s="3"/>
      <c r="WHH206" s="3"/>
      <c r="WHI206" s="3"/>
      <c r="WHJ206" s="3"/>
      <c r="WHK206" s="3"/>
      <c r="WHL206" s="3"/>
      <c r="WHM206" s="3"/>
      <c r="WHN206" s="3"/>
      <c r="WHO206" s="3"/>
      <c r="WHP206" s="3"/>
      <c r="WHQ206" s="3"/>
      <c r="WHR206" s="3"/>
      <c r="WHS206" s="3"/>
      <c r="WHT206" s="3"/>
      <c r="WHU206" s="3"/>
      <c r="WHV206" s="3"/>
      <c r="WHW206" s="3"/>
      <c r="WHX206" s="3"/>
      <c r="WHY206" s="3"/>
      <c r="WHZ206" s="3"/>
      <c r="WIA206" s="3"/>
      <c r="WIB206" s="3"/>
      <c r="WIC206" s="3"/>
      <c r="WID206" s="3"/>
      <c r="WIE206" s="3"/>
      <c r="WIF206" s="3"/>
      <c r="WIG206" s="3"/>
      <c r="WIH206" s="3"/>
      <c r="WII206" s="3"/>
      <c r="WIJ206" s="3"/>
      <c r="WIK206" s="3"/>
      <c r="WIL206" s="3"/>
      <c r="WIM206" s="3"/>
      <c r="WIN206" s="3"/>
      <c r="WIO206" s="3"/>
      <c r="WIP206" s="3"/>
      <c r="WIQ206" s="3"/>
      <c r="WIR206" s="3"/>
      <c r="WIS206" s="3"/>
      <c r="WIT206" s="3"/>
      <c r="WIU206" s="3"/>
      <c r="WIV206" s="3"/>
      <c r="WIW206" s="3"/>
      <c r="WIX206" s="3"/>
      <c r="WIY206" s="3"/>
      <c r="WIZ206" s="3"/>
      <c r="WJA206" s="3"/>
      <c r="WJB206" s="3"/>
      <c r="WJC206" s="3"/>
      <c r="WJD206" s="3"/>
      <c r="WJE206" s="3"/>
      <c r="WJF206" s="3"/>
      <c r="WJG206" s="3"/>
      <c r="WJH206" s="3"/>
      <c r="WJI206" s="3"/>
      <c r="WJJ206" s="3"/>
      <c r="WJK206" s="3"/>
      <c r="WJL206" s="3"/>
      <c r="WJM206" s="3"/>
      <c r="WJN206" s="3"/>
      <c r="WJO206" s="3"/>
      <c r="WJP206" s="3"/>
      <c r="WJQ206" s="3"/>
      <c r="WJR206" s="3"/>
      <c r="WJS206" s="3"/>
      <c r="WJT206" s="3"/>
      <c r="WJU206" s="3"/>
      <c r="WJV206" s="3"/>
      <c r="WJW206" s="3"/>
      <c r="WJX206" s="3"/>
      <c r="WJY206" s="3"/>
      <c r="WJZ206" s="3"/>
      <c r="WKA206" s="3"/>
      <c r="WKB206" s="3"/>
      <c r="WKC206" s="3"/>
      <c r="WKD206" s="3"/>
      <c r="WKE206" s="3"/>
      <c r="WKF206" s="3"/>
      <c r="WKG206" s="3"/>
      <c r="WKH206" s="3"/>
      <c r="WKI206" s="3"/>
      <c r="WKJ206" s="3"/>
      <c r="WKK206" s="3"/>
      <c r="WKL206" s="3"/>
      <c r="WKM206" s="3"/>
      <c r="WKN206" s="3"/>
      <c r="WKO206" s="3"/>
      <c r="WKP206" s="3"/>
      <c r="WKQ206" s="3"/>
      <c r="WKR206" s="3"/>
      <c r="WKS206" s="3"/>
      <c r="WKT206" s="3"/>
      <c r="WKU206" s="3"/>
      <c r="WKV206" s="3"/>
      <c r="WKW206" s="3"/>
      <c r="WKX206" s="3"/>
      <c r="WKY206" s="3"/>
      <c r="WKZ206" s="3"/>
      <c r="WLA206" s="3"/>
      <c r="WLB206" s="3"/>
      <c r="WLC206" s="3"/>
      <c r="WLD206" s="3"/>
      <c r="WLE206" s="3"/>
      <c r="WLF206" s="3"/>
      <c r="WLG206" s="3"/>
      <c r="WLH206" s="3"/>
      <c r="WLI206" s="3"/>
      <c r="WLJ206" s="3"/>
      <c r="WLK206" s="3"/>
      <c r="WLL206" s="3"/>
      <c r="WLM206" s="3"/>
      <c r="WLN206" s="3"/>
      <c r="WLO206" s="3"/>
      <c r="WLP206" s="3"/>
      <c r="WLQ206" s="3"/>
      <c r="WLR206" s="3"/>
      <c r="WLS206" s="3"/>
      <c r="WLT206" s="3"/>
      <c r="WLU206" s="3"/>
      <c r="WLV206" s="3"/>
      <c r="WLW206" s="3"/>
      <c r="WLX206" s="3"/>
      <c r="WLY206" s="3"/>
      <c r="WLZ206" s="3"/>
      <c r="WMA206" s="3"/>
      <c r="WMB206" s="3"/>
      <c r="WMC206" s="3"/>
      <c r="WMD206" s="3"/>
      <c r="WME206" s="3"/>
      <c r="WMF206" s="3"/>
      <c r="WMG206" s="3"/>
      <c r="WMH206" s="3"/>
      <c r="WMI206" s="3"/>
      <c r="WMJ206" s="3"/>
      <c r="WMK206" s="3"/>
      <c r="WML206" s="3"/>
      <c r="WMM206" s="3"/>
      <c r="WMN206" s="3"/>
      <c r="WMO206" s="3"/>
      <c r="WMP206" s="3"/>
      <c r="WMQ206" s="3"/>
      <c r="WMR206" s="3"/>
      <c r="WMS206" s="3"/>
      <c r="WMT206" s="3"/>
      <c r="WMU206" s="3"/>
      <c r="WMV206" s="3"/>
      <c r="WMW206" s="3"/>
      <c r="WMX206" s="3"/>
      <c r="WMY206" s="3"/>
      <c r="WMZ206" s="3"/>
      <c r="WNA206" s="3"/>
      <c r="WNB206" s="3"/>
      <c r="WNC206" s="3"/>
      <c r="WND206" s="3"/>
      <c r="WNE206" s="3"/>
      <c r="WNF206" s="3"/>
      <c r="WNG206" s="3"/>
      <c r="WNH206" s="3"/>
      <c r="WNI206" s="3"/>
      <c r="WNJ206" s="3"/>
      <c r="WNK206" s="3"/>
      <c r="WNL206" s="3"/>
      <c r="WNM206" s="3"/>
      <c r="WNN206" s="3"/>
      <c r="WNO206" s="3"/>
      <c r="WNP206" s="3"/>
      <c r="WNQ206" s="3"/>
      <c r="WNR206" s="3"/>
      <c r="WNS206" s="3"/>
      <c r="WNT206" s="3"/>
      <c r="WNU206" s="3"/>
      <c r="WNV206" s="3"/>
      <c r="WNW206" s="3"/>
      <c r="WNX206" s="3"/>
      <c r="WNY206" s="3"/>
      <c r="WNZ206" s="3"/>
      <c r="WOA206" s="3"/>
      <c r="WOB206" s="3"/>
      <c r="WOC206" s="3"/>
      <c r="WOD206" s="3"/>
      <c r="WOE206" s="3"/>
      <c r="WOF206" s="3"/>
      <c r="WOG206" s="3"/>
      <c r="WOH206" s="3"/>
      <c r="WOI206" s="3"/>
      <c r="WOJ206" s="3"/>
      <c r="WOK206" s="3"/>
      <c r="WOL206" s="3"/>
      <c r="WOM206" s="3"/>
      <c r="WON206" s="3"/>
      <c r="WOO206" s="3"/>
      <c r="WOP206" s="3"/>
      <c r="WOQ206" s="3"/>
      <c r="WOR206" s="3"/>
      <c r="WOS206" s="3"/>
      <c r="WOT206" s="3"/>
      <c r="WOU206" s="3"/>
      <c r="WOV206" s="3"/>
      <c r="WOW206" s="3"/>
      <c r="WOX206" s="3"/>
      <c r="WOY206" s="3"/>
      <c r="WOZ206" s="3"/>
      <c r="WPA206" s="3"/>
      <c r="WPB206" s="3"/>
      <c r="WPC206" s="3"/>
      <c r="WPD206" s="3"/>
      <c r="WPE206" s="3"/>
      <c r="WPF206" s="3"/>
      <c r="WPG206" s="3"/>
      <c r="WPH206" s="3"/>
      <c r="WPI206" s="3"/>
      <c r="WPJ206" s="3"/>
      <c r="WPK206" s="3"/>
      <c r="WPL206" s="3"/>
      <c r="WPM206" s="3"/>
      <c r="WPN206" s="3"/>
      <c r="WPO206" s="3"/>
      <c r="WPP206" s="3"/>
      <c r="WPQ206" s="3"/>
      <c r="WPR206" s="3"/>
      <c r="WPS206" s="3"/>
      <c r="WPT206" s="3"/>
      <c r="WPU206" s="3"/>
      <c r="WPV206" s="3"/>
      <c r="WPW206" s="3"/>
      <c r="WPX206" s="3"/>
      <c r="WPY206" s="3"/>
      <c r="WPZ206" s="3"/>
      <c r="WQA206" s="3"/>
      <c r="WQB206" s="3"/>
      <c r="WQC206" s="3"/>
      <c r="WQD206" s="3"/>
      <c r="WQE206" s="3"/>
      <c r="WQF206" s="3"/>
      <c r="WQG206" s="3"/>
      <c r="WQH206" s="3"/>
      <c r="WQI206" s="3"/>
      <c r="WQJ206" s="3"/>
      <c r="WQK206" s="3"/>
      <c r="WQL206" s="3"/>
      <c r="WQM206" s="3"/>
      <c r="WQN206" s="3"/>
      <c r="WQO206" s="3"/>
      <c r="WQP206" s="3"/>
      <c r="WQQ206" s="3"/>
      <c r="WQR206" s="3"/>
      <c r="WQS206" s="3"/>
      <c r="WQT206" s="3"/>
      <c r="WQU206" s="3"/>
      <c r="WQV206" s="3"/>
      <c r="WQW206" s="3"/>
      <c r="WQX206" s="3"/>
      <c r="WQY206" s="3"/>
      <c r="WQZ206" s="3"/>
      <c r="WRA206" s="3"/>
      <c r="WRB206" s="3"/>
      <c r="WRC206" s="3"/>
      <c r="WRD206" s="3"/>
      <c r="WRE206" s="3"/>
      <c r="WRF206" s="3"/>
      <c r="WRG206" s="3"/>
      <c r="WRH206" s="3"/>
      <c r="WRI206" s="3"/>
      <c r="WRJ206" s="3"/>
      <c r="WRK206" s="3"/>
      <c r="WRL206" s="3"/>
      <c r="WRM206" s="3"/>
      <c r="WRN206" s="3"/>
      <c r="WRO206" s="3"/>
      <c r="WRP206" s="3"/>
      <c r="WRQ206" s="3"/>
      <c r="WRR206" s="3"/>
      <c r="WRS206" s="3"/>
      <c r="WRT206" s="3"/>
      <c r="WRU206" s="3"/>
      <c r="WRV206" s="3"/>
      <c r="WRW206" s="3"/>
      <c r="WRX206" s="3"/>
      <c r="WRY206" s="3"/>
      <c r="WRZ206" s="3"/>
      <c r="WSA206" s="3"/>
      <c r="WSB206" s="3"/>
      <c r="WSC206" s="3"/>
      <c r="WSD206" s="3"/>
      <c r="WSE206" s="3"/>
      <c r="WSF206" s="3"/>
      <c r="WSG206" s="3"/>
      <c r="WSH206" s="3"/>
      <c r="WSI206" s="3"/>
      <c r="WSJ206" s="3"/>
      <c r="WSK206" s="3"/>
      <c r="WSL206" s="3"/>
      <c r="WSM206" s="3"/>
      <c r="WSN206" s="3"/>
      <c r="WSO206" s="3"/>
      <c r="WSP206" s="3"/>
      <c r="WSQ206" s="3"/>
      <c r="WSR206" s="3"/>
      <c r="WSS206" s="3"/>
      <c r="WST206" s="3"/>
      <c r="WSU206" s="3"/>
      <c r="WSV206" s="3"/>
      <c r="WSW206" s="3"/>
      <c r="WSX206" s="3"/>
      <c r="WSY206" s="3"/>
      <c r="WSZ206" s="3"/>
      <c r="WTA206" s="3"/>
      <c r="WTB206" s="3"/>
      <c r="WTC206" s="3"/>
      <c r="WTD206" s="3"/>
      <c r="WTE206" s="3"/>
      <c r="WTF206" s="3"/>
      <c r="WTG206" s="3"/>
      <c r="WTH206" s="3"/>
      <c r="WTI206" s="3"/>
      <c r="WTJ206" s="3"/>
      <c r="WTK206" s="3"/>
      <c r="WTL206" s="3"/>
      <c r="WTM206" s="3"/>
      <c r="WTN206" s="3"/>
      <c r="WTO206" s="3"/>
      <c r="WTP206" s="3"/>
      <c r="WTQ206" s="3"/>
      <c r="WTR206" s="3"/>
      <c r="WTS206" s="3"/>
      <c r="WTT206" s="3"/>
      <c r="WTU206" s="3"/>
      <c r="WTV206" s="3"/>
      <c r="WTW206" s="3"/>
      <c r="WTX206" s="3"/>
      <c r="WTY206" s="3"/>
      <c r="WTZ206" s="3"/>
      <c r="WUA206" s="3"/>
      <c r="WUB206" s="3"/>
      <c r="WUC206" s="3"/>
      <c r="WUD206" s="3"/>
      <c r="WUE206" s="3"/>
      <c r="WUF206" s="3"/>
      <c r="WUG206" s="3"/>
      <c r="WUH206" s="3"/>
      <c r="WUI206" s="3"/>
      <c r="WUJ206" s="3"/>
      <c r="WUK206" s="3"/>
      <c r="WUL206" s="3"/>
      <c r="WUM206" s="3"/>
      <c r="WUN206" s="3"/>
      <c r="WUO206" s="3"/>
      <c r="WUP206" s="3"/>
      <c r="WUQ206" s="3"/>
      <c r="WUR206" s="3"/>
      <c r="WUS206" s="3"/>
      <c r="WUT206" s="3"/>
      <c r="WUU206" s="3"/>
      <c r="WUV206" s="3"/>
      <c r="WUW206" s="3"/>
      <c r="WUX206" s="3"/>
      <c r="WUY206" s="3"/>
      <c r="WUZ206" s="3"/>
      <c r="WVA206" s="3"/>
      <c r="WVB206" s="3"/>
      <c r="WVC206" s="3"/>
      <c r="WVD206" s="3"/>
      <c r="WVE206" s="3"/>
      <c r="WVF206" s="3"/>
      <c r="WVG206" s="3"/>
      <c r="WVH206" s="3"/>
      <c r="WVI206" s="3"/>
      <c r="WVJ206" s="3"/>
      <c r="WVK206" s="3"/>
      <c r="WVL206" s="3"/>
      <c r="WVM206" s="3"/>
      <c r="WVN206" s="3"/>
      <c r="WVO206" s="3"/>
      <c r="WVP206" s="3"/>
      <c r="WVQ206" s="3"/>
      <c r="WVR206" s="3"/>
      <c r="WVS206" s="3"/>
      <c r="WVT206" s="3"/>
      <c r="WVU206" s="3"/>
      <c r="WVV206" s="3"/>
      <c r="WVW206" s="3"/>
      <c r="WVX206" s="3"/>
      <c r="WVY206" s="3"/>
      <c r="WVZ206" s="3"/>
      <c r="WWA206" s="3"/>
      <c r="WWB206" s="3"/>
      <c r="WWC206" s="3"/>
      <c r="WWD206" s="3"/>
      <c r="WWE206" s="3"/>
      <c r="WWF206" s="3"/>
      <c r="WWG206" s="3"/>
      <c r="WWH206" s="3"/>
      <c r="WWI206" s="3"/>
      <c r="WWJ206" s="3"/>
      <c r="WWK206" s="3"/>
      <c r="WWL206" s="3"/>
      <c r="WWM206" s="3"/>
      <c r="WWN206" s="3"/>
      <c r="WWO206" s="3"/>
      <c r="WWP206" s="3"/>
      <c r="WWQ206" s="3"/>
      <c r="WWR206" s="3"/>
      <c r="WWS206" s="3"/>
      <c r="WWT206" s="3"/>
      <c r="WWU206" s="3"/>
      <c r="WWV206" s="3"/>
      <c r="WWW206" s="3"/>
      <c r="WWX206" s="3"/>
      <c r="WWY206" s="3"/>
      <c r="WWZ206" s="3"/>
      <c r="WXA206" s="3"/>
      <c r="WXB206" s="3"/>
      <c r="WXC206" s="3"/>
      <c r="WXD206" s="3"/>
      <c r="WXE206" s="3"/>
      <c r="WXF206" s="3"/>
      <c r="WXG206" s="3"/>
      <c r="WXH206" s="3"/>
      <c r="WXI206" s="3"/>
      <c r="WXJ206" s="3"/>
      <c r="WXK206" s="3"/>
      <c r="WXL206" s="3"/>
      <c r="WXM206" s="3"/>
      <c r="WXN206" s="3"/>
      <c r="WXO206" s="3"/>
      <c r="WXP206" s="3"/>
      <c r="WXQ206" s="3"/>
      <c r="WXR206" s="3"/>
      <c r="WXS206" s="3"/>
      <c r="WXT206" s="3"/>
      <c r="WXU206" s="3"/>
      <c r="WXV206" s="3"/>
      <c r="WXW206" s="3"/>
      <c r="WXX206" s="3"/>
      <c r="WXY206" s="3"/>
      <c r="WXZ206" s="3"/>
      <c r="WYA206" s="3"/>
      <c r="WYB206" s="3"/>
      <c r="WYC206" s="3"/>
      <c r="WYD206" s="3"/>
      <c r="WYE206" s="3"/>
      <c r="WYF206" s="3"/>
      <c r="WYG206" s="3"/>
      <c r="WYH206" s="3"/>
      <c r="WYI206" s="3"/>
      <c r="WYJ206" s="3"/>
      <c r="WYK206" s="3"/>
      <c r="WYL206" s="3"/>
      <c r="WYM206" s="3"/>
      <c r="WYN206" s="3"/>
      <c r="WYO206" s="3"/>
      <c r="WYP206" s="3"/>
      <c r="WYQ206" s="3"/>
      <c r="WYR206" s="3"/>
      <c r="WYS206" s="3"/>
      <c r="WYT206" s="3"/>
      <c r="WYU206" s="3"/>
      <c r="WYV206" s="3"/>
      <c r="WYW206" s="3"/>
      <c r="WYX206" s="3"/>
      <c r="WYY206" s="3"/>
      <c r="WYZ206" s="3"/>
      <c r="WZA206" s="3"/>
      <c r="WZB206" s="3"/>
      <c r="WZC206" s="3"/>
      <c r="WZD206" s="3"/>
      <c r="WZE206" s="3"/>
      <c r="WZF206" s="3"/>
      <c r="WZG206" s="3"/>
      <c r="WZH206" s="3"/>
      <c r="WZI206" s="3"/>
      <c r="WZJ206" s="3"/>
      <c r="WZK206" s="3"/>
      <c r="WZL206" s="3"/>
      <c r="WZM206" s="3"/>
      <c r="WZN206" s="3"/>
      <c r="WZO206" s="3"/>
      <c r="WZP206" s="3"/>
      <c r="WZQ206" s="3"/>
      <c r="WZR206" s="3"/>
      <c r="WZS206" s="3"/>
      <c r="WZT206" s="3"/>
      <c r="WZU206" s="3"/>
      <c r="WZV206" s="3"/>
      <c r="WZW206" s="3"/>
      <c r="WZX206" s="3"/>
      <c r="WZY206" s="3"/>
      <c r="WZZ206" s="3"/>
      <c r="XAA206" s="3"/>
      <c r="XAB206" s="3"/>
      <c r="XAC206" s="3"/>
      <c r="XAD206" s="3"/>
      <c r="XAE206" s="3"/>
      <c r="XAF206" s="3"/>
      <c r="XAG206" s="3"/>
      <c r="XAH206" s="3"/>
      <c r="XAI206" s="3"/>
      <c r="XAJ206" s="3"/>
      <c r="XAK206" s="3"/>
      <c r="XAL206" s="3"/>
      <c r="XAM206" s="3"/>
      <c r="XAN206" s="3"/>
      <c r="XAO206" s="3"/>
      <c r="XAP206" s="3"/>
      <c r="XAQ206" s="3"/>
      <c r="XAR206" s="3"/>
      <c r="XAS206" s="3"/>
      <c r="XAT206" s="3"/>
      <c r="XAU206" s="3"/>
      <c r="XAV206" s="3"/>
      <c r="XAW206" s="3"/>
      <c r="XAX206" s="3"/>
      <c r="XAY206" s="3"/>
      <c r="XAZ206" s="3"/>
      <c r="XBA206" s="3"/>
      <c r="XBB206" s="3"/>
      <c r="XBC206" s="3"/>
      <c r="XBD206" s="3"/>
      <c r="XBE206" s="3"/>
      <c r="XBF206" s="3"/>
      <c r="XBG206" s="3"/>
      <c r="XBH206" s="3"/>
      <c r="XBI206" s="3"/>
      <c r="XBJ206" s="3"/>
      <c r="XBK206" s="3"/>
      <c r="XBL206" s="3"/>
      <c r="XBM206" s="3"/>
      <c r="XBN206" s="3"/>
      <c r="XBO206" s="3"/>
      <c r="XBP206" s="3"/>
      <c r="XBQ206" s="3"/>
      <c r="XBR206" s="3"/>
      <c r="XBS206" s="3"/>
      <c r="XBT206" s="3"/>
      <c r="XBU206" s="3"/>
      <c r="XBV206" s="3"/>
      <c r="XBW206" s="3"/>
      <c r="XBX206" s="3"/>
      <c r="XBY206" s="3"/>
      <c r="XBZ206" s="3"/>
      <c r="XCA206" s="3"/>
      <c r="XCB206" s="3"/>
      <c r="XCC206" s="3"/>
      <c r="XCD206" s="3"/>
      <c r="XCE206" s="3"/>
      <c r="XCF206" s="3"/>
      <c r="XCG206" s="3"/>
      <c r="XCH206" s="3"/>
      <c r="XCI206" s="3"/>
      <c r="XCJ206" s="3"/>
      <c r="XCK206" s="3"/>
      <c r="XCL206" s="3"/>
      <c r="XCM206" s="3"/>
      <c r="XCN206" s="3"/>
      <c r="XCO206" s="3"/>
      <c r="XCP206" s="3"/>
      <c r="XCQ206" s="3"/>
      <c r="XCR206" s="3"/>
      <c r="XCS206" s="3"/>
      <c r="XCT206" s="3"/>
      <c r="XCU206" s="3"/>
      <c r="XCV206" s="3"/>
      <c r="XCW206" s="3"/>
      <c r="XCX206" s="3"/>
      <c r="XCY206" s="3"/>
      <c r="XCZ206" s="3"/>
      <c r="XDA206" s="3"/>
      <c r="XDB206" s="3"/>
      <c r="XDC206" s="3"/>
      <c r="XDD206" s="3"/>
      <c r="XDE206" s="3"/>
      <c r="XDF206" s="3"/>
      <c r="XDG206" s="3"/>
      <c r="XDH206" s="3"/>
      <c r="XDI206" s="3"/>
      <c r="XDJ206" s="3"/>
      <c r="XDK206" s="3"/>
      <c r="XDL206" s="3"/>
      <c r="XDM206" s="3"/>
      <c r="XDN206" s="3"/>
      <c r="XDO206" s="3"/>
      <c r="XDP206" s="3"/>
      <c r="XDQ206" s="3"/>
      <c r="XDR206" s="3"/>
      <c r="XDS206" s="3"/>
      <c r="XDT206" s="3"/>
      <c r="XDU206" s="3"/>
      <c r="XDV206" s="3"/>
      <c r="XDW206" s="3"/>
      <c r="XDX206" s="3"/>
    </row>
    <row r="207" spans="1:16352" hidden="1" x14ac:dyDescent="0.3">
      <c r="A207" s="122"/>
      <c r="B207" s="123"/>
      <c r="C207" s="124"/>
      <c r="D207" s="72" t="s">
        <v>214</v>
      </c>
      <c r="E207" s="73"/>
      <c r="F207" s="73"/>
      <c r="G207" s="73"/>
      <c r="H207" s="73">
        <f t="shared" ref="H207:AI207" si="15">COUNTIFS(H4:H206,"Public")</f>
        <v>0</v>
      </c>
      <c r="I207" s="73">
        <f t="shared" si="15"/>
        <v>0</v>
      </c>
      <c r="J207" s="73">
        <f t="shared" si="15"/>
        <v>0</v>
      </c>
      <c r="K207" s="73">
        <f t="shared" si="15"/>
        <v>0</v>
      </c>
      <c r="L207" s="73">
        <f t="shared" si="15"/>
        <v>0</v>
      </c>
      <c r="M207" s="73">
        <f t="shared" si="15"/>
        <v>0</v>
      </c>
      <c r="N207" s="73">
        <f t="shared" si="15"/>
        <v>0</v>
      </c>
      <c r="O207" s="73">
        <f t="shared" si="15"/>
        <v>0</v>
      </c>
      <c r="P207" s="73">
        <f t="shared" si="15"/>
        <v>0</v>
      </c>
      <c r="Q207" s="73">
        <f t="shared" si="15"/>
        <v>0</v>
      </c>
      <c r="R207" s="73">
        <f t="shared" si="15"/>
        <v>0</v>
      </c>
      <c r="S207" s="73">
        <f t="shared" si="15"/>
        <v>0</v>
      </c>
      <c r="T207" s="73">
        <f t="shared" si="15"/>
        <v>0</v>
      </c>
      <c r="U207" s="73">
        <f t="shared" si="15"/>
        <v>0</v>
      </c>
      <c r="V207" s="73">
        <f t="shared" si="15"/>
        <v>0</v>
      </c>
      <c r="W207" s="73">
        <f t="shared" si="15"/>
        <v>0</v>
      </c>
      <c r="X207" s="73">
        <f t="shared" si="15"/>
        <v>0</v>
      </c>
      <c r="Y207" s="73">
        <f t="shared" si="15"/>
        <v>0</v>
      </c>
      <c r="Z207" s="73">
        <f t="shared" si="15"/>
        <v>0</v>
      </c>
      <c r="AA207" s="73">
        <f t="shared" si="15"/>
        <v>0</v>
      </c>
      <c r="AB207" s="73">
        <f t="shared" si="15"/>
        <v>0</v>
      </c>
      <c r="AC207" s="73">
        <f t="shared" si="15"/>
        <v>0</v>
      </c>
      <c r="AD207" s="73">
        <f t="shared" si="15"/>
        <v>0</v>
      </c>
      <c r="AE207" s="73">
        <f t="shared" si="15"/>
        <v>0</v>
      </c>
      <c r="AF207" s="73">
        <f t="shared" si="15"/>
        <v>0</v>
      </c>
      <c r="AG207" s="73">
        <f t="shared" si="15"/>
        <v>0</v>
      </c>
      <c r="AH207" s="73">
        <f t="shared" si="15"/>
        <v>0</v>
      </c>
      <c r="AI207" s="73">
        <f t="shared" si="15"/>
        <v>0</v>
      </c>
    </row>
    <row r="208" spans="1:16352" hidden="1" x14ac:dyDescent="0.3">
      <c r="A208" s="122"/>
      <c r="B208" s="123"/>
      <c r="C208" s="124"/>
      <c r="D208" s="72" t="s">
        <v>215</v>
      </c>
      <c r="E208" s="73"/>
      <c r="F208" s="73"/>
      <c r="G208" s="73"/>
      <c r="H208" s="73">
        <f t="shared" ref="H208:AI208" si="16">COUNTIFS(H5:H207,"Optional")</f>
        <v>0</v>
      </c>
      <c r="I208" s="73">
        <f t="shared" si="16"/>
        <v>0</v>
      </c>
      <c r="J208" s="73">
        <f t="shared" si="16"/>
        <v>0</v>
      </c>
      <c r="K208" s="73">
        <f t="shared" si="16"/>
        <v>0</v>
      </c>
      <c r="L208" s="73">
        <f t="shared" si="16"/>
        <v>0</v>
      </c>
      <c r="M208" s="73">
        <f t="shared" si="16"/>
        <v>0</v>
      </c>
      <c r="N208" s="73">
        <f t="shared" si="16"/>
        <v>0</v>
      </c>
      <c r="O208" s="73">
        <f t="shared" si="16"/>
        <v>0</v>
      </c>
      <c r="P208" s="73">
        <f t="shared" si="16"/>
        <v>0</v>
      </c>
      <c r="Q208" s="73">
        <f t="shared" si="16"/>
        <v>0</v>
      </c>
      <c r="R208" s="73">
        <f t="shared" si="16"/>
        <v>0</v>
      </c>
      <c r="S208" s="73">
        <f t="shared" si="16"/>
        <v>0</v>
      </c>
      <c r="T208" s="73">
        <f t="shared" si="16"/>
        <v>0</v>
      </c>
      <c r="U208" s="73">
        <f t="shared" si="16"/>
        <v>0</v>
      </c>
      <c r="V208" s="73">
        <f t="shared" si="16"/>
        <v>0</v>
      </c>
      <c r="W208" s="73">
        <f t="shared" si="16"/>
        <v>0</v>
      </c>
      <c r="X208" s="73">
        <f t="shared" si="16"/>
        <v>0</v>
      </c>
      <c r="Y208" s="73">
        <f t="shared" si="16"/>
        <v>0</v>
      </c>
      <c r="Z208" s="73">
        <f t="shared" si="16"/>
        <v>0</v>
      </c>
      <c r="AA208" s="73">
        <f t="shared" si="16"/>
        <v>0</v>
      </c>
      <c r="AB208" s="73">
        <f t="shared" si="16"/>
        <v>0</v>
      </c>
      <c r="AC208" s="73">
        <f t="shared" si="16"/>
        <v>0</v>
      </c>
      <c r="AD208" s="73">
        <f t="shared" si="16"/>
        <v>0</v>
      </c>
      <c r="AE208" s="73">
        <f t="shared" si="16"/>
        <v>0</v>
      </c>
      <c r="AF208" s="73">
        <f t="shared" si="16"/>
        <v>0</v>
      </c>
      <c r="AG208" s="73">
        <f t="shared" si="16"/>
        <v>0</v>
      </c>
      <c r="AH208" s="73">
        <f t="shared" si="16"/>
        <v>0</v>
      </c>
      <c r="AI208" s="73">
        <f t="shared" si="16"/>
        <v>0</v>
      </c>
    </row>
    <row r="209" spans="1:35" hidden="1" x14ac:dyDescent="0.3">
      <c r="A209" s="122"/>
      <c r="B209" s="123"/>
      <c r="C209" s="124"/>
      <c r="D209" s="72" t="s">
        <v>218</v>
      </c>
      <c r="E209" s="73"/>
      <c r="F209" s="73"/>
      <c r="G209" s="73"/>
      <c r="H209" s="73">
        <f t="shared" ref="H209:AI209" si="17">COUNTIFS(H6:H208,"National-WE")</f>
        <v>0</v>
      </c>
      <c r="I209" s="73">
        <f t="shared" si="17"/>
        <v>0</v>
      </c>
      <c r="J209" s="73">
        <f t="shared" si="17"/>
        <v>0</v>
      </c>
      <c r="K209" s="73">
        <f t="shared" si="17"/>
        <v>0</v>
      </c>
      <c r="L209" s="73">
        <f t="shared" si="17"/>
        <v>0</v>
      </c>
      <c r="M209" s="73">
        <f t="shared" si="17"/>
        <v>0</v>
      </c>
      <c r="N209" s="73">
        <f t="shared" si="17"/>
        <v>0</v>
      </c>
      <c r="O209" s="73">
        <f t="shared" si="17"/>
        <v>0</v>
      </c>
      <c r="P209" s="73">
        <f t="shared" si="17"/>
        <v>0</v>
      </c>
      <c r="Q209" s="73">
        <f t="shared" si="17"/>
        <v>0</v>
      </c>
      <c r="R209" s="73">
        <f t="shared" si="17"/>
        <v>0</v>
      </c>
      <c r="S209" s="73">
        <f t="shared" si="17"/>
        <v>0</v>
      </c>
      <c r="T209" s="73">
        <f t="shared" si="17"/>
        <v>0</v>
      </c>
      <c r="U209" s="73">
        <f t="shared" si="17"/>
        <v>0</v>
      </c>
      <c r="V209" s="73">
        <f t="shared" si="17"/>
        <v>0</v>
      </c>
      <c r="W209" s="73">
        <f t="shared" si="17"/>
        <v>0</v>
      </c>
      <c r="X209" s="73">
        <f t="shared" si="17"/>
        <v>0</v>
      </c>
      <c r="Y209" s="73">
        <f t="shared" si="17"/>
        <v>0</v>
      </c>
      <c r="Z209" s="73">
        <f t="shared" si="17"/>
        <v>0</v>
      </c>
      <c r="AA209" s="73">
        <f t="shared" si="17"/>
        <v>0</v>
      </c>
      <c r="AB209" s="73">
        <f t="shared" si="17"/>
        <v>0</v>
      </c>
      <c r="AC209" s="73">
        <f t="shared" si="17"/>
        <v>0</v>
      </c>
      <c r="AD209" s="73">
        <f t="shared" si="17"/>
        <v>0</v>
      </c>
      <c r="AE209" s="73">
        <f t="shared" si="17"/>
        <v>0</v>
      </c>
      <c r="AF209" s="73">
        <f t="shared" si="17"/>
        <v>0</v>
      </c>
      <c r="AG209" s="73">
        <f t="shared" si="17"/>
        <v>0</v>
      </c>
      <c r="AH209" s="73">
        <f t="shared" si="17"/>
        <v>0</v>
      </c>
      <c r="AI209" s="73">
        <f t="shared" si="17"/>
        <v>0</v>
      </c>
    </row>
    <row r="210" spans="1:35" hidden="1" x14ac:dyDescent="0.3">
      <c r="A210" s="122"/>
      <c r="B210" s="123"/>
      <c r="C210" s="124"/>
      <c r="D210" s="72" t="s">
        <v>219</v>
      </c>
      <c r="E210" s="73"/>
      <c r="F210" s="73"/>
      <c r="G210" s="73"/>
      <c r="H210" s="73">
        <f t="shared" ref="H210:AI210" si="18">COUNTIFS(H8:H209,"Regional-WE")</f>
        <v>0</v>
      </c>
      <c r="I210" s="73">
        <f t="shared" si="18"/>
        <v>0</v>
      </c>
      <c r="J210" s="73">
        <f t="shared" si="18"/>
        <v>0</v>
      </c>
      <c r="K210" s="73">
        <f t="shared" si="18"/>
        <v>0</v>
      </c>
      <c r="L210" s="73">
        <f t="shared" si="18"/>
        <v>0</v>
      </c>
      <c r="M210" s="73">
        <f t="shared" si="18"/>
        <v>0</v>
      </c>
      <c r="N210" s="73">
        <f t="shared" si="18"/>
        <v>0</v>
      </c>
      <c r="O210" s="73">
        <f t="shared" si="18"/>
        <v>0</v>
      </c>
      <c r="P210" s="73">
        <f t="shared" si="18"/>
        <v>0</v>
      </c>
      <c r="Q210" s="73">
        <f t="shared" si="18"/>
        <v>0</v>
      </c>
      <c r="R210" s="73">
        <f t="shared" si="18"/>
        <v>0</v>
      </c>
      <c r="S210" s="73">
        <f t="shared" si="18"/>
        <v>0</v>
      </c>
      <c r="T210" s="73">
        <f t="shared" si="18"/>
        <v>0</v>
      </c>
      <c r="U210" s="73">
        <f t="shared" si="18"/>
        <v>0</v>
      </c>
      <c r="V210" s="73">
        <f t="shared" si="18"/>
        <v>0</v>
      </c>
      <c r="W210" s="73">
        <f t="shared" si="18"/>
        <v>0</v>
      </c>
      <c r="X210" s="73">
        <f t="shared" si="18"/>
        <v>0</v>
      </c>
      <c r="Y210" s="73">
        <f t="shared" si="18"/>
        <v>0</v>
      </c>
      <c r="Z210" s="73">
        <f t="shared" si="18"/>
        <v>0</v>
      </c>
      <c r="AA210" s="73">
        <f t="shared" si="18"/>
        <v>0</v>
      </c>
      <c r="AB210" s="73">
        <f t="shared" si="18"/>
        <v>0</v>
      </c>
      <c r="AC210" s="73">
        <f t="shared" si="18"/>
        <v>0</v>
      </c>
      <c r="AD210" s="73">
        <f t="shared" si="18"/>
        <v>0</v>
      </c>
      <c r="AE210" s="73">
        <f t="shared" si="18"/>
        <v>0</v>
      </c>
      <c r="AF210" s="73">
        <f t="shared" si="18"/>
        <v>0</v>
      </c>
      <c r="AG210" s="73">
        <f t="shared" si="18"/>
        <v>0</v>
      </c>
      <c r="AH210" s="73">
        <f t="shared" si="18"/>
        <v>0</v>
      </c>
      <c r="AI210" s="73">
        <f t="shared" si="18"/>
        <v>0</v>
      </c>
    </row>
    <row r="211" spans="1:35" hidden="1" x14ac:dyDescent="0.3">
      <c r="A211" s="122"/>
      <c r="B211" s="123"/>
      <c r="C211" s="124"/>
      <c r="D211" s="72" t="s">
        <v>220</v>
      </c>
      <c r="E211" s="73"/>
      <c r="F211" s="73"/>
      <c r="G211" s="73"/>
      <c r="H211" s="73">
        <f t="shared" ref="H211:AI211" si="19">COUNTIFS(H9:H210,"Public-WE")</f>
        <v>0</v>
      </c>
      <c r="I211" s="73">
        <f t="shared" si="19"/>
        <v>0</v>
      </c>
      <c r="J211" s="73">
        <f t="shared" si="19"/>
        <v>0</v>
      </c>
      <c r="K211" s="73">
        <f t="shared" si="19"/>
        <v>0</v>
      </c>
      <c r="L211" s="73">
        <f t="shared" si="19"/>
        <v>0</v>
      </c>
      <c r="M211" s="73">
        <f t="shared" si="19"/>
        <v>0</v>
      </c>
      <c r="N211" s="73">
        <f t="shared" si="19"/>
        <v>0</v>
      </c>
      <c r="O211" s="73">
        <f t="shared" si="19"/>
        <v>0</v>
      </c>
      <c r="P211" s="73">
        <f t="shared" si="19"/>
        <v>0</v>
      </c>
      <c r="Q211" s="73">
        <f t="shared" si="19"/>
        <v>0</v>
      </c>
      <c r="R211" s="73">
        <f t="shared" si="19"/>
        <v>0</v>
      </c>
      <c r="S211" s="73">
        <f t="shared" si="19"/>
        <v>0</v>
      </c>
      <c r="T211" s="73">
        <f t="shared" si="19"/>
        <v>0</v>
      </c>
      <c r="U211" s="73">
        <f t="shared" si="19"/>
        <v>0</v>
      </c>
      <c r="V211" s="73">
        <f t="shared" si="19"/>
        <v>0</v>
      </c>
      <c r="W211" s="73">
        <f t="shared" si="19"/>
        <v>0</v>
      </c>
      <c r="X211" s="73">
        <f t="shared" si="19"/>
        <v>0</v>
      </c>
      <c r="Y211" s="73">
        <f t="shared" si="19"/>
        <v>0</v>
      </c>
      <c r="Z211" s="73">
        <f t="shared" si="19"/>
        <v>0</v>
      </c>
      <c r="AA211" s="73">
        <f t="shared" si="19"/>
        <v>0</v>
      </c>
      <c r="AB211" s="73">
        <f t="shared" si="19"/>
        <v>0</v>
      </c>
      <c r="AC211" s="73">
        <f t="shared" si="19"/>
        <v>0</v>
      </c>
      <c r="AD211" s="73">
        <f t="shared" si="19"/>
        <v>0</v>
      </c>
      <c r="AE211" s="73">
        <f t="shared" si="19"/>
        <v>0</v>
      </c>
      <c r="AF211" s="73">
        <f t="shared" si="19"/>
        <v>0</v>
      </c>
      <c r="AG211" s="73">
        <f t="shared" si="19"/>
        <v>0</v>
      </c>
      <c r="AH211" s="73">
        <f t="shared" si="19"/>
        <v>0</v>
      </c>
      <c r="AI211" s="73">
        <f t="shared" si="19"/>
        <v>0</v>
      </c>
    </row>
    <row r="212" spans="1:35" hidden="1" x14ac:dyDescent="0.3">
      <c r="A212" s="125"/>
      <c r="B212" s="126"/>
      <c r="C212" s="127"/>
      <c r="D212" s="72" t="s">
        <v>221</v>
      </c>
      <c r="E212" s="73"/>
      <c r="F212" s="73"/>
      <c r="G212" s="73"/>
      <c r="H212" s="73">
        <f t="shared" ref="H212:AI212" si="20">COUNTIFS(H10:H211,"Optional-WE")</f>
        <v>0</v>
      </c>
      <c r="I212" s="73">
        <f t="shared" si="20"/>
        <v>0</v>
      </c>
      <c r="J212" s="73">
        <f t="shared" si="20"/>
        <v>0</v>
      </c>
      <c r="K212" s="73">
        <f t="shared" si="20"/>
        <v>0</v>
      </c>
      <c r="L212" s="73">
        <f t="shared" si="20"/>
        <v>0</v>
      </c>
      <c r="M212" s="73">
        <f t="shared" si="20"/>
        <v>0</v>
      </c>
      <c r="N212" s="73">
        <f t="shared" si="20"/>
        <v>0</v>
      </c>
      <c r="O212" s="73">
        <f t="shared" si="20"/>
        <v>0</v>
      </c>
      <c r="P212" s="73">
        <f t="shared" si="20"/>
        <v>0</v>
      </c>
      <c r="Q212" s="73">
        <f t="shared" si="20"/>
        <v>0</v>
      </c>
      <c r="R212" s="73">
        <f t="shared" si="20"/>
        <v>0</v>
      </c>
      <c r="S212" s="73">
        <f t="shared" si="20"/>
        <v>0</v>
      </c>
      <c r="T212" s="73">
        <f t="shared" si="20"/>
        <v>0</v>
      </c>
      <c r="U212" s="73">
        <f t="shared" si="20"/>
        <v>0</v>
      </c>
      <c r="V212" s="73">
        <f t="shared" si="20"/>
        <v>0</v>
      </c>
      <c r="W212" s="73">
        <f t="shared" si="20"/>
        <v>0</v>
      </c>
      <c r="X212" s="73">
        <f t="shared" si="20"/>
        <v>0</v>
      </c>
      <c r="Y212" s="73">
        <f t="shared" si="20"/>
        <v>0</v>
      </c>
      <c r="Z212" s="73">
        <f t="shared" si="20"/>
        <v>0</v>
      </c>
      <c r="AA212" s="73">
        <f t="shared" si="20"/>
        <v>0</v>
      </c>
      <c r="AB212" s="73">
        <f t="shared" si="20"/>
        <v>0</v>
      </c>
      <c r="AC212" s="73">
        <f t="shared" si="20"/>
        <v>0</v>
      </c>
      <c r="AD212" s="73">
        <f t="shared" si="20"/>
        <v>0</v>
      </c>
      <c r="AE212" s="73">
        <f t="shared" si="20"/>
        <v>0</v>
      </c>
      <c r="AF212" s="73">
        <f t="shared" si="20"/>
        <v>0</v>
      </c>
      <c r="AG212" s="73">
        <f t="shared" si="20"/>
        <v>0</v>
      </c>
      <c r="AH212" s="73">
        <f t="shared" si="20"/>
        <v>0</v>
      </c>
      <c r="AI212" s="73">
        <f t="shared" si="20"/>
        <v>0</v>
      </c>
    </row>
    <row r="213" spans="1:35" ht="14.5" x14ac:dyDescent="0.35">
      <c r="D213"/>
    </row>
    <row r="214" spans="1:35" ht="14.5" x14ac:dyDescent="0.35">
      <c r="D214"/>
    </row>
    <row r="216" spans="1:35" ht="14.5" x14ac:dyDescent="0.35">
      <c r="A216" s="25" t="s">
        <v>208</v>
      </c>
      <c r="B216" s="61" t="s">
        <v>362</v>
      </c>
    </row>
  </sheetData>
  <autoFilter ref="A1:XDX195" xr:uid="{B276BFC8-0A89-41AF-BB9A-A436247A11ED}"/>
  <mergeCells count="1">
    <mergeCell ref="A197:C212"/>
  </mergeCells>
  <hyperlinks>
    <hyperlink ref="B216" r:id="rId1" xr:uid="{DB4AB40B-F1C6-498E-BB6B-36A7B53CAA6E}"/>
  </hyperlinks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B8A9A9-51D1-4D6F-A594-AF55D079D66C}">
          <x14:formula1>
            <xm:f>Sheet2!$A$1:$A$8</xm:f>
          </x14:formula1>
          <xm:sqref>O2 J122 J37 O44 R152:R169 R13:R20 R111:R139 R2:R11 R191:R195 R141:R150 R174:R189 R78:R109 R22:R36 R54:R76 R171:R172 R38:R44 R46:R52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38B2-BB73-453D-830F-B1C308EC5B09}">
  <sheetPr>
    <tabColor theme="6" tint="-0.499984740745262"/>
  </sheetPr>
  <dimension ref="A1:XDX198"/>
  <sheetViews>
    <sheetView zoomScale="90" zoomScaleNormal="90" workbookViewId="0">
      <pane ySplit="1" topLeftCell="A173" activePane="bottomLeft" state="frozen"/>
      <selection pane="bottomLeft" activeCell="H2" sqref="H2"/>
    </sheetView>
  </sheetViews>
  <sheetFormatPr defaultColWidth="9.453125" defaultRowHeight="12.5" x14ac:dyDescent="0.3"/>
  <cols>
    <col min="1" max="1" width="5.7265625" style="25" bestFit="1" customWidth="1"/>
    <col min="2" max="2" width="14.453125" style="44" customWidth="1"/>
    <col min="3" max="3" width="40.54296875" style="25" customWidth="1"/>
    <col min="4" max="4" width="11.81640625" style="25" customWidth="1"/>
    <col min="5" max="5" width="9.453125" style="3" hidden="1" customWidth="1"/>
    <col min="6" max="6" width="10.36328125" style="3" hidden="1" customWidth="1"/>
    <col min="7" max="7" width="9.453125" style="3" hidden="1" customWidth="1"/>
    <col min="8" max="8" width="8.26953125" style="3" customWidth="1"/>
    <col min="9" max="9" width="9.453125" style="3" hidden="1" customWidth="1"/>
    <col min="10" max="10" width="9.453125" style="3" customWidth="1"/>
    <col min="11" max="11" width="12.26953125" style="3" hidden="1" customWidth="1"/>
    <col min="12" max="12" width="11.26953125" style="3" customWidth="1"/>
    <col min="13" max="13" width="11.26953125" style="3" hidden="1" customWidth="1"/>
    <col min="14" max="14" width="6.90625" style="3" customWidth="1"/>
    <col min="15" max="15" width="6" style="3" customWidth="1"/>
    <col min="16" max="16" width="14.90625" style="3" hidden="1" customWidth="1"/>
    <col min="17" max="17" width="9.453125" style="3" customWidth="1"/>
    <col min="18" max="18" width="9.453125" style="3" hidden="1" customWidth="1"/>
    <col min="19" max="19" width="9.453125" style="3" customWidth="1"/>
    <col min="20" max="20" width="11.08984375" style="3" customWidth="1"/>
    <col min="21" max="21" width="16.54296875" style="3" hidden="1" customWidth="1"/>
    <col min="22" max="23" width="9.453125" style="3" customWidth="1"/>
    <col min="24" max="24" width="6.54296875" style="3" customWidth="1"/>
    <col min="25" max="25" width="9.453125" style="3" customWidth="1"/>
    <col min="26" max="26" width="9.453125" style="3" hidden="1" customWidth="1"/>
    <col min="27" max="27" width="9.453125" style="3" customWidth="1"/>
    <col min="28" max="28" width="9.1796875" style="3" hidden="1" customWidth="1"/>
    <col min="29" max="29" width="9.26953125" style="3" hidden="1" customWidth="1"/>
    <col min="30" max="30" width="10.36328125" style="3" customWidth="1"/>
    <col min="31" max="31" width="9.6328125" style="3" customWidth="1"/>
    <col min="32" max="32" width="15.1796875" style="3" customWidth="1"/>
    <col min="33" max="33" width="9.453125" style="3" customWidth="1"/>
    <col min="34" max="34" width="9.453125" style="3" hidden="1" customWidth="1"/>
    <col min="35" max="36" width="9.453125" style="3" customWidth="1"/>
    <col min="37" max="37" width="11.6328125" style="3" hidden="1" customWidth="1"/>
    <col min="38" max="16351" width="9.453125" style="3"/>
    <col min="16352" max="16352" width="3.54296875" style="3" bestFit="1" customWidth="1"/>
    <col min="16353" max="16384" width="3.54296875" style="3" customWidth="1"/>
  </cols>
  <sheetData>
    <row r="1" spans="1:37 16352:16352" ht="14.5" x14ac:dyDescent="0.35">
      <c r="A1" s="71" t="s">
        <v>318</v>
      </c>
      <c r="B1" s="71" t="s">
        <v>6</v>
      </c>
      <c r="C1" s="71" t="s">
        <v>7</v>
      </c>
      <c r="D1" s="71" t="s">
        <v>8</v>
      </c>
      <c r="E1" s="39" t="s">
        <v>22</v>
      </c>
      <c r="F1" s="39" t="s">
        <v>70</v>
      </c>
      <c r="G1" s="39" t="s">
        <v>23</v>
      </c>
      <c r="H1" s="39" t="s">
        <v>69</v>
      </c>
      <c r="I1" s="39" t="s">
        <v>85</v>
      </c>
      <c r="J1" s="39" t="s">
        <v>86</v>
      </c>
      <c r="K1" s="39" t="s">
        <v>24</v>
      </c>
      <c r="L1" s="39" t="s">
        <v>67</v>
      </c>
      <c r="M1" s="39" t="s">
        <v>66</v>
      </c>
      <c r="N1" s="39" t="s">
        <v>25</v>
      </c>
      <c r="O1" s="39" t="s">
        <v>71</v>
      </c>
      <c r="P1" s="39" t="s">
        <v>14</v>
      </c>
      <c r="Q1" s="39" t="s">
        <v>72</v>
      </c>
      <c r="R1" s="39" t="s">
        <v>13</v>
      </c>
      <c r="S1" s="39" t="s">
        <v>18</v>
      </c>
      <c r="T1" s="39" t="s">
        <v>19</v>
      </c>
      <c r="U1" s="39" t="s">
        <v>80</v>
      </c>
      <c r="V1" s="39" t="s">
        <v>17</v>
      </c>
      <c r="W1" s="39" t="s">
        <v>79</v>
      </c>
      <c r="X1" s="39" t="s">
        <v>16</v>
      </c>
      <c r="Y1" s="39" t="s">
        <v>90</v>
      </c>
      <c r="Z1" s="39" t="s">
        <v>91</v>
      </c>
      <c r="AA1" s="39" t="s">
        <v>92</v>
      </c>
      <c r="AB1" s="39" t="s">
        <v>15</v>
      </c>
      <c r="AC1" s="39" t="s">
        <v>73</v>
      </c>
      <c r="AD1" s="39" t="s">
        <v>11</v>
      </c>
      <c r="AE1" s="39" t="s">
        <v>10</v>
      </c>
      <c r="AF1" s="39" t="s">
        <v>94</v>
      </c>
      <c r="AG1" s="39" t="s">
        <v>12</v>
      </c>
      <c r="AH1" s="39" t="s">
        <v>9</v>
      </c>
      <c r="AI1" s="39" t="s">
        <v>78</v>
      </c>
      <c r="AJ1" s="39" t="s">
        <v>20</v>
      </c>
      <c r="AK1" s="39" t="s">
        <v>65</v>
      </c>
      <c r="XDX1" s="3" t="s">
        <v>26</v>
      </c>
    </row>
    <row r="2" spans="1:37 16352:16352" x14ac:dyDescent="0.3">
      <c r="A2" s="65">
        <v>1</v>
      </c>
      <c r="B2" s="63">
        <v>46023</v>
      </c>
      <c r="C2" s="66" t="s">
        <v>121</v>
      </c>
      <c r="D2" s="66" t="s">
        <v>96</v>
      </c>
      <c r="E2" s="67"/>
      <c r="F2" s="67"/>
      <c r="G2" s="67"/>
      <c r="H2" s="67" t="s">
        <v>215</v>
      </c>
      <c r="I2" s="67"/>
      <c r="J2" s="67"/>
      <c r="K2" s="67"/>
      <c r="L2" s="67"/>
      <c r="M2" s="67"/>
      <c r="N2" s="74" t="s">
        <v>213</v>
      </c>
      <c r="O2" s="74" t="s">
        <v>213</v>
      </c>
      <c r="P2" s="67"/>
      <c r="Q2" s="74" t="s">
        <v>215</v>
      </c>
      <c r="R2" s="67"/>
      <c r="S2" s="75"/>
      <c r="T2" s="74" t="s">
        <v>213</v>
      </c>
      <c r="U2" s="67"/>
      <c r="V2" s="67"/>
      <c r="W2" s="74" t="s">
        <v>213</v>
      </c>
      <c r="X2" s="74" t="s">
        <v>215</v>
      </c>
      <c r="Y2" s="74" t="s">
        <v>215</v>
      </c>
      <c r="Z2" s="67"/>
      <c r="AA2" s="74" t="s">
        <v>215</v>
      </c>
      <c r="AB2" s="67"/>
      <c r="AC2" s="67"/>
      <c r="AD2" s="74" t="s">
        <v>213</v>
      </c>
      <c r="AE2" s="74" t="s">
        <v>215</v>
      </c>
      <c r="AF2" s="74" t="s">
        <v>213</v>
      </c>
      <c r="AG2" s="74" t="s">
        <v>215</v>
      </c>
      <c r="AH2" s="67"/>
      <c r="AI2" s="74" t="s">
        <v>215</v>
      </c>
      <c r="AJ2" s="80" t="str">
        <f>VLOOKUP(B2,'For A grades - 11 days'!B1:AJ187,35,0)</f>
        <v>Optional</v>
      </c>
      <c r="AK2" s="62"/>
    </row>
    <row r="3" spans="1:37 16352:16352" x14ac:dyDescent="0.3">
      <c r="A3" s="65">
        <v>2</v>
      </c>
      <c r="B3" s="63">
        <v>46024</v>
      </c>
      <c r="C3" s="66" t="s">
        <v>128</v>
      </c>
      <c r="D3" s="66" t="s">
        <v>127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75"/>
      <c r="T3" s="67"/>
      <c r="U3" s="67"/>
      <c r="V3" s="67"/>
      <c r="W3" s="67"/>
      <c r="X3" s="67"/>
      <c r="Y3" s="75" t="s">
        <v>213</v>
      </c>
      <c r="Z3" s="67"/>
      <c r="AA3" s="67"/>
      <c r="AB3" s="67"/>
      <c r="AC3" s="67"/>
      <c r="AD3" s="67"/>
      <c r="AE3" s="67"/>
      <c r="AF3" s="75"/>
      <c r="AG3" s="67"/>
      <c r="AH3" s="67"/>
      <c r="AI3" s="67"/>
      <c r="AJ3" s="62"/>
      <c r="AK3" s="62"/>
    </row>
    <row r="4" spans="1:37 16352:16352" x14ac:dyDescent="0.3">
      <c r="A4" s="65">
        <v>3</v>
      </c>
      <c r="B4" s="63">
        <v>46025</v>
      </c>
      <c r="C4" s="66" t="s">
        <v>237</v>
      </c>
      <c r="D4" s="66" t="s">
        <v>64</v>
      </c>
      <c r="E4" s="67"/>
      <c r="F4" s="67"/>
      <c r="G4" s="67"/>
      <c r="H4" s="67"/>
      <c r="I4" s="67"/>
      <c r="J4" s="67" t="s">
        <v>221</v>
      </c>
      <c r="K4" s="67"/>
      <c r="L4" s="67"/>
      <c r="M4" s="67"/>
      <c r="N4" s="67" t="s">
        <v>219</v>
      </c>
      <c r="O4" s="67" t="s">
        <v>219</v>
      </c>
      <c r="P4" s="67"/>
      <c r="Q4" s="67"/>
      <c r="R4" s="67"/>
      <c r="S4" s="75"/>
      <c r="T4" s="67"/>
      <c r="U4" s="67"/>
      <c r="V4" s="67"/>
      <c r="W4" s="67"/>
      <c r="X4" s="67"/>
      <c r="Y4" s="76"/>
      <c r="Z4" s="67"/>
      <c r="AA4" s="67"/>
      <c r="AB4" s="67"/>
      <c r="AC4" s="67"/>
      <c r="AD4" s="67"/>
      <c r="AE4" s="67"/>
      <c r="AF4" s="75"/>
      <c r="AG4" s="67"/>
      <c r="AH4" s="67"/>
      <c r="AI4" s="67"/>
      <c r="AJ4" s="62"/>
      <c r="AK4" s="62"/>
    </row>
    <row r="5" spans="1:37 16352:16352" x14ac:dyDescent="0.3">
      <c r="A5" s="65">
        <v>4</v>
      </c>
      <c r="B5" s="63">
        <v>46027</v>
      </c>
      <c r="C5" s="66" t="s">
        <v>176</v>
      </c>
      <c r="D5" s="66" t="s">
        <v>101</v>
      </c>
      <c r="E5" s="67"/>
      <c r="F5" s="67"/>
      <c r="G5" s="67"/>
      <c r="H5" s="67"/>
      <c r="I5" s="67"/>
      <c r="J5" s="67" t="s">
        <v>215</v>
      </c>
      <c r="K5" s="67"/>
      <c r="L5" s="67"/>
      <c r="M5" s="67"/>
      <c r="N5" s="67" t="s">
        <v>213</v>
      </c>
      <c r="O5" s="67"/>
      <c r="P5" s="67"/>
      <c r="Q5" s="67"/>
      <c r="R5" s="67"/>
      <c r="S5" s="75"/>
      <c r="T5" s="67"/>
      <c r="U5" s="67"/>
      <c r="V5" s="67"/>
      <c r="W5" s="67"/>
      <c r="X5" s="67"/>
      <c r="Y5" s="76"/>
      <c r="Z5" s="67"/>
      <c r="AA5" s="67"/>
      <c r="AB5" s="67"/>
      <c r="AC5" s="67"/>
      <c r="AD5" s="67"/>
      <c r="AE5" s="67"/>
      <c r="AF5" s="75"/>
      <c r="AG5" s="67"/>
      <c r="AH5" s="67"/>
      <c r="AI5" s="67"/>
      <c r="AJ5" s="62"/>
      <c r="AK5" s="62"/>
    </row>
    <row r="6" spans="1:37 16352:16352" x14ac:dyDescent="0.3">
      <c r="A6" s="65">
        <v>5</v>
      </c>
      <c r="B6" s="63">
        <v>46029</v>
      </c>
      <c r="C6" s="66" t="s">
        <v>238</v>
      </c>
      <c r="D6" s="66" t="s">
        <v>97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 t="s">
        <v>213</v>
      </c>
      <c r="P6" s="67"/>
      <c r="Q6" s="67"/>
      <c r="R6" s="67"/>
      <c r="S6" s="75"/>
      <c r="T6" s="67"/>
      <c r="U6" s="67"/>
      <c r="V6" s="67"/>
      <c r="W6" s="67"/>
      <c r="X6" s="67"/>
      <c r="Y6" s="76"/>
      <c r="Z6" s="67"/>
      <c r="AA6" s="67"/>
      <c r="AB6" s="67"/>
      <c r="AC6" s="67"/>
      <c r="AD6" s="67"/>
      <c r="AE6" s="67"/>
      <c r="AF6" s="75"/>
      <c r="AG6" s="67"/>
      <c r="AH6" s="67"/>
      <c r="AI6" s="67"/>
      <c r="AJ6" s="62"/>
      <c r="AK6" s="62"/>
    </row>
    <row r="7" spans="1:37 16352:16352" x14ac:dyDescent="0.3">
      <c r="A7" s="65"/>
      <c r="B7" s="63">
        <v>46031</v>
      </c>
      <c r="C7" s="66" t="s">
        <v>344</v>
      </c>
      <c r="D7" s="66" t="s">
        <v>127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75"/>
      <c r="T7" s="67"/>
      <c r="U7" s="67"/>
      <c r="V7" s="67"/>
      <c r="W7" s="67" t="s">
        <v>213</v>
      </c>
      <c r="X7" s="67"/>
      <c r="Y7" s="76"/>
      <c r="Z7" s="67"/>
      <c r="AA7" s="67"/>
      <c r="AB7" s="67"/>
      <c r="AC7" s="67"/>
      <c r="AD7" s="67"/>
      <c r="AE7" s="67"/>
      <c r="AF7" s="75"/>
      <c r="AG7" s="67"/>
      <c r="AH7" s="67"/>
      <c r="AI7" s="67"/>
      <c r="AJ7" s="62"/>
      <c r="AK7" s="62"/>
    </row>
    <row r="8" spans="1:37 16352:16352" x14ac:dyDescent="0.3">
      <c r="A8" s="65">
        <v>6</v>
      </c>
      <c r="B8" s="63">
        <v>46032</v>
      </c>
      <c r="C8" s="66" t="s">
        <v>239</v>
      </c>
      <c r="D8" s="66" t="s">
        <v>64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 t="s">
        <v>219</v>
      </c>
      <c r="P8" s="67"/>
      <c r="Q8" s="67"/>
      <c r="R8" s="67"/>
      <c r="S8" s="75"/>
      <c r="T8" s="67"/>
      <c r="U8" s="67"/>
      <c r="V8" s="67"/>
      <c r="W8" s="67"/>
      <c r="X8" s="67"/>
      <c r="Y8" s="76"/>
      <c r="Z8" s="67"/>
      <c r="AA8" s="67"/>
      <c r="AB8" s="67"/>
      <c r="AC8" s="67"/>
      <c r="AD8" s="67"/>
      <c r="AE8" s="67"/>
      <c r="AF8" s="75"/>
      <c r="AG8" s="67"/>
      <c r="AH8" s="67"/>
      <c r="AI8" s="67"/>
      <c r="AJ8" s="62"/>
      <c r="AK8" s="62"/>
    </row>
    <row r="9" spans="1:37 16352:16352" x14ac:dyDescent="0.3">
      <c r="A9" s="65">
        <v>7</v>
      </c>
      <c r="B9" s="63">
        <v>46033</v>
      </c>
      <c r="C9" s="66" t="s">
        <v>305</v>
      </c>
      <c r="D9" s="66" t="s">
        <v>63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/>
      <c r="T9" s="67"/>
      <c r="U9" s="67"/>
      <c r="V9" s="67"/>
      <c r="W9" s="67"/>
      <c r="X9" s="67"/>
      <c r="Y9" s="75" t="s">
        <v>221</v>
      </c>
      <c r="Z9" s="67"/>
      <c r="AA9" s="67"/>
      <c r="AB9" s="67"/>
      <c r="AC9" s="67"/>
      <c r="AD9" s="67"/>
      <c r="AE9" s="67"/>
      <c r="AF9" s="75"/>
      <c r="AG9" s="67"/>
      <c r="AH9" s="67"/>
      <c r="AI9" s="67"/>
      <c r="AJ9" s="62"/>
      <c r="AK9" s="62"/>
    </row>
    <row r="10" spans="1:37 16352:16352" x14ac:dyDescent="0.3">
      <c r="A10" s="65">
        <v>8</v>
      </c>
      <c r="B10" s="63">
        <v>46034</v>
      </c>
      <c r="C10" s="66" t="s">
        <v>180</v>
      </c>
      <c r="D10" s="66" t="s">
        <v>98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5"/>
      <c r="T10" s="67" t="s">
        <v>213</v>
      </c>
      <c r="U10" s="67"/>
      <c r="V10" s="67"/>
      <c r="W10" s="67"/>
      <c r="X10" s="67"/>
      <c r="Y10" s="76"/>
      <c r="Z10" s="67"/>
      <c r="AA10" s="67"/>
      <c r="AB10" s="67"/>
      <c r="AC10" s="67"/>
      <c r="AD10" s="67"/>
      <c r="AE10" s="67"/>
      <c r="AF10" s="75"/>
      <c r="AG10" s="67"/>
      <c r="AH10" s="67"/>
      <c r="AI10" s="67"/>
      <c r="AJ10" s="62"/>
      <c r="AK10" s="62"/>
    </row>
    <row r="11" spans="1:37 16352:16352" x14ac:dyDescent="0.3">
      <c r="A11" s="65">
        <v>9</v>
      </c>
      <c r="B11" s="63">
        <v>46035</v>
      </c>
      <c r="C11" s="66" t="s">
        <v>168</v>
      </c>
      <c r="D11" s="66" t="s">
        <v>101</v>
      </c>
      <c r="E11" s="67"/>
      <c r="F11" s="67"/>
      <c r="G11" s="67"/>
      <c r="H11" s="67"/>
      <c r="I11" s="67"/>
      <c r="J11" s="67" t="s">
        <v>215</v>
      </c>
      <c r="K11" s="67"/>
      <c r="L11" s="67"/>
      <c r="M11" s="67"/>
      <c r="N11" s="67"/>
      <c r="O11" s="67"/>
      <c r="P11" s="67"/>
      <c r="Q11" s="67"/>
      <c r="R11" s="67"/>
      <c r="S11" s="75"/>
      <c r="T11" s="67"/>
      <c r="U11" s="67"/>
      <c r="V11" s="67"/>
      <c r="W11" s="67"/>
      <c r="X11" s="67"/>
      <c r="Y11" s="76"/>
      <c r="Z11" s="67"/>
      <c r="AA11" s="67"/>
      <c r="AB11" s="67"/>
      <c r="AC11" s="67"/>
      <c r="AD11" s="67"/>
      <c r="AE11" s="67"/>
      <c r="AF11" s="75"/>
      <c r="AG11" s="67"/>
      <c r="AH11" s="67"/>
      <c r="AI11" s="67"/>
      <c r="AJ11" s="62"/>
      <c r="AK11" s="62"/>
    </row>
    <row r="12" spans="1:37 16352:16352" x14ac:dyDescent="0.3">
      <c r="A12" s="65">
        <v>10</v>
      </c>
      <c r="B12" s="63">
        <v>46036</v>
      </c>
      <c r="C12" s="66" t="s">
        <v>186</v>
      </c>
      <c r="D12" s="66" t="s">
        <v>97</v>
      </c>
      <c r="E12" s="67"/>
      <c r="F12" s="67"/>
      <c r="G12" s="67"/>
      <c r="H12" s="67" t="s">
        <v>215</v>
      </c>
      <c r="I12" s="67"/>
      <c r="J12" s="67"/>
      <c r="K12" s="67"/>
      <c r="L12" s="67"/>
      <c r="M12" s="67"/>
      <c r="N12" s="74" t="s">
        <v>213</v>
      </c>
      <c r="O12" s="74" t="s">
        <v>213</v>
      </c>
      <c r="P12" s="67"/>
      <c r="Q12" s="74" t="s">
        <v>213</v>
      </c>
      <c r="R12" s="67"/>
      <c r="S12" s="74" t="s">
        <v>213</v>
      </c>
      <c r="T12" s="67"/>
      <c r="U12" s="67"/>
      <c r="V12" s="74" t="s">
        <v>213</v>
      </c>
      <c r="W12" s="67"/>
      <c r="X12" s="67"/>
      <c r="Y12" s="76"/>
      <c r="Z12" s="67"/>
      <c r="AA12" s="67"/>
      <c r="AB12" s="67"/>
      <c r="AC12" s="67"/>
      <c r="AD12" s="67"/>
      <c r="AE12" s="67"/>
      <c r="AF12" s="75"/>
      <c r="AG12" s="67"/>
      <c r="AH12" s="67"/>
      <c r="AI12" s="67"/>
      <c r="AJ12" s="80" t="str">
        <f>VLOOKUP(B12,'For A grades - 11 days'!B11:AJ200,35,0)</f>
        <v>Regional</v>
      </c>
      <c r="AK12" s="62"/>
    </row>
    <row r="13" spans="1:37 16352:16352" x14ac:dyDescent="0.3">
      <c r="A13" s="65">
        <v>11</v>
      </c>
      <c r="B13" s="63">
        <v>46037</v>
      </c>
      <c r="C13" s="66" t="s">
        <v>142</v>
      </c>
      <c r="D13" s="66" t="s">
        <v>96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5"/>
      <c r="T13" s="67"/>
      <c r="U13" s="67"/>
      <c r="V13" s="74" t="s">
        <v>213</v>
      </c>
      <c r="W13" s="67"/>
      <c r="X13" s="67"/>
      <c r="Y13" s="76"/>
      <c r="Z13" s="67"/>
      <c r="AA13" s="74" t="s">
        <v>213</v>
      </c>
      <c r="AB13" s="67"/>
      <c r="AC13" s="67"/>
      <c r="AD13" s="74" t="s">
        <v>213</v>
      </c>
      <c r="AE13" s="74" t="s">
        <v>213</v>
      </c>
      <c r="AF13" s="74" t="s">
        <v>213</v>
      </c>
      <c r="AG13" s="74" t="s">
        <v>213</v>
      </c>
      <c r="AH13" s="67"/>
      <c r="AI13" s="67"/>
      <c r="AJ13" s="62" t="str">
        <f>VLOOKUP(B13,'For A grades - 11 days'!B12:AJ201,35,0)</f>
        <v>Optional</v>
      </c>
      <c r="AK13" s="62"/>
    </row>
    <row r="14" spans="1:37 16352:16352" x14ac:dyDescent="0.3">
      <c r="A14" s="65">
        <v>12</v>
      </c>
      <c r="B14" s="63">
        <v>46038</v>
      </c>
      <c r="C14" s="66" t="s">
        <v>201</v>
      </c>
      <c r="D14" s="66" t="s">
        <v>127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5"/>
      <c r="T14" s="67"/>
      <c r="U14" s="67"/>
      <c r="V14" s="67"/>
      <c r="W14" s="67"/>
      <c r="X14" s="67"/>
      <c r="Y14" s="76"/>
      <c r="Z14" s="67"/>
      <c r="AA14" s="67"/>
      <c r="AB14" s="67"/>
      <c r="AC14" s="67"/>
      <c r="AD14" s="67"/>
      <c r="AE14" s="74" t="s">
        <v>213</v>
      </c>
      <c r="AF14" s="74" t="s">
        <v>213</v>
      </c>
      <c r="AG14" s="74" t="s">
        <v>213</v>
      </c>
      <c r="AH14" s="67"/>
      <c r="AI14" s="67"/>
      <c r="AJ14" s="62"/>
      <c r="AK14" s="62"/>
    </row>
    <row r="15" spans="1:37 16352:16352" x14ac:dyDescent="0.3">
      <c r="A15" s="65">
        <v>13</v>
      </c>
      <c r="B15" s="63">
        <v>46039</v>
      </c>
      <c r="C15" s="66" t="s">
        <v>143</v>
      </c>
      <c r="D15" s="66" t="s">
        <v>64</v>
      </c>
      <c r="E15" s="67"/>
      <c r="F15" s="67"/>
      <c r="G15" s="67"/>
      <c r="H15" s="67"/>
      <c r="I15" s="67"/>
      <c r="J15" s="67" t="s">
        <v>221</v>
      </c>
      <c r="K15" s="67"/>
      <c r="L15" s="67"/>
      <c r="M15" s="67"/>
      <c r="N15" s="67"/>
      <c r="O15" s="67"/>
      <c r="P15" s="67"/>
      <c r="Q15" s="67"/>
      <c r="R15" s="67"/>
      <c r="S15" s="75"/>
      <c r="T15" s="67"/>
      <c r="U15" s="67"/>
      <c r="V15" s="67"/>
      <c r="W15" s="67"/>
      <c r="X15" s="67"/>
      <c r="Y15" s="76"/>
      <c r="Z15" s="67"/>
      <c r="AA15" s="67"/>
      <c r="AB15" s="67"/>
      <c r="AC15" s="67"/>
      <c r="AD15" s="67"/>
      <c r="AE15" s="67" t="s">
        <v>219</v>
      </c>
      <c r="AF15" s="75"/>
      <c r="AG15" s="67" t="s">
        <v>219</v>
      </c>
      <c r="AH15" s="67"/>
      <c r="AI15" s="67"/>
      <c r="AJ15" s="62"/>
      <c r="AK15" s="62"/>
    </row>
    <row r="16" spans="1:37 16352:16352" s="48" customFormat="1" x14ac:dyDescent="0.3">
      <c r="A16" s="65">
        <v>14</v>
      </c>
      <c r="B16" s="63">
        <v>46041</v>
      </c>
      <c r="C16" s="66" t="s">
        <v>194</v>
      </c>
      <c r="D16" s="66" t="s">
        <v>98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5"/>
      <c r="T16" s="67"/>
      <c r="U16" s="67"/>
      <c r="V16" s="67"/>
      <c r="W16" s="67"/>
      <c r="X16" s="67"/>
      <c r="Y16" s="76"/>
      <c r="Z16" s="67"/>
      <c r="AA16" s="67" t="s">
        <v>215</v>
      </c>
      <c r="AB16" s="67"/>
      <c r="AC16" s="67"/>
      <c r="AD16" s="67"/>
      <c r="AE16" s="67"/>
      <c r="AF16" s="75"/>
      <c r="AG16" s="67"/>
      <c r="AH16" s="67"/>
      <c r="AI16" s="67"/>
      <c r="AJ16" s="62"/>
      <c r="AK16" s="62"/>
    </row>
    <row r="17" spans="1:37" s="48" customFormat="1" x14ac:dyDescent="0.3">
      <c r="A17" s="65">
        <v>15</v>
      </c>
      <c r="B17" s="63">
        <v>46042</v>
      </c>
      <c r="C17" s="66" t="s">
        <v>240</v>
      </c>
      <c r="D17" s="66" t="s">
        <v>101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 t="s">
        <v>213</v>
      </c>
      <c r="P17" s="67"/>
      <c r="Q17" s="67"/>
      <c r="R17" s="67"/>
      <c r="S17" s="75"/>
      <c r="T17" s="67"/>
      <c r="U17" s="67"/>
      <c r="V17" s="67"/>
      <c r="W17" s="67"/>
      <c r="X17" s="67"/>
      <c r="Y17" s="76"/>
      <c r="Z17" s="67"/>
      <c r="AA17" s="67"/>
      <c r="AB17" s="67"/>
      <c r="AC17" s="67"/>
      <c r="AD17" s="67"/>
      <c r="AE17" s="67"/>
      <c r="AF17" s="75"/>
      <c r="AG17" s="67"/>
      <c r="AH17" s="67"/>
      <c r="AI17" s="67"/>
      <c r="AJ17" s="62"/>
      <c r="AK17" s="62"/>
    </row>
    <row r="18" spans="1:37" x14ac:dyDescent="0.3">
      <c r="A18" s="65">
        <v>16</v>
      </c>
      <c r="B18" s="63">
        <v>46045</v>
      </c>
      <c r="C18" s="66" t="s">
        <v>181</v>
      </c>
      <c r="D18" s="66" t="s">
        <v>127</v>
      </c>
      <c r="E18" s="67"/>
      <c r="F18" s="67"/>
      <c r="G18" s="67"/>
      <c r="H18" s="67" t="s">
        <v>215</v>
      </c>
      <c r="I18" s="67"/>
      <c r="J18" s="67"/>
      <c r="K18" s="67"/>
      <c r="L18" s="67"/>
      <c r="M18" s="67"/>
      <c r="N18" s="67" t="s">
        <v>213</v>
      </c>
      <c r="O18" s="67" t="s">
        <v>213</v>
      </c>
      <c r="P18" s="67"/>
      <c r="Q18" s="67" t="s">
        <v>213</v>
      </c>
      <c r="R18" s="67"/>
      <c r="S18" s="74" t="s">
        <v>213</v>
      </c>
      <c r="T18" s="67" t="s">
        <v>213</v>
      </c>
      <c r="U18" s="67"/>
      <c r="V18" s="67" t="s">
        <v>213</v>
      </c>
      <c r="W18" s="67"/>
      <c r="X18" s="67"/>
      <c r="Y18" s="76"/>
      <c r="Z18" s="67"/>
      <c r="AA18" s="67"/>
      <c r="AB18" s="67"/>
      <c r="AC18" s="67"/>
      <c r="AD18" s="67"/>
      <c r="AE18" s="67"/>
      <c r="AF18" s="75"/>
      <c r="AG18" s="67"/>
      <c r="AH18" s="67"/>
      <c r="AI18" s="67"/>
      <c r="AJ18" s="62"/>
      <c r="AK18" s="62"/>
    </row>
    <row r="19" spans="1:37" x14ac:dyDescent="0.3">
      <c r="A19" s="65">
        <v>17</v>
      </c>
      <c r="B19" s="63">
        <v>46046</v>
      </c>
      <c r="C19" s="66" t="s">
        <v>276</v>
      </c>
      <c r="D19" s="66" t="s">
        <v>64</v>
      </c>
      <c r="E19" s="67"/>
      <c r="F19" s="67"/>
      <c r="G19" s="67"/>
      <c r="H19" s="67"/>
      <c r="I19" s="67"/>
      <c r="J19" s="67"/>
      <c r="K19" s="67"/>
      <c r="L19" s="67"/>
      <c r="M19" s="67"/>
      <c r="N19" s="67" t="s">
        <v>219</v>
      </c>
      <c r="O19" s="67"/>
      <c r="P19" s="67"/>
      <c r="Q19" s="67" t="s">
        <v>219</v>
      </c>
      <c r="R19" s="67"/>
      <c r="S19" s="75"/>
      <c r="T19" s="67"/>
      <c r="U19" s="67"/>
      <c r="V19" s="67"/>
      <c r="W19" s="67"/>
      <c r="X19" s="67"/>
      <c r="Y19" s="76"/>
      <c r="Z19" s="67"/>
      <c r="AA19" s="67"/>
      <c r="AB19" s="67"/>
      <c r="AC19" s="67"/>
      <c r="AD19" s="67"/>
      <c r="AE19" s="67"/>
      <c r="AF19" s="75"/>
      <c r="AG19" s="67"/>
      <c r="AH19" s="67"/>
      <c r="AI19" s="67"/>
      <c r="AJ19" s="62"/>
      <c r="AK19" s="62"/>
    </row>
    <row r="20" spans="1:37" x14ac:dyDescent="0.3">
      <c r="A20" s="65">
        <v>18</v>
      </c>
      <c r="B20" s="63">
        <v>46047</v>
      </c>
      <c r="C20" s="66" t="s">
        <v>340</v>
      </c>
      <c r="D20" s="66" t="s">
        <v>63</v>
      </c>
      <c r="E20" s="67"/>
      <c r="F20" s="67"/>
      <c r="G20" s="67"/>
      <c r="H20" s="67" t="s">
        <v>219</v>
      </c>
      <c r="I20" s="67"/>
      <c r="J20" s="67"/>
      <c r="K20" s="67"/>
      <c r="L20" s="67" t="s">
        <v>219</v>
      </c>
      <c r="M20" s="67"/>
      <c r="N20" s="67"/>
      <c r="O20" s="67"/>
      <c r="P20" s="67"/>
      <c r="Q20" s="67"/>
      <c r="R20" s="67"/>
      <c r="S20" s="75"/>
      <c r="T20" s="67"/>
      <c r="U20" s="67"/>
      <c r="V20" s="67"/>
      <c r="W20" s="67"/>
      <c r="X20" s="67"/>
      <c r="Y20" s="76"/>
      <c r="Z20" s="67"/>
      <c r="AA20" s="67"/>
      <c r="AB20" s="67"/>
      <c r="AC20" s="67"/>
      <c r="AD20" s="67"/>
      <c r="AE20" s="67"/>
      <c r="AF20" s="75"/>
      <c r="AG20" s="67"/>
      <c r="AH20" s="67"/>
      <c r="AI20" s="67"/>
      <c r="AJ20" s="62"/>
      <c r="AK20" s="62"/>
    </row>
    <row r="21" spans="1:37" x14ac:dyDescent="0.3">
      <c r="A21" s="65">
        <v>19</v>
      </c>
      <c r="B21" s="63">
        <v>46048</v>
      </c>
      <c r="C21" s="66" t="s">
        <v>30</v>
      </c>
      <c r="D21" s="66" t="s">
        <v>98</v>
      </c>
      <c r="E21" s="67"/>
      <c r="F21" s="67"/>
      <c r="G21" s="67"/>
      <c r="H21" s="74" t="s">
        <v>212</v>
      </c>
      <c r="I21" s="67"/>
      <c r="J21" s="74" t="s">
        <v>212</v>
      </c>
      <c r="K21" s="67"/>
      <c r="L21" s="74" t="s">
        <v>212</v>
      </c>
      <c r="M21" s="67"/>
      <c r="N21" s="74" t="s">
        <v>212</v>
      </c>
      <c r="O21" s="74" t="s">
        <v>212</v>
      </c>
      <c r="P21" s="67"/>
      <c r="Q21" s="74" t="s">
        <v>212</v>
      </c>
      <c r="R21" s="67"/>
      <c r="S21" s="74" t="s">
        <v>212</v>
      </c>
      <c r="T21" s="74" t="s">
        <v>212</v>
      </c>
      <c r="U21" s="67"/>
      <c r="V21" s="74" t="s">
        <v>212</v>
      </c>
      <c r="W21" s="74" t="s">
        <v>212</v>
      </c>
      <c r="X21" s="74" t="s">
        <v>212</v>
      </c>
      <c r="Y21" s="74" t="s">
        <v>212</v>
      </c>
      <c r="Z21" s="67"/>
      <c r="AA21" s="74" t="s">
        <v>212</v>
      </c>
      <c r="AB21" s="67"/>
      <c r="AC21" s="67"/>
      <c r="AD21" s="74" t="s">
        <v>212</v>
      </c>
      <c r="AE21" s="74" t="s">
        <v>212</v>
      </c>
      <c r="AF21" s="74" t="s">
        <v>212</v>
      </c>
      <c r="AG21" s="74" t="s">
        <v>212</v>
      </c>
      <c r="AH21" s="67"/>
      <c r="AI21" s="74" t="s">
        <v>212</v>
      </c>
      <c r="AJ21" s="80" t="str">
        <f>VLOOKUP(B21,'For A grades - 11 days'!B20:AJ209,35,0)</f>
        <v>National</v>
      </c>
      <c r="AK21" s="62"/>
    </row>
    <row r="22" spans="1:37" x14ac:dyDescent="0.3">
      <c r="A22" s="65">
        <v>20</v>
      </c>
      <c r="B22" s="63">
        <v>46049</v>
      </c>
      <c r="C22" s="66" t="s">
        <v>216</v>
      </c>
      <c r="D22" s="66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5"/>
      <c r="T22" s="67"/>
      <c r="U22" s="67"/>
      <c r="V22" s="74" t="s">
        <v>213</v>
      </c>
      <c r="W22" s="67"/>
      <c r="X22" s="67"/>
      <c r="Y22" s="76"/>
      <c r="Z22" s="67"/>
      <c r="AA22" s="67"/>
      <c r="AB22" s="67"/>
      <c r="AC22" s="67"/>
      <c r="AD22" s="67" t="s">
        <v>213</v>
      </c>
      <c r="AE22" s="67"/>
      <c r="AF22" s="75"/>
      <c r="AG22" s="67"/>
      <c r="AH22" s="67"/>
      <c r="AI22" s="67"/>
      <c r="AJ22" s="62"/>
      <c r="AK22" s="62"/>
    </row>
    <row r="23" spans="1:37" x14ac:dyDescent="0.3">
      <c r="A23" s="65">
        <v>21</v>
      </c>
      <c r="B23" s="63">
        <v>46051</v>
      </c>
      <c r="C23" s="66" t="s">
        <v>198</v>
      </c>
      <c r="D23" s="66" t="s">
        <v>96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5"/>
      <c r="T23" s="67"/>
      <c r="U23" s="67"/>
      <c r="V23" s="67"/>
      <c r="W23" s="67"/>
      <c r="X23" s="67"/>
      <c r="Y23" s="76"/>
      <c r="Z23" s="67"/>
      <c r="AA23" s="67"/>
      <c r="AB23" s="67"/>
      <c r="AC23" s="67"/>
      <c r="AD23" s="67"/>
      <c r="AE23" s="67"/>
      <c r="AF23" s="75"/>
      <c r="AG23" s="67"/>
      <c r="AH23" s="67"/>
      <c r="AI23" s="67"/>
      <c r="AJ23" s="62"/>
      <c r="AK23" s="62"/>
    </row>
    <row r="24" spans="1:37" x14ac:dyDescent="0.3">
      <c r="A24" s="65">
        <v>22</v>
      </c>
      <c r="B24" s="63">
        <v>46053</v>
      </c>
      <c r="C24" s="66" t="s">
        <v>296</v>
      </c>
      <c r="D24" s="66" t="s">
        <v>64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5"/>
      <c r="T24" s="67"/>
      <c r="U24" s="67"/>
      <c r="V24" s="67" t="s">
        <v>219</v>
      </c>
      <c r="W24" s="67"/>
      <c r="X24" s="67"/>
      <c r="Y24" s="76"/>
      <c r="Z24" s="67"/>
      <c r="AA24" s="67"/>
      <c r="AB24" s="67"/>
      <c r="AC24" s="67"/>
      <c r="AD24" s="67"/>
      <c r="AE24" s="67"/>
      <c r="AF24" s="75"/>
      <c r="AG24" s="67"/>
      <c r="AH24" s="67"/>
      <c r="AI24" s="67"/>
      <c r="AJ24" s="62" t="str">
        <f>VLOOKUP(B24,'For A grades - 11 days'!B23:AJ212,35,0)</f>
        <v>Optional-WE</v>
      </c>
      <c r="AK24" s="62"/>
    </row>
    <row r="25" spans="1:37" x14ac:dyDescent="0.3">
      <c r="A25" s="65">
        <v>23</v>
      </c>
      <c r="B25" s="63">
        <v>46054</v>
      </c>
      <c r="C25" s="66" t="s">
        <v>277</v>
      </c>
      <c r="D25" s="66" t="s">
        <v>63</v>
      </c>
      <c r="E25" s="67"/>
      <c r="F25" s="67"/>
      <c r="G25" s="67"/>
      <c r="H25" s="67" t="s">
        <v>219</v>
      </c>
      <c r="I25" s="67"/>
      <c r="J25" s="67"/>
      <c r="K25" s="67"/>
      <c r="L25" s="67"/>
      <c r="M25" s="67"/>
      <c r="N25" s="67" t="s">
        <v>219</v>
      </c>
      <c r="O25" s="67"/>
      <c r="P25" s="67"/>
      <c r="Q25" s="67" t="s">
        <v>219</v>
      </c>
      <c r="R25" s="67"/>
      <c r="S25" s="75"/>
      <c r="T25" s="67"/>
      <c r="U25" s="67"/>
      <c r="V25" s="67" t="s">
        <v>219</v>
      </c>
      <c r="W25" s="67"/>
      <c r="X25" s="67"/>
      <c r="Y25" s="76"/>
      <c r="Z25" s="67"/>
      <c r="AA25" s="67"/>
      <c r="AB25" s="67"/>
      <c r="AC25" s="67"/>
      <c r="AD25" s="67"/>
      <c r="AE25" s="67" t="s">
        <v>219</v>
      </c>
      <c r="AF25" s="75"/>
      <c r="AG25" s="67" t="s">
        <v>219</v>
      </c>
      <c r="AH25" s="67"/>
      <c r="AI25" s="67"/>
      <c r="AJ25" s="62"/>
      <c r="AK25" s="62"/>
    </row>
    <row r="26" spans="1:37" x14ac:dyDescent="0.3">
      <c r="A26" s="65">
        <v>24</v>
      </c>
      <c r="B26" s="63">
        <v>46056</v>
      </c>
      <c r="C26" s="66" t="s">
        <v>241</v>
      </c>
      <c r="D26" s="66" t="s">
        <v>101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 t="s">
        <v>213</v>
      </c>
      <c r="P26" s="67"/>
      <c r="Q26" s="67"/>
      <c r="R26" s="67"/>
      <c r="S26" s="75"/>
      <c r="T26" s="67"/>
      <c r="U26" s="67"/>
      <c r="V26" s="67"/>
      <c r="W26" s="67"/>
      <c r="X26" s="67"/>
      <c r="Y26" s="76"/>
      <c r="Z26" s="67"/>
      <c r="AA26" s="67"/>
      <c r="AB26" s="67"/>
      <c r="AC26" s="67"/>
      <c r="AD26" s="67"/>
      <c r="AE26" s="67"/>
      <c r="AF26" s="75"/>
      <c r="AG26" s="67"/>
      <c r="AH26" s="67"/>
      <c r="AI26" s="67"/>
      <c r="AJ26" s="62"/>
      <c r="AK26" s="62"/>
    </row>
    <row r="27" spans="1:37" x14ac:dyDescent="0.3">
      <c r="A27" s="65">
        <v>25</v>
      </c>
      <c r="B27" s="63">
        <v>46057</v>
      </c>
      <c r="C27" s="66" t="s">
        <v>217</v>
      </c>
      <c r="D27" s="66" t="s">
        <v>97</v>
      </c>
      <c r="E27" s="67"/>
      <c r="F27" s="67"/>
      <c r="G27" s="67"/>
      <c r="H27" s="67"/>
      <c r="I27" s="67"/>
      <c r="J27" s="67"/>
      <c r="K27" s="67"/>
      <c r="L27" s="67"/>
      <c r="M27" s="67"/>
      <c r="N27" s="67" t="s">
        <v>213</v>
      </c>
      <c r="O27" s="67"/>
      <c r="P27" s="67"/>
      <c r="Q27" s="67" t="s">
        <v>213</v>
      </c>
      <c r="R27" s="67"/>
      <c r="S27" s="75"/>
      <c r="T27" s="67"/>
      <c r="U27" s="67"/>
      <c r="V27" s="67"/>
      <c r="W27" s="67"/>
      <c r="X27" s="67"/>
      <c r="Y27" s="76"/>
      <c r="Z27" s="67"/>
      <c r="AA27" s="67"/>
      <c r="AB27" s="67"/>
      <c r="AC27" s="67"/>
      <c r="AD27" s="67" t="s">
        <v>213</v>
      </c>
      <c r="AE27" s="67"/>
      <c r="AF27" s="75"/>
      <c r="AG27" s="67"/>
      <c r="AH27" s="67"/>
      <c r="AI27" s="67"/>
      <c r="AJ27" s="62" t="str">
        <f>VLOOKUP(B27,'For A grades - 11 days'!B26:AJ215,35,0)</f>
        <v>Optional</v>
      </c>
      <c r="AK27" s="62"/>
    </row>
    <row r="28" spans="1:37" x14ac:dyDescent="0.3">
      <c r="A28" s="65">
        <v>26</v>
      </c>
      <c r="B28" s="63">
        <v>46065</v>
      </c>
      <c r="C28" s="66" t="s">
        <v>242</v>
      </c>
      <c r="D28" s="66" t="s">
        <v>96</v>
      </c>
      <c r="E28" s="67"/>
      <c r="F28" s="67"/>
      <c r="G28" s="67"/>
      <c r="H28" s="67" t="s">
        <v>215</v>
      </c>
      <c r="I28" s="67"/>
      <c r="J28" s="67"/>
      <c r="K28" s="67"/>
      <c r="L28" s="67"/>
      <c r="M28" s="67"/>
      <c r="N28" s="67"/>
      <c r="O28" s="67" t="s">
        <v>213</v>
      </c>
      <c r="P28" s="67"/>
      <c r="Q28" s="67"/>
      <c r="R28" s="67"/>
      <c r="S28" s="75"/>
      <c r="T28" s="67"/>
      <c r="U28" s="67"/>
      <c r="V28" s="67"/>
      <c r="W28" s="67"/>
      <c r="X28" s="67"/>
      <c r="Y28" s="76"/>
      <c r="Z28" s="67"/>
      <c r="AA28" s="67"/>
      <c r="AB28" s="67"/>
      <c r="AC28" s="67"/>
      <c r="AD28" s="67"/>
      <c r="AE28" s="67"/>
      <c r="AF28" s="75"/>
      <c r="AG28" s="67"/>
      <c r="AH28" s="67"/>
      <c r="AI28" s="67"/>
      <c r="AJ28" s="62"/>
      <c r="AK28" s="62"/>
    </row>
    <row r="29" spans="1:37" x14ac:dyDescent="0.3">
      <c r="A29" s="65">
        <v>27</v>
      </c>
      <c r="B29" s="63">
        <v>46068</v>
      </c>
      <c r="C29" s="66" t="s">
        <v>136</v>
      </c>
      <c r="D29" s="67" t="s">
        <v>63</v>
      </c>
      <c r="E29" s="67"/>
      <c r="F29" s="67"/>
      <c r="G29" s="67"/>
      <c r="H29" s="67" t="s">
        <v>219</v>
      </c>
      <c r="I29" s="67"/>
      <c r="J29" s="67" t="s">
        <v>221</v>
      </c>
      <c r="K29" s="67"/>
      <c r="L29" s="67" t="s">
        <v>219</v>
      </c>
      <c r="M29" s="67"/>
      <c r="N29" s="67" t="s">
        <v>219</v>
      </c>
      <c r="O29" s="67"/>
      <c r="P29" s="67"/>
      <c r="Q29" s="67"/>
      <c r="R29" s="67"/>
      <c r="S29" s="67" t="s">
        <v>219</v>
      </c>
      <c r="T29" s="67" t="s">
        <v>219</v>
      </c>
      <c r="U29" s="67"/>
      <c r="V29" s="67"/>
      <c r="W29" s="75" t="s">
        <v>219</v>
      </c>
      <c r="X29" s="67"/>
      <c r="Y29" s="76"/>
      <c r="Z29" s="67"/>
      <c r="AA29" s="67"/>
      <c r="AB29" s="67"/>
      <c r="AC29" s="67"/>
      <c r="AD29" s="67"/>
      <c r="AE29" s="67"/>
      <c r="AF29" s="75"/>
      <c r="AG29" s="67"/>
      <c r="AH29" s="67"/>
      <c r="AI29" s="67" t="s">
        <v>219</v>
      </c>
      <c r="AJ29" s="62" t="str">
        <f>VLOOKUP(B29,'For A grades - 11 days'!B28:AJ217,35,0)</f>
        <v>Regional-WE</v>
      </c>
      <c r="AK29" s="62"/>
    </row>
    <row r="30" spans="1:37" x14ac:dyDescent="0.3">
      <c r="A30" s="65">
        <v>28</v>
      </c>
      <c r="B30" s="63">
        <v>46069</v>
      </c>
      <c r="C30" s="66" t="s">
        <v>341</v>
      </c>
      <c r="D30" s="69" t="s">
        <v>98</v>
      </c>
      <c r="E30" s="67"/>
      <c r="F30" s="67"/>
      <c r="G30" s="67"/>
      <c r="H30" s="67"/>
      <c r="I30" s="67"/>
      <c r="J30" s="74" t="s">
        <v>215</v>
      </c>
      <c r="K30" s="67"/>
      <c r="L30" s="67"/>
      <c r="M30" s="67"/>
      <c r="N30" s="67"/>
      <c r="O30" s="67"/>
      <c r="P30" s="67"/>
      <c r="Q30" s="75" t="s">
        <v>213</v>
      </c>
      <c r="R30" s="67"/>
      <c r="S30" s="75"/>
      <c r="T30" s="67"/>
      <c r="U30" s="67"/>
      <c r="V30" s="67"/>
      <c r="W30" s="67"/>
      <c r="X30" s="67"/>
      <c r="Y30" s="76"/>
      <c r="Z30" s="67"/>
      <c r="AA30" s="67"/>
      <c r="AB30" s="67"/>
      <c r="AC30" s="67"/>
      <c r="AD30" s="67"/>
      <c r="AE30" s="67"/>
      <c r="AF30" s="75"/>
      <c r="AG30" s="67"/>
      <c r="AH30" s="67"/>
      <c r="AI30" s="67"/>
      <c r="AJ30" s="62"/>
      <c r="AK30" s="62"/>
    </row>
    <row r="31" spans="1:37" s="48" customFormat="1" x14ac:dyDescent="0.3">
      <c r="A31" s="65">
        <v>29</v>
      </c>
      <c r="B31" s="63">
        <v>46071</v>
      </c>
      <c r="C31" s="66" t="s">
        <v>195</v>
      </c>
      <c r="D31" s="66" t="s">
        <v>97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5"/>
      <c r="T31" s="67"/>
      <c r="U31" s="67"/>
      <c r="V31" s="67"/>
      <c r="W31" s="67"/>
      <c r="X31" s="67"/>
      <c r="Y31" s="76"/>
      <c r="Z31" s="67"/>
      <c r="AA31" s="67" t="s">
        <v>213</v>
      </c>
      <c r="AB31" s="67"/>
      <c r="AC31" s="67"/>
      <c r="AD31" s="67"/>
      <c r="AE31" s="67"/>
      <c r="AF31" s="75"/>
      <c r="AG31" s="67"/>
      <c r="AH31" s="67"/>
      <c r="AI31" s="67"/>
      <c r="AJ31" s="62"/>
      <c r="AK31" s="62"/>
    </row>
    <row r="32" spans="1:37" s="48" customFormat="1" x14ac:dyDescent="0.3">
      <c r="A32" s="65">
        <v>30</v>
      </c>
      <c r="B32" s="63">
        <v>46072</v>
      </c>
      <c r="C32" s="66" t="s">
        <v>206</v>
      </c>
      <c r="D32" s="66" t="s">
        <v>96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 t="s">
        <v>213</v>
      </c>
      <c r="P32" s="67"/>
      <c r="Q32" s="67"/>
      <c r="R32" s="67"/>
      <c r="S32" s="75"/>
      <c r="T32" s="67"/>
      <c r="U32" s="67"/>
      <c r="V32" s="67"/>
      <c r="W32" s="67"/>
      <c r="X32" s="67"/>
      <c r="Y32" s="76"/>
      <c r="Z32" s="67"/>
      <c r="AA32" s="67"/>
      <c r="AB32" s="67"/>
      <c r="AC32" s="67"/>
      <c r="AD32" s="67"/>
      <c r="AE32" s="67"/>
      <c r="AF32" s="75"/>
      <c r="AG32" s="67"/>
      <c r="AH32" s="67"/>
      <c r="AI32" s="67"/>
      <c r="AJ32" s="62"/>
      <c r="AK32" s="62"/>
    </row>
    <row r="33" spans="1:37" x14ac:dyDescent="0.3">
      <c r="A33" s="65">
        <v>31</v>
      </c>
      <c r="B33" s="63">
        <v>46073</v>
      </c>
      <c r="C33" s="66" t="s">
        <v>162</v>
      </c>
      <c r="D33" s="66" t="s">
        <v>127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5"/>
      <c r="T33" s="67"/>
      <c r="U33" s="67"/>
      <c r="V33" s="67"/>
      <c r="W33" s="67"/>
      <c r="X33" s="67"/>
      <c r="Y33" s="74" t="s">
        <v>213</v>
      </c>
      <c r="Z33" s="67"/>
      <c r="AA33" s="67"/>
      <c r="AB33" s="67"/>
      <c r="AC33" s="67"/>
      <c r="AD33" s="67"/>
      <c r="AE33" s="67"/>
      <c r="AF33" s="75"/>
      <c r="AG33" s="67"/>
      <c r="AH33" s="67"/>
      <c r="AI33" s="67"/>
      <c r="AJ33" s="62"/>
      <c r="AK33" s="62"/>
    </row>
    <row r="34" spans="1:37" x14ac:dyDescent="0.3">
      <c r="A34" s="65">
        <v>32</v>
      </c>
      <c r="B34" s="63">
        <v>46079</v>
      </c>
      <c r="C34" s="66" t="s">
        <v>306</v>
      </c>
      <c r="D34" s="66" t="s">
        <v>96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5"/>
      <c r="T34" s="67"/>
      <c r="U34" s="67"/>
      <c r="V34" s="67"/>
      <c r="W34" s="67"/>
      <c r="X34" s="67"/>
      <c r="Y34" s="76"/>
      <c r="Z34" s="67"/>
      <c r="AA34" s="74" t="s">
        <v>213</v>
      </c>
      <c r="AB34" s="67"/>
      <c r="AC34" s="67"/>
      <c r="AD34" s="67"/>
      <c r="AE34" s="67"/>
      <c r="AF34" s="75"/>
      <c r="AG34" s="67"/>
      <c r="AH34" s="67"/>
      <c r="AI34" s="67"/>
      <c r="AJ34" s="62"/>
      <c r="AK34" s="62"/>
    </row>
    <row r="35" spans="1:37" x14ac:dyDescent="0.3">
      <c r="A35" s="65">
        <v>33</v>
      </c>
      <c r="B35" s="63">
        <v>46083</v>
      </c>
      <c r="C35" s="66" t="s">
        <v>279</v>
      </c>
      <c r="D35" s="68" t="s">
        <v>98</v>
      </c>
      <c r="E35" s="67"/>
      <c r="F35" s="67"/>
      <c r="G35" s="67"/>
      <c r="H35" s="67"/>
      <c r="I35" s="67"/>
      <c r="J35" s="67"/>
      <c r="K35" s="67"/>
      <c r="L35" s="74" t="s">
        <v>213</v>
      </c>
      <c r="M35" s="67"/>
      <c r="N35" s="67" t="s">
        <v>213</v>
      </c>
      <c r="O35" s="67"/>
      <c r="P35" s="67"/>
      <c r="Q35" s="67" t="s">
        <v>213</v>
      </c>
      <c r="R35" s="67"/>
      <c r="S35" s="75"/>
      <c r="T35" s="67"/>
      <c r="U35" s="67"/>
      <c r="V35" s="67"/>
      <c r="W35" s="67"/>
      <c r="X35" s="67"/>
      <c r="Y35" s="76"/>
      <c r="Z35" s="67"/>
      <c r="AA35" s="67"/>
      <c r="AB35" s="67"/>
      <c r="AC35" s="67"/>
      <c r="AD35" s="75" t="s">
        <v>213</v>
      </c>
      <c r="AE35" s="67"/>
      <c r="AF35" s="75"/>
      <c r="AG35" s="67"/>
      <c r="AH35" s="67"/>
      <c r="AI35" s="67"/>
      <c r="AJ35" s="62"/>
      <c r="AK35" s="62"/>
    </row>
    <row r="36" spans="1:37" x14ac:dyDescent="0.3">
      <c r="A36" s="65">
        <v>34</v>
      </c>
      <c r="B36" s="63">
        <v>46084</v>
      </c>
      <c r="C36" s="66" t="s">
        <v>342</v>
      </c>
      <c r="D36" s="66" t="s">
        <v>101</v>
      </c>
      <c r="E36" s="67"/>
      <c r="F36" s="67"/>
      <c r="G36" s="67"/>
      <c r="H36" s="67"/>
      <c r="I36" s="67"/>
      <c r="J36" s="67" t="s">
        <v>215</v>
      </c>
      <c r="K36" s="67"/>
      <c r="L36" s="74" t="s">
        <v>213</v>
      </c>
      <c r="M36" s="67"/>
      <c r="N36" s="67"/>
      <c r="O36" s="67" t="s">
        <v>213</v>
      </c>
      <c r="P36" s="67"/>
      <c r="Q36" s="74" t="s">
        <v>213</v>
      </c>
      <c r="R36" s="67"/>
      <c r="S36" s="75"/>
      <c r="T36" s="74" t="s">
        <v>213</v>
      </c>
      <c r="U36" s="67"/>
      <c r="V36" s="74" t="s">
        <v>213</v>
      </c>
      <c r="W36" s="74" t="s">
        <v>213</v>
      </c>
      <c r="X36" s="67"/>
      <c r="Y36" s="76"/>
      <c r="Z36" s="67"/>
      <c r="AA36" s="74" t="s">
        <v>213</v>
      </c>
      <c r="AB36" s="67"/>
      <c r="AC36" s="67"/>
      <c r="AD36" s="67"/>
      <c r="AE36" s="67"/>
      <c r="AF36" s="75"/>
      <c r="AG36" s="67"/>
      <c r="AH36" s="67"/>
      <c r="AI36" s="74" t="s">
        <v>213</v>
      </c>
      <c r="AJ36" s="62" t="str">
        <f>VLOOKUP(B36,'For A grades - 11 days'!B35:AJ224,35,0)</f>
        <v>Optional</v>
      </c>
      <c r="AK36" s="62"/>
    </row>
    <row r="37" spans="1:37" x14ac:dyDescent="0.3">
      <c r="A37" s="65">
        <v>35</v>
      </c>
      <c r="B37" s="63">
        <v>46085</v>
      </c>
      <c r="C37" s="66" t="s">
        <v>99</v>
      </c>
      <c r="D37" s="66" t="s">
        <v>97</v>
      </c>
      <c r="E37" s="67"/>
      <c r="F37" s="67"/>
      <c r="G37" s="67"/>
      <c r="H37" s="74" t="s">
        <v>213</v>
      </c>
      <c r="I37" s="67"/>
      <c r="J37" s="74" t="s">
        <v>213</v>
      </c>
      <c r="K37" s="67"/>
      <c r="L37" s="67"/>
      <c r="M37" s="67"/>
      <c r="N37" s="74" t="s">
        <v>213</v>
      </c>
      <c r="O37" s="74" t="s">
        <v>213</v>
      </c>
      <c r="P37" s="67"/>
      <c r="Q37" s="67"/>
      <c r="R37" s="67"/>
      <c r="S37" s="74" t="s">
        <v>213</v>
      </c>
      <c r="T37" s="67"/>
      <c r="U37" s="67"/>
      <c r="V37" s="67"/>
      <c r="W37" s="67" t="s">
        <v>213</v>
      </c>
      <c r="X37" s="74" t="s">
        <v>213</v>
      </c>
      <c r="Y37" s="74" t="s">
        <v>213</v>
      </c>
      <c r="Z37" s="67"/>
      <c r="AA37" s="67"/>
      <c r="AB37" s="67"/>
      <c r="AC37" s="67"/>
      <c r="AD37" s="67"/>
      <c r="AE37" s="67"/>
      <c r="AF37" s="75"/>
      <c r="AG37" s="67"/>
      <c r="AH37" s="67"/>
      <c r="AI37" s="67"/>
      <c r="AJ37" s="80" t="str">
        <f>VLOOKUP(B37,'For A grades - 11 days'!B36:AJ225,35,0)</f>
        <v>Regional</v>
      </c>
      <c r="AK37" s="62"/>
    </row>
    <row r="38" spans="1:37" x14ac:dyDescent="0.3">
      <c r="A38" s="65">
        <v>36</v>
      </c>
      <c r="B38" s="63">
        <v>46086</v>
      </c>
      <c r="C38" s="66" t="s">
        <v>243</v>
      </c>
      <c r="D38" s="66" t="s">
        <v>96</v>
      </c>
      <c r="E38" s="67"/>
      <c r="F38" s="67"/>
      <c r="G38" s="67"/>
      <c r="H38" s="67"/>
      <c r="I38" s="67"/>
      <c r="J38" s="67"/>
      <c r="K38" s="67"/>
      <c r="L38" s="67"/>
      <c r="M38" s="67"/>
      <c r="N38" s="67" t="s">
        <v>213</v>
      </c>
      <c r="O38" s="67" t="s">
        <v>213</v>
      </c>
      <c r="P38" s="67"/>
      <c r="Q38" s="67"/>
      <c r="R38" s="67"/>
      <c r="S38" s="75"/>
      <c r="T38" s="67"/>
      <c r="U38" s="67"/>
      <c r="V38" s="67"/>
      <c r="W38" s="67"/>
      <c r="X38" s="67"/>
      <c r="Y38" s="76"/>
      <c r="Z38" s="67"/>
      <c r="AA38" s="67"/>
      <c r="AB38" s="67"/>
      <c r="AC38" s="67"/>
      <c r="AD38" s="67"/>
      <c r="AE38" s="67"/>
      <c r="AF38" s="75"/>
      <c r="AG38" s="67"/>
      <c r="AH38" s="67"/>
      <c r="AI38" s="67"/>
      <c r="AJ38" s="62"/>
      <c r="AK38" s="62"/>
    </row>
    <row r="39" spans="1:37" x14ac:dyDescent="0.3">
      <c r="A39" s="65">
        <v>37</v>
      </c>
      <c r="B39" s="63">
        <v>46092</v>
      </c>
      <c r="C39" s="66" t="s">
        <v>331</v>
      </c>
      <c r="D39" s="66" t="s">
        <v>97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5"/>
      <c r="T39" s="67"/>
      <c r="U39" s="67"/>
      <c r="V39" s="67"/>
      <c r="W39" s="67"/>
      <c r="X39" s="67"/>
      <c r="Y39" s="76"/>
      <c r="Z39" s="67"/>
      <c r="AA39" s="67"/>
      <c r="AB39" s="67"/>
      <c r="AC39" s="67"/>
      <c r="AD39" s="67"/>
      <c r="AE39" s="67"/>
      <c r="AF39" s="75"/>
      <c r="AG39" s="67"/>
      <c r="AH39" s="67"/>
      <c r="AI39" s="67"/>
      <c r="AJ39" s="62" t="str">
        <f>VLOOKUP(B39,'For A grades - 11 days'!B38:AJ227,35,0)</f>
        <v>Optional</v>
      </c>
      <c r="AK39" s="62"/>
    </row>
    <row r="40" spans="1:37" x14ac:dyDescent="0.3">
      <c r="A40" s="65">
        <v>38</v>
      </c>
      <c r="B40" s="63">
        <v>46094</v>
      </c>
      <c r="C40" s="66" t="s">
        <v>163</v>
      </c>
      <c r="D40" s="66" t="s">
        <v>127</v>
      </c>
      <c r="E40" s="67"/>
      <c r="F40" s="67"/>
      <c r="G40" s="67"/>
      <c r="H40" s="67"/>
      <c r="I40" s="67"/>
      <c r="J40" s="67" t="s">
        <v>215</v>
      </c>
      <c r="K40" s="67"/>
      <c r="L40" s="67"/>
      <c r="M40" s="67"/>
      <c r="N40" s="67" t="s">
        <v>213</v>
      </c>
      <c r="O40" s="67"/>
      <c r="P40" s="67"/>
      <c r="Q40" s="67"/>
      <c r="R40" s="67"/>
      <c r="S40" s="75"/>
      <c r="T40" s="67"/>
      <c r="U40" s="67"/>
      <c r="V40" s="67"/>
      <c r="W40" s="67"/>
      <c r="X40" s="67"/>
      <c r="Y40" s="75" t="s">
        <v>213</v>
      </c>
      <c r="Z40" s="67"/>
      <c r="AA40" s="67"/>
      <c r="AB40" s="67"/>
      <c r="AC40" s="67"/>
      <c r="AD40" s="67"/>
      <c r="AE40" s="67"/>
      <c r="AF40" s="75"/>
      <c r="AG40" s="67"/>
      <c r="AH40" s="67"/>
      <c r="AI40" s="67"/>
      <c r="AJ40" s="62"/>
      <c r="AK40" s="62"/>
    </row>
    <row r="41" spans="1:37" x14ac:dyDescent="0.3">
      <c r="A41" s="65">
        <v>39</v>
      </c>
      <c r="B41" s="63">
        <v>46098</v>
      </c>
      <c r="C41" s="66" t="s">
        <v>174</v>
      </c>
      <c r="D41" s="66" t="s">
        <v>101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5"/>
      <c r="T41" s="67"/>
      <c r="U41" s="67"/>
      <c r="V41" s="67"/>
      <c r="W41" s="67"/>
      <c r="X41" s="67"/>
      <c r="Y41" s="76"/>
      <c r="Z41" s="67"/>
      <c r="AA41" s="67"/>
      <c r="AB41" s="67"/>
      <c r="AC41" s="67"/>
      <c r="AD41" s="67" t="s">
        <v>213</v>
      </c>
      <c r="AE41" s="67"/>
      <c r="AF41" s="75"/>
      <c r="AG41" s="67"/>
      <c r="AH41" s="67"/>
      <c r="AI41" s="67"/>
      <c r="AJ41" s="62"/>
      <c r="AK41" s="62"/>
    </row>
    <row r="42" spans="1:37" x14ac:dyDescent="0.3">
      <c r="A42" s="65">
        <v>40</v>
      </c>
      <c r="B42" s="63">
        <v>46100</v>
      </c>
      <c r="C42" s="66" t="s">
        <v>244</v>
      </c>
      <c r="D42" s="66" t="s">
        <v>96</v>
      </c>
      <c r="E42" s="67"/>
      <c r="F42" s="67"/>
      <c r="G42" s="67"/>
      <c r="H42" s="67"/>
      <c r="I42" s="67"/>
      <c r="J42" s="67" t="s">
        <v>215</v>
      </c>
      <c r="K42" s="67"/>
      <c r="L42" s="67"/>
      <c r="M42" s="67"/>
      <c r="N42" s="67" t="s">
        <v>213</v>
      </c>
      <c r="O42" s="67" t="s">
        <v>213</v>
      </c>
      <c r="P42" s="67"/>
      <c r="Q42" s="67"/>
      <c r="R42" s="67"/>
      <c r="S42" s="75"/>
      <c r="T42" s="67"/>
      <c r="U42" s="67"/>
      <c r="V42" s="67"/>
      <c r="W42" s="67" t="s">
        <v>213</v>
      </c>
      <c r="X42" s="67"/>
      <c r="Y42" s="76"/>
      <c r="Z42" s="67"/>
      <c r="AA42" s="67"/>
      <c r="AB42" s="67"/>
      <c r="AC42" s="67"/>
      <c r="AD42" s="74" t="s">
        <v>213</v>
      </c>
      <c r="AE42" s="74" t="s">
        <v>213</v>
      </c>
      <c r="AF42" s="75"/>
      <c r="AG42" s="75" t="s">
        <v>213</v>
      </c>
      <c r="AH42" s="67"/>
      <c r="AI42" s="74" t="s">
        <v>213</v>
      </c>
      <c r="AJ42" s="62" t="str">
        <f>VLOOKUP(B42,'For A grades - 11 days'!B40:AJ229,35,0)</f>
        <v>Regional</v>
      </c>
      <c r="AK42" s="62"/>
    </row>
    <row r="43" spans="1:37" x14ac:dyDescent="0.3">
      <c r="A43" s="65">
        <v>41</v>
      </c>
      <c r="B43" s="63">
        <v>46101</v>
      </c>
      <c r="C43" s="66" t="s">
        <v>245</v>
      </c>
      <c r="D43" s="66" t="s">
        <v>127</v>
      </c>
      <c r="E43" s="67"/>
      <c r="F43" s="67"/>
      <c r="G43" s="67"/>
      <c r="H43" s="67"/>
      <c r="I43" s="67"/>
      <c r="J43" s="67" t="s">
        <v>215</v>
      </c>
      <c r="K43" s="67"/>
      <c r="L43" s="74" t="s">
        <v>213</v>
      </c>
      <c r="M43" s="67"/>
      <c r="N43" s="67"/>
      <c r="O43" s="74" t="s">
        <v>213</v>
      </c>
      <c r="P43" s="67"/>
      <c r="Q43" s="67"/>
      <c r="R43" s="67"/>
      <c r="S43" s="75"/>
      <c r="T43" s="67"/>
      <c r="U43" s="67"/>
      <c r="V43" s="67"/>
      <c r="W43" s="67"/>
      <c r="X43" s="67"/>
      <c r="Y43" s="76"/>
      <c r="Z43" s="67"/>
      <c r="AA43" s="67" t="s">
        <v>213</v>
      </c>
      <c r="AB43" s="67"/>
      <c r="AC43" s="67"/>
      <c r="AD43" s="74" t="s">
        <v>213</v>
      </c>
      <c r="AE43" s="67"/>
      <c r="AF43" s="75" t="s">
        <v>213</v>
      </c>
      <c r="AG43" s="67"/>
      <c r="AH43" s="67"/>
      <c r="AI43" s="67"/>
      <c r="AJ43" s="62"/>
      <c r="AK43" s="62"/>
    </row>
    <row r="44" spans="1:37" x14ac:dyDescent="0.3">
      <c r="A44" s="65">
        <v>42</v>
      </c>
      <c r="B44" s="63">
        <v>46102</v>
      </c>
      <c r="C44" s="66" t="s">
        <v>141</v>
      </c>
      <c r="D44" s="67" t="s">
        <v>64</v>
      </c>
      <c r="E44" s="67"/>
      <c r="F44" s="67"/>
      <c r="G44" s="67"/>
      <c r="H44" s="67" t="s">
        <v>219</v>
      </c>
      <c r="I44" s="67"/>
      <c r="J44" s="67" t="s">
        <v>219</v>
      </c>
      <c r="K44" s="67"/>
      <c r="L44" s="67" t="s">
        <v>219</v>
      </c>
      <c r="M44" s="67"/>
      <c r="N44" s="67" t="s">
        <v>219</v>
      </c>
      <c r="O44" s="67" t="s">
        <v>219</v>
      </c>
      <c r="P44" s="67"/>
      <c r="Q44" s="67" t="s">
        <v>219</v>
      </c>
      <c r="R44" s="67"/>
      <c r="S44" s="67" t="s">
        <v>219</v>
      </c>
      <c r="T44" s="67" t="s">
        <v>219</v>
      </c>
      <c r="U44" s="67"/>
      <c r="V44" s="67" t="s">
        <v>219</v>
      </c>
      <c r="W44" s="75" t="s">
        <v>219</v>
      </c>
      <c r="X44" s="67" t="s">
        <v>302</v>
      </c>
      <c r="Y44" s="75" t="s">
        <v>219</v>
      </c>
      <c r="Z44" s="67"/>
      <c r="AA44" s="67"/>
      <c r="AB44" s="67"/>
      <c r="AC44" s="67"/>
      <c r="AD44" s="67" t="s">
        <v>219</v>
      </c>
      <c r="AE44" s="67" t="s">
        <v>219</v>
      </c>
      <c r="AF44" s="75"/>
      <c r="AG44" s="67" t="s">
        <v>219</v>
      </c>
      <c r="AH44" s="67"/>
      <c r="AI44" s="67" t="s">
        <v>219</v>
      </c>
      <c r="AJ44" s="62" t="str">
        <f>VLOOKUP(B44,'For A grades - 11 days'!B42:AJ231,35,0)</f>
        <v>Regional-WE</v>
      </c>
      <c r="AK44" s="62"/>
    </row>
    <row r="45" spans="1:37" x14ac:dyDescent="0.3">
      <c r="A45" s="65">
        <v>43</v>
      </c>
      <c r="B45" s="63">
        <v>46103</v>
      </c>
      <c r="C45" s="66" t="s">
        <v>280</v>
      </c>
      <c r="D45" s="66" t="s">
        <v>63</v>
      </c>
      <c r="E45" s="67"/>
      <c r="F45" s="67"/>
      <c r="G45" s="67"/>
      <c r="H45" s="67"/>
      <c r="I45" s="67"/>
      <c r="J45" s="67"/>
      <c r="K45" s="67"/>
      <c r="L45" s="67"/>
      <c r="M45" s="67"/>
      <c r="N45" s="67" t="s">
        <v>219</v>
      </c>
      <c r="O45" s="67"/>
      <c r="P45" s="67"/>
      <c r="Q45" s="67" t="s">
        <v>219</v>
      </c>
      <c r="R45" s="67"/>
      <c r="S45" s="75"/>
      <c r="T45" s="67"/>
      <c r="U45" s="67"/>
      <c r="V45" s="67"/>
      <c r="W45" s="67"/>
      <c r="X45" s="67"/>
      <c r="Y45" s="76"/>
      <c r="Z45" s="67"/>
      <c r="AA45" s="67"/>
      <c r="AB45" s="67"/>
      <c r="AC45" s="67"/>
      <c r="AD45" s="67"/>
      <c r="AE45" s="67"/>
      <c r="AF45" s="75"/>
      <c r="AG45" s="67"/>
      <c r="AH45" s="67"/>
      <c r="AI45" s="67"/>
      <c r="AJ45" s="62"/>
      <c r="AK45" s="62"/>
    </row>
    <row r="46" spans="1:37" x14ac:dyDescent="0.3">
      <c r="A46" s="65">
        <v>44</v>
      </c>
      <c r="B46" s="63">
        <v>46104</v>
      </c>
      <c r="C46" s="66" t="s">
        <v>246</v>
      </c>
      <c r="D46" s="66" t="s">
        <v>98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 t="s">
        <v>213</v>
      </c>
      <c r="P46" s="67"/>
      <c r="Q46" s="67"/>
      <c r="R46" s="67"/>
      <c r="S46" s="75"/>
      <c r="T46" s="67"/>
      <c r="U46" s="67"/>
      <c r="V46" s="67"/>
      <c r="W46" s="67"/>
      <c r="X46" s="67"/>
      <c r="Y46" s="76"/>
      <c r="Z46" s="67"/>
      <c r="AA46" s="67"/>
      <c r="AB46" s="67"/>
      <c r="AC46" s="67"/>
      <c r="AD46" s="67" t="s">
        <v>213</v>
      </c>
      <c r="AE46" s="67"/>
      <c r="AF46" s="75"/>
      <c r="AG46" s="67"/>
      <c r="AH46" s="67"/>
      <c r="AI46" s="67"/>
      <c r="AJ46" s="62"/>
      <c r="AK46" s="62"/>
    </row>
    <row r="47" spans="1:37" x14ac:dyDescent="0.3">
      <c r="A47" s="65">
        <v>45</v>
      </c>
      <c r="B47" s="63">
        <v>46107</v>
      </c>
      <c r="C47" s="66" t="s">
        <v>281</v>
      </c>
      <c r="D47" s="66" t="s">
        <v>96</v>
      </c>
      <c r="E47" s="67"/>
      <c r="F47" s="67"/>
      <c r="G47" s="67"/>
      <c r="H47" s="75" t="s">
        <v>213</v>
      </c>
      <c r="I47" s="67"/>
      <c r="J47" s="67" t="s">
        <v>215</v>
      </c>
      <c r="K47" s="67"/>
      <c r="L47" s="67" t="s">
        <v>213</v>
      </c>
      <c r="M47" s="67"/>
      <c r="N47" s="74" t="s">
        <v>213</v>
      </c>
      <c r="O47" s="67" t="s">
        <v>213</v>
      </c>
      <c r="P47" s="67"/>
      <c r="Q47" s="67" t="s">
        <v>213</v>
      </c>
      <c r="R47" s="67"/>
      <c r="S47" s="75"/>
      <c r="T47" s="67" t="s">
        <v>213</v>
      </c>
      <c r="U47" s="67"/>
      <c r="V47" s="67"/>
      <c r="W47" s="67"/>
      <c r="X47" s="67"/>
      <c r="Y47" s="75" t="s">
        <v>213</v>
      </c>
      <c r="Z47" s="67"/>
      <c r="AA47" s="67"/>
      <c r="AB47" s="67"/>
      <c r="AC47" s="67"/>
      <c r="AD47" s="67"/>
      <c r="AE47" s="67"/>
      <c r="AF47" s="75"/>
      <c r="AG47" s="67"/>
      <c r="AH47" s="67"/>
      <c r="AI47" s="67" t="s">
        <v>213</v>
      </c>
      <c r="AJ47" s="62" t="str">
        <f>VLOOKUP(B47,'For A grades - 11 days'!B45:AJ234,35,0)</f>
        <v>Regional</v>
      </c>
      <c r="AK47" s="62"/>
    </row>
    <row r="48" spans="1:37" x14ac:dyDescent="0.3">
      <c r="A48" s="65">
        <v>46</v>
      </c>
      <c r="B48" s="63">
        <v>46108</v>
      </c>
      <c r="C48" s="66" t="s">
        <v>149</v>
      </c>
      <c r="D48" s="66" t="s">
        <v>127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75" t="s">
        <v>213</v>
      </c>
      <c r="T48" s="67"/>
      <c r="U48" s="67"/>
      <c r="V48" s="67"/>
      <c r="W48" s="67"/>
      <c r="X48" s="67"/>
      <c r="Y48" s="76"/>
      <c r="Z48" s="67"/>
      <c r="AA48" s="67"/>
      <c r="AB48" s="67"/>
      <c r="AC48" s="67"/>
      <c r="AD48" s="67" t="s">
        <v>213</v>
      </c>
      <c r="AE48" s="67"/>
      <c r="AF48" s="75"/>
      <c r="AG48" s="67"/>
      <c r="AH48" s="67"/>
      <c r="AI48" s="67"/>
      <c r="AJ48" s="62"/>
      <c r="AK48" s="62"/>
    </row>
    <row r="49" spans="1:37" x14ac:dyDescent="0.3">
      <c r="A49" s="65">
        <v>47</v>
      </c>
      <c r="B49" s="63">
        <v>46112</v>
      </c>
      <c r="C49" s="66" t="s">
        <v>35</v>
      </c>
      <c r="D49" s="66" t="s">
        <v>101</v>
      </c>
      <c r="E49" s="67"/>
      <c r="F49" s="67"/>
      <c r="G49" s="67"/>
      <c r="H49" s="67" t="s">
        <v>215</v>
      </c>
      <c r="I49" s="67"/>
      <c r="J49" s="67"/>
      <c r="K49" s="67"/>
      <c r="L49" s="67" t="s">
        <v>213</v>
      </c>
      <c r="M49" s="67"/>
      <c r="N49" s="67" t="s">
        <v>213</v>
      </c>
      <c r="O49" s="67" t="s">
        <v>213</v>
      </c>
      <c r="P49" s="67"/>
      <c r="Q49" s="67"/>
      <c r="R49" s="67"/>
      <c r="S49" s="75"/>
      <c r="T49" s="67" t="s">
        <v>213</v>
      </c>
      <c r="U49" s="67"/>
      <c r="V49" s="67"/>
      <c r="W49" s="67"/>
      <c r="X49" s="67"/>
      <c r="Y49" s="75" t="s">
        <v>213</v>
      </c>
      <c r="Z49" s="67"/>
      <c r="AA49" s="67"/>
      <c r="AB49" s="67"/>
      <c r="AC49" s="67"/>
      <c r="AD49" s="67" t="s">
        <v>213</v>
      </c>
      <c r="AE49" s="67" t="s">
        <v>213</v>
      </c>
      <c r="AF49" s="75"/>
      <c r="AG49" s="67" t="s">
        <v>213</v>
      </c>
      <c r="AH49" s="67"/>
      <c r="AI49" s="67"/>
      <c r="AJ49" s="62" t="str">
        <f>VLOOKUP(B49,'For A grades - 11 days'!B47:AJ236,35,0)</f>
        <v>Regional</v>
      </c>
      <c r="AK49" s="62"/>
    </row>
    <row r="50" spans="1:37" x14ac:dyDescent="0.3">
      <c r="A50" s="65">
        <v>48</v>
      </c>
      <c r="B50" s="63">
        <v>46113</v>
      </c>
      <c r="C50" s="66" t="s">
        <v>247</v>
      </c>
      <c r="D50" s="66" t="s">
        <v>97</v>
      </c>
      <c r="E50" s="67"/>
      <c r="F50" s="67"/>
      <c r="G50" s="67"/>
      <c r="H50" s="67"/>
      <c r="I50" s="67"/>
      <c r="J50" s="67"/>
      <c r="K50" s="67"/>
      <c r="L50" s="67"/>
      <c r="M50" s="67"/>
      <c r="N50" s="67" t="s">
        <v>213</v>
      </c>
      <c r="O50" s="67" t="s">
        <v>213</v>
      </c>
      <c r="P50" s="67"/>
      <c r="Q50" s="67"/>
      <c r="R50" s="67"/>
      <c r="S50" s="75" t="s">
        <v>213</v>
      </c>
      <c r="T50" s="67"/>
      <c r="U50" s="67"/>
      <c r="V50" s="67"/>
      <c r="W50" s="67"/>
      <c r="X50" s="67"/>
      <c r="Y50" s="76"/>
      <c r="Z50" s="67"/>
      <c r="AA50" s="67"/>
      <c r="AB50" s="67"/>
      <c r="AC50" s="67"/>
      <c r="AD50" s="67"/>
      <c r="AE50" s="67" t="s">
        <v>213</v>
      </c>
      <c r="AF50" s="75"/>
      <c r="AG50" s="67" t="s">
        <v>213</v>
      </c>
      <c r="AH50" s="67"/>
      <c r="AI50" s="67" t="s">
        <v>215</v>
      </c>
      <c r="AJ50" s="62" t="str">
        <f>VLOOKUP(B50,'For A grades - 11 days'!B48:AJ237,35,0)</f>
        <v>Optional</v>
      </c>
      <c r="AK50" s="62"/>
    </row>
    <row r="51" spans="1:37" x14ac:dyDescent="0.3">
      <c r="A51" s="65">
        <v>49</v>
      </c>
      <c r="B51" s="63">
        <v>46114</v>
      </c>
      <c r="C51" s="66" t="s">
        <v>248</v>
      </c>
      <c r="D51" s="66" t="s">
        <v>96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 t="s">
        <v>213</v>
      </c>
      <c r="P51" s="67"/>
      <c r="Q51" s="67"/>
      <c r="R51" s="67"/>
      <c r="S51" s="75"/>
      <c r="T51" s="67"/>
      <c r="U51" s="67"/>
      <c r="V51" s="67"/>
      <c r="W51" s="67"/>
      <c r="X51" s="67"/>
      <c r="Y51" s="76"/>
      <c r="Z51" s="67"/>
      <c r="AA51" s="67"/>
      <c r="AB51" s="67"/>
      <c r="AC51" s="67"/>
      <c r="AD51" s="67"/>
      <c r="AE51" s="67"/>
      <c r="AF51" s="75"/>
      <c r="AG51" s="67"/>
      <c r="AH51" s="67"/>
      <c r="AI51" s="67"/>
      <c r="AJ51" s="62" t="str">
        <f>VLOOKUP(B51,'For A grades - 11 days'!B49:AJ238,35,0)</f>
        <v>Optional</v>
      </c>
      <c r="AK51" s="62"/>
    </row>
    <row r="52" spans="1:37" x14ac:dyDescent="0.3">
      <c r="A52" s="65">
        <v>50</v>
      </c>
      <c r="B52" s="63">
        <v>46115</v>
      </c>
      <c r="C52" s="66" t="s">
        <v>38</v>
      </c>
      <c r="D52" s="66" t="s">
        <v>127</v>
      </c>
      <c r="E52" s="67"/>
      <c r="F52" s="67"/>
      <c r="G52" s="67"/>
      <c r="H52" s="74" t="s">
        <v>213</v>
      </c>
      <c r="I52" s="67"/>
      <c r="J52" s="67" t="s">
        <v>215</v>
      </c>
      <c r="K52" s="67"/>
      <c r="L52" s="74" t="s">
        <v>213</v>
      </c>
      <c r="M52" s="67"/>
      <c r="N52" s="74" t="s">
        <v>213</v>
      </c>
      <c r="O52" s="74" t="s">
        <v>213</v>
      </c>
      <c r="P52" s="67"/>
      <c r="Q52" s="74" t="s">
        <v>213</v>
      </c>
      <c r="R52" s="67"/>
      <c r="S52" s="74" t="s">
        <v>213</v>
      </c>
      <c r="T52" s="74" t="s">
        <v>213</v>
      </c>
      <c r="U52" s="67"/>
      <c r="V52" s="74" t="s">
        <v>213</v>
      </c>
      <c r="W52" s="74" t="s">
        <v>213</v>
      </c>
      <c r="X52" s="74" t="s">
        <v>213</v>
      </c>
      <c r="Y52" s="74" t="s">
        <v>213</v>
      </c>
      <c r="Z52" s="67"/>
      <c r="AA52" s="74" t="s">
        <v>213</v>
      </c>
      <c r="AB52" s="67"/>
      <c r="AC52" s="67"/>
      <c r="AD52" s="74" t="s">
        <v>213</v>
      </c>
      <c r="AE52" s="74" t="s">
        <v>213</v>
      </c>
      <c r="AF52" s="74" t="s">
        <v>213</v>
      </c>
      <c r="AG52" s="74" t="s">
        <v>213</v>
      </c>
      <c r="AH52" s="67"/>
      <c r="AI52" s="74" t="s">
        <v>213</v>
      </c>
      <c r="AJ52" s="80" t="str">
        <f>VLOOKUP(B52,'For A grades - 11 days'!B50:AJ239,35,0)</f>
        <v>Regional</v>
      </c>
      <c r="AK52" s="62"/>
    </row>
    <row r="53" spans="1:37" x14ac:dyDescent="0.3">
      <c r="A53" s="65">
        <v>51</v>
      </c>
      <c r="B53" s="63">
        <v>46116</v>
      </c>
      <c r="C53" s="66" t="s">
        <v>222</v>
      </c>
      <c r="D53" s="66" t="s">
        <v>64</v>
      </c>
      <c r="E53" s="67"/>
      <c r="F53" s="67"/>
      <c r="G53" s="67"/>
      <c r="H53" s="67"/>
      <c r="I53" s="67"/>
      <c r="J53" s="67"/>
      <c r="K53" s="67"/>
      <c r="L53" s="67"/>
      <c r="M53" s="67"/>
      <c r="N53" s="67" t="s">
        <v>219</v>
      </c>
      <c r="O53" s="67"/>
      <c r="P53" s="67"/>
      <c r="Q53" s="67"/>
      <c r="R53" s="67"/>
      <c r="S53" s="75"/>
      <c r="T53" s="67" t="s">
        <v>219</v>
      </c>
      <c r="U53" s="67"/>
      <c r="V53" s="67"/>
      <c r="W53" s="67"/>
      <c r="X53" s="67"/>
      <c r="Y53" s="76"/>
      <c r="Z53" s="67"/>
      <c r="AA53" s="67"/>
      <c r="AB53" s="67"/>
      <c r="AC53" s="67"/>
      <c r="AD53" s="67" t="s">
        <v>219</v>
      </c>
      <c r="AE53" s="67"/>
      <c r="AF53" s="75"/>
      <c r="AG53" s="67"/>
      <c r="AH53" s="67"/>
      <c r="AI53" s="67"/>
      <c r="AJ53" s="62"/>
      <c r="AK53" s="62"/>
    </row>
    <row r="54" spans="1:37" x14ac:dyDescent="0.3">
      <c r="A54" s="65">
        <v>52</v>
      </c>
      <c r="B54" s="63">
        <v>46117</v>
      </c>
      <c r="C54" s="66" t="s">
        <v>135</v>
      </c>
      <c r="D54" s="66" t="s">
        <v>63</v>
      </c>
      <c r="E54" s="67"/>
      <c r="F54" s="67"/>
      <c r="G54" s="67"/>
      <c r="H54" s="67" t="s">
        <v>221</v>
      </c>
      <c r="I54" s="67"/>
      <c r="J54" s="67"/>
      <c r="K54" s="67"/>
      <c r="L54" s="67"/>
      <c r="M54" s="67"/>
      <c r="N54" s="67" t="s">
        <v>219</v>
      </c>
      <c r="O54" s="67"/>
      <c r="P54" s="67"/>
      <c r="Q54" s="67"/>
      <c r="R54" s="67"/>
      <c r="S54" s="75"/>
      <c r="T54" s="67"/>
      <c r="U54" s="67"/>
      <c r="V54" s="67"/>
      <c r="W54" s="67"/>
      <c r="X54" s="67"/>
      <c r="Y54" s="76"/>
      <c r="Z54" s="67"/>
      <c r="AA54" s="67"/>
      <c r="AB54" s="67"/>
      <c r="AC54" s="67"/>
      <c r="AD54" s="67"/>
      <c r="AE54" s="67" t="s">
        <v>219</v>
      </c>
      <c r="AF54" s="75"/>
      <c r="AG54" s="67"/>
      <c r="AH54" s="67"/>
      <c r="AI54" s="67"/>
      <c r="AJ54" s="62"/>
      <c r="AK54" s="62"/>
    </row>
    <row r="55" spans="1:37" x14ac:dyDescent="0.3">
      <c r="A55" s="65"/>
      <c r="B55" s="63">
        <v>46118</v>
      </c>
      <c r="C55" s="66" t="s">
        <v>346</v>
      </c>
      <c r="D55" s="66" t="s">
        <v>98</v>
      </c>
      <c r="E55" s="67"/>
      <c r="F55" s="67"/>
      <c r="G55" s="67"/>
      <c r="H55" s="67"/>
      <c r="I55" s="67"/>
      <c r="J55" s="67"/>
      <c r="K55" s="67"/>
      <c r="L55" s="67"/>
      <c r="M55" s="67"/>
      <c r="N55" s="67" t="s">
        <v>213</v>
      </c>
      <c r="O55" s="67"/>
      <c r="P55" s="67"/>
      <c r="Q55" s="67"/>
      <c r="R55" s="67"/>
      <c r="S55" s="75"/>
      <c r="T55" s="67"/>
      <c r="U55" s="67"/>
      <c r="V55" s="67"/>
      <c r="W55" s="67"/>
      <c r="X55" s="67"/>
      <c r="Y55" s="76"/>
      <c r="Z55" s="67"/>
      <c r="AA55" s="67"/>
      <c r="AB55" s="67"/>
      <c r="AC55" s="67"/>
      <c r="AD55" s="67"/>
      <c r="AE55" s="67"/>
      <c r="AF55" s="75"/>
      <c r="AG55" s="67"/>
      <c r="AH55" s="67"/>
      <c r="AI55" s="67"/>
      <c r="AJ55" s="62"/>
      <c r="AK55" s="62"/>
    </row>
    <row r="56" spans="1:37" x14ac:dyDescent="0.3">
      <c r="A56" s="65">
        <v>53</v>
      </c>
      <c r="B56" s="63">
        <v>46123</v>
      </c>
      <c r="C56" s="66" t="s">
        <v>232</v>
      </c>
      <c r="D56" s="66" t="s">
        <v>64</v>
      </c>
      <c r="E56" s="67"/>
      <c r="F56" s="67"/>
      <c r="G56" s="67"/>
      <c r="H56" s="67"/>
      <c r="I56" s="67"/>
      <c r="J56" s="67"/>
      <c r="K56" s="67"/>
      <c r="L56" s="67" t="s">
        <v>219</v>
      </c>
      <c r="M56" s="67"/>
      <c r="N56" s="67"/>
      <c r="O56" s="67"/>
      <c r="P56" s="67"/>
      <c r="Q56" s="67"/>
      <c r="R56" s="67"/>
      <c r="S56" s="75"/>
      <c r="T56" s="67"/>
      <c r="U56" s="67"/>
      <c r="V56" s="67"/>
      <c r="W56" s="67"/>
      <c r="X56" s="67"/>
      <c r="Y56" s="76"/>
      <c r="Z56" s="67"/>
      <c r="AA56" s="67"/>
      <c r="AB56" s="67"/>
      <c r="AC56" s="67"/>
      <c r="AD56" s="67"/>
      <c r="AE56" s="67"/>
      <c r="AF56" s="75"/>
      <c r="AG56" s="67"/>
      <c r="AH56" s="67"/>
      <c r="AI56" s="67"/>
      <c r="AJ56" s="62"/>
      <c r="AK56" s="62"/>
    </row>
    <row r="57" spans="1:37" x14ac:dyDescent="0.3">
      <c r="A57" s="65">
        <v>54</v>
      </c>
      <c r="B57" s="63">
        <v>46125</v>
      </c>
      <c r="C57" s="66" t="s">
        <v>249</v>
      </c>
      <c r="D57" s="66" t="s">
        <v>98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 t="s">
        <v>213</v>
      </c>
      <c r="P57" s="67"/>
      <c r="Q57" s="67"/>
      <c r="R57" s="67"/>
      <c r="S57" s="75"/>
      <c r="T57" s="67"/>
      <c r="U57" s="67"/>
      <c r="V57" s="67"/>
      <c r="W57" s="67"/>
      <c r="X57" s="67"/>
      <c r="Y57" s="76"/>
      <c r="Z57" s="67"/>
      <c r="AA57" s="67"/>
      <c r="AB57" s="67"/>
      <c r="AC57" s="67"/>
      <c r="AD57" s="67"/>
      <c r="AE57" s="67"/>
      <c r="AF57" s="75"/>
      <c r="AG57" s="67"/>
      <c r="AH57" s="67"/>
      <c r="AI57" s="67"/>
      <c r="AJ57" s="62" t="str">
        <f>VLOOKUP(B57,'For A grades - 11 days'!B54:AJ243,35,0)</f>
        <v>Optional</v>
      </c>
      <c r="AK57" s="62"/>
    </row>
    <row r="58" spans="1:37" ht="48" x14ac:dyDescent="0.3">
      <c r="A58" s="65">
        <v>55</v>
      </c>
      <c r="B58" s="63">
        <v>46126</v>
      </c>
      <c r="C58" s="70" t="s">
        <v>250</v>
      </c>
      <c r="D58" s="66" t="s">
        <v>101</v>
      </c>
      <c r="E58" s="67"/>
      <c r="F58" s="67"/>
      <c r="G58" s="67"/>
      <c r="H58" s="67" t="s">
        <v>213</v>
      </c>
      <c r="I58" s="67"/>
      <c r="J58" s="74" t="s">
        <v>213</v>
      </c>
      <c r="K58" s="67"/>
      <c r="L58" s="74" t="s">
        <v>212</v>
      </c>
      <c r="M58" s="67"/>
      <c r="N58" s="67" t="s">
        <v>213</v>
      </c>
      <c r="O58" s="67" t="s">
        <v>213</v>
      </c>
      <c r="P58" s="67"/>
      <c r="Q58" s="67" t="s">
        <v>213</v>
      </c>
      <c r="R58" s="67"/>
      <c r="S58" s="75" t="s">
        <v>213</v>
      </c>
      <c r="T58" s="67" t="s">
        <v>213</v>
      </c>
      <c r="U58" s="67"/>
      <c r="V58" s="74" t="s">
        <v>213</v>
      </c>
      <c r="W58" s="74" t="s">
        <v>213</v>
      </c>
      <c r="X58" s="67"/>
      <c r="Y58" s="76"/>
      <c r="Z58" s="67"/>
      <c r="AA58" s="67" t="s">
        <v>213</v>
      </c>
      <c r="AB58" s="67"/>
      <c r="AC58" s="67"/>
      <c r="AD58" s="67" t="s">
        <v>213</v>
      </c>
      <c r="AE58" s="75" t="s">
        <v>213</v>
      </c>
      <c r="AF58" s="75" t="s">
        <v>213</v>
      </c>
      <c r="AG58" s="74" t="s">
        <v>213</v>
      </c>
      <c r="AH58" s="67"/>
      <c r="AI58" s="67" t="s">
        <v>213</v>
      </c>
      <c r="AJ58" s="62" t="str">
        <f>VLOOKUP(B58,'For A grades - 11 days'!B56:AJ244,35,0)</f>
        <v>Regional</v>
      </c>
      <c r="AK58" s="62"/>
    </row>
    <row r="59" spans="1:37" x14ac:dyDescent="0.3">
      <c r="A59" s="65">
        <v>56</v>
      </c>
      <c r="B59" s="63">
        <v>46127</v>
      </c>
      <c r="C59" s="66" t="s">
        <v>323</v>
      </c>
      <c r="D59" s="66" t="s">
        <v>97</v>
      </c>
      <c r="E59" s="67"/>
      <c r="F59" s="67"/>
      <c r="G59" s="67"/>
      <c r="H59" s="74" t="s">
        <v>213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75"/>
      <c r="T59" s="74" t="s">
        <v>213</v>
      </c>
      <c r="U59" s="67"/>
      <c r="V59" s="67" t="s">
        <v>213</v>
      </c>
      <c r="W59" s="67"/>
      <c r="X59" s="67"/>
      <c r="Y59" s="76"/>
      <c r="Z59" s="67"/>
      <c r="AA59" s="67"/>
      <c r="AB59" s="67"/>
      <c r="AC59" s="67"/>
      <c r="AD59" s="67"/>
      <c r="AE59" s="67"/>
      <c r="AF59" s="75" t="s">
        <v>213</v>
      </c>
      <c r="AG59" s="67"/>
      <c r="AH59" s="67"/>
      <c r="AI59" s="67"/>
      <c r="AJ59" s="62"/>
      <c r="AK59" s="62"/>
    </row>
    <row r="60" spans="1:37" x14ac:dyDescent="0.3">
      <c r="A60" s="65">
        <v>57</v>
      </c>
      <c r="B60" s="63">
        <v>46128</v>
      </c>
      <c r="C60" s="66" t="s">
        <v>188</v>
      </c>
      <c r="D60" s="66" t="s">
        <v>96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75"/>
      <c r="T60" s="67"/>
      <c r="U60" s="67"/>
      <c r="V60" s="67" t="s">
        <v>213</v>
      </c>
      <c r="W60" s="67"/>
      <c r="X60" s="67"/>
      <c r="Y60" s="76"/>
      <c r="Z60" s="67"/>
      <c r="AA60" s="67"/>
      <c r="AB60" s="67"/>
      <c r="AC60" s="67"/>
      <c r="AD60" s="67"/>
      <c r="AE60" s="67"/>
      <c r="AF60" s="75"/>
      <c r="AG60" s="67"/>
      <c r="AH60" s="67"/>
      <c r="AI60" s="67"/>
      <c r="AJ60" s="62"/>
      <c r="AK60" s="62"/>
    </row>
    <row r="61" spans="1:37" x14ac:dyDescent="0.3">
      <c r="A61" s="65"/>
      <c r="B61" s="63">
        <v>46129</v>
      </c>
      <c r="C61" s="66" t="s">
        <v>347</v>
      </c>
      <c r="D61" s="66" t="s">
        <v>127</v>
      </c>
      <c r="E61" s="67"/>
      <c r="F61" s="67"/>
      <c r="G61" s="67"/>
      <c r="H61" s="67"/>
      <c r="I61" s="67"/>
      <c r="J61" s="67"/>
      <c r="K61" s="67"/>
      <c r="L61" s="67"/>
      <c r="M61" s="67"/>
      <c r="N61" s="67" t="s">
        <v>213</v>
      </c>
      <c r="O61" s="67"/>
      <c r="P61" s="67"/>
      <c r="Q61" s="67"/>
      <c r="R61" s="67"/>
      <c r="S61" s="75"/>
      <c r="T61" s="67"/>
      <c r="U61" s="67"/>
      <c r="V61" s="67"/>
      <c r="W61" s="67"/>
      <c r="X61" s="67"/>
      <c r="Y61" s="76"/>
      <c r="Z61" s="67"/>
      <c r="AA61" s="67"/>
      <c r="AB61" s="67"/>
      <c r="AC61" s="67"/>
      <c r="AD61" s="67"/>
      <c r="AE61" s="67"/>
      <c r="AF61" s="75"/>
      <c r="AG61" s="67"/>
      <c r="AH61" s="67"/>
      <c r="AI61" s="67"/>
      <c r="AJ61" s="62"/>
      <c r="AK61" s="62"/>
    </row>
    <row r="62" spans="1:37" x14ac:dyDescent="0.3">
      <c r="A62" s="65">
        <v>58</v>
      </c>
      <c r="B62" s="63">
        <v>46130</v>
      </c>
      <c r="C62" s="66" t="s">
        <v>297</v>
      </c>
      <c r="D62" s="66" t="s">
        <v>64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5"/>
      <c r="T62" s="67"/>
      <c r="U62" s="67"/>
      <c r="V62" s="67" t="s">
        <v>219</v>
      </c>
      <c r="W62" s="67"/>
      <c r="X62" s="67"/>
      <c r="Y62" s="76"/>
      <c r="Z62" s="67"/>
      <c r="AA62" s="67"/>
      <c r="AB62" s="67"/>
      <c r="AC62" s="67"/>
      <c r="AD62" s="67"/>
      <c r="AE62" s="67"/>
      <c r="AF62" s="75"/>
      <c r="AG62" s="67"/>
      <c r="AH62" s="67"/>
      <c r="AI62" s="67"/>
      <c r="AJ62" s="62"/>
      <c r="AK62" s="62"/>
    </row>
    <row r="63" spans="1:37" x14ac:dyDescent="0.3">
      <c r="A63" s="65">
        <v>59</v>
      </c>
      <c r="B63" s="63">
        <v>46131</v>
      </c>
      <c r="C63" s="66" t="s">
        <v>233</v>
      </c>
      <c r="D63" s="66" t="s">
        <v>63</v>
      </c>
      <c r="E63" s="67"/>
      <c r="F63" s="67"/>
      <c r="G63" s="67"/>
      <c r="H63" s="67" t="s">
        <v>219</v>
      </c>
      <c r="I63" s="67"/>
      <c r="J63" s="67"/>
      <c r="K63" s="67"/>
      <c r="L63" s="67" t="s">
        <v>219</v>
      </c>
      <c r="M63" s="67"/>
      <c r="N63" s="67" t="s">
        <v>219</v>
      </c>
      <c r="O63" s="67"/>
      <c r="P63" s="67"/>
      <c r="Q63" s="67"/>
      <c r="R63" s="67"/>
      <c r="S63" s="75"/>
      <c r="T63" s="67"/>
      <c r="U63" s="67"/>
      <c r="V63" s="67"/>
      <c r="W63" s="67"/>
      <c r="X63" s="67"/>
      <c r="Y63" s="76"/>
      <c r="Z63" s="67"/>
      <c r="AA63" s="67"/>
      <c r="AB63" s="67"/>
      <c r="AC63" s="67"/>
      <c r="AD63" s="67"/>
      <c r="AE63" s="67"/>
      <c r="AF63" s="75"/>
      <c r="AG63" s="67"/>
      <c r="AH63" s="67"/>
      <c r="AI63" s="67"/>
      <c r="AJ63" s="62" t="str">
        <f>VLOOKUP(B63,'For A grades - 11 days'!B60:AJ248,35,0)</f>
        <v>Regional-WE</v>
      </c>
      <c r="AK63" s="62"/>
    </row>
    <row r="64" spans="1:37" x14ac:dyDescent="0.3">
      <c r="A64" s="65">
        <v>60</v>
      </c>
      <c r="B64" s="63">
        <v>46132</v>
      </c>
      <c r="C64" s="66" t="s">
        <v>251</v>
      </c>
      <c r="D64" s="66" t="s">
        <v>98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 t="s">
        <v>213</v>
      </c>
      <c r="P64" s="67"/>
      <c r="Q64" s="67"/>
      <c r="R64" s="67"/>
      <c r="S64" s="75"/>
      <c r="T64" s="67"/>
      <c r="U64" s="67"/>
      <c r="V64" s="67"/>
      <c r="W64" s="67"/>
      <c r="X64" s="67"/>
      <c r="Y64" s="76"/>
      <c r="Z64" s="67"/>
      <c r="AA64" s="67"/>
      <c r="AB64" s="67"/>
      <c r="AC64" s="67"/>
      <c r="AD64" s="67" t="s">
        <v>213</v>
      </c>
      <c r="AE64" s="67"/>
      <c r="AF64" s="75"/>
      <c r="AG64" s="67"/>
      <c r="AH64" s="67"/>
      <c r="AI64" s="67"/>
      <c r="AJ64" s="62"/>
      <c r="AK64" s="62"/>
    </row>
    <row r="65" spans="1:37" x14ac:dyDescent="0.3">
      <c r="A65" s="65">
        <v>61</v>
      </c>
      <c r="B65" s="63">
        <v>46133</v>
      </c>
      <c r="C65" s="66" t="s">
        <v>223</v>
      </c>
      <c r="D65" s="66" t="s">
        <v>101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75"/>
      <c r="T65" s="67"/>
      <c r="U65" s="67"/>
      <c r="V65" s="67" t="s">
        <v>213</v>
      </c>
      <c r="W65" s="67"/>
      <c r="X65" s="67"/>
      <c r="Y65" s="76"/>
      <c r="Z65" s="67"/>
      <c r="AA65" s="67"/>
      <c r="AB65" s="67"/>
      <c r="AC65" s="67"/>
      <c r="AD65" s="67" t="s">
        <v>213</v>
      </c>
      <c r="AE65" s="67"/>
      <c r="AF65" s="75"/>
      <c r="AG65" s="67"/>
      <c r="AH65" s="67"/>
      <c r="AI65" s="67"/>
      <c r="AJ65" s="62" t="str">
        <f>VLOOKUP(B65,'For A grades - 11 days'!B63:AJ250,35,0)</f>
        <v>Optional</v>
      </c>
      <c r="AK65" s="62"/>
    </row>
    <row r="66" spans="1:37" x14ac:dyDescent="0.3">
      <c r="A66" s="65">
        <v>62</v>
      </c>
      <c r="B66" s="63">
        <v>46134</v>
      </c>
      <c r="C66" s="66" t="s">
        <v>252</v>
      </c>
      <c r="D66" s="66" t="s">
        <v>97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 t="s">
        <v>213</v>
      </c>
      <c r="P66" s="67"/>
      <c r="Q66" s="67"/>
      <c r="R66" s="67"/>
      <c r="S66" s="75"/>
      <c r="T66" s="67"/>
      <c r="U66" s="67"/>
      <c r="V66" s="67"/>
      <c r="W66" s="67"/>
      <c r="X66" s="67"/>
      <c r="Y66" s="76"/>
      <c r="Z66" s="67"/>
      <c r="AA66" s="67"/>
      <c r="AB66" s="67"/>
      <c r="AC66" s="67"/>
      <c r="AD66" s="67" t="s">
        <v>213</v>
      </c>
      <c r="AE66" s="67"/>
      <c r="AF66" s="75"/>
      <c r="AG66" s="67"/>
      <c r="AH66" s="67"/>
      <c r="AI66" s="67"/>
      <c r="AJ66" s="62" t="str">
        <f>VLOOKUP(B66,'For A grades - 11 days'!B64:AJ251,35,0)</f>
        <v>Optional</v>
      </c>
      <c r="AK66" s="62"/>
    </row>
    <row r="67" spans="1:37" x14ac:dyDescent="0.3">
      <c r="A67" s="65">
        <v>63</v>
      </c>
      <c r="B67" s="63">
        <v>46135</v>
      </c>
      <c r="C67" s="66" t="s">
        <v>282</v>
      </c>
      <c r="D67" s="66" t="s">
        <v>96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 t="s">
        <v>213</v>
      </c>
      <c r="R67" s="67"/>
      <c r="S67" s="75"/>
      <c r="T67" s="67"/>
      <c r="U67" s="67"/>
      <c r="V67" s="67"/>
      <c r="W67" s="67" t="s">
        <v>213</v>
      </c>
      <c r="X67" s="67"/>
      <c r="Y67" s="76"/>
      <c r="Z67" s="67"/>
      <c r="AA67" s="67"/>
      <c r="AB67" s="67"/>
      <c r="AC67" s="67"/>
      <c r="AD67" s="67"/>
      <c r="AE67" s="67"/>
      <c r="AF67" s="75"/>
      <c r="AG67" s="67"/>
      <c r="AH67" s="67"/>
      <c r="AI67" s="67"/>
      <c r="AJ67" s="62"/>
      <c r="AK67" s="62"/>
    </row>
    <row r="68" spans="1:37" x14ac:dyDescent="0.3">
      <c r="A68" s="65">
        <v>64</v>
      </c>
      <c r="B68" s="63">
        <v>46137</v>
      </c>
      <c r="C68" s="66" t="s">
        <v>283</v>
      </c>
      <c r="D68" s="66" t="s">
        <v>64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 t="s">
        <v>219</v>
      </c>
      <c r="R68" s="67"/>
      <c r="S68" s="75"/>
      <c r="T68" s="67"/>
      <c r="U68" s="67"/>
      <c r="V68" s="67"/>
      <c r="W68" s="67"/>
      <c r="X68" s="67"/>
      <c r="Y68" s="76"/>
      <c r="Z68" s="67"/>
      <c r="AA68" s="67"/>
      <c r="AB68" s="67"/>
      <c r="AC68" s="67"/>
      <c r="AD68" s="67"/>
      <c r="AE68" s="67"/>
      <c r="AF68" s="75"/>
      <c r="AG68" s="67"/>
      <c r="AH68" s="67"/>
      <c r="AI68" s="67"/>
      <c r="AJ68" s="62"/>
      <c r="AK68" s="62"/>
    </row>
    <row r="69" spans="1:37" x14ac:dyDescent="0.3">
      <c r="A69" s="65">
        <v>65</v>
      </c>
      <c r="B69" s="63">
        <v>46139</v>
      </c>
      <c r="C69" s="66" t="s">
        <v>284</v>
      </c>
      <c r="D69" s="66" t="s">
        <v>98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 t="s">
        <v>213</v>
      </c>
      <c r="R69" s="67"/>
      <c r="S69" s="75"/>
      <c r="T69" s="67"/>
      <c r="U69" s="67"/>
      <c r="V69" s="67"/>
      <c r="W69" s="67"/>
      <c r="X69" s="67"/>
      <c r="Y69" s="76"/>
      <c r="Z69" s="67"/>
      <c r="AA69" s="67"/>
      <c r="AB69" s="67"/>
      <c r="AC69" s="67"/>
      <c r="AD69" s="67"/>
      <c r="AE69" s="67"/>
      <c r="AF69" s="75"/>
      <c r="AG69" s="67"/>
      <c r="AH69" s="67"/>
      <c r="AI69" s="67"/>
      <c r="AJ69" s="62"/>
      <c r="AK69" s="62"/>
    </row>
    <row r="70" spans="1:37" x14ac:dyDescent="0.3">
      <c r="A70" s="65">
        <v>66</v>
      </c>
      <c r="B70" s="63">
        <v>46143</v>
      </c>
      <c r="C70" s="66" t="s">
        <v>207</v>
      </c>
      <c r="D70" s="66" t="s">
        <v>127</v>
      </c>
      <c r="E70" s="67"/>
      <c r="F70" s="67"/>
      <c r="G70" s="67"/>
      <c r="H70" s="74" t="s">
        <v>213</v>
      </c>
      <c r="I70" s="67"/>
      <c r="J70" s="74" t="s">
        <v>213</v>
      </c>
      <c r="K70" s="67"/>
      <c r="L70" s="67"/>
      <c r="M70" s="67"/>
      <c r="N70" s="74" t="s">
        <v>213</v>
      </c>
      <c r="O70" s="74" t="s">
        <v>213</v>
      </c>
      <c r="P70" s="67"/>
      <c r="Q70" s="74" t="s">
        <v>213</v>
      </c>
      <c r="R70" s="67"/>
      <c r="S70" s="75"/>
      <c r="T70" s="74" t="s">
        <v>213</v>
      </c>
      <c r="U70" s="67"/>
      <c r="V70" s="74" t="s">
        <v>213</v>
      </c>
      <c r="W70" s="74" t="s">
        <v>213</v>
      </c>
      <c r="X70" s="67"/>
      <c r="Y70" s="74" t="s">
        <v>213</v>
      </c>
      <c r="Z70" s="67"/>
      <c r="AA70" s="67"/>
      <c r="AB70" s="67"/>
      <c r="AC70" s="67"/>
      <c r="AD70" s="74" t="s">
        <v>213</v>
      </c>
      <c r="AE70" s="74" t="s">
        <v>212</v>
      </c>
      <c r="AF70" s="74" t="s">
        <v>213</v>
      </c>
      <c r="AG70" s="74" t="s">
        <v>212</v>
      </c>
      <c r="AH70" s="67"/>
      <c r="AI70" s="74" t="s">
        <v>212</v>
      </c>
      <c r="AJ70" s="80" t="str">
        <f>VLOOKUP(B70,'For A grades - 11 days'!B68:AJ255,35,0)</f>
        <v>Optional</v>
      </c>
      <c r="AK70" s="62"/>
    </row>
    <row r="71" spans="1:37" x14ac:dyDescent="0.3">
      <c r="A71" s="65">
        <v>67</v>
      </c>
      <c r="B71" s="63">
        <v>46149</v>
      </c>
      <c r="C71" s="66" t="s">
        <v>203</v>
      </c>
      <c r="D71" s="66" t="s">
        <v>96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75"/>
      <c r="T71" s="67"/>
      <c r="U71" s="67"/>
      <c r="V71" s="67"/>
      <c r="W71" s="67"/>
      <c r="X71" s="67"/>
      <c r="Y71" s="76"/>
      <c r="Z71" s="67"/>
      <c r="AA71" s="67"/>
      <c r="AB71" s="67"/>
      <c r="AC71" s="67"/>
      <c r="AD71" s="67"/>
      <c r="AE71" s="67"/>
      <c r="AF71" s="75"/>
      <c r="AG71" s="67"/>
      <c r="AH71" s="67"/>
      <c r="AI71" s="67"/>
      <c r="AJ71" s="62"/>
      <c r="AK71" s="62"/>
    </row>
    <row r="72" spans="1:37" x14ac:dyDescent="0.3">
      <c r="A72" s="65">
        <v>68</v>
      </c>
      <c r="B72" s="63">
        <v>46151</v>
      </c>
      <c r="C72" s="66" t="s">
        <v>183</v>
      </c>
      <c r="D72" s="66" t="s">
        <v>64</v>
      </c>
      <c r="E72" s="67"/>
      <c r="F72" s="67"/>
      <c r="G72" s="67"/>
      <c r="H72" s="67" t="s">
        <v>221</v>
      </c>
      <c r="I72" s="67"/>
      <c r="J72" s="67"/>
      <c r="K72" s="67"/>
      <c r="L72" s="67"/>
      <c r="M72" s="67"/>
      <c r="N72" s="67" t="s">
        <v>219</v>
      </c>
      <c r="O72" s="67"/>
      <c r="P72" s="67"/>
      <c r="Q72" s="67"/>
      <c r="R72" s="67"/>
      <c r="S72" s="75"/>
      <c r="T72" s="67" t="s">
        <v>219</v>
      </c>
      <c r="U72" s="67"/>
      <c r="V72" s="67"/>
      <c r="W72" s="67"/>
      <c r="X72" s="67"/>
      <c r="Y72" s="76"/>
      <c r="Z72" s="67"/>
      <c r="AA72" s="67"/>
      <c r="AB72" s="67"/>
      <c r="AC72" s="67"/>
      <c r="AD72" s="67"/>
      <c r="AE72" s="67"/>
      <c r="AF72" s="75"/>
      <c r="AG72" s="67"/>
      <c r="AH72" s="67"/>
      <c r="AI72" s="67"/>
      <c r="AJ72" s="62"/>
      <c r="AK72" s="62"/>
    </row>
    <row r="73" spans="1:37" x14ac:dyDescent="0.3">
      <c r="A73" s="65">
        <v>69</v>
      </c>
      <c r="B73" s="63">
        <v>46158</v>
      </c>
      <c r="C73" s="66" t="s">
        <v>196</v>
      </c>
      <c r="D73" s="66" t="s">
        <v>64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75"/>
      <c r="T73" s="67"/>
      <c r="U73" s="67"/>
      <c r="V73" s="67"/>
      <c r="W73" s="67"/>
      <c r="X73" s="67"/>
      <c r="Y73" s="76"/>
      <c r="Z73" s="67"/>
      <c r="AA73" s="67"/>
      <c r="AB73" s="67"/>
      <c r="AC73" s="67"/>
      <c r="AD73" s="67"/>
      <c r="AE73" s="67"/>
      <c r="AF73" s="75"/>
      <c r="AG73" s="67"/>
      <c r="AH73" s="67"/>
      <c r="AI73" s="67"/>
      <c r="AJ73" s="62"/>
      <c r="AK73" s="62"/>
    </row>
    <row r="74" spans="1:37" x14ac:dyDescent="0.3">
      <c r="A74" s="65">
        <v>70</v>
      </c>
      <c r="B74" s="63">
        <v>46164</v>
      </c>
      <c r="C74" s="66" t="s">
        <v>332</v>
      </c>
      <c r="D74" s="66" t="s">
        <v>127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75"/>
      <c r="T74" s="67"/>
      <c r="U74" s="67"/>
      <c r="V74" s="67"/>
      <c r="W74" s="67"/>
      <c r="X74" s="67"/>
      <c r="Y74" s="76"/>
      <c r="Z74" s="67"/>
      <c r="AA74" s="67"/>
      <c r="AB74" s="67"/>
      <c r="AC74" s="67"/>
      <c r="AD74" s="67"/>
      <c r="AE74" s="67"/>
      <c r="AF74" s="75"/>
      <c r="AG74" s="67"/>
      <c r="AH74" s="67"/>
      <c r="AI74" s="67"/>
      <c r="AJ74" s="62" t="str">
        <f>VLOOKUP(B74,'For A grades - 11 days'!B72:AJ259,35,0)</f>
        <v>Optional</v>
      </c>
      <c r="AK74" s="62"/>
    </row>
    <row r="75" spans="1:37" x14ac:dyDescent="0.3">
      <c r="A75" s="65">
        <v>71</v>
      </c>
      <c r="B75" s="63">
        <v>46169</v>
      </c>
      <c r="C75" s="66" t="s">
        <v>193</v>
      </c>
      <c r="D75" s="66" t="s">
        <v>97</v>
      </c>
      <c r="E75" s="67"/>
      <c r="F75" s="67"/>
      <c r="G75" s="67"/>
      <c r="H75" s="74" t="s">
        <v>213</v>
      </c>
      <c r="I75" s="67"/>
      <c r="J75" s="74" t="s">
        <v>213</v>
      </c>
      <c r="K75" s="67"/>
      <c r="L75" s="67"/>
      <c r="M75" s="67"/>
      <c r="N75" s="74" t="s">
        <v>213</v>
      </c>
      <c r="O75" s="67" t="s">
        <v>213</v>
      </c>
      <c r="P75" s="67"/>
      <c r="Q75" s="67"/>
      <c r="R75" s="67"/>
      <c r="S75" s="75"/>
      <c r="T75" s="67" t="s">
        <v>213</v>
      </c>
      <c r="U75" s="67"/>
      <c r="V75" s="74" t="s">
        <v>213</v>
      </c>
      <c r="W75" s="74" t="s">
        <v>213</v>
      </c>
      <c r="X75" s="74" t="s">
        <v>213</v>
      </c>
      <c r="Y75" s="74" t="s">
        <v>213</v>
      </c>
      <c r="Z75" s="67"/>
      <c r="AA75" s="67"/>
      <c r="AB75" s="67"/>
      <c r="AC75" s="67"/>
      <c r="AD75" s="67"/>
      <c r="AE75" s="67"/>
      <c r="AF75" s="74" t="s">
        <v>213</v>
      </c>
      <c r="AG75" s="67"/>
      <c r="AH75" s="67"/>
      <c r="AI75" s="67"/>
      <c r="AJ75" s="80" t="str">
        <f>VLOOKUP(B75,'For A grades - 11 days'!B72:AJ259,35,0)</f>
        <v>Regional</v>
      </c>
      <c r="AK75" s="62"/>
    </row>
    <row r="76" spans="1:37" x14ac:dyDescent="0.3">
      <c r="A76" s="65">
        <v>72</v>
      </c>
      <c r="B76" s="63">
        <v>46170</v>
      </c>
      <c r="C76" s="66" t="s">
        <v>138</v>
      </c>
      <c r="D76" s="66" t="s">
        <v>96</v>
      </c>
      <c r="E76" s="67"/>
      <c r="F76" s="67"/>
      <c r="G76" s="67"/>
      <c r="H76" s="67"/>
      <c r="I76" s="67"/>
      <c r="J76" s="67"/>
      <c r="K76" s="67"/>
      <c r="L76" s="74" t="s">
        <v>213</v>
      </c>
      <c r="M76" s="67"/>
      <c r="N76" s="67" t="s">
        <v>213</v>
      </c>
      <c r="O76" s="67"/>
      <c r="P76" s="67"/>
      <c r="Q76" s="74" t="s">
        <v>213</v>
      </c>
      <c r="R76" s="67"/>
      <c r="S76" s="75"/>
      <c r="T76" s="67"/>
      <c r="U76" s="67"/>
      <c r="V76" s="67"/>
      <c r="W76" s="67"/>
      <c r="X76" s="67"/>
      <c r="Y76" s="76"/>
      <c r="Z76" s="67"/>
      <c r="AA76" s="74" t="s">
        <v>213</v>
      </c>
      <c r="AB76" s="67"/>
      <c r="AC76" s="67"/>
      <c r="AD76" s="74" t="s">
        <v>213</v>
      </c>
      <c r="AE76" s="74" t="s">
        <v>213</v>
      </c>
      <c r="AF76" s="75" t="s">
        <v>213</v>
      </c>
      <c r="AG76" s="74" t="s">
        <v>213</v>
      </c>
      <c r="AH76" s="67"/>
      <c r="AI76" s="74" t="s">
        <v>213</v>
      </c>
      <c r="AJ76" s="62"/>
      <c r="AK76" s="62"/>
    </row>
    <row r="77" spans="1:37" x14ac:dyDescent="0.3">
      <c r="A77" s="65">
        <v>73</v>
      </c>
      <c r="B77" s="63">
        <v>46174</v>
      </c>
      <c r="C77" s="66" t="s">
        <v>298</v>
      </c>
      <c r="D77" s="66" t="s">
        <v>98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75"/>
      <c r="T77" s="67"/>
      <c r="U77" s="67"/>
      <c r="V77" s="67" t="s">
        <v>213</v>
      </c>
      <c r="W77" s="67"/>
      <c r="X77" s="67"/>
      <c r="Y77" s="76"/>
      <c r="Z77" s="67"/>
      <c r="AA77" s="67"/>
      <c r="AB77" s="67"/>
      <c r="AC77" s="67"/>
      <c r="AD77" s="67"/>
      <c r="AE77" s="67"/>
      <c r="AF77" s="75"/>
      <c r="AG77" s="67"/>
      <c r="AH77" s="67"/>
      <c r="AI77" s="67"/>
      <c r="AJ77" s="62"/>
      <c r="AK77" s="62"/>
    </row>
    <row r="78" spans="1:37" x14ac:dyDescent="0.3">
      <c r="A78" s="65">
        <v>74</v>
      </c>
      <c r="B78" s="63">
        <v>46177</v>
      </c>
      <c r="C78" s="66" t="s">
        <v>307</v>
      </c>
      <c r="D78" s="66" t="s">
        <v>96</v>
      </c>
      <c r="E78" s="67"/>
      <c r="F78" s="67"/>
      <c r="G78" s="67"/>
      <c r="H78" s="67"/>
      <c r="I78" s="67"/>
      <c r="J78" s="67" t="s">
        <v>215</v>
      </c>
      <c r="K78" s="67"/>
      <c r="L78" s="67"/>
      <c r="M78" s="67"/>
      <c r="N78" s="67"/>
      <c r="O78" s="67"/>
      <c r="P78" s="67"/>
      <c r="Q78" s="67"/>
      <c r="R78" s="67"/>
      <c r="S78" s="75"/>
      <c r="T78" s="67"/>
      <c r="U78" s="67"/>
      <c r="V78" s="67"/>
      <c r="W78" s="67"/>
      <c r="X78" s="67"/>
      <c r="Y78" s="76"/>
      <c r="Z78" s="67"/>
      <c r="AA78" s="67" t="s">
        <v>213</v>
      </c>
      <c r="AB78" s="67"/>
      <c r="AC78" s="67"/>
      <c r="AD78" s="67"/>
      <c r="AE78" s="67"/>
      <c r="AF78" s="75"/>
      <c r="AG78" s="67"/>
      <c r="AH78" s="67"/>
      <c r="AI78" s="67"/>
      <c r="AJ78" s="62"/>
      <c r="AK78" s="62"/>
    </row>
    <row r="79" spans="1:37" x14ac:dyDescent="0.3">
      <c r="A79" s="65">
        <v>75</v>
      </c>
      <c r="B79" s="63">
        <v>46188</v>
      </c>
      <c r="C79" s="66" t="s">
        <v>164</v>
      </c>
      <c r="D79" s="66" t="s">
        <v>98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74" t="s">
        <v>213</v>
      </c>
      <c r="T79" s="67"/>
      <c r="U79" s="67"/>
      <c r="V79" s="67"/>
      <c r="W79" s="67"/>
      <c r="X79" s="67"/>
      <c r="Y79" s="75" t="s">
        <v>213</v>
      </c>
      <c r="Z79" s="67"/>
      <c r="AA79" s="67" t="s">
        <v>213</v>
      </c>
      <c r="AB79" s="67"/>
      <c r="AC79" s="67"/>
      <c r="AD79" s="67"/>
      <c r="AE79" s="67"/>
      <c r="AF79" s="75"/>
      <c r="AG79" s="67"/>
      <c r="AH79" s="67"/>
      <c r="AI79" s="67"/>
      <c r="AJ79" s="62"/>
      <c r="AK79" s="62"/>
    </row>
    <row r="80" spans="1:37" x14ac:dyDescent="0.3">
      <c r="A80" s="65">
        <v>76</v>
      </c>
      <c r="B80" s="63">
        <v>46190</v>
      </c>
      <c r="C80" s="66" t="s">
        <v>253</v>
      </c>
      <c r="D80" s="66" t="s">
        <v>97</v>
      </c>
      <c r="E80" s="67"/>
      <c r="F80" s="67"/>
      <c r="G80" s="67"/>
      <c r="H80" s="67" t="s">
        <v>213</v>
      </c>
      <c r="I80" s="67"/>
      <c r="J80" s="67"/>
      <c r="K80" s="67"/>
      <c r="L80" s="67" t="s">
        <v>213</v>
      </c>
      <c r="M80" s="67"/>
      <c r="N80" s="67"/>
      <c r="O80" s="67" t="s">
        <v>213</v>
      </c>
      <c r="P80" s="67"/>
      <c r="Q80" s="67"/>
      <c r="R80" s="67"/>
      <c r="S80" s="75"/>
      <c r="T80" s="67"/>
      <c r="U80" s="67"/>
      <c r="V80" s="67"/>
      <c r="W80" s="67"/>
      <c r="X80" s="67"/>
      <c r="Y80" s="76"/>
      <c r="Z80" s="67"/>
      <c r="AA80" s="67"/>
      <c r="AB80" s="67"/>
      <c r="AC80" s="67"/>
      <c r="AD80" s="67"/>
      <c r="AE80" s="67"/>
      <c r="AF80" s="75"/>
      <c r="AG80" s="67"/>
      <c r="AH80" s="67"/>
      <c r="AI80" s="67"/>
      <c r="AJ80" s="62"/>
      <c r="AK80" s="62"/>
    </row>
    <row r="81" spans="1:37" x14ac:dyDescent="0.3">
      <c r="A81" s="65">
        <v>77</v>
      </c>
      <c r="B81" s="63">
        <v>46191</v>
      </c>
      <c r="C81" s="66" t="s">
        <v>285</v>
      </c>
      <c r="D81" s="66" t="s">
        <v>96</v>
      </c>
      <c r="E81" s="67"/>
      <c r="F81" s="67"/>
      <c r="G81" s="67"/>
      <c r="H81" s="67"/>
      <c r="I81" s="67"/>
      <c r="J81" s="67" t="s">
        <v>215</v>
      </c>
      <c r="K81" s="67"/>
      <c r="L81" s="67"/>
      <c r="M81" s="67"/>
      <c r="N81" s="67"/>
      <c r="O81" s="67"/>
      <c r="P81" s="67"/>
      <c r="Q81" s="67" t="s">
        <v>213</v>
      </c>
      <c r="R81" s="67"/>
      <c r="S81" s="75"/>
      <c r="T81" s="67"/>
      <c r="U81" s="67"/>
      <c r="V81" s="67"/>
      <c r="W81" s="67"/>
      <c r="X81" s="67"/>
      <c r="Y81" s="76"/>
      <c r="Z81" s="67"/>
      <c r="AA81" s="67"/>
      <c r="AB81" s="67"/>
      <c r="AC81" s="67"/>
      <c r="AD81" s="67"/>
      <c r="AE81" s="67"/>
      <c r="AF81" s="75"/>
      <c r="AG81" s="67"/>
      <c r="AH81" s="67"/>
      <c r="AI81" s="67"/>
      <c r="AJ81" s="62" t="str">
        <f>VLOOKUP(B81,'For A grades - 11 days'!B78:AJ265,35,0)</f>
        <v>Optional</v>
      </c>
      <c r="AK81" s="62"/>
    </row>
    <row r="82" spans="1:37" x14ac:dyDescent="0.3">
      <c r="A82" s="65">
        <v>78</v>
      </c>
      <c r="B82" s="63">
        <v>46195</v>
      </c>
      <c r="C82" s="66" t="s">
        <v>303</v>
      </c>
      <c r="D82" s="66" t="s">
        <v>98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75"/>
      <c r="T82" s="67"/>
      <c r="U82" s="67"/>
      <c r="V82" s="67"/>
      <c r="W82" s="67"/>
      <c r="X82" s="74" t="s">
        <v>213</v>
      </c>
      <c r="Y82" s="76"/>
      <c r="Z82" s="67"/>
      <c r="AA82" s="67"/>
      <c r="AB82" s="67"/>
      <c r="AC82" s="67"/>
      <c r="AD82" s="67"/>
      <c r="AE82" s="67"/>
      <c r="AF82" s="75"/>
      <c r="AG82" s="67"/>
      <c r="AH82" s="67"/>
      <c r="AI82" s="67"/>
      <c r="AJ82" s="62"/>
      <c r="AK82" s="62"/>
    </row>
    <row r="83" spans="1:37" x14ac:dyDescent="0.3">
      <c r="A83" s="65">
        <v>79</v>
      </c>
      <c r="B83" s="63">
        <v>46196</v>
      </c>
      <c r="C83" s="66" t="s">
        <v>254</v>
      </c>
      <c r="D83" s="66" t="s">
        <v>101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 t="s">
        <v>213</v>
      </c>
      <c r="P83" s="67"/>
      <c r="Q83" s="67"/>
      <c r="R83" s="67"/>
      <c r="S83" s="75"/>
      <c r="T83" s="67"/>
      <c r="U83" s="67"/>
      <c r="V83" s="67"/>
      <c r="W83" s="67"/>
      <c r="X83" s="67"/>
      <c r="Y83" s="76"/>
      <c r="Z83" s="67"/>
      <c r="AA83" s="67"/>
      <c r="AB83" s="67"/>
      <c r="AC83" s="67"/>
      <c r="AD83" s="67"/>
      <c r="AE83" s="67"/>
      <c r="AF83" s="75"/>
      <c r="AG83" s="67"/>
      <c r="AH83" s="67"/>
      <c r="AI83" s="67"/>
      <c r="AJ83" s="62"/>
      <c r="AK83" s="62"/>
    </row>
    <row r="84" spans="1:37" x14ac:dyDescent="0.3">
      <c r="A84" s="65">
        <v>80</v>
      </c>
      <c r="B84" s="63">
        <v>46197</v>
      </c>
      <c r="C84" s="66" t="s">
        <v>255</v>
      </c>
      <c r="D84" s="66" t="s">
        <v>97</v>
      </c>
      <c r="E84" s="67"/>
      <c r="F84" s="67"/>
      <c r="G84" s="67"/>
      <c r="H84" s="67"/>
      <c r="I84" s="67"/>
      <c r="J84" s="67" t="s">
        <v>215</v>
      </c>
      <c r="K84" s="67"/>
      <c r="L84" s="67"/>
      <c r="M84" s="67"/>
      <c r="N84" s="67"/>
      <c r="O84" s="67" t="s">
        <v>213</v>
      </c>
      <c r="P84" s="67"/>
      <c r="Q84" s="67"/>
      <c r="R84" s="67"/>
      <c r="S84" s="75"/>
      <c r="T84" s="67"/>
      <c r="U84" s="67"/>
      <c r="V84" s="67"/>
      <c r="W84" s="67"/>
      <c r="X84" s="67"/>
      <c r="Y84" s="76"/>
      <c r="Z84" s="67"/>
      <c r="AA84" s="67"/>
      <c r="AB84" s="67"/>
      <c r="AC84" s="67"/>
      <c r="AD84" s="67"/>
      <c r="AE84" s="67"/>
      <c r="AF84" s="75"/>
      <c r="AG84" s="67"/>
      <c r="AH84" s="67"/>
      <c r="AI84" s="67"/>
      <c r="AJ84" s="62"/>
      <c r="AK84" s="62"/>
    </row>
    <row r="85" spans="1:37" x14ac:dyDescent="0.3">
      <c r="A85" s="65">
        <v>81</v>
      </c>
      <c r="B85" s="63">
        <v>46198</v>
      </c>
      <c r="C85" s="66" t="s">
        <v>122</v>
      </c>
      <c r="D85" s="66" t="s">
        <v>96</v>
      </c>
      <c r="E85" s="67"/>
      <c r="F85" s="67"/>
      <c r="G85" s="67"/>
      <c r="H85" s="67"/>
      <c r="I85" s="67"/>
      <c r="J85" s="67"/>
      <c r="K85" s="67"/>
      <c r="L85" s="67"/>
      <c r="M85" s="67"/>
      <c r="N85" s="67" t="s">
        <v>213</v>
      </c>
      <c r="O85" s="67"/>
      <c r="P85" s="67"/>
      <c r="Q85" s="67"/>
      <c r="R85" s="67"/>
      <c r="S85" s="75"/>
      <c r="T85" s="67"/>
      <c r="U85" s="67"/>
      <c r="V85" s="67"/>
      <c r="W85" s="67"/>
      <c r="X85" s="67"/>
      <c r="Y85" s="76"/>
      <c r="Z85" s="67"/>
      <c r="AA85" s="67"/>
      <c r="AB85" s="67"/>
      <c r="AC85" s="67"/>
      <c r="AD85" s="67"/>
      <c r="AE85" s="67"/>
      <c r="AF85" s="75"/>
      <c r="AG85" s="67"/>
      <c r="AH85" s="67"/>
      <c r="AI85" s="67"/>
      <c r="AJ85" s="62" t="str">
        <f>VLOOKUP(B85,'For A grades - 11 days'!B82:AJ269,35,0)</f>
        <v>Optional</v>
      </c>
      <c r="AK85" s="62"/>
    </row>
    <row r="86" spans="1:37" x14ac:dyDescent="0.3">
      <c r="A86" s="65">
        <v>82</v>
      </c>
      <c r="B86" s="63">
        <v>46199</v>
      </c>
      <c r="C86" s="66" t="s">
        <v>122</v>
      </c>
      <c r="D86" s="66" t="s">
        <v>127</v>
      </c>
      <c r="E86" s="67"/>
      <c r="F86" s="67"/>
      <c r="G86" s="67"/>
      <c r="H86" s="67" t="s">
        <v>213</v>
      </c>
      <c r="I86" s="67"/>
      <c r="J86" s="74" t="s">
        <v>213</v>
      </c>
      <c r="K86" s="67"/>
      <c r="L86" s="74" t="s">
        <v>213</v>
      </c>
      <c r="M86" s="67"/>
      <c r="N86" s="67" t="s">
        <v>213</v>
      </c>
      <c r="O86" s="74" t="s">
        <v>213</v>
      </c>
      <c r="P86" s="67"/>
      <c r="Q86" s="74" t="s">
        <v>213</v>
      </c>
      <c r="R86" s="67"/>
      <c r="S86" s="75"/>
      <c r="T86" s="74" t="s">
        <v>213</v>
      </c>
      <c r="U86" s="67"/>
      <c r="V86" s="67"/>
      <c r="W86" s="67"/>
      <c r="X86" s="67"/>
      <c r="Y86" s="74" t="s">
        <v>213</v>
      </c>
      <c r="Z86" s="67"/>
      <c r="AA86" s="67"/>
      <c r="AB86" s="67"/>
      <c r="AC86" s="67"/>
      <c r="AD86" s="74" t="s">
        <v>213</v>
      </c>
      <c r="AE86" s="74" t="s">
        <v>213</v>
      </c>
      <c r="AF86" s="74" t="s">
        <v>213</v>
      </c>
      <c r="AG86" s="75" t="s">
        <v>213</v>
      </c>
      <c r="AH86" s="67"/>
      <c r="AI86" s="67"/>
      <c r="AJ86" s="80" t="str">
        <f>VLOOKUP(B86,'For A grades - 11 days'!B83:AJ270,35,0)</f>
        <v>Regional</v>
      </c>
      <c r="AK86" s="62"/>
    </row>
    <row r="87" spans="1:37" x14ac:dyDescent="0.3">
      <c r="A87" s="65">
        <v>83</v>
      </c>
      <c r="B87" s="63">
        <v>46200</v>
      </c>
      <c r="C87" s="66" t="s">
        <v>122</v>
      </c>
      <c r="D87" s="66" t="s">
        <v>64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 t="s">
        <v>219</v>
      </c>
      <c r="R87" s="67"/>
      <c r="S87" s="75"/>
      <c r="T87" s="67"/>
      <c r="U87" s="67"/>
      <c r="V87" s="67"/>
      <c r="W87" s="67"/>
      <c r="X87" s="67"/>
      <c r="Y87" s="76"/>
      <c r="Z87" s="67"/>
      <c r="AA87" s="67"/>
      <c r="AB87" s="67"/>
      <c r="AC87" s="67"/>
      <c r="AD87" s="67"/>
      <c r="AE87" s="67"/>
      <c r="AF87" s="75"/>
      <c r="AG87" s="67"/>
      <c r="AH87" s="67"/>
      <c r="AI87" s="67"/>
      <c r="AJ87" s="62"/>
      <c r="AK87" s="62"/>
    </row>
    <row r="88" spans="1:37" x14ac:dyDescent="0.3">
      <c r="A88" s="65">
        <v>84</v>
      </c>
      <c r="B88" s="63">
        <v>46202</v>
      </c>
      <c r="C88" s="66" t="s">
        <v>173</v>
      </c>
      <c r="D88" s="66" t="s">
        <v>98</v>
      </c>
      <c r="E88" s="67"/>
      <c r="F88" s="67"/>
      <c r="G88" s="67"/>
      <c r="H88" s="74" t="s">
        <v>213</v>
      </c>
      <c r="I88" s="67"/>
      <c r="J88" s="67"/>
      <c r="K88" s="67"/>
      <c r="L88" s="67"/>
      <c r="M88" s="67"/>
      <c r="N88" s="67"/>
      <c r="O88" s="67" t="s">
        <v>213</v>
      </c>
      <c r="P88" s="67"/>
      <c r="Q88" s="67" t="s">
        <v>213</v>
      </c>
      <c r="R88" s="67"/>
      <c r="S88" s="75"/>
      <c r="T88" s="67"/>
      <c r="U88" s="67"/>
      <c r="V88" s="67"/>
      <c r="W88" s="67"/>
      <c r="X88" s="67"/>
      <c r="Y88" s="76"/>
      <c r="Z88" s="67"/>
      <c r="AA88" s="67"/>
      <c r="AB88" s="67"/>
      <c r="AC88" s="67"/>
      <c r="AD88" s="67"/>
      <c r="AE88" s="67"/>
      <c r="AF88" s="75"/>
      <c r="AG88" s="67"/>
      <c r="AH88" s="67"/>
      <c r="AI88" s="67"/>
      <c r="AJ88" s="62"/>
      <c r="AK88" s="62"/>
    </row>
    <row r="89" spans="1:37" x14ac:dyDescent="0.3">
      <c r="A89" s="65">
        <v>85</v>
      </c>
      <c r="B89" s="63">
        <v>46203</v>
      </c>
      <c r="C89" s="66" t="s">
        <v>326</v>
      </c>
      <c r="D89" s="66" t="s">
        <v>101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75"/>
      <c r="T89" s="67" t="s">
        <v>213</v>
      </c>
      <c r="U89" s="67"/>
      <c r="V89" s="67"/>
      <c r="W89" s="67"/>
      <c r="X89" s="67"/>
      <c r="Y89" s="75" t="s">
        <v>213</v>
      </c>
      <c r="Z89" s="67"/>
      <c r="AA89" s="67"/>
      <c r="AB89" s="67"/>
      <c r="AC89" s="67"/>
      <c r="AD89" s="67"/>
      <c r="AE89" s="67"/>
      <c r="AF89" s="75"/>
      <c r="AG89" s="67"/>
      <c r="AH89" s="67"/>
      <c r="AI89" s="67"/>
      <c r="AJ89" s="62"/>
      <c r="AK89" s="62"/>
    </row>
    <row r="90" spans="1:37" x14ac:dyDescent="0.3">
      <c r="A90" s="65">
        <v>86</v>
      </c>
      <c r="B90" s="63">
        <v>46204</v>
      </c>
      <c r="C90" s="66" t="s">
        <v>175</v>
      </c>
      <c r="D90" s="66" t="s">
        <v>97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75"/>
      <c r="T90" s="67"/>
      <c r="U90" s="67"/>
      <c r="V90" s="67"/>
      <c r="W90" s="67"/>
      <c r="X90" s="67"/>
      <c r="Y90" s="76"/>
      <c r="Z90" s="67"/>
      <c r="AA90" s="67"/>
      <c r="AB90" s="67"/>
      <c r="AC90" s="67"/>
      <c r="AD90" s="67"/>
      <c r="AE90" s="67"/>
      <c r="AF90" s="75"/>
      <c r="AG90" s="67"/>
      <c r="AH90" s="67"/>
      <c r="AI90" s="67"/>
      <c r="AJ90" s="62"/>
      <c r="AK90" s="62"/>
    </row>
    <row r="91" spans="1:37" x14ac:dyDescent="0.3">
      <c r="A91" s="65">
        <v>87</v>
      </c>
      <c r="B91" s="63">
        <v>46208</v>
      </c>
      <c r="C91" s="66" t="s">
        <v>175</v>
      </c>
      <c r="D91" s="66" t="s">
        <v>63</v>
      </c>
      <c r="E91" s="67"/>
      <c r="F91" s="67"/>
      <c r="G91" s="67"/>
      <c r="H91" s="67"/>
      <c r="I91" s="67"/>
      <c r="J91" s="67" t="s">
        <v>219</v>
      </c>
      <c r="K91" s="67"/>
      <c r="L91" s="67"/>
      <c r="M91" s="67"/>
      <c r="N91" s="67"/>
      <c r="O91" s="67"/>
      <c r="P91" s="67"/>
      <c r="Q91" s="67"/>
      <c r="R91" s="67"/>
      <c r="S91" s="75"/>
      <c r="T91" s="67"/>
      <c r="U91" s="67"/>
      <c r="V91" s="67"/>
      <c r="W91" s="67"/>
      <c r="X91" s="67"/>
      <c r="Y91" s="76"/>
      <c r="Z91" s="67"/>
      <c r="AA91" s="67"/>
      <c r="AB91" s="67"/>
      <c r="AC91" s="67"/>
      <c r="AD91" s="67"/>
      <c r="AE91" s="67"/>
      <c r="AF91" s="75"/>
      <c r="AG91" s="67"/>
      <c r="AH91" s="67"/>
      <c r="AI91" s="67"/>
      <c r="AJ91" s="62"/>
      <c r="AK91" s="62"/>
    </row>
    <row r="92" spans="1:37" x14ac:dyDescent="0.3">
      <c r="A92" s="65">
        <v>88</v>
      </c>
      <c r="B92" s="63">
        <v>46209</v>
      </c>
      <c r="C92" s="66" t="s">
        <v>166</v>
      </c>
      <c r="D92" s="66" t="s">
        <v>98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75"/>
      <c r="T92" s="67"/>
      <c r="U92" s="67"/>
      <c r="V92" s="67"/>
      <c r="W92" s="67"/>
      <c r="X92" s="67"/>
      <c r="Y92" s="75" t="s">
        <v>213</v>
      </c>
      <c r="Z92" s="67"/>
      <c r="AA92" s="67"/>
      <c r="AB92" s="67"/>
      <c r="AC92" s="67"/>
      <c r="AD92" s="67"/>
      <c r="AE92" s="67"/>
      <c r="AF92" s="75"/>
      <c r="AG92" s="67"/>
      <c r="AH92" s="67"/>
      <c r="AI92" s="67"/>
      <c r="AJ92" s="62"/>
      <c r="AK92" s="62"/>
    </row>
    <row r="93" spans="1:37" x14ac:dyDescent="0.3">
      <c r="A93" s="65">
        <v>89</v>
      </c>
      <c r="B93" s="63">
        <v>46212</v>
      </c>
      <c r="C93" s="66" t="s">
        <v>155</v>
      </c>
      <c r="D93" s="66" t="s">
        <v>96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75"/>
      <c r="T93" s="67"/>
      <c r="U93" s="67"/>
      <c r="V93" s="67"/>
      <c r="W93" s="67"/>
      <c r="X93" s="74" t="s">
        <v>213</v>
      </c>
      <c r="Y93" s="76"/>
      <c r="Z93" s="67"/>
      <c r="AA93" s="67" t="s">
        <v>213</v>
      </c>
      <c r="AB93" s="67"/>
      <c r="AC93" s="67"/>
      <c r="AD93" s="67"/>
      <c r="AE93" s="67"/>
      <c r="AF93" s="75"/>
      <c r="AG93" s="67"/>
      <c r="AH93" s="67"/>
      <c r="AI93" s="67"/>
      <c r="AJ93" s="62"/>
      <c r="AK93" s="62"/>
    </row>
    <row r="94" spans="1:37" x14ac:dyDescent="0.3">
      <c r="A94" s="65">
        <v>90</v>
      </c>
      <c r="B94" s="63">
        <v>46216</v>
      </c>
      <c r="C94" s="66" t="s">
        <v>333</v>
      </c>
      <c r="D94" s="66" t="s">
        <v>98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75"/>
      <c r="T94" s="67"/>
      <c r="U94" s="67"/>
      <c r="V94" s="67"/>
      <c r="W94" s="67"/>
      <c r="X94" s="74"/>
      <c r="Y94" s="76"/>
      <c r="Z94" s="67"/>
      <c r="AA94" s="67"/>
      <c r="AB94" s="67"/>
      <c r="AC94" s="67"/>
      <c r="AD94" s="67"/>
      <c r="AE94" s="67"/>
      <c r="AF94" s="75"/>
      <c r="AG94" s="67"/>
      <c r="AH94" s="67"/>
      <c r="AI94" s="67"/>
      <c r="AJ94" s="62" t="str">
        <f>VLOOKUP(B94,'For A grades - 11 days'!B90:AJ277,35,0)</f>
        <v>Optional</v>
      </c>
      <c r="AK94" s="62"/>
    </row>
    <row r="95" spans="1:37" x14ac:dyDescent="0.3">
      <c r="A95" s="65">
        <v>91</v>
      </c>
      <c r="B95" s="63">
        <v>46218</v>
      </c>
      <c r="C95" s="66" t="s">
        <v>334</v>
      </c>
      <c r="D95" s="66" t="s">
        <v>97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75"/>
      <c r="T95" s="67"/>
      <c r="U95" s="67"/>
      <c r="V95" s="67"/>
      <c r="W95" s="67"/>
      <c r="X95" s="74"/>
      <c r="Y95" s="76"/>
      <c r="Z95" s="67"/>
      <c r="AA95" s="67"/>
      <c r="AB95" s="67"/>
      <c r="AC95" s="67"/>
      <c r="AD95" s="67"/>
      <c r="AE95" s="67"/>
      <c r="AF95" s="75"/>
      <c r="AG95" s="67"/>
      <c r="AH95" s="67"/>
      <c r="AI95" s="67"/>
      <c r="AJ95" s="62" t="str">
        <f>VLOOKUP(B95,'For A grades - 11 days'!B91:AJ278,35,0)</f>
        <v>Optional</v>
      </c>
      <c r="AK95" s="62"/>
    </row>
    <row r="96" spans="1:37" x14ac:dyDescent="0.3">
      <c r="A96" s="65">
        <v>92</v>
      </c>
      <c r="B96" s="63">
        <v>46219</v>
      </c>
      <c r="C96" s="66" t="s">
        <v>257</v>
      </c>
      <c r="D96" s="66" t="s">
        <v>96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 t="s">
        <v>213</v>
      </c>
      <c r="P96" s="67"/>
      <c r="Q96" s="67"/>
      <c r="R96" s="67"/>
      <c r="S96" s="74" t="s">
        <v>213</v>
      </c>
      <c r="T96" s="67"/>
      <c r="U96" s="67"/>
      <c r="V96" s="67"/>
      <c r="W96" s="67" t="s">
        <v>213</v>
      </c>
      <c r="X96" s="67"/>
      <c r="Y96" s="76"/>
      <c r="Z96" s="67"/>
      <c r="AA96" s="67"/>
      <c r="AB96" s="67"/>
      <c r="AC96" s="67"/>
      <c r="AD96" s="67"/>
      <c r="AE96" s="67"/>
      <c r="AF96" s="75"/>
      <c r="AG96" s="67"/>
      <c r="AH96" s="67"/>
      <c r="AI96" s="67"/>
      <c r="AJ96" s="62" t="str">
        <f>VLOOKUP(B96,'For A grades - 11 days'!B90:AJ277,35,0)</f>
        <v>Optional</v>
      </c>
      <c r="AK96" s="62"/>
    </row>
    <row r="97" spans="1:37" x14ac:dyDescent="0.3">
      <c r="A97" s="65">
        <v>93</v>
      </c>
      <c r="B97" s="63">
        <v>46220</v>
      </c>
      <c r="C97" s="66" t="s">
        <v>156</v>
      </c>
      <c r="D97" s="66" t="s">
        <v>127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75"/>
      <c r="T97" s="67"/>
      <c r="U97" s="67"/>
      <c r="V97" s="67"/>
      <c r="W97" s="67"/>
      <c r="X97" s="67"/>
      <c r="Y97" s="76"/>
      <c r="Z97" s="67"/>
      <c r="AA97" s="67"/>
      <c r="AB97" s="67"/>
      <c r="AC97" s="67"/>
      <c r="AD97" s="67"/>
      <c r="AE97" s="67"/>
      <c r="AF97" s="75"/>
      <c r="AG97" s="67"/>
      <c r="AH97" s="67"/>
      <c r="AI97" s="67"/>
      <c r="AJ97" s="62"/>
      <c r="AK97" s="62"/>
    </row>
    <row r="98" spans="1:37" x14ac:dyDescent="0.3">
      <c r="A98" s="65">
        <v>94</v>
      </c>
      <c r="B98" s="63">
        <v>46224</v>
      </c>
      <c r="C98" s="66" t="s">
        <v>335</v>
      </c>
      <c r="D98" s="66" t="s">
        <v>101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75"/>
      <c r="T98" s="67"/>
      <c r="U98" s="67"/>
      <c r="V98" s="67"/>
      <c r="W98" s="67"/>
      <c r="X98" s="67"/>
      <c r="Y98" s="76"/>
      <c r="Z98" s="67"/>
      <c r="AA98" s="67"/>
      <c r="AB98" s="67"/>
      <c r="AC98" s="67"/>
      <c r="AD98" s="67"/>
      <c r="AE98" s="67"/>
      <c r="AF98" s="75"/>
      <c r="AG98" s="67"/>
      <c r="AH98" s="67"/>
      <c r="AI98" s="67"/>
      <c r="AJ98" s="62" t="str">
        <f>VLOOKUP(B98,'For A grades - 11 days'!B93:AJ279,35,0)</f>
        <v>Optional</v>
      </c>
      <c r="AK98" s="62"/>
    </row>
    <row r="99" spans="1:37" x14ac:dyDescent="0.3">
      <c r="A99" s="65">
        <v>95</v>
      </c>
      <c r="B99" s="63">
        <v>46226</v>
      </c>
      <c r="C99" s="66" t="s">
        <v>339</v>
      </c>
      <c r="D99" s="66" t="s">
        <v>96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75"/>
      <c r="T99" s="67"/>
      <c r="U99" s="67"/>
      <c r="V99" s="67"/>
      <c r="W99" s="67"/>
      <c r="X99" s="67"/>
      <c r="Y99" s="76"/>
      <c r="Z99" s="67"/>
      <c r="AA99" s="67"/>
      <c r="AB99" s="67"/>
      <c r="AC99" s="67"/>
      <c r="AD99" s="67"/>
      <c r="AE99" s="67"/>
      <c r="AF99" s="75"/>
      <c r="AG99" s="67"/>
      <c r="AH99" s="67"/>
      <c r="AI99" s="67"/>
      <c r="AJ99" s="62" t="str">
        <f>VLOOKUP(B99,'For A grades - 11 days'!B94:AJ280,35,0)</f>
        <v>Optional</v>
      </c>
      <c r="AK99" s="62"/>
    </row>
    <row r="100" spans="1:37" x14ac:dyDescent="0.3">
      <c r="A100" s="65">
        <v>96</v>
      </c>
      <c r="B100" s="63">
        <v>46238</v>
      </c>
      <c r="C100" s="66" t="s">
        <v>286</v>
      </c>
      <c r="D100" s="66" t="s">
        <v>101</v>
      </c>
      <c r="E100" s="67"/>
      <c r="F100" s="67"/>
      <c r="G100" s="67"/>
      <c r="H100" s="67"/>
      <c r="I100" s="67"/>
      <c r="J100" s="67" t="s">
        <v>215</v>
      </c>
      <c r="K100" s="67"/>
      <c r="L100" s="67"/>
      <c r="M100" s="67"/>
      <c r="N100" s="67" t="s">
        <v>213</v>
      </c>
      <c r="O100" s="67"/>
      <c r="P100" s="67"/>
      <c r="Q100" s="67" t="s">
        <v>213</v>
      </c>
      <c r="R100" s="67"/>
      <c r="S100" s="75"/>
      <c r="T100" s="67"/>
      <c r="U100" s="67"/>
      <c r="V100" s="67"/>
      <c r="W100" s="67"/>
      <c r="X100" s="67"/>
      <c r="Y100" s="76"/>
      <c r="Z100" s="67"/>
      <c r="AA100" s="67"/>
      <c r="AB100" s="67"/>
      <c r="AC100" s="67"/>
      <c r="AD100" s="67"/>
      <c r="AE100" s="67"/>
      <c r="AF100" s="75"/>
      <c r="AG100" s="67"/>
      <c r="AH100" s="67"/>
      <c r="AI100" s="67"/>
      <c r="AJ100" s="62"/>
      <c r="AK100" s="62"/>
    </row>
    <row r="101" spans="1:37" x14ac:dyDescent="0.3">
      <c r="A101" s="65">
        <v>97</v>
      </c>
      <c r="B101" s="63">
        <v>46243</v>
      </c>
      <c r="C101" s="66" t="s">
        <v>234</v>
      </c>
      <c r="D101" s="66" t="s">
        <v>63</v>
      </c>
      <c r="E101" s="67"/>
      <c r="F101" s="67"/>
      <c r="G101" s="67"/>
      <c r="H101" s="67"/>
      <c r="I101" s="67"/>
      <c r="J101" s="67"/>
      <c r="K101" s="67"/>
      <c r="L101" s="67" t="s">
        <v>219</v>
      </c>
      <c r="M101" s="67"/>
      <c r="N101" s="67"/>
      <c r="O101" s="67"/>
      <c r="P101" s="67"/>
      <c r="Q101" s="67"/>
      <c r="R101" s="67"/>
      <c r="S101" s="75"/>
      <c r="T101" s="67"/>
      <c r="U101" s="67"/>
      <c r="V101" s="67"/>
      <c r="W101" s="67"/>
      <c r="X101" s="67"/>
      <c r="Y101" s="76"/>
      <c r="Z101" s="67"/>
      <c r="AA101" s="67"/>
      <c r="AB101" s="67"/>
      <c r="AC101" s="67"/>
      <c r="AD101" s="67"/>
      <c r="AE101" s="67"/>
      <c r="AF101" s="75"/>
      <c r="AG101" s="67"/>
      <c r="AH101" s="67"/>
      <c r="AI101" s="67"/>
      <c r="AJ101" s="62"/>
      <c r="AK101" s="62"/>
    </row>
    <row r="102" spans="1:37" x14ac:dyDescent="0.3">
      <c r="A102" s="65">
        <v>98</v>
      </c>
      <c r="B102" s="63">
        <v>46246</v>
      </c>
      <c r="C102" s="66" t="s">
        <v>256</v>
      </c>
      <c r="D102" s="66" t="s">
        <v>97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 t="s">
        <v>213</v>
      </c>
      <c r="P102" s="67"/>
      <c r="Q102" s="67"/>
      <c r="R102" s="67"/>
      <c r="S102" s="75"/>
      <c r="T102" s="67"/>
      <c r="U102" s="67"/>
      <c r="V102" s="67"/>
      <c r="W102" s="67"/>
      <c r="X102" s="67"/>
      <c r="Y102" s="76"/>
      <c r="Z102" s="67"/>
      <c r="AA102" s="67"/>
      <c r="AB102" s="67"/>
      <c r="AC102" s="67"/>
      <c r="AD102" s="67"/>
      <c r="AE102" s="67"/>
      <c r="AF102" s="75"/>
      <c r="AG102" s="67"/>
      <c r="AH102" s="67"/>
      <c r="AI102" s="67"/>
      <c r="AJ102" s="62" t="str">
        <f>VLOOKUP(B102,'For A grades - 11 days'!B95:AJ281,35,0)</f>
        <v>Optional</v>
      </c>
      <c r="AK102" s="62"/>
    </row>
    <row r="103" spans="1:37" x14ac:dyDescent="0.3">
      <c r="A103" s="65"/>
      <c r="B103" s="63">
        <v>46247</v>
      </c>
      <c r="C103" s="66" t="s">
        <v>343</v>
      </c>
      <c r="D103" s="66" t="s">
        <v>96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75"/>
      <c r="T103" s="67"/>
      <c r="U103" s="67"/>
      <c r="V103" s="67"/>
      <c r="W103" s="74" t="s">
        <v>213</v>
      </c>
      <c r="X103" s="67"/>
      <c r="Y103" s="76"/>
      <c r="Z103" s="67"/>
      <c r="AA103" s="67"/>
      <c r="AB103" s="67"/>
      <c r="AC103" s="67"/>
      <c r="AD103" s="67"/>
      <c r="AE103" s="67"/>
      <c r="AF103" s="75"/>
      <c r="AG103" s="67"/>
      <c r="AH103" s="67"/>
      <c r="AI103" s="67"/>
      <c r="AJ103" s="62"/>
      <c r="AK103" s="62"/>
    </row>
    <row r="104" spans="1:37" x14ac:dyDescent="0.3">
      <c r="A104" s="65">
        <v>99</v>
      </c>
      <c r="B104" s="63">
        <v>46248</v>
      </c>
      <c r="C104" s="66" t="s">
        <v>336</v>
      </c>
      <c r="D104" s="66" t="s">
        <v>127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75"/>
      <c r="T104" s="67"/>
      <c r="U104" s="67"/>
      <c r="V104" s="67"/>
      <c r="W104" s="67"/>
      <c r="X104" s="67"/>
      <c r="Y104" s="76"/>
      <c r="Z104" s="67"/>
      <c r="AA104" s="67"/>
      <c r="AB104" s="67"/>
      <c r="AC104" s="67"/>
      <c r="AD104" s="67"/>
      <c r="AE104" s="67"/>
      <c r="AF104" s="75"/>
      <c r="AG104" s="67"/>
      <c r="AH104" s="67"/>
      <c r="AI104" s="67"/>
      <c r="AJ104" s="62" t="str">
        <f>VLOOKUP(B104,'For A grades - 11 days'!B96:AJ282,35,0)</f>
        <v>Optional</v>
      </c>
      <c r="AK104" s="62"/>
    </row>
    <row r="105" spans="1:37" x14ac:dyDescent="0.3">
      <c r="A105" s="65">
        <v>100</v>
      </c>
      <c r="B105" s="63">
        <v>46249</v>
      </c>
      <c r="C105" s="66" t="s">
        <v>46</v>
      </c>
      <c r="D105" s="67" t="s">
        <v>64</v>
      </c>
      <c r="E105" s="67"/>
      <c r="F105" s="67"/>
      <c r="G105" s="67"/>
      <c r="H105" s="67" t="s">
        <v>218</v>
      </c>
      <c r="I105" s="67"/>
      <c r="J105" s="67" t="s">
        <v>218</v>
      </c>
      <c r="K105" s="67"/>
      <c r="L105" s="67" t="s">
        <v>218</v>
      </c>
      <c r="M105" s="67"/>
      <c r="N105" s="67" t="s">
        <v>218</v>
      </c>
      <c r="O105" s="67" t="s">
        <v>218</v>
      </c>
      <c r="P105" s="67"/>
      <c r="Q105" s="67" t="s">
        <v>218</v>
      </c>
      <c r="R105" s="67"/>
      <c r="S105" s="67" t="s">
        <v>302</v>
      </c>
      <c r="T105" s="67" t="s">
        <v>218</v>
      </c>
      <c r="U105" s="67"/>
      <c r="V105" s="67" t="s">
        <v>302</v>
      </c>
      <c r="W105" s="67" t="s">
        <v>302</v>
      </c>
      <c r="X105" s="67" t="s">
        <v>302</v>
      </c>
      <c r="Y105" s="67" t="s">
        <v>302</v>
      </c>
      <c r="Z105" s="67"/>
      <c r="AA105" s="67" t="s">
        <v>302</v>
      </c>
      <c r="AB105" s="67"/>
      <c r="AC105" s="67"/>
      <c r="AD105" s="67" t="s">
        <v>218</v>
      </c>
      <c r="AE105" s="67" t="s">
        <v>218</v>
      </c>
      <c r="AF105" s="67" t="s">
        <v>218</v>
      </c>
      <c r="AG105" s="67" t="s">
        <v>218</v>
      </c>
      <c r="AH105" s="67"/>
      <c r="AI105" s="67" t="s">
        <v>218</v>
      </c>
      <c r="AJ105" s="62" t="str">
        <f>VLOOKUP(B105,'For A grades - 11 days'!B96:AJ282,35,0)</f>
        <v>National-WE</v>
      </c>
      <c r="AK105" s="62"/>
    </row>
    <row r="106" spans="1:37" x14ac:dyDescent="0.3">
      <c r="A106" s="65">
        <v>101</v>
      </c>
      <c r="B106" s="63">
        <v>46251</v>
      </c>
      <c r="C106" s="66" t="s">
        <v>258</v>
      </c>
      <c r="D106" s="69" t="s">
        <v>98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 t="s">
        <v>213</v>
      </c>
      <c r="P106" s="67"/>
      <c r="Q106" s="67"/>
      <c r="R106" s="67"/>
      <c r="S106" s="75"/>
      <c r="T106" s="67"/>
      <c r="U106" s="67"/>
      <c r="V106" s="67"/>
      <c r="W106" s="67"/>
      <c r="X106" s="67"/>
      <c r="Y106" s="76"/>
      <c r="Z106" s="67"/>
      <c r="AA106" s="67" t="s">
        <v>213</v>
      </c>
      <c r="AB106" s="67"/>
      <c r="AC106" s="67"/>
      <c r="AD106" s="67"/>
      <c r="AE106" s="67"/>
      <c r="AF106" s="75"/>
      <c r="AG106" s="67"/>
      <c r="AH106" s="67"/>
      <c r="AI106" s="67"/>
      <c r="AJ106" s="62"/>
      <c r="AK106" s="62"/>
    </row>
    <row r="107" spans="1:37" x14ac:dyDescent="0.3">
      <c r="A107" s="65">
        <v>102</v>
      </c>
      <c r="B107" s="63">
        <v>46255</v>
      </c>
      <c r="C107" s="66" t="s">
        <v>224</v>
      </c>
      <c r="D107" s="69" t="s">
        <v>127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75"/>
      <c r="T107" s="67"/>
      <c r="U107" s="67"/>
      <c r="V107" s="67"/>
      <c r="W107" s="67"/>
      <c r="X107" s="67"/>
      <c r="Y107" s="76"/>
      <c r="Z107" s="67"/>
      <c r="AA107" s="67"/>
      <c r="AB107" s="67"/>
      <c r="AC107" s="67"/>
      <c r="AD107" s="75" t="s">
        <v>213</v>
      </c>
      <c r="AE107" s="67"/>
      <c r="AF107" s="75" t="s">
        <v>213</v>
      </c>
      <c r="AG107" s="67"/>
      <c r="AH107" s="67"/>
      <c r="AI107" s="67"/>
      <c r="AJ107" s="62"/>
      <c r="AK107" s="62"/>
    </row>
    <row r="108" spans="1:37" x14ac:dyDescent="0.3">
      <c r="A108" s="65">
        <v>103</v>
      </c>
      <c r="B108" s="63">
        <v>46258</v>
      </c>
      <c r="C108" s="66" t="s">
        <v>287</v>
      </c>
      <c r="D108" s="69" t="s">
        <v>98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 t="s">
        <v>213</v>
      </c>
      <c r="R108" s="67"/>
      <c r="S108" s="75"/>
      <c r="T108" s="67"/>
      <c r="U108" s="67"/>
      <c r="V108" s="67"/>
      <c r="W108" s="67"/>
      <c r="X108" s="67"/>
      <c r="Y108" s="76"/>
      <c r="Z108" s="67"/>
      <c r="AA108" s="67"/>
      <c r="AB108" s="67"/>
      <c r="AC108" s="67"/>
      <c r="AD108" s="67"/>
      <c r="AE108" s="67"/>
      <c r="AF108" s="75"/>
      <c r="AG108" s="67"/>
      <c r="AH108" s="67"/>
      <c r="AI108" s="67"/>
      <c r="AJ108" s="62"/>
      <c r="AK108" s="62"/>
    </row>
    <row r="109" spans="1:37" x14ac:dyDescent="0.3">
      <c r="A109" s="65">
        <v>104</v>
      </c>
      <c r="B109" s="63">
        <v>46259</v>
      </c>
      <c r="C109" s="66" t="s">
        <v>131</v>
      </c>
      <c r="D109" s="66" t="s">
        <v>101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75"/>
      <c r="T109" s="67"/>
      <c r="U109" s="67"/>
      <c r="V109" s="67"/>
      <c r="W109" s="67"/>
      <c r="X109" s="67"/>
      <c r="Y109" s="76"/>
      <c r="Z109" s="67"/>
      <c r="AA109" s="67"/>
      <c r="AB109" s="67"/>
      <c r="AC109" s="67"/>
      <c r="AD109" s="67"/>
      <c r="AE109" s="67"/>
      <c r="AF109" s="75" t="s">
        <v>213</v>
      </c>
      <c r="AG109" s="67"/>
      <c r="AH109" s="67"/>
      <c r="AI109" s="67" t="s">
        <v>213</v>
      </c>
      <c r="AJ109" s="62"/>
      <c r="AK109" s="62"/>
    </row>
    <row r="110" spans="1:37" x14ac:dyDescent="0.3">
      <c r="A110" s="65">
        <v>105</v>
      </c>
      <c r="B110" s="63">
        <v>46260</v>
      </c>
      <c r="C110" s="66" t="s">
        <v>259</v>
      </c>
      <c r="D110" s="66" t="s">
        <v>97</v>
      </c>
      <c r="E110" s="67"/>
      <c r="F110" s="67"/>
      <c r="G110" s="67"/>
      <c r="H110" s="67"/>
      <c r="I110" s="67"/>
      <c r="J110" s="67" t="s">
        <v>213</v>
      </c>
      <c r="K110" s="67"/>
      <c r="L110" s="67" t="s">
        <v>213</v>
      </c>
      <c r="M110" s="67"/>
      <c r="N110" s="67" t="s">
        <v>213</v>
      </c>
      <c r="O110" s="67" t="s">
        <v>213</v>
      </c>
      <c r="P110" s="67"/>
      <c r="Q110" s="67"/>
      <c r="R110" s="67"/>
      <c r="S110" s="75"/>
      <c r="T110" s="67"/>
      <c r="U110" s="67"/>
      <c r="V110" s="67"/>
      <c r="W110" s="67" t="s">
        <v>213</v>
      </c>
      <c r="X110" s="67"/>
      <c r="Y110" s="75" t="s">
        <v>213</v>
      </c>
      <c r="Z110" s="67"/>
      <c r="AA110" s="67" t="s">
        <v>213</v>
      </c>
      <c r="AB110" s="67"/>
      <c r="AC110" s="67"/>
      <c r="AD110" s="67" t="s">
        <v>213</v>
      </c>
      <c r="AE110" s="74" t="s">
        <v>213</v>
      </c>
      <c r="AF110" s="75" t="s">
        <v>213</v>
      </c>
      <c r="AG110" s="67" t="s">
        <v>213</v>
      </c>
      <c r="AH110" s="67"/>
      <c r="AI110" s="67"/>
      <c r="AJ110" s="62" t="str">
        <f>VLOOKUP(B110,'For A grades - 11 days'!B101:AJ287,35,0)</f>
        <v>Regional</v>
      </c>
      <c r="AK110" s="62"/>
    </row>
    <row r="111" spans="1:37" x14ac:dyDescent="0.3">
      <c r="A111" s="65">
        <v>106</v>
      </c>
      <c r="B111" s="63">
        <v>46261</v>
      </c>
      <c r="C111" s="66" t="s">
        <v>225</v>
      </c>
      <c r="D111" s="66" t="s">
        <v>96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75"/>
      <c r="T111" s="67"/>
      <c r="U111" s="67"/>
      <c r="V111" s="67"/>
      <c r="W111" s="67"/>
      <c r="X111" s="67"/>
      <c r="Y111" s="76"/>
      <c r="Z111" s="67"/>
      <c r="AA111" s="67"/>
      <c r="AB111" s="67"/>
      <c r="AC111" s="67"/>
      <c r="AD111" s="67" t="s">
        <v>213</v>
      </c>
      <c r="AE111" s="67"/>
      <c r="AF111" s="75" t="s">
        <v>213</v>
      </c>
      <c r="AG111" s="67"/>
      <c r="AH111" s="67"/>
      <c r="AI111" s="67"/>
      <c r="AJ111" s="62"/>
      <c r="AK111" s="62"/>
    </row>
    <row r="112" spans="1:37" x14ac:dyDescent="0.3">
      <c r="A112" s="65">
        <v>107</v>
      </c>
      <c r="B112" s="63">
        <v>46262</v>
      </c>
      <c r="C112" s="66" t="s">
        <v>288</v>
      </c>
      <c r="D112" s="66" t="s">
        <v>127</v>
      </c>
      <c r="E112" s="67"/>
      <c r="F112" s="67"/>
      <c r="G112" s="67"/>
      <c r="H112" s="67" t="s">
        <v>213</v>
      </c>
      <c r="I112" s="67"/>
      <c r="J112" s="67" t="s">
        <v>213</v>
      </c>
      <c r="K112" s="67"/>
      <c r="L112" s="67" t="s">
        <v>213</v>
      </c>
      <c r="M112" s="67"/>
      <c r="N112" s="67" t="s">
        <v>213</v>
      </c>
      <c r="O112" s="67" t="s">
        <v>213</v>
      </c>
      <c r="P112" s="67"/>
      <c r="Q112" s="75" t="s">
        <v>213</v>
      </c>
      <c r="R112" s="67"/>
      <c r="S112" s="75"/>
      <c r="T112" s="67"/>
      <c r="U112" s="67"/>
      <c r="V112" s="67"/>
      <c r="W112" s="67"/>
      <c r="X112" s="67"/>
      <c r="Y112" s="76"/>
      <c r="Z112" s="67"/>
      <c r="AA112" s="67"/>
      <c r="AB112" s="67"/>
      <c r="AC112" s="67"/>
      <c r="AD112" s="67" t="s">
        <v>213</v>
      </c>
      <c r="AE112" s="67"/>
      <c r="AF112" s="75" t="s">
        <v>213</v>
      </c>
      <c r="AG112" s="67"/>
      <c r="AH112" s="67"/>
      <c r="AI112" s="67"/>
      <c r="AJ112" s="62" t="str">
        <f>VLOOKUP(B112,'For A grades - 11 days'!B103:AJ289,35,0)</f>
        <v>Regional</v>
      </c>
      <c r="AK112" s="62"/>
    </row>
    <row r="113" spans="1:37" x14ac:dyDescent="0.3">
      <c r="A113" s="65">
        <v>108</v>
      </c>
      <c r="B113" s="63">
        <v>46265</v>
      </c>
      <c r="C113" s="66" t="s">
        <v>337</v>
      </c>
      <c r="D113" s="66" t="s">
        <v>98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75"/>
      <c r="R113" s="67"/>
      <c r="S113" s="75"/>
      <c r="T113" s="67"/>
      <c r="U113" s="67"/>
      <c r="V113" s="67"/>
      <c r="W113" s="67"/>
      <c r="X113" s="67"/>
      <c r="Y113" s="76"/>
      <c r="Z113" s="67"/>
      <c r="AA113" s="67"/>
      <c r="AB113" s="67"/>
      <c r="AC113" s="67"/>
      <c r="AD113" s="67"/>
      <c r="AE113" s="67"/>
      <c r="AF113" s="75"/>
      <c r="AG113" s="67"/>
      <c r="AH113" s="67"/>
      <c r="AI113" s="67"/>
      <c r="AJ113" s="62" t="str">
        <f>VLOOKUP(B113,'For A grades - 11 days'!B105:AJ290,35,0)</f>
        <v>Optional</v>
      </c>
      <c r="AK113" s="62"/>
    </row>
    <row r="114" spans="1:37" x14ac:dyDescent="0.3">
      <c r="A114" s="65">
        <v>109</v>
      </c>
      <c r="B114" s="63">
        <v>46266</v>
      </c>
      <c r="C114" s="66" t="s">
        <v>299</v>
      </c>
      <c r="D114" s="66" t="s">
        <v>101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75"/>
      <c r="T114" s="67"/>
      <c r="U114" s="67"/>
      <c r="V114" s="67" t="s">
        <v>213</v>
      </c>
      <c r="W114" s="67"/>
      <c r="X114" s="67"/>
      <c r="Y114" s="76"/>
      <c r="Z114" s="67"/>
      <c r="AA114" s="67"/>
      <c r="AB114" s="67"/>
      <c r="AC114" s="67"/>
      <c r="AD114" s="67"/>
      <c r="AE114" s="67"/>
      <c r="AF114" s="75"/>
      <c r="AG114" s="67"/>
      <c r="AH114" s="67"/>
      <c r="AI114" s="67"/>
      <c r="AJ114" s="62"/>
      <c r="AK114" s="62"/>
    </row>
    <row r="115" spans="1:37" x14ac:dyDescent="0.3">
      <c r="A115" s="65">
        <v>110</v>
      </c>
      <c r="B115" s="63">
        <v>46267</v>
      </c>
      <c r="C115" s="66" t="s">
        <v>260</v>
      </c>
      <c r="D115" s="66" t="s">
        <v>97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 t="s">
        <v>213</v>
      </c>
      <c r="P115" s="67"/>
      <c r="Q115" s="67"/>
      <c r="R115" s="67"/>
      <c r="S115" s="75"/>
      <c r="T115" s="67"/>
      <c r="U115" s="67"/>
      <c r="V115" s="67"/>
      <c r="W115" s="67"/>
      <c r="X115" s="67"/>
      <c r="Y115" s="76"/>
      <c r="Z115" s="67"/>
      <c r="AA115" s="67" t="s">
        <v>213</v>
      </c>
      <c r="AB115" s="67"/>
      <c r="AC115" s="67"/>
      <c r="AD115" s="67"/>
      <c r="AE115" s="67"/>
      <c r="AF115" s="75"/>
      <c r="AG115" s="67"/>
      <c r="AH115" s="67"/>
      <c r="AI115" s="67"/>
      <c r="AJ115" s="62"/>
      <c r="AK115" s="62"/>
    </row>
    <row r="116" spans="1:37" x14ac:dyDescent="0.3">
      <c r="A116" s="65">
        <v>111</v>
      </c>
      <c r="B116" s="63">
        <v>46269</v>
      </c>
      <c r="C116" s="66" t="s">
        <v>123</v>
      </c>
      <c r="D116" s="66" t="s">
        <v>127</v>
      </c>
      <c r="E116" s="67"/>
      <c r="F116" s="67"/>
      <c r="G116" s="67"/>
      <c r="H116" s="74" t="s">
        <v>213</v>
      </c>
      <c r="I116" s="67"/>
      <c r="J116" s="74" t="s">
        <v>213</v>
      </c>
      <c r="K116" s="67"/>
      <c r="L116" s="74" t="s">
        <v>213</v>
      </c>
      <c r="M116" s="67"/>
      <c r="N116" s="75" t="s">
        <v>213</v>
      </c>
      <c r="O116" s="74" t="s">
        <v>213</v>
      </c>
      <c r="P116" s="67"/>
      <c r="Q116" s="75" t="s">
        <v>213</v>
      </c>
      <c r="R116" s="67"/>
      <c r="S116" s="74" t="s">
        <v>213</v>
      </c>
      <c r="T116" s="67" t="s">
        <v>213</v>
      </c>
      <c r="U116" s="67"/>
      <c r="V116" s="67" t="s">
        <v>213</v>
      </c>
      <c r="W116" s="74" t="s">
        <v>213</v>
      </c>
      <c r="X116" s="74" t="s">
        <v>213</v>
      </c>
      <c r="Y116" s="74" t="s">
        <v>213</v>
      </c>
      <c r="Z116" s="67"/>
      <c r="AA116" s="67" t="s">
        <v>213</v>
      </c>
      <c r="AB116" s="67"/>
      <c r="AC116" s="67"/>
      <c r="AD116" s="67" t="s">
        <v>213</v>
      </c>
      <c r="AE116" s="67" t="s">
        <v>213</v>
      </c>
      <c r="AF116" s="75" t="s">
        <v>213</v>
      </c>
      <c r="AG116" s="67" t="s">
        <v>213</v>
      </c>
      <c r="AH116" s="67"/>
      <c r="AI116" s="67"/>
      <c r="AJ116" s="80" t="str">
        <f>VLOOKUP(B116,'For A grades - 11 days'!B107:AJ292,35,0)</f>
        <v>Regional</v>
      </c>
      <c r="AK116" s="62"/>
    </row>
    <row r="117" spans="1:37" x14ac:dyDescent="0.3">
      <c r="A117" s="65">
        <v>112</v>
      </c>
      <c r="B117" s="63">
        <v>46270</v>
      </c>
      <c r="C117" s="66" t="s">
        <v>338</v>
      </c>
      <c r="D117" s="66" t="s">
        <v>64</v>
      </c>
      <c r="E117" s="67"/>
      <c r="F117" s="67"/>
      <c r="G117" s="67"/>
      <c r="H117" s="67"/>
      <c r="I117" s="67"/>
      <c r="J117" s="67"/>
      <c r="K117" s="67"/>
      <c r="L117" s="75"/>
      <c r="M117" s="67"/>
      <c r="N117" s="67"/>
      <c r="O117" s="76"/>
      <c r="P117" s="67"/>
      <c r="Q117" s="75"/>
      <c r="R117" s="67"/>
      <c r="S117" s="76"/>
      <c r="T117" s="75"/>
      <c r="U117" s="75"/>
      <c r="V117" s="75"/>
      <c r="W117" s="67"/>
      <c r="X117" s="76"/>
      <c r="Y117" s="76"/>
      <c r="Z117" s="67"/>
      <c r="AA117" s="67"/>
      <c r="AB117" s="67"/>
      <c r="AC117" s="67"/>
      <c r="AD117" s="67"/>
      <c r="AE117" s="67"/>
      <c r="AF117" s="75"/>
      <c r="AG117" s="67"/>
      <c r="AH117" s="67"/>
      <c r="AI117" s="67"/>
      <c r="AJ117" s="62" t="str">
        <f>VLOOKUP(B117,'For A grades - 11 days'!B108:AJ293,35,0)</f>
        <v>Optional-WE</v>
      </c>
      <c r="AK117" s="62"/>
    </row>
    <row r="118" spans="1:37" x14ac:dyDescent="0.3">
      <c r="A118" s="65">
        <v>113</v>
      </c>
      <c r="B118" s="63">
        <v>46273</v>
      </c>
      <c r="C118" s="66" t="s">
        <v>226</v>
      </c>
      <c r="D118" s="66" t="s">
        <v>101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75"/>
      <c r="T118" s="67"/>
      <c r="U118" s="67"/>
      <c r="V118" s="67"/>
      <c r="W118" s="67"/>
      <c r="X118" s="67"/>
      <c r="Y118" s="76"/>
      <c r="Z118" s="67"/>
      <c r="AA118" s="67"/>
      <c r="AB118" s="67"/>
      <c r="AC118" s="67"/>
      <c r="AD118" s="67" t="s">
        <v>213</v>
      </c>
      <c r="AE118" s="67"/>
      <c r="AF118" s="75" t="s">
        <v>213</v>
      </c>
      <c r="AG118" s="67"/>
      <c r="AH118" s="67"/>
      <c r="AI118" s="67"/>
      <c r="AJ118" s="62" t="str">
        <f>VLOOKUP(B118,'For A grades - 11 days'!B108:AJ293,35,0)</f>
        <v>Optional</v>
      </c>
      <c r="AK118" s="62"/>
    </row>
    <row r="119" spans="1:37" x14ac:dyDescent="0.3">
      <c r="A119" s="65">
        <v>114</v>
      </c>
      <c r="B119" s="63">
        <v>46275</v>
      </c>
      <c r="C119" s="66" t="s">
        <v>261</v>
      </c>
      <c r="D119" s="66" t="s">
        <v>96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 t="s">
        <v>213</v>
      </c>
      <c r="P119" s="67"/>
      <c r="Q119" s="67"/>
      <c r="R119" s="67"/>
      <c r="S119" s="75"/>
      <c r="T119" s="67"/>
      <c r="U119" s="67"/>
      <c r="V119" s="67"/>
      <c r="W119" s="67"/>
      <c r="X119" s="67"/>
      <c r="Y119" s="76"/>
      <c r="Z119" s="67"/>
      <c r="AA119" s="67"/>
      <c r="AB119" s="67"/>
      <c r="AC119" s="67"/>
      <c r="AD119" s="67"/>
      <c r="AE119" s="67"/>
      <c r="AF119" s="75"/>
      <c r="AG119" s="67"/>
      <c r="AH119" s="67"/>
      <c r="AI119" s="67"/>
      <c r="AJ119" s="62"/>
      <c r="AK119" s="62"/>
    </row>
    <row r="120" spans="1:37" x14ac:dyDescent="0.3">
      <c r="A120" s="65">
        <v>115</v>
      </c>
      <c r="B120" s="63">
        <v>46277</v>
      </c>
      <c r="C120" s="66" t="s">
        <v>300</v>
      </c>
      <c r="D120" s="66" t="s">
        <v>64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75"/>
      <c r="T120" s="67"/>
      <c r="U120" s="67"/>
      <c r="V120" s="67" t="s">
        <v>219</v>
      </c>
      <c r="W120" s="67"/>
      <c r="X120" s="67"/>
      <c r="Y120" s="76"/>
      <c r="Z120" s="67"/>
      <c r="AA120" s="67"/>
      <c r="AB120" s="67"/>
      <c r="AC120" s="67"/>
      <c r="AD120" s="67"/>
      <c r="AE120" s="67"/>
      <c r="AF120" s="75"/>
      <c r="AG120" s="67"/>
      <c r="AH120" s="67"/>
      <c r="AI120" s="67"/>
      <c r="AJ120" s="62"/>
      <c r="AK120" s="62"/>
    </row>
    <row r="121" spans="1:37" x14ac:dyDescent="0.3">
      <c r="A121" s="65">
        <v>116</v>
      </c>
      <c r="B121" s="63">
        <v>46279</v>
      </c>
      <c r="C121" s="66" t="s">
        <v>262</v>
      </c>
      <c r="D121" s="66" t="s">
        <v>98</v>
      </c>
      <c r="E121" s="67"/>
      <c r="F121" s="67"/>
      <c r="G121" s="67"/>
      <c r="H121" s="67" t="s">
        <v>215</v>
      </c>
      <c r="I121" s="67"/>
      <c r="J121" s="67"/>
      <c r="K121" s="67"/>
      <c r="L121" s="67"/>
      <c r="M121" s="67"/>
      <c r="N121" s="67"/>
      <c r="O121" s="67" t="s">
        <v>213</v>
      </c>
      <c r="P121" s="67"/>
      <c r="Q121" s="75" t="s">
        <v>213</v>
      </c>
      <c r="R121" s="67"/>
      <c r="S121" s="75" t="s">
        <v>213</v>
      </c>
      <c r="T121" s="67"/>
      <c r="U121" s="67"/>
      <c r="V121" s="67"/>
      <c r="W121" s="67"/>
      <c r="X121" s="67"/>
      <c r="Y121" s="76"/>
      <c r="Z121" s="67"/>
      <c r="AA121" s="67"/>
      <c r="AB121" s="67"/>
      <c r="AC121" s="67"/>
      <c r="AD121" s="74" t="s">
        <v>213</v>
      </c>
      <c r="AE121" s="74" t="s">
        <v>213</v>
      </c>
      <c r="AF121" s="75" t="s">
        <v>213</v>
      </c>
      <c r="AG121" s="74" t="s">
        <v>213</v>
      </c>
      <c r="AH121" s="67"/>
      <c r="AI121" s="74" t="s">
        <v>213</v>
      </c>
      <c r="AJ121" s="62" t="str">
        <f>VLOOKUP(B121,'For A grades - 11 days'!B111:AJ296,35,0)</f>
        <v>Optional</v>
      </c>
      <c r="AK121" s="62"/>
    </row>
    <row r="122" spans="1:37" x14ac:dyDescent="0.3">
      <c r="A122" s="65">
        <v>117</v>
      </c>
      <c r="B122" s="63">
        <v>46280</v>
      </c>
      <c r="C122" s="66" t="s">
        <v>150</v>
      </c>
      <c r="D122" s="66" t="s">
        <v>101</v>
      </c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75" t="s">
        <v>213</v>
      </c>
      <c r="T122" s="67"/>
      <c r="U122" s="67"/>
      <c r="V122" s="67"/>
      <c r="W122" s="67"/>
      <c r="X122" s="67"/>
      <c r="Y122" s="76"/>
      <c r="Z122" s="67"/>
      <c r="AA122" s="67"/>
      <c r="AB122" s="67"/>
      <c r="AC122" s="67"/>
      <c r="AD122" s="67"/>
      <c r="AE122" s="67"/>
      <c r="AF122" s="75"/>
      <c r="AG122" s="67"/>
      <c r="AH122" s="67"/>
      <c r="AI122" s="74" t="s">
        <v>213</v>
      </c>
      <c r="AJ122" s="62" t="str">
        <f>VLOOKUP(B122,'For A grades - 11 days'!B112:AJ297,35,0)</f>
        <v>Regional</v>
      </c>
      <c r="AK122" s="62"/>
    </row>
    <row r="123" spans="1:37" x14ac:dyDescent="0.3">
      <c r="A123" s="65">
        <v>118</v>
      </c>
      <c r="B123" s="63">
        <v>46282</v>
      </c>
      <c r="C123" s="66" t="s">
        <v>227</v>
      </c>
      <c r="D123" s="66" t="s">
        <v>96</v>
      </c>
      <c r="E123" s="67"/>
      <c r="F123" s="67"/>
      <c r="G123" s="67"/>
      <c r="H123" s="67"/>
      <c r="I123" s="67"/>
      <c r="J123" s="67"/>
      <c r="K123" s="67"/>
      <c r="L123" s="67"/>
      <c r="M123" s="67"/>
      <c r="N123" s="67" t="s">
        <v>213</v>
      </c>
      <c r="O123" s="67" t="s">
        <v>213</v>
      </c>
      <c r="P123" s="67"/>
      <c r="Q123" s="67" t="s">
        <v>213</v>
      </c>
      <c r="R123" s="67"/>
      <c r="S123" s="75"/>
      <c r="T123" s="67"/>
      <c r="U123" s="67"/>
      <c r="V123" s="67"/>
      <c r="W123" s="67"/>
      <c r="X123" s="67"/>
      <c r="Y123" s="76"/>
      <c r="Z123" s="67"/>
      <c r="AA123" s="67"/>
      <c r="AB123" s="67"/>
      <c r="AC123" s="67"/>
      <c r="AD123" s="67" t="s">
        <v>213</v>
      </c>
      <c r="AE123" s="67"/>
      <c r="AF123" s="75" t="s">
        <v>213</v>
      </c>
      <c r="AG123" s="67"/>
      <c r="AH123" s="67"/>
      <c r="AI123" s="67"/>
      <c r="AJ123" s="62"/>
      <c r="AK123" s="62"/>
    </row>
    <row r="124" spans="1:37" x14ac:dyDescent="0.3">
      <c r="A124" s="65">
        <v>119</v>
      </c>
      <c r="B124" s="63">
        <v>46283</v>
      </c>
      <c r="C124" s="66" t="s">
        <v>263</v>
      </c>
      <c r="D124" s="66" t="s">
        <v>127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 t="s">
        <v>213</v>
      </c>
      <c r="P124" s="67"/>
      <c r="Q124" s="67"/>
      <c r="R124" s="67"/>
      <c r="S124" s="75"/>
      <c r="T124" s="67"/>
      <c r="U124" s="67"/>
      <c r="V124" s="67"/>
      <c r="W124" s="67"/>
      <c r="X124" s="67"/>
      <c r="Y124" s="76"/>
      <c r="Z124" s="67"/>
      <c r="AA124" s="67" t="s">
        <v>213</v>
      </c>
      <c r="AB124" s="67"/>
      <c r="AC124" s="67"/>
      <c r="AD124" s="67"/>
      <c r="AE124" s="67"/>
      <c r="AF124" s="75"/>
      <c r="AG124" s="67"/>
      <c r="AH124" s="67"/>
      <c r="AI124" s="67"/>
      <c r="AJ124" s="62"/>
      <c r="AK124" s="62"/>
    </row>
    <row r="125" spans="1:37" x14ac:dyDescent="0.3">
      <c r="A125" s="65">
        <v>120</v>
      </c>
      <c r="B125" s="63">
        <v>46286</v>
      </c>
      <c r="C125" s="66" t="s">
        <v>235</v>
      </c>
      <c r="D125" s="66" t="s">
        <v>98</v>
      </c>
      <c r="E125" s="67"/>
      <c r="F125" s="67"/>
      <c r="G125" s="67"/>
      <c r="H125" s="67"/>
      <c r="I125" s="67"/>
      <c r="J125" s="67"/>
      <c r="K125" s="67"/>
      <c r="L125" s="67" t="s">
        <v>213</v>
      </c>
      <c r="M125" s="67"/>
      <c r="N125" s="67"/>
      <c r="O125" s="67"/>
      <c r="P125" s="67"/>
      <c r="Q125" s="67"/>
      <c r="R125" s="67"/>
      <c r="S125" s="75"/>
      <c r="T125" s="67"/>
      <c r="U125" s="67"/>
      <c r="V125" s="67" t="s">
        <v>213</v>
      </c>
      <c r="W125" s="67"/>
      <c r="X125" s="67"/>
      <c r="Y125" s="76"/>
      <c r="Z125" s="67"/>
      <c r="AA125" s="67"/>
      <c r="AB125" s="67"/>
      <c r="AC125" s="67"/>
      <c r="AD125" s="67"/>
      <c r="AE125" s="67"/>
      <c r="AF125" s="75"/>
      <c r="AG125" s="67"/>
      <c r="AH125" s="67"/>
      <c r="AI125" s="67"/>
      <c r="AJ125" s="62" t="str">
        <f>VLOOKUP(B125,'For A grades - 11 days'!B115:AJ300,35,0)</f>
        <v>Optional</v>
      </c>
      <c r="AK125" s="62"/>
    </row>
    <row r="126" spans="1:37" x14ac:dyDescent="0.3">
      <c r="A126" s="65">
        <v>121</v>
      </c>
      <c r="B126" s="63">
        <v>46287</v>
      </c>
      <c r="C126" s="66" t="s">
        <v>264</v>
      </c>
      <c r="D126" s="66" t="s">
        <v>101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 t="s">
        <v>213</v>
      </c>
      <c r="P126" s="67"/>
      <c r="Q126" s="67"/>
      <c r="R126" s="67"/>
      <c r="S126" s="75"/>
      <c r="T126" s="67"/>
      <c r="U126" s="67"/>
      <c r="V126" s="67" t="s">
        <v>213</v>
      </c>
      <c r="W126" s="67"/>
      <c r="X126" s="67"/>
      <c r="Y126" s="76"/>
      <c r="Z126" s="67"/>
      <c r="AA126" s="67"/>
      <c r="AB126" s="67"/>
      <c r="AC126" s="67"/>
      <c r="AD126" s="67"/>
      <c r="AE126" s="67"/>
      <c r="AF126" s="75"/>
      <c r="AG126" s="67"/>
      <c r="AH126" s="67"/>
      <c r="AI126" s="67"/>
      <c r="AJ126" s="62"/>
      <c r="AK126" s="62"/>
    </row>
    <row r="127" spans="1:37" x14ac:dyDescent="0.3">
      <c r="A127" s="65">
        <v>122</v>
      </c>
      <c r="B127" s="63">
        <v>46290</v>
      </c>
      <c r="C127" s="66" t="s">
        <v>228</v>
      </c>
      <c r="D127" s="66" t="s">
        <v>127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 t="s">
        <v>213</v>
      </c>
      <c r="O127" s="67" t="s">
        <v>213</v>
      </c>
      <c r="P127" s="67"/>
      <c r="Q127" s="67"/>
      <c r="R127" s="67"/>
      <c r="S127" s="75"/>
      <c r="T127" s="67"/>
      <c r="U127" s="67"/>
      <c r="V127" s="67"/>
      <c r="W127" s="67"/>
      <c r="X127" s="67"/>
      <c r="Y127" s="76"/>
      <c r="Z127" s="67"/>
      <c r="AA127" s="67" t="s">
        <v>213</v>
      </c>
      <c r="AB127" s="67"/>
      <c r="AC127" s="67"/>
      <c r="AD127" s="75" t="s">
        <v>213</v>
      </c>
      <c r="AE127" s="67"/>
      <c r="AF127" s="75" t="s">
        <v>213</v>
      </c>
      <c r="AG127" s="67"/>
      <c r="AH127" s="67"/>
      <c r="AI127" s="67"/>
      <c r="AJ127" s="62"/>
      <c r="AK127" s="62"/>
    </row>
    <row r="128" spans="1:37" x14ac:dyDescent="0.3">
      <c r="A128" s="65">
        <v>123</v>
      </c>
      <c r="B128" s="63">
        <v>46291</v>
      </c>
      <c r="C128" s="66" t="s">
        <v>308</v>
      </c>
      <c r="D128" s="66" t="s">
        <v>64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75"/>
      <c r="T128" s="67"/>
      <c r="U128" s="67"/>
      <c r="V128" s="67"/>
      <c r="W128" s="67"/>
      <c r="X128" s="67"/>
      <c r="Y128" s="76"/>
      <c r="Z128" s="67"/>
      <c r="AA128" s="67" t="s">
        <v>219</v>
      </c>
      <c r="AB128" s="67"/>
      <c r="AC128" s="67"/>
      <c r="AD128" s="67"/>
      <c r="AE128" s="67"/>
      <c r="AF128" s="75"/>
      <c r="AG128" s="67"/>
      <c r="AH128" s="67"/>
      <c r="AI128" s="67"/>
      <c r="AJ128" s="62"/>
      <c r="AK128" s="62"/>
    </row>
    <row r="129" spans="1:37" x14ac:dyDescent="0.3">
      <c r="A129" s="65">
        <v>124</v>
      </c>
      <c r="B129" s="63">
        <v>46292</v>
      </c>
      <c r="C129" s="66" t="s">
        <v>308</v>
      </c>
      <c r="D129" s="66" t="s">
        <v>63</v>
      </c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75"/>
      <c r="T129" s="67"/>
      <c r="U129" s="67"/>
      <c r="V129" s="67"/>
      <c r="W129" s="67"/>
      <c r="X129" s="67"/>
      <c r="Y129" s="76"/>
      <c r="Z129" s="67"/>
      <c r="AA129" s="67" t="s">
        <v>219</v>
      </c>
      <c r="AB129" s="67"/>
      <c r="AC129" s="67"/>
      <c r="AD129" s="67"/>
      <c r="AE129" s="67"/>
      <c r="AF129" s="75"/>
      <c r="AG129" s="67"/>
      <c r="AH129" s="67"/>
      <c r="AI129" s="67"/>
      <c r="AJ129" s="62"/>
      <c r="AK129" s="62"/>
    </row>
    <row r="130" spans="1:37" x14ac:dyDescent="0.3">
      <c r="A130" s="65">
        <v>125</v>
      </c>
      <c r="B130" s="63">
        <v>46293</v>
      </c>
      <c r="C130" s="66" t="s">
        <v>308</v>
      </c>
      <c r="D130" s="66" t="s">
        <v>98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75"/>
      <c r="T130" s="67"/>
      <c r="U130" s="67"/>
      <c r="V130" s="67"/>
      <c r="W130" s="67"/>
      <c r="X130" s="67"/>
      <c r="Y130" s="76"/>
      <c r="Z130" s="67"/>
      <c r="AA130" s="67" t="s">
        <v>213</v>
      </c>
      <c r="AB130" s="67"/>
      <c r="AC130" s="67"/>
      <c r="AD130" s="67"/>
      <c r="AE130" s="67"/>
      <c r="AF130" s="75"/>
      <c r="AG130" s="67"/>
      <c r="AH130" s="67"/>
      <c r="AI130" s="67"/>
      <c r="AJ130" s="62"/>
      <c r="AK130" s="62"/>
    </row>
    <row r="131" spans="1:37" x14ac:dyDescent="0.3">
      <c r="A131" s="65"/>
      <c r="B131" s="63">
        <v>46295</v>
      </c>
      <c r="C131" s="66" t="s">
        <v>345</v>
      </c>
      <c r="D131" s="66" t="s">
        <v>97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75"/>
      <c r="T131" s="67"/>
      <c r="U131" s="67"/>
      <c r="V131" s="67"/>
      <c r="W131" s="67" t="s">
        <v>213</v>
      </c>
      <c r="X131" s="67"/>
      <c r="Y131" s="76"/>
      <c r="Z131" s="67"/>
      <c r="AA131" s="67"/>
      <c r="AB131" s="67"/>
      <c r="AC131" s="67"/>
      <c r="AD131" s="67"/>
      <c r="AE131" s="67"/>
      <c r="AF131" s="75"/>
      <c r="AG131" s="67"/>
      <c r="AH131" s="67"/>
      <c r="AI131" s="67"/>
      <c r="AJ131" s="62"/>
      <c r="AK131" s="62"/>
    </row>
    <row r="132" spans="1:37" x14ac:dyDescent="0.3">
      <c r="A132" s="65">
        <v>126</v>
      </c>
      <c r="B132" s="63">
        <v>46296</v>
      </c>
      <c r="C132" s="66" t="s">
        <v>265</v>
      </c>
      <c r="D132" s="66" t="s">
        <v>96</v>
      </c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 t="s">
        <v>213</v>
      </c>
      <c r="P132" s="67"/>
      <c r="Q132" s="67"/>
      <c r="R132" s="67"/>
      <c r="S132" s="75"/>
      <c r="T132" s="67"/>
      <c r="U132" s="67"/>
      <c r="V132" s="67"/>
      <c r="W132" s="67"/>
      <c r="X132" s="67"/>
      <c r="Y132" s="76"/>
      <c r="Z132" s="67"/>
      <c r="AA132" s="67"/>
      <c r="AB132" s="67"/>
      <c r="AC132" s="67"/>
      <c r="AD132" s="67"/>
      <c r="AE132" s="67"/>
      <c r="AF132" s="75"/>
      <c r="AG132" s="67"/>
      <c r="AH132" s="67"/>
      <c r="AI132" s="67"/>
      <c r="AJ132" s="62"/>
      <c r="AK132" s="62"/>
    </row>
    <row r="133" spans="1:37" x14ac:dyDescent="0.3">
      <c r="A133" s="65">
        <v>127</v>
      </c>
      <c r="B133" s="63">
        <v>46297</v>
      </c>
      <c r="C133" s="66" t="s">
        <v>124</v>
      </c>
      <c r="D133" s="66" t="s">
        <v>127</v>
      </c>
      <c r="E133" s="67"/>
      <c r="F133" s="67"/>
      <c r="G133" s="67"/>
      <c r="H133" s="74" t="s">
        <v>212</v>
      </c>
      <c r="I133" s="67"/>
      <c r="J133" s="74" t="s">
        <v>212</v>
      </c>
      <c r="K133" s="67"/>
      <c r="L133" s="74" t="s">
        <v>212</v>
      </c>
      <c r="M133" s="67"/>
      <c r="N133" s="74" t="s">
        <v>212</v>
      </c>
      <c r="O133" s="74" t="s">
        <v>212</v>
      </c>
      <c r="P133" s="67"/>
      <c r="Q133" s="74" t="s">
        <v>212</v>
      </c>
      <c r="R133" s="67"/>
      <c r="S133" s="74" t="s">
        <v>212</v>
      </c>
      <c r="T133" s="74" t="s">
        <v>212</v>
      </c>
      <c r="U133" s="67"/>
      <c r="V133" s="74" t="s">
        <v>212</v>
      </c>
      <c r="W133" s="74" t="s">
        <v>212</v>
      </c>
      <c r="X133" s="74" t="s">
        <v>212</v>
      </c>
      <c r="Y133" s="74" t="s">
        <v>212</v>
      </c>
      <c r="Z133" s="67"/>
      <c r="AA133" s="74" t="s">
        <v>212</v>
      </c>
      <c r="AB133" s="67"/>
      <c r="AC133" s="67"/>
      <c r="AD133" s="74" t="s">
        <v>212</v>
      </c>
      <c r="AE133" s="74" t="s">
        <v>212</v>
      </c>
      <c r="AF133" s="74" t="s">
        <v>212</v>
      </c>
      <c r="AG133" s="74" t="s">
        <v>212</v>
      </c>
      <c r="AH133" s="67"/>
      <c r="AI133" s="74" t="s">
        <v>212</v>
      </c>
      <c r="AJ133" s="80" t="str">
        <f>VLOOKUP(B133,'For A grades - 11 days'!B131:AJ316,35,0)</f>
        <v>National</v>
      </c>
      <c r="AK133" s="62"/>
    </row>
    <row r="134" spans="1:37" x14ac:dyDescent="0.3">
      <c r="A134" s="65">
        <v>128</v>
      </c>
      <c r="B134" s="63">
        <v>46299</v>
      </c>
      <c r="C134" s="66" t="s">
        <v>289</v>
      </c>
      <c r="D134" s="66" t="s">
        <v>63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 t="s">
        <v>219</v>
      </c>
      <c r="R134" s="67"/>
      <c r="S134" s="75"/>
      <c r="T134" s="67"/>
      <c r="U134" s="67"/>
      <c r="V134" s="67"/>
      <c r="W134" s="67"/>
      <c r="X134" s="67"/>
      <c r="Y134" s="76"/>
      <c r="Z134" s="67"/>
      <c r="AA134" s="67"/>
      <c r="AB134" s="67"/>
      <c r="AC134" s="67"/>
      <c r="AD134" s="67"/>
      <c r="AE134" s="67"/>
      <c r="AF134" s="75"/>
      <c r="AG134" s="67"/>
      <c r="AH134" s="67"/>
      <c r="AI134" s="67"/>
      <c r="AJ134" s="62"/>
      <c r="AK134" s="62"/>
    </row>
    <row r="135" spans="1:37" x14ac:dyDescent="0.3">
      <c r="A135" s="65">
        <v>129</v>
      </c>
      <c r="B135" s="63">
        <v>46304</v>
      </c>
      <c r="C135" s="66" t="s">
        <v>266</v>
      </c>
      <c r="D135" s="66" t="s">
        <v>127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 t="s">
        <v>213</v>
      </c>
      <c r="P135" s="67"/>
      <c r="Q135" s="67"/>
      <c r="R135" s="67"/>
      <c r="S135" s="75"/>
      <c r="T135" s="67"/>
      <c r="U135" s="67"/>
      <c r="V135" s="67"/>
      <c r="W135" s="67"/>
      <c r="X135" s="67"/>
      <c r="Y135" s="76"/>
      <c r="Z135" s="67"/>
      <c r="AA135" s="67"/>
      <c r="AB135" s="67"/>
      <c r="AC135" s="67"/>
      <c r="AD135" s="67"/>
      <c r="AE135" s="67"/>
      <c r="AF135" s="75"/>
      <c r="AG135" s="67"/>
      <c r="AH135" s="67"/>
      <c r="AI135" s="67"/>
      <c r="AJ135" s="62"/>
      <c r="AK135" s="62"/>
    </row>
    <row r="136" spans="1:37" x14ac:dyDescent="0.3">
      <c r="A136" s="65">
        <v>130</v>
      </c>
      <c r="B136" s="63">
        <v>46305</v>
      </c>
      <c r="C136" s="66" t="s">
        <v>324</v>
      </c>
      <c r="D136" s="66" t="s">
        <v>64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 t="s">
        <v>219</v>
      </c>
      <c r="P136" s="67"/>
      <c r="Q136" s="67"/>
      <c r="R136" s="67"/>
      <c r="S136" s="75"/>
      <c r="T136" s="67" t="s">
        <v>219</v>
      </c>
      <c r="U136" s="67"/>
      <c r="V136" s="67"/>
      <c r="W136" s="67"/>
      <c r="X136" s="67"/>
      <c r="Y136" s="76"/>
      <c r="Z136" s="67"/>
      <c r="AA136" s="67"/>
      <c r="AB136" s="67"/>
      <c r="AC136" s="67"/>
      <c r="AD136" s="67"/>
      <c r="AE136" s="67"/>
      <c r="AF136" s="75"/>
      <c r="AG136" s="67"/>
      <c r="AH136" s="67"/>
      <c r="AI136" s="67"/>
      <c r="AJ136" s="62"/>
      <c r="AK136" s="62"/>
    </row>
    <row r="137" spans="1:37" x14ac:dyDescent="0.3">
      <c r="A137" s="65">
        <v>131</v>
      </c>
      <c r="B137" s="63">
        <v>46306</v>
      </c>
      <c r="C137" s="66" t="s">
        <v>290</v>
      </c>
      <c r="D137" s="66" t="s">
        <v>63</v>
      </c>
      <c r="E137" s="67"/>
      <c r="F137" s="67"/>
      <c r="G137" s="67"/>
      <c r="H137" s="67"/>
      <c r="I137" s="67"/>
      <c r="J137" s="67"/>
      <c r="K137" s="67"/>
      <c r="L137" s="67" t="s">
        <v>219</v>
      </c>
      <c r="M137" s="67"/>
      <c r="N137" s="67" t="s">
        <v>219</v>
      </c>
      <c r="O137" s="67"/>
      <c r="P137" s="67"/>
      <c r="Q137" s="67" t="s">
        <v>219</v>
      </c>
      <c r="R137" s="67"/>
      <c r="S137" s="75"/>
      <c r="T137" s="67"/>
      <c r="U137" s="67"/>
      <c r="V137" s="67"/>
      <c r="W137" s="75" t="s">
        <v>219</v>
      </c>
      <c r="X137" s="67"/>
      <c r="Y137" s="76"/>
      <c r="Z137" s="67"/>
      <c r="AA137" s="67"/>
      <c r="AB137" s="67"/>
      <c r="AC137" s="67"/>
      <c r="AD137" s="67"/>
      <c r="AE137" s="67"/>
      <c r="AF137" s="75"/>
      <c r="AG137" s="67"/>
      <c r="AH137" s="67"/>
      <c r="AI137" s="67"/>
      <c r="AJ137" s="62"/>
      <c r="AK137" s="62"/>
    </row>
    <row r="138" spans="1:37" x14ac:dyDescent="0.3">
      <c r="A138" s="65">
        <v>132</v>
      </c>
      <c r="B138" s="63">
        <v>46308</v>
      </c>
      <c r="C138" s="66" t="s">
        <v>309</v>
      </c>
      <c r="D138" s="66" t="s">
        <v>101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75"/>
      <c r="T138" s="67"/>
      <c r="U138" s="67"/>
      <c r="V138" s="67"/>
      <c r="W138" s="67"/>
      <c r="X138" s="67"/>
      <c r="Y138" s="76"/>
      <c r="Z138" s="67"/>
      <c r="AA138" s="74" t="s">
        <v>213</v>
      </c>
      <c r="AB138" s="67"/>
      <c r="AC138" s="67"/>
      <c r="AD138" s="67"/>
      <c r="AE138" s="67"/>
      <c r="AF138" s="75"/>
      <c r="AG138" s="67"/>
      <c r="AH138" s="67"/>
      <c r="AI138" s="67"/>
      <c r="AJ138" s="62"/>
      <c r="AK138" s="62"/>
    </row>
    <row r="139" spans="1:37" x14ac:dyDescent="0.3">
      <c r="A139" s="65">
        <v>133</v>
      </c>
      <c r="B139" s="63">
        <v>46309</v>
      </c>
      <c r="C139" s="66" t="s">
        <v>291</v>
      </c>
      <c r="D139" s="66" t="s">
        <v>97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74" t="s">
        <v>213</v>
      </c>
      <c r="R139" s="67"/>
      <c r="S139" s="75"/>
      <c r="T139" s="67"/>
      <c r="U139" s="67"/>
      <c r="V139" s="67"/>
      <c r="W139" s="67"/>
      <c r="X139" s="67"/>
      <c r="Y139" s="76"/>
      <c r="Z139" s="67"/>
      <c r="AA139" s="67"/>
      <c r="AB139" s="67"/>
      <c r="AC139" s="67"/>
      <c r="AD139" s="67"/>
      <c r="AE139" s="67"/>
      <c r="AF139" s="75"/>
      <c r="AG139" s="67"/>
      <c r="AH139" s="67"/>
      <c r="AI139" s="67"/>
      <c r="AJ139" s="62"/>
      <c r="AK139" s="62"/>
    </row>
    <row r="140" spans="1:37" x14ac:dyDescent="0.3">
      <c r="A140" s="65">
        <v>134</v>
      </c>
      <c r="B140" s="63">
        <v>46310</v>
      </c>
      <c r="C140" s="66" t="s">
        <v>316</v>
      </c>
      <c r="D140" s="66" t="s">
        <v>96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75"/>
      <c r="T140" s="67"/>
      <c r="U140" s="67"/>
      <c r="V140" s="67"/>
      <c r="W140" s="67"/>
      <c r="X140" s="67"/>
      <c r="Y140" s="76"/>
      <c r="Z140" s="67"/>
      <c r="AA140" s="67"/>
      <c r="AB140" s="67"/>
      <c r="AC140" s="67"/>
      <c r="AD140" s="67"/>
      <c r="AE140" s="67"/>
      <c r="AF140" s="75" t="s">
        <v>213</v>
      </c>
      <c r="AG140" s="67"/>
      <c r="AH140" s="67"/>
      <c r="AI140" s="67"/>
      <c r="AJ140" s="62"/>
      <c r="AK140" s="62"/>
    </row>
    <row r="141" spans="1:37" x14ac:dyDescent="0.3">
      <c r="A141" s="65">
        <v>135</v>
      </c>
      <c r="B141" s="63">
        <v>46311</v>
      </c>
      <c r="C141" s="66" t="s">
        <v>310</v>
      </c>
      <c r="D141" s="66" t="s">
        <v>127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75"/>
      <c r="T141" s="67"/>
      <c r="U141" s="67"/>
      <c r="V141" s="67"/>
      <c r="W141" s="67"/>
      <c r="X141" s="67"/>
      <c r="Y141" s="76"/>
      <c r="Z141" s="67"/>
      <c r="AA141" s="74" t="s">
        <v>213</v>
      </c>
      <c r="AB141" s="67"/>
      <c r="AC141" s="67"/>
      <c r="AD141" s="67"/>
      <c r="AE141" s="67"/>
      <c r="AF141" s="75"/>
      <c r="AG141" s="67"/>
      <c r="AH141" s="67"/>
      <c r="AI141" s="67"/>
      <c r="AJ141" s="62"/>
      <c r="AK141" s="62"/>
    </row>
    <row r="142" spans="1:37" x14ac:dyDescent="0.3">
      <c r="A142" s="65">
        <v>136</v>
      </c>
      <c r="B142" s="63">
        <v>46312</v>
      </c>
      <c r="C142" s="66" t="s">
        <v>292</v>
      </c>
      <c r="D142" s="66" t="s">
        <v>64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 t="s">
        <v>219</v>
      </c>
      <c r="R142" s="67"/>
      <c r="S142" s="75"/>
      <c r="T142" s="67"/>
      <c r="U142" s="67"/>
      <c r="V142" s="67"/>
      <c r="W142" s="67"/>
      <c r="X142" s="67"/>
      <c r="Y142" s="76"/>
      <c r="Z142" s="67"/>
      <c r="AA142" s="67"/>
      <c r="AB142" s="67"/>
      <c r="AC142" s="67"/>
      <c r="AD142" s="67"/>
      <c r="AE142" s="67"/>
      <c r="AF142" s="75"/>
      <c r="AG142" s="67"/>
      <c r="AH142" s="67"/>
      <c r="AI142" s="67"/>
      <c r="AJ142" s="62"/>
      <c r="AK142" s="62"/>
    </row>
    <row r="143" spans="1:37" x14ac:dyDescent="0.3">
      <c r="A143" s="65">
        <v>137</v>
      </c>
      <c r="B143" s="63">
        <v>46313</v>
      </c>
      <c r="C143" s="66" t="s">
        <v>153</v>
      </c>
      <c r="D143" s="67" t="s">
        <v>63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 t="s">
        <v>219</v>
      </c>
      <c r="R143" s="67"/>
      <c r="S143" s="67" t="s">
        <v>219</v>
      </c>
      <c r="T143" s="67" t="s">
        <v>219</v>
      </c>
      <c r="U143" s="67"/>
      <c r="V143" s="67" t="s">
        <v>219</v>
      </c>
      <c r="W143" s="67"/>
      <c r="X143" s="67"/>
      <c r="Y143" s="76"/>
      <c r="Z143" s="67"/>
      <c r="AA143" s="67"/>
      <c r="AB143" s="67"/>
      <c r="AC143" s="67"/>
      <c r="AD143" s="67"/>
      <c r="AE143" s="67"/>
      <c r="AF143" s="75"/>
      <c r="AG143" s="67"/>
      <c r="AH143" s="67"/>
      <c r="AI143" s="67"/>
      <c r="AJ143" s="62"/>
      <c r="AK143" s="62"/>
    </row>
    <row r="144" spans="1:37" x14ac:dyDescent="0.3">
      <c r="A144" s="65">
        <v>138</v>
      </c>
      <c r="B144" s="63">
        <v>46314</v>
      </c>
      <c r="C144" s="66" t="s">
        <v>236</v>
      </c>
      <c r="D144" s="66" t="s">
        <v>98</v>
      </c>
      <c r="E144" s="67"/>
      <c r="F144" s="67"/>
      <c r="G144" s="67"/>
      <c r="H144" s="67" t="s">
        <v>215</v>
      </c>
      <c r="I144" s="67"/>
      <c r="J144" s="67"/>
      <c r="K144" s="67"/>
      <c r="L144" s="74" t="s">
        <v>213</v>
      </c>
      <c r="M144" s="67"/>
      <c r="N144" s="74" t="s">
        <v>213</v>
      </c>
      <c r="O144" s="74" t="s">
        <v>213</v>
      </c>
      <c r="P144" s="67"/>
      <c r="Q144" s="74" t="s">
        <v>213</v>
      </c>
      <c r="R144" s="67"/>
      <c r="S144" s="74" t="s">
        <v>213</v>
      </c>
      <c r="T144" s="74" t="s">
        <v>213</v>
      </c>
      <c r="U144" s="67"/>
      <c r="V144" s="74" t="s">
        <v>213</v>
      </c>
      <c r="W144" s="74" t="s">
        <v>213</v>
      </c>
      <c r="X144" s="74" t="s">
        <v>213</v>
      </c>
      <c r="Y144" s="76"/>
      <c r="Z144" s="67"/>
      <c r="AA144" s="67"/>
      <c r="AB144" s="67"/>
      <c r="AC144" s="67"/>
      <c r="AD144" s="67"/>
      <c r="AE144" s="74" t="s">
        <v>213</v>
      </c>
      <c r="AF144" s="74" t="s">
        <v>213</v>
      </c>
      <c r="AG144" s="74" t="s">
        <v>213</v>
      </c>
      <c r="AH144" s="67"/>
      <c r="AI144" s="67"/>
      <c r="AJ144" s="62"/>
      <c r="AK144" s="62"/>
    </row>
    <row r="145" spans="1:37" x14ac:dyDescent="0.3">
      <c r="A145" s="65">
        <v>139</v>
      </c>
      <c r="B145" s="63">
        <v>46315</v>
      </c>
      <c r="C145" s="66" t="s">
        <v>169</v>
      </c>
      <c r="D145" s="66" t="s">
        <v>101</v>
      </c>
      <c r="E145" s="67"/>
      <c r="F145" s="67"/>
      <c r="G145" s="67"/>
      <c r="H145" s="74" t="s">
        <v>213</v>
      </c>
      <c r="I145" s="67"/>
      <c r="J145" s="74" t="s">
        <v>213</v>
      </c>
      <c r="K145" s="67"/>
      <c r="L145" s="74" t="s">
        <v>213</v>
      </c>
      <c r="M145" s="67"/>
      <c r="N145" s="74" t="s">
        <v>213</v>
      </c>
      <c r="O145" s="74" t="s">
        <v>213</v>
      </c>
      <c r="P145" s="67"/>
      <c r="Q145" s="67"/>
      <c r="R145" s="67"/>
      <c r="S145" s="74" t="s">
        <v>213</v>
      </c>
      <c r="T145" s="74" t="s">
        <v>213</v>
      </c>
      <c r="U145" s="67"/>
      <c r="V145" s="74" t="s">
        <v>213</v>
      </c>
      <c r="W145" s="67"/>
      <c r="X145" s="67" t="s">
        <v>213</v>
      </c>
      <c r="Y145" s="74" t="s">
        <v>213</v>
      </c>
      <c r="Z145" s="67"/>
      <c r="AA145" s="67"/>
      <c r="AB145" s="67"/>
      <c r="AC145" s="67"/>
      <c r="AD145" s="74" t="s">
        <v>213</v>
      </c>
      <c r="AE145" s="67"/>
      <c r="AF145" s="74" t="s">
        <v>213</v>
      </c>
      <c r="AG145" s="74" t="s">
        <v>213</v>
      </c>
      <c r="AH145" s="67"/>
      <c r="AI145" s="74" t="s">
        <v>213</v>
      </c>
      <c r="AJ145" s="80" t="str">
        <f>VLOOKUP(B145,'For A grades - 11 days'!B135:AJ319,35,0)</f>
        <v>Regional</v>
      </c>
      <c r="AK145" s="62"/>
    </row>
    <row r="146" spans="1:37" x14ac:dyDescent="0.3">
      <c r="A146" s="65">
        <v>140</v>
      </c>
      <c r="B146" s="63">
        <v>46316</v>
      </c>
      <c r="C146" s="66" t="s">
        <v>293</v>
      </c>
      <c r="D146" s="66" t="s">
        <v>97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 t="s">
        <v>213</v>
      </c>
      <c r="R146" s="67"/>
      <c r="S146" s="75"/>
      <c r="T146" s="74" t="s">
        <v>213</v>
      </c>
      <c r="U146" s="67"/>
      <c r="V146" s="67" t="s">
        <v>213</v>
      </c>
      <c r="W146" s="67"/>
      <c r="X146" s="67"/>
      <c r="Y146" s="76"/>
      <c r="Z146" s="67"/>
      <c r="AA146" s="67"/>
      <c r="AB146" s="67"/>
      <c r="AC146" s="67"/>
      <c r="AD146" s="67" t="s">
        <v>213</v>
      </c>
      <c r="AE146" s="67"/>
      <c r="AF146" s="75" t="s">
        <v>213</v>
      </c>
      <c r="AG146" s="67"/>
      <c r="AH146" s="67"/>
      <c r="AI146" s="67"/>
      <c r="AJ146" s="62"/>
      <c r="AK146" s="62"/>
    </row>
    <row r="147" spans="1:37" x14ac:dyDescent="0.3">
      <c r="A147" s="65">
        <v>141</v>
      </c>
      <c r="B147" s="63">
        <v>46320</v>
      </c>
      <c r="C147" s="66" t="s">
        <v>325</v>
      </c>
      <c r="D147" s="66" t="s">
        <v>63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75"/>
      <c r="T147" s="67" t="s">
        <v>219</v>
      </c>
      <c r="U147" s="67"/>
      <c r="V147" s="67"/>
      <c r="W147" s="67"/>
      <c r="X147" s="67"/>
      <c r="Y147" s="76"/>
      <c r="Z147" s="67"/>
      <c r="AA147" s="67"/>
      <c r="AB147" s="67"/>
      <c r="AC147" s="67"/>
      <c r="AD147" s="67"/>
      <c r="AE147" s="67"/>
      <c r="AF147" s="75"/>
      <c r="AG147" s="67"/>
      <c r="AH147" s="67"/>
      <c r="AI147" s="67"/>
      <c r="AJ147" s="62"/>
      <c r="AK147" s="62"/>
    </row>
    <row r="148" spans="1:37" x14ac:dyDescent="0.3">
      <c r="A148" s="65">
        <v>142</v>
      </c>
      <c r="B148" s="63">
        <v>46321</v>
      </c>
      <c r="C148" s="66" t="s">
        <v>317</v>
      </c>
      <c r="D148" s="66" t="s">
        <v>98</v>
      </c>
      <c r="E148" s="67"/>
      <c r="F148" s="67"/>
      <c r="G148" s="67"/>
      <c r="H148" s="74" t="s">
        <v>213</v>
      </c>
      <c r="I148" s="67"/>
      <c r="J148" s="67"/>
      <c r="K148" s="67"/>
      <c r="L148" s="67"/>
      <c r="M148" s="67"/>
      <c r="N148" s="67" t="s">
        <v>213</v>
      </c>
      <c r="O148" s="67" t="s">
        <v>213</v>
      </c>
      <c r="P148" s="67"/>
      <c r="Q148" s="67"/>
      <c r="R148" s="67"/>
      <c r="S148" s="75"/>
      <c r="T148" s="67"/>
      <c r="U148" s="67"/>
      <c r="V148" s="67"/>
      <c r="W148" s="67" t="s">
        <v>213</v>
      </c>
      <c r="X148" s="67"/>
      <c r="Y148" s="76"/>
      <c r="Z148" s="67"/>
      <c r="AA148" s="67"/>
      <c r="AB148" s="67"/>
      <c r="AC148" s="67"/>
      <c r="AD148" s="67"/>
      <c r="AE148" s="67"/>
      <c r="AF148" s="75"/>
      <c r="AG148" s="67"/>
      <c r="AH148" s="67"/>
      <c r="AI148" s="67"/>
      <c r="AJ148" s="62"/>
      <c r="AK148" s="62"/>
    </row>
    <row r="149" spans="1:37" x14ac:dyDescent="0.3">
      <c r="A149" s="65">
        <v>143</v>
      </c>
      <c r="B149" s="63">
        <v>46324</v>
      </c>
      <c r="C149" s="66" t="s">
        <v>268</v>
      </c>
      <c r="D149" s="66" t="s">
        <v>96</v>
      </c>
      <c r="E149" s="67"/>
      <c r="F149" s="67"/>
      <c r="G149" s="67"/>
      <c r="H149" s="67" t="s">
        <v>213</v>
      </c>
      <c r="I149" s="67"/>
      <c r="J149" s="67"/>
      <c r="K149" s="67"/>
      <c r="L149" s="67"/>
      <c r="M149" s="67"/>
      <c r="N149" s="67"/>
      <c r="O149" s="67" t="s">
        <v>213</v>
      </c>
      <c r="P149" s="67"/>
      <c r="Q149" s="67"/>
      <c r="R149" s="67"/>
      <c r="S149" s="75"/>
      <c r="T149" s="67"/>
      <c r="U149" s="67"/>
      <c r="V149" s="67"/>
      <c r="W149" s="67"/>
      <c r="X149" s="67"/>
      <c r="Y149" s="76"/>
      <c r="Z149" s="67"/>
      <c r="AA149" s="67"/>
      <c r="AB149" s="67"/>
      <c r="AC149" s="67"/>
      <c r="AD149" s="67"/>
      <c r="AE149" s="67"/>
      <c r="AF149" s="75"/>
      <c r="AG149" s="67"/>
      <c r="AH149" s="67"/>
      <c r="AI149" s="67"/>
      <c r="AJ149" s="62"/>
      <c r="AK149" s="62"/>
    </row>
    <row r="150" spans="1:37" x14ac:dyDescent="0.3">
      <c r="A150" s="65">
        <v>144</v>
      </c>
      <c r="B150" s="63">
        <v>46326</v>
      </c>
      <c r="C150" s="66" t="s">
        <v>329</v>
      </c>
      <c r="D150" s="66" t="s">
        <v>64</v>
      </c>
      <c r="E150" s="67"/>
      <c r="F150" s="67"/>
      <c r="G150" s="67"/>
      <c r="H150" s="67"/>
      <c r="I150" s="67"/>
      <c r="J150" s="67"/>
      <c r="K150" s="67"/>
      <c r="L150" s="67"/>
      <c r="M150" s="67"/>
      <c r="N150" s="67" t="s">
        <v>219</v>
      </c>
      <c r="O150" s="67"/>
      <c r="P150" s="67"/>
      <c r="Q150" s="67"/>
      <c r="R150" s="67"/>
      <c r="S150" s="75"/>
      <c r="T150" s="67"/>
      <c r="U150" s="67"/>
      <c r="V150" s="67"/>
      <c r="W150" s="67"/>
      <c r="X150" s="67"/>
      <c r="Y150" s="76"/>
      <c r="Z150" s="67"/>
      <c r="AA150" s="67"/>
      <c r="AB150" s="67"/>
      <c r="AC150" s="67"/>
      <c r="AD150" s="67"/>
      <c r="AE150" s="67"/>
      <c r="AF150" s="75"/>
      <c r="AG150" s="67"/>
      <c r="AH150" s="67"/>
      <c r="AI150" s="67"/>
      <c r="AJ150" s="62" t="str">
        <f>VLOOKUP(B150,'For A grades - 11 days'!B140:AJ324,35,0)</f>
        <v>Regional-WE</v>
      </c>
      <c r="AK150" s="62"/>
    </row>
    <row r="151" spans="1:37" x14ac:dyDescent="0.3">
      <c r="A151" s="65">
        <v>145</v>
      </c>
      <c r="B151" s="63">
        <v>46327</v>
      </c>
      <c r="C151" s="66" t="s">
        <v>320</v>
      </c>
      <c r="D151" s="66" t="s">
        <v>63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75"/>
      <c r="T151" s="67"/>
      <c r="U151" s="67"/>
      <c r="V151" s="67"/>
      <c r="W151" s="75" t="s">
        <v>219</v>
      </c>
      <c r="X151" s="67"/>
      <c r="Y151" s="76"/>
      <c r="Z151" s="67"/>
      <c r="AA151" s="67"/>
      <c r="AB151" s="67"/>
      <c r="AC151" s="67"/>
      <c r="AD151" s="67"/>
      <c r="AE151" s="67" t="s">
        <v>219</v>
      </c>
      <c r="AF151" s="67" t="s">
        <v>219</v>
      </c>
      <c r="AG151" s="67"/>
      <c r="AH151" s="67"/>
      <c r="AI151" s="67"/>
      <c r="AJ151" s="62"/>
      <c r="AK151" s="62"/>
    </row>
    <row r="152" spans="1:37" x14ac:dyDescent="0.3">
      <c r="A152" s="65">
        <v>146</v>
      </c>
      <c r="B152" s="63">
        <v>46328</v>
      </c>
      <c r="C152" s="66" t="s">
        <v>311</v>
      </c>
      <c r="D152" s="66" t="s">
        <v>98</v>
      </c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75"/>
      <c r="T152" s="67"/>
      <c r="U152" s="67"/>
      <c r="V152" s="67"/>
      <c r="W152" s="67"/>
      <c r="X152" s="67"/>
      <c r="Y152" s="76"/>
      <c r="Z152" s="67"/>
      <c r="AA152" s="67" t="s">
        <v>213</v>
      </c>
      <c r="AB152" s="67"/>
      <c r="AC152" s="67"/>
      <c r="AD152" s="67"/>
      <c r="AE152" s="67"/>
      <c r="AF152" s="75"/>
      <c r="AG152" s="67"/>
      <c r="AH152" s="67"/>
      <c r="AI152" s="67"/>
      <c r="AJ152" s="62"/>
      <c r="AK152" s="62"/>
    </row>
    <row r="153" spans="1:37" x14ac:dyDescent="0.3">
      <c r="A153" s="65">
        <v>147</v>
      </c>
      <c r="B153" s="63">
        <v>46333</v>
      </c>
      <c r="C153" s="66" t="s">
        <v>269</v>
      </c>
      <c r="D153" s="66" t="s">
        <v>64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 t="s">
        <v>219</v>
      </c>
      <c r="P153" s="67"/>
      <c r="Q153" s="67"/>
      <c r="R153" s="67"/>
      <c r="S153" s="75"/>
      <c r="T153" s="67"/>
      <c r="U153" s="67"/>
      <c r="V153" s="67"/>
      <c r="W153" s="67"/>
      <c r="X153" s="67"/>
      <c r="Y153" s="76"/>
      <c r="Z153" s="67"/>
      <c r="AA153" s="67"/>
      <c r="AB153" s="67"/>
      <c r="AC153" s="67"/>
      <c r="AD153" s="67"/>
      <c r="AE153" s="67"/>
      <c r="AF153" s="75"/>
      <c r="AG153" s="67"/>
      <c r="AH153" s="67"/>
      <c r="AI153" s="67"/>
      <c r="AJ153" s="62" t="str">
        <f>VLOOKUP(B153,'For A grades - 11 days'!B143:AJ327,35,0)</f>
        <v>Optional-WE</v>
      </c>
      <c r="AK153" s="62"/>
    </row>
    <row r="154" spans="1:37" ht="20" customHeight="1" x14ac:dyDescent="0.3">
      <c r="A154" s="65">
        <v>148</v>
      </c>
      <c r="B154" s="63">
        <v>46334</v>
      </c>
      <c r="C154" s="66" t="s">
        <v>184</v>
      </c>
      <c r="D154" s="67" t="s">
        <v>63</v>
      </c>
      <c r="E154" s="67"/>
      <c r="F154" s="67"/>
      <c r="G154" s="67"/>
      <c r="H154" s="67" t="s">
        <v>219</v>
      </c>
      <c r="I154" s="67"/>
      <c r="J154" s="67" t="s">
        <v>219</v>
      </c>
      <c r="K154" s="67"/>
      <c r="L154" s="67" t="s">
        <v>219</v>
      </c>
      <c r="M154" s="67"/>
      <c r="N154" s="67" t="s">
        <v>219</v>
      </c>
      <c r="O154" s="67" t="s">
        <v>219</v>
      </c>
      <c r="P154" s="67"/>
      <c r="Q154" s="67" t="s">
        <v>219</v>
      </c>
      <c r="R154" s="67"/>
      <c r="S154" s="67" t="s">
        <v>219</v>
      </c>
      <c r="T154" s="67" t="s">
        <v>219</v>
      </c>
      <c r="U154" s="67"/>
      <c r="V154" s="67" t="s">
        <v>219</v>
      </c>
      <c r="W154" s="67"/>
      <c r="X154" s="67" t="s">
        <v>219</v>
      </c>
      <c r="Y154" s="75" t="s">
        <v>219</v>
      </c>
      <c r="Z154" s="67"/>
      <c r="AA154" s="67"/>
      <c r="AB154" s="67"/>
      <c r="AC154" s="67"/>
      <c r="AD154" s="67"/>
      <c r="AE154" s="67" t="s">
        <v>219</v>
      </c>
      <c r="AF154" s="67" t="s">
        <v>219</v>
      </c>
      <c r="AG154" s="67" t="s">
        <v>219</v>
      </c>
      <c r="AH154" s="67"/>
      <c r="AI154" s="67" t="s">
        <v>219</v>
      </c>
      <c r="AJ154" s="62" t="str">
        <f>VLOOKUP(B154,'For A grades - 11 days'!B144:AJ328,35,0)</f>
        <v>Regional-WE</v>
      </c>
      <c r="AK154" s="62"/>
    </row>
    <row r="155" spans="1:37" ht="20" customHeight="1" x14ac:dyDescent="0.3">
      <c r="A155" s="65">
        <v>149</v>
      </c>
      <c r="B155" s="63">
        <v>46335</v>
      </c>
      <c r="C155" s="66" t="s">
        <v>205</v>
      </c>
      <c r="D155" s="66" t="s">
        <v>98</v>
      </c>
      <c r="E155" s="67"/>
      <c r="F155" s="67"/>
      <c r="G155" s="67"/>
      <c r="H155" s="67" t="s">
        <v>215</v>
      </c>
      <c r="I155" s="67"/>
      <c r="J155" s="67"/>
      <c r="K155" s="67"/>
      <c r="L155" s="67" t="s">
        <v>213</v>
      </c>
      <c r="M155" s="67"/>
      <c r="N155" s="67" t="s">
        <v>213</v>
      </c>
      <c r="O155" s="67" t="s">
        <v>213</v>
      </c>
      <c r="P155" s="67"/>
      <c r="Q155" s="67"/>
      <c r="R155" s="67"/>
      <c r="S155" s="75"/>
      <c r="T155" s="67"/>
      <c r="U155" s="67"/>
      <c r="V155" s="67"/>
      <c r="W155" s="74" t="s">
        <v>213</v>
      </c>
      <c r="X155" s="67"/>
      <c r="Y155" s="76"/>
      <c r="Z155" s="67"/>
      <c r="AA155" s="67"/>
      <c r="AB155" s="67"/>
      <c r="AC155" s="67"/>
      <c r="AD155" s="67"/>
      <c r="AE155" s="67"/>
      <c r="AF155" s="75"/>
      <c r="AG155" s="67"/>
      <c r="AH155" s="67"/>
      <c r="AI155" s="67"/>
      <c r="AJ155" s="62"/>
      <c r="AK155" s="62"/>
    </row>
    <row r="156" spans="1:37" x14ac:dyDescent="0.3">
      <c r="A156" s="65">
        <v>150</v>
      </c>
      <c r="B156" s="63">
        <v>46336</v>
      </c>
      <c r="C156" s="66" t="s">
        <v>171</v>
      </c>
      <c r="D156" s="66" t="s">
        <v>101</v>
      </c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 t="s">
        <v>213</v>
      </c>
      <c r="R156" s="67"/>
      <c r="S156" s="75"/>
      <c r="T156" s="67"/>
      <c r="U156" s="67"/>
      <c r="V156" s="67"/>
      <c r="W156" s="67"/>
      <c r="X156" s="67"/>
      <c r="Y156" s="76"/>
      <c r="Z156" s="67"/>
      <c r="AA156" s="67"/>
      <c r="AB156" s="67"/>
      <c r="AC156" s="67"/>
      <c r="AD156" s="67" t="s">
        <v>213</v>
      </c>
      <c r="AE156" s="67"/>
      <c r="AF156" s="75" t="s">
        <v>213</v>
      </c>
      <c r="AG156" s="67"/>
      <c r="AH156" s="67"/>
      <c r="AI156" s="67"/>
      <c r="AJ156" s="62" t="str">
        <f>VLOOKUP(B156,'For A grades - 11 days'!B146:AJ330,35,0)</f>
        <v>Regional</v>
      </c>
      <c r="AK156" s="62"/>
    </row>
    <row r="157" spans="1:37" x14ac:dyDescent="0.3">
      <c r="A157" s="65">
        <v>151</v>
      </c>
      <c r="B157" s="63">
        <v>46337</v>
      </c>
      <c r="C157" s="66" t="s">
        <v>197</v>
      </c>
      <c r="D157" s="66" t="s">
        <v>97</v>
      </c>
      <c r="E157" s="67"/>
      <c r="F157" s="67"/>
      <c r="G157" s="67"/>
      <c r="H157" s="67" t="s">
        <v>213</v>
      </c>
      <c r="I157" s="67"/>
      <c r="J157" s="67"/>
      <c r="K157" s="67"/>
      <c r="L157" s="67" t="s">
        <v>213</v>
      </c>
      <c r="M157" s="67"/>
      <c r="N157" s="67" t="s">
        <v>213</v>
      </c>
      <c r="O157" s="67" t="s">
        <v>213</v>
      </c>
      <c r="P157" s="67"/>
      <c r="Q157" s="67"/>
      <c r="R157" s="67"/>
      <c r="S157" s="75"/>
      <c r="T157" s="67" t="s">
        <v>213</v>
      </c>
      <c r="U157" s="67"/>
      <c r="V157" s="67" t="s">
        <v>213</v>
      </c>
      <c r="W157" s="67" t="s">
        <v>213</v>
      </c>
      <c r="X157" s="67"/>
      <c r="Y157" s="76"/>
      <c r="Z157" s="67"/>
      <c r="AA157" s="67"/>
      <c r="AB157" s="67"/>
      <c r="AC157" s="67"/>
      <c r="AD157" s="67"/>
      <c r="AE157" s="67"/>
      <c r="AF157" s="75"/>
      <c r="AG157" s="67"/>
      <c r="AH157" s="67"/>
      <c r="AI157" s="67"/>
      <c r="AJ157" s="62" t="str">
        <f>VLOOKUP(B157,'For A grades - 11 days'!B147:AJ331,35,0)</f>
        <v>Regional</v>
      </c>
      <c r="AK157" s="62"/>
    </row>
    <row r="158" spans="1:37" x14ac:dyDescent="0.3">
      <c r="A158" s="65">
        <v>152</v>
      </c>
      <c r="B158" s="63">
        <v>46338</v>
      </c>
      <c r="C158" s="66" t="s">
        <v>190</v>
      </c>
      <c r="D158" s="66" t="s">
        <v>191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75"/>
      <c r="T158" s="67"/>
      <c r="U158" s="67"/>
      <c r="V158" s="67"/>
      <c r="W158" s="67"/>
      <c r="X158" s="67"/>
      <c r="Y158" s="76"/>
      <c r="Z158" s="67"/>
      <c r="AA158" s="67"/>
      <c r="AB158" s="67"/>
      <c r="AC158" s="67"/>
      <c r="AD158" s="67"/>
      <c r="AE158" s="67"/>
      <c r="AF158" s="75"/>
      <c r="AG158" s="67"/>
      <c r="AH158" s="67"/>
      <c r="AI158" s="67"/>
      <c r="AJ158" s="62"/>
      <c r="AK158" s="62"/>
    </row>
    <row r="159" spans="1:37" x14ac:dyDescent="0.3">
      <c r="A159" s="65">
        <v>153</v>
      </c>
      <c r="B159" s="63">
        <v>46339</v>
      </c>
      <c r="C159" s="66" t="s">
        <v>157</v>
      </c>
      <c r="D159" s="66" t="s">
        <v>127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75"/>
      <c r="T159" s="67"/>
      <c r="U159" s="67"/>
      <c r="V159" s="67"/>
      <c r="W159" s="67"/>
      <c r="X159" s="74" t="s">
        <v>213</v>
      </c>
      <c r="Y159" s="76"/>
      <c r="Z159" s="67"/>
      <c r="AA159" s="67"/>
      <c r="AB159" s="67"/>
      <c r="AC159" s="67"/>
      <c r="AD159" s="67"/>
      <c r="AE159" s="67"/>
      <c r="AF159" s="75"/>
      <c r="AG159" s="67"/>
      <c r="AH159" s="67"/>
      <c r="AI159" s="67"/>
      <c r="AJ159" s="62"/>
      <c r="AK159" s="62"/>
    </row>
    <row r="160" spans="1:37" x14ac:dyDescent="0.3">
      <c r="A160" s="65">
        <v>154</v>
      </c>
      <c r="B160" s="63">
        <v>46341</v>
      </c>
      <c r="C160" s="66" t="s">
        <v>154</v>
      </c>
      <c r="D160" s="66" t="s">
        <v>63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 t="s">
        <v>219</v>
      </c>
      <c r="O160" s="67"/>
      <c r="P160" s="67"/>
      <c r="Q160" s="67" t="s">
        <v>219</v>
      </c>
      <c r="R160" s="67"/>
      <c r="S160" s="75"/>
      <c r="T160" s="67" t="s">
        <v>219</v>
      </c>
      <c r="U160" s="67"/>
      <c r="V160" s="67" t="s">
        <v>219</v>
      </c>
      <c r="W160" s="67"/>
      <c r="X160" s="67"/>
      <c r="Y160" s="76"/>
      <c r="Z160" s="67"/>
      <c r="AA160" s="67"/>
      <c r="AB160" s="67"/>
      <c r="AC160" s="67"/>
      <c r="AD160" s="67"/>
      <c r="AE160" s="67"/>
      <c r="AF160" s="75"/>
      <c r="AG160" s="67"/>
      <c r="AH160" s="67"/>
      <c r="AI160" s="67"/>
      <c r="AJ160" s="62"/>
      <c r="AK160" s="62"/>
    </row>
    <row r="161" spans="1:37" x14ac:dyDescent="0.3">
      <c r="A161" s="65">
        <v>155</v>
      </c>
      <c r="B161" s="63">
        <v>46342</v>
      </c>
      <c r="C161" s="66" t="s">
        <v>270</v>
      </c>
      <c r="D161" s="66" t="s">
        <v>98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 t="s">
        <v>213</v>
      </c>
      <c r="O161" s="67" t="s">
        <v>213</v>
      </c>
      <c r="P161" s="67"/>
      <c r="Q161" s="74" t="s">
        <v>213</v>
      </c>
      <c r="R161" s="67"/>
      <c r="S161" s="75"/>
      <c r="T161" s="67"/>
      <c r="U161" s="67"/>
      <c r="V161" s="67"/>
      <c r="W161" s="67"/>
      <c r="X161" s="67"/>
      <c r="Y161" s="76"/>
      <c r="Z161" s="67"/>
      <c r="AA161" s="67"/>
      <c r="AB161" s="67"/>
      <c r="AC161" s="67"/>
      <c r="AD161" s="67"/>
      <c r="AE161" s="67"/>
      <c r="AF161" s="75"/>
      <c r="AG161" s="67"/>
      <c r="AH161" s="67"/>
      <c r="AI161" s="67"/>
      <c r="AJ161" s="62"/>
      <c r="AK161" s="62"/>
    </row>
    <row r="162" spans="1:37" x14ac:dyDescent="0.3">
      <c r="A162" s="65">
        <v>156</v>
      </c>
      <c r="B162" s="63">
        <v>46346</v>
      </c>
      <c r="C162" s="66" t="s">
        <v>271</v>
      </c>
      <c r="D162" s="66" t="s">
        <v>127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 t="s">
        <v>213</v>
      </c>
      <c r="P162" s="67"/>
      <c r="Q162" s="67"/>
      <c r="R162" s="67"/>
      <c r="S162" s="75"/>
      <c r="T162" s="67"/>
      <c r="U162" s="67"/>
      <c r="V162" s="67"/>
      <c r="W162" s="67"/>
      <c r="X162" s="67"/>
      <c r="Y162" s="76"/>
      <c r="Z162" s="67"/>
      <c r="AA162" s="67"/>
      <c r="AB162" s="67"/>
      <c r="AC162" s="67"/>
      <c r="AD162" s="67"/>
      <c r="AE162" s="67"/>
      <c r="AF162" s="75"/>
      <c r="AG162" s="67"/>
      <c r="AH162" s="67"/>
      <c r="AI162" s="67"/>
      <c r="AJ162" s="62"/>
      <c r="AK162" s="62"/>
    </row>
    <row r="163" spans="1:37" x14ac:dyDescent="0.3">
      <c r="A163" s="65">
        <v>157</v>
      </c>
      <c r="B163" s="63">
        <v>46349</v>
      </c>
      <c r="C163" s="66" t="s">
        <v>158</v>
      </c>
      <c r="D163" s="66" t="s">
        <v>98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75"/>
      <c r="T163" s="67"/>
      <c r="U163" s="67"/>
      <c r="V163" s="67"/>
      <c r="W163" s="67"/>
      <c r="X163" s="67"/>
      <c r="Y163" s="76"/>
      <c r="Z163" s="67"/>
      <c r="AA163" s="67"/>
      <c r="AB163" s="67"/>
      <c r="AC163" s="67"/>
      <c r="AD163" s="67"/>
      <c r="AE163" s="67"/>
      <c r="AF163" s="75"/>
      <c r="AG163" s="67"/>
      <c r="AH163" s="67"/>
      <c r="AI163" s="67"/>
      <c r="AJ163" s="62"/>
      <c r="AK163" s="62"/>
    </row>
    <row r="164" spans="1:37" x14ac:dyDescent="0.3">
      <c r="A164" s="65">
        <v>158</v>
      </c>
      <c r="B164" s="63">
        <v>46350</v>
      </c>
      <c r="C164" s="66" t="s">
        <v>295</v>
      </c>
      <c r="D164" s="66" t="s">
        <v>101</v>
      </c>
      <c r="E164" s="67"/>
      <c r="F164" s="67"/>
      <c r="G164" s="67"/>
      <c r="H164" s="74" t="s">
        <v>213</v>
      </c>
      <c r="I164" s="67"/>
      <c r="J164" s="74" t="s">
        <v>213</v>
      </c>
      <c r="K164" s="67"/>
      <c r="L164" s="67" t="s">
        <v>213</v>
      </c>
      <c r="M164" s="67"/>
      <c r="N164" s="74" t="s">
        <v>213</v>
      </c>
      <c r="O164" s="67" t="s">
        <v>213</v>
      </c>
      <c r="P164" s="67"/>
      <c r="Q164" s="67"/>
      <c r="R164" s="67"/>
      <c r="S164" s="74" t="s">
        <v>213</v>
      </c>
      <c r="T164" s="74" t="s">
        <v>213</v>
      </c>
      <c r="U164" s="67"/>
      <c r="V164" s="67" t="s">
        <v>213</v>
      </c>
      <c r="W164" s="67"/>
      <c r="X164" s="67"/>
      <c r="Y164" s="75" t="s">
        <v>213</v>
      </c>
      <c r="Z164" s="67"/>
      <c r="AA164" s="67" t="s">
        <v>213</v>
      </c>
      <c r="AB164" s="67"/>
      <c r="AC164" s="67"/>
      <c r="AD164" s="67" t="s">
        <v>213</v>
      </c>
      <c r="AE164" s="67"/>
      <c r="AF164" s="74" t="s">
        <v>213</v>
      </c>
      <c r="AG164" s="67"/>
      <c r="AH164" s="67"/>
      <c r="AI164" s="67"/>
      <c r="AJ164" s="80" t="str">
        <f>VLOOKUP(B164,'For A grades - 11 days'!B154:AJ338,35,0)</f>
        <v>Regional</v>
      </c>
      <c r="AK164" s="62"/>
    </row>
    <row r="165" spans="1:37" x14ac:dyDescent="0.3">
      <c r="A165" s="65">
        <v>159</v>
      </c>
      <c r="B165" s="63">
        <v>46352</v>
      </c>
      <c r="C165" s="66" t="s">
        <v>229</v>
      </c>
      <c r="D165" s="66" t="s">
        <v>96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75"/>
      <c r="T165" s="67"/>
      <c r="U165" s="67"/>
      <c r="V165" s="67"/>
      <c r="W165" s="67"/>
      <c r="X165" s="67"/>
      <c r="Y165" s="76"/>
      <c r="Z165" s="67"/>
      <c r="AA165" s="67"/>
      <c r="AB165" s="67"/>
      <c r="AC165" s="67"/>
      <c r="AD165" s="67" t="s">
        <v>213</v>
      </c>
      <c r="AE165" s="67"/>
      <c r="AF165" s="75" t="s">
        <v>213</v>
      </c>
      <c r="AG165" s="67"/>
      <c r="AH165" s="67"/>
      <c r="AI165" s="67"/>
      <c r="AJ165" s="62"/>
      <c r="AK165" s="62"/>
    </row>
    <row r="166" spans="1:37" x14ac:dyDescent="0.3">
      <c r="A166" s="65">
        <v>160</v>
      </c>
      <c r="B166" s="63">
        <v>46353</v>
      </c>
      <c r="C166" s="66" t="s">
        <v>140</v>
      </c>
      <c r="D166" s="66" t="s">
        <v>127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75"/>
      <c r="T166" s="67"/>
      <c r="U166" s="67"/>
      <c r="V166" s="67"/>
      <c r="W166" s="67"/>
      <c r="X166" s="67"/>
      <c r="Y166" s="76"/>
      <c r="Z166" s="67"/>
      <c r="AA166" s="67"/>
      <c r="AB166" s="67"/>
      <c r="AC166" s="67"/>
      <c r="AD166" s="67" t="s">
        <v>213</v>
      </c>
      <c r="AE166" s="67"/>
      <c r="AF166" s="75" t="s">
        <v>213</v>
      </c>
      <c r="AG166" s="67"/>
      <c r="AH166" s="67"/>
      <c r="AI166" s="67"/>
      <c r="AJ166" s="62"/>
      <c r="AK166" s="62"/>
    </row>
    <row r="167" spans="1:37" x14ac:dyDescent="0.3">
      <c r="A167" s="65">
        <v>161</v>
      </c>
      <c r="B167" s="63">
        <v>46358</v>
      </c>
      <c r="C167" s="66" t="s">
        <v>301</v>
      </c>
      <c r="D167" s="66" t="s">
        <v>97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75"/>
      <c r="T167" s="67"/>
      <c r="U167" s="67"/>
      <c r="V167" s="67" t="s">
        <v>213</v>
      </c>
      <c r="W167" s="67"/>
      <c r="X167" s="67"/>
      <c r="Y167" s="76"/>
      <c r="Z167" s="67"/>
      <c r="AA167" s="67"/>
      <c r="AB167" s="67"/>
      <c r="AC167" s="67"/>
      <c r="AD167" s="67"/>
      <c r="AE167" s="67"/>
      <c r="AF167" s="75"/>
      <c r="AG167" s="67"/>
      <c r="AH167" s="67"/>
      <c r="AI167" s="67"/>
      <c r="AJ167" s="62"/>
      <c r="AK167" s="62"/>
    </row>
    <row r="168" spans="1:37" x14ac:dyDescent="0.3">
      <c r="A168" s="65">
        <v>162</v>
      </c>
      <c r="B168" s="63">
        <v>46359</v>
      </c>
      <c r="C168" s="66" t="s">
        <v>147</v>
      </c>
      <c r="D168" s="66" t="s">
        <v>96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75"/>
      <c r="T168" s="67"/>
      <c r="U168" s="67"/>
      <c r="V168" s="67"/>
      <c r="W168" s="67"/>
      <c r="X168" s="67"/>
      <c r="Y168" s="76"/>
      <c r="Z168" s="67"/>
      <c r="AA168" s="67"/>
      <c r="AB168" s="67"/>
      <c r="AC168" s="67"/>
      <c r="AD168" s="67"/>
      <c r="AE168" s="67"/>
      <c r="AF168" s="75"/>
      <c r="AG168" s="67"/>
      <c r="AH168" s="67"/>
      <c r="AI168" s="74" t="s">
        <v>213</v>
      </c>
      <c r="AJ168" s="62"/>
      <c r="AK168" s="62"/>
    </row>
    <row r="169" spans="1:37" x14ac:dyDescent="0.3">
      <c r="A169" s="65">
        <v>163</v>
      </c>
      <c r="B169" s="63">
        <v>46365</v>
      </c>
      <c r="C169" s="66" t="s">
        <v>195</v>
      </c>
      <c r="D169" s="66" t="s">
        <v>97</v>
      </c>
      <c r="E169" s="67"/>
      <c r="F169" s="67"/>
      <c r="G169" s="67"/>
      <c r="H169" s="67"/>
      <c r="I169" s="67"/>
      <c r="J169" s="74" t="s">
        <v>213</v>
      </c>
      <c r="K169" s="67"/>
      <c r="L169" s="67"/>
      <c r="M169" s="67"/>
      <c r="N169" s="67"/>
      <c r="O169" s="67"/>
      <c r="P169" s="67"/>
      <c r="Q169" s="67"/>
      <c r="R169" s="67"/>
      <c r="S169" s="75"/>
      <c r="T169" s="67"/>
      <c r="U169" s="67"/>
      <c r="V169" s="67"/>
      <c r="W169" s="67"/>
      <c r="X169" s="67"/>
      <c r="Y169" s="76"/>
      <c r="Z169" s="67"/>
      <c r="AA169" s="67"/>
      <c r="AB169" s="67"/>
      <c r="AC169" s="67"/>
      <c r="AD169" s="67"/>
      <c r="AE169" s="67"/>
      <c r="AF169" s="75"/>
      <c r="AG169" s="67"/>
      <c r="AH169" s="67"/>
      <c r="AI169" s="74"/>
      <c r="AJ169" s="62"/>
      <c r="AK169" s="62"/>
    </row>
    <row r="170" spans="1:37" x14ac:dyDescent="0.3">
      <c r="A170" s="65">
        <v>164</v>
      </c>
      <c r="B170" s="63">
        <v>46366</v>
      </c>
      <c r="C170" s="66" t="s">
        <v>319</v>
      </c>
      <c r="D170" s="66" t="s">
        <v>96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 t="s">
        <v>213</v>
      </c>
      <c r="P170" s="67"/>
      <c r="Q170" s="67"/>
      <c r="R170" s="67"/>
      <c r="S170" s="75"/>
      <c r="T170" s="67"/>
      <c r="U170" s="67"/>
      <c r="V170" s="67"/>
      <c r="W170" s="67"/>
      <c r="X170" s="67"/>
      <c r="Y170" s="76"/>
      <c r="Z170" s="67"/>
      <c r="AA170" s="74" t="s">
        <v>213</v>
      </c>
      <c r="AB170" s="67"/>
      <c r="AC170" s="67"/>
      <c r="AD170" s="67"/>
      <c r="AE170" s="67"/>
      <c r="AF170" s="75"/>
      <c r="AG170" s="67"/>
      <c r="AH170" s="67"/>
      <c r="AI170" s="67"/>
      <c r="AJ170" s="62"/>
      <c r="AK170" s="62"/>
    </row>
    <row r="171" spans="1:37" x14ac:dyDescent="0.3">
      <c r="A171" s="65">
        <v>165</v>
      </c>
      <c r="B171" s="63">
        <v>46367</v>
      </c>
      <c r="C171" s="66" t="s">
        <v>312</v>
      </c>
      <c r="D171" s="66" t="s">
        <v>127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75"/>
      <c r="T171" s="67"/>
      <c r="U171" s="67"/>
      <c r="V171" s="67"/>
      <c r="W171" s="67"/>
      <c r="X171" s="67"/>
      <c r="Y171" s="76"/>
      <c r="Z171" s="67"/>
      <c r="AA171" s="74" t="s">
        <v>213</v>
      </c>
      <c r="AB171" s="67"/>
      <c r="AC171" s="67"/>
      <c r="AD171" s="67"/>
      <c r="AE171" s="67"/>
      <c r="AF171" s="75"/>
      <c r="AG171" s="67"/>
      <c r="AH171" s="67"/>
      <c r="AI171" s="67"/>
      <c r="AJ171" s="62"/>
      <c r="AK171" s="62"/>
    </row>
    <row r="172" spans="1:37" x14ac:dyDescent="0.3">
      <c r="A172" s="65">
        <v>166</v>
      </c>
      <c r="B172" s="63">
        <v>46368</v>
      </c>
      <c r="C172" s="66" t="s">
        <v>159</v>
      </c>
      <c r="D172" s="66" t="s">
        <v>64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75"/>
      <c r="T172" s="67"/>
      <c r="U172" s="67"/>
      <c r="V172" s="67"/>
      <c r="W172" s="75" t="s">
        <v>219</v>
      </c>
      <c r="X172" s="67" t="s">
        <v>219</v>
      </c>
      <c r="Y172" s="76"/>
      <c r="Z172" s="67"/>
      <c r="AA172" s="67"/>
      <c r="AB172" s="67"/>
      <c r="AC172" s="67"/>
      <c r="AD172" s="67"/>
      <c r="AE172" s="67"/>
      <c r="AF172" s="75"/>
      <c r="AG172" s="67"/>
      <c r="AH172" s="67"/>
      <c r="AI172" s="67"/>
      <c r="AJ172" s="62"/>
      <c r="AK172" s="62"/>
    </row>
    <row r="173" spans="1:37" x14ac:dyDescent="0.3">
      <c r="A173" s="65">
        <v>167</v>
      </c>
      <c r="B173" s="63">
        <v>46369</v>
      </c>
      <c r="C173" s="66" t="s">
        <v>294</v>
      </c>
      <c r="D173" s="66" t="s">
        <v>96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 t="s">
        <v>213</v>
      </c>
      <c r="R173" s="67"/>
      <c r="S173" s="75"/>
      <c r="T173" s="67"/>
      <c r="U173" s="67"/>
      <c r="V173" s="67"/>
      <c r="W173" s="67"/>
      <c r="X173" s="67"/>
      <c r="Y173" s="76"/>
      <c r="Z173" s="67"/>
      <c r="AA173" s="67"/>
      <c r="AB173" s="67"/>
      <c r="AC173" s="67"/>
      <c r="AD173" s="67"/>
      <c r="AE173" s="67"/>
      <c r="AF173" s="75"/>
      <c r="AG173" s="67"/>
      <c r="AH173" s="67"/>
      <c r="AI173" s="67"/>
      <c r="AJ173" s="62"/>
      <c r="AK173" s="62"/>
    </row>
    <row r="174" spans="1:37" x14ac:dyDescent="0.3">
      <c r="A174" s="65">
        <v>168</v>
      </c>
      <c r="B174" s="63">
        <v>46370</v>
      </c>
      <c r="C174" s="66" t="s">
        <v>273</v>
      </c>
      <c r="D174" s="66" t="s">
        <v>98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 t="s">
        <v>213</v>
      </c>
      <c r="P174" s="67"/>
      <c r="Q174" s="67"/>
      <c r="R174" s="67"/>
      <c r="S174" s="75"/>
      <c r="T174" s="67"/>
      <c r="U174" s="67"/>
      <c r="V174" s="67"/>
      <c r="W174" s="67"/>
      <c r="X174" s="67"/>
      <c r="Y174" s="76"/>
      <c r="Z174" s="67"/>
      <c r="AA174" s="67"/>
      <c r="AB174" s="67"/>
      <c r="AC174" s="67"/>
      <c r="AD174" s="67"/>
      <c r="AE174" s="67"/>
      <c r="AF174" s="75"/>
      <c r="AG174" s="67"/>
      <c r="AH174" s="67"/>
      <c r="AI174" s="67"/>
      <c r="AJ174" s="62"/>
      <c r="AK174" s="62"/>
    </row>
    <row r="175" spans="1:37" x14ac:dyDescent="0.3">
      <c r="A175" s="65">
        <v>169</v>
      </c>
      <c r="B175" s="63">
        <v>46371</v>
      </c>
      <c r="C175" s="66" t="s">
        <v>313</v>
      </c>
      <c r="D175" s="66" t="s">
        <v>101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75"/>
      <c r="T175" s="67"/>
      <c r="U175" s="67"/>
      <c r="V175" s="67"/>
      <c r="W175" s="67"/>
      <c r="X175" s="67"/>
      <c r="Y175" s="76"/>
      <c r="Z175" s="67"/>
      <c r="AA175" s="67" t="s">
        <v>213</v>
      </c>
      <c r="AB175" s="67"/>
      <c r="AC175" s="67"/>
      <c r="AD175" s="67"/>
      <c r="AE175" s="67"/>
      <c r="AF175" s="75"/>
      <c r="AG175" s="67"/>
      <c r="AH175" s="67"/>
      <c r="AI175" s="67"/>
      <c r="AJ175" s="62"/>
      <c r="AK175" s="62"/>
    </row>
    <row r="176" spans="1:37" x14ac:dyDescent="0.3">
      <c r="A176" s="65">
        <v>170</v>
      </c>
      <c r="B176" s="63">
        <v>46372</v>
      </c>
      <c r="C176" s="66" t="s">
        <v>314</v>
      </c>
      <c r="D176" s="66" t="s">
        <v>97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 t="s">
        <v>213</v>
      </c>
      <c r="O176" s="67"/>
      <c r="P176" s="67"/>
      <c r="Q176" s="67"/>
      <c r="R176" s="67"/>
      <c r="S176" s="75"/>
      <c r="T176" s="67"/>
      <c r="U176" s="67"/>
      <c r="V176" s="67"/>
      <c r="W176" s="67"/>
      <c r="X176" s="67"/>
      <c r="Y176" s="76"/>
      <c r="Z176" s="67"/>
      <c r="AA176" s="67" t="s">
        <v>213</v>
      </c>
      <c r="AB176" s="67"/>
      <c r="AC176" s="67"/>
      <c r="AD176" s="67"/>
      <c r="AE176" s="67"/>
      <c r="AF176" s="75"/>
      <c r="AG176" s="67"/>
      <c r="AH176" s="67"/>
      <c r="AI176" s="67"/>
      <c r="AJ176" s="62"/>
      <c r="AK176" s="62"/>
    </row>
    <row r="177" spans="1:16352" x14ac:dyDescent="0.3">
      <c r="A177" s="65">
        <v>171</v>
      </c>
      <c r="B177" s="63">
        <v>46374</v>
      </c>
      <c r="C177" s="66" t="s">
        <v>274</v>
      </c>
      <c r="D177" s="66" t="s">
        <v>127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 t="s">
        <v>213</v>
      </c>
      <c r="P177" s="67"/>
      <c r="Q177" s="67"/>
      <c r="R177" s="67"/>
      <c r="S177" s="75"/>
      <c r="T177" s="67"/>
      <c r="U177" s="67"/>
      <c r="V177" s="67"/>
      <c r="W177" s="67"/>
      <c r="X177" s="67"/>
      <c r="Y177" s="76"/>
      <c r="Z177" s="67"/>
      <c r="AA177" s="67"/>
      <c r="AB177" s="67"/>
      <c r="AC177" s="67"/>
      <c r="AD177" s="67"/>
      <c r="AE177" s="67"/>
      <c r="AF177" s="75"/>
      <c r="AG177" s="67"/>
      <c r="AH177" s="67"/>
      <c r="AI177" s="67"/>
      <c r="AJ177" s="62"/>
      <c r="AK177" s="62"/>
    </row>
    <row r="178" spans="1:16352" x14ac:dyDescent="0.3">
      <c r="A178" s="65">
        <v>172</v>
      </c>
      <c r="B178" s="63">
        <v>46375</v>
      </c>
      <c r="C178" s="66" t="s">
        <v>148</v>
      </c>
      <c r="D178" s="66" t="s">
        <v>64</v>
      </c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75"/>
      <c r="T178" s="67"/>
      <c r="U178" s="67"/>
      <c r="V178" s="67"/>
      <c r="W178" s="67"/>
      <c r="X178" s="67"/>
      <c r="Y178" s="76"/>
      <c r="Z178" s="67"/>
      <c r="AA178" s="67"/>
      <c r="AB178" s="67"/>
      <c r="AC178" s="67"/>
      <c r="AD178" s="67"/>
      <c r="AE178" s="67"/>
      <c r="AF178" s="75"/>
      <c r="AG178" s="67"/>
      <c r="AH178" s="67"/>
      <c r="AI178" s="67" t="s">
        <v>219</v>
      </c>
      <c r="AJ178" s="62"/>
      <c r="AK178" s="62"/>
    </row>
    <row r="179" spans="1:16352" x14ac:dyDescent="0.3">
      <c r="A179" s="65">
        <v>173</v>
      </c>
      <c r="B179" s="63">
        <v>46379</v>
      </c>
      <c r="C179" s="66" t="s">
        <v>275</v>
      </c>
      <c r="D179" s="66" t="s">
        <v>97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 t="s">
        <v>213</v>
      </c>
      <c r="O179" s="67" t="s">
        <v>213</v>
      </c>
      <c r="P179" s="67"/>
      <c r="Q179" s="67"/>
      <c r="R179" s="67"/>
      <c r="S179" s="75"/>
      <c r="T179" s="67"/>
      <c r="U179" s="67"/>
      <c r="V179" s="67"/>
      <c r="W179" s="67"/>
      <c r="X179" s="67"/>
      <c r="Y179" s="76"/>
      <c r="Z179" s="67"/>
      <c r="AA179" s="67" t="s">
        <v>213</v>
      </c>
      <c r="AB179" s="67"/>
      <c r="AC179" s="67"/>
      <c r="AD179" s="67"/>
      <c r="AE179" s="67"/>
      <c r="AF179" s="75"/>
      <c r="AG179" s="67"/>
      <c r="AH179" s="67"/>
      <c r="AI179" s="67"/>
      <c r="AJ179" s="62"/>
      <c r="AK179" s="62"/>
    </row>
    <row r="180" spans="1:16352" x14ac:dyDescent="0.3">
      <c r="A180" s="65">
        <v>174</v>
      </c>
      <c r="B180" s="63">
        <v>46380</v>
      </c>
      <c r="C180" s="66" t="s">
        <v>230</v>
      </c>
      <c r="D180" s="66" t="s">
        <v>96</v>
      </c>
      <c r="E180" s="67"/>
      <c r="F180" s="67"/>
      <c r="G180" s="67"/>
      <c r="H180" s="67" t="s">
        <v>215</v>
      </c>
      <c r="I180" s="67"/>
      <c r="J180" s="67"/>
      <c r="K180" s="67"/>
      <c r="L180" s="67"/>
      <c r="M180" s="67"/>
      <c r="N180" s="67" t="s">
        <v>213</v>
      </c>
      <c r="O180" s="67"/>
      <c r="P180" s="67"/>
      <c r="Q180" s="67" t="s">
        <v>213</v>
      </c>
      <c r="R180" s="67"/>
      <c r="S180" s="75"/>
      <c r="T180" s="67"/>
      <c r="U180" s="67"/>
      <c r="V180" s="67"/>
      <c r="W180" s="67"/>
      <c r="X180" s="74" t="s">
        <v>213</v>
      </c>
      <c r="Y180" s="75" t="s">
        <v>213</v>
      </c>
      <c r="Z180" s="67"/>
      <c r="AA180" s="67"/>
      <c r="AB180" s="67"/>
      <c r="AC180" s="67"/>
      <c r="AD180" s="67" t="s">
        <v>213</v>
      </c>
      <c r="AE180" s="67"/>
      <c r="AF180" s="75" t="s">
        <v>213</v>
      </c>
      <c r="AG180" s="67"/>
      <c r="AH180" s="67"/>
      <c r="AI180" s="67"/>
      <c r="AJ180" s="62"/>
      <c r="AK180" s="62"/>
    </row>
    <row r="181" spans="1:16352" x14ac:dyDescent="0.3">
      <c r="A181" s="65">
        <v>175</v>
      </c>
      <c r="B181" s="63">
        <v>46381</v>
      </c>
      <c r="C181" s="66" t="s">
        <v>126</v>
      </c>
      <c r="D181" s="66" t="s">
        <v>127</v>
      </c>
      <c r="E181" s="67"/>
      <c r="F181" s="67"/>
      <c r="G181" s="67"/>
      <c r="H181" s="74" t="s">
        <v>213</v>
      </c>
      <c r="I181" s="67"/>
      <c r="J181" s="74" t="s">
        <v>213</v>
      </c>
      <c r="K181" s="67"/>
      <c r="L181" s="74" t="s">
        <v>213</v>
      </c>
      <c r="M181" s="67"/>
      <c r="N181" s="74" t="s">
        <v>213</v>
      </c>
      <c r="O181" s="74" t="s">
        <v>213</v>
      </c>
      <c r="P181" s="67"/>
      <c r="Q181" s="74" t="s">
        <v>213</v>
      </c>
      <c r="R181" s="67"/>
      <c r="S181" s="74" t="s">
        <v>213</v>
      </c>
      <c r="T181" s="74" t="s">
        <v>213</v>
      </c>
      <c r="U181" s="67"/>
      <c r="V181" s="74" t="s">
        <v>213</v>
      </c>
      <c r="W181" s="74" t="s">
        <v>213</v>
      </c>
      <c r="X181" s="74" t="s">
        <v>213</v>
      </c>
      <c r="Y181" s="74" t="s">
        <v>213</v>
      </c>
      <c r="Z181" s="67"/>
      <c r="AA181" s="74" t="s">
        <v>213</v>
      </c>
      <c r="AB181" s="67"/>
      <c r="AC181" s="67"/>
      <c r="AD181" s="74" t="s">
        <v>213</v>
      </c>
      <c r="AE181" s="67"/>
      <c r="AF181" s="74" t="s">
        <v>213</v>
      </c>
      <c r="AG181" s="74" t="s">
        <v>213</v>
      </c>
      <c r="AH181" s="67"/>
      <c r="AI181" s="74" t="s">
        <v>213</v>
      </c>
      <c r="AJ181" s="80" t="str">
        <f>VLOOKUP(B181,'For A grades - 11 days'!B171:AJ354,35,0)</f>
        <v>Regional</v>
      </c>
      <c r="AK181" s="62"/>
    </row>
    <row r="182" spans="1:16352" x14ac:dyDescent="0.3">
      <c r="A182" s="65">
        <v>176</v>
      </c>
      <c r="B182" s="63">
        <v>46382</v>
      </c>
      <c r="C182" s="66" t="s">
        <v>304</v>
      </c>
      <c r="D182" s="66" t="s">
        <v>64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75"/>
      <c r="T182" s="67"/>
      <c r="U182" s="67"/>
      <c r="V182" s="67"/>
      <c r="W182" s="67"/>
      <c r="X182" s="67" t="s">
        <v>219</v>
      </c>
      <c r="Y182" s="75" t="s">
        <v>219</v>
      </c>
      <c r="Z182" s="67"/>
      <c r="AA182" s="67"/>
      <c r="AB182" s="67"/>
      <c r="AC182" s="67"/>
      <c r="AD182" s="67"/>
      <c r="AE182" s="67"/>
      <c r="AF182" s="75"/>
      <c r="AG182" s="67"/>
      <c r="AH182" s="67"/>
      <c r="AI182" s="67"/>
      <c r="AJ182" s="62"/>
      <c r="AK182" s="62"/>
    </row>
    <row r="183" spans="1:16352" x14ac:dyDescent="0.3">
      <c r="A183" s="65">
        <v>177</v>
      </c>
      <c r="B183" s="63">
        <v>46383</v>
      </c>
      <c r="C183" s="66" t="s">
        <v>304</v>
      </c>
      <c r="D183" s="66" t="s">
        <v>63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75"/>
      <c r="T183" s="67"/>
      <c r="U183" s="67"/>
      <c r="V183" s="67"/>
      <c r="W183" s="67"/>
      <c r="X183" s="67" t="s">
        <v>219</v>
      </c>
      <c r="Y183" s="76"/>
      <c r="Z183" s="67"/>
      <c r="AA183" s="67"/>
      <c r="AB183" s="67"/>
      <c r="AC183" s="67"/>
      <c r="AD183" s="67"/>
      <c r="AE183" s="67"/>
      <c r="AF183" s="75"/>
      <c r="AG183" s="67"/>
      <c r="AH183" s="67"/>
      <c r="AI183" s="67"/>
      <c r="AJ183" s="62"/>
      <c r="AK183" s="62"/>
    </row>
    <row r="184" spans="1:16352" x14ac:dyDescent="0.3">
      <c r="A184" s="65">
        <v>178</v>
      </c>
      <c r="B184" s="63">
        <v>46384</v>
      </c>
      <c r="C184" s="66" t="s">
        <v>315</v>
      </c>
      <c r="D184" s="66" t="s">
        <v>98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75"/>
      <c r="T184" s="67"/>
      <c r="U184" s="67"/>
      <c r="V184" s="67"/>
      <c r="W184" s="67"/>
      <c r="X184" s="67"/>
      <c r="Y184" s="76"/>
      <c r="Z184" s="67"/>
      <c r="AA184" s="67" t="s">
        <v>213</v>
      </c>
      <c r="AB184" s="67"/>
      <c r="AC184" s="67"/>
      <c r="AD184" s="67"/>
      <c r="AE184" s="67"/>
      <c r="AF184" s="75"/>
      <c r="AG184" s="67"/>
      <c r="AH184" s="67"/>
      <c r="AI184" s="67"/>
      <c r="AJ184" s="62"/>
      <c r="AK184" s="62"/>
    </row>
    <row r="185" spans="1:16352" x14ac:dyDescent="0.3">
      <c r="A185" s="65">
        <v>179</v>
      </c>
      <c r="B185" s="63">
        <v>46386</v>
      </c>
      <c r="C185" s="65" t="s">
        <v>161</v>
      </c>
      <c r="D185" s="65" t="s">
        <v>97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75"/>
      <c r="T185" s="67"/>
      <c r="U185" s="67"/>
      <c r="V185" s="67"/>
      <c r="W185" s="67"/>
      <c r="X185" s="67"/>
      <c r="Y185" s="76"/>
      <c r="Z185" s="67"/>
      <c r="AA185" s="67" t="s">
        <v>213</v>
      </c>
      <c r="AB185" s="67"/>
      <c r="AC185" s="67"/>
      <c r="AD185" s="67"/>
      <c r="AE185" s="67"/>
      <c r="AF185" s="75"/>
      <c r="AG185" s="67"/>
      <c r="AH185" s="67"/>
      <c r="AI185" s="67"/>
      <c r="AJ185" s="62"/>
      <c r="AK185" s="62"/>
    </row>
    <row r="186" spans="1:16352" x14ac:dyDescent="0.3">
      <c r="A186" s="65">
        <v>180</v>
      </c>
      <c r="B186" s="63">
        <v>46387</v>
      </c>
      <c r="C186" s="65" t="s">
        <v>167</v>
      </c>
      <c r="D186" s="65" t="s">
        <v>96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75"/>
      <c r="T186" s="67"/>
      <c r="U186" s="67"/>
      <c r="V186" s="67"/>
      <c r="W186" s="67"/>
      <c r="X186" s="67"/>
      <c r="Y186" s="74" t="s">
        <v>213</v>
      </c>
      <c r="Z186" s="67"/>
      <c r="AA186" s="67"/>
      <c r="AB186" s="67"/>
      <c r="AC186" s="67"/>
      <c r="AD186" s="67"/>
      <c r="AE186" s="67"/>
      <c r="AF186" s="75"/>
      <c r="AG186" s="67"/>
      <c r="AH186" s="67"/>
      <c r="AI186" s="67"/>
      <c r="AJ186" s="62"/>
      <c r="AK186" s="62"/>
    </row>
    <row r="187" spans="1:16352" s="118" customFormat="1" ht="12.5" customHeight="1" x14ac:dyDescent="0.35">
      <c r="A187" s="116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7"/>
      <c r="CE187" s="117"/>
      <c r="CF187" s="117"/>
      <c r="CG187" s="117"/>
      <c r="CH187" s="117"/>
      <c r="CI187" s="117"/>
      <c r="CJ187" s="117"/>
      <c r="CK187" s="117"/>
      <c r="CL187" s="117"/>
      <c r="CM187" s="117"/>
      <c r="CN187" s="117"/>
      <c r="CO187" s="117"/>
      <c r="CP187" s="117"/>
      <c r="CQ187" s="117"/>
      <c r="CR187" s="117"/>
      <c r="CS187" s="117"/>
      <c r="CT187" s="117"/>
      <c r="CU187" s="117"/>
      <c r="CV187" s="117"/>
      <c r="CW187" s="117"/>
      <c r="CX187" s="117"/>
      <c r="CY187" s="117"/>
      <c r="CZ187" s="117"/>
      <c r="DA187" s="117"/>
      <c r="DB187" s="117"/>
      <c r="DC187" s="117"/>
      <c r="DD187" s="117"/>
      <c r="DE187" s="117"/>
      <c r="DF187" s="117"/>
      <c r="DG187" s="117"/>
      <c r="DH187" s="117"/>
      <c r="DI187" s="117"/>
      <c r="DJ187" s="117"/>
      <c r="DK187" s="117"/>
      <c r="DL187" s="117"/>
      <c r="DM187" s="117"/>
      <c r="DN187" s="117"/>
      <c r="DO187" s="117"/>
      <c r="DP187" s="117"/>
      <c r="DQ187" s="117"/>
      <c r="DR187" s="117"/>
      <c r="DS187" s="117"/>
      <c r="DT187" s="117"/>
      <c r="DU187" s="117"/>
      <c r="DV187" s="117"/>
      <c r="DW187" s="117"/>
      <c r="DX187" s="117"/>
      <c r="DY187" s="117"/>
      <c r="DZ187" s="117"/>
      <c r="EA187" s="117"/>
      <c r="EB187" s="117"/>
      <c r="EC187" s="117"/>
      <c r="ED187" s="117"/>
      <c r="EE187" s="117"/>
      <c r="EF187" s="117"/>
      <c r="EG187" s="117"/>
      <c r="EH187" s="117"/>
      <c r="EI187" s="117"/>
      <c r="EJ187" s="117"/>
      <c r="EK187" s="117"/>
      <c r="EL187" s="117"/>
      <c r="EM187" s="117"/>
      <c r="EN187" s="117"/>
      <c r="EO187" s="117"/>
      <c r="EP187" s="117"/>
      <c r="EQ187" s="117"/>
      <c r="ER187" s="117"/>
      <c r="ES187" s="117"/>
      <c r="ET187" s="117"/>
      <c r="EU187" s="117"/>
      <c r="EV187" s="117"/>
      <c r="EW187" s="117"/>
      <c r="EX187" s="117"/>
      <c r="EY187" s="117"/>
      <c r="EZ187" s="117"/>
      <c r="FA187" s="117"/>
      <c r="FB187" s="117"/>
      <c r="FC187" s="117"/>
      <c r="FD187" s="117"/>
      <c r="FE187" s="117"/>
      <c r="FF187" s="117"/>
      <c r="FG187" s="117"/>
      <c r="FH187" s="117"/>
      <c r="FI187" s="117"/>
      <c r="FJ187" s="117"/>
      <c r="FK187" s="117"/>
      <c r="FL187" s="117"/>
      <c r="FM187" s="117"/>
      <c r="FN187" s="117"/>
      <c r="FO187" s="117"/>
      <c r="FP187" s="117"/>
      <c r="FQ187" s="117"/>
      <c r="FR187" s="117"/>
      <c r="FS187" s="117"/>
      <c r="FT187" s="117"/>
      <c r="FU187" s="117"/>
      <c r="FV187" s="117"/>
      <c r="FW187" s="117"/>
      <c r="FX187" s="117"/>
      <c r="FY187" s="117"/>
      <c r="FZ187" s="117"/>
      <c r="GA187" s="117"/>
      <c r="GB187" s="117"/>
      <c r="GC187" s="117"/>
      <c r="GD187" s="117"/>
      <c r="GE187" s="117"/>
      <c r="GF187" s="117"/>
      <c r="GG187" s="117"/>
      <c r="GH187" s="117"/>
      <c r="GI187" s="117"/>
      <c r="GJ187" s="117"/>
      <c r="GK187" s="117"/>
      <c r="GL187" s="117"/>
      <c r="GM187" s="117"/>
      <c r="GN187" s="117"/>
      <c r="GO187" s="117"/>
      <c r="GP187" s="117"/>
      <c r="GQ187" s="117"/>
      <c r="GR187" s="117"/>
      <c r="GS187" s="117"/>
      <c r="GT187" s="117"/>
      <c r="GU187" s="117"/>
      <c r="GV187" s="117"/>
      <c r="GW187" s="117"/>
      <c r="GX187" s="117"/>
      <c r="GY187" s="117"/>
      <c r="GZ187" s="117"/>
      <c r="HA187" s="117"/>
      <c r="HB187" s="117"/>
      <c r="HC187" s="117"/>
      <c r="HD187" s="117"/>
      <c r="HE187" s="117"/>
      <c r="HF187" s="117"/>
      <c r="HG187" s="117"/>
      <c r="HH187" s="117"/>
      <c r="HI187" s="117"/>
      <c r="HJ187" s="117"/>
      <c r="HK187" s="117"/>
      <c r="HL187" s="117"/>
      <c r="HM187" s="117"/>
      <c r="HN187" s="117"/>
      <c r="HO187" s="117"/>
      <c r="HP187" s="117"/>
      <c r="HQ187" s="117"/>
      <c r="HR187" s="117"/>
      <c r="HS187" s="117"/>
      <c r="HT187" s="117"/>
      <c r="HU187" s="117"/>
      <c r="HV187" s="117"/>
      <c r="HW187" s="117"/>
      <c r="HX187" s="117"/>
      <c r="HY187" s="117"/>
      <c r="HZ187" s="117"/>
      <c r="IA187" s="117"/>
      <c r="IB187" s="117"/>
      <c r="IC187" s="117"/>
      <c r="ID187" s="117"/>
      <c r="IE187" s="117"/>
      <c r="IF187" s="117"/>
      <c r="IG187" s="117"/>
      <c r="IH187" s="117"/>
      <c r="II187" s="117"/>
      <c r="IJ187" s="117"/>
      <c r="IK187" s="117"/>
      <c r="IL187" s="117"/>
      <c r="IM187" s="117"/>
      <c r="IN187" s="117"/>
      <c r="IO187" s="117"/>
      <c r="IP187" s="117"/>
      <c r="IQ187" s="117"/>
      <c r="IR187" s="117"/>
      <c r="IS187" s="117"/>
      <c r="IT187" s="117"/>
      <c r="IU187" s="117"/>
      <c r="IV187" s="117"/>
      <c r="IW187" s="117"/>
      <c r="IX187" s="117"/>
      <c r="IY187" s="117"/>
      <c r="IZ187" s="117"/>
      <c r="JA187" s="117"/>
      <c r="JB187" s="117"/>
      <c r="JC187" s="117"/>
      <c r="JD187" s="117"/>
      <c r="JE187" s="117"/>
      <c r="JF187" s="117"/>
      <c r="JG187" s="117"/>
      <c r="JH187" s="117"/>
      <c r="JI187" s="117"/>
      <c r="JJ187" s="117"/>
      <c r="JK187" s="117"/>
      <c r="JL187" s="117"/>
      <c r="JM187" s="117"/>
      <c r="JN187" s="117"/>
      <c r="JO187" s="117"/>
      <c r="JP187" s="117"/>
      <c r="JQ187" s="117"/>
      <c r="JR187" s="117"/>
      <c r="JS187" s="117"/>
      <c r="JT187" s="117"/>
      <c r="JU187" s="117"/>
      <c r="JV187" s="117"/>
      <c r="JW187" s="117"/>
      <c r="JX187" s="117"/>
      <c r="JY187" s="117"/>
      <c r="JZ187" s="117"/>
      <c r="KA187" s="117"/>
      <c r="KB187" s="117"/>
      <c r="KC187" s="117"/>
      <c r="KD187" s="117"/>
      <c r="KE187" s="117"/>
      <c r="KF187" s="117"/>
      <c r="KG187" s="117"/>
      <c r="KH187" s="117"/>
      <c r="KI187" s="117"/>
      <c r="KJ187" s="117"/>
      <c r="KK187" s="117"/>
      <c r="KL187" s="117"/>
      <c r="KM187" s="117"/>
      <c r="KN187" s="117"/>
      <c r="KO187" s="117"/>
      <c r="KP187" s="117"/>
      <c r="KQ187" s="117"/>
      <c r="KR187" s="117"/>
      <c r="KS187" s="117"/>
      <c r="KT187" s="117"/>
      <c r="KU187" s="117"/>
      <c r="KV187" s="117"/>
      <c r="KW187" s="117"/>
      <c r="KX187" s="117"/>
      <c r="KY187" s="117"/>
      <c r="KZ187" s="117"/>
      <c r="LA187" s="117"/>
      <c r="LB187" s="117"/>
      <c r="LC187" s="117"/>
      <c r="LD187" s="117"/>
      <c r="LE187" s="117"/>
      <c r="LF187" s="117"/>
      <c r="LG187" s="117"/>
      <c r="LH187" s="117"/>
      <c r="LI187" s="117"/>
      <c r="LJ187" s="117"/>
      <c r="LK187" s="117"/>
      <c r="LL187" s="117"/>
      <c r="LM187" s="117"/>
      <c r="LN187" s="117"/>
      <c r="LO187" s="117"/>
      <c r="LP187" s="117"/>
      <c r="LQ187" s="117"/>
      <c r="LR187" s="117"/>
      <c r="LS187" s="117"/>
      <c r="LT187" s="117"/>
      <c r="LU187" s="117"/>
      <c r="LV187" s="117"/>
      <c r="LW187" s="117"/>
      <c r="LX187" s="117"/>
      <c r="LY187" s="117"/>
      <c r="LZ187" s="117"/>
      <c r="MA187" s="117"/>
      <c r="MB187" s="117"/>
      <c r="MC187" s="117"/>
      <c r="MD187" s="117"/>
      <c r="ME187" s="117"/>
      <c r="MF187" s="117"/>
      <c r="MG187" s="117"/>
      <c r="MH187" s="117"/>
      <c r="MI187" s="117"/>
      <c r="MJ187" s="117"/>
      <c r="MK187" s="117"/>
      <c r="ML187" s="117"/>
      <c r="MM187" s="117"/>
      <c r="MN187" s="117"/>
      <c r="MO187" s="117"/>
      <c r="MP187" s="117"/>
      <c r="MQ187" s="117"/>
      <c r="MR187" s="117"/>
      <c r="MS187" s="117"/>
      <c r="MT187" s="117"/>
      <c r="MU187" s="117"/>
      <c r="MV187" s="117"/>
      <c r="MW187" s="117"/>
      <c r="MX187" s="117"/>
      <c r="MY187" s="117"/>
      <c r="MZ187" s="117"/>
      <c r="NA187" s="117"/>
      <c r="NB187" s="117"/>
      <c r="NC187" s="117"/>
      <c r="ND187" s="117"/>
      <c r="NE187" s="117"/>
      <c r="NF187" s="117"/>
      <c r="NG187" s="117"/>
      <c r="NH187" s="117"/>
      <c r="NI187" s="117"/>
      <c r="NJ187" s="117"/>
      <c r="NK187" s="117"/>
      <c r="NL187" s="117"/>
      <c r="NM187" s="117"/>
      <c r="NN187" s="117"/>
      <c r="NO187" s="117"/>
      <c r="NP187" s="117"/>
      <c r="NQ187" s="117"/>
      <c r="NR187" s="117"/>
      <c r="NS187" s="117"/>
      <c r="NT187" s="117"/>
      <c r="NU187" s="117"/>
      <c r="NV187" s="117"/>
      <c r="NW187" s="117"/>
      <c r="NX187" s="117"/>
      <c r="NY187" s="117"/>
      <c r="NZ187" s="117"/>
      <c r="OA187" s="117"/>
      <c r="OB187" s="117"/>
      <c r="OC187" s="117"/>
      <c r="OD187" s="117"/>
      <c r="OE187" s="117"/>
      <c r="OF187" s="117"/>
      <c r="OG187" s="117"/>
      <c r="OH187" s="117"/>
      <c r="OI187" s="117"/>
      <c r="OJ187" s="117"/>
      <c r="OK187" s="117"/>
      <c r="OL187" s="117"/>
      <c r="OM187" s="117"/>
      <c r="ON187" s="117"/>
      <c r="OO187" s="117"/>
      <c r="OP187" s="117"/>
      <c r="OQ187" s="117"/>
      <c r="OR187" s="117"/>
      <c r="OS187" s="117"/>
      <c r="OT187" s="117"/>
      <c r="OU187" s="117"/>
      <c r="OV187" s="117"/>
      <c r="OW187" s="117"/>
      <c r="OX187" s="117"/>
      <c r="OY187" s="117"/>
      <c r="OZ187" s="117"/>
      <c r="PA187" s="117"/>
      <c r="PB187" s="117"/>
      <c r="PC187" s="117"/>
      <c r="PD187" s="117"/>
      <c r="PE187" s="117"/>
      <c r="PF187" s="117"/>
      <c r="PG187" s="117"/>
      <c r="PH187" s="117"/>
      <c r="PI187" s="117"/>
      <c r="PJ187" s="117"/>
      <c r="PK187" s="117"/>
      <c r="PL187" s="117"/>
      <c r="PM187" s="117"/>
      <c r="PN187" s="117"/>
      <c r="PO187" s="117"/>
      <c r="PP187" s="117"/>
      <c r="PQ187" s="117"/>
      <c r="PR187" s="117"/>
      <c r="PS187" s="117"/>
      <c r="PT187" s="117"/>
      <c r="PU187" s="117"/>
      <c r="PV187" s="117"/>
      <c r="PW187" s="117"/>
      <c r="PX187" s="117"/>
      <c r="PY187" s="117"/>
      <c r="PZ187" s="117"/>
      <c r="QA187" s="117"/>
      <c r="QB187" s="117"/>
      <c r="QC187" s="117"/>
      <c r="QD187" s="117"/>
      <c r="QE187" s="117"/>
      <c r="QF187" s="117"/>
      <c r="QG187" s="117"/>
      <c r="QH187" s="117"/>
      <c r="QI187" s="117"/>
      <c r="QJ187" s="117"/>
      <c r="QK187" s="117"/>
      <c r="QL187" s="117"/>
      <c r="QM187" s="117"/>
      <c r="QN187" s="117"/>
      <c r="QO187" s="117"/>
      <c r="QP187" s="117"/>
      <c r="QQ187" s="117"/>
      <c r="QR187" s="117"/>
      <c r="QS187" s="117"/>
      <c r="QT187" s="117"/>
      <c r="QU187" s="117"/>
      <c r="QV187" s="117"/>
      <c r="QW187" s="117"/>
      <c r="QX187" s="117"/>
      <c r="QY187" s="117"/>
      <c r="QZ187" s="117"/>
      <c r="RA187" s="117"/>
      <c r="RB187" s="117"/>
      <c r="RC187" s="117"/>
      <c r="RD187" s="117"/>
      <c r="RE187" s="117"/>
      <c r="RF187" s="117"/>
      <c r="RG187" s="117"/>
      <c r="RH187" s="117"/>
      <c r="RI187" s="117"/>
      <c r="RJ187" s="117"/>
      <c r="RK187" s="117"/>
      <c r="RL187" s="117"/>
      <c r="RM187" s="117"/>
      <c r="RN187" s="117"/>
      <c r="RO187" s="117"/>
      <c r="RP187" s="117"/>
      <c r="RQ187" s="117"/>
      <c r="RR187" s="117"/>
      <c r="RS187" s="117"/>
      <c r="RT187" s="117"/>
      <c r="RU187" s="117"/>
      <c r="RV187" s="117"/>
      <c r="RW187" s="117"/>
      <c r="RX187" s="117"/>
      <c r="RY187" s="117"/>
      <c r="RZ187" s="117"/>
      <c r="SA187" s="117"/>
      <c r="SB187" s="117"/>
      <c r="SC187" s="117"/>
      <c r="SD187" s="117"/>
      <c r="SE187" s="117"/>
      <c r="SF187" s="117"/>
      <c r="SG187" s="117"/>
      <c r="SH187" s="117"/>
      <c r="SI187" s="117"/>
      <c r="SJ187" s="117"/>
      <c r="SK187" s="117"/>
      <c r="SL187" s="117"/>
      <c r="SM187" s="117"/>
      <c r="SN187" s="117"/>
      <c r="SO187" s="117"/>
      <c r="SP187" s="117"/>
      <c r="SQ187" s="117"/>
      <c r="SR187" s="117"/>
      <c r="SS187" s="117"/>
      <c r="ST187" s="117"/>
      <c r="SU187" s="117"/>
      <c r="SV187" s="117"/>
      <c r="SW187" s="117"/>
      <c r="SX187" s="117"/>
      <c r="SY187" s="117"/>
      <c r="SZ187" s="117"/>
      <c r="TA187" s="117"/>
      <c r="TB187" s="117"/>
      <c r="TC187" s="117"/>
      <c r="TD187" s="117"/>
      <c r="TE187" s="117"/>
      <c r="TF187" s="117"/>
      <c r="TG187" s="117"/>
      <c r="TH187" s="117"/>
      <c r="TI187" s="117"/>
      <c r="TJ187" s="117"/>
      <c r="TK187" s="117"/>
      <c r="TL187" s="117"/>
      <c r="TM187" s="117"/>
      <c r="TN187" s="117"/>
      <c r="TO187" s="117"/>
      <c r="TP187" s="117"/>
      <c r="TQ187" s="117"/>
      <c r="TR187" s="117"/>
      <c r="TS187" s="117"/>
      <c r="TT187" s="117"/>
      <c r="TU187" s="117"/>
      <c r="TV187" s="117"/>
      <c r="TW187" s="117"/>
      <c r="TX187" s="117"/>
      <c r="TY187" s="117"/>
      <c r="TZ187" s="117"/>
      <c r="UA187" s="117"/>
      <c r="UB187" s="117"/>
      <c r="UC187" s="117"/>
      <c r="UD187" s="117"/>
      <c r="UE187" s="117"/>
      <c r="UF187" s="117"/>
      <c r="UG187" s="117"/>
      <c r="UH187" s="117"/>
      <c r="UI187" s="117"/>
      <c r="UJ187" s="117"/>
      <c r="UK187" s="117"/>
      <c r="UL187" s="117"/>
      <c r="UM187" s="117"/>
      <c r="UN187" s="117"/>
      <c r="UO187" s="117"/>
      <c r="UP187" s="117"/>
      <c r="UQ187" s="117"/>
      <c r="UR187" s="117"/>
      <c r="US187" s="117"/>
      <c r="UT187" s="117"/>
      <c r="UU187" s="117"/>
      <c r="UV187" s="117"/>
      <c r="UW187" s="117"/>
      <c r="UX187" s="117"/>
      <c r="UY187" s="117"/>
      <c r="UZ187" s="117"/>
      <c r="VA187" s="117"/>
      <c r="VB187" s="117"/>
      <c r="VC187" s="117"/>
      <c r="VD187" s="117"/>
      <c r="VE187" s="117"/>
      <c r="VF187" s="117"/>
      <c r="VG187" s="117"/>
      <c r="VH187" s="117"/>
      <c r="VI187" s="117"/>
      <c r="VJ187" s="117"/>
      <c r="VK187" s="117"/>
      <c r="VL187" s="117"/>
      <c r="VM187" s="117"/>
      <c r="VN187" s="117"/>
      <c r="VO187" s="117"/>
      <c r="VP187" s="117"/>
      <c r="VQ187" s="117"/>
      <c r="VR187" s="117"/>
      <c r="VS187" s="117"/>
      <c r="VT187" s="117"/>
      <c r="VU187" s="117"/>
      <c r="VV187" s="117"/>
      <c r="VW187" s="117"/>
      <c r="VX187" s="117"/>
      <c r="VY187" s="117"/>
      <c r="VZ187" s="117"/>
      <c r="WA187" s="117"/>
      <c r="WB187" s="117"/>
      <c r="WC187" s="117"/>
      <c r="WD187" s="117"/>
      <c r="WE187" s="117"/>
      <c r="WF187" s="117"/>
      <c r="WG187" s="117"/>
      <c r="WH187" s="117"/>
      <c r="WI187" s="117"/>
      <c r="WJ187" s="117"/>
      <c r="WK187" s="117"/>
      <c r="WL187" s="117"/>
      <c r="WM187" s="117"/>
      <c r="WN187" s="117"/>
      <c r="WO187" s="117"/>
      <c r="WP187" s="117"/>
      <c r="WQ187" s="117"/>
      <c r="WR187" s="117"/>
      <c r="WS187" s="117"/>
      <c r="WT187" s="117"/>
      <c r="WU187" s="117"/>
      <c r="WV187" s="117"/>
      <c r="WW187" s="117"/>
      <c r="WX187" s="117"/>
      <c r="WY187" s="117"/>
      <c r="WZ187" s="117"/>
      <c r="XA187" s="117"/>
      <c r="XB187" s="117"/>
      <c r="XC187" s="117"/>
      <c r="XD187" s="117"/>
      <c r="XE187" s="117"/>
      <c r="XF187" s="117"/>
      <c r="XG187" s="117"/>
      <c r="XH187" s="117"/>
      <c r="XI187" s="117"/>
      <c r="XJ187" s="117"/>
      <c r="XK187" s="117"/>
      <c r="XL187" s="117"/>
      <c r="XM187" s="117"/>
      <c r="XN187" s="117"/>
      <c r="XO187" s="117"/>
      <c r="XP187" s="117"/>
      <c r="XQ187" s="117"/>
      <c r="XR187" s="117"/>
      <c r="XS187" s="117"/>
      <c r="XT187" s="117"/>
      <c r="XU187" s="117"/>
      <c r="XV187" s="117"/>
      <c r="XW187" s="117"/>
      <c r="XX187" s="117"/>
      <c r="XY187" s="117"/>
      <c r="XZ187" s="117"/>
      <c r="YA187" s="117"/>
      <c r="YB187" s="117"/>
      <c r="YC187" s="117"/>
      <c r="YD187" s="117"/>
      <c r="YE187" s="117"/>
      <c r="YF187" s="117"/>
      <c r="YG187" s="117"/>
      <c r="YH187" s="117"/>
      <c r="YI187" s="117"/>
      <c r="YJ187" s="117"/>
      <c r="YK187" s="117"/>
      <c r="YL187" s="117"/>
      <c r="YM187" s="117"/>
      <c r="YN187" s="117"/>
      <c r="YO187" s="117"/>
      <c r="YP187" s="117"/>
      <c r="YQ187" s="117"/>
      <c r="YR187" s="117"/>
      <c r="YS187" s="117"/>
      <c r="YT187" s="117"/>
      <c r="YU187" s="117"/>
      <c r="YV187" s="117"/>
      <c r="YW187" s="117"/>
      <c r="YX187" s="117"/>
      <c r="YY187" s="117"/>
      <c r="YZ187" s="117"/>
      <c r="ZA187" s="117"/>
      <c r="ZB187" s="117"/>
      <c r="ZC187" s="117"/>
      <c r="ZD187" s="117"/>
      <c r="ZE187" s="117"/>
      <c r="ZF187" s="117"/>
      <c r="ZG187" s="117"/>
      <c r="ZH187" s="117"/>
      <c r="ZI187" s="117"/>
      <c r="ZJ187" s="117"/>
      <c r="ZK187" s="117"/>
      <c r="ZL187" s="117"/>
      <c r="ZM187" s="117"/>
      <c r="ZN187" s="117"/>
      <c r="ZO187" s="117"/>
      <c r="ZP187" s="117"/>
      <c r="ZQ187" s="117"/>
      <c r="ZR187" s="117"/>
      <c r="ZS187" s="117"/>
      <c r="ZT187" s="117"/>
      <c r="ZU187" s="117"/>
      <c r="ZV187" s="117"/>
      <c r="ZW187" s="117"/>
      <c r="ZX187" s="117"/>
      <c r="ZY187" s="117"/>
      <c r="ZZ187" s="117"/>
      <c r="AAA187" s="117"/>
      <c r="AAB187" s="117"/>
      <c r="AAC187" s="117"/>
      <c r="AAD187" s="117"/>
      <c r="AAE187" s="117"/>
      <c r="AAF187" s="117"/>
      <c r="AAG187" s="117"/>
      <c r="AAH187" s="117"/>
      <c r="AAI187" s="117"/>
      <c r="AAJ187" s="117"/>
      <c r="AAK187" s="117"/>
      <c r="AAL187" s="117"/>
      <c r="AAM187" s="117"/>
      <c r="AAN187" s="117"/>
      <c r="AAO187" s="117"/>
      <c r="AAP187" s="117"/>
      <c r="AAQ187" s="117"/>
      <c r="AAR187" s="117"/>
      <c r="AAS187" s="117"/>
      <c r="AAT187" s="117"/>
      <c r="AAU187" s="117"/>
      <c r="AAV187" s="117"/>
      <c r="AAW187" s="117"/>
      <c r="AAX187" s="117"/>
      <c r="AAY187" s="117"/>
      <c r="AAZ187" s="117"/>
      <c r="ABA187" s="117"/>
      <c r="ABB187" s="117"/>
      <c r="ABC187" s="117"/>
      <c r="ABD187" s="117"/>
      <c r="ABE187" s="117"/>
      <c r="ABF187" s="117"/>
      <c r="ABG187" s="117"/>
      <c r="ABH187" s="117"/>
      <c r="ABI187" s="117"/>
      <c r="ABJ187" s="117"/>
      <c r="ABK187" s="117"/>
      <c r="ABL187" s="117"/>
      <c r="ABM187" s="117"/>
      <c r="ABN187" s="117"/>
      <c r="ABO187" s="117"/>
      <c r="ABP187" s="117"/>
      <c r="ABQ187" s="117"/>
      <c r="ABR187" s="117"/>
      <c r="ABS187" s="117"/>
      <c r="ABT187" s="117"/>
      <c r="ABU187" s="117"/>
      <c r="ABV187" s="117"/>
      <c r="ABW187" s="117"/>
      <c r="ABX187" s="117"/>
      <c r="ABY187" s="117"/>
      <c r="ABZ187" s="117"/>
      <c r="ACA187" s="117"/>
      <c r="ACB187" s="117"/>
      <c r="ACC187" s="117"/>
      <c r="ACD187" s="117"/>
      <c r="ACE187" s="117"/>
      <c r="ACF187" s="117"/>
      <c r="ACG187" s="117"/>
      <c r="ACH187" s="117"/>
      <c r="ACI187" s="117"/>
      <c r="ACJ187" s="117"/>
      <c r="ACK187" s="117"/>
      <c r="ACL187" s="117"/>
      <c r="ACM187" s="117"/>
      <c r="ACN187" s="117"/>
      <c r="ACO187" s="117"/>
      <c r="ACP187" s="117"/>
      <c r="ACQ187" s="117"/>
      <c r="ACR187" s="117"/>
      <c r="ACS187" s="117"/>
      <c r="ACT187" s="117"/>
      <c r="ACU187" s="117"/>
      <c r="ACV187" s="117"/>
      <c r="ACW187" s="117"/>
      <c r="ACX187" s="117"/>
      <c r="ACY187" s="117"/>
      <c r="ACZ187" s="117"/>
      <c r="ADA187" s="117"/>
      <c r="ADB187" s="117"/>
      <c r="ADC187" s="117"/>
      <c r="ADD187" s="117"/>
      <c r="ADE187" s="117"/>
      <c r="ADF187" s="117"/>
      <c r="ADG187" s="117"/>
      <c r="ADH187" s="117"/>
      <c r="ADI187" s="117"/>
      <c r="ADJ187" s="117"/>
      <c r="ADK187" s="117"/>
      <c r="ADL187" s="117"/>
      <c r="ADM187" s="117"/>
      <c r="ADN187" s="117"/>
      <c r="ADO187" s="117"/>
      <c r="ADP187" s="117"/>
      <c r="ADQ187" s="117"/>
      <c r="ADR187" s="117"/>
      <c r="ADS187" s="117"/>
      <c r="ADT187" s="117"/>
      <c r="ADU187" s="117"/>
      <c r="ADV187" s="117"/>
      <c r="ADW187" s="117"/>
      <c r="ADX187" s="117"/>
      <c r="ADY187" s="117"/>
      <c r="ADZ187" s="117"/>
      <c r="AEA187" s="117"/>
      <c r="AEB187" s="117"/>
      <c r="AEC187" s="117"/>
      <c r="AED187" s="117"/>
      <c r="AEE187" s="117"/>
      <c r="AEF187" s="117"/>
      <c r="AEG187" s="117"/>
      <c r="AEH187" s="117"/>
      <c r="AEI187" s="117"/>
      <c r="AEJ187" s="117"/>
      <c r="AEK187" s="117"/>
      <c r="AEL187" s="117"/>
      <c r="AEM187" s="117"/>
      <c r="AEN187" s="117"/>
      <c r="AEO187" s="117"/>
      <c r="AEP187" s="117"/>
      <c r="AEQ187" s="117"/>
      <c r="AER187" s="117"/>
      <c r="AES187" s="117"/>
      <c r="AET187" s="117"/>
      <c r="AEU187" s="117"/>
      <c r="AEV187" s="117"/>
      <c r="AEW187" s="117"/>
      <c r="AEX187" s="117"/>
      <c r="AEY187" s="117"/>
      <c r="AEZ187" s="117"/>
      <c r="AFA187" s="117"/>
      <c r="AFB187" s="117"/>
      <c r="AFC187" s="117"/>
      <c r="AFD187" s="117"/>
      <c r="AFE187" s="117"/>
      <c r="AFF187" s="117"/>
      <c r="AFG187" s="117"/>
      <c r="AFH187" s="117"/>
      <c r="AFI187" s="117"/>
      <c r="AFJ187" s="117"/>
      <c r="AFK187" s="117"/>
      <c r="AFL187" s="117"/>
      <c r="AFM187" s="117"/>
      <c r="AFN187" s="117"/>
      <c r="AFO187" s="117"/>
      <c r="AFP187" s="117"/>
      <c r="AFQ187" s="117"/>
      <c r="AFR187" s="117"/>
      <c r="AFS187" s="117"/>
      <c r="AFT187" s="117"/>
      <c r="AFU187" s="117"/>
      <c r="AFV187" s="117"/>
      <c r="AFW187" s="117"/>
      <c r="AFX187" s="117"/>
      <c r="AFY187" s="117"/>
      <c r="AFZ187" s="117"/>
      <c r="AGA187" s="117"/>
      <c r="AGB187" s="117"/>
      <c r="AGC187" s="117"/>
      <c r="AGD187" s="117"/>
      <c r="AGE187" s="117"/>
      <c r="AGF187" s="117"/>
      <c r="AGG187" s="117"/>
      <c r="AGH187" s="117"/>
      <c r="AGI187" s="117"/>
      <c r="AGJ187" s="117"/>
      <c r="AGK187" s="117"/>
      <c r="AGL187" s="117"/>
      <c r="AGM187" s="117"/>
      <c r="AGN187" s="117"/>
      <c r="AGO187" s="117"/>
      <c r="AGP187" s="117"/>
      <c r="AGQ187" s="117"/>
      <c r="AGR187" s="117"/>
      <c r="AGS187" s="117"/>
      <c r="AGT187" s="117"/>
      <c r="AGU187" s="117"/>
      <c r="AGV187" s="117"/>
      <c r="AGW187" s="117"/>
      <c r="AGX187" s="117"/>
      <c r="AGY187" s="117"/>
      <c r="AGZ187" s="117"/>
      <c r="AHA187" s="117"/>
      <c r="AHB187" s="117"/>
      <c r="AHC187" s="117"/>
      <c r="AHD187" s="117"/>
      <c r="AHE187" s="117"/>
      <c r="AHF187" s="117"/>
      <c r="AHG187" s="117"/>
      <c r="AHH187" s="117"/>
      <c r="AHI187" s="117"/>
      <c r="AHJ187" s="117"/>
      <c r="AHK187" s="117"/>
      <c r="AHL187" s="117"/>
      <c r="AHM187" s="117"/>
      <c r="AHN187" s="117"/>
      <c r="AHO187" s="117"/>
      <c r="AHP187" s="117"/>
      <c r="AHQ187" s="117"/>
      <c r="AHR187" s="117"/>
      <c r="AHS187" s="117"/>
      <c r="AHT187" s="117"/>
      <c r="AHU187" s="117"/>
      <c r="AHV187" s="117"/>
      <c r="AHW187" s="117"/>
      <c r="AHX187" s="117"/>
      <c r="AHY187" s="117"/>
      <c r="AHZ187" s="117"/>
      <c r="AIA187" s="117"/>
      <c r="AIB187" s="117"/>
      <c r="AIC187" s="117"/>
      <c r="AID187" s="117"/>
      <c r="AIE187" s="117"/>
      <c r="AIF187" s="117"/>
      <c r="AIG187" s="117"/>
      <c r="AIH187" s="117"/>
      <c r="AII187" s="117"/>
      <c r="AIJ187" s="117"/>
      <c r="AIK187" s="117"/>
      <c r="AIL187" s="117"/>
      <c r="AIM187" s="117"/>
      <c r="AIN187" s="117"/>
      <c r="AIO187" s="117"/>
      <c r="AIP187" s="117"/>
      <c r="AIQ187" s="117"/>
      <c r="AIR187" s="117"/>
      <c r="AIS187" s="117"/>
      <c r="AIT187" s="117"/>
      <c r="AIU187" s="117"/>
      <c r="AIV187" s="117"/>
      <c r="AIW187" s="117"/>
      <c r="AIX187" s="117"/>
      <c r="AIY187" s="117"/>
      <c r="AIZ187" s="117"/>
      <c r="AJA187" s="117"/>
      <c r="AJB187" s="117"/>
      <c r="AJC187" s="117"/>
      <c r="AJD187" s="117"/>
      <c r="AJE187" s="117"/>
      <c r="AJF187" s="117"/>
      <c r="AJG187" s="117"/>
      <c r="AJH187" s="117"/>
      <c r="AJI187" s="117"/>
      <c r="AJJ187" s="117"/>
      <c r="AJK187" s="117"/>
      <c r="AJL187" s="117"/>
      <c r="AJM187" s="117"/>
      <c r="AJN187" s="117"/>
      <c r="AJO187" s="117"/>
      <c r="AJP187" s="117"/>
      <c r="AJQ187" s="117"/>
      <c r="AJR187" s="117"/>
      <c r="AJS187" s="117"/>
      <c r="AJT187" s="117"/>
      <c r="AJU187" s="117"/>
      <c r="AJV187" s="117"/>
      <c r="AJW187" s="117"/>
      <c r="AJX187" s="117"/>
      <c r="AJY187" s="117"/>
      <c r="AJZ187" s="117"/>
      <c r="AKA187" s="117"/>
      <c r="AKB187" s="117"/>
      <c r="AKC187" s="117"/>
      <c r="AKD187" s="117"/>
      <c r="AKE187" s="117"/>
      <c r="AKF187" s="117"/>
      <c r="AKG187" s="117"/>
      <c r="AKH187" s="117"/>
      <c r="AKI187" s="117"/>
      <c r="AKJ187" s="117"/>
      <c r="AKK187" s="117"/>
      <c r="AKL187" s="117"/>
      <c r="AKM187" s="117"/>
      <c r="AKN187" s="117"/>
      <c r="AKO187" s="117"/>
      <c r="AKP187" s="117"/>
      <c r="AKQ187" s="117"/>
      <c r="AKR187" s="117"/>
      <c r="AKS187" s="117"/>
      <c r="AKT187" s="117"/>
      <c r="AKU187" s="117"/>
      <c r="AKV187" s="117"/>
      <c r="AKW187" s="117"/>
      <c r="AKX187" s="117"/>
      <c r="AKY187" s="117"/>
      <c r="AKZ187" s="117"/>
      <c r="ALA187" s="117"/>
      <c r="ALB187" s="117"/>
      <c r="ALC187" s="117"/>
      <c r="ALD187" s="117"/>
      <c r="ALE187" s="117"/>
      <c r="ALF187" s="117"/>
      <c r="ALG187" s="117"/>
      <c r="ALH187" s="117"/>
      <c r="ALI187" s="117"/>
      <c r="ALJ187" s="117"/>
      <c r="ALK187" s="117"/>
      <c r="ALL187" s="117"/>
      <c r="ALM187" s="117"/>
      <c r="ALN187" s="117"/>
      <c r="ALO187" s="117"/>
      <c r="ALP187" s="117"/>
      <c r="ALQ187" s="117"/>
      <c r="ALR187" s="117"/>
      <c r="ALS187" s="117"/>
      <c r="ALT187" s="117"/>
      <c r="ALU187" s="117"/>
      <c r="ALV187" s="117"/>
      <c r="ALW187" s="117"/>
      <c r="ALX187" s="117"/>
      <c r="ALY187" s="117"/>
      <c r="ALZ187" s="117"/>
      <c r="AMA187" s="117"/>
      <c r="AMB187" s="117"/>
      <c r="AMC187" s="117"/>
      <c r="AMD187" s="117"/>
      <c r="AME187" s="117"/>
      <c r="AMF187" s="117"/>
      <c r="AMG187" s="117"/>
      <c r="AMH187" s="117"/>
      <c r="AMI187" s="117"/>
      <c r="AMJ187" s="117"/>
      <c r="AMK187" s="117"/>
      <c r="AML187" s="117"/>
      <c r="AMM187" s="117"/>
      <c r="AMN187" s="117"/>
      <c r="AMO187" s="117"/>
      <c r="AMP187" s="117"/>
      <c r="AMQ187" s="117"/>
      <c r="AMR187" s="117"/>
      <c r="AMS187" s="117"/>
      <c r="AMT187" s="117"/>
      <c r="AMU187" s="117"/>
      <c r="AMV187" s="117"/>
      <c r="AMW187" s="117"/>
      <c r="AMX187" s="117"/>
      <c r="AMY187" s="117"/>
      <c r="AMZ187" s="117"/>
      <c r="ANA187" s="117"/>
      <c r="ANB187" s="117"/>
      <c r="ANC187" s="117"/>
      <c r="AND187" s="117"/>
      <c r="ANE187" s="117"/>
      <c r="ANF187" s="117"/>
      <c r="ANG187" s="117"/>
      <c r="ANH187" s="117"/>
      <c r="ANI187" s="117"/>
      <c r="ANJ187" s="117"/>
      <c r="ANK187" s="117"/>
      <c r="ANL187" s="117"/>
      <c r="ANM187" s="117"/>
      <c r="ANN187" s="117"/>
      <c r="ANO187" s="117"/>
      <c r="ANP187" s="117"/>
      <c r="ANQ187" s="117"/>
      <c r="ANR187" s="117"/>
      <c r="ANS187" s="117"/>
      <c r="ANT187" s="117"/>
      <c r="ANU187" s="117"/>
      <c r="ANV187" s="117"/>
      <c r="ANW187" s="117"/>
      <c r="ANX187" s="117"/>
      <c r="ANY187" s="117"/>
      <c r="ANZ187" s="117"/>
      <c r="AOA187" s="117"/>
      <c r="AOB187" s="117"/>
      <c r="AOC187" s="117"/>
      <c r="AOD187" s="117"/>
      <c r="AOE187" s="117"/>
      <c r="AOF187" s="117"/>
      <c r="AOG187" s="117"/>
      <c r="AOH187" s="117"/>
      <c r="AOI187" s="117"/>
      <c r="AOJ187" s="117"/>
      <c r="AOK187" s="117"/>
      <c r="AOL187" s="117"/>
      <c r="AOM187" s="117"/>
      <c r="AON187" s="117"/>
      <c r="AOO187" s="117"/>
      <c r="AOP187" s="117"/>
      <c r="AOQ187" s="117"/>
      <c r="AOR187" s="117"/>
      <c r="AOS187" s="117"/>
      <c r="AOT187" s="117"/>
      <c r="AOU187" s="117"/>
      <c r="AOV187" s="117"/>
      <c r="AOW187" s="117"/>
      <c r="AOX187" s="117"/>
      <c r="AOY187" s="117"/>
      <c r="AOZ187" s="117"/>
      <c r="APA187" s="117"/>
      <c r="APB187" s="117"/>
      <c r="APC187" s="117"/>
      <c r="APD187" s="117"/>
      <c r="APE187" s="117"/>
      <c r="APF187" s="117"/>
      <c r="APG187" s="117"/>
      <c r="APH187" s="117"/>
      <c r="API187" s="117"/>
      <c r="APJ187" s="117"/>
      <c r="APK187" s="117"/>
      <c r="APL187" s="117"/>
      <c r="APM187" s="117"/>
      <c r="APN187" s="117"/>
      <c r="APO187" s="117"/>
      <c r="APP187" s="117"/>
      <c r="APQ187" s="117"/>
      <c r="APR187" s="117"/>
      <c r="APS187" s="117"/>
      <c r="APT187" s="117"/>
      <c r="APU187" s="117"/>
      <c r="APV187" s="117"/>
      <c r="APW187" s="117"/>
      <c r="APX187" s="117"/>
      <c r="APY187" s="117"/>
      <c r="APZ187" s="117"/>
      <c r="AQA187" s="117"/>
      <c r="AQB187" s="117"/>
      <c r="AQC187" s="117"/>
      <c r="AQD187" s="117"/>
      <c r="AQE187" s="117"/>
      <c r="AQF187" s="117"/>
      <c r="AQG187" s="117"/>
      <c r="AQH187" s="117"/>
      <c r="AQI187" s="117"/>
      <c r="AQJ187" s="117"/>
      <c r="AQK187" s="117"/>
      <c r="AQL187" s="117"/>
      <c r="AQM187" s="117"/>
      <c r="AQN187" s="117"/>
      <c r="AQO187" s="117"/>
      <c r="AQP187" s="117"/>
      <c r="AQQ187" s="117"/>
      <c r="AQR187" s="117"/>
      <c r="AQS187" s="117"/>
      <c r="AQT187" s="117"/>
      <c r="AQU187" s="117"/>
      <c r="AQV187" s="117"/>
      <c r="AQW187" s="117"/>
      <c r="AQX187" s="117"/>
      <c r="AQY187" s="117"/>
      <c r="AQZ187" s="117"/>
      <c r="ARA187" s="117"/>
      <c r="ARB187" s="117"/>
      <c r="ARC187" s="117"/>
      <c r="ARD187" s="117"/>
      <c r="ARE187" s="117"/>
      <c r="ARF187" s="117"/>
      <c r="ARG187" s="117"/>
      <c r="ARH187" s="117"/>
      <c r="ARI187" s="117"/>
      <c r="ARJ187" s="117"/>
      <c r="ARK187" s="117"/>
      <c r="ARL187" s="117"/>
      <c r="ARM187" s="117"/>
      <c r="ARN187" s="117"/>
      <c r="ARO187" s="117"/>
      <c r="ARP187" s="117"/>
      <c r="ARQ187" s="117"/>
      <c r="ARR187" s="117"/>
      <c r="ARS187" s="117"/>
      <c r="ART187" s="117"/>
      <c r="ARU187" s="117"/>
      <c r="ARV187" s="117"/>
      <c r="ARW187" s="117"/>
      <c r="ARX187" s="117"/>
      <c r="ARY187" s="117"/>
      <c r="ARZ187" s="117"/>
      <c r="ASA187" s="117"/>
      <c r="ASB187" s="117"/>
      <c r="ASC187" s="117"/>
      <c r="ASD187" s="117"/>
      <c r="ASE187" s="117"/>
      <c r="ASF187" s="117"/>
      <c r="ASG187" s="117"/>
      <c r="ASH187" s="117"/>
      <c r="ASI187" s="117"/>
      <c r="ASJ187" s="117"/>
      <c r="ASK187" s="117"/>
      <c r="ASL187" s="117"/>
      <c r="ASM187" s="117"/>
      <c r="ASN187" s="117"/>
      <c r="ASO187" s="117"/>
      <c r="ASP187" s="117"/>
      <c r="ASQ187" s="117"/>
      <c r="ASR187" s="117"/>
      <c r="ASS187" s="117"/>
      <c r="AST187" s="117"/>
      <c r="ASU187" s="117"/>
      <c r="ASV187" s="117"/>
      <c r="ASW187" s="117"/>
      <c r="ASX187" s="117"/>
      <c r="ASY187" s="117"/>
      <c r="ASZ187" s="117"/>
      <c r="ATA187" s="117"/>
      <c r="ATB187" s="117"/>
      <c r="ATC187" s="117"/>
      <c r="ATD187" s="117"/>
      <c r="ATE187" s="117"/>
      <c r="ATF187" s="117"/>
      <c r="ATG187" s="117"/>
      <c r="ATH187" s="117"/>
      <c r="ATI187" s="117"/>
      <c r="ATJ187" s="117"/>
      <c r="ATK187" s="117"/>
      <c r="ATL187" s="117"/>
      <c r="ATM187" s="117"/>
      <c r="ATN187" s="117"/>
      <c r="ATO187" s="117"/>
      <c r="ATP187" s="117"/>
      <c r="ATQ187" s="117"/>
      <c r="ATR187" s="117"/>
      <c r="ATS187" s="117"/>
      <c r="ATT187" s="117"/>
      <c r="ATU187" s="117"/>
      <c r="ATV187" s="117"/>
      <c r="ATW187" s="117"/>
      <c r="ATX187" s="117"/>
      <c r="ATY187" s="117"/>
      <c r="ATZ187" s="117"/>
      <c r="AUA187" s="117"/>
      <c r="AUB187" s="117"/>
      <c r="AUC187" s="117"/>
      <c r="AUD187" s="117"/>
      <c r="AUE187" s="117"/>
      <c r="AUF187" s="117"/>
      <c r="AUG187" s="117"/>
      <c r="AUH187" s="117"/>
      <c r="AUI187" s="117"/>
      <c r="AUJ187" s="117"/>
      <c r="AUK187" s="117"/>
      <c r="AUL187" s="117"/>
      <c r="AUM187" s="117"/>
      <c r="AUN187" s="117"/>
      <c r="AUO187" s="117"/>
      <c r="AUP187" s="117"/>
      <c r="AUQ187" s="117"/>
      <c r="AUR187" s="117"/>
      <c r="AUS187" s="117"/>
      <c r="AUT187" s="117"/>
      <c r="AUU187" s="117"/>
      <c r="AUV187" s="117"/>
      <c r="AUW187" s="117"/>
      <c r="AUX187" s="117"/>
      <c r="AUY187" s="117"/>
      <c r="AUZ187" s="117"/>
      <c r="AVA187" s="117"/>
      <c r="AVB187" s="117"/>
      <c r="AVC187" s="117"/>
      <c r="AVD187" s="117"/>
      <c r="AVE187" s="117"/>
      <c r="AVF187" s="117"/>
      <c r="AVG187" s="117"/>
      <c r="AVH187" s="117"/>
      <c r="AVI187" s="117"/>
      <c r="AVJ187" s="117"/>
      <c r="AVK187" s="117"/>
      <c r="AVL187" s="117"/>
      <c r="AVM187" s="117"/>
      <c r="AVN187" s="117"/>
      <c r="AVO187" s="117"/>
      <c r="AVP187" s="117"/>
      <c r="AVQ187" s="117"/>
      <c r="AVR187" s="117"/>
      <c r="AVS187" s="117"/>
      <c r="AVT187" s="117"/>
      <c r="AVU187" s="117"/>
      <c r="AVV187" s="117"/>
      <c r="AVW187" s="117"/>
      <c r="AVX187" s="117"/>
      <c r="AVY187" s="117"/>
      <c r="AVZ187" s="117"/>
      <c r="AWA187" s="117"/>
      <c r="AWB187" s="117"/>
      <c r="AWC187" s="117"/>
      <c r="AWD187" s="117"/>
      <c r="AWE187" s="117"/>
      <c r="AWF187" s="117"/>
      <c r="AWG187" s="117"/>
      <c r="AWH187" s="117"/>
      <c r="AWI187" s="117"/>
      <c r="AWJ187" s="117"/>
      <c r="AWK187" s="117"/>
      <c r="AWL187" s="117"/>
      <c r="AWM187" s="117"/>
      <c r="AWN187" s="117"/>
      <c r="AWO187" s="117"/>
      <c r="AWP187" s="117"/>
      <c r="AWQ187" s="117"/>
      <c r="AWR187" s="117"/>
      <c r="AWS187" s="117"/>
      <c r="AWT187" s="117"/>
      <c r="AWU187" s="117"/>
      <c r="AWV187" s="117"/>
      <c r="AWW187" s="117"/>
      <c r="AWX187" s="117"/>
      <c r="AWY187" s="117"/>
      <c r="AWZ187" s="117"/>
      <c r="AXA187" s="117"/>
      <c r="AXB187" s="117"/>
      <c r="AXC187" s="117"/>
      <c r="AXD187" s="117"/>
      <c r="AXE187" s="117"/>
      <c r="AXF187" s="117"/>
      <c r="AXG187" s="117"/>
      <c r="AXH187" s="117"/>
      <c r="AXI187" s="117"/>
      <c r="AXJ187" s="117"/>
      <c r="AXK187" s="117"/>
      <c r="AXL187" s="117"/>
      <c r="AXM187" s="117"/>
      <c r="AXN187" s="117"/>
      <c r="AXO187" s="117"/>
      <c r="AXP187" s="117"/>
      <c r="AXQ187" s="117"/>
      <c r="AXR187" s="117"/>
      <c r="AXS187" s="117"/>
      <c r="AXT187" s="117"/>
      <c r="AXU187" s="117"/>
      <c r="AXV187" s="117"/>
      <c r="AXW187" s="117"/>
      <c r="AXX187" s="117"/>
      <c r="AXY187" s="117"/>
      <c r="AXZ187" s="117"/>
      <c r="AYA187" s="117"/>
      <c r="AYB187" s="117"/>
      <c r="AYC187" s="117"/>
      <c r="AYD187" s="117"/>
      <c r="AYE187" s="117"/>
      <c r="AYF187" s="117"/>
      <c r="AYG187" s="117"/>
      <c r="AYH187" s="117"/>
      <c r="AYI187" s="117"/>
      <c r="AYJ187" s="117"/>
      <c r="AYK187" s="117"/>
      <c r="AYL187" s="117"/>
      <c r="AYM187" s="117"/>
      <c r="AYN187" s="117"/>
      <c r="AYO187" s="117"/>
      <c r="AYP187" s="117"/>
      <c r="AYQ187" s="117"/>
      <c r="AYR187" s="117"/>
      <c r="AYS187" s="117"/>
      <c r="AYT187" s="117"/>
      <c r="AYU187" s="117"/>
      <c r="AYV187" s="117"/>
      <c r="AYW187" s="117"/>
      <c r="AYX187" s="117"/>
      <c r="AYY187" s="117"/>
      <c r="AYZ187" s="117"/>
      <c r="AZA187" s="117"/>
      <c r="AZB187" s="117"/>
      <c r="AZC187" s="117"/>
      <c r="AZD187" s="117"/>
      <c r="AZE187" s="117"/>
      <c r="AZF187" s="117"/>
      <c r="AZG187" s="117"/>
      <c r="AZH187" s="117"/>
      <c r="AZI187" s="117"/>
      <c r="AZJ187" s="117"/>
      <c r="AZK187" s="117"/>
      <c r="AZL187" s="117"/>
      <c r="AZM187" s="117"/>
      <c r="AZN187" s="117"/>
      <c r="AZO187" s="117"/>
      <c r="AZP187" s="117"/>
      <c r="AZQ187" s="117"/>
      <c r="AZR187" s="117"/>
      <c r="AZS187" s="117"/>
      <c r="AZT187" s="117"/>
      <c r="AZU187" s="117"/>
      <c r="AZV187" s="117"/>
      <c r="AZW187" s="117"/>
      <c r="AZX187" s="117"/>
      <c r="AZY187" s="117"/>
      <c r="AZZ187" s="117"/>
      <c r="BAA187" s="117"/>
      <c r="BAB187" s="117"/>
      <c r="BAC187" s="117"/>
      <c r="BAD187" s="117"/>
      <c r="BAE187" s="117"/>
      <c r="BAF187" s="117"/>
      <c r="BAG187" s="117"/>
      <c r="BAH187" s="117"/>
      <c r="BAI187" s="117"/>
      <c r="BAJ187" s="117"/>
      <c r="BAK187" s="117"/>
      <c r="BAL187" s="117"/>
      <c r="BAM187" s="117"/>
      <c r="BAN187" s="117"/>
      <c r="BAO187" s="117"/>
      <c r="BAP187" s="117"/>
      <c r="BAQ187" s="117"/>
      <c r="BAR187" s="117"/>
      <c r="BAS187" s="117"/>
      <c r="BAT187" s="117"/>
      <c r="BAU187" s="117"/>
      <c r="BAV187" s="117"/>
      <c r="BAW187" s="117"/>
      <c r="BAX187" s="117"/>
      <c r="BAY187" s="117"/>
      <c r="BAZ187" s="117"/>
      <c r="BBA187" s="117"/>
      <c r="BBB187" s="117"/>
      <c r="BBC187" s="117"/>
      <c r="BBD187" s="117"/>
      <c r="BBE187" s="117"/>
      <c r="BBF187" s="117"/>
      <c r="BBG187" s="117"/>
      <c r="BBH187" s="117"/>
      <c r="BBI187" s="117"/>
      <c r="BBJ187" s="117"/>
      <c r="BBK187" s="117"/>
      <c r="BBL187" s="117"/>
      <c r="BBM187" s="117"/>
      <c r="BBN187" s="117"/>
      <c r="BBO187" s="117"/>
      <c r="BBP187" s="117"/>
      <c r="BBQ187" s="117"/>
      <c r="BBR187" s="117"/>
      <c r="BBS187" s="117"/>
      <c r="BBT187" s="117"/>
      <c r="BBU187" s="117"/>
      <c r="BBV187" s="117"/>
      <c r="BBW187" s="117"/>
      <c r="BBX187" s="117"/>
      <c r="BBY187" s="117"/>
      <c r="BBZ187" s="117"/>
      <c r="BCA187" s="117"/>
      <c r="BCB187" s="117"/>
      <c r="BCC187" s="117"/>
      <c r="BCD187" s="117"/>
      <c r="BCE187" s="117"/>
      <c r="BCF187" s="117"/>
      <c r="BCG187" s="117"/>
      <c r="BCH187" s="117"/>
      <c r="BCI187" s="117"/>
      <c r="BCJ187" s="117"/>
      <c r="BCK187" s="117"/>
      <c r="BCL187" s="117"/>
      <c r="BCM187" s="117"/>
      <c r="BCN187" s="117"/>
      <c r="BCO187" s="117"/>
      <c r="BCP187" s="117"/>
      <c r="BCQ187" s="117"/>
      <c r="BCR187" s="117"/>
      <c r="BCS187" s="117"/>
      <c r="BCT187" s="117"/>
      <c r="BCU187" s="117"/>
      <c r="BCV187" s="117"/>
      <c r="BCW187" s="117"/>
      <c r="BCX187" s="117"/>
      <c r="BCY187" s="117"/>
      <c r="BCZ187" s="117"/>
      <c r="BDA187" s="117"/>
      <c r="BDB187" s="117"/>
      <c r="BDC187" s="117"/>
      <c r="BDD187" s="117"/>
      <c r="BDE187" s="117"/>
      <c r="BDF187" s="117"/>
      <c r="BDG187" s="117"/>
      <c r="BDH187" s="117"/>
      <c r="BDI187" s="117"/>
      <c r="BDJ187" s="117"/>
      <c r="BDK187" s="117"/>
      <c r="BDL187" s="117"/>
      <c r="BDM187" s="117"/>
      <c r="BDN187" s="117"/>
      <c r="BDO187" s="117"/>
      <c r="BDP187" s="117"/>
      <c r="BDQ187" s="117"/>
      <c r="BDR187" s="117"/>
      <c r="BDS187" s="117"/>
      <c r="BDT187" s="117"/>
      <c r="BDU187" s="117"/>
      <c r="BDV187" s="117"/>
      <c r="BDW187" s="117"/>
      <c r="BDX187" s="117"/>
      <c r="BDY187" s="117"/>
      <c r="BDZ187" s="117"/>
      <c r="BEA187" s="117"/>
      <c r="BEB187" s="117"/>
      <c r="BEC187" s="117"/>
      <c r="BED187" s="117"/>
      <c r="BEE187" s="117"/>
      <c r="BEF187" s="117"/>
      <c r="BEG187" s="117"/>
      <c r="BEH187" s="117"/>
      <c r="BEI187" s="117"/>
      <c r="BEJ187" s="117"/>
      <c r="BEK187" s="117"/>
      <c r="BEL187" s="117"/>
      <c r="BEM187" s="117"/>
      <c r="BEN187" s="117"/>
      <c r="BEO187" s="117"/>
      <c r="BEP187" s="117"/>
      <c r="BEQ187" s="117"/>
      <c r="BER187" s="117"/>
      <c r="BES187" s="117"/>
      <c r="BET187" s="117"/>
      <c r="BEU187" s="117"/>
      <c r="BEV187" s="117"/>
      <c r="BEW187" s="117"/>
      <c r="BEX187" s="117"/>
      <c r="BEY187" s="117"/>
      <c r="BEZ187" s="117"/>
      <c r="BFA187" s="117"/>
      <c r="BFB187" s="117"/>
      <c r="BFC187" s="117"/>
      <c r="BFD187" s="117"/>
      <c r="BFE187" s="117"/>
      <c r="BFF187" s="117"/>
      <c r="BFG187" s="117"/>
      <c r="BFH187" s="117"/>
      <c r="BFI187" s="117"/>
      <c r="BFJ187" s="117"/>
      <c r="BFK187" s="117"/>
      <c r="BFL187" s="117"/>
      <c r="BFM187" s="117"/>
      <c r="BFN187" s="117"/>
      <c r="BFO187" s="117"/>
      <c r="BFP187" s="117"/>
      <c r="BFQ187" s="117"/>
      <c r="BFR187" s="117"/>
      <c r="BFS187" s="117"/>
      <c r="BFT187" s="117"/>
      <c r="BFU187" s="117"/>
      <c r="BFV187" s="117"/>
      <c r="BFW187" s="117"/>
      <c r="BFX187" s="117"/>
      <c r="BFY187" s="117"/>
      <c r="BFZ187" s="117"/>
      <c r="BGA187" s="117"/>
      <c r="BGB187" s="117"/>
      <c r="BGC187" s="117"/>
      <c r="BGD187" s="117"/>
      <c r="BGE187" s="117"/>
      <c r="BGF187" s="117"/>
      <c r="BGG187" s="117"/>
      <c r="BGH187" s="117"/>
      <c r="BGI187" s="117"/>
      <c r="BGJ187" s="117"/>
      <c r="BGK187" s="117"/>
      <c r="BGL187" s="117"/>
      <c r="BGM187" s="117"/>
      <c r="BGN187" s="117"/>
      <c r="BGO187" s="117"/>
      <c r="BGP187" s="117"/>
      <c r="BGQ187" s="117"/>
      <c r="BGR187" s="117"/>
      <c r="BGS187" s="117"/>
      <c r="BGT187" s="117"/>
      <c r="BGU187" s="117"/>
      <c r="BGV187" s="117"/>
      <c r="BGW187" s="117"/>
      <c r="BGX187" s="117"/>
      <c r="BGY187" s="117"/>
      <c r="BGZ187" s="117"/>
      <c r="BHA187" s="117"/>
      <c r="BHB187" s="117"/>
      <c r="BHC187" s="117"/>
      <c r="BHD187" s="117"/>
      <c r="BHE187" s="117"/>
      <c r="BHF187" s="117"/>
      <c r="BHG187" s="117"/>
      <c r="BHH187" s="117"/>
      <c r="BHI187" s="117"/>
      <c r="BHJ187" s="117"/>
      <c r="BHK187" s="117"/>
      <c r="BHL187" s="117"/>
      <c r="BHM187" s="117"/>
      <c r="BHN187" s="117"/>
      <c r="BHO187" s="117"/>
      <c r="BHP187" s="117"/>
      <c r="BHQ187" s="117"/>
      <c r="BHR187" s="117"/>
      <c r="BHS187" s="117"/>
      <c r="BHT187" s="117"/>
      <c r="BHU187" s="117"/>
      <c r="BHV187" s="117"/>
      <c r="BHW187" s="117"/>
      <c r="BHX187" s="117"/>
      <c r="BHY187" s="117"/>
      <c r="BHZ187" s="117"/>
      <c r="BIA187" s="117"/>
      <c r="BIB187" s="117"/>
      <c r="BIC187" s="117"/>
      <c r="BID187" s="117"/>
      <c r="BIE187" s="117"/>
      <c r="BIF187" s="117"/>
      <c r="BIG187" s="117"/>
      <c r="BIH187" s="117"/>
      <c r="BII187" s="117"/>
      <c r="BIJ187" s="117"/>
      <c r="BIK187" s="117"/>
      <c r="BIL187" s="117"/>
      <c r="BIM187" s="117"/>
      <c r="BIN187" s="117"/>
      <c r="BIO187" s="117"/>
      <c r="BIP187" s="117"/>
      <c r="BIQ187" s="117"/>
      <c r="BIR187" s="117"/>
      <c r="BIS187" s="117"/>
      <c r="BIT187" s="117"/>
      <c r="BIU187" s="117"/>
      <c r="BIV187" s="117"/>
      <c r="BIW187" s="117"/>
      <c r="BIX187" s="117"/>
      <c r="BIY187" s="117"/>
      <c r="BIZ187" s="117"/>
      <c r="BJA187" s="117"/>
      <c r="BJB187" s="117"/>
      <c r="BJC187" s="117"/>
      <c r="BJD187" s="117"/>
      <c r="BJE187" s="117"/>
      <c r="BJF187" s="117"/>
      <c r="BJG187" s="117"/>
      <c r="BJH187" s="117"/>
      <c r="BJI187" s="117"/>
      <c r="BJJ187" s="117"/>
      <c r="BJK187" s="117"/>
      <c r="BJL187" s="117"/>
      <c r="BJM187" s="117"/>
      <c r="BJN187" s="117"/>
      <c r="BJO187" s="117"/>
      <c r="BJP187" s="117"/>
      <c r="BJQ187" s="117"/>
      <c r="BJR187" s="117"/>
      <c r="BJS187" s="117"/>
      <c r="BJT187" s="117"/>
      <c r="BJU187" s="117"/>
      <c r="BJV187" s="117"/>
      <c r="BJW187" s="117"/>
      <c r="BJX187" s="117"/>
      <c r="BJY187" s="117"/>
      <c r="BJZ187" s="117"/>
      <c r="BKA187" s="117"/>
      <c r="BKB187" s="117"/>
      <c r="BKC187" s="117"/>
      <c r="BKD187" s="117"/>
      <c r="BKE187" s="117"/>
      <c r="BKF187" s="117"/>
      <c r="BKG187" s="117"/>
      <c r="BKH187" s="117"/>
      <c r="BKI187" s="117"/>
      <c r="BKJ187" s="117"/>
      <c r="BKK187" s="117"/>
      <c r="BKL187" s="117"/>
      <c r="BKM187" s="117"/>
      <c r="BKN187" s="117"/>
      <c r="BKO187" s="117"/>
      <c r="BKP187" s="117"/>
      <c r="BKQ187" s="117"/>
      <c r="BKR187" s="117"/>
      <c r="BKS187" s="117"/>
      <c r="BKT187" s="117"/>
      <c r="BKU187" s="117"/>
      <c r="BKV187" s="117"/>
      <c r="BKW187" s="117"/>
      <c r="BKX187" s="117"/>
      <c r="BKY187" s="117"/>
      <c r="BKZ187" s="117"/>
      <c r="BLA187" s="117"/>
      <c r="BLB187" s="117"/>
      <c r="BLC187" s="117"/>
      <c r="BLD187" s="117"/>
      <c r="BLE187" s="117"/>
      <c r="BLF187" s="117"/>
      <c r="BLG187" s="117"/>
      <c r="BLH187" s="117"/>
      <c r="BLI187" s="117"/>
      <c r="BLJ187" s="117"/>
      <c r="BLK187" s="117"/>
      <c r="BLL187" s="117"/>
      <c r="BLM187" s="117"/>
      <c r="BLN187" s="117"/>
      <c r="BLO187" s="117"/>
      <c r="BLP187" s="117"/>
      <c r="BLQ187" s="117"/>
      <c r="BLR187" s="117"/>
      <c r="BLS187" s="117"/>
      <c r="BLT187" s="117"/>
      <c r="BLU187" s="117"/>
      <c r="BLV187" s="117"/>
      <c r="BLW187" s="117"/>
      <c r="BLX187" s="117"/>
      <c r="BLY187" s="117"/>
      <c r="BLZ187" s="117"/>
      <c r="BMA187" s="117"/>
      <c r="BMB187" s="117"/>
      <c r="BMC187" s="117"/>
      <c r="BMD187" s="117"/>
      <c r="BME187" s="117"/>
      <c r="BMF187" s="117"/>
      <c r="BMG187" s="117"/>
      <c r="BMH187" s="117"/>
      <c r="BMI187" s="117"/>
      <c r="BMJ187" s="117"/>
      <c r="BMK187" s="117"/>
      <c r="BML187" s="117"/>
      <c r="BMM187" s="117"/>
      <c r="BMN187" s="117"/>
      <c r="BMO187" s="117"/>
      <c r="BMP187" s="117"/>
      <c r="BMQ187" s="117"/>
      <c r="BMR187" s="117"/>
      <c r="BMS187" s="117"/>
      <c r="BMT187" s="117"/>
      <c r="BMU187" s="117"/>
      <c r="BMV187" s="117"/>
      <c r="BMW187" s="117"/>
      <c r="BMX187" s="117"/>
      <c r="BMY187" s="117"/>
      <c r="BMZ187" s="117"/>
      <c r="BNA187" s="117"/>
      <c r="BNB187" s="117"/>
      <c r="BNC187" s="117"/>
      <c r="BND187" s="117"/>
      <c r="BNE187" s="117"/>
      <c r="BNF187" s="117"/>
      <c r="BNG187" s="117"/>
      <c r="BNH187" s="117"/>
      <c r="BNI187" s="117"/>
      <c r="BNJ187" s="117"/>
      <c r="BNK187" s="117"/>
      <c r="BNL187" s="117"/>
      <c r="BNM187" s="117"/>
      <c r="BNN187" s="117"/>
      <c r="BNO187" s="117"/>
      <c r="BNP187" s="117"/>
      <c r="BNQ187" s="117"/>
      <c r="BNR187" s="117"/>
      <c r="BNS187" s="117"/>
      <c r="BNT187" s="117"/>
      <c r="BNU187" s="117"/>
      <c r="BNV187" s="117"/>
      <c r="BNW187" s="117"/>
      <c r="BNX187" s="117"/>
      <c r="BNY187" s="117"/>
      <c r="BNZ187" s="117"/>
      <c r="BOA187" s="117"/>
      <c r="BOB187" s="117"/>
      <c r="BOC187" s="117"/>
      <c r="BOD187" s="117"/>
      <c r="BOE187" s="117"/>
      <c r="BOF187" s="117"/>
      <c r="BOG187" s="117"/>
      <c r="BOH187" s="117"/>
      <c r="BOI187" s="117"/>
      <c r="BOJ187" s="117"/>
      <c r="BOK187" s="117"/>
      <c r="BOL187" s="117"/>
      <c r="BOM187" s="117"/>
      <c r="BON187" s="117"/>
      <c r="BOO187" s="117"/>
      <c r="BOP187" s="117"/>
      <c r="BOQ187" s="117"/>
      <c r="BOR187" s="117"/>
      <c r="BOS187" s="117"/>
      <c r="BOT187" s="117"/>
      <c r="BOU187" s="117"/>
      <c r="BOV187" s="117"/>
      <c r="BOW187" s="117"/>
      <c r="BOX187" s="117"/>
      <c r="BOY187" s="117"/>
      <c r="BOZ187" s="117"/>
      <c r="BPA187" s="117"/>
      <c r="BPB187" s="117"/>
      <c r="BPC187" s="117"/>
      <c r="BPD187" s="117"/>
      <c r="BPE187" s="117"/>
      <c r="BPF187" s="117"/>
      <c r="BPG187" s="117"/>
      <c r="BPH187" s="117"/>
      <c r="BPI187" s="117"/>
      <c r="BPJ187" s="117"/>
      <c r="BPK187" s="117"/>
      <c r="BPL187" s="117"/>
      <c r="BPM187" s="117"/>
      <c r="BPN187" s="117"/>
      <c r="BPO187" s="117"/>
      <c r="BPP187" s="117"/>
      <c r="BPQ187" s="117"/>
      <c r="BPR187" s="117"/>
      <c r="BPS187" s="117"/>
      <c r="BPT187" s="117"/>
      <c r="BPU187" s="117"/>
      <c r="BPV187" s="117"/>
      <c r="BPW187" s="117"/>
      <c r="BPX187" s="117"/>
      <c r="BPY187" s="117"/>
      <c r="BPZ187" s="117"/>
      <c r="BQA187" s="117"/>
      <c r="BQB187" s="117"/>
      <c r="BQC187" s="117"/>
      <c r="BQD187" s="117"/>
      <c r="BQE187" s="117"/>
      <c r="BQF187" s="117"/>
      <c r="BQG187" s="117"/>
      <c r="BQH187" s="117"/>
      <c r="BQI187" s="117"/>
      <c r="BQJ187" s="117"/>
      <c r="BQK187" s="117"/>
      <c r="BQL187" s="117"/>
      <c r="BQM187" s="117"/>
      <c r="BQN187" s="117"/>
      <c r="BQO187" s="117"/>
      <c r="BQP187" s="117"/>
      <c r="BQQ187" s="117"/>
      <c r="BQR187" s="117"/>
      <c r="BQS187" s="117"/>
      <c r="BQT187" s="117"/>
      <c r="BQU187" s="117"/>
      <c r="BQV187" s="117"/>
      <c r="BQW187" s="117"/>
      <c r="BQX187" s="117"/>
      <c r="BQY187" s="117"/>
      <c r="BQZ187" s="117"/>
      <c r="BRA187" s="117"/>
      <c r="BRB187" s="117"/>
      <c r="BRC187" s="117"/>
      <c r="BRD187" s="117"/>
      <c r="BRE187" s="117"/>
      <c r="BRF187" s="117"/>
      <c r="BRG187" s="117"/>
      <c r="BRH187" s="117"/>
      <c r="BRI187" s="117"/>
      <c r="BRJ187" s="117"/>
      <c r="BRK187" s="117"/>
      <c r="BRL187" s="117"/>
      <c r="BRM187" s="117"/>
      <c r="BRN187" s="117"/>
      <c r="BRO187" s="117"/>
      <c r="BRP187" s="117"/>
      <c r="BRQ187" s="117"/>
      <c r="BRR187" s="117"/>
      <c r="BRS187" s="117"/>
      <c r="BRT187" s="117"/>
      <c r="BRU187" s="117"/>
      <c r="BRV187" s="117"/>
      <c r="BRW187" s="117"/>
      <c r="BRX187" s="117"/>
      <c r="BRY187" s="117"/>
      <c r="BRZ187" s="117"/>
      <c r="BSA187" s="117"/>
      <c r="BSB187" s="117"/>
      <c r="BSC187" s="117"/>
      <c r="BSD187" s="117"/>
      <c r="BSE187" s="117"/>
      <c r="BSF187" s="117"/>
      <c r="BSG187" s="117"/>
      <c r="BSH187" s="117"/>
      <c r="BSI187" s="117"/>
      <c r="BSJ187" s="117"/>
      <c r="BSK187" s="117"/>
      <c r="BSL187" s="117"/>
      <c r="BSM187" s="117"/>
      <c r="BSN187" s="117"/>
      <c r="BSO187" s="117"/>
      <c r="BSP187" s="117"/>
      <c r="BSQ187" s="117"/>
      <c r="BSR187" s="117"/>
      <c r="BSS187" s="117"/>
      <c r="BST187" s="117"/>
      <c r="BSU187" s="117"/>
      <c r="BSV187" s="117"/>
      <c r="BSW187" s="117"/>
      <c r="BSX187" s="117"/>
      <c r="BSY187" s="117"/>
      <c r="BSZ187" s="117"/>
      <c r="BTA187" s="117"/>
      <c r="BTB187" s="117"/>
      <c r="BTC187" s="117"/>
      <c r="BTD187" s="117"/>
      <c r="BTE187" s="117"/>
      <c r="BTF187" s="117"/>
      <c r="BTG187" s="117"/>
      <c r="BTH187" s="117"/>
      <c r="BTI187" s="117"/>
      <c r="BTJ187" s="117"/>
      <c r="BTK187" s="117"/>
      <c r="BTL187" s="117"/>
      <c r="BTM187" s="117"/>
      <c r="BTN187" s="117"/>
      <c r="BTO187" s="117"/>
      <c r="BTP187" s="117"/>
      <c r="BTQ187" s="117"/>
      <c r="BTR187" s="117"/>
      <c r="BTS187" s="117"/>
      <c r="BTT187" s="117"/>
      <c r="BTU187" s="117"/>
      <c r="BTV187" s="117"/>
      <c r="BTW187" s="117"/>
      <c r="BTX187" s="117"/>
      <c r="BTY187" s="117"/>
      <c r="BTZ187" s="117"/>
      <c r="BUA187" s="117"/>
      <c r="BUB187" s="117"/>
      <c r="BUC187" s="117"/>
      <c r="BUD187" s="117"/>
      <c r="BUE187" s="117"/>
      <c r="BUF187" s="117"/>
      <c r="BUG187" s="117"/>
      <c r="BUH187" s="117"/>
      <c r="BUI187" s="117"/>
      <c r="BUJ187" s="117"/>
      <c r="BUK187" s="117"/>
      <c r="BUL187" s="117"/>
      <c r="BUM187" s="117"/>
      <c r="BUN187" s="117"/>
      <c r="BUO187" s="117"/>
      <c r="BUP187" s="117"/>
      <c r="BUQ187" s="117"/>
      <c r="BUR187" s="117"/>
      <c r="BUS187" s="117"/>
      <c r="BUT187" s="117"/>
      <c r="BUU187" s="117"/>
      <c r="BUV187" s="117"/>
      <c r="BUW187" s="117"/>
      <c r="BUX187" s="117"/>
      <c r="BUY187" s="117"/>
      <c r="BUZ187" s="117"/>
      <c r="BVA187" s="117"/>
      <c r="BVB187" s="117"/>
      <c r="BVC187" s="117"/>
      <c r="BVD187" s="117"/>
      <c r="BVE187" s="117"/>
      <c r="BVF187" s="117"/>
      <c r="BVG187" s="117"/>
      <c r="BVH187" s="117"/>
      <c r="BVI187" s="117"/>
      <c r="BVJ187" s="117"/>
      <c r="BVK187" s="117"/>
      <c r="BVL187" s="117"/>
      <c r="BVM187" s="117"/>
      <c r="BVN187" s="117"/>
      <c r="BVO187" s="117"/>
      <c r="BVP187" s="117"/>
      <c r="BVQ187" s="117"/>
      <c r="BVR187" s="117"/>
      <c r="BVS187" s="117"/>
      <c r="BVT187" s="117"/>
      <c r="BVU187" s="117"/>
      <c r="BVV187" s="117"/>
      <c r="BVW187" s="117"/>
      <c r="BVX187" s="117"/>
      <c r="BVY187" s="117"/>
      <c r="BVZ187" s="117"/>
      <c r="BWA187" s="117"/>
      <c r="BWB187" s="117"/>
      <c r="BWC187" s="117"/>
      <c r="BWD187" s="117"/>
      <c r="BWE187" s="117"/>
      <c r="BWF187" s="117"/>
      <c r="BWG187" s="117"/>
      <c r="BWH187" s="117"/>
      <c r="BWI187" s="117"/>
      <c r="BWJ187" s="117"/>
      <c r="BWK187" s="117"/>
      <c r="BWL187" s="117"/>
      <c r="BWM187" s="117"/>
      <c r="BWN187" s="117"/>
      <c r="BWO187" s="117"/>
      <c r="BWP187" s="117"/>
      <c r="BWQ187" s="117"/>
      <c r="BWR187" s="117"/>
      <c r="BWS187" s="117"/>
      <c r="BWT187" s="117"/>
      <c r="BWU187" s="117"/>
      <c r="BWV187" s="117"/>
      <c r="BWW187" s="117"/>
      <c r="BWX187" s="117"/>
      <c r="BWY187" s="117"/>
      <c r="BWZ187" s="117"/>
      <c r="BXA187" s="117"/>
      <c r="BXB187" s="117"/>
      <c r="BXC187" s="117"/>
      <c r="BXD187" s="117"/>
      <c r="BXE187" s="117"/>
      <c r="BXF187" s="117"/>
      <c r="BXG187" s="117"/>
      <c r="BXH187" s="117"/>
      <c r="BXI187" s="117"/>
      <c r="BXJ187" s="117"/>
      <c r="BXK187" s="117"/>
      <c r="BXL187" s="117"/>
      <c r="BXM187" s="117"/>
      <c r="BXN187" s="117"/>
      <c r="BXO187" s="117"/>
      <c r="BXP187" s="117"/>
      <c r="BXQ187" s="117"/>
      <c r="BXR187" s="117"/>
      <c r="BXS187" s="117"/>
      <c r="BXT187" s="117"/>
      <c r="BXU187" s="117"/>
      <c r="BXV187" s="117"/>
      <c r="BXW187" s="117"/>
      <c r="BXX187" s="117"/>
      <c r="BXY187" s="117"/>
      <c r="BXZ187" s="117"/>
      <c r="BYA187" s="117"/>
      <c r="BYB187" s="117"/>
      <c r="BYC187" s="117"/>
      <c r="BYD187" s="117"/>
      <c r="BYE187" s="117"/>
      <c r="BYF187" s="117"/>
      <c r="BYG187" s="117"/>
      <c r="BYH187" s="117"/>
      <c r="BYI187" s="117"/>
      <c r="BYJ187" s="117"/>
      <c r="BYK187" s="117"/>
      <c r="BYL187" s="117"/>
      <c r="BYM187" s="117"/>
      <c r="BYN187" s="117"/>
      <c r="BYO187" s="117"/>
      <c r="BYP187" s="117"/>
      <c r="BYQ187" s="117"/>
      <c r="BYR187" s="117"/>
      <c r="BYS187" s="117"/>
      <c r="BYT187" s="117"/>
      <c r="BYU187" s="117"/>
      <c r="BYV187" s="117"/>
      <c r="BYW187" s="117"/>
      <c r="BYX187" s="117"/>
      <c r="BYY187" s="117"/>
      <c r="BYZ187" s="117"/>
      <c r="BZA187" s="117"/>
      <c r="BZB187" s="117"/>
      <c r="BZC187" s="117"/>
      <c r="BZD187" s="117"/>
      <c r="BZE187" s="117"/>
      <c r="BZF187" s="117"/>
      <c r="BZG187" s="117"/>
      <c r="BZH187" s="117"/>
      <c r="BZI187" s="117"/>
      <c r="BZJ187" s="117"/>
      <c r="BZK187" s="117"/>
      <c r="BZL187" s="117"/>
      <c r="BZM187" s="117"/>
      <c r="BZN187" s="117"/>
      <c r="BZO187" s="117"/>
      <c r="BZP187" s="117"/>
      <c r="BZQ187" s="117"/>
      <c r="BZR187" s="117"/>
      <c r="BZS187" s="117"/>
      <c r="BZT187" s="117"/>
      <c r="BZU187" s="117"/>
      <c r="BZV187" s="117"/>
      <c r="BZW187" s="117"/>
      <c r="BZX187" s="117"/>
      <c r="BZY187" s="117"/>
      <c r="BZZ187" s="117"/>
      <c r="CAA187" s="117"/>
      <c r="CAB187" s="117"/>
      <c r="CAC187" s="117"/>
      <c r="CAD187" s="117"/>
      <c r="CAE187" s="117"/>
      <c r="CAF187" s="117"/>
      <c r="CAG187" s="117"/>
      <c r="CAH187" s="117"/>
      <c r="CAI187" s="117"/>
      <c r="CAJ187" s="117"/>
      <c r="CAK187" s="117"/>
      <c r="CAL187" s="117"/>
      <c r="CAM187" s="117"/>
      <c r="CAN187" s="117"/>
      <c r="CAO187" s="117"/>
      <c r="CAP187" s="117"/>
      <c r="CAQ187" s="117"/>
      <c r="CAR187" s="117"/>
      <c r="CAS187" s="117"/>
      <c r="CAT187" s="117"/>
      <c r="CAU187" s="117"/>
      <c r="CAV187" s="117"/>
      <c r="CAW187" s="117"/>
      <c r="CAX187" s="117"/>
      <c r="CAY187" s="117"/>
      <c r="CAZ187" s="117"/>
      <c r="CBA187" s="117"/>
      <c r="CBB187" s="117"/>
      <c r="CBC187" s="117"/>
      <c r="CBD187" s="117"/>
      <c r="CBE187" s="117"/>
      <c r="CBF187" s="117"/>
      <c r="CBG187" s="117"/>
      <c r="CBH187" s="117"/>
      <c r="CBI187" s="117"/>
      <c r="CBJ187" s="117"/>
      <c r="CBK187" s="117"/>
      <c r="CBL187" s="117"/>
      <c r="CBM187" s="117"/>
      <c r="CBN187" s="117"/>
      <c r="CBO187" s="117"/>
      <c r="CBP187" s="117"/>
      <c r="CBQ187" s="117"/>
      <c r="CBR187" s="117"/>
      <c r="CBS187" s="117"/>
      <c r="CBT187" s="117"/>
      <c r="CBU187" s="117"/>
      <c r="CBV187" s="117"/>
      <c r="CBW187" s="117"/>
      <c r="CBX187" s="117"/>
      <c r="CBY187" s="117"/>
      <c r="CBZ187" s="117"/>
      <c r="CCA187" s="117"/>
      <c r="CCB187" s="117"/>
      <c r="CCC187" s="117"/>
      <c r="CCD187" s="117"/>
      <c r="CCE187" s="117"/>
      <c r="CCF187" s="117"/>
      <c r="CCG187" s="117"/>
      <c r="CCH187" s="117"/>
      <c r="CCI187" s="117"/>
      <c r="CCJ187" s="117"/>
      <c r="CCK187" s="117"/>
      <c r="CCL187" s="117"/>
      <c r="CCM187" s="117"/>
      <c r="CCN187" s="117"/>
      <c r="CCO187" s="117"/>
      <c r="CCP187" s="117"/>
      <c r="CCQ187" s="117"/>
      <c r="CCR187" s="117"/>
      <c r="CCS187" s="117"/>
      <c r="CCT187" s="117"/>
      <c r="CCU187" s="117"/>
      <c r="CCV187" s="117"/>
      <c r="CCW187" s="117"/>
      <c r="CCX187" s="117"/>
      <c r="CCY187" s="117"/>
      <c r="CCZ187" s="117"/>
      <c r="CDA187" s="117"/>
      <c r="CDB187" s="117"/>
      <c r="CDC187" s="117"/>
      <c r="CDD187" s="117"/>
      <c r="CDE187" s="117"/>
      <c r="CDF187" s="117"/>
      <c r="CDG187" s="117"/>
      <c r="CDH187" s="117"/>
      <c r="CDI187" s="117"/>
      <c r="CDJ187" s="117"/>
      <c r="CDK187" s="117"/>
      <c r="CDL187" s="117"/>
      <c r="CDM187" s="117"/>
      <c r="CDN187" s="117"/>
      <c r="CDO187" s="117"/>
      <c r="CDP187" s="117"/>
      <c r="CDQ187" s="117"/>
      <c r="CDR187" s="117"/>
      <c r="CDS187" s="117"/>
      <c r="CDT187" s="117"/>
      <c r="CDU187" s="117"/>
      <c r="CDV187" s="117"/>
      <c r="CDW187" s="117"/>
      <c r="CDX187" s="117"/>
      <c r="CDY187" s="117"/>
      <c r="CDZ187" s="117"/>
      <c r="CEA187" s="117"/>
      <c r="CEB187" s="117"/>
      <c r="CEC187" s="117"/>
      <c r="CED187" s="117"/>
      <c r="CEE187" s="117"/>
      <c r="CEF187" s="117"/>
      <c r="CEG187" s="117"/>
      <c r="CEH187" s="117"/>
      <c r="CEI187" s="117"/>
      <c r="CEJ187" s="117"/>
      <c r="CEK187" s="117"/>
      <c r="CEL187" s="117"/>
      <c r="CEM187" s="117"/>
      <c r="CEN187" s="117"/>
      <c r="CEO187" s="117"/>
      <c r="CEP187" s="117"/>
      <c r="CEQ187" s="117"/>
      <c r="CER187" s="117"/>
      <c r="CES187" s="117"/>
      <c r="CET187" s="117"/>
      <c r="CEU187" s="117"/>
      <c r="CEV187" s="117"/>
      <c r="CEW187" s="117"/>
      <c r="CEX187" s="117"/>
      <c r="CEY187" s="117"/>
      <c r="CEZ187" s="117"/>
      <c r="CFA187" s="117"/>
      <c r="CFB187" s="117"/>
      <c r="CFC187" s="117"/>
      <c r="CFD187" s="117"/>
      <c r="CFE187" s="117"/>
      <c r="CFF187" s="117"/>
      <c r="CFG187" s="117"/>
      <c r="CFH187" s="117"/>
      <c r="CFI187" s="117"/>
      <c r="CFJ187" s="117"/>
      <c r="CFK187" s="117"/>
      <c r="CFL187" s="117"/>
      <c r="CFM187" s="117"/>
      <c r="CFN187" s="117"/>
      <c r="CFO187" s="117"/>
      <c r="CFP187" s="117"/>
      <c r="CFQ187" s="117"/>
      <c r="CFR187" s="117"/>
      <c r="CFS187" s="117"/>
      <c r="CFT187" s="117"/>
      <c r="CFU187" s="117"/>
      <c r="CFV187" s="117"/>
      <c r="CFW187" s="117"/>
      <c r="CFX187" s="117"/>
      <c r="CFY187" s="117"/>
      <c r="CFZ187" s="117"/>
      <c r="CGA187" s="117"/>
      <c r="CGB187" s="117"/>
      <c r="CGC187" s="117"/>
      <c r="CGD187" s="117"/>
      <c r="CGE187" s="117"/>
      <c r="CGF187" s="117"/>
      <c r="CGG187" s="117"/>
      <c r="CGH187" s="117"/>
      <c r="CGI187" s="117"/>
      <c r="CGJ187" s="117"/>
      <c r="CGK187" s="117"/>
      <c r="CGL187" s="117"/>
      <c r="CGM187" s="117"/>
      <c r="CGN187" s="117"/>
      <c r="CGO187" s="117"/>
      <c r="CGP187" s="117"/>
      <c r="CGQ187" s="117"/>
      <c r="CGR187" s="117"/>
      <c r="CGS187" s="117"/>
      <c r="CGT187" s="117"/>
      <c r="CGU187" s="117"/>
      <c r="CGV187" s="117"/>
      <c r="CGW187" s="117"/>
      <c r="CGX187" s="117"/>
      <c r="CGY187" s="117"/>
      <c r="CGZ187" s="117"/>
      <c r="CHA187" s="117"/>
      <c r="CHB187" s="117"/>
      <c r="CHC187" s="117"/>
      <c r="CHD187" s="117"/>
      <c r="CHE187" s="117"/>
      <c r="CHF187" s="117"/>
      <c r="CHG187" s="117"/>
      <c r="CHH187" s="117"/>
      <c r="CHI187" s="117"/>
      <c r="CHJ187" s="117"/>
      <c r="CHK187" s="117"/>
      <c r="CHL187" s="117"/>
      <c r="CHM187" s="117"/>
      <c r="CHN187" s="117"/>
      <c r="CHO187" s="117"/>
      <c r="CHP187" s="117"/>
      <c r="CHQ187" s="117"/>
      <c r="CHR187" s="117"/>
      <c r="CHS187" s="117"/>
      <c r="CHT187" s="117"/>
      <c r="CHU187" s="117"/>
      <c r="CHV187" s="117"/>
      <c r="CHW187" s="117"/>
      <c r="CHX187" s="117"/>
      <c r="CHY187" s="117"/>
      <c r="CHZ187" s="117"/>
      <c r="CIA187" s="117"/>
      <c r="CIB187" s="117"/>
      <c r="CIC187" s="117"/>
      <c r="CID187" s="117"/>
      <c r="CIE187" s="117"/>
      <c r="CIF187" s="117"/>
      <c r="CIG187" s="117"/>
      <c r="CIH187" s="117"/>
      <c r="CII187" s="117"/>
      <c r="CIJ187" s="117"/>
      <c r="CIK187" s="117"/>
      <c r="CIL187" s="117"/>
      <c r="CIM187" s="117"/>
      <c r="CIN187" s="117"/>
      <c r="CIO187" s="117"/>
      <c r="CIP187" s="117"/>
      <c r="CIQ187" s="117"/>
      <c r="CIR187" s="117"/>
      <c r="CIS187" s="117"/>
      <c r="CIT187" s="117"/>
      <c r="CIU187" s="117"/>
      <c r="CIV187" s="117"/>
      <c r="CIW187" s="117"/>
      <c r="CIX187" s="117"/>
      <c r="CIY187" s="117"/>
      <c r="CIZ187" s="117"/>
      <c r="CJA187" s="117"/>
      <c r="CJB187" s="117"/>
      <c r="CJC187" s="117"/>
      <c r="CJD187" s="117"/>
      <c r="CJE187" s="117"/>
      <c r="CJF187" s="117"/>
      <c r="CJG187" s="117"/>
      <c r="CJH187" s="117"/>
      <c r="CJI187" s="117"/>
      <c r="CJJ187" s="117"/>
      <c r="CJK187" s="117"/>
      <c r="CJL187" s="117"/>
      <c r="CJM187" s="117"/>
      <c r="CJN187" s="117"/>
      <c r="CJO187" s="117"/>
      <c r="CJP187" s="117"/>
      <c r="CJQ187" s="117"/>
      <c r="CJR187" s="117"/>
      <c r="CJS187" s="117"/>
      <c r="CJT187" s="117"/>
      <c r="CJU187" s="117"/>
      <c r="CJV187" s="117"/>
      <c r="CJW187" s="117"/>
      <c r="CJX187" s="117"/>
      <c r="CJY187" s="117"/>
      <c r="CJZ187" s="117"/>
      <c r="CKA187" s="117"/>
      <c r="CKB187" s="117"/>
      <c r="CKC187" s="117"/>
      <c r="CKD187" s="117"/>
      <c r="CKE187" s="117"/>
      <c r="CKF187" s="117"/>
      <c r="CKG187" s="117"/>
      <c r="CKH187" s="117"/>
      <c r="CKI187" s="117"/>
      <c r="CKJ187" s="117"/>
      <c r="CKK187" s="117"/>
      <c r="CKL187" s="117"/>
      <c r="CKM187" s="117"/>
      <c r="CKN187" s="117"/>
      <c r="CKO187" s="117"/>
      <c r="CKP187" s="117"/>
      <c r="CKQ187" s="117"/>
      <c r="CKR187" s="117"/>
      <c r="CKS187" s="117"/>
      <c r="CKT187" s="117"/>
      <c r="CKU187" s="117"/>
      <c r="CKV187" s="117"/>
      <c r="CKW187" s="117"/>
      <c r="CKX187" s="117"/>
      <c r="CKY187" s="117"/>
      <c r="CKZ187" s="117"/>
      <c r="CLA187" s="117"/>
      <c r="CLB187" s="117"/>
      <c r="CLC187" s="117"/>
      <c r="CLD187" s="117"/>
      <c r="CLE187" s="117"/>
      <c r="CLF187" s="117"/>
      <c r="CLG187" s="117"/>
      <c r="CLH187" s="117"/>
      <c r="CLI187" s="117"/>
      <c r="CLJ187" s="117"/>
      <c r="CLK187" s="117"/>
      <c r="CLL187" s="117"/>
      <c r="CLM187" s="117"/>
      <c r="CLN187" s="117"/>
      <c r="CLO187" s="117"/>
      <c r="CLP187" s="117"/>
      <c r="CLQ187" s="117"/>
      <c r="CLR187" s="117"/>
      <c r="CLS187" s="117"/>
      <c r="CLT187" s="117"/>
      <c r="CLU187" s="117"/>
      <c r="CLV187" s="117"/>
      <c r="CLW187" s="117"/>
      <c r="CLX187" s="117"/>
      <c r="CLY187" s="117"/>
      <c r="CLZ187" s="117"/>
      <c r="CMA187" s="117"/>
      <c r="CMB187" s="117"/>
      <c r="CMC187" s="117"/>
      <c r="CMD187" s="117"/>
      <c r="CME187" s="117"/>
      <c r="CMF187" s="117"/>
      <c r="CMG187" s="117"/>
      <c r="CMH187" s="117"/>
      <c r="CMI187" s="117"/>
      <c r="CMJ187" s="117"/>
      <c r="CMK187" s="117"/>
      <c r="CML187" s="117"/>
      <c r="CMM187" s="117"/>
      <c r="CMN187" s="117"/>
      <c r="CMO187" s="117"/>
      <c r="CMP187" s="117"/>
      <c r="CMQ187" s="117"/>
      <c r="CMR187" s="117"/>
      <c r="CMS187" s="117"/>
      <c r="CMT187" s="117"/>
      <c r="CMU187" s="117"/>
      <c r="CMV187" s="117"/>
      <c r="CMW187" s="117"/>
      <c r="CMX187" s="117"/>
      <c r="CMY187" s="117"/>
      <c r="CMZ187" s="117"/>
      <c r="CNA187" s="117"/>
      <c r="CNB187" s="117"/>
      <c r="CNC187" s="117"/>
      <c r="CND187" s="117"/>
      <c r="CNE187" s="117"/>
      <c r="CNF187" s="117"/>
      <c r="CNG187" s="117"/>
      <c r="CNH187" s="117"/>
      <c r="CNI187" s="117"/>
      <c r="CNJ187" s="117"/>
      <c r="CNK187" s="117"/>
      <c r="CNL187" s="117"/>
      <c r="CNM187" s="117"/>
      <c r="CNN187" s="117"/>
      <c r="CNO187" s="117"/>
      <c r="CNP187" s="117"/>
      <c r="CNQ187" s="117"/>
      <c r="CNR187" s="117"/>
      <c r="CNS187" s="117"/>
      <c r="CNT187" s="117"/>
      <c r="CNU187" s="117"/>
      <c r="CNV187" s="117"/>
      <c r="CNW187" s="117"/>
      <c r="CNX187" s="117"/>
      <c r="CNY187" s="117"/>
      <c r="CNZ187" s="117"/>
      <c r="COA187" s="117"/>
      <c r="COB187" s="117"/>
      <c r="COC187" s="117"/>
      <c r="COD187" s="117"/>
      <c r="COE187" s="117"/>
      <c r="COF187" s="117"/>
      <c r="COG187" s="117"/>
      <c r="COH187" s="117"/>
      <c r="COI187" s="117"/>
      <c r="COJ187" s="117"/>
      <c r="COK187" s="117"/>
      <c r="COL187" s="117"/>
      <c r="COM187" s="117"/>
      <c r="CON187" s="117"/>
      <c r="COO187" s="117"/>
      <c r="COP187" s="117"/>
      <c r="COQ187" s="117"/>
      <c r="COR187" s="117"/>
      <c r="COS187" s="117"/>
      <c r="COT187" s="117"/>
      <c r="COU187" s="117"/>
      <c r="COV187" s="117"/>
      <c r="COW187" s="117"/>
      <c r="COX187" s="117"/>
      <c r="COY187" s="117"/>
      <c r="COZ187" s="117"/>
      <c r="CPA187" s="117"/>
      <c r="CPB187" s="117"/>
      <c r="CPC187" s="117"/>
      <c r="CPD187" s="117"/>
      <c r="CPE187" s="117"/>
      <c r="CPF187" s="117"/>
      <c r="CPG187" s="117"/>
      <c r="CPH187" s="117"/>
      <c r="CPI187" s="117"/>
      <c r="CPJ187" s="117"/>
      <c r="CPK187" s="117"/>
      <c r="CPL187" s="117"/>
      <c r="CPM187" s="117"/>
      <c r="CPN187" s="117"/>
      <c r="CPO187" s="117"/>
      <c r="CPP187" s="117"/>
      <c r="CPQ187" s="117"/>
      <c r="CPR187" s="117"/>
      <c r="CPS187" s="117"/>
      <c r="CPT187" s="117"/>
      <c r="CPU187" s="117"/>
      <c r="CPV187" s="117"/>
      <c r="CPW187" s="117"/>
      <c r="CPX187" s="117"/>
      <c r="CPY187" s="117"/>
      <c r="CPZ187" s="117"/>
      <c r="CQA187" s="117"/>
      <c r="CQB187" s="117"/>
      <c r="CQC187" s="117"/>
      <c r="CQD187" s="117"/>
      <c r="CQE187" s="117"/>
      <c r="CQF187" s="117"/>
      <c r="CQG187" s="117"/>
      <c r="CQH187" s="117"/>
      <c r="CQI187" s="117"/>
      <c r="CQJ187" s="117"/>
      <c r="CQK187" s="117"/>
      <c r="CQL187" s="117"/>
      <c r="CQM187" s="117"/>
      <c r="CQN187" s="117"/>
      <c r="CQO187" s="117"/>
      <c r="CQP187" s="117"/>
      <c r="CQQ187" s="117"/>
      <c r="CQR187" s="117"/>
      <c r="CQS187" s="117"/>
      <c r="CQT187" s="117"/>
      <c r="CQU187" s="117"/>
      <c r="CQV187" s="117"/>
      <c r="CQW187" s="117"/>
      <c r="CQX187" s="117"/>
      <c r="CQY187" s="117"/>
      <c r="CQZ187" s="117"/>
      <c r="CRA187" s="117"/>
      <c r="CRB187" s="117"/>
      <c r="CRC187" s="117"/>
      <c r="CRD187" s="117"/>
      <c r="CRE187" s="117"/>
      <c r="CRF187" s="117"/>
      <c r="CRG187" s="117"/>
      <c r="CRH187" s="117"/>
      <c r="CRI187" s="117"/>
      <c r="CRJ187" s="117"/>
      <c r="CRK187" s="117"/>
      <c r="CRL187" s="117"/>
      <c r="CRM187" s="117"/>
      <c r="CRN187" s="117"/>
      <c r="CRO187" s="117"/>
      <c r="CRP187" s="117"/>
      <c r="CRQ187" s="117"/>
      <c r="CRR187" s="117"/>
      <c r="CRS187" s="117"/>
      <c r="CRT187" s="117"/>
      <c r="CRU187" s="117"/>
      <c r="CRV187" s="117"/>
      <c r="CRW187" s="117"/>
      <c r="CRX187" s="117"/>
      <c r="CRY187" s="117"/>
      <c r="CRZ187" s="117"/>
      <c r="CSA187" s="117"/>
      <c r="CSB187" s="117"/>
      <c r="CSC187" s="117"/>
      <c r="CSD187" s="117"/>
      <c r="CSE187" s="117"/>
      <c r="CSF187" s="117"/>
      <c r="CSG187" s="117"/>
      <c r="CSH187" s="117"/>
      <c r="CSI187" s="117"/>
      <c r="CSJ187" s="117"/>
      <c r="CSK187" s="117"/>
      <c r="CSL187" s="117"/>
      <c r="CSM187" s="117"/>
      <c r="CSN187" s="117"/>
      <c r="CSO187" s="117"/>
      <c r="CSP187" s="117"/>
      <c r="CSQ187" s="117"/>
      <c r="CSR187" s="117"/>
      <c r="CSS187" s="117"/>
      <c r="CST187" s="117"/>
      <c r="CSU187" s="117"/>
      <c r="CSV187" s="117"/>
      <c r="CSW187" s="117"/>
      <c r="CSX187" s="117"/>
      <c r="CSY187" s="117"/>
      <c r="CSZ187" s="117"/>
      <c r="CTA187" s="117"/>
      <c r="CTB187" s="117"/>
      <c r="CTC187" s="117"/>
      <c r="CTD187" s="117"/>
      <c r="CTE187" s="117"/>
      <c r="CTF187" s="117"/>
      <c r="CTG187" s="117"/>
      <c r="CTH187" s="117"/>
      <c r="CTI187" s="117"/>
      <c r="CTJ187" s="117"/>
      <c r="CTK187" s="117"/>
      <c r="CTL187" s="117"/>
      <c r="CTM187" s="117"/>
      <c r="CTN187" s="117"/>
      <c r="CTO187" s="117"/>
      <c r="CTP187" s="117"/>
      <c r="CTQ187" s="117"/>
      <c r="CTR187" s="117"/>
      <c r="CTS187" s="117"/>
      <c r="CTT187" s="117"/>
      <c r="CTU187" s="117"/>
      <c r="CTV187" s="117"/>
      <c r="CTW187" s="117"/>
      <c r="CTX187" s="117"/>
      <c r="CTY187" s="117"/>
      <c r="CTZ187" s="117"/>
      <c r="CUA187" s="117"/>
      <c r="CUB187" s="117"/>
      <c r="CUC187" s="117"/>
      <c r="CUD187" s="117"/>
      <c r="CUE187" s="117"/>
      <c r="CUF187" s="117"/>
      <c r="CUG187" s="117"/>
      <c r="CUH187" s="117"/>
      <c r="CUI187" s="117"/>
      <c r="CUJ187" s="117"/>
      <c r="CUK187" s="117"/>
      <c r="CUL187" s="117"/>
      <c r="CUM187" s="117"/>
      <c r="CUN187" s="117"/>
      <c r="CUO187" s="117"/>
      <c r="CUP187" s="117"/>
      <c r="CUQ187" s="117"/>
      <c r="CUR187" s="117"/>
      <c r="CUS187" s="117"/>
      <c r="CUT187" s="117"/>
      <c r="CUU187" s="117"/>
      <c r="CUV187" s="117"/>
      <c r="CUW187" s="117"/>
      <c r="CUX187" s="117"/>
      <c r="CUY187" s="117"/>
      <c r="CUZ187" s="117"/>
      <c r="CVA187" s="117"/>
      <c r="CVB187" s="117"/>
      <c r="CVC187" s="117"/>
      <c r="CVD187" s="117"/>
      <c r="CVE187" s="117"/>
      <c r="CVF187" s="117"/>
      <c r="CVG187" s="117"/>
      <c r="CVH187" s="117"/>
      <c r="CVI187" s="117"/>
      <c r="CVJ187" s="117"/>
      <c r="CVK187" s="117"/>
      <c r="CVL187" s="117"/>
      <c r="CVM187" s="117"/>
      <c r="CVN187" s="117"/>
      <c r="CVO187" s="117"/>
      <c r="CVP187" s="117"/>
      <c r="CVQ187" s="117"/>
      <c r="CVR187" s="117"/>
      <c r="CVS187" s="117"/>
      <c r="CVT187" s="117"/>
      <c r="CVU187" s="117"/>
      <c r="CVV187" s="117"/>
      <c r="CVW187" s="117"/>
      <c r="CVX187" s="117"/>
      <c r="CVY187" s="117"/>
      <c r="CVZ187" s="117"/>
      <c r="CWA187" s="117"/>
      <c r="CWB187" s="117"/>
      <c r="CWC187" s="117"/>
      <c r="CWD187" s="117"/>
      <c r="CWE187" s="117"/>
      <c r="CWF187" s="117"/>
      <c r="CWG187" s="117"/>
      <c r="CWH187" s="117"/>
      <c r="CWI187" s="117"/>
      <c r="CWJ187" s="117"/>
      <c r="CWK187" s="117"/>
      <c r="CWL187" s="117"/>
      <c r="CWM187" s="117"/>
      <c r="CWN187" s="117"/>
      <c r="CWO187" s="117"/>
      <c r="CWP187" s="117"/>
      <c r="CWQ187" s="117"/>
      <c r="CWR187" s="117"/>
      <c r="CWS187" s="117"/>
      <c r="CWT187" s="117"/>
      <c r="CWU187" s="117"/>
      <c r="CWV187" s="117"/>
      <c r="CWW187" s="117"/>
      <c r="CWX187" s="117"/>
      <c r="CWY187" s="117"/>
      <c r="CWZ187" s="117"/>
      <c r="CXA187" s="117"/>
      <c r="CXB187" s="117"/>
      <c r="CXC187" s="117"/>
      <c r="CXD187" s="117"/>
      <c r="CXE187" s="117"/>
      <c r="CXF187" s="117"/>
      <c r="CXG187" s="117"/>
      <c r="CXH187" s="117"/>
      <c r="CXI187" s="117"/>
      <c r="CXJ187" s="117"/>
      <c r="CXK187" s="117"/>
      <c r="CXL187" s="117"/>
      <c r="CXM187" s="117"/>
      <c r="CXN187" s="117"/>
      <c r="CXO187" s="117"/>
      <c r="CXP187" s="117"/>
      <c r="CXQ187" s="117"/>
      <c r="CXR187" s="117"/>
      <c r="CXS187" s="117"/>
      <c r="CXT187" s="117"/>
      <c r="CXU187" s="117"/>
      <c r="CXV187" s="117"/>
      <c r="CXW187" s="117"/>
      <c r="CXX187" s="117"/>
      <c r="CXY187" s="117"/>
      <c r="CXZ187" s="117"/>
      <c r="CYA187" s="117"/>
      <c r="CYB187" s="117"/>
      <c r="CYC187" s="117"/>
      <c r="CYD187" s="117"/>
      <c r="CYE187" s="117"/>
      <c r="CYF187" s="117"/>
      <c r="CYG187" s="117"/>
      <c r="CYH187" s="117"/>
      <c r="CYI187" s="117"/>
      <c r="CYJ187" s="117"/>
      <c r="CYK187" s="117"/>
      <c r="CYL187" s="117"/>
      <c r="CYM187" s="117"/>
      <c r="CYN187" s="117"/>
      <c r="CYO187" s="117"/>
      <c r="CYP187" s="117"/>
      <c r="CYQ187" s="117"/>
      <c r="CYR187" s="117"/>
      <c r="CYS187" s="117"/>
      <c r="CYT187" s="117"/>
      <c r="CYU187" s="117"/>
      <c r="CYV187" s="117"/>
      <c r="CYW187" s="117"/>
      <c r="CYX187" s="117"/>
      <c r="CYY187" s="117"/>
      <c r="CYZ187" s="117"/>
      <c r="CZA187" s="117"/>
      <c r="CZB187" s="117"/>
      <c r="CZC187" s="117"/>
      <c r="CZD187" s="117"/>
      <c r="CZE187" s="117"/>
      <c r="CZF187" s="117"/>
      <c r="CZG187" s="117"/>
      <c r="CZH187" s="117"/>
      <c r="CZI187" s="117"/>
      <c r="CZJ187" s="117"/>
      <c r="CZK187" s="117"/>
      <c r="CZL187" s="117"/>
      <c r="CZM187" s="117"/>
      <c r="CZN187" s="117"/>
      <c r="CZO187" s="117"/>
      <c r="CZP187" s="117"/>
      <c r="CZQ187" s="117"/>
      <c r="CZR187" s="117"/>
      <c r="CZS187" s="117"/>
      <c r="CZT187" s="117"/>
      <c r="CZU187" s="117"/>
      <c r="CZV187" s="117"/>
      <c r="CZW187" s="117"/>
      <c r="CZX187" s="117"/>
      <c r="CZY187" s="117"/>
      <c r="CZZ187" s="117"/>
      <c r="DAA187" s="117"/>
      <c r="DAB187" s="117"/>
      <c r="DAC187" s="117"/>
      <c r="DAD187" s="117"/>
      <c r="DAE187" s="117"/>
      <c r="DAF187" s="117"/>
      <c r="DAG187" s="117"/>
      <c r="DAH187" s="117"/>
      <c r="DAI187" s="117"/>
      <c r="DAJ187" s="117"/>
      <c r="DAK187" s="117"/>
      <c r="DAL187" s="117"/>
      <c r="DAM187" s="117"/>
      <c r="DAN187" s="117"/>
      <c r="DAO187" s="117"/>
      <c r="DAP187" s="117"/>
      <c r="DAQ187" s="117"/>
      <c r="DAR187" s="117"/>
      <c r="DAS187" s="117"/>
      <c r="DAT187" s="117"/>
      <c r="DAU187" s="117"/>
      <c r="DAV187" s="117"/>
      <c r="DAW187" s="117"/>
      <c r="DAX187" s="117"/>
      <c r="DAY187" s="117"/>
      <c r="DAZ187" s="117"/>
      <c r="DBA187" s="117"/>
      <c r="DBB187" s="117"/>
      <c r="DBC187" s="117"/>
      <c r="DBD187" s="117"/>
      <c r="DBE187" s="117"/>
      <c r="DBF187" s="117"/>
      <c r="DBG187" s="117"/>
      <c r="DBH187" s="117"/>
      <c r="DBI187" s="117"/>
      <c r="DBJ187" s="117"/>
      <c r="DBK187" s="117"/>
      <c r="DBL187" s="117"/>
      <c r="DBM187" s="117"/>
      <c r="DBN187" s="117"/>
      <c r="DBO187" s="117"/>
      <c r="DBP187" s="117"/>
      <c r="DBQ187" s="117"/>
      <c r="DBR187" s="117"/>
      <c r="DBS187" s="117"/>
      <c r="DBT187" s="117"/>
      <c r="DBU187" s="117"/>
      <c r="DBV187" s="117"/>
      <c r="DBW187" s="117"/>
      <c r="DBX187" s="117"/>
      <c r="DBY187" s="117"/>
      <c r="DBZ187" s="117"/>
      <c r="DCA187" s="117"/>
      <c r="DCB187" s="117"/>
      <c r="DCC187" s="117"/>
      <c r="DCD187" s="117"/>
      <c r="DCE187" s="117"/>
      <c r="DCF187" s="117"/>
      <c r="DCG187" s="117"/>
      <c r="DCH187" s="117"/>
      <c r="DCI187" s="117"/>
      <c r="DCJ187" s="117"/>
      <c r="DCK187" s="117"/>
      <c r="DCL187" s="117"/>
      <c r="DCM187" s="117"/>
      <c r="DCN187" s="117"/>
      <c r="DCO187" s="117"/>
      <c r="DCP187" s="117"/>
      <c r="DCQ187" s="117"/>
      <c r="DCR187" s="117"/>
      <c r="DCS187" s="117"/>
      <c r="DCT187" s="117"/>
      <c r="DCU187" s="117"/>
      <c r="DCV187" s="117"/>
      <c r="DCW187" s="117"/>
      <c r="DCX187" s="117"/>
      <c r="DCY187" s="117"/>
      <c r="DCZ187" s="117"/>
      <c r="DDA187" s="117"/>
      <c r="DDB187" s="117"/>
      <c r="DDC187" s="117"/>
      <c r="DDD187" s="117"/>
      <c r="DDE187" s="117"/>
      <c r="DDF187" s="117"/>
      <c r="DDG187" s="117"/>
      <c r="DDH187" s="117"/>
      <c r="DDI187" s="117"/>
      <c r="DDJ187" s="117"/>
      <c r="DDK187" s="117"/>
      <c r="DDL187" s="117"/>
      <c r="DDM187" s="117"/>
      <c r="DDN187" s="117"/>
      <c r="DDO187" s="117"/>
      <c r="DDP187" s="117"/>
      <c r="DDQ187" s="117"/>
      <c r="DDR187" s="117"/>
      <c r="DDS187" s="117"/>
      <c r="DDT187" s="117"/>
      <c r="DDU187" s="117"/>
      <c r="DDV187" s="117"/>
      <c r="DDW187" s="117"/>
      <c r="DDX187" s="117"/>
      <c r="DDY187" s="117"/>
      <c r="DDZ187" s="117"/>
      <c r="DEA187" s="117"/>
      <c r="DEB187" s="117"/>
      <c r="DEC187" s="117"/>
      <c r="DED187" s="117"/>
      <c r="DEE187" s="117"/>
      <c r="DEF187" s="117"/>
      <c r="DEG187" s="117"/>
      <c r="DEH187" s="117"/>
      <c r="DEI187" s="117"/>
      <c r="DEJ187" s="117"/>
      <c r="DEK187" s="117"/>
      <c r="DEL187" s="117"/>
      <c r="DEM187" s="117"/>
      <c r="DEN187" s="117"/>
      <c r="DEO187" s="117"/>
      <c r="DEP187" s="117"/>
      <c r="DEQ187" s="117"/>
      <c r="DER187" s="117"/>
      <c r="DES187" s="117"/>
      <c r="DET187" s="117"/>
      <c r="DEU187" s="117"/>
      <c r="DEV187" s="117"/>
      <c r="DEW187" s="117"/>
      <c r="DEX187" s="117"/>
      <c r="DEY187" s="117"/>
      <c r="DEZ187" s="117"/>
      <c r="DFA187" s="117"/>
      <c r="DFB187" s="117"/>
      <c r="DFC187" s="117"/>
      <c r="DFD187" s="117"/>
      <c r="DFE187" s="117"/>
      <c r="DFF187" s="117"/>
      <c r="DFG187" s="117"/>
      <c r="DFH187" s="117"/>
      <c r="DFI187" s="117"/>
      <c r="DFJ187" s="117"/>
      <c r="DFK187" s="117"/>
      <c r="DFL187" s="117"/>
      <c r="DFM187" s="117"/>
      <c r="DFN187" s="117"/>
      <c r="DFO187" s="117"/>
      <c r="DFP187" s="117"/>
      <c r="DFQ187" s="117"/>
      <c r="DFR187" s="117"/>
      <c r="DFS187" s="117"/>
      <c r="DFT187" s="117"/>
      <c r="DFU187" s="117"/>
      <c r="DFV187" s="117"/>
      <c r="DFW187" s="117"/>
      <c r="DFX187" s="117"/>
      <c r="DFY187" s="117"/>
      <c r="DFZ187" s="117"/>
      <c r="DGA187" s="117"/>
      <c r="DGB187" s="117"/>
      <c r="DGC187" s="117"/>
      <c r="DGD187" s="117"/>
      <c r="DGE187" s="117"/>
      <c r="DGF187" s="117"/>
      <c r="DGG187" s="117"/>
      <c r="DGH187" s="117"/>
      <c r="DGI187" s="117"/>
      <c r="DGJ187" s="117"/>
      <c r="DGK187" s="117"/>
      <c r="DGL187" s="117"/>
      <c r="DGM187" s="117"/>
      <c r="DGN187" s="117"/>
      <c r="DGO187" s="117"/>
      <c r="DGP187" s="117"/>
      <c r="DGQ187" s="117"/>
      <c r="DGR187" s="117"/>
      <c r="DGS187" s="117"/>
      <c r="DGT187" s="117"/>
      <c r="DGU187" s="117"/>
      <c r="DGV187" s="117"/>
      <c r="DGW187" s="117"/>
      <c r="DGX187" s="117"/>
      <c r="DGY187" s="117"/>
      <c r="DGZ187" s="117"/>
      <c r="DHA187" s="117"/>
      <c r="DHB187" s="117"/>
      <c r="DHC187" s="117"/>
      <c r="DHD187" s="117"/>
      <c r="DHE187" s="117"/>
      <c r="DHF187" s="117"/>
      <c r="DHG187" s="117"/>
      <c r="DHH187" s="117"/>
      <c r="DHI187" s="117"/>
      <c r="DHJ187" s="117"/>
      <c r="DHK187" s="117"/>
      <c r="DHL187" s="117"/>
      <c r="DHM187" s="117"/>
      <c r="DHN187" s="117"/>
      <c r="DHO187" s="117"/>
      <c r="DHP187" s="117"/>
      <c r="DHQ187" s="117"/>
      <c r="DHR187" s="117"/>
      <c r="DHS187" s="117"/>
      <c r="DHT187" s="117"/>
      <c r="DHU187" s="117"/>
      <c r="DHV187" s="117"/>
      <c r="DHW187" s="117"/>
      <c r="DHX187" s="117"/>
      <c r="DHY187" s="117"/>
      <c r="DHZ187" s="117"/>
      <c r="DIA187" s="117"/>
      <c r="DIB187" s="117"/>
      <c r="DIC187" s="117"/>
      <c r="DID187" s="117"/>
      <c r="DIE187" s="117"/>
      <c r="DIF187" s="117"/>
      <c r="DIG187" s="117"/>
      <c r="DIH187" s="117"/>
      <c r="DII187" s="117"/>
      <c r="DIJ187" s="117"/>
      <c r="DIK187" s="117"/>
      <c r="DIL187" s="117"/>
      <c r="DIM187" s="117"/>
      <c r="DIN187" s="117"/>
      <c r="DIO187" s="117"/>
      <c r="DIP187" s="117"/>
      <c r="DIQ187" s="117"/>
      <c r="DIR187" s="117"/>
      <c r="DIS187" s="117"/>
      <c r="DIT187" s="117"/>
      <c r="DIU187" s="117"/>
      <c r="DIV187" s="117"/>
      <c r="DIW187" s="117"/>
      <c r="DIX187" s="117"/>
      <c r="DIY187" s="117"/>
      <c r="DIZ187" s="117"/>
      <c r="DJA187" s="117"/>
      <c r="DJB187" s="117"/>
      <c r="DJC187" s="117"/>
      <c r="DJD187" s="117"/>
      <c r="DJE187" s="117"/>
      <c r="DJF187" s="117"/>
      <c r="DJG187" s="117"/>
      <c r="DJH187" s="117"/>
      <c r="DJI187" s="117"/>
      <c r="DJJ187" s="117"/>
      <c r="DJK187" s="117"/>
      <c r="DJL187" s="117"/>
      <c r="DJM187" s="117"/>
      <c r="DJN187" s="117"/>
      <c r="DJO187" s="117"/>
      <c r="DJP187" s="117"/>
      <c r="DJQ187" s="117"/>
      <c r="DJR187" s="117"/>
      <c r="DJS187" s="117"/>
      <c r="DJT187" s="117"/>
      <c r="DJU187" s="117"/>
      <c r="DJV187" s="117"/>
      <c r="DJW187" s="117"/>
      <c r="DJX187" s="117"/>
      <c r="DJY187" s="117"/>
      <c r="DJZ187" s="117"/>
      <c r="DKA187" s="117"/>
      <c r="DKB187" s="117"/>
      <c r="DKC187" s="117"/>
      <c r="DKD187" s="117"/>
      <c r="DKE187" s="117"/>
      <c r="DKF187" s="117"/>
      <c r="DKG187" s="117"/>
      <c r="DKH187" s="117"/>
      <c r="DKI187" s="117"/>
      <c r="DKJ187" s="117"/>
      <c r="DKK187" s="117"/>
      <c r="DKL187" s="117"/>
      <c r="DKM187" s="117"/>
      <c r="DKN187" s="117"/>
      <c r="DKO187" s="117"/>
      <c r="DKP187" s="117"/>
      <c r="DKQ187" s="117"/>
      <c r="DKR187" s="117"/>
      <c r="DKS187" s="117"/>
      <c r="DKT187" s="117"/>
      <c r="DKU187" s="117"/>
      <c r="DKV187" s="117"/>
      <c r="DKW187" s="117"/>
      <c r="DKX187" s="117"/>
      <c r="DKY187" s="117"/>
      <c r="DKZ187" s="117"/>
      <c r="DLA187" s="117"/>
      <c r="DLB187" s="117"/>
      <c r="DLC187" s="117"/>
      <c r="DLD187" s="117"/>
      <c r="DLE187" s="117"/>
      <c r="DLF187" s="117"/>
      <c r="DLG187" s="117"/>
      <c r="DLH187" s="117"/>
      <c r="DLI187" s="117"/>
      <c r="DLJ187" s="117"/>
      <c r="DLK187" s="117"/>
      <c r="DLL187" s="117"/>
      <c r="DLM187" s="117"/>
      <c r="DLN187" s="117"/>
      <c r="DLO187" s="117"/>
      <c r="DLP187" s="117"/>
      <c r="DLQ187" s="117"/>
      <c r="DLR187" s="117"/>
      <c r="DLS187" s="117"/>
      <c r="DLT187" s="117"/>
      <c r="DLU187" s="117"/>
      <c r="DLV187" s="117"/>
      <c r="DLW187" s="117"/>
      <c r="DLX187" s="117"/>
      <c r="DLY187" s="117"/>
      <c r="DLZ187" s="117"/>
      <c r="DMA187" s="117"/>
      <c r="DMB187" s="117"/>
      <c r="DMC187" s="117"/>
      <c r="DMD187" s="117"/>
      <c r="DME187" s="117"/>
      <c r="DMF187" s="117"/>
      <c r="DMG187" s="117"/>
      <c r="DMH187" s="117"/>
      <c r="DMI187" s="117"/>
      <c r="DMJ187" s="117"/>
      <c r="DMK187" s="117"/>
      <c r="DML187" s="117"/>
      <c r="DMM187" s="117"/>
      <c r="DMN187" s="117"/>
      <c r="DMO187" s="117"/>
      <c r="DMP187" s="117"/>
      <c r="DMQ187" s="117"/>
      <c r="DMR187" s="117"/>
      <c r="DMS187" s="117"/>
      <c r="DMT187" s="117"/>
      <c r="DMU187" s="117"/>
      <c r="DMV187" s="117"/>
      <c r="DMW187" s="117"/>
      <c r="DMX187" s="117"/>
      <c r="DMY187" s="117"/>
      <c r="DMZ187" s="117"/>
      <c r="DNA187" s="117"/>
      <c r="DNB187" s="117"/>
      <c r="DNC187" s="117"/>
      <c r="DND187" s="117"/>
      <c r="DNE187" s="117"/>
      <c r="DNF187" s="117"/>
      <c r="DNG187" s="117"/>
      <c r="DNH187" s="117"/>
      <c r="DNI187" s="117"/>
      <c r="DNJ187" s="117"/>
      <c r="DNK187" s="117"/>
      <c r="DNL187" s="117"/>
      <c r="DNM187" s="117"/>
      <c r="DNN187" s="117"/>
      <c r="DNO187" s="117"/>
      <c r="DNP187" s="117"/>
      <c r="DNQ187" s="117"/>
      <c r="DNR187" s="117"/>
      <c r="DNS187" s="117"/>
      <c r="DNT187" s="117"/>
      <c r="DNU187" s="117"/>
      <c r="DNV187" s="117"/>
      <c r="DNW187" s="117"/>
      <c r="DNX187" s="117"/>
      <c r="DNY187" s="117"/>
      <c r="DNZ187" s="117"/>
      <c r="DOA187" s="117"/>
      <c r="DOB187" s="117"/>
      <c r="DOC187" s="117"/>
      <c r="DOD187" s="117"/>
      <c r="DOE187" s="117"/>
      <c r="DOF187" s="117"/>
      <c r="DOG187" s="117"/>
      <c r="DOH187" s="117"/>
      <c r="DOI187" s="117"/>
      <c r="DOJ187" s="117"/>
      <c r="DOK187" s="117"/>
      <c r="DOL187" s="117"/>
      <c r="DOM187" s="117"/>
      <c r="DON187" s="117"/>
      <c r="DOO187" s="117"/>
      <c r="DOP187" s="117"/>
      <c r="DOQ187" s="117"/>
      <c r="DOR187" s="117"/>
      <c r="DOS187" s="117"/>
      <c r="DOT187" s="117"/>
      <c r="DOU187" s="117"/>
      <c r="DOV187" s="117"/>
      <c r="DOW187" s="117"/>
      <c r="DOX187" s="117"/>
      <c r="DOY187" s="117"/>
      <c r="DOZ187" s="117"/>
      <c r="DPA187" s="117"/>
      <c r="DPB187" s="117"/>
      <c r="DPC187" s="117"/>
      <c r="DPD187" s="117"/>
      <c r="DPE187" s="117"/>
      <c r="DPF187" s="117"/>
      <c r="DPG187" s="117"/>
      <c r="DPH187" s="117"/>
      <c r="DPI187" s="117"/>
      <c r="DPJ187" s="117"/>
      <c r="DPK187" s="117"/>
      <c r="DPL187" s="117"/>
      <c r="DPM187" s="117"/>
      <c r="DPN187" s="117"/>
      <c r="DPO187" s="117"/>
      <c r="DPP187" s="117"/>
      <c r="DPQ187" s="117"/>
      <c r="DPR187" s="117"/>
      <c r="DPS187" s="117"/>
      <c r="DPT187" s="117"/>
      <c r="DPU187" s="117"/>
      <c r="DPV187" s="117"/>
      <c r="DPW187" s="117"/>
      <c r="DPX187" s="117"/>
      <c r="DPY187" s="117"/>
      <c r="DPZ187" s="117"/>
      <c r="DQA187" s="117"/>
      <c r="DQB187" s="117"/>
      <c r="DQC187" s="117"/>
      <c r="DQD187" s="117"/>
      <c r="DQE187" s="117"/>
      <c r="DQF187" s="117"/>
      <c r="DQG187" s="117"/>
      <c r="DQH187" s="117"/>
      <c r="DQI187" s="117"/>
      <c r="DQJ187" s="117"/>
      <c r="DQK187" s="117"/>
      <c r="DQL187" s="117"/>
      <c r="DQM187" s="117"/>
      <c r="DQN187" s="117"/>
      <c r="DQO187" s="117"/>
      <c r="DQP187" s="117"/>
      <c r="DQQ187" s="117"/>
      <c r="DQR187" s="117"/>
      <c r="DQS187" s="117"/>
      <c r="DQT187" s="117"/>
      <c r="DQU187" s="117"/>
      <c r="DQV187" s="117"/>
      <c r="DQW187" s="117"/>
      <c r="DQX187" s="117"/>
      <c r="DQY187" s="117"/>
      <c r="DQZ187" s="117"/>
      <c r="DRA187" s="117"/>
      <c r="DRB187" s="117"/>
      <c r="DRC187" s="117"/>
      <c r="DRD187" s="117"/>
      <c r="DRE187" s="117"/>
      <c r="DRF187" s="117"/>
      <c r="DRG187" s="117"/>
      <c r="DRH187" s="117"/>
      <c r="DRI187" s="117"/>
      <c r="DRJ187" s="117"/>
      <c r="DRK187" s="117"/>
      <c r="DRL187" s="117"/>
      <c r="DRM187" s="117"/>
      <c r="DRN187" s="117"/>
      <c r="DRO187" s="117"/>
      <c r="DRP187" s="117"/>
      <c r="DRQ187" s="117"/>
      <c r="DRR187" s="117"/>
      <c r="DRS187" s="117"/>
      <c r="DRT187" s="117"/>
      <c r="DRU187" s="117"/>
      <c r="DRV187" s="117"/>
      <c r="DRW187" s="117"/>
      <c r="DRX187" s="117"/>
      <c r="DRY187" s="117"/>
      <c r="DRZ187" s="117"/>
      <c r="DSA187" s="117"/>
      <c r="DSB187" s="117"/>
      <c r="DSC187" s="117"/>
      <c r="DSD187" s="117"/>
      <c r="DSE187" s="117"/>
      <c r="DSF187" s="117"/>
      <c r="DSG187" s="117"/>
      <c r="DSH187" s="117"/>
      <c r="DSI187" s="117"/>
      <c r="DSJ187" s="117"/>
      <c r="DSK187" s="117"/>
      <c r="DSL187" s="117"/>
      <c r="DSM187" s="117"/>
      <c r="DSN187" s="117"/>
      <c r="DSO187" s="117"/>
      <c r="DSP187" s="117"/>
      <c r="DSQ187" s="117"/>
      <c r="DSR187" s="117"/>
      <c r="DSS187" s="117"/>
      <c r="DST187" s="117"/>
      <c r="DSU187" s="117"/>
      <c r="DSV187" s="117"/>
      <c r="DSW187" s="117"/>
      <c r="DSX187" s="117"/>
      <c r="DSY187" s="117"/>
      <c r="DSZ187" s="117"/>
      <c r="DTA187" s="117"/>
      <c r="DTB187" s="117"/>
      <c r="DTC187" s="117"/>
      <c r="DTD187" s="117"/>
      <c r="DTE187" s="117"/>
      <c r="DTF187" s="117"/>
      <c r="DTG187" s="117"/>
      <c r="DTH187" s="117"/>
      <c r="DTI187" s="117"/>
      <c r="DTJ187" s="117"/>
      <c r="DTK187" s="117"/>
      <c r="DTL187" s="117"/>
      <c r="DTM187" s="117"/>
      <c r="DTN187" s="117"/>
      <c r="DTO187" s="117"/>
      <c r="DTP187" s="117"/>
      <c r="DTQ187" s="117"/>
      <c r="DTR187" s="117"/>
      <c r="DTS187" s="117"/>
      <c r="DTT187" s="117"/>
      <c r="DTU187" s="117"/>
      <c r="DTV187" s="117"/>
      <c r="DTW187" s="117"/>
      <c r="DTX187" s="117"/>
      <c r="DTY187" s="117"/>
      <c r="DTZ187" s="117"/>
      <c r="DUA187" s="117"/>
      <c r="DUB187" s="117"/>
      <c r="DUC187" s="117"/>
      <c r="DUD187" s="117"/>
      <c r="DUE187" s="117"/>
      <c r="DUF187" s="117"/>
      <c r="DUG187" s="117"/>
      <c r="DUH187" s="117"/>
      <c r="DUI187" s="117"/>
      <c r="DUJ187" s="117"/>
      <c r="DUK187" s="117"/>
      <c r="DUL187" s="117"/>
      <c r="DUM187" s="117"/>
      <c r="DUN187" s="117"/>
      <c r="DUO187" s="117"/>
      <c r="DUP187" s="117"/>
      <c r="DUQ187" s="117"/>
      <c r="DUR187" s="117"/>
      <c r="DUS187" s="117"/>
      <c r="DUT187" s="117"/>
      <c r="DUU187" s="117"/>
      <c r="DUV187" s="117"/>
      <c r="DUW187" s="117"/>
      <c r="DUX187" s="117"/>
      <c r="DUY187" s="117"/>
      <c r="DUZ187" s="117"/>
      <c r="DVA187" s="117"/>
      <c r="DVB187" s="117"/>
      <c r="DVC187" s="117"/>
      <c r="DVD187" s="117"/>
      <c r="DVE187" s="117"/>
      <c r="DVF187" s="117"/>
      <c r="DVG187" s="117"/>
      <c r="DVH187" s="117"/>
      <c r="DVI187" s="117"/>
      <c r="DVJ187" s="117"/>
      <c r="DVK187" s="117"/>
      <c r="DVL187" s="117"/>
      <c r="DVM187" s="117"/>
      <c r="DVN187" s="117"/>
      <c r="DVO187" s="117"/>
      <c r="DVP187" s="117"/>
      <c r="DVQ187" s="117"/>
      <c r="DVR187" s="117"/>
      <c r="DVS187" s="117"/>
      <c r="DVT187" s="117"/>
      <c r="DVU187" s="117"/>
      <c r="DVV187" s="117"/>
      <c r="DVW187" s="117"/>
      <c r="DVX187" s="117"/>
      <c r="DVY187" s="117"/>
      <c r="DVZ187" s="117"/>
      <c r="DWA187" s="117"/>
      <c r="DWB187" s="117"/>
      <c r="DWC187" s="117"/>
      <c r="DWD187" s="117"/>
      <c r="DWE187" s="117"/>
      <c r="DWF187" s="117"/>
      <c r="DWG187" s="117"/>
      <c r="DWH187" s="117"/>
      <c r="DWI187" s="117"/>
      <c r="DWJ187" s="117"/>
      <c r="DWK187" s="117"/>
      <c r="DWL187" s="117"/>
      <c r="DWM187" s="117"/>
      <c r="DWN187" s="117"/>
      <c r="DWO187" s="117"/>
      <c r="DWP187" s="117"/>
      <c r="DWQ187" s="117"/>
      <c r="DWR187" s="117"/>
      <c r="DWS187" s="117"/>
      <c r="DWT187" s="117"/>
      <c r="DWU187" s="117"/>
      <c r="DWV187" s="117"/>
      <c r="DWW187" s="117"/>
      <c r="DWX187" s="117"/>
      <c r="DWY187" s="117"/>
      <c r="DWZ187" s="117"/>
      <c r="DXA187" s="117"/>
      <c r="DXB187" s="117"/>
      <c r="DXC187" s="117"/>
      <c r="DXD187" s="117"/>
      <c r="DXE187" s="117"/>
      <c r="DXF187" s="117"/>
      <c r="DXG187" s="117"/>
      <c r="DXH187" s="117"/>
      <c r="DXI187" s="117"/>
      <c r="DXJ187" s="117"/>
      <c r="DXK187" s="117"/>
      <c r="DXL187" s="117"/>
      <c r="DXM187" s="117"/>
      <c r="DXN187" s="117"/>
      <c r="DXO187" s="117"/>
      <c r="DXP187" s="117"/>
      <c r="DXQ187" s="117"/>
      <c r="DXR187" s="117"/>
      <c r="DXS187" s="117"/>
      <c r="DXT187" s="117"/>
      <c r="DXU187" s="117"/>
      <c r="DXV187" s="117"/>
      <c r="DXW187" s="117"/>
      <c r="DXX187" s="117"/>
      <c r="DXY187" s="117"/>
      <c r="DXZ187" s="117"/>
      <c r="DYA187" s="117"/>
      <c r="DYB187" s="117"/>
      <c r="DYC187" s="117"/>
      <c r="DYD187" s="117"/>
      <c r="DYE187" s="117"/>
      <c r="DYF187" s="117"/>
      <c r="DYG187" s="117"/>
      <c r="DYH187" s="117"/>
      <c r="DYI187" s="117"/>
      <c r="DYJ187" s="117"/>
      <c r="DYK187" s="117"/>
      <c r="DYL187" s="117"/>
      <c r="DYM187" s="117"/>
      <c r="DYN187" s="117"/>
      <c r="DYO187" s="117"/>
      <c r="DYP187" s="117"/>
      <c r="DYQ187" s="117"/>
      <c r="DYR187" s="117"/>
      <c r="DYS187" s="117"/>
      <c r="DYT187" s="117"/>
      <c r="DYU187" s="117"/>
      <c r="DYV187" s="117"/>
      <c r="DYW187" s="117"/>
      <c r="DYX187" s="117"/>
      <c r="DYY187" s="117"/>
      <c r="DYZ187" s="117"/>
      <c r="DZA187" s="117"/>
      <c r="DZB187" s="117"/>
      <c r="DZC187" s="117"/>
      <c r="DZD187" s="117"/>
      <c r="DZE187" s="117"/>
      <c r="DZF187" s="117"/>
      <c r="DZG187" s="117"/>
      <c r="DZH187" s="117"/>
      <c r="DZI187" s="117"/>
      <c r="DZJ187" s="117"/>
      <c r="DZK187" s="117"/>
      <c r="DZL187" s="117"/>
      <c r="DZM187" s="117"/>
      <c r="DZN187" s="117"/>
      <c r="DZO187" s="117"/>
      <c r="DZP187" s="117"/>
      <c r="DZQ187" s="117"/>
      <c r="DZR187" s="117"/>
      <c r="DZS187" s="117"/>
      <c r="DZT187" s="117"/>
      <c r="DZU187" s="117"/>
      <c r="DZV187" s="117"/>
      <c r="DZW187" s="117"/>
      <c r="DZX187" s="117"/>
      <c r="DZY187" s="117"/>
      <c r="DZZ187" s="117"/>
      <c r="EAA187" s="117"/>
      <c r="EAB187" s="117"/>
      <c r="EAC187" s="117"/>
      <c r="EAD187" s="117"/>
      <c r="EAE187" s="117"/>
      <c r="EAF187" s="117"/>
      <c r="EAG187" s="117"/>
      <c r="EAH187" s="117"/>
      <c r="EAI187" s="117"/>
      <c r="EAJ187" s="117"/>
      <c r="EAK187" s="117"/>
      <c r="EAL187" s="117"/>
      <c r="EAM187" s="117"/>
      <c r="EAN187" s="117"/>
      <c r="EAO187" s="117"/>
      <c r="EAP187" s="117"/>
      <c r="EAQ187" s="117"/>
      <c r="EAR187" s="117"/>
      <c r="EAS187" s="117"/>
      <c r="EAT187" s="117"/>
      <c r="EAU187" s="117"/>
      <c r="EAV187" s="117"/>
      <c r="EAW187" s="117"/>
      <c r="EAX187" s="117"/>
      <c r="EAY187" s="117"/>
      <c r="EAZ187" s="117"/>
      <c r="EBA187" s="117"/>
      <c r="EBB187" s="117"/>
      <c r="EBC187" s="117"/>
      <c r="EBD187" s="117"/>
      <c r="EBE187" s="117"/>
      <c r="EBF187" s="117"/>
      <c r="EBG187" s="117"/>
      <c r="EBH187" s="117"/>
      <c r="EBI187" s="117"/>
      <c r="EBJ187" s="117"/>
      <c r="EBK187" s="117"/>
      <c r="EBL187" s="117"/>
      <c r="EBM187" s="117"/>
      <c r="EBN187" s="117"/>
      <c r="EBO187" s="117"/>
      <c r="EBP187" s="117"/>
      <c r="EBQ187" s="117"/>
      <c r="EBR187" s="117"/>
      <c r="EBS187" s="117"/>
      <c r="EBT187" s="117"/>
      <c r="EBU187" s="117"/>
      <c r="EBV187" s="117"/>
      <c r="EBW187" s="117"/>
      <c r="EBX187" s="117"/>
      <c r="EBY187" s="117"/>
      <c r="EBZ187" s="117"/>
      <c r="ECA187" s="117"/>
      <c r="ECB187" s="117"/>
      <c r="ECC187" s="117"/>
      <c r="ECD187" s="117"/>
      <c r="ECE187" s="117"/>
      <c r="ECF187" s="117"/>
      <c r="ECG187" s="117"/>
      <c r="ECH187" s="117"/>
      <c r="ECI187" s="117"/>
      <c r="ECJ187" s="117"/>
      <c r="ECK187" s="117"/>
      <c r="ECL187" s="117"/>
      <c r="ECM187" s="117"/>
      <c r="ECN187" s="117"/>
      <c r="ECO187" s="117"/>
      <c r="ECP187" s="117"/>
      <c r="ECQ187" s="117"/>
      <c r="ECR187" s="117"/>
      <c r="ECS187" s="117"/>
      <c r="ECT187" s="117"/>
      <c r="ECU187" s="117"/>
      <c r="ECV187" s="117"/>
      <c r="ECW187" s="117"/>
      <c r="ECX187" s="117"/>
      <c r="ECY187" s="117"/>
      <c r="ECZ187" s="117"/>
      <c r="EDA187" s="117"/>
      <c r="EDB187" s="117"/>
      <c r="EDC187" s="117"/>
      <c r="EDD187" s="117"/>
      <c r="EDE187" s="117"/>
      <c r="EDF187" s="117"/>
      <c r="EDG187" s="117"/>
      <c r="EDH187" s="117"/>
      <c r="EDI187" s="117"/>
      <c r="EDJ187" s="117"/>
      <c r="EDK187" s="117"/>
      <c r="EDL187" s="117"/>
      <c r="EDM187" s="117"/>
      <c r="EDN187" s="117"/>
      <c r="EDO187" s="117"/>
      <c r="EDP187" s="117"/>
      <c r="EDQ187" s="117"/>
      <c r="EDR187" s="117"/>
      <c r="EDS187" s="117"/>
      <c r="EDT187" s="117"/>
      <c r="EDU187" s="117"/>
      <c r="EDV187" s="117"/>
      <c r="EDW187" s="117"/>
      <c r="EDX187" s="117"/>
      <c r="EDY187" s="117"/>
      <c r="EDZ187" s="117"/>
      <c r="EEA187" s="117"/>
      <c r="EEB187" s="117"/>
      <c r="EEC187" s="117"/>
      <c r="EED187" s="117"/>
      <c r="EEE187" s="117"/>
      <c r="EEF187" s="117"/>
      <c r="EEG187" s="117"/>
      <c r="EEH187" s="117"/>
      <c r="EEI187" s="117"/>
      <c r="EEJ187" s="117"/>
      <c r="EEK187" s="117"/>
      <c r="EEL187" s="117"/>
      <c r="EEM187" s="117"/>
      <c r="EEN187" s="117"/>
      <c r="EEO187" s="117"/>
      <c r="EEP187" s="117"/>
      <c r="EEQ187" s="117"/>
      <c r="EER187" s="117"/>
      <c r="EES187" s="117"/>
      <c r="EET187" s="117"/>
      <c r="EEU187" s="117"/>
      <c r="EEV187" s="117"/>
      <c r="EEW187" s="117"/>
      <c r="EEX187" s="117"/>
      <c r="EEY187" s="117"/>
      <c r="EEZ187" s="117"/>
      <c r="EFA187" s="117"/>
      <c r="EFB187" s="117"/>
      <c r="EFC187" s="117"/>
      <c r="EFD187" s="117"/>
      <c r="EFE187" s="117"/>
      <c r="EFF187" s="117"/>
      <c r="EFG187" s="117"/>
      <c r="EFH187" s="117"/>
      <c r="EFI187" s="117"/>
      <c r="EFJ187" s="117"/>
      <c r="EFK187" s="117"/>
      <c r="EFL187" s="117"/>
      <c r="EFM187" s="117"/>
      <c r="EFN187" s="117"/>
      <c r="EFO187" s="117"/>
      <c r="EFP187" s="117"/>
      <c r="EFQ187" s="117"/>
      <c r="EFR187" s="117"/>
      <c r="EFS187" s="117"/>
      <c r="EFT187" s="117"/>
      <c r="EFU187" s="117"/>
      <c r="EFV187" s="117"/>
      <c r="EFW187" s="117"/>
      <c r="EFX187" s="117"/>
      <c r="EFY187" s="117"/>
      <c r="EFZ187" s="117"/>
      <c r="EGA187" s="117"/>
      <c r="EGB187" s="117"/>
      <c r="EGC187" s="117"/>
      <c r="EGD187" s="117"/>
      <c r="EGE187" s="117"/>
      <c r="EGF187" s="117"/>
      <c r="EGG187" s="117"/>
      <c r="EGH187" s="117"/>
      <c r="EGI187" s="117"/>
      <c r="EGJ187" s="117"/>
      <c r="EGK187" s="117"/>
      <c r="EGL187" s="117"/>
      <c r="EGM187" s="117"/>
      <c r="EGN187" s="117"/>
      <c r="EGO187" s="117"/>
      <c r="EGP187" s="117"/>
      <c r="EGQ187" s="117"/>
      <c r="EGR187" s="117"/>
      <c r="EGS187" s="117"/>
      <c r="EGT187" s="117"/>
      <c r="EGU187" s="117"/>
      <c r="EGV187" s="117"/>
      <c r="EGW187" s="117"/>
      <c r="EGX187" s="117"/>
      <c r="EGY187" s="117"/>
      <c r="EGZ187" s="117"/>
      <c r="EHA187" s="117"/>
      <c r="EHB187" s="117"/>
      <c r="EHC187" s="117"/>
      <c r="EHD187" s="117"/>
      <c r="EHE187" s="117"/>
      <c r="EHF187" s="117"/>
      <c r="EHG187" s="117"/>
      <c r="EHH187" s="117"/>
      <c r="EHI187" s="117"/>
      <c r="EHJ187" s="117"/>
      <c r="EHK187" s="117"/>
      <c r="EHL187" s="117"/>
      <c r="EHM187" s="117"/>
      <c r="EHN187" s="117"/>
      <c r="EHO187" s="117"/>
      <c r="EHP187" s="117"/>
      <c r="EHQ187" s="117"/>
      <c r="EHR187" s="117"/>
      <c r="EHS187" s="117"/>
      <c r="EHT187" s="117"/>
      <c r="EHU187" s="117"/>
      <c r="EHV187" s="117"/>
      <c r="EHW187" s="117"/>
      <c r="EHX187" s="117"/>
      <c r="EHY187" s="117"/>
      <c r="EHZ187" s="117"/>
      <c r="EIA187" s="117"/>
      <c r="EIB187" s="117"/>
      <c r="EIC187" s="117"/>
      <c r="EID187" s="117"/>
      <c r="EIE187" s="117"/>
      <c r="EIF187" s="117"/>
      <c r="EIG187" s="117"/>
      <c r="EIH187" s="117"/>
      <c r="EII187" s="117"/>
      <c r="EIJ187" s="117"/>
      <c r="EIK187" s="117"/>
      <c r="EIL187" s="117"/>
      <c r="EIM187" s="117"/>
      <c r="EIN187" s="117"/>
      <c r="EIO187" s="117"/>
      <c r="EIP187" s="117"/>
      <c r="EIQ187" s="117"/>
      <c r="EIR187" s="117"/>
      <c r="EIS187" s="117"/>
      <c r="EIT187" s="117"/>
      <c r="EIU187" s="117"/>
      <c r="EIV187" s="117"/>
      <c r="EIW187" s="117"/>
      <c r="EIX187" s="117"/>
      <c r="EIY187" s="117"/>
      <c r="EIZ187" s="117"/>
      <c r="EJA187" s="117"/>
      <c r="EJB187" s="117"/>
      <c r="EJC187" s="117"/>
      <c r="EJD187" s="117"/>
      <c r="EJE187" s="117"/>
      <c r="EJF187" s="117"/>
      <c r="EJG187" s="117"/>
      <c r="EJH187" s="117"/>
      <c r="EJI187" s="117"/>
      <c r="EJJ187" s="117"/>
      <c r="EJK187" s="117"/>
      <c r="EJL187" s="117"/>
      <c r="EJM187" s="117"/>
      <c r="EJN187" s="117"/>
      <c r="EJO187" s="117"/>
      <c r="EJP187" s="117"/>
      <c r="EJQ187" s="117"/>
      <c r="EJR187" s="117"/>
      <c r="EJS187" s="117"/>
      <c r="EJT187" s="117"/>
      <c r="EJU187" s="117"/>
      <c r="EJV187" s="117"/>
      <c r="EJW187" s="117"/>
      <c r="EJX187" s="117"/>
      <c r="EJY187" s="117"/>
      <c r="EJZ187" s="117"/>
      <c r="EKA187" s="117"/>
      <c r="EKB187" s="117"/>
      <c r="EKC187" s="117"/>
      <c r="EKD187" s="117"/>
      <c r="EKE187" s="117"/>
      <c r="EKF187" s="117"/>
      <c r="EKG187" s="117"/>
      <c r="EKH187" s="117"/>
      <c r="EKI187" s="117"/>
      <c r="EKJ187" s="117"/>
      <c r="EKK187" s="117"/>
      <c r="EKL187" s="117"/>
      <c r="EKM187" s="117"/>
      <c r="EKN187" s="117"/>
      <c r="EKO187" s="117"/>
      <c r="EKP187" s="117"/>
      <c r="EKQ187" s="117"/>
      <c r="EKR187" s="117"/>
      <c r="EKS187" s="117"/>
      <c r="EKT187" s="117"/>
      <c r="EKU187" s="117"/>
      <c r="EKV187" s="117"/>
      <c r="EKW187" s="117"/>
      <c r="EKX187" s="117"/>
      <c r="EKY187" s="117"/>
      <c r="EKZ187" s="117"/>
      <c r="ELA187" s="117"/>
      <c r="ELB187" s="117"/>
      <c r="ELC187" s="117"/>
      <c r="ELD187" s="117"/>
      <c r="ELE187" s="117"/>
      <c r="ELF187" s="117"/>
      <c r="ELG187" s="117"/>
      <c r="ELH187" s="117"/>
      <c r="ELI187" s="117"/>
      <c r="ELJ187" s="117"/>
      <c r="ELK187" s="117"/>
      <c r="ELL187" s="117"/>
      <c r="ELM187" s="117"/>
      <c r="ELN187" s="117"/>
      <c r="ELO187" s="117"/>
      <c r="ELP187" s="117"/>
      <c r="ELQ187" s="117"/>
      <c r="ELR187" s="117"/>
      <c r="ELS187" s="117"/>
      <c r="ELT187" s="117"/>
      <c r="ELU187" s="117"/>
      <c r="ELV187" s="117"/>
      <c r="ELW187" s="117"/>
      <c r="ELX187" s="117"/>
      <c r="ELY187" s="117"/>
      <c r="ELZ187" s="117"/>
      <c r="EMA187" s="117"/>
      <c r="EMB187" s="117"/>
      <c r="EMC187" s="117"/>
      <c r="EMD187" s="117"/>
      <c r="EME187" s="117"/>
      <c r="EMF187" s="117"/>
      <c r="EMG187" s="117"/>
      <c r="EMH187" s="117"/>
      <c r="EMI187" s="117"/>
      <c r="EMJ187" s="117"/>
      <c r="EMK187" s="117"/>
      <c r="EML187" s="117"/>
      <c r="EMM187" s="117"/>
      <c r="EMN187" s="117"/>
      <c r="EMO187" s="117"/>
      <c r="EMP187" s="117"/>
      <c r="EMQ187" s="117"/>
      <c r="EMR187" s="117"/>
      <c r="EMS187" s="117"/>
      <c r="EMT187" s="117"/>
      <c r="EMU187" s="117"/>
      <c r="EMV187" s="117"/>
      <c r="EMW187" s="117"/>
      <c r="EMX187" s="117"/>
      <c r="EMY187" s="117"/>
      <c r="EMZ187" s="117"/>
      <c r="ENA187" s="117"/>
      <c r="ENB187" s="117"/>
      <c r="ENC187" s="117"/>
      <c r="END187" s="117"/>
      <c r="ENE187" s="117"/>
      <c r="ENF187" s="117"/>
      <c r="ENG187" s="117"/>
      <c r="ENH187" s="117"/>
      <c r="ENI187" s="117"/>
      <c r="ENJ187" s="117"/>
      <c r="ENK187" s="117"/>
      <c r="ENL187" s="117"/>
      <c r="ENM187" s="117"/>
      <c r="ENN187" s="117"/>
      <c r="ENO187" s="117"/>
      <c r="ENP187" s="117"/>
      <c r="ENQ187" s="117"/>
      <c r="ENR187" s="117"/>
      <c r="ENS187" s="117"/>
      <c r="ENT187" s="117"/>
      <c r="ENU187" s="117"/>
      <c r="ENV187" s="117"/>
      <c r="ENW187" s="117"/>
      <c r="ENX187" s="117"/>
      <c r="ENY187" s="117"/>
      <c r="ENZ187" s="117"/>
      <c r="EOA187" s="117"/>
      <c r="EOB187" s="117"/>
      <c r="EOC187" s="117"/>
      <c r="EOD187" s="117"/>
      <c r="EOE187" s="117"/>
      <c r="EOF187" s="117"/>
      <c r="EOG187" s="117"/>
      <c r="EOH187" s="117"/>
      <c r="EOI187" s="117"/>
      <c r="EOJ187" s="117"/>
      <c r="EOK187" s="117"/>
      <c r="EOL187" s="117"/>
      <c r="EOM187" s="117"/>
      <c r="EON187" s="117"/>
      <c r="EOO187" s="117"/>
      <c r="EOP187" s="117"/>
      <c r="EOQ187" s="117"/>
      <c r="EOR187" s="117"/>
      <c r="EOS187" s="117"/>
      <c r="EOT187" s="117"/>
      <c r="EOU187" s="117"/>
      <c r="EOV187" s="117"/>
      <c r="EOW187" s="117"/>
      <c r="EOX187" s="117"/>
      <c r="EOY187" s="117"/>
      <c r="EOZ187" s="117"/>
      <c r="EPA187" s="117"/>
      <c r="EPB187" s="117"/>
      <c r="EPC187" s="117"/>
      <c r="EPD187" s="117"/>
      <c r="EPE187" s="117"/>
      <c r="EPF187" s="117"/>
      <c r="EPG187" s="117"/>
      <c r="EPH187" s="117"/>
      <c r="EPI187" s="117"/>
      <c r="EPJ187" s="117"/>
      <c r="EPK187" s="117"/>
      <c r="EPL187" s="117"/>
      <c r="EPM187" s="117"/>
      <c r="EPN187" s="117"/>
      <c r="EPO187" s="117"/>
      <c r="EPP187" s="117"/>
      <c r="EPQ187" s="117"/>
      <c r="EPR187" s="117"/>
      <c r="EPS187" s="117"/>
      <c r="EPT187" s="117"/>
      <c r="EPU187" s="117"/>
      <c r="EPV187" s="117"/>
      <c r="EPW187" s="117"/>
      <c r="EPX187" s="117"/>
      <c r="EPY187" s="117"/>
      <c r="EPZ187" s="117"/>
      <c r="EQA187" s="117"/>
      <c r="EQB187" s="117"/>
      <c r="EQC187" s="117"/>
      <c r="EQD187" s="117"/>
      <c r="EQE187" s="117"/>
      <c r="EQF187" s="117"/>
      <c r="EQG187" s="117"/>
      <c r="EQH187" s="117"/>
      <c r="EQI187" s="117"/>
      <c r="EQJ187" s="117"/>
      <c r="EQK187" s="117"/>
      <c r="EQL187" s="117"/>
      <c r="EQM187" s="117"/>
      <c r="EQN187" s="117"/>
      <c r="EQO187" s="117"/>
      <c r="EQP187" s="117"/>
      <c r="EQQ187" s="117"/>
      <c r="EQR187" s="117"/>
      <c r="EQS187" s="117"/>
      <c r="EQT187" s="117"/>
      <c r="EQU187" s="117"/>
      <c r="EQV187" s="117"/>
      <c r="EQW187" s="117"/>
      <c r="EQX187" s="117"/>
      <c r="EQY187" s="117"/>
      <c r="EQZ187" s="117"/>
      <c r="ERA187" s="117"/>
      <c r="ERB187" s="117"/>
      <c r="ERC187" s="117"/>
      <c r="ERD187" s="117"/>
      <c r="ERE187" s="117"/>
      <c r="ERF187" s="117"/>
      <c r="ERG187" s="117"/>
      <c r="ERH187" s="117"/>
      <c r="ERI187" s="117"/>
      <c r="ERJ187" s="117"/>
      <c r="ERK187" s="117"/>
      <c r="ERL187" s="117"/>
      <c r="ERM187" s="117"/>
      <c r="ERN187" s="117"/>
      <c r="ERO187" s="117"/>
      <c r="ERP187" s="117"/>
      <c r="ERQ187" s="117"/>
      <c r="ERR187" s="117"/>
      <c r="ERS187" s="117"/>
      <c r="ERT187" s="117"/>
      <c r="ERU187" s="117"/>
      <c r="ERV187" s="117"/>
      <c r="ERW187" s="117"/>
      <c r="ERX187" s="117"/>
      <c r="ERY187" s="117"/>
      <c r="ERZ187" s="117"/>
      <c r="ESA187" s="117"/>
      <c r="ESB187" s="117"/>
      <c r="ESC187" s="117"/>
      <c r="ESD187" s="117"/>
      <c r="ESE187" s="117"/>
      <c r="ESF187" s="117"/>
      <c r="ESG187" s="117"/>
      <c r="ESH187" s="117"/>
      <c r="ESI187" s="117"/>
      <c r="ESJ187" s="117"/>
      <c r="ESK187" s="117"/>
      <c r="ESL187" s="117"/>
      <c r="ESM187" s="117"/>
      <c r="ESN187" s="117"/>
      <c r="ESO187" s="117"/>
      <c r="ESP187" s="117"/>
      <c r="ESQ187" s="117"/>
      <c r="ESR187" s="117"/>
      <c r="ESS187" s="117"/>
      <c r="EST187" s="117"/>
      <c r="ESU187" s="117"/>
      <c r="ESV187" s="117"/>
      <c r="ESW187" s="117"/>
      <c r="ESX187" s="117"/>
      <c r="ESY187" s="117"/>
      <c r="ESZ187" s="117"/>
      <c r="ETA187" s="117"/>
      <c r="ETB187" s="117"/>
      <c r="ETC187" s="117"/>
      <c r="ETD187" s="117"/>
      <c r="ETE187" s="117"/>
      <c r="ETF187" s="117"/>
      <c r="ETG187" s="117"/>
      <c r="ETH187" s="117"/>
      <c r="ETI187" s="117"/>
      <c r="ETJ187" s="117"/>
      <c r="ETK187" s="117"/>
      <c r="ETL187" s="117"/>
      <c r="ETM187" s="117"/>
      <c r="ETN187" s="117"/>
      <c r="ETO187" s="117"/>
      <c r="ETP187" s="117"/>
      <c r="ETQ187" s="117"/>
      <c r="ETR187" s="117"/>
      <c r="ETS187" s="117"/>
      <c r="ETT187" s="117"/>
      <c r="ETU187" s="117"/>
      <c r="ETV187" s="117"/>
      <c r="ETW187" s="117"/>
      <c r="ETX187" s="117"/>
      <c r="ETY187" s="117"/>
      <c r="ETZ187" s="117"/>
      <c r="EUA187" s="117"/>
      <c r="EUB187" s="117"/>
      <c r="EUC187" s="117"/>
      <c r="EUD187" s="117"/>
      <c r="EUE187" s="117"/>
      <c r="EUF187" s="117"/>
      <c r="EUG187" s="117"/>
      <c r="EUH187" s="117"/>
      <c r="EUI187" s="117"/>
      <c r="EUJ187" s="117"/>
      <c r="EUK187" s="117"/>
      <c r="EUL187" s="117"/>
      <c r="EUM187" s="117"/>
      <c r="EUN187" s="117"/>
      <c r="EUO187" s="117"/>
      <c r="EUP187" s="117"/>
      <c r="EUQ187" s="117"/>
      <c r="EUR187" s="117"/>
      <c r="EUS187" s="117"/>
      <c r="EUT187" s="117"/>
      <c r="EUU187" s="117"/>
      <c r="EUV187" s="117"/>
      <c r="EUW187" s="117"/>
      <c r="EUX187" s="117"/>
      <c r="EUY187" s="117"/>
      <c r="EUZ187" s="117"/>
      <c r="EVA187" s="117"/>
      <c r="EVB187" s="117"/>
      <c r="EVC187" s="117"/>
      <c r="EVD187" s="117"/>
      <c r="EVE187" s="117"/>
      <c r="EVF187" s="117"/>
      <c r="EVG187" s="117"/>
      <c r="EVH187" s="117"/>
      <c r="EVI187" s="117"/>
      <c r="EVJ187" s="117"/>
      <c r="EVK187" s="117"/>
      <c r="EVL187" s="117"/>
      <c r="EVM187" s="117"/>
      <c r="EVN187" s="117"/>
      <c r="EVO187" s="117"/>
      <c r="EVP187" s="117"/>
      <c r="EVQ187" s="117"/>
      <c r="EVR187" s="117"/>
      <c r="EVS187" s="117"/>
      <c r="EVT187" s="117"/>
      <c r="EVU187" s="117"/>
      <c r="EVV187" s="117"/>
      <c r="EVW187" s="117"/>
      <c r="EVX187" s="117"/>
      <c r="EVY187" s="117"/>
      <c r="EVZ187" s="117"/>
      <c r="EWA187" s="117"/>
      <c r="EWB187" s="117"/>
      <c r="EWC187" s="117"/>
      <c r="EWD187" s="117"/>
      <c r="EWE187" s="117"/>
      <c r="EWF187" s="117"/>
      <c r="EWG187" s="117"/>
      <c r="EWH187" s="117"/>
      <c r="EWI187" s="117"/>
      <c r="EWJ187" s="117"/>
      <c r="EWK187" s="117"/>
      <c r="EWL187" s="117"/>
      <c r="EWM187" s="117"/>
      <c r="EWN187" s="117"/>
      <c r="EWO187" s="117"/>
      <c r="EWP187" s="117"/>
      <c r="EWQ187" s="117"/>
      <c r="EWR187" s="117"/>
      <c r="EWS187" s="117"/>
      <c r="EWT187" s="117"/>
      <c r="EWU187" s="117"/>
      <c r="EWV187" s="117"/>
      <c r="EWW187" s="117"/>
      <c r="EWX187" s="117"/>
      <c r="EWY187" s="117"/>
      <c r="EWZ187" s="117"/>
      <c r="EXA187" s="117"/>
      <c r="EXB187" s="117"/>
      <c r="EXC187" s="117"/>
      <c r="EXD187" s="117"/>
      <c r="EXE187" s="117"/>
      <c r="EXF187" s="117"/>
      <c r="EXG187" s="117"/>
      <c r="EXH187" s="117"/>
      <c r="EXI187" s="117"/>
      <c r="EXJ187" s="117"/>
      <c r="EXK187" s="117"/>
      <c r="EXL187" s="117"/>
      <c r="EXM187" s="117"/>
      <c r="EXN187" s="117"/>
      <c r="EXO187" s="117"/>
      <c r="EXP187" s="117"/>
      <c r="EXQ187" s="117"/>
      <c r="EXR187" s="117"/>
      <c r="EXS187" s="117"/>
      <c r="EXT187" s="117"/>
      <c r="EXU187" s="117"/>
      <c r="EXV187" s="117"/>
      <c r="EXW187" s="117"/>
      <c r="EXX187" s="117"/>
      <c r="EXY187" s="117"/>
      <c r="EXZ187" s="117"/>
      <c r="EYA187" s="117"/>
      <c r="EYB187" s="117"/>
      <c r="EYC187" s="117"/>
      <c r="EYD187" s="117"/>
      <c r="EYE187" s="117"/>
      <c r="EYF187" s="117"/>
      <c r="EYG187" s="117"/>
      <c r="EYH187" s="117"/>
      <c r="EYI187" s="117"/>
      <c r="EYJ187" s="117"/>
      <c r="EYK187" s="117"/>
      <c r="EYL187" s="117"/>
      <c r="EYM187" s="117"/>
      <c r="EYN187" s="117"/>
      <c r="EYO187" s="117"/>
      <c r="EYP187" s="117"/>
      <c r="EYQ187" s="117"/>
      <c r="EYR187" s="117"/>
      <c r="EYS187" s="117"/>
      <c r="EYT187" s="117"/>
      <c r="EYU187" s="117"/>
      <c r="EYV187" s="117"/>
      <c r="EYW187" s="117"/>
      <c r="EYX187" s="117"/>
      <c r="EYY187" s="117"/>
      <c r="EYZ187" s="117"/>
      <c r="EZA187" s="117"/>
      <c r="EZB187" s="117"/>
      <c r="EZC187" s="117"/>
      <c r="EZD187" s="117"/>
      <c r="EZE187" s="117"/>
      <c r="EZF187" s="117"/>
      <c r="EZG187" s="117"/>
      <c r="EZH187" s="117"/>
      <c r="EZI187" s="117"/>
      <c r="EZJ187" s="117"/>
      <c r="EZK187" s="117"/>
      <c r="EZL187" s="117"/>
      <c r="EZM187" s="117"/>
      <c r="EZN187" s="117"/>
      <c r="EZO187" s="117"/>
      <c r="EZP187" s="117"/>
      <c r="EZQ187" s="117"/>
      <c r="EZR187" s="117"/>
      <c r="EZS187" s="117"/>
      <c r="EZT187" s="117"/>
      <c r="EZU187" s="117"/>
      <c r="EZV187" s="117"/>
      <c r="EZW187" s="117"/>
      <c r="EZX187" s="117"/>
      <c r="EZY187" s="117"/>
      <c r="EZZ187" s="117"/>
      <c r="FAA187" s="117"/>
      <c r="FAB187" s="117"/>
      <c r="FAC187" s="117"/>
      <c r="FAD187" s="117"/>
      <c r="FAE187" s="117"/>
      <c r="FAF187" s="117"/>
      <c r="FAG187" s="117"/>
      <c r="FAH187" s="117"/>
      <c r="FAI187" s="117"/>
      <c r="FAJ187" s="117"/>
      <c r="FAK187" s="117"/>
      <c r="FAL187" s="117"/>
      <c r="FAM187" s="117"/>
      <c r="FAN187" s="117"/>
      <c r="FAO187" s="117"/>
      <c r="FAP187" s="117"/>
      <c r="FAQ187" s="117"/>
      <c r="FAR187" s="117"/>
      <c r="FAS187" s="117"/>
      <c r="FAT187" s="117"/>
      <c r="FAU187" s="117"/>
      <c r="FAV187" s="117"/>
      <c r="FAW187" s="117"/>
      <c r="FAX187" s="117"/>
      <c r="FAY187" s="117"/>
      <c r="FAZ187" s="117"/>
      <c r="FBA187" s="117"/>
      <c r="FBB187" s="117"/>
      <c r="FBC187" s="117"/>
      <c r="FBD187" s="117"/>
      <c r="FBE187" s="117"/>
      <c r="FBF187" s="117"/>
      <c r="FBG187" s="117"/>
      <c r="FBH187" s="117"/>
      <c r="FBI187" s="117"/>
      <c r="FBJ187" s="117"/>
      <c r="FBK187" s="117"/>
      <c r="FBL187" s="117"/>
      <c r="FBM187" s="117"/>
      <c r="FBN187" s="117"/>
      <c r="FBO187" s="117"/>
      <c r="FBP187" s="117"/>
      <c r="FBQ187" s="117"/>
      <c r="FBR187" s="117"/>
      <c r="FBS187" s="117"/>
      <c r="FBT187" s="117"/>
      <c r="FBU187" s="117"/>
      <c r="FBV187" s="117"/>
      <c r="FBW187" s="117"/>
      <c r="FBX187" s="117"/>
      <c r="FBY187" s="117"/>
      <c r="FBZ187" s="117"/>
      <c r="FCA187" s="117"/>
      <c r="FCB187" s="117"/>
      <c r="FCC187" s="117"/>
      <c r="FCD187" s="117"/>
      <c r="FCE187" s="117"/>
      <c r="FCF187" s="117"/>
      <c r="FCG187" s="117"/>
      <c r="FCH187" s="117"/>
      <c r="FCI187" s="117"/>
      <c r="FCJ187" s="117"/>
      <c r="FCK187" s="117"/>
      <c r="FCL187" s="117"/>
      <c r="FCM187" s="117"/>
      <c r="FCN187" s="117"/>
      <c r="FCO187" s="117"/>
      <c r="FCP187" s="117"/>
      <c r="FCQ187" s="117"/>
      <c r="FCR187" s="117"/>
      <c r="FCS187" s="117"/>
      <c r="FCT187" s="117"/>
      <c r="FCU187" s="117"/>
      <c r="FCV187" s="117"/>
      <c r="FCW187" s="117"/>
      <c r="FCX187" s="117"/>
      <c r="FCY187" s="117"/>
      <c r="FCZ187" s="117"/>
      <c r="FDA187" s="117"/>
      <c r="FDB187" s="117"/>
      <c r="FDC187" s="117"/>
      <c r="FDD187" s="117"/>
      <c r="FDE187" s="117"/>
      <c r="FDF187" s="117"/>
      <c r="FDG187" s="117"/>
      <c r="FDH187" s="117"/>
      <c r="FDI187" s="117"/>
      <c r="FDJ187" s="117"/>
      <c r="FDK187" s="117"/>
      <c r="FDL187" s="117"/>
      <c r="FDM187" s="117"/>
      <c r="FDN187" s="117"/>
      <c r="FDO187" s="117"/>
      <c r="FDP187" s="117"/>
      <c r="FDQ187" s="117"/>
      <c r="FDR187" s="117"/>
      <c r="FDS187" s="117"/>
      <c r="FDT187" s="117"/>
      <c r="FDU187" s="117"/>
      <c r="FDV187" s="117"/>
      <c r="FDW187" s="117"/>
      <c r="FDX187" s="117"/>
      <c r="FDY187" s="117"/>
      <c r="FDZ187" s="117"/>
      <c r="FEA187" s="117"/>
      <c r="FEB187" s="117"/>
      <c r="FEC187" s="117"/>
      <c r="FED187" s="117"/>
      <c r="FEE187" s="117"/>
      <c r="FEF187" s="117"/>
      <c r="FEG187" s="117"/>
      <c r="FEH187" s="117"/>
      <c r="FEI187" s="117"/>
      <c r="FEJ187" s="117"/>
      <c r="FEK187" s="117"/>
      <c r="FEL187" s="117"/>
      <c r="FEM187" s="117"/>
      <c r="FEN187" s="117"/>
      <c r="FEO187" s="117"/>
      <c r="FEP187" s="117"/>
      <c r="FEQ187" s="117"/>
      <c r="FER187" s="117"/>
      <c r="FES187" s="117"/>
      <c r="FET187" s="117"/>
      <c r="FEU187" s="117"/>
      <c r="FEV187" s="117"/>
      <c r="FEW187" s="117"/>
      <c r="FEX187" s="117"/>
      <c r="FEY187" s="117"/>
      <c r="FEZ187" s="117"/>
      <c r="FFA187" s="117"/>
      <c r="FFB187" s="117"/>
      <c r="FFC187" s="117"/>
      <c r="FFD187" s="117"/>
      <c r="FFE187" s="117"/>
      <c r="FFF187" s="117"/>
      <c r="FFG187" s="117"/>
      <c r="FFH187" s="117"/>
      <c r="FFI187" s="117"/>
      <c r="FFJ187" s="117"/>
      <c r="FFK187" s="117"/>
      <c r="FFL187" s="117"/>
      <c r="FFM187" s="117"/>
      <c r="FFN187" s="117"/>
      <c r="FFO187" s="117"/>
      <c r="FFP187" s="117"/>
      <c r="FFQ187" s="117"/>
      <c r="FFR187" s="117"/>
      <c r="FFS187" s="117"/>
      <c r="FFT187" s="117"/>
      <c r="FFU187" s="117"/>
      <c r="FFV187" s="117"/>
      <c r="FFW187" s="117"/>
      <c r="FFX187" s="117"/>
      <c r="FFY187" s="117"/>
      <c r="FFZ187" s="117"/>
      <c r="FGA187" s="117"/>
      <c r="FGB187" s="117"/>
      <c r="FGC187" s="117"/>
      <c r="FGD187" s="117"/>
      <c r="FGE187" s="117"/>
      <c r="FGF187" s="117"/>
      <c r="FGG187" s="117"/>
      <c r="FGH187" s="117"/>
      <c r="FGI187" s="117"/>
      <c r="FGJ187" s="117"/>
      <c r="FGK187" s="117"/>
      <c r="FGL187" s="117"/>
      <c r="FGM187" s="117"/>
      <c r="FGN187" s="117"/>
      <c r="FGO187" s="117"/>
      <c r="FGP187" s="117"/>
      <c r="FGQ187" s="117"/>
      <c r="FGR187" s="117"/>
      <c r="FGS187" s="117"/>
      <c r="FGT187" s="117"/>
      <c r="FGU187" s="117"/>
      <c r="FGV187" s="117"/>
      <c r="FGW187" s="117"/>
      <c r="FGX187" s="117"/>
      <c r="FGY187" s="117"/>
      <c r="FGZ187" s="117"/>
      <c r="FHA187" s="117"/>
      <c r="FHB187" s="117"/>
      <c r="FHC187" s="117"/>
      <c r="FHD187" s="117"/>
      <c r="FHE187" s="117"/>
      <c r="FHF187" s="117"/>
      <c r="FHG187" s="117"/>
      <c r="FHH187" s="117"/>
      <c r="FHI187" s="117"/>
      <c r="FHJ187" s="117"/>
      <c r="FHK187" s="117"/>
      <c r="FHL187" s="117"/>
      <c r="FHM187" s="117"/>
      <c r="FHN187" s="117"/>
      <c r="FHO187" s="117"/>
      <c r="FHP187" s="117"/>
      <c r="FHQ187" s="117"/>
      <c r="FHR187" s="117"/>
      <c r="FHS187" s="117"/>
      <c r="FHT187" s="117"/>
      <c r="FHU187" s="117"/>
      <c r="FHV187" s="117"/>
      <c r="FHW187" s="117"/>
      <c r="FHX187" s="117"/>
      <c r="FHY187" s="117"/>
      <c r="FHZ187" s="117"/>
      <c r="FIA187" s="117"/>
      <c r="FIB187" s="117"/>
      <c r="FIC187" s="117"/>
      <c r="FID187" s="117"/>
      <c r="FIE187" s="117"/>
      <c r="FIF187" s="117"/>
      <c r="FIG187" s="117"/>
      <c r="FIH187" s="117"/>
      <c r="FII187" s="117"/>
      <c r="FIJ187" s="117"/>
      <c r="FIK187" s="117"/>
      <c r="FIL187" s="117"/>
      <c r="FIM187" s="117"/>
      <c r="FIN187" s="117"/>
      <c r="FIO187" s="117"/>
      <c r="FIP187" s="117"/>
      <c r="FIQ187" s="117"/>
      <c r="FIR187" s="117"/>
      <c r="FIS187" s="117"/>
      <c r="FIT187" s="117"/>
      <c r="FIU187" s="117"/>
      <c r="FIV187" s="117"/>
      <c r="FIW187" s="117"/>
      <c r="FIX187" s="117"/>
      <c r="FIY187" s="117"/>
      <c r="FIZ187" s="117"/>
      <c r="FJA187" s="117"/>
      <c r="FJB187" s="117"/>
      <c r="FJC187" s="117"/>
      <c r="FJD187" s="117"/>
      <c r="FJE187" s="117"/>
      <c r="FJF187" s="117"/>
      <c r="FJG187" s="117"/>
      <c r="FJH187" s="117"/>
      <c r="FJI187" s="117"/>
      <c r="FJJ187" s="117"/>
      <c r="FJK187" s="117"/>
      <c r="FJL187" s="117"/>
      <c r="FJM187" s="117"/>
      <c r="FJN187" s="117"/>
      <c r="FJO187" s="117"/>
      <c r="FJP187" s="117"/>
      <c r="FJQ187" s="117"/>
      <c r="FJR187" s="117"/>
      <c r="FJS187" s="117"/>
      <c r="FJT187" s="117"/>
      <c r="FJU187" s="117"/>
      <c r="FJV187" s="117"/>
      <c r="FJW187" s="117"/>
      <c r="FJX187" s="117"/>
      <c r="FJY187" s="117"/>
      <c r="FJZ187" s="117"/>
      <c r="FKA187" s="117"/>
      <c r="FKB187" s="117"/>
      <c r="FKC187" s="117"/>
      <c r="FKD187" s="117"/>
      <c r="FKE187" s="117"/>
      <c r="FKF187" s="117"/>
      <c r="FKG187" s="117"/>
      <c r="FKH187" s="117"/>
      <c r="FKI187" s="117"/>
      <c r="FKJ187" s="117"/>
      <c r="FKK187" s="117"/>
      <c r="FKL187" s="117"/>
      <c r="FKM187" s="117"/>
      <c r="FKN187" s="117"/>
      <c r="FKO187" s="117"/>
      <c r="FKP187" s="117"/>
      <c r="FKQ187" s="117"/>
      <c r="FKR187" s="117"/>
      <c r="FKS187" s="117"/>
      <c r="FKT187" s="117"/>
      <c r="FKU187" s="117"/>
      <c r="FKV187" s="117"/>
      <c r="FKW187" s="117"/>
      <c r="FKX187" s="117"/>
      <c r="FKY187" s="117"/>
      <c r="FKZ187" s="117"/>
      <c r="FLA187" s="117"/>
      <c r="FLB187" s="117"/>
      <c r="FLC187" s="117"/>
      <c r="FLD187" s="117"/>
      <c r="FLE187" s="117"/>
      <c r="FLF187" s="117"/>
      <c r="FLG187" s="117"/>
      <c r="FLH187" s="117"/>
      <c r="FLI187" s="117"/>
      <c r="FLJ187" s="117"/>
      <c r="FLK187" s="117"/>
      <c r="FLL187" s="117"/>
      <c r="FLM187" s="117"/>
      <c r="FLN187" s="117"/>
      <c r="FLO187" s="117"/>
      <c r="FLP187" s="117"/>
      <c r="FLQ187" s="117"/>
      <c r="FLR187" s="117"/>
      <c r="FLS187" s="117"/>
      <c r="FLT187" s="117"/>
      <c r="FLU187" s="117"/>
      <c r="FLV187" s="117"/>
      <c r="FLW187" s="117"/>
      <c r="FLX187" s="117"/>
      <c r="FLY187" s="117"/>
      <c r="FLZ187" s="117"/>
      <c r="FMA187" s="117"/>
      <c r="FMB187" s="117"/>
      <c r="FMC187" s="117"/>
      <c r="FMD187" s="117"/>
      <c r="FME187" s="117"/>
      <c r="FMF187" s="117"/>
      <c r="FMG187" s="117"/>
      <c r="FMH187" s="117"/>
      <c r="FMI187" s="117"/>
      <c r="FMJ187" s="117"/>
      <c r="FMK187" s="117"/>
      <c r="FML187" s="117"/>
      <c r="FMM187" s="117"/>
      <c r="FMN187" s="117"/>
      <c r="FMO187" s="117"/>
      <c r="FMP187" s="117"/>
      <c r="FMQ187" s="117"/>
      <c r="FMR187" s="117"/>
      <c r="FMS187" s="117"/>
      <c r="FMT187" s="117"/>
      <c r="FMU187" s="117"/>
      <c r="FMV187" s="117"/>
      <c r="FMW187" s="117"/>
      <c r="FMX187" s="117"/>
      <c r="FMY187" s="117"/>
      <c r="FMZ187" s="117"/>
      <c r="FNA187" s="117"/>
      <c r="FNB187" s="117"/>
      <c r="FNC187" s="117"/>
      <c r="FND187" s="117"/>
      <c r="FNE187" s="117"/>
      <c r="FNF187" s="117"/>
      <c r="FNG187" s="117"/>
      <c r="FNH187" s="117"/>
      <c r="FNI187" s="117"/>
      <c r="FNJ187" s="117"/>
      <c r="FNK187" s="117"/>
      <c r="FNL187" s="117"/>
      <c r="FNM187" s="117"/>
      <c r="FNN187" s="117"/>
      <c r="FNO187" s="117"/>
      <c r="FNP187" s="117"/>
      <c r="FNQ187" s="117"/>
      <c r="FNR187" s="117"/>
      <c r="FNS187" s="117"/>
      <c r="FNT187" s="117"/>
      <c r="FNU187" s="117"/>
      <c r="FNV187" s="117"/>
      <c r="FNW187" s="117"/>
      <c r="FNX187" s="117"/>
      <c r="FNY187" s="117"/>
      <c r="FNZ187" s="117"/>
      <c r="FOA187" s="117"/>
      <c r="FOB187" s="117"/>
      <c r="FOC187" s="117"/>
      <c r="FOD187" s="117"/>
      <c r="FOE187" s="117"/>
      <c r="FOF187" s="117"/>
      <c r="FOG187" s="117"/>
      <c r="FOH187" s="117"/>
      <c r="FOI187" s="117"/>
      <c r="FOJ187" s="117"/>
      <c r="FOK187" s="117"/>
      <c r="FOL187" s="117"/>
      <c r="FOM187" s="117"/>
      <c r="FON187" s="117"/>
      <c r="FOO187" s="117"/>
      <c r="FOP187" s="117"/>
      <c r="FOQ187" s="117"/>
      <c r="FOR187" s="117"/>
      <c r="FOS187" s="117"/>
      <c r="FOT187" s="117"/>
      <c r="FOU187" s="117"/>
      <c r="FOV187" s="117"/>
      <c r="FOW187" s="117"/>
      <c r="FOX187" s="117"/>
      <c r="FOY187" s="117"/>
      <c r="FOZ187" s="117"/>
      <c r="FPA187" s="117"/>
      <c r="FPB187" s="117"/>
      <c r="FPC187" s="117"/>
      <c r="FPD187" s="117"/>
      <c r="FPE187" s="117"/>
      <c r="FPF187" s="117"/>
      <c r="FPG187" s="117"/>
      <c r="FPH187" s="117"/>
      <c r="FPI187" s="117"/>
      <c r="FPJ187" s="117"/>
      <c r="FPK187" s="117"/>
      <c r="FPL187" s="117"/>
      <c r="FPM187" s="117"/>
      <c r="FPN187" s="117"/>
      <c r="FPO187" s="117"/>
      <c r="FPP187" s="117"/>
      <c r="FPQ187" s="117"/>
      <c r="FPR187" s="117"/>
      <c r="FPS187" s="117"/>
      <c r="FPT187" s="117"/>
      <c r="FPU187" s="117"/>
      <c r="FPV187" s="117"/>
      <c r="FPW187" s="117"/>
      <c r="FPX187" s="117"/>
      <c r="FPY187" s="117"/>
      <c r="FPZ187" s="117"/>
      <c r="FQA187" s="117"/>
      <c r="FQB187" s="117"/>
      <c r="FQC187" s="117"/>
      <c r="FQD187" s="117"/>
      <c r="FQE187" s="117"/>
      <c r="FQF187" s="117"/>
      <c r="FQG187" s="117"/>
      <c r="FQH187" s="117"/>
      <c r="FQI187" s="117"/>
      <c r="FQJ187" s="117"/>
      <c r="FQK187" s="117"/>
      <c r="FQL187" s="117"/>
      <c r="FQM187" s="117"/>
      <c r="FQN187" s="117"/>
      <c r="FQO187" s="117"/>
      <c r="FQP187" s="117"/>
      <c r="FQQ187" s="117"/>
      <c r="FQR187" s="117"/>
      <c r="FQS187" s="117"/>
      <c r="FQT187" s="117"/>
      <c r="FQU187" s="117"/>
      <c r="FQV187" s="117"/>
      <c r="FQW187" s="117"/>
      <c r="FQX187" s="117"/>
      <c r="FQY187" s="117"/>
      <c r="FQZ187" s="117"/>
      <c r="FRA187" s="117"/>
      <c r="FRB187" s="117"/>
      <c r="FRC187" s="117"/>
      <c r="FRD187" s="117"/>
      <c r="FRE187" s="117"/>
      <c r="FRF187" s="117"/>
      <c r="FRG187" s="117"/>
      <c r="FRH187" s="117"/>
      <c r="FRI187" s="117"/>
      <c r="FRJ187" s="117"/>
      <c r="FRK187" s="117"/>
      <c r="FRL187" s="117"/>
      <c r="FRM187" s="117"/>
      <c r="FRN187" s="117"/>
      <c r="FRO187" s="117"/>
      <c r="FRP187" s="117"/>
      <c r="FRQ187" s="117"/>
      <c r="FRR187" s="117"/>
      <c r="FRS187" s="117"/>
      <c r="FRT187" s="117"/>
      <c r="FRU187" s="117"/>
      <c r="FRV187" s="117"/>
      <c r="FRW187" s="117"/>
      <c r="FRX187" s="117"/>
      <c r="FRY187" s="117"/>
      <c r="FRZ187" s="117"/>
      <c r="FSA187" s="117"/>
      <c r="FSB187" s="117"/>
      <c r="FSC187" s="117"/>
      <c r="FSD187" s="117"/>
      <c r="FSE187" s="117"/>
      <c r="FSF187" s="117"/>
      <c r="FSG187" s="117"/>
      <c r="FSH187" s="117"/>
      <c r="FSI187" s="117"/>
      <c r="FSJ187" s="117"/>
      <c r="FSK187" s="117"/>
      <c r="FSL187" s="117"/>
      <c r="FSM187" s="117"/>
      <c r="FSN187" s="117"/>
      <c r="FSO187" s="117"/>
      <c r="FSP187" s="117"/>
      <c r="FSQ187" s="117"/>
      <c r="FSR187" s="117"/>
      <c r="FSS187" s="117"/>
      <c r="FST187" s="117"/>
      <c r="FSU187" s="117"/>
      <c r="FSV187" s="117"/>
      <c r="FSW187" s="117"/>
      <c r="FSX187" s="117"/>
      <c r="FSY187" s="117"/>
      <c r="FSZ187" s="117"/>
      <c r="FTA187" s="117"/>
      <c r="FTB187" s="117"/>
      <c r="FTC187" s="117"/>
      <c r="FTD187" s="117"/>
      <c r="FTE187" s="117"/>
      <c r="FTF187" s="117"/>
      <c r="FTG187" s="117"/>
      <c r="FTH187" s="117"/>
      <c r="FTI187" s="117"/>
      <c r="FTJ187" s="117"/>
      <c r="FTK187" s="117"/>
      <c r="FTL187" s="117"/>
      <c r="FTM187" s="117"/>
      <c r="FTN187" s="117"/>
      <c r="FTO187" s="117"/>
      <c r="FTP187" s="117"/>
      <c r="FTQ187" s="117"/>
      <c r="FTR187" s="117"/>
      <c r="FTS187" s="117"/>
      <c r="FTT187" s="117"/>
      <c r="FTU187" s="117"/>
      <c r="FTV187" s="117"/>
      <c r="FTW187" s="117"/>
      <c r="FTX187" s="117"/>
      <c r="FTY187" s="117"/>
      <c r="FTZ187" s="117"/>
      <c r="FUA187" s="117"/>
      <c r="FUB187" s="117"/>
      <c r="FUC187" s="117"/>
      <c r="FUD187" s="117"/>
      <c r="FUE187" s="117"/>
      <c r="FUF187" s="117"/>
      <c r="FUG187" s="117"/>
      <c r="FUH187" s="117"/>
      <c r="FUI187" s="117"/>
      <c r="FUJ187" s="117"/>
      <c r="FUK187" s="117"/>
      <c r="FUL187" s="117"/>
      <c r="FUM187" s="117"/>
      <c r="FUN187" s="117"/>
      <c r="FUO187" s="117"/>
      <c r="FUP187" s="117"/>
      <c r="FUQ187" s="117"/>
      <c r="FUR187" s="117"/>
      <c r="FUS187" s="117"/>
      <c r="FUT187" s="117"/>
      <c r="FUU187" s="117"/>
      <c r="FUV187" s="117"/>
      <c r="FUW187" s="117"/>
      <c r="FUX187" s="117"/>
      <c r="FUY187" s="117"/>
      <c r="FUZ187" s="117"/>
      <c r="FVA187" s="117"/>
      <c r="FVB187" s="117"/>
      <c r="FVC187" s="117"/>
      <c r="FVD187" s="117"/>
      <c r="FVE187" s="117"/>
      <c r="FVF187" s="117"/>
      <c r="FVG187" s="117"/>
      <c r="FVH187" s="117"/>
      <c r="FVI187" s="117"/>
      <c r="FVJ187" s="117"/>
      <c r="FVK187" s="117"/>
      <c r="FVL187" s="117"/>
      <c r="FVM187" s="117"/>
      <c r="FVN187" s="117"/>
      <c r="FVO187" s="117"/>
      <c r="FVP187" s="117"/>
      <c r="FVQ187" s="117"/>
      <c r="FVR187" s="117"/>
      <c r="FVS187" s="117"/>
      <c r="FVT187" s="117"/>
      <c r="FVU187" s="117"/>
      <c r="FVV187" s="117"/>
      <c r="FVW187" s="117"/>
      <c r="FVX187" s="117"/>
      <c r="FVY187" s="117"/>
      <c r="FVZ187" s="117"/>
      <c r="FWA187" s="117"/>
      <c r="FWB187" s="117"/>
      <c r="FWC187" s="117"/>
      <c r="FWD187" s="117"/>
      <c r="FWE187" s="117"/>
      <c r="FWF187" s="117"/>
      <c r="FWG187" s="117"/>
      <c r="FWH187" s="117"/>
      <c r="FWI187" s="117"/>
      <c r="FWJ187" s="117"/>
      <c r="FWK187" s="117"/>
      <c r="FWL187" s="117"/>
      <c r="FWM187" s="117"/>
      <c r="FWN187" s="117"/>
      <c r="FWO187" s="117"/>
      <c r="FWP187" s="117"/>
      <c r="FWQ187" s="117"/>
      <c r="FWR187" s="117"/>
      <c r="FWS187" s="117"/>
      <c r="FWT187" s="117"/>
      <c r="FWU187" s="117"/>
      <c r="FWV187" s="117"/>
      <c r="FWW187" s="117"/>
      <c r="FWX187" s="117"/>
      <c r="FWY187" s="117"/>
      <c r="FWZ187" s="117"/>
      <c r="FXA187" s="117"/>
      <c r="FXB187" s="117"/>
      <c r="FXC187" s="117"/>
      <c r="FXD187" s="117"/>
      <c r="FXE187" s="117"/>
      <c r="FXF187" s="117"/>
      <c r="FXG187" s="117"/>
      <c r="FXH187" s="117"/>
      <c r="FXI187" s="117"/>
      <c r="FXJ187" s="117"/>
      <c r="FXK187" s="117"/>
      <c r="FXL187" s="117"/>
      <c r="FXM187" s="117"/>
      <c r="FXN187" s="117"/>
      <c r="FXO187" s="117"/>
      <c r="FXP187" s="117"/>
      <c r="FXQ187" s="117"/>
      <c r="FXR187" s="117"/>
      <c r="FXS187" s="117"/>
      <c r="FXT187" s="117"/>
      <c r="FXU187" s="117"/>
      <c r="FXV187" s="117"/>
      <c r="FXW187" s="117"/>
      <c r="FXX187" s="117"/>
      <c r="FXY187" s="117"/>
      <c r="FXZ187" s="117"/>
      <c r="FYA187" s="117"/>
      <c r="FYB187" s="117"/>
      <c r="FYC187" s="117"/>
      <c r="FYD187" s="117"/>
      <c r="FYE187" s="117"/>
      <c r="FYF187" s="117"/>
      <c r="FYG187" s="117"/>
      <c r="FYH187" s="117"/>
      <c r="FYI187" s="117"/>
      <c r="FYJ187" s="117"/>
      <c r="FYK187" s="117"/>
      <c r="FYL187" s="117"/>
      <c r="FYM187" s="117"/>
      <c r="FYN187" s="117"/>
      <c r="FYO187" s="117"/>
      <c r="FYP187" s="117"/>
      <c r="FYQ187" s="117"/>
      <c r="FYR187" s="117"/>
      <c r="FYS187" s="117"/>
      <c r="FYT187" s="117"/>
      <c r="FYU187" s="117"/>
      <c r="FYV187" s="117"/>
      <c r="FYW187" s="117"/>
      <c r="FYX187" s="117"/>
      <c r="FYY187" s="117"/>
      <c r="FYZ187" s="117"/>
      <c r="FZA187" s="117"/>
      <c r="FZB187" s="117"/>
      <c r="FZC187" s="117"/>
      <c r="FZD187" s="117"/>
      <c r="FZE187" s="117"/>
      <c r="FZF187" s="117"/>
      <c r="FZG187" s="117"/>
      <c r="FZH187" s="117"/>
      <c r="FZI187" s="117"/>
      <c r="FZJ187" s="117"/>
      <c r="FZK187" s="117"/>
      <c r="FZL187" s="117"/>
      <c r="FZM187" s="117"/>
      <c r="FZN187" s="117"/>
      <c r="FZO187" s="117"/>
      <c r="FZP187" s="117"/>
      <c r="FZQ187" s="117"/>
      <c r="FZR187" s="117"/>
      <c r="FZS187" s="117"/>
      <c r="FZT187" s="117"/>
      <c r="FZU187" s="117"/>
      <c r="FZV187" s="117"/>
      <c r="FZW187" s="117"/>
      <c r="FZX187" s="117"/>
      <c r="FZY187" s="117"/>
      <c r="FZZ187" s="117"/>
      <c r="GAA187" s="117"/>
      <c r="GAB187" s="117"/>
      <c r="GAC187" s="117"/>
      <c r="GAD187" s="117"/>
      <c r="GAE187" s="117"/>
      <c r="GAF187" s="117"/>
      <c r="GAG187" s="117"/>
      <c r="GAH187" s="117"/>
      <c r="GAI187" s="117"/>
      <c r="GAJ187" s="117"/>
      <c r="GAK187" s="117"/>
      <c r="GAL187" s="117"/>
      <c r="GAM187" s="117"/>
      <c r="GAN187" s="117"/>
      <c r="GAO187" s="117"/>
      <c r="GAP187" s="117"/>
      <c r="GAQ187" s="117"/>
      <c r="GAR187" s="117"/>
      <c r="GAS187" s="117"/>
      <c r="GAT187" s="117"/>
      <c r="GAU187" s="117"/>
      <c r="GAV187" s="117"/>
      <c r="GAW187" s="117"/>
      <c r="GAX187" s="117"/>
      <c r="GAY187" s="117"/>
      <c r="GAZ187" s="117"/>
      <c r="GBA187" s="117"/>
      <c r="GBB187" s="117"/>
      <c r="GBC187" s="117"/>
      <c r="GBD187" s="117"/>
      <c r="GBE187" s="117"/>
      <c r="GBF187" s="117"/>
      <c r="GBG187" s="117"/>
      <c r="GBH187" s="117"/>
      <c r="GBI187" s="117"/>
      <c r="GBJ187" s="117"/>
      <c r="GBK187" s="117"/>
      <c r="GBL187" s="117"/>
      <c r="GBM187" s="117"/>
      <c r="GBN187" s="117"/>
      <c r="GBO187" s="117"/>
      <c r="GBP187" s="117"/>
      <c r="GBQ187" s="117"/>
      <c r="GBR187" s="117"/>
      <c r="GBS187" s="117"/>
      <c r="GBT187" s="117"/>
      <c r="GBU187" s="117"/>
      <c r="GBV187" s="117"/>
      <c r="GBW187" s="117"/>
      <c r="GBX187" s="117"/>
      <c r="GBY187" s="117"/>
      <c r="GBZ187" s="117"/>
      <c r="GCA187" s="117"/>
      <c r="GCB187" s="117"/>
      <c r="GCC187" s="117"/>
      <c r="GCD187" s="117"/>
      <c r="GCE187" s="117"/>
      <c r="GCF187" s="117"/>
      <c r="GCG187" s="117"/>
      <c r="GCH187" s="117"/>
      <c r="GCI187" s="117"/>
      <c r="GCJ187" s="117"/>
      <c r="GCK187" s="117"/>
      <c r="GCL187" s="117"/>
      <c r="GCM187" s="117"/>
      <c r="GCN187" s="117"/>
      <c r="GCO187" s="117"/>
      <c r="GCP187" s="117"/>
      <c r="GCQ187" s="117"/>
      <c r="GCR187" s="117"/>
      <c r="GCS187" s="117"/>
      <c r="GCT187" s="117"/>
      <c r="GCU187" s="117"/>
      <c r="GCV187" s="117"/>
      <c r="GCW187" s="117"/>
      <c r="GCX187" s="117"/>
      <c r="GCY187" s="117"/>
      <c r="GCZ187" s="117"/>
      <c r="GDA187" s="117"/>
      <c r="GDB187" s="117"/>
      <c r="GDC187" s="117"/>
      <c r="GDD187" s="117"/>
      <c r="GDE187" s="117"/>
      <c r="GDF187" s="117"/>
      <c r="GDG187" s="117"/>
      <c r="GDH187" s="117"/>
      <c r="GDI187" s="117"/>
      <c r="GDJ187" s="117"/>
      <c r="GDK187" s="117"/>
      <c r="GDL187" s="117"/>
      <c r="GDM187" s="117"/>
      <c r="GDN187" s="117"/>
      <c r="GDO187" s="117"/>
      <c r="GDP187" s="117"/>
      <c r="GDQ187" s="117"/>
      <c r="GDR187" s="117"/>
      <c r="GDS187" s="117"/>
      <c r="GDT187" s="117"/>
      <c r="GDU187" s="117"/>
      <c r="GDV187" s="117"/>
      <c r="GDW187" s="117"/>
      <c r="GDX187" s="117"/>
      <c r="GDY187" s="117"/>
      <c r="GDZ187" s="117"/>
      <c r="GEA187" s="117"/>
      <c r="GEB187" s="117"/>
      <c r="GEC187" s="117"/>
      <c r="GED187" s="117"/>
      <c r="GEE187" s="117"/>
      <c r="GEF187" s="117"/>
      <c r="GEG187" s="117"/>
      <c r="GEH187" s="117"/>
      <c r="GEI187" s="117"/>
      <c r="GEJ187" s="117"/>
      <c r="GEK187" s="117"/>
      <c r="GEL187" s="117"/>
      <c r="GEM187" s="117"/>
      <c r="GEN187" s="117"/>
      <c r="GEO187" s="117"/>
      <c r="GEP187" s="117"/>
      <c r="GEQ187" s="117"/>
      <c r="GER187" s="117"/>
      <c r="GES187" s="117"/>
      <c r="GET187" s="117"/>
      <c r="GEU187" s="117"/>
      <c r="GEV187" s="117"/>
      <c r="GEW187" s="117"/>
      <c r="GEX187" s="117"/>
      <c r="GEY187" s="117"/>
      <c r="GEZ187" s="117"/>
      <c r="GFA187" s="117"/>
      <c r="GFB187" s="117"/>
      <c r="GFC187" s="117"/>
      <c r="GFD187" s="117"/>
      <c r="GFE187" s="117"/>
      <c r="GFF187" s="117"/>
      <c r="GFG187" s="117"/>
      <c r="GFH187" s="117"/>
      <c r="GFI187" s="117"/>
      <c r="GFJ187" s="117"/>
      <c r="GFK187" s="117"/>
      <c r="GFL187" s="117"/>
      <c r="GFM187" s="117"/>
      <c r="GFN187" s="117"/>
      <c r="GFO187" s="117"/>
      <c r="GFP187" s="117"/>
      <c r="GFQ187" s="117"/>
      <c r="GFR187" s="117"/>
      <c r="GFS187" s="117"/>
      <c r="GFT187" s="117"/>
      <c r="GFU187" s="117"/>
      <c r="GFV187" s="117"/>
      <c r="GFW187" s="117"/>
      <c r="GFX187" s="117"/>
      <c r="GFY187" s="117"/>
      <c r="GFZ187" s="117"/>
      <c r="GGA187" s="117"/>
      <c r="GGB187" s="117"/>
      <c r="GGC187" s="117"/>
      <c r="GGD187" s="117"/>
      <c r="GGE187" s="117"/>
      <c r="GGF187" s="117"/>
      <c r="GGG187" s="117"/>
      <c r="GGH187" s="117"/>
      <c r="GGI187" s="117"/>
      <c r="GGJ187" s="117"/>
      <c r="GGK187" s="117"/>
      <c r="GGL187" s="117"/>
      <c r="GGM187" s="117"/>
      <c r="GGN187" s="117"/>
      <c r="GGO187" s="117"/>
      <c r="GGP187" s="117"/>
      <c r="GGQ187" s="117"/>
      <c r="GGR187" s="117"/>
      <c r="GGS187" s="117"/>
      <c r="GGT187" s="117"/>
      <c r="GGU187" s="117"/>
      <c r="GGV187" s="117"/>
      <c r="GGW187" s="117"/>
      <c r="GGX187" s="117"/>
      <c r="GGY187" s="117"/>
      <c r="GGZ187" s="117"/>
      <c r="GHA187" s="117"/>
      <c r="GHB187" s="117"/>
      <c r="GHC187" s="117"/>
      <c r="GHD187" s="117"/>
      <c r="GHE187" s="117"/>
      <c r="GHF187" s="117"/>
      <c r="GHG187" s="117"/>
      <c r="GHH187" s="117"/>
      <c r="GHI187" s="117"/>
      <c r="GHJ187" s="117"/>
      <c r="GHK187" s="117"/>
      <c r="GHL187" s="117"/>
      <c r="GHM187" s="117"/>
      <c r="GHN187" s="117"/>
      <c r="GHO187" s="117"/>
      <c r="GHP187" s="117"/>
      <c r="GHQ187" s="117"/>
      <c r="GHR187" s="117"/>
      <c r="GHS187" s="117"/>
      <c r="GHT187" s="117"/>
      <c r="GHU187" s="117"/>
      <c r="GHV187" s="117"/>
      <c r="GHW187" s="117"/>
      <c r="GHX187" s="117"/>
      <c r="GHY187" s="117"/>
      <c r="GHZ187" s="117"/>
      <c r="GIA187" s="117"/>
      <c r="GIB187" s="117"/>
      <c r="GIC187" s="117"/>
      <c r="GID187" s="117"/>
      <c r="GIE187" s="117"/>
      <c r="GIF187" s="117"/>
      <c r="GIG187" s="117"/>
      <c r="GIH187" s="117"/>
      <c r="GII187" s="117"/>
      <c r="GIJ187" s="117"/>
      <c r="GIK187" s="117"/>
      <c r="GIL187" s="117"/>
      <c r="GIM187" s="117"/>
      <c r="GIN187" s="117"/>
      <c r="GIO187" s="117"/>
      <c r="GIP187" s="117"/>
      <c r="GIQ187" s="117"/>
      <c r="GIR187" s="117"/>
      <c r="GIS187" s="117"/>
      <c r="GIT187" s="117"/>
      <c r="GIU187" s="117"/>
      <c r="GIV187" s="117"/>
      <c r="GIW187" s="117"/>
      <c r="GIX187" s="117"/>
      <c r="GIY187" s="117"/>
      <c r="GIZ187" s="117"/>
      <c r="GJA187" s="117"/>
      <c r="GJB187" s="117"/>
      <c r="GJC187" s="117"/>
      <c r="GJD187" s="117"/>
      <c r="GJE187" s="117"/>
      <c r="GJF187" s="117"/>
      <c r="GJG187" s="117"/>
      <c r="GJH187" s="117"/>
      <c r="GJI187" s="117"/>
      <c r="GJJ187" s="117"/>
      <c r="GJK187" s="117"/>
      <c r="GJL187" s="117"/>
      <c r="GJM187" s="117"/>
      <c r="GJN187" s="117"/>
      <c r="GJO187" s="117"/>
      <c r="GJP187" s="117"/>
      <c r="GJQ187" s="117"/>
      <c r="GJR187" s="117"/>
      <c r="GJS187" s="117"/>
      <c r="GJT187" s="117"/>
      <c r="GJU187" s="117"/>
      <c r="GJV187" s="117"/>
      <c r="GJW187" s="117"/>
      <c r="GJX187" s="117"/>
      <c r="GJY187" s="117"/>
      <c r="GJZ187" s="117"/>
      <c r="GKA187" s="117"/>
      <c r="GKB187" s="117"/>
      <c r="GKC187" s="117"/>
      <c r="GKD187" s="117"/>
      <c r="GKE187" s="117"/>
      <c r="GKF187" s="117"/>
      <c r="GKG187" s="117"/>
      <c r="GKH187" s="117"/>
      <c r="GKI187" s="117"/>
      <c r="GKJ187" s="117"/>
      <c r="GKK187" s="117"/>
      <c r="GKL187" s="117"/>
      <c r="GKM187" s="117"/>
      <c r="GKN187" s="117"/>
      <c r="GKO187" s="117"/>
      <c r="GKP187" s="117"/>
      <c r="GKQ187" s="117"/>
      <c r="GKR187" s="117"/>
      <c r="GKS187" s="117"/>
      <c r="GKT187" s="117"/>
      <c r="GKU187" s="117"/>
      <c r="GKV187" s="117"/>
      <c r="GKW187" s="117"/>
      <c r="GKX187" s="117"/>
      <c r="GKY187" s="117"/>
      <c r="GKZ187" s="117"/>
      <c r="GLA187" s="117"/>
      <c r="GLB187" s="117"/>
      <c r="GLC187" s="117"/>
      <c r="GLD187" s="117"/>
      <c r="GLE187" s="117"/>
      <c r="GLF187" s="117"/>
      <c r="GLG187" s="117"/>
      <c r="GLH187" s="117"/>
      <c r="GLI187" s="117"/>
      <c r="GLJ187" s="117"/>
      <c r="GLK187" s="117"/>
      <c r="GLL187" s="117"/>
      <c r="GLM187" s="117"/>
      <c r="GLN187" s="117"/>
      <c r="GLO187" s="117"/>
      <c r="GLP187" s="117"/>
      <c r="GLQ187" s="117"/>
      <c r="GLR187" s="117"/>
      <c r="GLS187" s="117"/>
      <c r="GLT187" s="117"/>
      <c r="GLU187" s="117"/>
      <c r="GLV187" s="117"/>
      <c r="GLW187" s="117"/>
      <c r="GLX187" s="117"/>
      <c r="GLY187" s="117"/>
      <c r="GLZ187" s="117"/>
      <c r="GMA187" s="117"/>
      <c r="GMB187" s="117"/>
      <c r="GMC187" s="117"/>
      <c r="GMD187" s="117"/>
      <c r="GME187" s="117"/>
      <c r="GMF187" s="117"/>
      <c r="GMG187" s="117"/>
      <c r="GMH187" s="117"/>
      <c r="GMI187" s="117"/>
      <c r="GMJ187" s="117"/>
      <c r="GMK187" s="117"/>
      <c r="GML187" s="117"/>
      <c r="GMM187" s="117"/>
      <c r="GMN187" s="117"/>
      <c r="GMO187" s="117"/>
      <c r="GMP187" s="117"/>
      <c r="GMQ187" s="117"/>
      <c r="GMR187" s="117"/>
      <c r="GMS187" s="117"/>
      <c r="GMT187" s="117"/>
      <c r="GMU187" s="117"/>
      <c r="GMV187" s="117"/>
      <c r="GMW187" s="117"/>
      <c r="GMX187" s="117"/>
      <c r="GMY187" s="117"/>
      <c r="GMZ187" s="117"/>
      <c r="GNA187" s="117"/>
      <c r="GNB187" s="117"/>
      <c r="GNC187" s="117"/>
      <c r="GND187" s="117"/>
      <c r="GNE187" s="117"/>
      <c r="GNF187" s="117"/>
      <c r="GNG187" s="117"/>
      <c r="GNH187" s="117"/>
      <c r="GNI187" s="117"/>
      <c r="GNJ187" s="117"/>
      <c r="GNK187" s="117"/>
      <c r="GNL187" s="117"/>
      <c r="GNM187" s="117"/>
      <c r="GNN187" s="117"/>
      <c r="GNO187" s="117"/>
      <c r="GNP187" s="117"/>
      <c r="GNQ187" s="117"/>
      <c r="GNR187" s="117"/>
      <c r="GNS187" s="117"/>
      <c r="GNT187" s="117"/>
      <c r="GNU187" s="117"/>
      <c r="GNV187" s="117"/>
      <c r="GNW187" s="117"/>
      <c r="GNX187" s="117"/>
      <c r="GNY187" s="117"/>
      <c r="GNZ187" s="117"/>
      <c r="GOA187" s="117"/>
      <c r="GOB187" s="117"/>
      <c r="GOC187" s="117"/>
      <c r="GOD187" s="117"/>
      <c r="GOE187" s="117"/>
      <c r="GOF187" s="117"/>
      <c r="GOG187" s="117"/>
      <c r="GOH187" s="117"/>
      <c r="GOI187" s="117"/>
      <c r="GOJ187" s="117"/>
      <c r="GOK187" s="117"/>
      <c r="GOL187" s="117"/>
      <c r="GOM187" s="117"/>
      <c r="GON187" s="117"/>
      <c r="GOO187" s="117"/>
      <c r="GOP187" s="117"/>
      <c r="GOQ187" s="117"/>
      <c r="GOR187" s="117"/>
      <c r="GOS187" s="117"/>
      <c r="GOT187" s="117"/>
      <c r="GOU187" s="117"/>
      <c r="GOV187" s="117"/>
      <c r="GOW187" s="117"/>
      <c r="GOX187" s="117"/>
      <c r="GOY187" s="117"/>
      <c r="GOZ187" s="117"/>
      <c r="GPA187" s="117"/>
      <c r="GPB187" s="117"/>
      <c r="GPC187" s="117"/>
      <c r="GPD187" s="117"/>
      <c r="GPE187" s="117"/>
      <c r="GPF187" s="117"/>
      <c r="GPG187" s="117"/>
      <c r="GPH187" s="117"/>
      <c r="GPI187" s="117"/>
      <c r="GPJ187" s="117"/>
      <c r="GPK187" s="117"/>
      <c r="GPL187" s="117"/>
      <c r="GPM187" s="117"/>
      <c r="GPN187" s="117"/>
      <c r="GPO187" s="117"/>
      <c r="GPP187" s="117"/>
      <c r="GPQ187" s="117"/>
      <c r="GPR187" s="117"/>
      <c r="GPS187" s="117"/>
      <c r="GPT187" s="117"/>
      <c r="GPU187" s="117"/>
      <c r="GPV187" s="117"/>
      <c r="GPW187" s="117"/>
      <c r="GPX187" s="117"/>
      <c r="GPY187" s="117"/>
      <c r="GPZ187" s="117"/>
      <c r="GQA187" s="117"/>
      <c r="GQB187" s="117"/>
      <c r="GQC187" s="117"/>
      <c r="GQD187" s="117"/>
      <c r="GQE187" s="117"/>
      <c r="GQF187" s="117"/>
      <c r="GQG187" s="117"/>
      <c r="GQH187" s="117"/>
      <c r="GQI187" s="117"/>
      <c r="GQJ187" s="117"/>
      <c r="GQK187" s="117"/>
      <c r="GQL187" s="117"/>
      <c r="GQM187" s="117"/>
      <c r="GQN187" s="117"/>
      <c r="GQO187" s="117"/>
      <c r="GQP187" s="117"/>
      <c r="GQQ187" s="117"/>
      <c r="GQR187" s="117"/>
      <c r="GQS187" s="117"/>
      <c r="GQT187" s="117"/>
      <c r="GQU187" s="117"/>
      <c r="GQV187" s="117"/>
      <c r="GQW187" s="117"/>
      <c r="GQX187" s="117"/>
      <c r="GQY187" s="117"/>
      <c r="GQZ187" s="117"/>
      <c r="GRA187" s="117"/>
      <c r="GRB187" s="117"/>
      <c r="GRC187" s="117"/>
      <c r="GRD187" s="117"/>
      <c r="GRE187" s="117"/>
      <c r="GRF187" s="117"/>
      <c r="GRG187" s="117"/>
      <c r="GRH187" s="117"/>
      <c r="GRI187" s="117"/>
      <c r="GRJ187" s="117"/>
      <c r="GRK187" s="117"/>
      <c r="GRL187" s="117"/>
      <c r="GRM187" s="117"/>
      <c r="GRN187" s="117"/>
      <c r="GRO187" s="117"/>
      <c r="GRP187" s="117"/>
      <c r="GRQ187" s="117"/>
      <c r="GRR187" s="117"/>
      <c r="GRS187" s="117"/>
      <c r="GRT187" s="117"/>
      <c r="GRU187" s="117"/>
      <c r="GRV187" s="117"/>
      <c r="GRW187" s="117"/>
      <c r="GRX187" s="117"/>
      <c r="GRY187" s="117"/>
      <c r="GRZ187" s="117"/>
      <c r="GSA187" s="117"/>
      <c r="GSB187" s="117"/>
      <c r="GSC187" s="117"/>
      <c r="GSD187" s="117"/>
      <c r="GSE187" s="117"/>
      <c r="GSF187" s="117"/>
      <c r="GSG187" s="117"/>
      <c r="GSH187" s="117"/>
      <c r="GSI187" s="117"/>
      <c r="GSJ187" s="117"/>
      <c r="GSK187" s="117"/>
      <c r="GSL187" s="117"/>
      <c r="GSM187" s="117"/>
      <c r="GSN187" s="117"/>
      <c r="GSO187" s="117"/>
      <c r="GSP187" s="117"/>
      <c r="GSQ187" s="117"/>
      <c r="GSR187" s="117"/>
      <c r="GSS187" s="117"/>
      <c r="GST187" s="117"/>
      <c r="GSU187" s="117"/>
      <c r="GSV187" s="117"/>
      <c r="GSW187" s="117"/>
      <c r="GSX187" s="117"/>
      <c r="GSY187" s="117"/>
      <c r="GSZ187" s="117"/>
      <c r="GTA187" s="117"/>
      <c r="GTB187" s="117"/>
      <c r="GTC187" s="117"/>
      <c r="GTD187" s="117"/>
      <c r="GTE187" s="117"/>
      <c r="GTF187" s="117"/>
      <c r="GTG187" s="117"/>
      <c r="GTH187" s="117"/>
      <c r="GTI187" s="117"/>
      <c r="GTJ187" s="117"/>
      <c r="GTK187" s="117"/>
      <c r="GTL187" s="117"/>
      <c r="GTM187" s="117"/>
      <c r="GTN187" s="117"/>
      <c r="GTO187" s="117"/>
      <c r="GTP187" s="117"/>
      <c r="GTQ187" s="117"/>
      <c r="GTR187" s="117"/>
      <c r="GTS187" s="117"/>
      <c r="GTT187" s="117"/>
      <c r="GTU187" s="117"/>
      <c r="GTV187" s="117"/>
      <c r="GTW187" s="117"/>
      <c r="GTX187" s="117"/>
      <c r="GTY187" s="117"/>
      <c r="GTZ187" s="117"/>
      <c r="GUA187" s="117"/>
      <c r="GUB187" s="117"/>
      <c r="GUC187" s="117"/>
      <c r="GUD187" s="117"/>
      <c r="GUE187" s="117"/>
      <c r="GUF187" s="117"/>
      <c r="GUG187" s="117"/>
      <c r="GUH187" s="117"/>
      <c r="GUI187" s="117"/>
      <c r="GUJ187" s="117"/>
      <c r="GUK187" s="117"/>
      <c r="GUL187" s="117"/>
      <c r="GUM187" s="117"/>
      <c r="GUN187" s="117"/>
      <c r="GUO187" s="117"/>
      <c r="GUP187" s="117"/>
      <c r="GUQ187" s="117"/>
      <c r="GUR187" s="117"/>
      <c r="GUS187" s="117"/>
      <c r="GUT187" s="117"/>
      <c r="GUU187" s="117"/>
      <c r="GUV187" s="117"/>
      <c r="GUW187" s="117"/>
      <c r="GUX187" s="117"/>
      <c r="GUY187" s="117"/>
      <c r="GUZ187" s="117"/>
      <c r="GVA187" s="117"/>
      <c r="GVB187" s="117"/>
      <c r="GVC187" s="117"/>
      <c r="GVD187" s="117"/>
      <c r="GVE187" s="117"/>
      <c r="GVF187" s="117"/>
      <c r="GVG187" s="117"/>
      <c r="GVH187" s="117"/>
      <c r="GVI187" s="117"/>
      <c r="GVJ187" s="117"/>
      <c r="GVK187" s="117"/>
      <c r="GVL187" s="117"/>
      <c r="GVM187" s="117"/>
      <c r="GVN187" s="117"/>
      <c r="GVO187" s="117"/>
      <c r="GVP187" s="117"/>
      <c r="GVQ187" s="117"/>
      <c r="GVR187" s="117"/>
      <c r="GVS187" s="117"/>
      <c r="GVT187" s="117"/>
      <c r="GVU187" s="117"/>
      <c r="GVV187" s="117"/>
      <c r="GVW187" s="117"/>
      <c r="GVX187" s="117"/>
      <c r="GVY187" s="117"/>
      <c r="GVZ187" s="117"/>
      <c r="GWA187" s="117"/>
      <c r="GWB187" s="117"/>
      <c r="GWC187" s="117"/>
      <c r="GWD187" s="117"/>
      <c r="GWE187" s="117"/>
      <c r="GWF187" s="117"/>
      <c r="GWG187" s="117"/>
      <c r="GWH187" s="117"/>
      <c r="GWI187" s="117"/>
      <c r="GWJ187" s="117"/>
      <c r="GWK187" s="117"/>
      <c r="GWL187" s="117"/>
      <c r="GWM187" s="117"/>
      <c r="GWN187" s="117"/>
      <c r="GWO187" s="117"/>
      <c r="GWP187" s="117"/>
      <c r="GWQ187" s="117"/>
      <c r="GWR187" s="117"/>
      <c r="GWS187" s="117"/>
      <c r="GWT187" s="117"/>
      <c r="GWU187" s="117"/>
      <c r="GWV187" s="117"/>
      <c r="GWW187" s="117"/>
      <c r="GWX187" s="117"/>
      <c r="GWY187" s="117"/>
      <c r="GWZ187" s="117"/>
      <c r="GXA187" s="117"/>
      <c r="GXB187" s="117"/>
      <c r="GXC187" s="117"/>
      <c r="GXD187" s="117"/>
      <c r="GXE187" s="117"/>
      <c r="GXF187" s="117"/>
      <c r="GXG187" s="117"/>
      <c r="GXH187" s="117"/>
      <c r="GXI187" s="117"/>
      <c r="GXJ187" s="117"/>
      <c r="GXK187" s="117"/>
      <c r="GXL187" s="117"/>
      <c r="GXM187" s="117"/>
      <c r="GXN187" s="117"/>
      <c r="GXO187" s="117"/>
      <c r="GXP187" s="117"/>
      <c r="GXQ187" s="117"/>
      <c r="GXR187" s="117"/>
      <c r="GXS187" s="117"/>
      <c r="GXT187" s="117"/>
      <c r="GXU187" s="117"/>
      <c r="GXV187" s="117"/>
      <c r="GXW187" s="117"/>
      <c r="GXX187" s="117"/>
      <c r="GXY187" s="117"/>
      <c r="GXZ187" s="117"/>
      <c r="GYA187" s="117"/>
      <c r="GYB187" s="117"/>
      <c r="GYC187" s="117"/>
      <c r="GYD187" s="117"/>
      <c r="GYE187" s="117"/>
      <c r="GYF187" s="117"/>
      <c r="GYG187" s="117"/>
      <c r="GYH187" s="117"/>
      <c r="GYI187" s="117"/>
      <c r="GYJ187" s="117"/>
      <c r="GYK187" s="117"/>
      <c r="GYL187" s="117"/>
      <c r="GYM187" s="117"/>
      <c r="GYN187" s="117"/>
      <c r="GYO187" s="117"/>
      <c r="GYP187" s="117"/>
      <c r="GYQ187" s="117"/>
      <c r="GYR187" s="117"/>
      <c r="GYS187" s="117"/>
      <c r="GYT187" s="117"/>
      <c r="GYU187" s="117"/>
      <c r="GYV187" s="117"/>
      <c r="GYW187" s="117"/>
      <c r="GYX187" s="117"/>
      <c r="GYY187" s="117"/>
      <c r="GYZ187" s="117"/>
      <c r="GZA187" s="117"/>
      <c r="GZB187" s="117"/>
      <c r="GZC187" s="117"/>
      <c r="GZD187" s="117"/>
      <c r="GZE187" s="117"/>
      <c r="GZF187" s="117"/>
      <c r="GZG187" s="117"/>
      <c r="GZH187" s="117"/>
      <c r="GZI187" s="117"/>
      <c r="GZJ187" s="117"/>
      <c r="GZK187" s="117"/>
      <c r="GZL187" s="117"/>
      <c r="GZM187" s="117"/>
      <c r="GZN187" s="117"/>
      <c r="GZO187" s="117"/>
      <c r="GZP187" s="117"/>
      <c r="GZQ187" s="117"/>
      <c r="GZR187" s="117"/>
      <c r="GZS187" s="117"/>
      <c r="GZT187" s="117"/>
      <c r="GZU187" s="117"/>
      <c r="GZV187" s="117"/>
      <c r="GZW187" s="117"/>
      <c r="GZX187" s="117"/>
      <c r="GZY187" s="117"/>
      <c r="GZZ187" s="117"/>
      <c r="HAA187" s="117"/>
      <c r="HAB187" s="117"/>
      <c r="HAC187" s="117"/>
      <c r="HAD187" s="117"/>
      <c r="HAE187" s="117"/>
      <c r="HAF187" s="117"/>
      <c r="HAG187" s="117"/>
      <c r="HAH187" s="117"/>
      <c r="HAI187" s="117"/>
      <c r="HAJ187" s="117"/>
      <c r="HAK187" s="117"/>
      <c r="HAL187" s="117"/>
      <c r="HAM187" s="117"/>
      <c r="HAN187" s="117"/>
      <c r="HAO187" s="117"/>
      <c r="HAP187" s="117"/>
      <c r="HAQ187" s="117"/>
      <c r="HAR187" s="117"/>
      <c r="HAS187" s="117"/>
      <c r="HAT187" s="117"/>
      <c r="HAU187" s="117"/>
      <c r="HAV187" s="117"/>
      <c r="HAW187" s="117"/>
      <c r="HAX187" s="117"/>
      <c r="HAY187" s="117"/>
      <c r="HAZ187" s="117"/>
      <c r="HBA187" s="117"/>
      <c r="HBB187" s="117"/>
      <c r="HBC187" s="117"/>
      <c r="HBD187" s="117"/>
      <c r="HBE187" s="117"/>
      <c r="HBF187" s="117"/>
      <c r="HBG187" s="117"/>
      <c r="HBH187" s="117"/>
      <c r="HBI187" s="117"/>
      <c r="HBJ187" s="117"/>
      <c r="HBK187" s="117"/>
      <c r="HBL187" s="117"/>
      <c r="HBM187" s="117"/>
      <c r="HBN187" s="117"/>
      <c r="HBO187" s="117"/>
      <c r="HBP187" s="117"/>
      <c r="HBQ187" s="117"/>
      <c r="HBR187" s="117"/>
      <c r="HBS187" s="117"/>
      <c r="HBT187" s="117"/>
      <c r="HBU187" s="117"/>
      <c r="HBV187" s="117"/>
      <c r="HBW187" s="117"/>
      <c r="HBX187" s="117"/>
      <c r="HBY187" s="117"/>
      <c r="HBZ187" s="117"/>
      <c r="HCA187" s="117"/>
      <c r="HCB187" s="117"/>
      <c r="HCC187" s="117"/>
      <c r="HCD187" s="117"/>
      <c r="HCE187" s="117"/>
      <c r="HCF187" s="117"/>
      <c r="HCG187" s="117"/>
      <c r="HCH187" s="117"/>
      <c r="HCI187" s="117"/>
      <c r="HCJ187" s="117"/>
      <c r="HCK187" s="117"/>
      <c r="HCL187" s="117"/>
      <c r="HCM187" s="117"/>
      <c r="HCN187" s="117"/>
      <c r="HCO187" s="117"/>
      <c r="HCP187" s="117"/>
      <c r="HCQ187" s="117"/>
      <c r="HCR187" s="117"/>
      <c r="HCS187" s="117"/>
      <c r="HCT187" s="117"/>
      <c r="HCU187" s="117"/>
      <c r="HCV187" s="117"/>
      <c r="HCW187" s="117"/>
      <c r="HCX187" s="117"/>
      <c r="HCY187" s="117"/>
      <c r="HCZ187" s="117"/>
      <c r="HDA187" s="117"/>
      <c r="HDB187" s="117"/>
      <c r="HDC187" s="117"/>
      <c r="HDD187" s="117"/>
      <c r="HDE187" s="117"/>
      <c r="HDF187" s="117"/>
      <c r="HDG187" s="117"/>
      <c r="HDH187" s="117"/>
      <c r="HDI187" s="117"/>
      <c r="HDJ187" s="117"/>
      <c r="HDK187" s="117"/>
      <c r="HDL187" s="117"/>
      <c r="HDM187" s="117"/>
      <c r="HDN187" s="117"/>
      <c r="HDO187" s="117"/>
      <c r="HDP187" s="117"/>
      <c r="HDQ187" s="117"/>
      <c r="HDR187" s="117"/>
      <c r="HDS187" s="117"/>
      <c r="HDT187" s="117"/>
      <c r="HDU187" s="117"/>
      <c r="HDV187" s="117"/>
      <c r="HDW187" s="117"/>
      <c r="HDX187" s="117"/>
      <c r="HDY187" s="117"/>
      <c r="HDZ187" s="117"/>
      <c r="HEA187" s="117"/>
      <c r="HEB187" s="117"/>
      <c r="HEC187" s="117"/>
      <c r="HED187" s="117"/>
      <c r="HEE187" s="117"/>
      <c r="HEF187" s="117"/>
      <c r="HEG187" s="117"/>
      <c r="HEH187" s="117"/>
      <c r="HEI187" s="117"/>
      <c r="HEJ187" s="117"/>
      <c r="HEK187" s="117"/>
      <c r="HEL187" s="117"/>
      <c r="HEM187" s="117"/>
      <c r="HEN187" s="117"/>
      <c r="HEO187" s="117"/>
      <c r="HEP187" s="117"/>
      <c r="HEQ187" s="117"/>
      <c r="HER187" s="117"/>
      <c r="HES187" s="117"/>
      <c r="HET187" s="117"/>
      <c r="HEU187" s="117"/>
      <c r="HEV187" s="117"/>
      <c r="HEW187" s="117"/>
      <c r="HEX187" s="117"/>
      <c r="HEY187" s="117"/>
      <c r="HEZ187" s="117"/>
      <c r="HFA187" s="117"/>
      <c r="HFB187" s="117"/>
      <c r="HFC187" s="117"/>
      <c r="HFD187" s="117"/>
      <c r="HFE187" s="117"/>
      <c r="HFF187" s="117"/>
      <c r="HFG187" s="117"/>
      <c r="HFH187" s="117"/>
      <c r="HFI187" s="117"/>
      <c r="HFJ187" s="117"/>
      <c r="HFK187" s="117"/>
      <c r="HFL187" s="117"/>
      <c r="HFM187" s="117"/>
      <c r="HFN187" s="117"/>
      <c r="HFO187" s="117"/>
      <c r="HFP187" s="117"/>
      <c r="HFQ187" s="117"/>
      <c r="HFR187" s="117"/>
      <c r="HFS187" s="117"/>
      <c r="HFT187" s="117"/>
      <c r="HFU187" s="117"/>
      <c r="HFV187" s="117"/>
      <c r="HFW187" s="117"/>
      <c r="HFX187" s="117"/>
      <c r="HFY187" s="117"/>
      <c r="HFZ187" s="117"/>
      <c r="HGA187" s="117"/>
      <c r="HGB187" s="117"/>
      <c r="HGC187" s="117"/>
      <c r="HGD187" s="117"/>
      <c r="HGE187" s="117"/>
      <c r="HGF187" s="117"/>
      <c r="HGG187" s="117"/>
      <c r="HGH187" s="117"/>
      <c r="HGI187" s="117"/>
      <c r="HGJ187" s="117"/>
      <c r="HGK187" s="117"/>
      <c r="HGL187" s="117"/>
      <c r="HGM187" s="117"/>
      <c r="HGN187" s="117"/>
      <c r="HGO187" s="117"/>
      <c r="HGP187" s="117"/>
      <c r="HGQ187" s="117"/>
      <c r="HGR187" s="117"/>
      <c r="HGS187" s="117"/>
      <c r="HGT187" s="117"/>
      <c r="HGU187" s="117"/>
      <c r="HGV187" s="117"/>
      <c r="HGW187" s="117"/>
      <c r="HGX187" s="117"/>
      <c r="HGY187" s="117"/>
      <c r="HGZ187" s="117"/>
      <c r="HHA187" s="117"/>
      <c r="HHB187" s="117"/>
      <c r="HHC187" s="117"/>
      <c r="HHD187" s="117"/>
      <c r="HHE187" s="117"/>
      <c r="HHF187" s="117"/>
      <c r="HHG187" s="117"/>
      <c r="HHH187" s="117"/>
      <c r="HHI187" s="117"/>
      <c r="HHJ187" s="117"/>
      <c r="HHK187" s="117"/>
      <c r="HHL187" s="117"/>
      <c r="HHM187" s="117"/>
      <c r="HHN187" s="117"/>
      <c r="HHO187" s="117"/>
      <c r="HHP187" s="117"/>
      <c r="HHQ187" s="117"/>
      <c r="HHR187" s="117"/>
      <c r="HHS187" s="117"/>
      <c r="HHT187" s="117"/>
      <c r="HHU187" s="117"/>
      <c r="HHV187" s="117"/>
      <c r="HHW187" s="117"/>
      <c r="HHX187" s="117"/>
      <c r="HHY187" s="117"/>
      <c r="HHZ187" s="117"/>
      <c r="HIA187" s="117"/>
      <c r="HIB187" s="117"/>
      <c r="HIC187" s="117"/>
      <c r="HID187" s="117"/>
      <c r="HIE187" s="117"/>
      <c r="HIF187" s="117"/>
      <c r="HIG187" s="117"/>
      <c r="HIH187" s="117"/>
      <c r="HII187" s="117"/>
      <c r="HIJ187" s="117"/>
      <c r="HIK187" s="117"/>
      <c r="HIL187" s="117"/>
      <c r="HIM187" s="117"/>
      <c r="HIN187" s="117"/>
      <c r="HIO187" s="117"/>
      <c r="HIP187" s="117"/>
      <c r="HIQ187" s="117"/>
      <c r="HIR187" s="117"/>
      <c r="HIS187" s="117"/>
      <c r="HIT187" s="117"/>
      <c r="HIU187" s="117"/>
      <c r="HIV187" s="117"/>
      <c r="HIW187" s="117"/>
      <c r="HIX187" s="117"/>
      <c r="HIY187" s="117"/>
      <c r="HIZ187" s="117"/>
      <c r="HJA187" s="117"/>
      <c r="HJB187" s="117"/>
      <c r="HJC187" s="117"/>
      <c r="HJD187" s="117"/>
      <c r="HJE187" s="117"/>
      <c r="HJF187" s="117"/>
      <c r="HJG187" s="117"/>
      <c r="HJH187" s="117"/>
      <c r="HJI187" s="117"/>
      <c r="HJJ187" s="117"/>
      <c r="HJK187" s="117"/>
      <c r="HJL187" s="117"/>
      <c r="HJM187" s="117"/>
      <c r="HJN187" s="117"/>
      <c r="HJO187" s="117"/>
      <c r="HJP187" s="117"/>
      <c r="HJQ187" s="117"/>
      <c r="HJR187" s="117"/>
      <c r="HJS187" s="117"/>
      <c r="HJT187" s="117"/>
      <c r="HJU187" s="117"/>
      <c r="HJV187" s="117"/>
      <c r="HJW187" s="117"/>
      <c r="HJX187" s="117"/>
      <c r="HJY187" s="117"/>
      <c r="HJZ187" s="117"/>
      <c r="HKA187" s="117"/>
      <c r="HKB187" s="117"/>
      <c r="HKC187" s="117"/>
      <c r="HKD187" s="117"/>
      <c r="HKE187" s="117"/>
      <c r="HKF187" s="117"/>
      <c r="HKG187" s="117"/>
      <c r="HKH187" s="117"/>
      <c r="HKI187" s="117"/>
      <c r="HKJ187" s="117"/>
      <c r="HKK187" s="117"/>
      <c r="HKL187" s="117"/>
      <c r="HKM187" s="117"/>
      <c r="HKN187" s="117"/>
      <c r="HKO187" s="117"/>
      <c r="HKP187" s="117"/>
      <c r="HKQ187" s="117"/>
      <c r="HKR187" s="117"/>
      <c r="HKS187" s="117"/>
      <c r="HKT187" s="117"/>
      <c r="HKU187" s="117"/>
      <c r="HKV187" s="117"/>
      <c r="HKW187" s="117"/>
      <c r="HKX187" s="117"/>
      <c r="HKY187" s="117"/>
      <c r="HKZ187" s="117"/>
      <c r="HLA187" s="117"/>
      <c r="HLB187" s="117"/>
      <c r="HLC187" s="117"/>
      <c r="HLD187" s="117"/>
      <c r="HLE187" s="117"/>
      <c r="HLF187" s="117"/>
      <c r="HLG187" s="117"/>
      <c r="HLH187" s="117"/>
      <c r="HLI187" s="117"/>
      <c r="HLJ187" s="117"/>
      <c r="HLK187" s="117"/>
      <c r="HLL187" s="117"/>
      <c r="HLM187" s="117"/>
      <c r="HLN187" s="117"/>
      <c r="HLO187" s="117"/>
      <c r="HLP187" s="117"/>
      <c r="HLQ187" s="117"/>
      <c r="HLR187" s="117"/>
      <c r="HLS187" s="117"/>
      <c r="HLT187" s="117"/>
      <c r="HLU187" s="117"/>
      <c r="HLV187" s="117"/>
      <c r="HLW187" s="117"/>
      <c r="HLX187" s="117"/>
      <c r="HLY187" s="117"/>
      <c r="HLZ187" s="117"/>
      <c r="HMA187" s="117"/>
      <c r="HMB187" s="117"/>
      <c r="HMC187" s="117"/>
      <c r="HMD187" s="117"/>
      <c r="HME187" s="117"/>
      <c r="HMF187" s="117"/>
      <c r="HMG187" s="117"/>
      <c r="HMH187" s="117"/>
      <c r="HMI187" s="117"/>
      <c r="HMJ187" s="117"/>
      <c r="HMK187" s="117"/>
      <c r="HML187" s="117"/>
      <c r="HMM187" s="117"/>
      <c r="HMN187" s="117"/>
      <c r="HMO187" s="117"/>
      <c r="HMP187" s="117"/>
      <c r="HMQ187" s="117"/>
      <c r="HMR187" s="117"/>
      <c r="HMS187" s="117"/>
      <c r="HMT187" s="117"/>
      <c r="HMU187" s="117"/>
      <c r="HMV187" s="117"/>
      <c r="HMW187" s="117"/>
      <c r="HMX187" s="117"/>
      <c r="HMY187" s="117"/>
      <c r="HMZ187" s="117"/>
      <c r="HNA187" s="117"/>
      <c r="HNB187" s="117"/>
      <c r="HNC187" s="117"/>
      <c r="HND187" s="117"/>
      <c r="HNE187" s="117"/>
      <c r="HNF187" s="117"/>
      <c r="HNG187" s="117"/>
      <c r="HNH187" s="117"/>
      <c r="HNI187" s="117"/>
      <c r="HNJ187" s="117"/>
      <c r="HNK187" s="117"/>
      <c r="HNL187" s="117"/>
      <c r="HNM187" s="117"/>
      <c r="HNN187" s="117"/>
      <c r="HNO187" s="117"/>
      <c r="HNP187" s="117"/>
      <c r="HNQ187" s="117"/>
      <c r="HNR187" s="117"/>
      <c r="HNS187" s="117"/>
      <c r="HNT187" s="117"/>
      <c r="HNU187" s="117"/>
      <c r="HNV187" s="117"/>
      <c r="HNW187" s="117"/>
      <c r="HNX187" s="117"/>
      <c r="HNY187" s="117"/>
      <c r="HNZ187" s="117"/>
      <c r="HOA187" s="117"/>
      <c r="HOB187" s="117"/>
      <c r="HOC187" s="117"/>
      <c r="HOD187" s="117"/>
      <c r="HOE187" s="117"/>
      <c r="HOF187" s="117"/>
      <c r="HOG187" s="117"/>
      <c r="HOH187" s="117"/>
      <c r="HOI187" s="117"/>
      <c r="HOJ187" s="117"/>
      <c r="HOK187" s="117"/>
      <c r="HOL187" s="117"/>
      <c r="HOM187" s="117"/>
      <c r="HON187" s="117"/>
      <c r="HOO187" s="117"/>
      <c r="HOP187" s="117"/>
      <c r="HOQ187" s="117"/>
      <c r="HOR187" s="117"/>
      <c r="HOS187" s="117"/>
      <c r="HOT187" s="117"/>
      <c r="HOU187" s="117"/>
      <c r="HOV187" s="117"/>
      <c r="HOW187" s="117"/>
      <c r="HOX187" s="117"/>
      <c r="HOY187" s="117"/>
      <c r="HOZ187" s="117"/>
      <c r="HPA187" s="117"/>
      <c r="HPB187" s="117"/>
      <c r="HPC187" s="117"/>
      <c r="HPD187" s="117"/>
      <c r="HPE187" s="117"/>
      <c r="HPF187" s="117"/>
      <c r="HPG187" s="117"/>
      <c r="HPH187" s="117"/>
      <c r="HPI187" s="117"/>
      <c r="HPJ187" s="117"/>
      <c r="HPK187" s="117"/>
      <c r="HPL187" s="117"/>
      <c r="HPM187" s="117"/>
      <c r="HPN187" s="117"/>
      <c r="HPO187" s="117"/>
      <c r="HPP187" s="117"/>
      <c r="HPQ187" s="117"/>
      <c r="HPR187" s="117"/>
      <c r="HPS187" s="117"/>
      <c r="HPT187" s="117"/>
      <c r="HPU187" s="117"/>
      <c r="HPV187" s="117"/>
      <c r="HPW187" s="117"/>
      <c r="HPX187" s="117"/>
      <c r="HPY187" s="117"/>
      <c r="HPZ187" s="117"/>
      <c r="HQA187" s="117"/>
      <c r="HQB187" s="117"/>
      <c r="HQC187" s="117"/>
      <c r="HQD187" s="117"/>
      <c r="HQE187" s="117"/>
      <c r="HQF187" s="117"/>
      <c r="HQG187" s="117"/>
      <c r="HQH187" s="117"/>
      <c r="HQI187" s="117"/>
      <c r="HQJ187" s="117"/>
      <c r="HQK187" s="117"/>
      <c r="HQL187" s="117"/>
      <c r="HQM187" s="117"/>
      <c r="HQN187" s="117"/>
      <c r="HQO187" s="117"/>
      <c r="HQP187" s="117"/>
      <c r="HQQ187" s="117"/>
      <c r="HQR187" s="117"/>
      <c r="HQS187" s="117"/>
      <c r="HQT187" s="117"/>
      <c r="HQU187" s="117"/>
      <c r="HQV187" s="117"/>
      <c r="HQW187" s="117"/>
      <c r="HQX187" s="117"/>
      <c r="HQY187" s="117"/>
      <c r="HQZ187" s="117"/>
      <c r="HRA187" s="117"/>
      <c r="HRB187" s="117"/>
      <c r="HRC187" s="117"/>
      <c r="HRD187" s="117"/>
      <c r="HRE187" s="117"/>
      <c r="HRF187" s="117"/>
      <c r="HRG187" s="117"/>
      <c r="HRH187" s="117"/>
      <c r="HRI187" s="117"/>
      <c r="HRJ187" s="117"/>
      <c r="HRK187" s="117"/>
      <c r="HRL187" s="117"/>
      <c r="HRM187" s="117"/>
      <c r="HRN187" s="117"/>
      <c r="HRO187" s="117"/>
      <c r="HRP187" s="117"/>
      <c r="HRQ187" s="117"/>
      <c r="HRR187" s="117"/>
      <c r="HRS187" s="117"/>
      <c r="HRT187" s="117"/>
      <c r="HRU187" s="117"/>
      <c r="HRV187" s="117"/>
      <c r="HRW187" s="117"/>
      <c r="HRX187" s="117"/>
      <c r="HRY187" s="117"/>
      <c r="HRZ187" s="117"/>
      <c r="HSA187" s="117"/>
      <c r="HSB187" s="117"/>
      <c r="HSC187" s="117"/>
      <c r="HSD187" s="117"/>
      <c r="HSE187" s="117"/>
      <c r="HSF187" s="117"/>
      <c r="HSG187" s="117"/>
      <c r="HSH187" s="117"/>
      <c r="HSI187" s="117"/>
      <c r="HSJ187" s="117"/>
      <c r="HSK187" s="117"/>
      <c r="HSL187" s="117"/>
      <c r="HSM187" s="117"/>
      <c r="HSN187" s="117"/>
      <c r="HSO187" s="117"/>
      <c r="HSP187" s="117"/>
      <c r="HSQ187" s="117"/>
      <c r="HSR187" s="117"/>
      <c r="HSS187" s="117"/>
      <c r="HST187" s="117"/>
      <c r="HSU187" s="117"/>
      <c r="HSV187" s="117"/>
      <c r="HSW187" s="117"/>
      <c r="HSX187" s="117"/>
      <c r="HSY187" s="117"/>
      <c r="HSZ187" s="117"/>
      <c r="HTA187" s="117"/>
      <c r="HTB187" s="117"/>
      <c r="HTC187" s="117"/>
      <c r="HTD187" s="117"/>
      <c r="HTE187" s="117"/>
      <c r="HTF187" s="117"/>
      <c r="HTG187" s="117"/>
      <c r="HTH187" s="117"/>
      <c r="HTI187" s="117"/>
      <c r="HTJ187" s="117"/>
      <c r="HTK187" s="117"/>
      <c r="HTL187" s="117"/>
      <c r="HTM187" s="117"/>
      <c r="HTN187" s="117"/>
      <c r="HTO187" s="117"/>
      <c r="HTP187" s="117"/>
      <c r="HTQ187" s="117"/>
      <c r="HTR187" s="117"/>
      <c r="HTS187" s="117"/>
      <c r="HTT187" s="117"/>
      <c r="HTU187" s="117"/>
      <c r="HTV187" s="117"/>
      <c r="HTW187" s="117"/>
      <c r="HTX187" s="117"/>
      <c r="HTY187" s="117"/>
      <c r="HTZ187" s="117"/>
      <c r="HUA187" s="117"/>
      <c r="HUB187" s="117"/>
      <c r="HUC187" s="117"/>
      <c r="HUD187" s="117"/>
      <c r="HUE187" s="117"/>
      <c r="HUF187" s="117"/>
      <c r="HUG187" s="117"/>
      <c r="HUH187" s="117"/>
      <c r="HUI187" s="117"/>
      <c r="HUJ187" s="117"/>
      <c r="HUK187" s="117"/>
      <c r="HUL187" s="117"/>
      <c r="HUM187" s="117"/>
      <c r="HUN187" s="117"/>
      <c r="HUO187" s="117"/>
      <c r="HUP187" s="117"/>
      <c r="HUQ187" s="117"/>
      <c r="HUR187" s="117"/>
      <c r="HUS187" s="117"/>
      <c r="HUT187" s="117"/>
      <c r="HUU187" s="117"/>
      <c r="HUV187" s="117"/>
      <c r="HUW187" s="117"/>
      <c r="HUX187" s="117"/>
      <c r="HUY187" s="117"/>
      <c r="HUZ187" s="117"/>
      <c r="HVA187" s="117"/>
      <c r="HVB187" s="117"/>
      <c r="HVC187" s="117"/>
      <c r="HVD187" s="117"/>
      <c r="HVE187" s="117"/>
      <c r="HVF187" s="117"/>
      <c r="HVG187" s="117"/>
      <c r="HVH187" s="117"/>
      <c r="HVI187" s="117"/>
      <c r="HVJ187" s="117"/>
      <c r="HVK187" s="117"/>
      <c r="HVL187" s="117"/>
      <c r="HVM187" s="117"/>
      <c r="HVN187" s="117"/>
      <c r="HVO187" s="117"/>
      <c r="HVP187" s="117"/>
      <c r="HVQ187" s="117"/>
      <c r="HVR187" s="117"/>
      <c r="HVS187" s="117"/>
      <c r="HVT187" s="117"/>
      <c r="HVU187" s="117"/>
      <c r="HVV187" s="117"/>
      <c r="HVW187" s="117"/>
      <c r="HVX187" s="117"/>
      <c r="HVY187" s="117"/>
      <c r="HVZ187" s="117"/>
      <c r="HWA187" s="117"/>
      <c r="HWB187" s="117"/>
      <c r="HWC187" s="117"/>
      <c r="HWD187" s="117"/>
      <c r="HWE187" s="117"/>
      <c r="HWF187" s="117"/>
      <c r="HWG187" s="117"/>
      <c r="HWH187" s="117"/>
      <c r="HWI187" s="117"/>
      <c r="HWJ187" s="117"/>
      <c r="HWK187" s="117"/>
      <c r="HWL187" s="117"/>
      <c r="HWM187" s="117"/>
      <c r="HWN187" s="117"/>
      <c r="HWO187" s="117"/>
      <c r="HWP187" s="117"/>
      <c r="HWQ187" s="117"/>
      <c r="HWR187" s="117"/>
      <c r="HWS187" s="117"/>
      <c r="HWT187" s="117"/>
      <c r="HWU187" s="117"/>
      <c r="HWV187" s="117"/>
      <c r="HWW187" s="117"/>
      <c r="HWX187" s="117"/>
      <c r="HWY187" s="117"/>
      <c r="HWZ187" s="117"/>
      <c r="HXA187" s="117"/>
      <c r="HXB187" s="117"/>
      <c r="HXC187" s="117"/>
      <c r="HXD187" s="117"/>
      <c r="HXE187" s="117"/>
      <c r="HXF187" s="117"/>
      <c r="HXG187" s="117"/>
      <c r="HXH187" s="117"/>
      <c r="HXI187" s="117"/>
      <c r="HXJ187" s="117"/>
      <c r="HXK187" s="117"/>
      <c r="HXL187" s="117"/>
      <c r="HXM187" s="117"/>
      <c r="HXN187" s="117"/>
      <c r="HXO187" s="117"/>
      <c r="HXP187" s="117"/>
      <c r="HXQ187" s="117"/>
      <c r="HXR187" s="117"/>
      <c r="HXS187" s="117"/>
      <c r="HXT187" s="117"/>
      <c r="HXU187" s="117"/>
      <c r="HXV187" s="117"/>
      <c r="HXW187" s="117"/>
      <c r="HXX187" s="117"/>
      <c r="HXY187" s="117"/>
      <c r="HXZ187" s="117"/>
      <c r="HYA187" s="117"/>
      <c r="HYB187" s="117"/>
      <c r="HYC187" s="117"/>
      <c r="HYD187" s="117"/>
      <c r="HYE187" s="117"/>
      <c r="HYF187" s="117"/>
      <c r="HYG187" s="117"/>
      <c r="HYH187" s="117"/>
      <c r="HYI187" s="117"/>
      <c r="HYJ187" s="117"/>
      <c r="HYK187" s="117"/>
      <c r="HYL187" s="117"/>
      <c r="HYM187" s="117"/>
      <c r="HYN187" s="117"/>
      <c r="HYO187" s="117"/>
      <c r="HYP187" s="117"/>
      <c r="HYQ187" s="117"/>
      <c r="HYR187" s="117"/>
      <c r="HYS187" s="117"/>
      <c r="HYT187" s="117"/>
      <c r="HYU187" s="117"/>
      <c r="HYV187" s="117"/>
      <c r="HYW187" s="117"/>
      <c r="HYX187" s="117"/>
      <c r="HYY187" s="117"/>
      <c r="HYZ187" s="117"/>
      <c r="HZA187" s="117"/>
      <c r="HZB187" s="117"/>
      <c r="HZC187" s="117"/>
      <c r="HZD187" s="117"/>
      <c r="HZE187" s="117"/>
      <c r="HZF187" s="117"/>
      <c r="HZG187" s="117"/>
      <c r="HZH187" s="117"/>
      <c r="HZI187" s="117"/>
      <c r="HZJ187" s="117"/>
      <c r="HZK187" s="117"/>
      <c r="HZL187" s="117"/>
      <c r="HZM187" s="117"/>
      <c r="HZN187" s="117"/>
      <c r="HZO187" s="117"/>
      <c r="HZP187" s="117"/>
      <c r="HZQ187" s="117"/>
      <c r="HZR187" s="117"/>
      <c r="HZS187" s="117"/>
      <c r="HZT187" s="117"/>
      <c r="HZU187" s="117"/>
      <c r="HZV187" s="117"/>
      <c r="HZW187" s="117"/>
      <c r="HZX187" s="117"/>
      <c r="HZY187" s="117"/>
      <c r="HZZ187" s="117"/>
      <c r="IAA187" s="117"/>
      <c r="IAB187" s="117"/>
      <c r="IAC187" s="117"/>
      <c r="IAD187" s="117"/>
      <c r="IAE187" s="117"/>
      <c r="IAF187" s="117"/>
      <c r="IAG187" s="117"/>
      <c r="IAH187" s="117"/>
      <c r="IAI187" s="117"/>
      <c r="IAJ187" s="117"/>
      <c r="IAK187" s="117"/>
      <c r="IAL187" s="117"/>
      <c r="IAM187" s="117"/>
      <c r="IAN187" s="117"/>
      <c r="IAO187" s="117"/>
      <c r="IAP187" s="117"/>
      <c r="IAQ187" s="117"/>
      <c r="IAR187" s="117"/>
      <c r="IAS187" s="117"/>
      <c r="IAT187" s="117"/>
      <c r="IAU187" s="117"/>
      <c r="IAV187" s="117"/>
      <c r="IAW187" s="117"/>
      <c r="IAX187" s="117"/>
      <c r="IAY187" s="117"/>
      <c r="IAZ187" s="117"/>
      <c r="IBA187" s="117"/>
      <c r="IBB187" s="117"/>
      <c r="IBC187" s="117"/>
      <c r="IBD187" s="117"/>
      <c r="IBE187" s="117"/>
      <c r="IBF187" s="117"/>
      <c r="IBG187" s="117"/>
      <c r="IBH187" s="117"/>
      <c r="IBI187" s="117"/>
      <c r="IBJ187" s="117"/>
      <c r="IBK187" s="117"/>
      <c r="IBL187" s="117"/>
      <c r="IBM187" s="117"/>
      <c r="IBN187" s="117"/>
      <c r="IBO187" s="117"/>
      <c r="IBP187" s="117"/>
      <c r="IBQ187" s="117"/>
      <c r="IBR187" s="117"/>
      <c r="IBS187" s="117"/>
      <c r="IBT187" s="117"/>
      <c r="IBU187" s="117"/>
      <c r="IBV187" s="117"/>
      <c r="IBW187" s="117"/>
      <c r="IBX187" s="117"/>
      <c r="IBY187" s="117"/>
      <c r="IBZ187" s="117"/>
      <c r="ICA187" s="117"/>
      <c r="ICB187" s="117"/>
      <c r="ICC187" s="117"/>
      <c r="ICD187" s="117"/>
      <c r="ICE187" s="117"/>
      <c r="ICF187" s="117"/>
      <c r="ICG187" s="117"/>
      <c r="ICH187" s="117"/>
      <c r="ICI187" s="117"/>
      <c r="ICJ187" s="117"/>
      <c r="ICK187" s="117"/>
      <c r="ICL187" s="117"/>
      <c r="ICM187" s="117"/>
      <c r="ICN187" s="117"/>
      <c r="ICO187" s="117"/>
      <c r="ICP187" s="117"/>
      <c r="ICQ187" s="117"/>
      <c r="ICR187" s="117"/>
      <c r="ICS187" s="117"/>
      <c r="ICT187" s="117"/>
      <c r="ICU187" s="117"/>
      <c r="ICV187" s="117"/>
      <c r="ICW187" s="117"/>
      <c r="ICX187" s="117"/>
      <c r="ICY187" s="117"/>
      <c r="ICZ187" s="117"/>
      <c r="IDA187" s="117"/>
      <c r="IDB187" s="117"/>
      <c r="IDC187" s="117"/>
      <c r="IDD187" s="117"/>
      <c r="IDE187" s="117"/>
      <c r="IDF187" s="117"/>
      <c r="IDG187" s="117"/>
      <c r="IDH187" s="117"/>
      <c r="IDI187" s="117"/>
      <c r="IDJ187" s="117"/>
      <c r="IDK187" s="117"/>
      <c r="IDL187" s="117"/>
      <c r="IDM187" s="117"/>
      <c r="IDN187" s="117"/>
      <c r="IDO187" s="117"/>
      <c r="IDP187" s="117"/>
      <c r="IDQ187" s="117"/>
      <c r="IDR187" s="117"/>
      <c r="IDS187" s="117"/>
      <c r="IDT187" s="117"/>
      <c r="IDU187" s="117"/>
      <c r="IDV187" s="117"/>
      <c r="IDW187" s="117"/>
      <c r="IDX187" s="117"/>
      <c r="IDY187" s="117"/>
      <c r="IDZ187" s="117"/>
      <c r="IEA187" s="117"/>
      <c r="IEB187" s="117"/>
      <c r="IEC187" s="117"/>
      <c r="IED187" s="117"/>
      <c r="IEE187" s="117"/>
      <c r="IEF187" s="117"/>
      <c r="IEG187" s="117"/>
      <c r="IEH187" s="117"/>
      <c r="IEI187" s="117"/>
      <c r="IEJ187" s="117"/>
      <c r="IEK187" s="117"/>
      <c r="IEL187" s="117"/>
      <c r="IEM187" s="117"/>
      <c r="IEN187" s="117"/>
      <c r="IEO187" s="117"/>
      <c r="IEP187" s="117"/>
      <c r="IEQ187" s="117"/>
      <c r="IER187" s="117"/>
      <c r="IES187" s="117"/>
      <c r="IET187" s="117"/>
      <c r="IEU187" s="117"/>
      <c r="IEV187" s="117"/>
      <c r="IEW187" s="117"/>
      <c r="IEX187" s="117"/>
      <c r="IEY187" s="117"/>
      <c r="IEZ187" s="117"/>
      <c r="IFA187" s="117"/>
      <c r="IFB187" s="117"/>
      <c r="IFC187" s="117"/>
      <c r="IFD187" s="117"/>
      <c r="IFE187" s="117"/>
      <c r="IFF187" s="117"/>
      <c r="IFG187" s="117"/>
      <c r="IFH187" s="117"/>
      <c r="IFI187" s="117"/>
      <c r="IFJ187" s="117"/>
      <c r="IFK187" s="117"/>
      <c r="IFL187" s="117"/>
      <c r="IFM187" s="117"/>
      <c r="IFN187" s="117"/>
      <c r="IFO187" s="117"/>
      <c r="IFP187" s="117"/>
      <c r="IFQ187" s="117"/>
      <c r="IFR187" s="117"/>
      <c r="IFS187" s="117"/>
      <c r="IFT187" s="117"/>
      <c r="IFU187" s="117"/>
      <c r="IFV187" s="117"/>
      <c r="IFW187" s="117"/>
      <c r="IFX187" s="117"/>
      <c r="IFY187" s="117"/>
      <c r="IFZ187" s="117"/>
      <c r="IGA187" s="117"/>
      <c r="IGB187" s="117"/>
      <c r="IGC187" s="117"/>
      <c r="IGD187" s="117"/>
      <c r="IGE187" s="117"/>
      <c r="IGF187" s="117"/>
      <c r="IGG187" s="117"/>
      <c r="IGH187" s="117"/>
      <c r="IGI187" s="117"/>
      <c r="IGJ187" s="117"/>
      <c r="IGK187" s="117"/>
      <c r="IGL187" s="117"/>
      <c r="IGM187" s="117"/>
      <c r="IGN187" s="117"/>
      <c r="IGO187" s="117"/>
      <c r="IGP187" s="117"/>
      <c r="IGQ187" s="117"/>
      <c r="IGR187" s="117"/>
      <c r="IGS187" s="117"/>
      <c r="IGT187" s="117"/>
      <c r="IGU187" s="117"/>
      <c r="IGV187" s="117"/>
      <c r="IGW187" s="117"/>
      <c r="IGX187" s="117"/>
      <c r="IGY187" s="117"/>
      <c r="IGZ187" s="117"/>
      <c r="IHA187" s="117"/>
      <c r="IHB187" s="117"/>
      <c r="IHC187" s="117"/>
      <c r="IHD187" s="117"/>
      <c r="IHE187" s="117"/>
      <c r="IHF187" s="117"/>
      <c r="IHG187" s="117"/>
      <c r="IHH187" s="117"/>
      <c r="IHI187" s="117"/>
      <c r="IHJ187" s="117"/>
      <c r="IHK187" s="117"/>
      <c r="IHL187" s="117"/>
      <c r="IHM187" s="117"/>
      <c r="IHN187" s="117"/>
      <c r="IHO187" s="117"/>
      <c r="IHP187" s="117"/>
      <c r="IHQ187" s="117"/>
      <c r="IHR187" s="117"/>
      <c r="IHS187" s="117"/>
      <c r="IHT187" s="117"/>
      <c r="IHU187" s="117"/>
      <c r="IHV187" s="117"/>
      <c r="IHW187" s="117"/>
      <c r="IHX187" s="117"/>
      <c r="IHY187" s="117"/>
      <c r="IHZ187" s="117"/>
      <c r="IIA187" s="117"/>
      <c r="IIB187" s="117"/>
      <c r="IIC187" s="117"/>
      <c r="IID187" s="117"/>
      <c r="IIE187" s="117"/>
      <c r="IIF187" s="117"/>
      <c r="IIG187" s="117"/>
      <c r="IIH187" s="117"/>
      <c r="III187" s="117"/>
      <c r="IIJ187" s="117"/>
      <c r="IIK187" s="117"/>
      <c r="IIL187" s="117"/>
      <c r="IIM187" s="117"/>
      <c r="IIN187" s="117"/>
      <c r="IIO187" s="117"/>
      <c r="IIP187" s="117"/>
      <c r="IIQ187" s="117"/>
      <c r="IIR187" s="117"/>
      <c r="IIS187" s="117"/>
      <c r="IIT187" s="117"/>
      <c r="IIU187" s="117"/>
      <c r="IIV187" s="117"/>
      <c r="IIW187" s="117"/>
      <c r="IIX187" s="117"/>
      <c r="IIY187" s="117"/>
      <c r="IIZ187" s="117"/>
      <c r="IJA187" s="117"/>
      <c r="IJB187" s="117"/>
      <c r="IJC187" s="117"/>
      <c r="IJD187" s="117"/>
      <c r="IJE187" s="117"/>
      <c r="IJF187" s="117"/>
      <c r="IJG187" s="117"/>
      <c r="IJH187" s="117"/>
      <c r="IJI187" s="117"/>
      <c r="IJJ187" s="117"/>
      <c r="IJK187" s="117"/>
      <c r="IJL187" s="117"/>
      <c r="IJM187" s="117"/>
      <c r="IJN187" s="117"/>
      <c r="IJO187" s="117"/>
      <c r="IJP187" s="117"/>
      <c r="IJQ187" s="117"/>
      <c r="IJR187" s="117"/>
      <c r="IJS187" s="117"/>
      <c r="IJT187" s="117"/>
      <c r="IJU187" s="117"/>
      <c r="IJV187" s="117"/>
      <c r="IJW187" s="117"/>
      <c r="IJX187" s="117"/>
      <c r="IJY187" s="117"/>
      <c r="IJZ187" s="117"/>
      <c r="IKA187" s="117"/>
      <c r="IKB187" s="117"/>
      <c r="IKC187" s="117"/>
      <c r="IKD187" s="117"/>
      <c r="IKE187" s="117"/>
      <c r="IKF187" s="117"/>
      <c r="IKG187" s="117"/>
      <c r="IKH187" s="117"/>
      <c r="IKI187" s="117"/>
      <c r="IKJ187" s="117"/>
      <c r="IKK187" s="117"/>
      <c r="IKL187" s="117"/>
      <c r="IKM187" s="117"/>
      <c r="IKN187" s="117"/>
      <c r="IKO187" s="117"/>
      <c r="IKP187" s="117"/>
      <c r="IKQ187" s="117"/>
      <c r="IKR187" s="117"/>
      <c r="IKS187" s="117"/>
      <c r="IKT187" s="117"/>
      <c r="IKU187" s="117"/>
      <c r="IKV187" s="117"/>
      <c r="IKW187" s="117"/>
      <c r="IKX187" s="117"/>
      <c r="IKY187" s="117"/>
      <c r="IKZ187" s="117"/>
      <c r="ILA187" s="117"/>
      <c r="ILB187" s="117"/>
      <c r="ILC187" s="117"/>
      <c r="ILD187" s="117"/>
      <c r="ILE187" s="117"/>
      <c r="ILF187" s="117"/>
      <c r="ILG187" s="117"/>
      <c r="ILH187" s="117"/>
      <c r="ILI187" s="117"/>
      <c r="ILJ187" s="117"/>
      <c r="ILK187" s="117"/>
      <c r="ILL187" s="117"/>
      <c r="ILM187" s="117"/>
      <c r="ILN187" s="117"/>
      <c r="ILO187" s="117"/>
      <c r="ILP187" s="117"/>
      <c r="ILQ187" s="117"/>
      <c r="ILR187" s="117"/>
      <c r="ILS187" s="117"/>
      <c r="ILT187" s="117"/>
      <c r="ILU187" s="117"/>
      <c r="ILV187" s="117"/>
      <c r="ILW187" s="117"/>
      <c r="ILX187" s="117"/>
      <c r="ILY187" s="117"/>
      <c r="ILZ187" s="117"/>
      <c r="IMA187" s="117"/>
      <c r="IMB187" s="117"/>
      <c r="IMC187" s="117"/>
      <c r="IMD187" s="117"/>
      <c r="IME187" s="117"/>
      <c r="IMF187" s="117"/>
      <c r="IMG187" s="117"/>
      <c r="IMH187" s="117"/>
      <c r="IMI187" s="117"/>
      <c r="IMJ187" s="117"/>
      <c r="IMK187" s="117"/>
      <c r="IML187" s="117"/>
      <c r="IMM187" s="117"/>
      <c r="IMN187" s="117"/>
      <c r="IMO187" s="117"/>
      <c r="IMP187" s="117"/>
      <c r="IMQ187" s="117"/>
      <c r="IMR187" s="117"/>
      <c r="IMS187" s="117"/>
      <c r="IMT187" s="117"/>
      <c r="IMU187" s="117"/>
      <c r="IMV187" s="117"/>
      <c r="IMW187" s="117"/>
      <c r="IMX187" s="117"/>
      <c r="IMY187" s="117"/>
      <c r="IMZ187" s="117"/>
      <c r="INA187" s="117"/>
      <c r="INB187" s="117"/>
      <c r="INC187" s="117"/>
      <c r="IND187" s="117"/>
      <c r="INE187" s="117"/>
      <c r="INF187" s="117"/>
      <c r="ING187" s="117"/>
      <c r="INH187" s="117"/>
      <c r="INI187" s="117"/>
      <c r="INJ187" s="117"/>
      <c r="INK187" s="117"/>
      <c r="INL187" s="117"/>
      <c r="INM187" s="117"/>
      <c r="INN187" s="117"/>
      <c r="INO187" s="117"/>
      <c r="INP187" s="117"/>
      <c r="INQ187" s="117"/>
      <c r="INR187" s="117"/>
      <c r="INS187" s="117"/>
      <c r="INT187" s="117"/>
      <c r="INU187" s="117"/>
      <c r="INV187" s="117"/>
      <c r="INW187" s="117"/>
      <c r="INX187" s="117"/>
      <c r="INY187" s="117"/>
      <c r="INZ187" s="117"/>
      <c r="IOA187" s="117"/>
      <c r="IOB187" s="117"/>
      <c r="IOC187" s="117"/>
      <c r="IOD187" s="117"/>
      <c r="IOE187" s="117"/>
      <c r="IOF187" s="117"/>
      <c r="IOG187" s="117"/>
      <c r="IOH187" s="117"/>
      <c r="IOI187" s="117"/>
      <c r="IOJ187" s="117"/>
      <c r="IOK187" s="117"/>
      <c r="IOL187" s="117"/>
      <c r="IOM187" s="117"/>
      <c r="ION187" s="117"/>
      <c r="IOO187" s="117"/>
      <c r="IOP187" s="117"/>
      <c r="IOQ187" s="117"/>
      <c r="IOR187" s="117"/>
      <c r="IOS187" s="117"/>
      <c r="IOT187" s="117"/>
      <c r="IOU187" s="117"/>
      <c r="IOV187" s="117"/>
      <c r="IOW187" s="117"/>
      <c r="IOX187" s="117"/>
      <c r="IOY187" s="117"/>
      <c r="IOZ187" s="117"/>
      <c r="IPA187" s="117"/>
      <c r="IPB187" s="117"/>
      <c r="IPC187" s="117"/>
      <c r="IPD187" s="117"/>
      <c r="IPE187" s="117"/>
      <c r="IPF187" s="117"/>
      <c r="IPG187" s="117"/>
      <c r="IPH187" s="117"/>
      <c r="IPI187" s="117"/>
      <c r="IPJ187" s="117"/>
      <c r="IPK187" s="117"/>
      <c r="IPL187" s="117"/>
      <c r="IPM187" s="117"/>
      <c r="IPN187" s="117"/>
      <c r="IPO187" s="117"/>
      <c r="IPP187" s="117"/>
      <c r="IPQ187" s="117"/>
      <c r="IPR187" s="117"/>
      <c r="IPS187" s="117"/>
      <c r="IPT187" s="117"/>
      <c r="IPU187" s="117"/>
      <c r="IPV187" s="117"/>
      <c r="IPW187" s="117"/>
      <c r="IPX187" s="117"/>
      <c r="IPY187" s="117"/>
      <c r="IPZ187" s="117"/>
      <c r="IQA187" s="117"/>
      <c r="IQB187" s="117"/>
      <c r="IQC187" s="117"/>
      <c r="IQD187" s="117"/>
      <c r="IQE187" s="117"/>
      <c r="IQF187" s="117"/>
      <c r="IQG187" s="117"/>
      <c r="IQH187" s="117"/>
      <c r="IQI187" s="117"/>
      <c r="IQJ187" s="117"/>
      <c r="IQK187" s="117"/>
      <c r="IQL187" s="117"/>
      <c r="IQM187" s="117"/>
      <c r="IQN187" s="117"/>
      <c r="IQO187" s="117"/>
      <c r="IQP187" s="117"/>
      <c r="IQQ187" s="117"/>
      <c r="IQR187" s="117"/>
      <c r="IQS187" s="117"/>
      <c r="IQT187" s="117"/>
      <c r="IQU187" s="117"/>
      <c r="IQV187" s="117"/>
      <c r="IQW187" s="117"/>
      <c r="IQX187" s="117"/>
      <c r="IQY187" s="117"/>
      <c r="IQZ187" s="117"/>
      <c r="IRA187" s="117"/>
      <c r="IRB187" s="117"/>
      <c r="IRC187" s="117"/>
      <c r="IRD187" s="117"/>
      <c r="IRE187" s="117"/>
      <c r="IRF187" s="117"/>
      <c r="IRG187" s="117"/>
      <c r="IRH187" s="117"/>
      <c r="IRI187" s="117"/>
      <c r="IRJ187" s="117"/>
      <c r="IRK187" s="117"/>
      <c r="IRL187" s="117"/>
      <c r="IRM187" s="117"/>
      <c r="IRN187" s="117"/>
      <c r="IRO187" s="117"/>
      <c r="IRP187" s="117"/>
      <c r="IRQ187" s="117"/>
      <c r="IRR187" s="117"/>
      <c r="IRS187" s="117"/>
      <c r="IRT187" s="117"/>
      <c r="IRU187" s="117"/>
      <c r="IRV187" s="117"/>
      <c r="IRW187" s="117"/>
      <c r="IRX187" s="117"/>
      <c r="IRY187" s="117"/>
      <c r="IRZ187" s="117"/>
      <c r="ISA187" s="117"/>
      <c r="ISB187" s="117"/>
      <c r="ISC187" s="117"/>
      <c r="ISD187" s="117"/>
      <c r="ISE187" s="117"/>
      <c r="ISF187" s="117"/>
      <c r="ISG187" s="117"/>
      <c r="ISH187" s="117"/>
      <c r="ISI187" s="117"/>
      <c r="ISJ187" s="117"/>
      <c r="ISK187" s="117"/>
      <c r="ISL187" s="117"/>
      <c r="ISM187" s="117"/>
      <c r="ISN187" s="117"/>
      <c r="ISO187" s="117"/>
      <c r="ISP187" s="117"/>
      <c r="ISQ187" s="117"/>
      <c r="ISR187" s="117"/>
      <c r="ISS187" s="117"/>
      <c r="IST187" s="117"/>
      <c r="ISU187" s="117"/>
      <c r="ISV187" s="117"/>
      <c r="ISW187" s="117"/>
      <c r="ISX187" s="117"/>
      <c r="ISY187" s="117"/>
      <c r="ISZ187" s="117"/>
      <c r="ITA187" s="117"/>
      <c r="ITB187" s="117"/>
      <c r="ITC187" s="117"/>
      <c r="ITD187" s="117"/>
      <c r="ITE187" s="117"/>
      <c r="ITF187" s="117"/>
      <c r="ITG187" s="117"/>
      <c r="ITH187" s="117"/>
      <c r="ITI187" s="117"/>
      <c r="ITJ187" s="117"/>
      <c r="ITK187" s="117"/>
      <c r="ITL187" s="117"/>
      <c r="ITM187" s="117"/>
      <c r="ITN187" s="117"/>
      <c r="ITO187" s="117"/>
      <c r="ITP187" s="117"/>
      <c r="ITQ187" s="117"/>
      <c r="ITR187" s="117"/>
      <c r="ITS187" s="117"/>
      <c r="ITT187" s="117"/>
      <c r="ITU187" s="117"/>
      <c r="ITV187" s="117"/>
      <c r="ITW187" s="117"/>
      <c r="ITX187" s="117"/>
      <c r="ITY187" s="117"/>
      <c r="ITZ187" s="117"/>
      <c r="IUA187" s="117"/>
      <c r="IUB187" s="117"/>
      <c r="IUC187" s="117"/>
      <c r="IUD187" s="117"/>
      <c r="IUE187" s="117"/>
      <c r="IUF187" s="117"/>
      <c r="IUG187" s="117"/>
      <c r="IUH187" s="117"/>
      <c r="IUI187" s="117"/>
      <c r="IUJ187" s="117"/>
      <c r="IUK187" s="117"/>
      <c r="IUL187" s="117"/>
      <c r="IUM187" s="117"/>
      <c r="IUN187" s="117"/>
      <c r="IUO187" s="117"/>
      <c r="IUP187" s="117"/>
      <c r="IUQ187" s="117"/>
      <c r="IUR187" s="117"/>
      <c r="IUS187" s="117"/>
      <c r="IUT187" s="117"/>
      <c r="IUU187" s="117"/>
      <c r="IUV187" s="117"/>
      <c r="IUW187" s="117"/>
      <c r="IUX187" s="117"/>
      <c r="IUY187" s="117"/>
      <c r="IUZ187" s="117"/>
      <c r="IVA187" s="117"/>
      <c r="IVB187" s="117"/>
      <c r="IVC187" s="117"/>
      <c r="IVD187" s="117"/>
      <c r="IVE187" s="117"/>
      <c r="IVF187" s="117"/>
      <c r="IVG187" s="117"/>
      <c r="IVH187" s="117"/>
      <c r="IVI187" s="117"/>
      <c r="IVJ187" s="117"/>
      <c r="IVK187" s="117"/>
      <c r="IVL187" s="117"/>
      <c r="IVM187" s="117"/>
      <c r="IVN187" s="117"/>
      <c r="IVO187" s="117"/>
      <c r="IVP187" s="117"/>
      <c r="IVQ187" s="117"/>
      <c r="IVR187" s="117"/>
      <c r="IVS187" s="117"/>
      <c r="IVT187" s="117"/>
      <c r="IVU187" s="117"/>
      <c r="IVV187" s="117"/>
      <c r="IVW187" s="117"/>
      <c r="IVX187" s="117"/>
      <c r="IVY187" s="117"/>
      <c r="IVZ187" s="117"/>
      <c r="IWA187" s="117"/>
      <c r="IWB187" s="117"/>
      <c r="IWC187" s="117"/>
      <c r="IWD187" s="117"/>
      <c r="IWE187" s="117"/>
      <c r="IWF187" s="117"/>
      <c r="IWG187" s="117"/>
      <c r="IWH187" s="117"/>
      <c r="IWI187" s="117"/>
      <c r="IWJ187" s="117"/>
      <c r="IWK187" s="117"/>
      <c r="IWL187" s="117"/>
      <c r="IWM187" s="117"/>
      <c r="IWN187" s="117"/>
      <c r="IWO187" s="117"/>
      <c r="IWP187" s="117"/>
      <c r="IWQ187" s="117"/>
      <c r="IWR187" s="117"/>
      <c r="IWS187" s="117"/>
      <c r="IWT187" s="117"/>
      <c r="IWU187" s="117"/>
      <c r="IWV187" s="117"/>
      <c r="IWW187" s="117"/>
      <c r="IWX187" s="117"/>
      <c r="IWY187" s="117"/>
      <c r="IWZ187" s="117"/>
      <c r="IXA187" s="117"/>
      <c r="IXB187" s="117"/>
      <c r="IXC187" s="117"/>
      <c r="IXD187" s="117"/>
      <c r="IXE187" s="117"/>
      <c r="IXF187" s="117"/>
      <c r="IXG187" s="117"/>
      <c r="IXH187" s="117"/>
      <c r="IXI187" s="117"/>
      <c r="IXJ187" s="117"/>
      <c r="IXK187" s="117"/>
      <c r="IXL187" s="117"/>
      <c r="IXM187" s="117"/>
      <c r="IXN187" s="117"/>
      <c r="IXO187" s="117"/>
      <c r="IXP187" s="117"/>
      <c r="IXQ187" s="117"/>
      <c r="IXR187" s="117"/>
      <c r="IXS187" s="117"/>
      <c r="IXT187" s="117"/>
      <c r="IXU187" s="117"/>
      <c r="IXV187" s="117"/>
      <c r="IXW187" s="117"/>
      <c r="IXX187" s="117"/>
      <c r="IXY187" s="117"/>
      <c r="IXZ187" s="117"/>
      <c r="IYA187" s="117"/>
      <c r="IYB187" s="117"/>
      <c r="IYC187" s="117"/>
      <c r="IYD187" s="117"/>
      <c r="IYE187" s="117"/>
      <c r="IYF187" s="117"/>
      <c r="IYG187" s="117"/>
      <c r="IYH187" s="117"/>
      <c r="IYI187" s="117"/>
      <c r="IYJ187" s="117"/>
      <c r="IYK187" s="117"/>
      <c r="IYL187" s="117"/>
      <c r="IYM187" s="117"/>
      <c r="IYN187" s="117"/>
      <c r="IYO187" s="117"/>
      <c r="IYP187" s="117"/>
      <c r="IYQ187" s="117"/>
      <c r="IYR187" s="117"/>
      <c r="IYS187" s="117"/>
      <c r="IYT187" s="117"/>
      <c r="IYU187" s="117"/>
      <c r="IYV187" s="117"/>
      <c r="IYW187" s="117"/>
      <c r="IYX187" s="117"/>
      <c r="IYY187" s="117"/>
      <c r="IYZ187" s="117"/>
      <c r="IZA187" s="117"/>
      <c r="IZB187" s="117"/>
      <c r="IZC187" s="117"/>
      <c r="IZD187" s="117"/>
      <c r="IZE187" s="117"/>
      <c r="IZF187" s="117"/>
      <c r="IZG187" s="117"/>
      <c r="IZH187" s="117"/>
      <c r="IZI187" s="117"/>
      <c r="IZJ187" s="117"/>
      <c r="IZK187" s="117"/>
      <c r="IZL187" s="117"/>
      <c r="IZM187" s="117"/>
      <c r="IZN187" s="117"/>
      <c r="IZO187" s="117"/>
      <c r="IZP187" s="117"/>
      <c r="IZQ187" s="117"/>
      <c r="IZR187" s="117"/>
      <c r="IZS187" s="117"/>
      <c r="IZT187" s="117"/>
      <c r="IZU187" s="117"/>
      <c r="IZV187" s="117"/>
      <c r="IZW187" s="117"/>
      <c r="IZX187" s="117"/>
      <c r="IZY187" s="117"/>
      <c r="IZZ187" s="117"/>
      <c r="JAA187" s="117"/>
      <c r="JAB187" s="117"/>
      <c r="JAC187" s="117"/>
      <c r="JAD187" s="117"/>
      <c r="JAE187" s="117"/>
      <c r="JAF187" s="117"/>
      <c r="JAG187" s="117"/>
      <c r="JAH187" s="117"/>
      <c r="JAI187" s="117"/>
      <c r="JAJ187" s="117"/>
      <c r="JAK187" s="117"/>
      <c r="JAL187" s="117"/>
      <c r="JAM187" s="117"/>
      <c r="JAN187" s="117"/>
      <c r="JAO187" s="117"/>
      <c r="JAP187" s="117"/>
      <c r="JAQ187" s="117"/>
      <c r="JAR187" s="117"/>
      <c r="JAS187" s="117"/>
      <c r="JAT187" s="117"/>
      <c r="JAU187" s="117"/>
      <c r="JAV187" s="117"/>
      <c r="JAW187" s="117"/>
      <c r="JAX187" s="117"/>
      <c r="JAY187" s="117"/>
      <c r="JAZ187" s="117"/>
      <c r="JBA187" s="117"/>
      <c r="JBB187" s="117"/>
      <c r="JBC187" s="117"/>
      <c r="JBD187" s="117"/>
      <c r="JBE187" s="117"/>
      <c r="JBF187" s="117"/>
      <c r="JBG187" s="117"/>
      <c r="JBH187" s="117"/>
      <c r="JBI187" s="117"/>
      <c r="JBJ187" s="117"/>
      <c r="JBK187" s="117"/>
      <c r="JBL187" s="117"/>
      <c r="JBM187" s="117"/>
      <c r="JBN187" s="117"/>
      <c r="JBO187" s="117"/>
      <c r="JBP187" s="117"/>
      <c r="JBQ187" s="117"/>
      <c r="JBR187" s="117"/>
      <c r="JBS187" s="117"/>
      <c r="JBT187" s="117"/>
      <c r="JBU187" s="117"/>
      <c r="JBV187" s="117"/>
      <c r="JBW187" s="117"/>
      <c r="JBX187" s="117"/>
      <c r="JBY187" s="117"/>
      <c r="JBZ187" s="117"/>
      <c r="JCA187" s="117"/>
      <c r="JCB187" s="117"/>
      <c r="JCC187" s="117"/>
      <c r="JCD187" s="117"/>
      <c r="JCE187" s="117"/>
      <c r="JCF187" s="117"/>
      <c r="JCG187" s="117"/>
      <c r="JCH187" s="117"/>
      <c r="JCI187" s="117"/>
      <c r="JCJ187" s="117"/>
      <c r="JCK187" s="117"/>
      <c r="JCL187" s="117"/>
      <c r="JCM187" s="117"/>
      <c r="JCN187" s="117"/>
      <c r="JCO187" s="117"/>
      <c r="JCP187" s="117"/>
      <c r="JCQ187" s="117"/>
      <c r="JCR187" s="117"/>
      <c r="JCS187" s="117"/>
      <c r="JCT187" s="117"/>
      <c r="JCU187" s="117"/>
      <c r="JCV187" s="117"/>
      <c r="JCW187" s="117"/>
      <c r="JCX187" s="117"/>
      <c r="JCY187" s="117"/>
      <c r="JCZ187" s="117"/>
      <c r="JDA187" s="117"/>
      <c r="JDB187" s="117"/>
      <c r="JDC187" s="117"/>
      <c r="JDD187" s="117"/>
      <c r="JDE187" s="117"/>
      <c r="JDF187" s="117"/>
      <c r="JDG187" s="117"/>
      <c r="JDH187" s="117"/>
      <c r="JDI187" s="117"/>
      <c r="JDJ187" s="117"/>
      <c r="JDK187" s="117"/>
      <c r="JDL187" s="117"/>
      <c r="JDM187" s="117"/>
      <c r="JDN187" s="117"/>
      <c r="JDO187" s="117"/>
      <c r="JDP187" s="117"/>
      <c r="JDQ187" s="117"/>
      <c r="JDR187" s="117"/>
      <c r="JDS187" s="117"/>
      <c r="JDT187" s="117"/>
      <c r="JDU187" s="117"/>
      <c r="JDV187" s="117"/>
      <c r="JDW187" s="117"/>
      <c r="JDX187" s="117"/>
      <c r="JDY187" s="117"/>
      <c r="JDZ187" s="117"/>
      <c r="JEA187" s="117"/>
      <c r="JEB187" s="117"/>
      <c r="JEC187" s="117"/>
      <c r="JED187" s="117"/>
      <c r="JEE187" s="117"/>
      <c r="JEF187" s="117"/>
      <c r="JEG187" s="117"/>
      <c r="JEH187" s="117"/>
      <c r="JEI187" s="117"/>
      <c r="JEJ187" s="117"/>
      <c r="JEK187" s="117"/>
      <c r="JEL187" s="117"/>
      <c r="JEM187" s="117"/>
      <c r="JEN187" s="117"/>
      <c r="JEO187" s="117"/>
      <c r="JEP187" s="117"/>
      <c r="JEQ187" s="117"/>
      <c r="JER187" s="117"/>
      <c r="JES187" s="117"/>
      <c r="JET187" s="117"/>
      <c r="JEU187" s="117"/>
      <c r="JEV187" s="117"/>
      <c r="JEW187" s="117"/>
      <c r="JEX187" s="117"/>
      <c r="JEY187" s="117"/>
      <c r="JEZ187" s="117"/>
      <c r="JFA187" s="117"/>
      <c r="JFB187" s="117"/>
      <c r="JFC187" s="117"/>
      <c r="JFD187" s="117"/>
      <c r="JFE187" s="117"/>
      <c r="JFF187" s="117"/>
      <c r="JFG187" s="117"/>
      <c r="JFH187" s="117"/>
      <c r="JFI187" s="117"/>
      <c r="JFJ187" s="117"/>
      <c r="JFK187" s="117"/>
      <c r="JFL187" s="117"/>
      <c r="JFM187" s="117"/>
      <c r="JFN187" s="117"/>
      <c r="JFO187" s="117"/>
      <c r="JFP187" s="117"/>
      <c r="JFQ187" s="117"/>
      <c r="JFR187" s="117"/>
      <c r="JFS187" s="117"/>
      <c r="JFT187" s="117"/>
      <c r="JFU187" s="117"/>
      <c r="JFV187" s="117"/>
      <c r="JFW187" s="117"/>
      <c r="JFX187" s="117"/>
      <c r="JFY187" s="117"/>
      <c r="JFZ187" s="117"/>
      <c r="JGA187" s="117"/>
      <c r="JGB187" s="117"/>
      <c r="JGC187" s="117"/>
      <c r="JGD187" s="117"/>
      <c r="JGE187" s="117"/>
      <c r="JGF187" s="117"/>
      <c r="JGG187" s="117"/>
      <c r="JGH187" s="117"/>
      <c r="JGI187" s="117"/>
      <c r="JGJ187" s="117"/>
      <c r="JGK187" s="117"/>
      <c r="JGL187" s="117"/>
      <c r="JGM187" s="117"/>
      <c r="JGN187" s="117"/>
      <c r="JGO187" s="117"/>
      <c r="JGP187" s="117"/>
      <c r="JGQ187" s="117"/>
      <c r="JGR187" s="117"/>
      <c r="JGS187" s="117"/>
      <c r="JGT187" s="117"/>
      <c r="JGU187" s="117"/>
      <c r="JGV187" s="117"/>
      <c r="JGW187" s="117"/>
      <c r="JGX187" s="117"/>
      <c r="JGY187" s="117"/>
      <c r="JGZ187" s="117"/>
      <c r="JHA187" s="117"/>
      <c r="JHB187" s="117"/>
      <c r="JHC187" s="117"/>
      <c r="JHD187" s="117"/>
      <c r="JHE187" s="117"/>
      <c r="JHF187" s="117"/>
      <c r="JHG187" s="117"/>
      <c r="JHH187" s="117"/>
      <c r="JHI187" s="117"/>
      <c r="JHJ187" s="117"/>
      <c r="JHK187" s="117"/>
      <c r="JHL187" s="117"/>
      <c r="JHM187" s="117"/>
      <c r="JHN187" s="117"/>
      <c r="JHO187" s="117"/>
      <c r="JHP187" s="117"/>
      <c r="JHQ187" s="117"/>
      <c r="JHR187" s="117"/>
      <c r="JHS187" s="117"/>
      <c r="JHT187" s="117"/>
      <c r="JHU187" s="117"/>
      <c r="JHV187" s="117"/>
      <c r="JHW187" s="117"/>
      <c r="JHX187" s="117"/>
      <c r="JHY187" s="117"/>
      <c r="JHZ187" s="117"/>
      <c r="JIA187" s="117"/>
      <c r="JIB187" s="117"/>
      <c r="JIC187" s="117"/>
      <c r="JID187" s="117"/>
      <c r="JIE187" s="117"/>
      <c r="JIF187" s="117"/>
      <c r="JIG187" s="117"/>
      <c r="JIH187" s="117"/>
      <c r="JII187" s="117"/>
      <c r="JIJ187" s="117"/>
      <c r="JIK187" s="117"/>
      <c r="JIL187" s="117"/>
      <c r="JIM187" s="117"/>
      <c r="JIN187" s="117"/>
      <c r="JIO187" s="117"/>
      <c r="JIP187" s="117"/>
      <c r="JIQ187" s="117"/>
      <c r="JIR187" s="117"/>
      <c r="JIS187" s="117"/>
      <c r="JIT187" s="117"/>
      <c r="JIU187" s="117"/>
      <c r="JIV187" s="117"/>
      <c r="JIW187" s="117"/>
      <c r="JIX187" s="117"/>
      <c r="JIY187" s="117"/>
      <c r="JIZ187" s="117"/>
      <c r="JJA187" s="117"/>
      <c r="JJB187" s="117"/>
      <c r="JJC187" s="117"/>
      <c r="JJD187" s="117"/>
      <c r="JJE187" s="117"/>
      <c r="JJF187" s="117"/>
      <c r="JJG187" s="117"/>
      <c r="JJH187" s="117"/>
      <c r="JJI187" s="117"/>
      <c r="JJJ187" s="117"/>
      <c r="JJK187" s="117"/>
      <c r="JJL187" s="117"/>
      <c r="JJM187" s="117"/>
      <c r="JJN187" s="117"/>
      <c r="JJO187" s="117"/>
      <c r="JJP187" s="117"/>
      <c r="JJQ187" s="117"/>
      <c r="JJR187" s="117"/>
      <c r="JJS187" s="117"/>
      <c r="JJT187" s="117"/>
      <c r="JJU187" s="117"/>
      <c r="JJV187" s="117"/>
      <c r="JJW187" s="117"/>
      <c r="JJX187" s="117"/>
      <c r="JJY187" s="117"/>
      <c r="JJZ187" s="117"/>
      <c r="JKA187" s="117"/>
      <c r="JKB187" s="117"/>
      <c r="JKC187" s="117"/>
      <c r="JKD187" s="117"/>
      <c r="JKE187" s="117"/>
      <c r="JKF187" s="117"/>
      <c r="JKG187" s="117"/>
      <c r="JKH187" s="117"/>
      <c r="JKI187" s="117"/>
      <c r="JKJ187" s="117"/>
      <c r="JKK187" s="117"/>
      <c r="JKL187" s="117"/>
      <c r="JKM187" s="117"/>
      <c r="JKN187" s="117"/>
      <c r="JKO187" s="117"/>
      <c r="JKP187" s="117"/>
      <c r="JKQ187" s="117"/>
      <c r="JKR187" s="117"/>
      <c r="JKS187" s="117"/>
      <c r="JKT187" s="117"/>
      <c r="JKU187" s="117"/>
      <c r="JKV187" s="117"/>
      <c r="JKW187" s="117"/>
      <c r="JKX187" s="117"/>
      <c r="JKY187" s="117"/>
      <c r="JKZ187" s="117"/>
      <c r="JLA187" s="117"/>
      <c r="JLB187" s="117"/>
      <c r="JLC187" s="117"/>
      <c r="JLD187" s="117"/>
      <c r="JLE187" s="117"/>
      <c r="JLF187" s="117"/>
      <c r="JLG187" s="117"/>
      <c r="JLH187" s="117"/>
      <c r="JLI187" s="117"/>
      <c r="JLJ187" s="117"/>
      <c r="JLK187" s="117"/>
      <c r="JLL187" s="117"/>
      <c r="JLM187" s="117"/>
      <c r="JLN187" s="117"/>
      <c r="JLO187" s="117"/>
      <c r="JLP187" s="117"/>
      <c r="JLQ187" s="117"/>
      <c r="JLR187" s="117"/>
      <c r="JLS187" s="117"/>
      <c r="JLT187" s="117"/>
      <c r="JLU187" s="117"/>
      <c r="JLV187" s="117"/>
      <c r="JLW187" s="117"/>
      <c r="JLX187" s="117"/>
      <c r="JLY187" s="117"/>
      <c r="JLZ187" s="117"/>
      <c r="JMA187" s="117"/>
      <c r="JMB187" s="117"/>
      <c r="JMC187" s="117"/>
      <c r="JMD187" s="117"/>
      <c r="JME187" s="117"/>
      <c r="JMF187" s="117"/>
      <c r="JMG187" s="117"/>
      <c r="JMH187" s="117"/>
      <c r="JMI187" s="117"/>
      <c r="JMJ187" s="117"/>
      <c r="JMK187" s="117"/>
      <c r="JML187" s="117"/>
      <c r="JMM187" s="117"/>
      <c r="JMN187" s="117"/>
      <c r="JMO187" s="117"/>
      <c r="JMP187" s="117"/>
      <c r="JMQ187" s="117"/>
      <c r="JMR187" s="117"/>
      <c r="JMS187" s="117"/>
      <c r="JMT187" s="117"/>
      <c r="JMU187" s="117"/>
      <c r="JMV187" s="117"/>
      <c r="JMW187" s="117"/>
      <c r="JMX187" s="117"/>
      <c r="JMY187" s="117"/>
      <c r="JMZ187" s="117"/>
      <c r="JNA187" s="117"/>
      <c r="JNB187" s="117"/>
      <c r="JNC187" s="117"/>
      <c r="JND187" s="117"/>
      <c r="JNE187" s="117"/>
      <c r="JNF187" s="117"/>
      <c r="JNG187" s="117"/>
      <c r="JNH187" s="117"/>
      <c r="JNI187" s="117"/>
      <c r="JNJ187" s="117"/>
      <c r="JNK187" s="117"/>
      <c r="JNL187" s="117"/>
      <c r="JNM187" s="117"/>
      <c r="JNN187" s="117"/>
      <c r="JNO187" s="117"/>
      <c r="JNP187" s="117"/>
      <c r="JNQ187" s="117"/>
      <c r="JNR187" s="117"/>
      <c r="JNS187" s="117"/>
      <c r="JNT187" s="117"/>
      <c r="JNU187" s="117"/>
      <c r="JNV187" s="117"/>
      <c r="JNW187" s="117"/>
      <c r="JNX187" s="117"/>
      <c r="JNY187" s="117"/>
      <c r="JNZ187" s="117"/>
      <c r="JOA187" s="117"/>
      <c r="JOB187" s="117"/>
      <c r="JOC187" s="117"/>
      <c r="JOD187" s="117"/>
      <c r="JOE187" s="117"/>
      <c r="JOF187" s="117"/>
      <c r="JOG187" s="117"/>
      <c r="JOH187" s="117"/>
      <c r="JOI187" s="117"/>
      <c r="JOJ187" s="117"/>
      <c r="JOK187" s="117"/>
      <c r="JOL187" s="117"/>
      <c r="JOM187" s="117"/>
      <c r="JON187" s="117"/>
      <c r="JOO187" s="117"/>
      <c r="JOP187" s="117"/>
      <c r="JOQ187" s="117"/>
      <c r="JOR187" s="117"/>
      <c r="JOS187" s="117"/>
      <c r="JOT187" s="117"/>
      <c r="JOU187" s="117"/>
      <c r="JOV187" s="117"/>
      <c r="JOW187" s="117"/>
      <c r="JOX187" s="117"/>
      <c r="JOY187" s="117"/>
      <c r="JOZ187" s="117"/>
      <c r="JPA187" s="117"/>
      <c r="JPB187" s="117"/>
      <c r="JPC187" s="117"/>
      <c r="JPD187" s="117"/>
      <c r="JPE187" s="117"/>
      <c r="JPF187" s="117"/>
      <c r="JPG187" s="117"/>
      <c r="JPH187" s="117"/>
      <c r="JPI187" s="117"/>
      <c r="JPJ187" s="117"/>
      <c r="JPK187" s="117"/>
      <c r="JPL187" s="117"/>
      <c r="JPM187" s="117"/>
      <c r="JPN187" s="117"/>
      <c r="JPO187" s="117"/>
      <c r="JPP187" s="117"/>
      <c r="JPQ187" s="117"/>
      <c r="JPR187" s="117"/>
      <c r="JPS187" s="117"/>
      <c r="JPT187" s="117"/>
      <c r="JPU187" s="117"/>
      <c r="JPV187" s="117"/>
      <c r="JPW187" s="117"/>
      <c r="JPX187" s="117"/>
      <c r="JPY187" s="117"/>
      <c r="JPZ187" s="117"/>
      <c r="JQA187" s="117"/>
      <c r="JQB187" s="117"/>
      <c r="JQC187" s="117"/>
      <c r="JQD187" s="117"/>
      <c r="JQE187" s="117"/>
      <c r="JQF187" s="117"/>
      <c r="JQG187" s="117"/>
      <c r="JQH187" s="117"/>
      <c r="JQI187" s="117"/>
      <c r="JQJ187" s="117"/>
      <c r="JQK187" s="117"/>
      <c r="JQL187" s="117"/>
      <c r="JQM187" s="117"/>
      <c r="JQN187" s="117"/>
      <c r="JQO187" s="117"/>
      <c r="JQP187" s="117"/>
      <c r="JQQ187" s="117"/>
      <c r="JQR187" s="117"/>
      <c r="JQS187" s="117"/>
      <c r="JQT187" s="117"/>
      <c r="JQU187" s="117"/>
      <c r="JQV187" s="117"/>
      <c r="JQW187" s="117"/>
      <c r="JQX187" s="117"/>
      <c r="JQY187" s="117"/>
      <c r="JQZ187" s="117"/>
      <c r="JRA187" s="117"/>
      <c r="JRB187" s="117"/>
      <c r="JRC187" s="117"/>
      <c r="JRD187" s="117"/>
      <c r="JRE187" s="117"/>
      <c r="JRF187" s="117"/>
      <c r="JRG187" s="117"/>
      <c r="JRH187" s="117"/>
      <c r="JRI187" s="117"/>
      <c r="JRJ187" s="117"/>
      <c r="JRK187" s="117"/>
      <c r="JRL187" s="117"/>
      <c r="JRM187" s="117"/>
      <c r="JRN187" s="117"/>
      <c r="JRO187" s="117"/>
      <c r="JRP187" s="117"/>
      <c r="JRQ187" s="117"/>
      <c r="JRR187" s="117"/>
      <c r="JRS187" s="117"/>
      <c r="JRT187" s="117"/>
      <c r="JRU187" s="117"/>
      <c r="JRV187" s="117"/>
      <c r="JRW187" s="117"/>
      <c r="JRX187" s="117"/>
      <c r="JRY187" s="117"/>
      <c r="JRZ187" s="117"/>
      <c r="JSA187" s="117"/>
      <c r="JSB187" s="117"/>
      <c r="JSC187" s="117"/>
      <c r="JSD187" s="117"/>
      <c r="JSE187" s="117"/>
      <c r="JSF187" s="117"/>
      <c r="JSG187" s="117"/>
      <c r="JSH187" s="117"/>
      <c r="JSI187" s="117"/>
      <c r="JSJ187" s="117"/>
      <c r="JSK187" s="117"/>
      <c r="JSL187" s="117"/>
      <c r="JSM187" s="117"/>
      <c r="JSN187" s="117"/>
      <c r="JSO187" s="117"/>
      <c r="JSP187" s="117"/>
      <c r="JSQ187" s="117"/>
      <c r="JSR187" s="117"/>
      <c r="JSS187" s="117"/>
      <c r="JST187" s="117"/>
      <c r="JSU187" s="117"/>
      <c r="JSV187" s="117"/>
      <c r="JSW187" s="117"/>
      <c r="JSX187" s="117"/>
      <c r="JSY187" s="117"/>
      <c r="JSZ187" s="117"/>
      <c r="JTA187" s="117"/>
      <c r="JTB187" s="117"/>
      <c r="JTC187" s="117"/>
      <c r="JTD187" s="117"/>
      <c r="JTE187" s="117"/>
      <c r="JTF187" s="117"/>
      <c r="JTG187" s="117"/>
      <c r="JTH187" s="117"/>
      <c r="JTI187" s="117"/>
      <c r="JTJ187" s="117"/>
      <c r="JTK187" s="117"/>
      <c r="JTL187" s="117"/>
      <c r="JTM187" s="117"/>
      <c r="JTN187" s="117"/>
      <c r="JTO187" s="117"/>
      <c r="JTP187" s="117"/>
      <c r="JTQ187" s="117"/>
      <c r="JTR187" s="117"/>
      <c r="JTS187" s="117"/>
      <c r="JTT187" s="117"/>
      <c r="JTU187" s="117"/>
      <c r="JTV187" s="117"/>
      <c r="JTW187" s="117"/>
      <c r="JTX187" s="117"/>
      <c r="JTY187" s="117"/>
      <c r="JTZ187" s="117"/>
      <c r="JUA187" s="117"/>
      <c r="JUB187" s="117"/>
      <c r="JUC187" s="117"/>
      <c r="JUD187" s="117"/>
      <c r="JUE187" s="117"/>
      <c r="JUF187" s="117"/>
      <c r="JUG187" s="117"/>
      <c r="JUH187" s="117"/>
      <c r="JUI187" s="117"/>
      <c r="JUJ187" s="117"/>
      <c r="JUK187" s="117"/>
      <c r="JUL187" s="117"/>
      <c r="JUM187" s="117"/>
      <c r="JUN187" s="117"/>
      <c r="JUO187" s="117"/>
      <c r="JUP187" s="117"/>
      <c r="JUQ187" s="117"/>
      <c r="JUR187" s="117"/>
      <c r="JUS187" s="117"/>
      <c r="JUT187" s="117"/>
      <c r="JUU187" s="117"/>
      <c r="JUV187" s="117"/>
      <c r="JUW187" s="117"/>
      <c r="JUX187" s="117"/>
      <c r="JUY187" s="117"/>
      <c r="JUZ187" s="117"/>
      <c r="JVA187" s="117"/>
      <c r="JVB187" s="117"/>
      <c r="JVC187" s="117"/>
      <c r="JVD187" s="117"/>
      <c r="JVE187" s="117"/>
      <c r="JVF187" s="117"/>
      <c r="JVG187" s="117"/>
      <c r="JVH187" s="117"/>
      <c r="JVI187" s="117"/>
      <c r="JVJ187" s="117"/>
      <c r="JVK187" s="117"/>
      <c r="JVL187" s="117"/>
      <c r="JVM187" s="117"/>
      <c r="JVN187" s="117"/>
      <c r="JVO187" s="117"/>
      <c r="JVP187" s="117"/>
      <c r="JVQ187" s="117"/>
      <c r="JVR187" s="117"/>
      <c r="JVS187" s="117"/>
      <c r="JVT187" s="117"/>
      <c r="JVU187" s="117"/>
      <c r="JVV187" s="117"/>
      <c r="JVW187" s="117"/>
      <c r="JVX187" s="117"/>
      <c r="JVY187" s="117"/>
      <c r="JVZ187" s="117"/>
      <c r="JWA187" s="117"/>
      <c r="JWB187" s="117"/>
      <c r="JWC187" s="117"/>
      <c r="JWD187" s="117"/>
      <c r="JWE187" s="117"/>
      <c r="JWF187" s="117"/>
      <c r="JWG187" s="117"/>
      <c r="JWH187" s="117"/>
      <c r="JWI187" s="117"/>
      <c r="JWJ187" s="117"/>
      <c r="JWK187" s="117"/>
      <c r="JWL187" s="117"/>
      <c r="JWM187" s="117"/>
      <c r="JWN187" s="117"/>
      <c r="JWO187" s="117"/>
      <c r="JWP187" s="117"/>
      <c r="JWQ187" s="117"/>
      <c r="JWR187" s="117"/>
      <c r="JWS187" s="117"/>
      <c r="JWT187" s="117"/>
      <c r="JWU187" s="117"/>
      <c r="JWV187" s="117"/>
      <c r="JWW187" s="117"/>
      <c r="JWX187" s="117"/>
      <c r="JWY187" s="117"/>
      <c r="JWZ187" s="117"/>
      <c r="JXA187" s="117"/>
      <c r="JXB187" s="117"/>
      <c r="JXC187" s="117"/>
      <c r="JXD187" s="117"/>
      <c r="JXE187" s="117"/>
      <c r="JXF187" s="117"/>
      <c r="JXG187" s="117"/>
      <c r="JXH187" s="117"/>
      <c r="JXI187" s="117"/>
      <c r="JXJ187" s="117"/>
      <c r="JXK187" s="117"/>
      <c r="JXL187" s="117"/>
      <c r="JXM187" s="117"/>
      <c r="JXN187" s="117"/>
      <c r="JXO187" s="117"/>
      <c r="JXP187" s="117"/>
      <c r="JXQ187" s="117"/>
      <c r="JXR187" s="117"/>
      <c r="JXS187" s="117"/>
      <c r="JXT187" s="117"/>
      <c r="JXU187" s="117"/>
      <c r="JXV187" s="117"/>
      <c r="JXW187" s="117"/>
      <c r="JXX187" s="117"/>
      <c r="JXY187" s="117"/>
      <c r="JXZ187" s="117"/>
      <c r="JYA187" s="117"/>
      <c r="JYB187" s="117"/>
      <c r="JYC187" s="117"/>
      <c r="JYD187" s="117"/>
      <c r="JYE187" s="117"/>
      <c r="JYF187" s="117"/>
      <c r="JYG187" s="117"/>
      <c r="JYH187" s="117"/>
      <c r="JYI187" s="117"/>
      <c r="JYJ187" s="117"/>
      <c r="JYK187" s="117"/>
      <c r="JYL187" s="117"/>
      <c r="JYM187" s="117"/>
      <c r="JYN187" s="117"/>
      <c r="JYO187" s="117"/>
      <c r="JYP187" s="117"/>
      <c r="JYQ187" s="117"/>
      <c r="JYR187" s="117"/>
      <c r="JYS187" s="117"/>
      <c r="JYT187" s="117"/>
      <c r="JYU187" s="117"/>
      <c r="JYV187" s="117"/>
      <c r="JYW187" s="117"/>
      <c r="JYX187" s="117"/>
      <c r="JYY187" s="117"/>
      <c r="JYZ187" s="117"/>
      <c r="JZA187" s="117"/>
      <c r="JZB187" s="117"/>
      <c r="JZC187" s="117"/>
      <c r="JZD187" s="117"/>
      <c r="JZE187" s="117"/>
      <c r="JZF187" s="117"/>
      <c r="JZG187" s="117"/>
      <c r="JZH187" s="117"/>
      <c r="JZI187" s="117"/>
      <c r="JZJ187" s="117"/>
      <c r="JZK187" s="117"/>
      <c r="JZL187" s="117"/>
      <c r="JZM187" s="117"/>
      <c r="JZN187" s="117"/>
      <c r="JZO187" s="117"/>
      <c r="JZP187" s="117"/>
      <c r="JZQ187" s="117"/>
      <c r="JZR187" s="117"/>
      <c r="JZS187" s="117"/>
      <c r="JZT187" s="117"/>
      <c r="JZU187" s="117"/>
      <c r="JZV187" s="117"/>
      <c r="JZW187" s="117"/>
      <c r="JZX187" s="117"/>
      <c r="JZY187" s="117"/>
      <c r="JZZ187" s="117"/>
      <c r="KAA187" s="117"/>
      <c r="KAB187" s="117"/>
      <c r="KAC187" s="117"/>
      <c r="KAD187" s="117"/>
      <c r="KAE187" s="117"/>
      <c r="KAF187" s="117"/>
      <c r="KAG187" s="117"/>
      <c r="KAH187" s="117"/>
      <c r="KAI187" s="117"/>
      <c r="KAJ187" s="117"/>
      <c r="KAK187" s="117"/>
      <c r="KAL187" s="117"/>
      <c r="KAM187" s="117"/>
      <c r="KAN187" s="117"/>
      <c r="KAO187" s="117"/>
      <c r="KAP187" s="117"/>
      <c r="KAQ187" s="117"/>
      <c r="KAR187" s="117"/>
      <c r="KAS187" s="117"/>
      <c r="KAT187" s="117"/>
      <c r="KAU187" s="117"/>
      <c r="KAV187" s="117"/>
      <c r="KAW187" s="117"/>
      <c r="KAX187" s="117"/>
      <c r="KAY187" s="117"/>
      <c r="KAZ187" s="117"/>
      <c r="KBA187" s="117"/>
      <c r="KBB187" s="117"/>
      <c r="KBC187" s="117"/>
      <c r="KBD187" s="117"/>
      <c r="KBE187" s="117"/>
      <c r="KBF187" s="117"/>
      <c r="KBG187" s="117"/>
      <c r="KBH187" s="117"/>
      <c r="KBI187" s="117"/>
      <c r="KBJ187" s="117"/>
      <c r="KBK187" s="117"/>
      <c r="KBL187" s="117"/>
      <c r="KBM187" s="117"/>
      <c r="KBN187" s="117"/>
      <c r="KBO187" s="117"/>
      <c r="KBP187" s="117"/>
      <c r="KBQ187" s="117"/>
      <c r="KBR187" s="117"/>
      <c r="KBS187" s="117"/>
      <c r="KBT187" s="117"/>
      <c r="KBU187" s="117"/>
      <c r="KBV187" s="117"/>
      <c r="KBW187" s="117"/>
      <c r="KBX187" s="117"/>
      <c r="KBY187" s="117"/>
      <c r="KBZ187" s="117"/>
      <c r="KCA187" s="117"/>
      <c r="KCB187" s="117"/>
      <c r="KCC187" s="117"/>
      <c r="KCD187" s="117"/>
      <c r="KCE187" s="117"/>
      <c r="KCF187" s="117"/>
      <c r="KCG187" s="117"/>
      <c r="KCH187" s="117"/>
      <c r="KCI187" s="117"/>
      <c r="KCJ187" s="117"/>
      <c r="KCK187" s="117"/>
      <c r="KCL187" s="117"/>
      <c r="KCM187" s="117"/>
      <c r="KCN187" s="117"/>
      <c r="KCO187" s="117"/>
      <c r="KCP187" s="117"/>
      <c r="KCQ187" s="117"/>
      <c r="KCR187" s="117"/>
      <c r="KCS187" s="117"/>
      <c r="KCT187" s="117"/>
      <c r="KCU187" s="117"/>
      <c r="KCV187" s="117"/>
      <c r="KCW187" s="117"/>
      <c r="KCX187" s="117"/>
      <c r="KCY187" s="117"/>
      <c r="KCZ187" s="117"/>
      <c r="KDA187" s="117"/>
      <c r="KDB187" s="117"/>
      <c r="KDC187" s="117"/>
      <c r="KDD187" s="117"/>
      <c r="KDE187" s="117"/>
      <c r="KDF187" s="117"/>
      <c r="KDG187" s="117"/>
      <c r="KDH187" s="117"/>
      <c r="KDI187" s="117"/>
      <c r="KDJ187" s="117"/>
      <c r="KDK187" s="117"/>
      <c r="KDL187" s="117"/>
      <c r="KDM187" s="117"/>
      <c r="KDN187" s="117"/>
      <c r="KDO187" s="117"/>
      <c r="KDP187" s="117"/>
      <c r="KDQ187" s="117"/>
      <c r="KDR187" s="117"/>
      <c r="KDS187" s="117"/>
      <c r="KDT187" s="117"/>
      <c r="KDU187" s="117"/>
      <c r="KDV187" s="117"/>
      <c r="KDW187" s="117"/>
      <c r="KDX187" s="117"/>
      <c r="KDY187" s="117"/>
      <c r="KDZ187" s="117"/>
      <c r="KEA187" s="117"/>
      <c r="KEB187" s="117"/>
      <c r="KEC187" s="117"/>
      <c r="KED187" s="117"/>
      <c r="KEE187" s="117"/>
      <c r="KEF187" s="117"/>
      <c r="KEG187" s="117"/>
      <c r="KEH187" s="117"/>
      <c r="KEI187" s="117"/>
      <c r="KEJ187" s="117"/>
      <c r="KEK187" s="117"/>
      <c r="KEL187" s="117"/>
      <c r="KEM187" s="117"/>
      <c r="KEN187" s="117"/>
      <c r="KEO187" s="117"/>
      <c r="KEP187" s="117"/>
      <c r="KEQ187" s="117"/>
      <c r="KER187" s="117"/>
      <c r="KES187" s="117"/>
      <c r="KET187" s="117"/>
      <c r="KEU187" s="117"/>
      <c r="KEV187" s="117"/>
      <c r="KEW187" s="117"/>
      <c r="KEX187" s="117"/>
      <c r="KEY187" s="117"/>
      <c r="KEZ187" s="117"/>
      <c r="KFA187" s="117"/>
      <c r="KFB187" s="117"/>
      <c r="KFC187" s="117"/>
      <c r="KFD187" s="117"/>
      <c r="KFE187" s="117"/>
      <c r="KFF187" s="117"/>
      <c r="KFG187" s="117"/>
      <c r="KFH187" s="117"/>
      <c r="KFI187" s="117"/>
      <c r="KFJ187" s="117"/>
      <c r="KFK187" s="117"/>
      <c r="KFL187" s="117"/>
      <c r="KFM187" s="117"/>
      <c r="KFN187" s="117"/>
      <c r="KFO187" s="117"/>
      <c r="KFP187" s="117"/>
      <c r="KFQ187" s="117"/>
      <c r="KFR187" s="117"/>
      <c r="KFS187" s="117"/>
      <c r="KFT187" s="117"/>
      <c r="KFU187" s="117"/>
      <c r="KFV187" s="117"/>
      <c r="KFW187" s="117"/>
      <c r="KFX187" s="117"/>
      <c r="KFY187" s="117"/>
      <c r="KFZ187" s="117"/>
      <c r="KGA187" s="117"/>
      <c r="KGB187" s="117"/>
      <c r="KGC187" s="117"/>
      <c r="KGD187" s="117"/>
      <c r="KGE187" s="117"/>
      <c r="KGF187" s="117"/>
      <c r="KGG187" s="117"/>
      <c r="KGH187" s="117"/>
      <c r="KGI187" s="117"/>
      <c r="KGJ187" s="117"/>
      <c r="KGK187" s="117"/>
      <c r="KGL187" s="117"/>
      <c r="KGM187" s="117"/>
      <c r="KGN187" s="117"/>
      <c r="KGO187" s="117"/>
      <c r="KGP187" s="117"/>
      <c r="KGQ187" s="117"/>
      <c r="KGR187" s="117"/>
      <c r="KGS187" s="117"/>
      <c r="KGT187" s="117"/>
      <c r="KGU187" s="117"/>
      <c r="KGV187" s="117"/>
      <c r="KGW187" s="117"/>
      <c r="KGX187" s="117"/>
      <c r="KGY187" s="117"/>
      <c r="KGZ187" s="117"/>
      <c r="KHA187" s="117"/>
      <c r="KHB187" s="117"/>
      <c r="KHC187" s="117"/>
      <c r="KHD187" s="117"/>
      <c r="KHE187" s="117"/>
      <c r="KHF187" s="117"/>
      <c r="KHG187" s="117"/>
      <c r="KHH187" s="117"/>
      <c r="KHI187" s="117"/>
      <c r="KHJ187" s="117"/>
      <c r="KHK187" s="117"/>
      <c r="KHL187" s="117"/>
      <c r="KHM187" s="117"/>
      <c r="KHN187" s="117"/>
      <c r="KHO187" s="117"/>
      <c r="KHP187" s="117"/>
      <c r="KHQ187" s="117"/>
      <c r="KHR187" s="117"/>
      <c r="KHS187" s="117"/>
      <c r="KHT187" s="117"/>
      <c r="KHU187" s="117"/>
      <c r="KHV187" s="117"/>
      <c r="KHW187" s="117"/>
      <c r="KHX187" s="117"/>
      <c r="KHY187" s="117"/>
      <c r="KHZ187" s="117"/>
      <c r="KIA187" s="117"/>
      <c r="KIB187" s="117"/>
      <c r="KIC187" s="117"/>
      <c r="KID187" s="117"/>
      <c r="KIE187" s="117"/>
      <c r="KIF187" s="117"/>
      <c r="KIG187" s="117"/>
      <c r="KIH187" s="117"/>
      <c r="KII187" s="117"/>
      <c r="KIJ187" s="117"/>
      <c r="KIK187" s="117"/>
      <c r="KIL187" s="117"/>
      <c r="KIM187" s="117"/>
      <c r="KIN187" s="117"/>
      <c r="KIO187" s="117"/>
      <c r="KIP187" s="117"/>
      <c r="KIQ187" s="117"/>
      <c r="KIR187" s="117"/>
      <c r="KIS187" s="117"/>
      <c r="KIT187" s="117"/>
      <c r="KIU187" s="117"/>
      <c r="KIV187" s="117"/>
      <c r="KIW187" s="117"/>
      <c r="KIX187" s="117"/>
      <c r="KIY187" s="117"/>
      <c r="KIZ187" s="117"/>
      <c r="KJA187" s="117"/>
      <c r="KJB187" s="117"/>
      <c r="KJC187" s="117"/>
      <c r="KJD187" s="117"/>
      <c r="KJE187" s="117"/>
      <c r="KJF187" s="117"/>
      <c r="KJG187" s="117"/>
      <c r="KJH187" s="117"/>
      <c r="KJI187" s="117"/>
      <c r="KJJ187" s="117"/>
      <c r="KJK187" s="117"/>
      <c r="KJL187" s="117"/>
      <c r="KJM187" s="117"/>
      <c r="KJN187" s="117"/>
      <c r="KJO187" s="117"/>
      <c r="KJP187" s="117"/>
      <c r="KJQ187" s="117"/>
      <c r="KJR187" s="117"/>
      <c r="KJS187" s="117"/>
      <c r="KJT187" s="117"/>
      <c r="KJU187" s="117"/>
      <c r="KJV187" s="117"/>
      <c r="KJW187" s="117"/>
      <c r="KJX187" s="117"/>
      <c r="KJY187" s="117"/>
      <c r="KJZ187" s="117"/>
      <c r="KKA187" s="117"/>
      <c r="KKB187" s="117"/>
      <c r="KKC187" s="117"/>
      <c r="KKD187" s="117"/>
      <c r="KKE187" s="117"/>
      <c r="KKF187" s="117"/>
      <c r="KKG187" s="117"/>
      <c r="KKH187" s="117"/>
      <c r="KKI187" s="117"/>
      <c r="KKJ187" s="117"/>
      <c r="KKK187" s="117"/>
      <c r="KKL187" s="117"/>
      <c r="KKM187" s="117"/>
      <c r="KKN187" s="117"/>
      <c r="KKO187" s="117"/>
      <c r="KKP187" s="117"/>
      <c r="KKQ187" s="117"/>
      <c r="KKR187" s="117"/>
      <c r="KKS187" s="117"/>
      <c r="KKT187" s="117"/>
      <c r="KKU187" s="117"/>
      <c r="KKV187" s="117"/>
      <c r="KKW187" s="117"/>
      <c r="KKX187" s="117"/>
      <c r="KKY187" s="117"/>
      <c r="KKZ187" s="117"/>
      <c r="KLA187" s="117"/>
      <c r="KLB187" s="117"/>
      <c r="KLC187" s="117"/>
      <c r="KLD187" s="117"/>
      <c r="KLE187" s="117"/>
      <c r="KLF187" s="117"/>
      <c r="KLG187" s="117"/>
      <c r="KLH187" s="117"/>
      <c r="KLI187" s="117"/>
      <c r="KLJ187" s="117"/>
      <c r="KLK187" s="117"/>
      <c r="KLL187" s="117"/>
      <c r="KLM187" s="117"/>
      <c r="KLN187" s="117"/>
      <c r="KLO187" s="117"/>
      <c r="KLP187" s="117"/>
      <c r="KLQ187" s="117"/>
      <c r="KLR187" s="117"/>
      <c r="KLS187" s="117"/>
      <c r="KLT187" s="117"/>
      <c r="KLU187" s="117"/>
      <c r="KLV187" s="117"/>
      <c r="KLW187" s="117"/>
      <c r="KLX187" s="117"/>
      <c r="KLY187" s="117"/>
      <c r="KLZ187" s="117"/>
      <c r="KMA187" s="117"/>
      <c r="KMB187" s="117"/>
      <c r="KMC187" s="117"/>
      <c r="KMD187" s="117"/>
      <c r="KME187" s="117"/>
      <c r="KMF187" s="117"/>
      <c r="KMG187" s="117"/>
      <c r="KMH187" s="117"/>
      <c r="KMI187" s="117"/>
      <c r="KMJ187" s="117"/>
      <c r="KMK187" s="117"/>
      <c r="KML187" s="117"/>
      <c r="KMM187" s="117"/>
      <c r="KMN187" s="117"/>
      <c r="KMO187" s="117"/>
      <c r="KMP187" s="117"/>
      <c r="KMQ187" s="117"/>
      <c r="KMR187" s="117"/>
      <c r="KMS187" s="117"/>
      <c r="KMT187" s="117"/>
      <c r="KMU187" s="117"/>
      <c r="KMV187" s="117"/>
      <c r="KMW187" s="117"/>
      <c r="KMX187" s="117"/>
      <c r="KMY187" s="117"/>
      <c r="KMZ187" s="117"/>
      <c r="KNA187" s="117"/>
      <c r="KNB187" s="117"/>
      <c r="KNC187" s="117"/>
      <c r="KND187" s="117"/>
      <c r="KNE187" s="117"/>
      <c r="KNF187" s="117"/>
      <c r="KNG187" s="117"/>
      <c r="KNH187" s="117"/>
      <c r="KNI187" s="117"/>
      <c r="KNJ187" s="117"/>
      <c r="KNK187" s="117"/>
      <c r="KNL187" s="117"/>
      <c r="KNM187" s="117"/>
      <c r="KNN187" s="117"/>
      <c r="KNO187" s="117"/>
      <c r="KNP187" s="117"/>
      <c r="KNQ187" s="117"/>
      <c r="KNR187" s="117"/>
      <c r="KNS187" s="117"/>
      <c r="KNT187" s="117"/>
      <c r="KNU187" s="117"/>
      <c r="KNV187" s="117"/>
      <c r="KNW187" s="117"/>
      <c r="KNX187" s="117"/>
      <c r="KNY187" s="117"/>
      <c r="KNZ187" s="117"/>
      <c r="KOA187" s="117"/>
      <c r="KOB187" s="117"/>
      <c r="KOC187" s="117"/>
      <c r="KOD187" s="117"/>
      <c r="KOE187" s="117"/>
      <c r="KOF187" s="117"/>
      <c r="KOG187" s="117"/>
      <c r="KOH187" s="117"/>
      <c r="KOI187" s="117"/>
      <c r="KOJ187" s="117"/>
      <c r="KOK187" s="117"/>
      <c r="KOL187" s="117"/>
      <c r="KOM187" s="117"/>
      <c r="KON187" s="117"/>
      <c r="KOO187" s="117"/>
      <c r="KOP187" s="117"/>
      <c r="KOQ187" s="117"/>
      <c r="KOR187" s="117"/>
      <c r="KOS187" s="117"/>
      <c r="KOT187" s="117"/>
      <c r="KOU187" s="117"/>
      <c r="KOV187" s="117"/>
      <c r="KOW187" s="117"/>
      <c r="KOX187" s="117"/>
      <c r="KOY187" s="117"/>
      <c r="KOZ187" s="117"/>
      <c r="KPA187" s="117"/>
      <c r="KPB187" s="117"/>
      <c r="KPC187" s="117"/>
      <c r="KPD187" s="117"/>
      <c r="KPE187" s="117"/>
      <c r="KPF187" s="117"/>
      <c r="KPG187" s="117"/>
      <c r="KPH187" s="117"/>
      <c r="KPI187" s="117"/>
      <c r="KPJ187" s="117"/>
      <c r="KPK187" s="117"/>
      <c r="KPL187" s="117"/>
      <c r="KPM187" s="117"/>
      <c r="KPN187" s="117"/>
      <c r="KPO187" s="117"/>
      <c r="KPP187" s="117"/>
      <c r="KPQ187" s="117"/>
      <c r="KPR187" s="117"/>
      <c r="KPS187" s="117"/>
      <c r="KPT187" s="117"/>
      <c r="KPU187" s="117"/>
      <c r="KPV187" s="117"/>
      <c r="KPW187" s="117"/>
      <c r="KPX187" s="117"/>
      <c r="KPY187" s="117"/>
      <c r="KPZ187" s="117"/>
      <c r="KQA187" s="117"/>
      <c r="KQB187" s="117"/>
      <c r="KQC187" s="117"/>
      <c r="KQD187" s="117"/>
      <c r="KQE187" s="117"/>
      <c r="KQF187" s="117"/>
      <c r="KQG187" s="117"/>
      <c r="KQH187" s="117"/>
      <c r="KQI187" s="117"/>
      <c r="KQJ187" s="117"/>
      <c r="KQK187" s="117"/>
      <c r="KQL187" s="117"/>
      <c r="KQM187" s="117"/>
      <c r="KQN187" s="117"/>
      <c r="KQO187" s="117"/>
      <c r="KQP187" s="117"/>
      <c r="KQQ187" s="117"/>
      <c r="KQR187" s="117"/>
      <c r="KQS187" s="117"/>
      <c r="KQT187" s="117"/>
      <c r="KQU187" s="117"/>
      <c r="KQV187" s="117"/>
      <c r="KQW187" s="117"/>
      <c r="KQX187" s="117"/>
      <c r="KQY187" s="117"/>
      <c r="KQZ187" s="117"/>
      <c r="KRA187" s="117"/>
      <c r="KRB187" s="117"/>
      <c r="KRC187" s="117"/>
      <c r="KRD187" s="117"/>
      <c r="KRE187" s="117"/>
      <c r="KRF187" s="117"/>
      <c r="KRG187" s="117"/>
      <c r="KRH187" s="117"/>
      <c r="KRI187" s="117"/>
      <c r="KRJ187" s="117"/>
      <c r="KRK187" s="117"/>
      <c r="KRL187" s="117"/>
      <c r="KRM187" s="117"/>
      <c r="KRN187" s="117"/>
      <c r="KRO187" s="117"/>
      <c r="KRP187" s="117"/>
      <c r="KRQ187" s="117"/>
      <c r="KRR187" s="117"/>
      <c r="KRS187" s="117"/>
      <c r="KRT187" s="117"/>
      <c r="KRU187" s="117"/>
      <c r="KRV187" s="117"/>
      <c r="KRW187" s="117"/>
      <c r="KRX187" s="117"/>
      <c r="KRY187" s="117"/>
      <c r="KRZ187" s="117"/>
      <c r="KSA187" s="117"/>
      <c r="KSB187" s="117"/>
      <c r="KSC187" s="117"/>
      <c r="KSD187" s="117"/>
      <c r="KSE187" s="117"/>
      <c r="KSF187" s="117"/>
      <c r="KSG187" s="117"/>
      <c r="KSH187" s="117"/>
      <c r="KSI187" s="117"/>
      <c r="KSJ187" s="117"/>
      <c r="KSK187" s="117"/>
      <c r="KSL187" s="117"/>
      <c r="KSM187" s="117"/>
      <c r="KSN187" s="117"/>
      <c r="KSO187" s="117"/>
      <c r="KSP187" s="117"/>
      <c r="KSQ187" s="117"/>
      <c r="KSR187" s="117"/>
      <c r="KSS187" s="117"/>
      <c r="KST187" s="117"/>
      <c r="KSU187" s="117"/>
      <c r="KSV187" s="117"/>
      <c r="KSW187" s="117"/>
      <c r="KSX187" s="117"/>
      <c r="KSY187" s="117"/>
      <c r="KSZ187" s="117"/>
      <c r="KTA187" s="117"/>
      <c r="KTB187" s="117"/>
      <c r="KTC187" s="117"/>
      <c r="KTD187" s="117"/>
      <c r="KTE187" s="117"/>
      <c r="KTF187" s="117"/>
      <c r="KTG187" s="117"/>
      <c r="KTH187" s="117"/>
      <c r="KTI187" s="117"/>
      <c r="KTJ187" s="117"/>
      <c r="KTK187" s="117"/>
      <c r="KTL187" s="117"/>
      <c r="KTM187" s="117"/>
      <c r="KTN187" s="117"/>
      <c r="KTO187" s="117"/>
      <c r="KTP187" s="117"/>
      <c r="KTQ187" s="117"/>
      <c r="KTR187" s="117"/>
      <c r="KTS187" s="117"/>
      <c r="KTT187" s="117"/>
      <c r="KTU187" s="117"/>
      <c r="KTV187" s="117"/>
      <c r="KTW187" s="117"/>
      <c r="KTX187" s="117"/>
      <c r="KTY187" s="117"/>
      <c r="KTZ187" s="117"/>
      <c r="KUA187" s="117"/>
      <c r="KUB187" s="117"/>
      <c r="KUC187" s="117"/>
      <c r="KUD187" s="117"/>
      <c r="KUE187" s="117"/>
      <c r="KUF187" s="117"/>
      <c r="KUG187" s="117"/>
      <c r="KUH187" s="117"/>
      <c r="KUI187" s="117"/>
      <c r="KUJ187" s="117"/>
      <c r="KUK187" s="117"/>
      <c r="KUL187" s="117"/>
      <c r="KUM187" s="117"/>
      <c r="KUN187" s="117"/>
      <c r="KUO187" s="117"/>
      <c r="KUP187" s="117"/>
      <c r="KUQ187" s="117"/>
      <c r="KUR187" s="117"/>
      <c r="KUS187" s="117"/>
      <c r="KUT187" s="117"/>
      <c r="KUU187" s="117"/>
      <c r="KUV187" s="117"/>
      <c r="KUW187" s="117"/>
      <c r="KUX187" s="117"/>
      <c r="KUY187" s="117"/>
      <c r="KUZ187" s="117"/>
      <c r="KVA187" s="117"/>
      <c r="KVB187" s="117"/>
      <c r="KVC187" s="117"/>
      <c r="KVD187" s="117"/>
      <c r="KVE187" s="117"/>
      <c r="KVF187" s="117"/>
      <c r="KVG187" s="117"/>
      <c r="KVH187" s="117"/>
      <c r="KVI187" s="117"/>
      <c r="KVJ187" s="117"/>
      <c r="KVK187" s="117"/>
      <c r="KVL187" s="117"/>
      <c r="KVM187" s="117"/>
      <c r="KVN187" s="117"/>
      <c r="KVO187" s="117"/>
      <c r="KVP187" s="117"/>
      <c r="KVQ187" s="117"/>
      <c r="KVR187" s="117"/>
      <c r="KVS187" s="117"/>
      <c r="KVT187" s="117"/>
      <c r="KVU187" s="117"/>
      <c r="KVV187" s="117"/>
      <c r="KVW187" s="117"/>
      <c r="KVX187" s="117"/>
      <c r="KVY187" s="117"/>
      <c r="KVZ187" s="117"/>
      <c r="KWA187" s="117"/>
      <c r="KWB187" s="117"/>
      <c r="KWC187" s="117"/>
      <c r="KWD187" s="117"/>
      <c r="KWE187" s="117"/>
      <c r="KWF187" s="117"/>
      <c r="KWG187" s="117"/>
      <c r="KWH187" s="117"/>
      <c r="KWI187" s="117"/>
      <c r="KWJ187" s="117"/>
      <c r="KWK187" s="117"/>
      <c r="KWL187" s="117"/>
      <c r="KWM187" s="117"/>
      <c r="KWN187" s="117"/>
      <c r="KWO187" s="117"/>
      <c r="KWP187" s="117"/>
      <c r="KWQ187" s="117"/>
      <c r="KWR187" s="117"/>
      <c r="KWS187" s="117"/>
      <c r="KWT187" s="117"/>
      <c r="KWU187" s="117"/>
      <c r="KWV187" s="117"/>
      <c r="KWW187" s="117"/>
      <c r="KWX187" s="117"/>
      <c r="KWY187" s="117"/>
      <c r="KWZ187" s="117"/>
      <c r="KXA187" s="117"/>
      <c r="KXB187" s="117"/>
      <c r="KXC187" s="117"/>
      <c r="KXD187" s="117"/>
      <c r="KXE187" s="117"/>
      <c r="KXF187" s="117"/>
      <c r="KXG187" s="117"/>
      <c r="KXH187" s="117"/>
      <c r="KXI187" s="117"/>
      <c r="KXJ187" s="117"/>
      <c r="KXK187" s="117"/>
      <c r="KXL187" s="117"/>
      <c r="KXM187" s="117"/>
      <c r="KXN187" s="117"/>
      <c r="KXO187" s="117"/>
      <c r="KXP187" s="117"/>
      <c r="KXQ187" s="117"/>
      <c r="KXR187" s="117"/>
      <c r="KXS187" s="117"/>
      <c r="KXT187" s="117"/>
      <c r="KXU187" s="117"/>
      <c r="KXV187" s="117"/>
      <c r="KXW187" s="117"/>
      <c r="KXX187" s="117"/>
      <c r="KXY187" s="117"/>
      <c r="KXZ187" s="117"/>
      <c r="KYA187" s="117"/>
      <c r="KYB187" s="117"/>
      <c r="KYC187" s="117"/>
      <c r="KYD187" s="117"/>
      <c r="KYE187" s="117"/>
      <c r="KYF187" s="117"/>
      <c r="KYG187" s="117"/>
      <c r="KYH187" s="117"/>
      <c r="KYI187" s="117"/>
      <c r="KYJ187" s="117"/>
      <c r="KYK187" s="117"/>
      <c r="KYL187" s="117"/>
      <c r="KYM187" s="117"/>
      <c r="KYN187" s="117"/>
      <c r="KYO187" s="117"/>
      <c r="KYP187" s="117"/>
      <c r="KYQ187" s="117"/>
      <c r="KYR187" s="117"/>
      <c r="KYS187" s="117"/>
      <c r="KYT187" s="117"/>
      <c r="KYU187" s="117"/>
      <c r="KYV187" s="117"/>
      <c r="KYW187" s="117"/>
      <c r="KYX187" s="117"/>
      <c r="KYY187" s="117"/>
      <c r="KYZ187" s="117"/>
      <c r="KZA187" s="117"/>
      <c r="KZB187" s="117"/>
      <c r="KZC187" s="117"/>
      <c r="KZD187" s="117"/>
      <c r="KZE187" s="117"/>
      <c r="KZF187" s="117"/>
      <c r="KZG187" s="117"/>
      <c r="KZH187" s="117"/>
      <c r="KZI187" s="117"/>
      <c r="KZJ187" s="117"/>
      <c r="KZK187" s="117"/>
      <c r="KZL187" s="117"/>
      <c r="KZM187" s="117"/>
      <c r="KZN187" s="117"/>
      <c r="KZO187" s="117"/>
      <c r="KZP187" s="117"/>
      <c r="KZQ187" s="117"/>
      <c r="KZR187" s="117"/>
      <c r="KZS187" s="117"/>
      <c r="KZT187" s="117"/>
      <c r="KZU187" s="117"/>
      <c r="KZV187" s="117"/>
      <c r="KZW187" s="117"/>
      <c r="KZX187" s="117"/>
      <c r="KZY187" s="117"/>
      <c r="KZZ187" s="117"/>
      <c r="LAA187" s="117"/>
      <c r="LAB187" s="117"/>
      <c r="LAC187" s="117"/>
      <c r="LAD187" s="117"/>
      <c r="LAE187" s="117"/>
      <c r="LAF187" s="117"/>
      <c r="LAG187" s="117"/>
      <c r="LAH187" s="117"/>
      <c r="LAI187" s="117"/>
      <c r="LAJ187" s="117"/>
      <c r="LAK187" s="117"/>
      <c r="LAL187" s="117"/>
      <c r="LAM187" s="117"/>
      <c r="LAN187" s="117"/>
      <c r="LAO187" s="117"/>
      <c r="LAP187" s="117"/>
      <c r="LAQ187" s="117"/>
      <c r="LAR187" s="117"/>
      <c r="LAS187" s="117"/>
      <c r="LAT187" s="117"/>
      <c r="LAU187" s="117"/>
      <c r="LAV187" s="117"/>
      <c r="LAW187" s="117"/>
      <c r="LAX187" s="117"/>
      <c r="LAY187" s="117"/>
      <c r="LAZ187" s="117"/>
      <c r="LBA187" s="117"/>
      <c r="LBB187" s="117"/>
      <c r="LBC187" s="117"/>
      <c r="LBD187" s="117"/>
      <c r="LBE187" s="117"/>
      <c r="LBF187" s="117"/>
      <c r="LBG187" s="117"/>
      <c r="LBH187" s="117"/>
      <c r="LBI187" s="117"/>
      <c r="LBJ187" s="117"/>
      <c r="LBK187" s="117"/>
      <c r="LBL187" s="117"/>
      <c r="LBM187" s="117"/>
      <c r="LBN187" s="117"/>
      <c r="LBO187" s="117"/>
      <c r="LBP187" s="117"/>
      <c r="LBQ187" s="117"/>
      <c r="LBR187" s="117"/>
      <c r="LBS187" s="117"/>
      <c r="LBT187" s="117"/>
      <c r="LBU187" s="117"/>
      <c r="LBV187" s="117"/>
      <c r="LBW187" s="117"/>
      <c r="LBX187" s="117"/>
      <c r="LBY187" s="117"/>
      <c r="LBZ187" s="117"/>
      <c r="LCA187" s="117"/>
      <c r="LCB187" s="117"/>
      <c r="LCC187" s="117"/>
      <c r="LCD187" s="117"/>
      <c r="LCE187" s="117"/>
      <c r="LCF187" s="117"/>
      <c r="LCG187" s="117"/>
      <c r="LCH187" s="117"/>
      <c r="LCI187" s="117"/>
      <c r="LCJ187" s="117"/>
      <c r="LCK187" s="117"/>
      <c r="LCL187" s="117"/>
      <c r="LCM187" s="117"/>
      <c r="LCN187" s="117"/>
      <c r="LCO187" s="117"/>
      <c r="LCP187" s="117"/>
      <c r="LCQ187" s="117"/>
      <c r="LCR187" s="117"/>
      <c r="LCS187" s="117"/>
      <c r="LCT187" s="117"/>
      <c r="LCU187" s="117"/>
      <c r="LCV187" s="117"/>
      <c r="LCW187" s="117"/>
      <c r="LCX187" s="117"/>
      <c r="LCY187" s="117"/>
      <c r="LCZ187" s="117"/>
      <c r="LDA187" s="117"/>
      <c r="LDB187" s="117"/>
      <c r="LDC187" s="117"/>
      <c r="LDD187" s="117"/>
      <c r="LDE187" s="117"/>
      <c r="LDF187" s="117"/>
      <c r="LDG187" s="117"/>
      <c r="LDH187" s="117"/>
      <c r="LDI187" s="117"/>
      <c r="LDJ187" s="117"/>
      <c r="LDK187" s="117"/>
      <c r="LDL187" s="117"/>
      <c r="LDM187" s="117"/>
      <c r="LDN187" s="117"/>
      <c r="LDO187" s="117"/>
      <c r="LDP187" s="117"/>
      <c r="LDQ187" s="117"/>
      <c r="LDR187" s="117"/>
      <c r="LDS187" s="117"/>
      <c r="LDT187" s="117"/>
      <c r="LDU187" s="117"/>
      <c r="LDV187" s="117"/>
      <c r="LDW187" s="117"/>
      <c r="LDX187" s="117"/>
      <c r="LDY187" s="117"/>
      <c r="LDZ187" s="117"/>
      <c r="LEA187" s="117"/>
      <c r="LEB187" s="117"/>
      <c r="LEC187" s="117"/>
      <c r="LED187" s="117"/>
      <c r="LEE187" s="117"/>
      <c r="LEF187" s="117"/>
      <c r="LEG187" s="117"/>
      <c r="LEH187" s="117"/>
      <c r="LEI187" s="117"/>
      <c r="LEJ187" s="117"/>
      <c r="LEK187" s="117"/>
      <c r="LEL187" s="117"/>
      <c r="LEM187" s="117"/>
      <c r="LEN187" s="117"/>
      <c r="LEO187" s="117"/>
      <c r="LEP187" s="117"/>
      <c r="LEQ187" s="117"/>
      <c r="LER187" s="117"/>
      <c r="LES187" s="117"/>
      <c r="LET187" s="117"/>
      <c r="LEU187" s="117"/>
      <c r="LEV187" s="117"/>
      <c r="LEW187" s="117"/>
      <c r="LEX187" s="117"/>
      <c r="LEY187" s="117"/>
      <c r="LEZ187" s="117"/>
      <c r="LFA187" s="117"/>
      <c r="LFB187" s="117"/>
      <c r="LFC187" s="117"/>
      <c r="LFD187" s="117"/>
      <c r="LFE187" s="117"/>
      <c r="LFF187" s="117"/>
      <c r="LFG187" s="117"/>
      <c r="LFH187" s="117"/>
      <c r="LFI187" s="117"/>
      <c r="LFJ187" s="117"/>
      <c r="LFK187" s="117"/>
      <c r="LFL187" s="117"/>
      <c r="LFM187" s="117"/>
      <c r="LFN187" s="117"/>
      <c r="LFO187" s="117"/>
      <c r="LFP187" s="117"/>
      <c r="LFQ187" s="117"/>
      <c r="LFR187" s="117"/>
      <c r="LFS187" s="117"/>
      <c r="LFT187" s="117"/>
      <c r="LFU187" s="117"/>
      <c r="LFV187" s="117"/>
      <c r="LFW187" s="117"/>
      <c r="LFX187" s="117"/>
      <c r="LFY187" s="117"/>
      <c r="LFZ187" s="117"/>
      <c r="LGA187" s="117"/>
      <c r="LGB187" s="117"/>
      <c r="LGC187" s="117"/>
      <c r="LGD187" s="117"/>
      <c r="LGE187" s="117"/>
      <c r="LGF187" s="117"/>
      <c r="LGG187" s="117"/>
      <c r="LGH187" s="117"/>
      <c r="LGI187" s="117"/>
      <c r="LGJ187" s="117"/>
      <c r="LGK187" s="117"/>
      <c r="LGL187" s="117"/>
      <c r="LGM187" s="117"/>
      <c r="LGN187" s="117"/>
      <c r="LGO187" s="117"/>
      <c r="LGP187" s="117"/>
      <c r="LGQ187" s="117"/>
      <c r="LGR187" s="117"/>
      <c r="LGS187" s="117"/>
      <c r="LGT187" s="117"/>
      <c r="LGU187" s="117"/>
      <c r="LGV187" s="117"/>
      <c r="LGW187" s="117"/>
      <c r="LGX187" s="117"/>
      <c r="LGY187" s="117"/>
      <c r="LGZ187" s="117"/>
      <c r="LHA187" s="117"/>
      <c r="LHB187" s="117"/>
      <c r="LHC187" s="117"/>
      <c r="LHD187" s="117"/>
      <c r="LHE187" s="117"/>
      <c r="LHF187" s="117"/>
      <c r="LHG187" s="117"/>
      <c r="LHH187" s="117"/>
      <c r="LHI187" s="117"/>
      <c r="LHJ187" s="117"/>
      <c r="LHK187" s="117"/>
      <c r="LHL187" s="117"/>
      <c r="LHM187" s="117"/>
      <c r="LHN187" s="117"/>
      <c r="LHO187" s="117"/>
      <c r="LHP187" s="117"/>
      <c r="LHQ187" s="117"/>
      <c r="LHR187" s="117"/>
      <c r="LHS187" s="117"/>
      <c r="LHT187" s="117"/>
      <c r="LHU187" s="117"/>
      <c r="LHV187" s="117"/>
      <c r="LHW187" s="117"/>
      <c r="LHX187" s="117"/>
      <c r="LHY187" s="117"/>
      <c r="LHZ187" s="117"/>
      <c r="LIA187" s="117"/>
      <c r="LIB187" s="117"/>
      <c r="LIC187" s="117"/>
      <c r="LID187" s="117"/>
      <c r="LIE187" s="117"/>
      <c r="LIF187" s="117"/>
      <c r="LIG187" s="117"/>
      <c r="LIH187" s="117"/>
      <c r="LII187" s="117"/>
      <c r="LIJ187" s="117"/>
      <c r="LIK187" s="117"/>
      <c r="LIL187" s="117"/>
      <c r="LIM187" s="117"/>
      <c r="LIN187" s="117"/>
      <c r="LIO187" s="117"/>
      <c r="LIP187" s="117"/>
      <c r="LIQ187" s="117"/>
      <c r="LIR187" s="117"/>
      <c r="LIS187" s="117"/>
      <c r="LIT187" s="117"/>
      <c r="LIU187" s="117"/>
      <c r="LIV187" s="117"/>
      <c r="LIW187" s="117"/>
      <c r="LIX187" s="117"/>
      <c r="LIY187" s="117"/>
      <c r="LIZ187" s="117"/>
      <c r="LJA187" s="117"/>
      <c r="LJB187" s="117"/>
      <c r="LJC187" s="117"/>
      <c r="LJD187" s="117"/>
      <c r="LJE187" s="117"/>
      <c r="LJF187" s="117"/>
      <c r="LJG187" s="117"/>
      <c r="LJH187" s="117"/>
      <c r="LJI187" s="117"/>
      <c r="LJJ187" s="117"/>
      <c r="LJK187" s="117"/>
      <c r="LJL187" s="117"/>
      <c r="LJM187" s="117"/>
      <c r="LJN187" s="117"/>
      <c r="LJO187" s="117"/>
      <c r="LJP187" s="117"/>
      <c r="LJQ187" s="117"/>
      <c r="LJR187" s="117"/>
      <c r="LJS187" s="117"/>
      <c r="LJT187" s="117"/>
      <c r="LJU187" s="117"/>
      <c r="LJV187" s="117"/>
      <c r="LJW187" s="117"/>
      <c r="LJX187" s="117"/>
      <c r="LJY187" s="117"/>
      <c r="LJZ187" s="117"/>
      <c r="LKA187" s="117"/>
      <c r="LKB187" s="117"/>
      <c r="LKC187" s="117"/>
      <c r="LKD187" s="117"/>
      <c r="LKE187" s="117"/>
      <c r="LKF187" s="117"/>
      <c r="LKG187" s="117"/>
      <c r="LKH187" s="117"/>
      <c r="LKI187" s="117"/>
      <c r="LKJ187" s="117"/>
      <c r="LKK187" s="117"/>
      <c r="LKL187" s="117"/>
      <c r="LKM187" s="117"/>
      <c r="LKN187" s="117"/>
      <c r="LKO187" s="117"/>
      <c r="LKP187" s="117"/>
      <c r="LKQ187" s="117"/>
      <c r="LKR187" s="117"/>
      <c r="LKS187" s="117"/>
      <c r="LKT187" s="117"/>
      <c r="LKU187" s="117"/>
      <c r="LKV187" s="117"/>
      <c r="LKW187" s="117"/>
      <c r="LKX187" s="117"/>
      <c r="LKY187" s="117"/>
      <c r="LKZ187" s="117"/>
      <c r="LLA187" s="117"/>
      <c r="LLB187" s="117"/>
      <c r="LLC187" s="117"/>
      <c r="LLD187" s="117"/>
      <c r="LLE187" s="117"/>
      <c r="LLF187" s="117"/>
      <c r="LLG187" s="117"/>
      <c r="LLH187" s="117"/>
      <c r="LLI187" s="117"/>
      <c r="LLJ187" s="117"/>
      <c r="LLK187" s="117"/>
      <c r="LLL187" s="117"/>
      <c r="LLM187" s="117"/>
      <c r="LLN187" s="117"/>
      <c r="LLO187" s="117"/>
      <c r="LLP187" s="117"/>
      <c r="LLQ187" s="117"/>
      <c r="LLR187" s="117"/>
      <c r="LLS187" s="117"/>
      <c r="LLT187" s="117"/>
      <c r="LLU187" s="117"/>
      <c r="LLV187" s="117"/>
      <c r="LLW187" s="117"/>
      <c r="LLX187" s="117"/>
      <c r="LLY187" s="117"/>
      <c r="LLZ187" s="117"/>
      <c r="LMA187" s="117"/>
      <c r="LMB187" s="117"/>
      <c r="LMC187" s="117"/>
      <c r="LMD187" s="117"/>
      <c r="LME187" s="117"/>
      <c r="LMF187" s="117"/>
      <c r="LMG187" s="117"/>
      <c r="LMH187" s="117"/>
      <c r="LMI187" s="117"/>
      <c r="LMJ187" s="117"/>
      <c r="LMK187" s="117"/>
      <c r="LML187" s="117"/>
      <c r="LMM187" s="117"/>
      <c r="LMN187" s="117"/>
      <c r="LMO187" s="117"/>
      <c r="LMP187" s="117"/>
      <c r="LMQ187" s="117"/>
      <c r="LMR187" s="117"/>
      <c r="LMS187" s="117"/>
      <c r="LMT187" s="117"/>
      <c r="LMU187" s="117"/>
      <c r="LMV187" s="117"/>
      <c r="LMW187" s="117"/>
      <c r="LMX187" s="117"/>
      <c r="LMY187" s="117"/>
      <c r="LMZ187" s="117"/>
      <c r="LNA187" s="117"/>
      <c r="LNB187" s="117"/>
      <c r="LNC187" s="117"/>
      <c r="LND187" s="117"/>
      <c r="LNE187" s="117"/>
      <c r="LNF187" s="117"/>
      <c r="LNG187" s="117"/>
      <c r="LNH187" s="117"/>
      <c r="LNI187" s="117"/>
      <c r="LNJ187" s="117"/>
      <c r="LNK187" s="117"/>
      <c r="LNL187" s="117"/>
      <c r="LNM187" s="117"/>
      <c r="LNN187" s="117"/>
      <c r="LNO187" s="117"/>
      <c r="LNP187" s="117"/>
      <c r="LNQ187" s="117"/>
      <c r="LNR187" s="117"/>
      <c r="LNS187" s="117"/>
      <c r="LNT187" s="117"/>
      <c r="LNU187" s="117"/>
      <c r="LNV187" s="117"/>
      <c r="LNW187" s="117"/>
      <c r="LNX187" s="117"/>
      <c r="LNY187" s="117"/>
      <c r="LNZ187" s="117"/>
      <c r="LOA187" s="117"/>
      <c r="LOB187" s="117"/>
      <c r="LOC187" s="117"/>
      <c r="LOD187" s="117"/>
      <c r="LOE187" s="117"/>
      <c r="LOF187" s="117"/>
      <c r="LOG187" s="117"/>
      <c r="LOH187" s="117"/>
      <c r="LOI187" s="117"/>
      <c r="LOJ187" s="117"/>
      <c r="LOK187" s="117"/>
      <c r="LOL187" s="117"/>
      <c r="LOM187" s="117"/>
      <c r="LON187" s="117"/>
      <c r="LOO187" s="117"/>
      <c r="LOP187" s="117"/>
      <c r="LOQ187" s="117"/>
      <c r="LOR187" s="117"/>
      <c r="LOS187" s="117"/>
      <c r="LOT187" s="117"/>
      <c r="LOU187" s="117"/>
      <c r="LOV187" s="117"/>
      <c r="LOW187" s="117"/>
      <c r="LOX187" s="117"/>
      <c r="LOY187" s="117"/>
      <c r="LOZ187" s="117"/>
      <c r="LPA187" s="117"/>
      <c r="LPB187" s="117"/>
      <c r="LPC187" s="117"/>
      <c r="LPD187" s="117"/>
      <c r="LPE187" s="117"/>
      <c r="LPF187" s="117"/>
      <c r="LPG187" s="117"/>
      <c r="LPH187" s="117"/>
      <c r="LPI187" s="117"/>
      <c r="LPJ187" s="117"/>
      <c r="LPK187" s="117"/>
      <c r="LPL187" s="117"/>
      <c r="LPM187" s="117"/>
      <c r="LPN187" s="117"/>
      <c r="LPO187" s="117"/>
      <c r="LPP187" s="117"/>
      <c r="LPQ187" s="117"/>
      <c r="LPR187" s="117"/>
      <c r="LPS187" s="117"/>
      <c r="LPT187" s="117"/>
      <c r="LPU187" s="117"/>
      <c r="LPV187" s="117"/>
      <c r="LPW187" s="117"/>
      <c r="LPX187" s="117"/>
      <c r="LPY187" s="117"/>
      <c r="LPZ187" s="117"/>
      <c r="LQA187" s="117"/>
      <c r="LQB187" s="117"/>
      <c r="LQC187" s="117"/>
      <c r="LQD187" s="117"/>
      <c r="LQE187" s="117"/>
      <c r="LQF187" s="117"/>
      <c r="LQG187" s="117"/>
      <c r="LQH187" s="117"/>
      <c r="LQI187" s="117"/>
      <c r="LQJ187" s="117"/>
      <c r="LQK187" s="117"/>
      <c r="LQL187" s="117"/>
      <c r="LQM187" s="117"/>
      <c r="LQN187" s="117"/>
      <c r="LQO187" s="117"/>
      <c r="LQP187" s="117"/>
      <c r="LQQ187" s="117"/>
      <c r="LQR187" s="117"/>
      <c r="LQS187" s="117"/>
      <c r="LQT187" s="117"/>
      <c r="LQU187" s="117"/>
      <c r="LQV187" s="117"/>
      <c r="LQW187" s="117"/>
      <c r="LQX187" s="117"/>
      <c r="LQY187" s="117"/>
      <c r="LQZ187" s="117"/>
      <c r="LRA187" s="117"/>
      <c r="LRB187" s="117"/>
      <c r="LRC187" s="117"/>
      <c r="LRD187" s="117"/>
      <c r="LRE187" s="117"/>
      <c r="LRF187" s="117"/>
      <c r="LRG187" s="117"/>
      <c r="LRH187" s="117"/>
      <c r="LRI187" s="117"/>
      <c r="LRJ187" s="117"/>
      <c r="LRK187" s="117"/>
      <c r="LRL187" s="117"/>
      <c r="LRM187" s="117"/>
      <c r="LRN187" s="117"/>
      <c r="LRO187" s="117"/>
      <c r="LRP187" s="117"/>
      <c r="LRQ187" s="117"/>
      <c r="LRR187" s="117"/>
      <c r="LRS187" s="117"/>
      <c r="LRT187" s="117"/>
      <c r="LRU187" s="117"/>
      <c r="LRV187" s="117"/>
      <c r="LRW187" s="117"/>
      <c r="LRX187" s="117"/>
      <c r="LRY187" s="117"/>
      <c r="LRZ187" s="117"/>
      <c r="LSA187" s="117"/>
      <c r="LSB187" s="117"/>
      <c r="LSC187" s="117"/>
      <c r="LSD187" s="117"/>
      <c r="LSE187" s="117"/>
      <c r="LSF187" s="117"/>
      <c r="LSG187" s="117"/>
      <c r="LSH187" s="117"/>
      <c r="LSI187" s="117"/>
      <c r="LSJ187" s="117"/>
      <c r="LSK187" s="117"/>
      <c r="LSL187" s="117"/>
      <c r="LSM187" s="117"/>
      <c r="LSN187" s="117"/>
      <c r="LSO187" s="117"/>
      <c r="LSP187" s="117"/>
      <c r="LSQ187" s="117"/>
      <c r="LSR187" s="117"/>
      <c r="LSS187" s="117"/>
      <c r="LST187" s="117"/>
      <c r="LSU187" s="117"/>
      <c r="LSV187" s="117"/>
      <c r="LSW187" s="117"/>
      <c r="LSX187" s="117"/>
      <c r="LSY187" s="117"/>
      <c r="LSZ187" s="117"/>
      <c r="LTA187" s="117"/>
      <c r="LTB187" s="117"/>
      <c r="LTC187" s="117"/>
      <c r="LTD187" s="117"/>
      <c r="LTE187" s="117"/>
      <c r="LTF187" s="117"/>
      <c r="LTG187" s="117"/>
      <c r="LTH187" s="117"/>
      <c r="LTI187" s="117"/>
      <c r="LTJ187" s="117"/>
      <c r="LTK187" s="117"/>
      <c r="LTL187" s="117"/>
      <c r="LTM187" s="117"/>
      <c r="LTN187" s="117"/>
      <c r="LTO187" s="117"/>
      <c r="LTP187" s="117"/>
      <c r="LTQ187" s="117"/>
      <c r="LTR187" s="117"/>
      <c r="LTS187" s="117"/>
      <c r="LTT187" s="117"/>
      <c r="LTU187" s="117"/>
      <c r="LTV187" s="117"/>
      <c r="LTW187" s="117"/>
      <c r="LTX187" s="117"/>
      <c r="LTY187" s="117"/>
      <c r="LTZ187" s="117"/>
      <c r="LUA187" s="117"/>
      <c r="LUB187" s="117"/>
      <c r="LUC187" s="117"/>
      <c r="LUD187" s="117"/>
      <c r="LUE187" s="117"/>
      <c r="LUF187" s="117"/>
      <c r="LUG187" s="117"/>
      <c r="LUH187" s="117"/>
      <c r="LUI187" s="117"/>
      <c r="LUJ187" s="117"/>
      <c r="LUK187" s="117"/>
      <c r="LUL187" s="117"/>
      <c r="LUM187" s="117"/>
      <c r="LUN187" s="117"/>
      <c r="LUO187" s="117"/>
      <c r="LUP187" s="117"/>
      <c r="LUQ187" s="117"/>
      <c r="LUR187" s="117"/>
      <c r="LUS187" s="117"/>
      <c r="LUT187" s="117"/>
      <c r="LUU187" s="117"/>
      <c r="LUV187" s="117"/>
      <c r="LUW187" s="117"/>
      <c r="LUX187" s="117"/>
      <c r="LUY187" s="117"/>
      <c r="LUZ187" s="117"/>
      <c r="LVA187" s="117"/>
      <c r="LVB187" s="117"/>
      <c r="LVC187" s="117"/>
      <c r="LVD187" s="117"/>
      <c r="LVE187" s="117"/>
      <c r="LVF187" s="117"/>
      <c r="LVG187" s="117"/>
      <c r="LVH187" s="117"/>
      <c r="LVI187" s="117"/>
      <c r="LVJ187" s="117"/>
      <c r="LVK187" s="117"/>
      <c r="LVL187" s="117"/>
      <c r="LVM187" s="117"/>
      <c r="LVN187" s="117"/>
      <c r="LVO187" s="117"/>
      <c r="LVP187" s="117"/>
      <c r="LVQ187" s="117"/>
      <c r="LVR187" s="117"/>
      <c r="LVS187" s="117"/>
      <c r="LVT187" s="117"/>
      <c r="LVU187" s="117"/>
      <c r="LVV187" s="117"/>
      <c r="LVW187" s="117"/>
      <c r="LVX187" s="117"/>
      <c r="LVY187" s="117"/>
      <c r="LVZ187" s="117"/>
      <c r="LWA187" s="117"/>
      <c r="LWB187" s="117"/>
      <c r="LWC187" s="117"/>
      <c r="LWD187" s="117"/>
      <c r="LWE187" s="117"/>
      <c r="LWF187" s="117"/>
      <c r="LWG187" s="117"/>
      <c r="LWH187" s="117"/>
      <c r="LWI187" s="117"/>
      <c r="LWJ187" s="117"/>
      <c r="LWK187" s="117"/>
      <c r="LWL187" s="117"/>
      <c r="LWM187" s="117"/>
      <c r="LWN187" s="117"/>
      <c r="LWO187" s="117"/>
      <c r="LWP187" s="117"/>
      <c r="LWQ187" s="117"/>
      <c r="LWR187" s="117"/>
      <c r="LWS187" s="117"/>
      <c r="LWT187" s="117"/>
      <c r="LWU187" s="117"/>
      <c r="LWV187" s="117"/>
      <c r="LWW187" s="117"/>
      <c r="LWX187" s="117"/>
      <c r="LWY187" s="117"/>
      <c r="LWZ187" s="117"/>
      <c r="LXA187" s="117"/>
      <c r="LXB187" s="117"/>
      <c r="LXC187" s="117"/>
      <c r="LXD187" s="117"/>
      <c r="LXE187" s="117"/>
      <c r="LXF187" s="117"/>
      <c r="LXG187" s="117"/>
      <c r="LXH187" s="117"/>
      <c r="LXI187" s="117"/>
      <c r="LXJ187" s="117"/>
      <c r="LXK187" s="117"/>
      <c r="LXL187" s="117"/>
      <c r="LXM187" s="117"/>
      <c r="LXN187" s="117"/>
      <c r="LXO187" s="117"/>
      <c r="LXP187" s="117"/>
      <c r="LXQ187" s="117"/>
      <c r="LXR187" s="117"/>
      <c r="LXS187" s="117"/>
      <c r="LXT187" s="117"/>
      <c r="LXU187" s="117"/>
      <c r="LXV187" s="117"/>
      <c r="LXW187" s="117"/>
      <c r="LXX187" s="117"/>
      <c r="LXY187" s="117"/>
      <c r="LXZ187" s="117"/>
      <c r="LYA187" s="117"/>
      <c r="LYB187" s="117"/>
      <c r="LYC187" s="117"/>
      <c r="LYD187" s="117"/>
      <c r="LYE187" s="117"/>
      <c r="LYF187" s="117"/>
      <c r="LYG187" s="117"/>
      <c r="LYH187" s="117"/>
      <c r="LYI187" s="117"/>
      <c r="LYJ187" s="117"/>
      <c r="LYK187" s="117"/>
      <c r="LYL187" s="117"/>
      <c r="LYM187" s="117"/>
      <c r="LYN187" s="117"/>
      <c r="LYO187" s="117"/>
      <c r="LYP187" s="117"/>
      <c r="LYQ187" s="117"/>
      <c r="LYR187" s="117"/>
      <c r="LYS187" s="117"/>
      <c r="LYT187" s="117"/>
      <c r="LYU187" s="117"/>
      <c r="LYV187" s="117"/>
      <c r="LYW187" s="117"/>
      <c r="LYX187" s="117"/>
      <c r="LYY187" s="117"/>
      <c r="LYZ187" s="117"/>
      <c r="LZA187" s="117"/>
      <c r="LZB187" s="117"/>
      <c r="LZC187" s="117"/>
      <c r="LZD187" s="117"/>
      <c r="LZE187" s="117"/>
      <c r="LZF187" s="117"/>
      <c r="LZG187" s="117"/>
      <c r="LZH187" s="117"/>
      <c r="LZI187" s="117"/>
      <c r="LZJ187" s="117"/>
      <c r="LZK187" s="117"/>
      <c r="LZL187" s="117"/>
      <c r="LZM187" s="117"/>
      <c r="LZN187" s="117"/>
      <c r="LZO187" s="117"/>
      <c r="LZP187" s="117"/>
      <c r="LZQ187" s="117"/>
      <c r="LZR187" s="117"/>
      <c r="LZS187" s="117"/>
      <c r="LZT187" s="117"/>
      <c r="LZU187" s="117"/>
      <c r="LZV187" s="117"/>
      <c r="LZW187" s="117"/>
      <c r="LZX187" s="117"/>
      <c r="LZY187" s="117"/>
      <c r="LZZ187" s="117"/>
      <c r="MAA187" s="117"/>
      <c r="MAB187" s="117"/>
      <c r="MAC187" s="117"/>
      <c r="MAD187" s="117"/>
      <c r="MAE187" s="117"/>
      <c r="MAF187" s="117"/>
      <c r="MAG187" s="117"/>
      <c r="MAH187" s="117"/>
      <c r="MAI187" s="117"/>
      <c r="MAJ187" s="117"/>
      <c r="MAK187" s="117"/>
      <c r="MAL187" s="117"/>
      <c r="MAM187" s="117"/>
      <c r="MAN187" s="117"/>
      <c r="MAO187" s="117"/>
      <c r="MAP187" s="117"/>
      <c r="MAQ187" s="117"/>
      <c r="MAR187" s="117"/>
      <c r="MAS187" s="117"/>
      <c r="MAT187" s="117"/>
      <c r="MAU187" s="117"/>
      <c r="MAV187" s="117"/>
      <c r="MAW187" s="117"/>
      <c r="MAX187" s="117"/>
      <c r="MAY187" s="117"/>
      <c r="MAZ187" s="117"/>
      <c r="MBA187" s="117"/>
      <c r="MBB187" s="117"/>
      <c r="MBC187" s="117"/>
      <c r="MBD187" s="117"/>
      <c r="MBE187" s="117"/>
      <c r="MBF187" s="117"/>
      <c r="MBG187" s="117"/>
      <c r="MBH187" s="117"/>
      <c r="MBI187" s="117"/>
      <c r="MBJ187" s="117"/>
      <c r="MBK187" s="117"/>
      <c r="MBL187" s="117"/>
      <c r="MBM187" s="117"/>
      <c r="MBN187" s="117"/>
      <c r="MBO187" s="117"/>
      <c r="MBP187" s="117"/>
      <c r="MBQ187" s="117"/>
      <c r="MBR187" s="117"/>
      <c r="MBS187" s="117"/>
      <c r="MBT187" s="117"/>
      <c r="MBU187" s="117"/>
      <c r="MBV187" s="117"/>
      <c r="MBW187" s="117"/>
      <c r="MBX187" s="117"/>
      <c r="MBY187" s="117"/>
      <c r="MBZ187" s="117"/>
      <c r="MCA187" s="117"/>
      <c r="MCB187" s="117"/>
      <c r="MCC187" s="117"/>
      <c r="MCD187" s="117"/>
      <c r="MCE187" s="117"/>
      <c r="MCF187" s="117"/>
      <c r="MCG187" s="117"/>
      <c r="MCH187" s="117"/>
      <c r="MCI187" s="117"/>
      <c r="MCJ187" s="117"/>
      <c r="MCK187" s="117"/>
      <c r="MCL187" s="117"/>
      <c r="MCM187" s="117"/>
      <c r="MCN187" s="117"/>
      <c r="MCO187" s="117"/>
      <c r="MCP187" s="117"/>
      <c r="MCQ187" s="117"/>
      <c r="MCR187" s="117"/>
      <c r="MCS187" s="117"/>
      <c r="MCT187" s="117"/>
      <c r="MCU187" s="117"/>
      <c r="MCV187" s="117"/>
      <c r="MCW187" s="117"/>
      <c r="MCX187" s="117"/>
      <c r="MCY187" s="117"/>
      <c r="MCZ187" s="117"/>
      <c r="MDA187" s="117"/>
      <c r="MDB187" s="117"/>
      <c r="MDC187" s="117"/>
      <c r="MDD187" s="117"/>
      <c r="MDE187" s="117"/>
      <c r="MDF187" s="117"/>
      <c r="MDG187" s="117"/>
      <c r="MDH187" s="117"/>
      <c r="MDI187" s="117"/>
      <c r="MDJ187" s="117"/>
      <c r="MDK187" s="117"/>
      <c r="MDL187" s="117"/>
      <c r="MDM187" s="117"/>
      <c r="MDN187" s="117"/>
      <c r="MDO187" s="117"/>
      <c r="MDP187" s="117"/>
      <c r="MDQ187" s="117"/>
      <c r="MDR187" s="117"/>
      <c r="MDS187" s="117"/>
      <c r="MDT187" s="117"/>
      <c r="MDU187" s="117"/>
      <c r="MDV187" s="117"/>
      <c r="MDW187" s="117"/>
      <c r="MDX187" s="117"/>
      <c r="MDY187" s="117"/>
      <c r="MDZ187" s="117"/>
      <c r="MEA187" s="117"/>
      <c r="MEB187" s="117"/>
      <c r="MEC187" s="117"/>
      <c r="MED187" s="117"/>
      <c r="MEE187" s="117"/>
      <c r="MEF187" s="117"/>
      <c r="MEG187" s="117"/>
      <c r="MEH187" s="117"/>
      <c r="MEI187" s="117"/>
      <c r="MEJ187" s="117"/>
      <c r="MEK187" s="117"/>
      <c r="MEL187" s="117"/>
      <c r="MEM187" s="117"/>
      <c r="MEN187" s="117"/>
      <c r="MEO187" s="117"/>
      <c r="MEP187" s="117"/>
      <c r="MEQ187" s="117"/>
      <c r="MER187" s="117"/>
      <c r="MES187" s="117"/>
      <c r="MET187" s="117"/>
      <c r="MEU187" s="117"/>
      <c r="MEV187" s="117"/>
      <c r="MEW187" s="117"/>
      <c r="MEX187" s="117"/>
      <c r="MEY187" s="117"/>
      <c r="MEZ187" s="117"/>
      <c r="MFA187" s="117"/>
      <c r="MFB187" s="117"/>
      <c r="MFC187" s="117"/>
      <c r="MFD187" s="117"/>
      <c r="MFE187" s="117"/>
      <c r="MFF187" s="117"/>
      <c r="MFG187" s="117"/>
      <c r="MFH187" s="117"/>
      <c r="MFI187" s="117"/>
      <c r="MFJ187" s="117"/>
      <c r="MFK187" s="117"/>
      <c r="MFL187" s="117"/>
      <c r="MFM187" s="117"/>
      <c r="MFN187" s="117"/>
      <c r="MFO187" s="117"/>
      <c r="MFP187" s="117"/>
      <c r="MFQ187" s="117"/>
      <c r="MFR187" s="117"/>
      <c r="MFS187" s="117"/>
      <c r="MFT187" s="117"/>
      <c r="MFU187" s="117"/>
      <c r="MFV187" s="117"/>
      <c r="MFW187" s="117"/>
      <c r="MFX187" s="117"/>
      <c r="MFY187" s="117"/>
      <c r="MFZ187" s="117"/>
      <c r="MGA187" s="117"/>
      <c r="MGB187" s="117"/>
      <c r="MGC187" s="117"/>
      <c r="MGD187" s="117"/>
      <c r="MGE187" s="117"/>
      <c r="MGF187" s="117"/>
      <c r="MGG187" s="117"/>
      <c r="MGH187" s="117"/>
      <c r="MGI187" s="117"/>
      <c r="MGJ187" s="117"/>
      <c r="MGK187" s="117"/>
      <c r="MGL187" s="117"/>
      <c r="MGM187" s="117"/>
      <c r="MGN187" s="117"/>
      <c r="MGO187" s="117"/>
      <c r="MGP187" s="117"/>
      <c r="MGQ187" s="117"/>
      <c r="MGR187" s="117"/>
      <c r="MGS187" s="117"/>
      <c r="MGT187" s="117"/>
      <c r="MGU187" s="117"/>
      <c r="MGV187" s="117"/>
      <c r="MGW187" s="117"/>
      <c r="MGX187" s="117"/>
      <c r="MGY187" s="117"/>
      <c r="MGZ187" s="117"/>
      <c r="MHA187" s="117"/>
      <c r="MHB187" s="117"/>
      <c r="MHC187" s="117"/>
      <c r="MHD187" s="117"/>
      <c r="MHE187" s="117"/>
      <c r="MHF187" s="117"/>
      <c r="MHG187" s="117"/>
      <c r="MHH187" s="117"/>
      <c r="MHI187" s="117"/>
      <c r="MHJ187" s="117"/>
      <c r="MHK187" s="117"/>
      <c r="MHL187" s="117"/>
      <c r="MHM187" s="117"/>
      <c r="MHN187" s="117"/>
      <c r="MHO187" s="117"/>
      <c r="MHP187" s="117"/>
      <c r="MHQ187" s="117"/>
      <c r="MHR187" s="117"/>
      <c r="MHS187" s="117"/>
      <c r="MHT187" s="117"/>
      <c r="MHU187" s="117"/>
      <c r="MHV187" s="117"/>
      <c r="MHW187" s="117"/>
      <c r="MHX187" s="117"/>
      <c r="MHY187" s="117"/>
      <c r="MHZ187" s="117"/>
      <c r="MIA187" s="117"/>
      <c r="MIB187" s="117"/>
      <c r="MIC187" s="117"/>
      <c r="MID187" s="117"/>
      <c r="MIE187" s="117"/>
      <c r="MIF187" s="117"/>
      <c r="MIG187" s="117"/>
      <c r="MIH187" s="117"/>
      <c r="MII187" s="117"/>
      <c r="MIJ187" s="117"/>
      <c r="MIK187" s="117"/>
      <c r="MIL187" s="117"/>
      <c r="MIM187" s="117"/>
      <c r="MIN187" s="117"/>
      <c r="MIO187" s="117"/>
      <c r="MIP187" s="117"/>
      <c r="MIQ187" s="117"/>
      <c r="MIR187" s="117"/>
      <c r="MIS187" s="117"/>
      <c r="MIT187" s="117"/>
      <c r="MIU187" s="117"/>
      <c r="MIV187" s="117"/>
      <c r="MIW187" s="117"/>
      <c r="MIX187" s="117"/>
      <c r="MIY187" s="117"/>
      <c r="MIZ187" s="117"/>
      <c r="MJA187" s="117"/>
      <c r="MJB187" s="117"/>
      <c r="MJC187" s="117"/>
      <c r="MJD187" s="117"/>
      <c r="MJE187" s="117"/>
      <c r="MJF187" s="117"/>
      <c r="MJG187" s="117"/>
      <c r="MJH187" s="117"/>
      <c r="MJI187" s="117"/>
      <c r="MJJ187" s="117"/>
      <c r="MJK187" s="117"/>
      <c r="MJL187" s="117"/>
      <c r="MJM187" s="117"/>
      <c r="MJN187" s="117"/>
      <c r="MJO187" s="117"/>
      <c r="MJP187" s="117"/>
      <c r="MJQ187" s="117"/>
      <c r="MJR187" s="117"/>
      <c r="MJS187" s="117"/>
      <c r="MJT187" s="117"/>
      <c r="MJU187" s="117"/>
      <c r="MJV187" s="117"/>
      <c r="MJW187" s="117"/>
      <c r="MJX187" s="117"/>
      <c r="MJY187" s="117"/>
      <c r="MJZ187" s="117"/>
      <c r="MKA187" s="117"/>
      <c r="MKB187" s="117"/>
      <c r="MKC187" s="117"/>
      <c r="MKD187" s="117"/>
      <c r="MKE187" s="117"/>
      <c r="MKF187" s="117"/>
      <c r="MKG187" s="117"/>
      <c r="MKH187" s="117"/>
      <c r="MKI187" s="117"/>
      <c r="MKJ187" s="117"/>
      <c r="MKK187" s="117"/>
      <c r="MKL187" s="117"/>
      <c r="MKM187" s="117"/>
      <c r="MKN187" s="117"/>
      <c r="MKO187" s="117"/>
      <c r="MKP187" s="117"/>
      <c r="MKQ187" s="117"/>
      <c r="MKR187" s="117"/>
      <c r="MKS187" s="117"/>
      <c r="MKT187" s="117"/>
      <c r="MKU187" s="117"/>
      <c r="MKV187" s="117"/>
      <c r="MKW187" s="117"/>
      <c r="MKX187" s="117"/>
      <c r="MKY187" s="117"/>
      <c r="MKZ187" s="117"/>
      <c r="MLA187" s="117"/>
      <c r="MLB187" s="117"/>
      <c r="MLC187" s="117"/>
      <c r="MLD187" s="117"/>
      <c r="MLE187" s="117"/>
      <c r="MLF187" s="117"/>
      <c r="MLG187" s="117"/>
      <c r="MLH187" s="117"/>
      <c r="MLI187" s="117"/>
      <c r="MLJ187" s="117"/>
      <c r="MLK187" s="117"/>
      <c r="MLL187" s="117"/>
      <c r="MLM187" s="117"/>
      <c r="MLN187" s="117"/>
      <c r="MLO187" s="117"/>
      <c r="MLP187" s="117"/>
      <c r="MLQ187" s="117"/>
      <c r="MLR187" s="117"/>
      <c r="MLS187" s="117"/>
      <c r="MLT187" s="117"/>
      <c r="MLU187" s="117"/>
      <c r="MLV187" s="117"/>
      <c r="MLW187" s="117"/>
      <c r="MLX187" s="117"/>
      <c r="MLY187" s="117"/>
      <c r="MLZ187" s="117"/>
      <c r="MMA187" s="117"/>
      <c r="MMB187" s="117"/>
      <c r="MMC187" s="117"/>
      <c r="MMD187" s="117"/>
      <c r="MME187" s="117"/>
      <c r="MMF187" s="117"/>
      <c r="MMG187" s="117"/>
      <c r="MMH187" s="117"/>
      <c r="MMI187" s="117"/>
      <c r="MMJ187" s="117"/>
      <c r="MMK187" s="117"/>
      <c r="MML187" s="117"/>
      <c r="MMM187" s="117"/>
      <c r="MMN187" s="117"/>
      <c r="MMO187" s="117"/>
      <c r="MMP187" s="117"/>
      <c r="MMQ187" s="117"/>
      <c r="MMR187" s="117"/>
      <c r="MMS187" s="117"/>
      <c r="MMT187" s="117"/>
      <c r="MMU187" s="117"/>
      <c r="MMV187" s="117"/>
      <c r="MMW187" s="117"/>
      <c r="MMX187" s="117"/>
      <c r="MMY187" s="117"/>
      <c r="MMZ187" s="117"/>
      <c r="MNA187" s="117"/>
      <c r="MNB187" s="117"/>
      <c r="MNC187" s="117"/>
      <c r="MND187" s="117"/>
      <c r="MNE187" s="117"/>
      <c r="MNF187" s="117"/>
      <c r="MNG187" s="117"/>
      <c r="MNH187" s="117"/>
      <c r="MNI187" s="117"/>
      <c r="MNJ187" s="117"/>
      <c r="MNK187" s="117"/>
      <c r="MNL187" s="117"/>
      <c r="MNM187" s="117"/>
      <c r="MNN187" s="117"/>
      <c r="MNO187" s="117"/>
      <c r="MNP187" s="117"/>
      <c r="MNQ187" s="117"/>
      <c r="MNR187" s="117"/>
      <c r="MNS187" s="117"/>
      <c r="MNT187" s="117"/>
      <c r="MNU187" s="117"/>
      <c r="MNV187" s="117"/>
      <c r="MNW187" s="117"/>
      <c r="MNX187" s="117"/>
      <c r="MNY187" s="117"/>
      <c r="MNZ187" s="117"/>
      <c r="MOA187" s="117"/>
      <c r="MOB187" s="117"/>
      <c r="MOC187" s="117"/>
      <c r="MOD187" s="117"/>
      <c r="MOE187" s="117"/>
      <c r="MOF187" s="117"/>
      <c r="MOG187" s="117"/>
      <c r="MOH187" s="117"/>
      <c r="MOI187" s="117"/>
      <c r="MOJ187" s="117"/>
      <c r="MOK187" s="117"/>
      <c r="MOL187" s="117"/>
      <c r="MOM187" s="117"/>
      <c r="MON187" s="117"/>
      <c r="MOO187" s="117"/>
      <c r="MOP187" s="117"/>
      <c r="MOQ187" s="117"/>
      <c r="MOR187" s="117"/>
      <c r="MOS187" s="117"/>
      <c r="MOT187" s="117"/>
      <c r="MOU187" s="117"/>
      <c r="MOV187" s="117"/>
      <c r="MOW187" s="117"/>
      <c r="MOX187" s="117"/>
      <c r="MOY187" s="117"/>
      <c r="MOZ187" s="117"/>
      <c r="MPA187" s="117"/>
      <c r="MPB187" s="117"/>
      <c r="MPC187" s="117"/>
      <c r="MPD187" s="117"/>
      <c r="MPE187" s="117"/>
      <c r="MPF187" s="117"/>
      <c r="MPG187" s="117"/>
      <c r="MPH187" s="117"/>
      <c r="MPI187" s="117"/>
      <c r="MPJ187" s="117"/>
      <c r="MPK187" s="117"/>
      <c r="MPL187" s="117"/>
      <c r="MPM187" s="117"/>
      <c r="MPN187" s="117"/>
      <c r="MPO187" s="117"/>
      <c r="MPP187" s="117"/>
      <c r="MPQ187" s="117"/>
      <c r="MPR187" s="117"/>
      <c r="MPS187" s="117"/>
      <c r="MPT187" s="117"/>
      <c r="MPU187" s="117"/>
      <c r="MPV187" s="117"/>
      <c r="MPW187" s="117"/>
      <c r="MPX187" s="117"/>
      <c r="MPY187" s="117"/>
      <c r="MPZ187" s="117"/>
      <c r="MQA187" s="117"/>
      <c r="MQB187" s="117"/>
      <c r="MQC187" s="117"/>
      <c r="MQD187" s="117"/>
      <c r="MQE187" s="117"/>
      <c r="MQF187" s="117"/>
      <c r="MQG187" s="117"/>
      <c r="MQH187" s="117"/>
      <c r="MQI187" s="117"/>
      <c r="MQJ187" s="117"/>
      <c r="MQK187" s="117"/>
      <c r="MQL187" s="117"/>
      <c r="MQM187" s="117"/>
      <c r="MQN187" s="117"/>
      <c r="MQO187" s="117"/>
      <c r="MQP187" s="117"/>
      <c r="MQQ187" s="117"/>
      <c r="MQR187" s="117"/>
      <c r="MQS187" s="117"/>
      <c r="MQT187" s="117"/>
      <c r="MQU187" s="117"/>
      <c r="MQV187" s="117"/>
      <c r="MQW187" s="117"/>
      <c r="MQX187" s="117"/>
      <c r="MQY187" s="117"/>
      <c r="MQZ187" s="117"/>
      <c r="MRA187" s="117"/>
      <c r="MRB187" s="117"/>
      <c r="MRC187" s="117"/>
      <c r="MRD187" s="117"/>
      <c r="MRE187" s="117"/>
      <c r="MRF187" s="117"/>
      <c r="MRG187" s="117"/>
      <c r="MRH187" s="117"/>
      <c r="MRI187" s="117"/>
      <c r="MRJ187" s="117"/>
      <c r="MRK187" s="117"/>
      <c r="MRL187" s="117"/>
      <c r="MRM187" s="117"/>
      <c r="MRN187" s="117"/>
      <c r="MRO187" s="117"/>
      <c r="MRP187" s="117"/>
      <c r="MRQ187" s="117"/>
      <c r="MRR187" s="117"/>
      <c r="MRS187" s="117"/>
      <c r="MRT187" s="117"/>
      <c r="MRU187" s="117"/>
      <c r="MRV187" s="117"/>
      <c r="MRW187" s="117"/>
      <c r="MRX187" s="117"/>
      <c r="MRY187" s="117"/>
      <c r="MRZ187" s="117"/>
      <c r="MSA187" s="117"/>
      <c r="MSB187" s="117"/>
      <c r="MSC187" s="117"/>
      <c r="MSD187" s="117"/>
      <c r="MSE187" s="117"/>
      <c r="MSF187" s="117"/>
      <c r="MSG187" s="117"/>
      <c r="MSH187" s="117"/>
      <c r="MSI187" s="117"/>
      <c r="MSJ187" s="117"/>
      <c r="MSK187" s="117"/>
      <c r="MSL187" s="117"/>
      <c r="MSM187" s="117"/>
      <c r="MSN187" s="117"/>
      <c r="MSO187" s="117"/>
      <c r="MSP187" s="117"/>
      <c r="MSQ187" s="117"/>
      <c r="MSR187" s="117"/>
      <c r="MSS187" s="117"/>
      <c r="MST187" s="117"/>
      <c r="MSU187" s="117"/>
      <c r="MSV187" s="117"/>
      <c r="MSW187" s="117"/>
      <c r="MSX187" s="117"/>
      <c r="MSY187" s="117"/>
      <c r="MSZ187" s="117"/>
      <c r="MTA187" s="117"/>
      <c r="MTB187" s="117"/>
      <c r="MTC187" s="117"/>
      <c r="MTD187" s="117"/>
      <c r="MTE187" s="117"/>
      <c r="MTF187" s="117"/>
      <c r="MTG187" s="117"/>
      <c r="MTH187" s="117"/>
      <c r="MTI187" s="117"/>
      <c r="MTJ187" s="117"/>
      <c r="MTK187" s="117"/>
      <c r="MTL187" s="117"/>
      <c r="MTM187" s="117"/>
      <c r="MTN187" s="117"/>
      <c r="MTO187" s="117"/>
      <c r="MTP187" s="117"/>
      <c r="MTQ187" s="117"/>
      <c r="MTR187" s="117"/>
      <c r="MTS187" s="117"/>
      <c r="MTT187" s="117"/>
      <c r="MTU187" s="117"/>
      <c r="MTV187" s="117"/>
      <c r="MTW187" s="117"/>
      <c r="MTX187" s="117"/>
      <c r="MTY187" s="117"/>
      <c r="MTZ187" s="117"/>
      <c r="MUA187" s="117"/>
      <c r="MUB187" s="117"/>
      <c r="MUC187" s="117"/>
      <c r="MUD187" s="117"/>
      <c r="MUE187" s="117"/>
      <c r="MUF187" s="117"/>
      <c r="MUG187" s="117"/>
      <c r="MUH187" s="117"/>
      <c r="MUI187" s="117"/>
      <c r="MUJ187" s="117"/>
      <c r="MUK187" s="117"/>
      <c r="MUL187" s="117"/>
      <c r="MUM187" s="117"/>
      <c r="MUN187" s="117"/>
      <c r="MUO187" s="117"/>
      <c r="MUP187" s="117"/>
      <c r="MUQ187" s="117"/>
      <c r="MUR187" s="117"/>
      <c r="MUS187" s="117"/>
      <c r="MUT187" s="117"/>
      <c r="MUU187" s="117"/>
      <c r="MUV187" s="117"/>
      <c r="MUW187" s="117"/>
      <c r="MUX187" s="117"/>
      <c r="MUY187" s="117"/>
      <c r="MUZ187" s="117"/>
      <c r="MVA187" s="117"/>
      <c r="MVB187" s="117"/>
      <c r="MVC187" s="117"/>
      <c r="MVD187" s="117"/>
      <c r="MVE187" s="117"/>
      <c r="MVF187" s="117"/>
      <c r="MVG187" s="117"/>
      <c r="MVH187" s="117"/>
      <c r="MVI187" s="117"/>
      <c r="MVJ187" s="117"/>
      <c r="MVK187" s="117"/>
      <c r="MVL187" s="117"/>
      <c r="MVM187" s="117"/>
      <c r="MVN187" s="117"/>
      <c r="MVO187" s="117"/>
      <c r="MVP187" s="117"/>
      <c r="MVQ187" s="117"/>
      <c r="MVR187" s="117"/>
      <c r="MVS187" s="117"/>
      <c r="MVT187" s="117"/>
      <c r="MVU187" s="117"/>
      <c r="MVV187" s="117"/>
      <c r="MVW187" s="117"/>
      <c r="MVX187" s="117"/>
      <c r="MVY187" s="117"/>
      <c r="MVZ187" s="117"/>
      <c r="MWA187" s="117"/>
      <c r="MWB187" s="117"/>
      <c r="MWC187" s="117"/>
      <c r="MWD187" s="117"/>
      <c r="MWE187" s="117"/>
      <c r="MWF187" s="117"/>
      <c r="MWG187" s="117"/>
      <c r="MWH187" s="117"/>
      <c r="MWI187" s="117"/>
      <c r="MWJ187" s="117"/>
      <c r="MWK187" s="117"/>
      <c r="MWL187" s="117"/>
      <c r="MWM187" s="117"/>
      <c r="MWN187" s="117"/>
      <c r="MWO187" s="117"/>
      <c r="MWP187" s="117"/>
      <c r="MWQ187" s="117"/>
      <c r="MWR187" s="117"/>
      <c r="MWS187" s="117"/>
      <c r="MWT187" s="117"/>
      <c r="MWU187" s="117"/>
      <c r="MWV187" s="117"/>
      <c r="MWW187" s="117"/>
      <c r="MWX187" s="117"/>
      <c r="MWY187" s="117"/>
      <c r="MWZ187" s="117"/>
      <c r="MXA187" s="117"/>
      <c r="MXB187" s="117"/>
      <c r="MXC187" s="117"/>
      <c r="MXD187" s="117"/>
      <c r="MXE187" s="117"/>
      <c r="MXF187" s="117"/>
      <c r="MXG187" s="117"/>
      <c r="MXH187" s="117"/>
      <c r="MXI187" s="117"/>
      <c r="MXJ187" s="117"/>
      <c r="MXK187" s="117"/>
      <c r="MXL187" s="117"/>
      <c r="MXM187" s="117"/>
      <c r="MXN187" s="117"/>
      <c r="MXO187" s="117"/>
      <c r="MXP187" s="117"/>
      <c r="MXQ187" s="117"/>
      <c r="MXR187" s="117"/>
      <c r="MXS187" s="117"/>
      <c r="MXT187" s="117"/>
      <c r="MXU187" s="117"/>
      <c r="MXV187" s="117"/>
      <c r="MXW187" s="117"/>
      <c r="MXX187" s="117"/>
      <c r="MXY187" s="117"/>
      <c r="MXZ187" s="117"/>
      <c r="MYA187" s="117"/>
      <c r="MYB187" s="117"/>
      <c r="MYC187" s="117"/>
      <c r="MYD187" s="117"/>
      <c r="MYE187" s="117"/>
      <c r="MYF187" s="117"/>
      <c r="MYG187" s="117"/>
      <c r="MYH187" s="117"/>
      <c r="MYI187" s="117"/>
      <c r="MYJ187" s="117"/>
      <c r="MYK187" s="117"/>
      <c r="MYL187" s="117"/>
      <c r="MYM187" s="117"/>
      <c r="MYN187" s="117"/>
      <c r="MYO187" s="117"/>
      <c r="MYP187" s="117"/>
      <c r="MYQ187" s="117"/>
      <c r="MYR187" s="117"/>
      <c r="MYS187" s="117"/>
      <c r="MYT187" s="117"/>
      <c r="MYU187" s="117"/>
      <c r="MYV187" s="117"/>
      <c r="MYW187" s="117"/>
      <c r="MYX187" s="117"/>
      <c r="MYY187" s="117"/>
      <c r="MYZ187" s="117"/>
      <c r="MZA187" s="117"/>
      <c r="MZB187" s="117"/>
      <c r="MZC187" s="117"/>
      <c r="MZD187" s="117"/>
      <c r="MZE187" s="117"/>
      <c r="MZF187" s="117"/>
      <c r="MZG187" s="117"/>
      <c r="MZH187" s="117"/>
      <c r="MZI187" s="117"/>
      <c r="MZJ187" s="117"/>
      <c r="MZK187" s="117"/>
      <c r="MZL187" s="117"/>
      <c r="MZM187" s="117"/>
      <c r="MZN187" s="117"/>
      <c r="MZO187" s="117"/>
      <c r="MZP187" s="117"/>
      <c r="MZQ187" s="117"/>
      <c r="MZR187" s="117"/>
      <c r="MZS187" s="117"/>
      <c r="MZT187" s="117"/>
      <c r="MZU187" s="117"/>
      <c r="MZV187" s="117"/>
      <c r="MZW187" s="117"/>
      <c r="MZX187" s="117"/>
      <c r="MZY187" s="117"/>
      <c r="MZZ187" s="117"/>
      <c r="NAA187" s="117"/>
      <c r="NAB187" s="117"/>
      <c r="NAC187" s="117"/>
      <c r="NAD187" s="117"/>
      <c r="NAE187" s="117"/>
      <c r="NAF187" s="117"/>
      <c r="NAG187" s="117"/>
      <c r="NAH187" s="117"/>
      <c r="NAI187" s="117"/>
      <c r="NAJ187" s="117"/>
      <c r="NAK187" s="117"/>
      <c r="NAL187" s="117"/>
      <c r="NAM187" s="117"/>
      <c r="NAN187" s="117"/>
      <c r="NAO187" s="117"/>
      <c r="NAP187" s="117"/>
      <c r="NAQ187" s="117"/>
      <c r="NAR187" s="117"/>
      <c r="NAS187" s="117"/>
      <c r="NAT187" s="117"/>
      <c r="NAU187" s="117"/>
      <c r="NAV187" s="117"/>
      <c r="NAW187" s="117"/>
      <c r="NAX187" s="117"/>
      <c r="NAY187" s="117"/>
      <c r="NAZ187" s="117"/>
      <c r="NBA187" s="117"/>
      <c r="NBB187" s="117"/>
      <c r="NBC187" s="117"/>
      <c r="NBD187" s="117"/>
      <c r="NBE187" s="117"/>
      <c r="NBF187" s="117"/>
      <c r="NBG187" s="117"/>
      <c r="NBH187" s="117"/>
      <c r="NBI187" s="117"/>
      <c r="NBJ187" s="117"/>
      <c r="NBK187" s="117"/>
      <c r="NBL187" s="117"/>
      <c r="NBM187" s="117"/>
      <c r="NBN187" s="117"/>
      <c r="NBO187" s="117"/>
      <c r="NBP187" s="117"/>
      <c r="NBQ187" s="117"/>
      <c r="NBR187" s="117"/>
      <c r="NBS187" s="117"/>
      <c r="NBT187" s="117"/>
      <c r="NBU187" s="117"/>
      <c r="NBV187" s="117"/>
      <c r="NBW187" s="117"/>
      <c r="NBX187" s="117"/>
      <c r="NBY187" s="117"/>
      <c r="NBZ187" s="117"/>
      <c r="NCA187" s="117"/>
      <c r="NCB187" s="117"/>
      <c r="NCC187" s="117"/>
      <c r="NCD187" s="117"/>
      <c r="NCE187" s="117"/>
      <c r="NCF187" s="117"/>
      <c r="NCG187" s="117"/>
      <c r="NCH187" s="117"/>
      <c r="NCI187" s="117"/>
      <c r="NCJ187" s="117"/>
      <c r="NCK187" s="117"/>
      <c r="NCL187" s="117"/>
      <c r="NCM187" s="117"/>
      <c r="NCN187" s="117"/>
      <c r="NCO187" s="117"/>
      <c r="NCP187" s="117"/>
      <c r="NCQ187" s="117"/>
      <c r="NCR187" s="117"/>
      <c r="NCS187" s="117"/>
      <c r="NCT187" s="117"/>
      <c r="NCU187" s="117"/>
      <c r="NCV187" s="117"/>
      <c r="NCW187" s="117"/>
      <c r="NCX187" s="117"/>
      <c r="NCY187" s="117"/>
      <c r="NCZ187" s="117"/>
      <c r="NDA187" s="117"/>
      <c r="NDB187" s="117"/>
      <c r="NDC187" s="117"/>
      <c r="NDD187" s="117"/>
      <c r="NDE187" s="117"/>
      <c r="NDF187" s="117"/>
      <c r="NDG187" s="117"/>
      <c r="NDH187" s="117"/>
      <c r="NDI187" s="117"/>
      <c r="NDJ187" s="117"/>
      <c r="NDK187" s="117"/>
      <c r="NDL187" s="117"/>
      <c r="NDM187" s="117"/>
      <c r="NDN187" s="117"/>
      <c r="NDO187" s="117"/>
      <c r="NDP187" s="117"/>
      <c r="NDQ187" s="117"/>
      <c r="NDR187" s="117"/>
      <c r="NDS187" s="117"/>
      <c r="NDT187" s="117"/>
      <c r="NDU187" s="117"/>
      <c r="NDV187" s="117"/>
      <c r="NDW187" s="117"/>
      <c r="NDX187" s="117"/>
      <c r="NDY187" s="117"/>
      <c r="NDZ187" s="117"/>
      <c r="NEA187" s="117"/>
      <c r="NEB187" s="117"/>
      <c r="NEC187" s="117"/>
      <c r="NED187" s="117"/>
      <c r="NEE187" s="117"/>
      <c r="NEF187" s="117"/>
      <c r="NEG187" s="117"/>
      <c r="NEH187" s="117"/>
      <c r="NEI187" s="117"/>
      <c r="NEJ187" s="117"/>
      <c r="NEK187" s="117"/>
      <c r="NEL187" s="117"/>
      <c r="NEM187" s="117"/>
      <c r="NEN187" s="117"/>
      <c r="NEO187" s="117"/>
      <c r="NEP187" s="117"/>
      <c r="NEQ187" s="117"/>
      <c r="NER187" s="117"/>
      <c r="NES187" s="117"/>
      <c r="NET187" s="117"/>
      <c r="NEU187" s="117"/>
      <c r="NEV187" s="117"/>
      <c r="NEW187" s="117"/>
      <c r="NEX187" s="117"/>
      <c r="NEY187" s="117"/>
      <c r="NEZ187" s="117"/>
      <c r="NFA187" s="117"/>
      <c r="NFB187" s="117"/>
      <c r="NFC187" s="117"/>
      <c r="NFD187" s="117"/>
      <c r="NFE187" s="117"/>
      <c r="NFF187" s="117"/>
      <c r="NFG187" s="117"/>
      <c r="NFH187" s="117"/>
      <c r="NFI187" s="117"/>
      <c r="NFJ187" s="117"/>
      <c r="NFK187" s="117"/>
      <c r="NFL187" s="117"/>
      <c r="NFM187" s="117"/>
      <c r="NFN187" s="117"/>
      <c r="NFO187" s="117"/>
      <c r="NFP187" s="117"/>
      <c r="NFQ187" s="117"/>
      <c r="NFR187" s="117"/>
      <c r="NFS187" s="117"/>
      <c r="NFT187" s="117"/>
      <c r="NFU187" s="117"/>
      <c r="NFV187" s="117"/>
      <c r="NFW187" s="117"/>
      <c r="NFX187" s="117"/>
      <c r="NFY187" s="117"/>
      <c r="NFZ187" s="117"/>
      <c r="NGA187" s="117"/>
      <c r="NGB187" s="117"/>
      <c r="NGC187" s="117"/>
      <c r="NGD187" s="117"/>
      <c r="NGE187" s="117"/>
      <c r="NGF187" s="117"/>
      <c r="NGG187" s="117"/>
      <c r="NGH187" s="117"/>
      <c r="NGI187" s="117"/>
      <c r="NGJ187" s="117"/>
      <c r="NGK187" s="117"/>
      <c r="NGL187" s="117"/>
      <c r="NGM187" s="117"/>
      <c r="NGN187" s="117"/>
      <c r="NGO187" s="117"/>
      <c r="NGP187" s="117"/>
      <c r="NGQ187" s="117"/>
      <c r="NGR187" s="117"/>
      <c r="NGS187" s="117"/>
      <c r="NGT187" s="117"/>
      <c r="NGU187" s="117"/>
      <c r="NGV187" s="117"/>
      <c r="NGW187" s="117"/>
      <c r="NGX187" s="117"/>
      <c r="NGY187" s="117"/>
      <c r="NGZ187" s="117"/>
      <c r="NHA187" s="117"/>
      <c r="NHB187" s="117"/>
      <c r="NHC187" s="117"/>
      <c r="NHD187" s="117"/>
      <c r="NHE187" s="117"/>
      <c r="NHF187" s="117"/>
      <c r="NHG187" s="117"/>
      <c r="NHH187" s="117"/>
      <c r="NHI187" s="117"/>
      <c r="NHJ187" s="117"/>
      <c r="NHK187" s="117"/>
      <c r="NHL187" s="117"/>
      <c r="NHM187" s="117"/>
      <c r="NHN187" s="117"/>
      <c r="NHO187" s="117"/>
      <c r="NHP187" s="117"/>
      <c r="NHQ187" s="117"/>
      <c r="NHR187" s="117"/>
      <c r="NHS187" s="117"/>
      <c r="NHT187" s="117"/>
      <c r="NHU187" s="117"/>
      <c r="NHV187" s="117"/>
      <c r="NHW187" s="117"/>
      <c r="NHX187" s="117"/>
      <c r="NHY187" s="117"/>
      <c r="NHZ187" s="117"/>
      <c r="NIA187" s="117"/>
      <c r="NIB187" s="117"/>
      <c r="NIC187" s="117"/>
      <c r="NID187" s="117"/>
      <c r="NIE187" s="117"/>
      <c r="NIF187" s="117"/>
      <c r="NIG187" s="117"/>
      <c r="NIH187" s="117"/>
      <c r="NII187" s="117"/>
      <c r="NIJ187" s="117"/>
      <c r="NIK187" s="117"/>
      <c r="NIL187" s="117"/>
      <c r="NIM187" s="117"/>
      <c r="NIN187" s="117"/>
      <c r="NIO187" s="117"/>
      <c r="NIP187" s="117"/>
      <c r="NIQ187" s="117"/>
      <c r="NIR187" s="117"/>
      <c r="NIS187" s="117"/>
      <c r="NIT187" s="117"/>
      <c r="NIU187" s="117"/>
      <c r="NIV187" s="117"/>
      <c r="NIW187" s="117"/>
      <c r="NIX187" s="117"/>
      <c r="NIY187" s="117"/>
      <c r="NIZ187" s="117"/>
      <c r="NJA187" s="117"/>
      <c r="NJB187" s="117"/>
      <c r="NJC187" s="117"/>
      <c r="NJD187" s="117"/>
      <c r="NJE187" s="117"/>
      <c r="NJF187" s="117"/>
      <c r="NJG187" s="117"/>
      <c r="NJH187" s="117"/>
      <c r="NJI187" s="117"/>
      <c r="NJJ187" s="117"/>
      <c r="NJK187" s="117"/>
      <c r="NJL187" s="117"/>
      <c r="NJM187" s="117"/>
      <c r="NJN187" s="117"/>
      <c r="NJO187" s="117"/>
      <c r="NJP187" s="117"/>
      <c r="NJQ187" s="117"/>
      <c r="NJR187" s="117"/>
      <c r="NJS187" s="117"/>
      <c r="NJT187" s="117"/>
      <c r="NJU187" s="117"/>
      <c r="NJV187" s="117"/>
      <c r="NJW187" s="117"/>
      <c r="NJX187" s="117"/>
      <c r="NJY187" s="117"/>
      <c r="NJZ187" s="117"/>
      <c r="NKA187" s="117"/>
      <c r="NKB187" s="117"/>
      <c r="NKC187" s="117"/>
      <c r="NKD187" s="117"/>
      <c r="NKE187" s="117"/>
      <c r="NKF187" s="117"/>
      <c r="NKG187" s="117"/>
      <c r="NKH187" s="117"/>
      <c r="NKI187" s="117"/>
      <c r="NKJ187" s="117"/>
      <c r="NKK187" s="117"/>
      <c r="NKL187" s="117"/>
      <c r="NKM187" s="117"/>
      <c r="NKN187" s="117"/>
      <c r="NKO187" s="117"/>
      <c r="NKP187" s="117"/>
      <c r="NKQ187" s="117"/>
      <c r="NKR187" s="117"/>
      <c r="NKS187" s="117"/>
      <c r="NKT187" s="117"/>
      <c r="NKU187" s="117"/>
      <c r="NKV187" s="117"/>
      <c r="NKW187" s="117"/>
      <c r="NKX187" s="117"/>
      <c r="NKY187" s="117"/>
      <c r="NKZ187" s="117"/>
      <c r="NLA187" s="117"/>
      <c r="NLB187" s="117"/>
      <c r="NLC187" s="117"/>
      <c r="NLD187" s="117"/>
      <c r="NLE187" s="117"/>
      <c r="NLF187" s="117"/>
      <c r="NLG187" s="117"/>
      <c r="NLH187" s="117"/>
      <c r="NLI187" s="117"/>
      <c r="NLJ187" s="117"/>
      <c r="NLK187" s="117"/>
      <c r="NLL187" s="117"/>
      <c r="NLM187" s="117"/>
      <c r="NLN187" s="117"/>
      <c r="NLO187" s="117"/>
      <c r="NLP187" s="117"/>
      <c r="NLQ187" s="117"/>
      <c r="NLR187" s="117"/>
      <c r="NLS187" s="117"/>
      <c r="NLT187" s="117"/>
      <c r="NLU187" s="117"/>
      <c r="NLV187" s="117"/>
      <c r="NLW187" s="117"/>
      <c r="NLX187" s="117"/>
      <c r="NLY187" s="117"/>
      <c r="NLZ187" s="117"/>
      <c r="NMA187" s="117"/>
      <c r="NMB187" s="117"/>
      <c r="NMC187" s="117"/>
      <c r="NMD187" s="117"/>
      <c r="NME187" s="117"/>
      <c r="NMF187" s="117"/>
      <c r="NMG187" s="117"/>
      <c r="NMH187" s="117"/>
      <c r="NMI187" s="117"/>
      <c r="NMJ187" s="117"/>
      <c r="NMK187" s="117"/>
      <c r="NML187" s="117"/>
      <c r="NMM187" s="117"/>
      <c r="NMN187" s="117"/>
      <c r="NMO187" s="117"/>
      <c r="NMP187" s="117"/>
      <c r="NMQ187" s="117"/>
      <c r="NMR187" s="117"/>
      <c r="NMS187" s="117"/>
      <c r="NMT187" s="117"/>
      <c r="NMU187" s="117"/>
      <c r="NMV187" s="117"/>
      <c r="NMW187" s="117"/>
      <c r="NMX187" s="117"/>
      <c r="NMY187" s="117"/>
      <c r="NMZ187" s="117"/>
      <c r="NNA187" s="117"/>
      <c r="NNB187" s="117"/>
      <c r="NNC187" s="117"/>
      <c r="NND187" s="117"/>
      <c r="NNE187" s="117"/>
      <c r="NNF187" s="117"/>
      <c r="NNG187" s="117"/>
      <c r="NNH187" s="117"/>
      <c r="NNI187" s="117"/>
      <c r="NNJ187" s="117"/>
      <c r="NNK187" s="117"/>
      <c r="NNL187" s="117"/>
      <c r="NNM187" s="117"/>
      <c r="NNN187" s="117"/>
      <c r="NNO187" s="117"/>
      <c r="NNP187" s="117"/>
      <c r="NNQ187" s="117"/>
      <c r="NNR187" s="117"/>
      <c r="NNS187" s="117"/>
      <c r="NNT187" s="117"/>
      <c r="NNU187" s="117"/>
      <c r="NNV187" s="117"/>
      <c r="NNW187" s="117"/>
      <c r="NNX187" s="117"/>
      <c r="NNY187" s="117"/>
      <c r="NNZ187" s="117"/>
      <c r="NOA187" s="117"/>
      <c r="NOB187" s="117"/>
      <c r="NOC187" s="117"/>
      <c r="NOD187" s="117"/>
      <c r="NOE187" s="117"/>
      <c r="NOF187" s="117"/>
      <c r="NOG187" s="117"/>
      <c r="NOH187" s="117"/>
      <c r="NOI187" s="117"/>
      <c r="NOJ187" s="117"/>
      <c r="NOK187" s="117"/>
      <c r="NOL187" s="117"/>
      <c r="NOM187" s="117"/>
      <c r="NON187" s="117"/>
      <c r="NOO187" s="117"/>
      <c r="NOP187" s="117"/>
      <c r="NOQ187" s="117"/>
      <c r="NOR187" s="117"/>
      <c r="NOS187" s="117"/>
      <c r="NOT187" s="117"/>
      <c r="NOU187" s="117"/>
      <c r="NOV187" s="117"/>
      <c r="NOW187" s="117"/>
      <c r="NOX187" s="117"/>
      <c r="NOY187" s="117"/>
      <c r="NOZ187" s="117"/>
      <c r="NPA187" s="117"/>
      <c r="NPB187" s="117"/>
      <c r="NPC187" s="117"/>
      <c r="NPD187" s="117"/>
      <c r="NPE187" s="117"/>
      <c r="NPF187" s="117"/>
      <c r="NPG187" s="117"/>
      <c r="NPH187" s="117"/>
      <c r="NPI187" s="117"/>
      <c r="NPJ187" s="117"/>
      <c r="NPK187" s="117"/>
      <c r="NPL187" s="117"/>
      <c r="NPM187" s="117"/>
      <c r="NPN187" s="117"/>
      <c r="NPO187" s="117"/>
      <c r="NPP187" s="117"/>
      <c r="NPQ187" s="117"/>
      <c r="NPR187" s="117"/>
      <c r="NPS187" s="117"/>
      <c r="NPT187" s="117"/>
      <c r="NPU187" s="117"/>
      <c r="NPV187" s="117"/>
      <c r="NPW187" s="117"/>
      <c r="NPX187" s="117"/>
      <c r="NPY187" s="117"/>
      <c r="NPZ187" s="117"/>
      <c r="NQA187" s="117"/>
      <c r="NQB187" s="117"/>
      <c r="NQC187" s="117"/>
      <c r="NQD187" s="117"/>
      <c r="NQE187" s="117"/>
      <c r="NQF187" s="117"/>
      <c r="NQG187" s="117"/>
      <c r="NQH187" s="117"/>
      <c r="NQI187" s="117"/>
      <c r="NQJ187" s="117"/>
      <c r="NQK187" s="117"/>
      <c r="NQL187" s="117"/>
      <c r="NQM187" s="117"/>
      <c r="NQN187" s="117"/>
      <c r="NQO187" s="117"/>
      <c r="NQP187" s="117"/>
      <c r="NQQ187" s="117"/>
      <c r="NQR187" s="117"/>
      <c r="NQS187" s="117"/>
      <c r="NQT187" s="117"/>
      <c r="NQU187" s="117"/>
      <c r="NQV187" s="117"/>
      <c r="NQW187" s="117"/>
      <c r="NQX187" s="117"/>
      <c r="NQY187" s="117"/>
      <c r="NQZ187" s="117"/>
      <c r="NRA187" s="117"/>
      <c r="NRB187" s="117"/>
      <c r="NRC187" s="117"/>
      <c r="NRD187" s="117"/>
      <c r="NRE187" s="117"/>
      <c r="NRF187" s="117"/>
      <c r="NRG187" s="117"/>
      <c r="NRH187" s="117"/>
      <c r="NRI187" s="117"/>
      <c r="NRJ187" s="117"/>
      <c r="NRK187" s="117"/>
      <c r="NRL187" s="117"/>
      <c r="NRM187" s="117"/>
      <c r="NRN187" s="117"/>
      <c r="NRO187" s="117"/>
      <c r="NRP187" s="117"/>
      <c r="NRQ187" s="117"/>
      <c r="NRR187" s="117"/>
      <c r="NRS187" s="117"/>
      <c r="NRT187" s="117"/>
      <c r="NRU187" s="117"/>
      <c r="NRV187" s="117"/>
      <c r="NRW187" s="117"/>
      <c r="NRX187" s="117"/>
      <c r="NRY187" s="117"/>
      <c r="NRZ187" s="117"/>
      <c r="NSA187" s="117"/>
      <c r="NSB187" s="117"/>
      <c r="NSC187" s="117"/>
      <c r="NSD187" s="117"/>
      <c r="NSE187" s="117"/>
      <c r="NSF187" s="117"/>
      <c r="NSG187" s="117"/>
      <c r="NSH187" s="117"/>
      <c r="NSI187" s="117"/>
      <c r="NSJ187" s="117"/>
      <c r="NSK187" s="117"/>
      <c r="NSL187" s="117"/>
      <c r="NSM187" s="117"/>
      <c r="NSN187" s="117"/>
      <c r="NSO187" s="117"/>
      <c r="NSP187" s="117"/>
      <c r="NSQ187" s="117"/>
      <c r="NSR187" s="117"/>
      <c r="NSS187" s="117"/>
      <c r="NST187" s="117"/>
      <c r="NSU187" s="117"/>
      <c r="NSV187" s="117"/>
      <c r="NSW187" s="117"/>
      <c r="NSX187" s="117"/>
      <c r="NSY187" s="117"/>
      <c r="NSZ187" s="117"/>
      <c r="NTA187" s="117"/>
      <c r="NTB187" s="117"/>
      <c r="NTC187" s="117"/>
      <c r="NTD187" s="117"/>
      <c r="NTE187" s="117"/>
      <c r="NTF187" s="117"/>
      <c r="NTG187" s="117"/>
      <c r="NTH187" s="117"/>
      <c r="NTI187" s="117"/>
      <c r="NTJ187" s="117"/>
      <c r="NTK187" s="117"/>
      <c r="NTL187" s="117"/>
      <c r="NTM187" s="117"/>
      <c r="NTN187" s="117"/>
      <c r="NTO187" s="117"/>
      <c r="NTP187" s="117"/>
      <c r="NTQ187" s="117"/>
      <c r="NTR187" s="117"/>
      <c r="NTS187" s="117"/>
      <c r="NTT187" s="117"/>
      <c r="NTU187" s="117"/>
      <c r="NTV187" s="117"/>
      <c r="NTW187" s="117"/>
      <c r="NTX187" s="117"/>
      <c r="NTY187" s="117"/>
      <c r="NTZ187" s="117"/>
      <c r="NUA187" s="117"/>
      <c r="NUB187" s="117"/>
      <c r="NUC187" s="117"/>
      <c r="NUD187" s="117"/>
      <c r="NUE187" s="117"/>
      <c r="NUF187" s="117"/>
      <c r="NUG187" s="117"/>
      <c r="NUH187" s="117"/>
      <c r="NUI187" s="117"/>
      <c r="NUJ187" s="117"/>
      <c r="NUK187" s="117"/>
      <c r="NUL187" s="117"/>
      <c r="NUM187" s="117"/>
      <c r="NUN187" s="117"/>
      <c r="NUO187" s="117"/>
      <c r="NUP187" s="117"/>
      <c r="NUQ187" s="117"/>
      <c r="NUR187" s="117"/>
      <c r="NUS187" s="117"/>
      <c r="NUT187" s="117"/>
      <c r="NUU187" s="117"/>
      <c r="NUV187" s="117"/>
      <c r="NUW187" s="117"/>
      <c r="NUX187" s="117"/>
      <c r="NUY187" s="117"/>
      <c r="NUZ187" s="117"/>
      <c r="NVA187" s="117"/>
      <c r="NVB187" s="117"/>
      <c r="NVC187" s="117"/>
      <c r="NVD187" s="117"/>
      <c r="NVE187" s="117"/>
      <c r="NVF187" s="117"/>
      <c r="NVG187" s="117"/>
      <c r="NVH187" s="117"/>
      <c r="NVI187" s="117"/>
      <c r="NVJ187" s="117"/>
      <c r="NVK187" s="117"/>
      <c r="NVL187" s="117"/>
      <c r="NVM187" s="117"/>
      <c r="NVN187" s="117"/>
      <c r="NVO187" s="117"/>
      <c r="NVP187" s="117"/>
      <c r="NVQ187" s="117"/>
      <c r="NVR187" s="117"/>
      <c r="NVS187" s="117"/>
      <c r="NVT187" s="117"/>
      <c r="NVU187" s="117"/>
      <c r="NVV187" s="117"/>
      <c r="NVW187" s="117"/>
      <c r="NVX187" s="117"/>
      <c r="NVY187" s="117"/>
      <c r="NVZ187" s="117"/>
      <c r="NWA187" s="117"/>
      <c r="NWB187" s="117"/>
      <c r="NWC187" s="117"/>
      <c r="NWD187" s="117"/>
      <c r="NWE187" s="117"/>
      <c r="NWF187" s="117"/>
      <c r="NWG187" s="117"/>
      <c r="NWH187" s="117"/>
      <c r="NWI187" s="117"/>
      <c r="NWJ187" s="117"/>
      <c r="NWK187" s="117"/>
      <c r="NWL187" s="117"/>
      <c r="NWM187" s="117"/>
      <c r="NWN187" s="117"/>
      <c r="NWO187" s="117"/>
      <c r="NWP187" s="117"/>
      <c r="NWQ187" s="117"/>
      <c r="NWR187" s="117"/>
      <c r="NWS187" s="117"/>
      <c r="NWT187" s="117"/>
      <c r="NWU187" s="117"/>
      <c r="NWV187" s="117"/>
      <c r="NWW187" s="117"/>
      <c r="NWX187" s="117"/>
      <c r="NWY187" s="117"/>
      <c r="NWZ187" s="117"/>
      <c r="NXA187" s="117"/>
      <c r="NXB187" s="117"/>
      <c r="NXC187" s="117"/>
      <c r="NXD187" s="117"/>
      <c r="NXE187" s="117"/>
      <c r="NXF187" s="117"/>
      <c r="NXG187" s="117"/>
      <c r="NXH187" s="117"/>
      <c r="NXI187" s="117"/>
      <c r="NXJ187" s="117"/>
      <c r="NXK187" s="117"/>
      <c r="NXL187" s="117"/>
      <c r="NXM187" s="117"/>
      <c r="NXN187" s="117"/>
      <c r="NXO187" s="117"/>
      <c r="NXP187" s="117"/>
      <c r="NXQ187" s="117"/>
      <c r="NXR187" s="117"/>
      <c r="NXS187" s="117"/>
      <c r="NXT187" s="117"/>
      <c r="NXU187" s="117"/>
      <c r="NXV187" s="117"/>
      <c r="NXW187" s="117"/>
      <c r="NXX187" s="117"/>
      <c r="NXY187" s="117"/>
      <c r="NXZ187" s="117"/>
      <c r="NYA187" s="117"/>
      <c r="NYB187" s="117"/>
      <c r="NYC187" s="117"/>
      <c r="NYD187" s="117"/>
      <c r="NYE187" s="117"/>
      <c r="NYF187" s="117"/>
      <c r="NYG187" s="117"/>
      <c r="NYH187" s="117"/>
      <c r="NYI187" s="117"/>
      <c r="NYJ187" s="117"/>
      <c r="NYK187" s="117"/>
      <c r="NYL187" s="117"/>
      <c r="NYM187" s="117"/>
      <c r="NYN187" s="117"/>
      <c r="NYO187" s="117"/>
      <c r="NYP187" s="117"/>
      <c r="NYQ187" s="117"/>
      <c r="NYR187" s="117"/>
      <c r="NYS187" s="117"/>
      <c r="NYT187" s="117"/>
      <c r="NYU187" s="117"/>
      <c r="NYV187" s="117"/>
      <c r="NYW187" s="117"/>
      <c r="NYX187" s="117"/>
      <c r="NYY187" s="117"/>
      <c r="NYZ187" s="117"/>
      <c r="NZA187" s="117"/>
      <c r="NZB187" s="117"/>
      <c r="NZC187" s="117"/>
      <c r="NZD187" s="117"/>
      <c r="NZE187" s="117"/>
      <c r="NZF187" s="117"/>
      <c r="NZG187" s="117"/>
      <c r="NZH187" s="117"/>
      <c r="NZI187" s="117"/>
      <c r="NZJ187" s="117"/>
      <c r="NZK187" s="117"/>
      <c r="NZL187" s="117"/>
      <c r="NZM187" s="117"/>
      <c r="NZN187" s="117"/>
      <c r="NZO187" s="117"/>
      <c r="NZP187" s="117"/>
      <c r="NZQ187" s="117"/>
      <c r="NZR187" s="117"/>
      <c r="NZS187" s="117"/>
      <c r="NZT187" s="117"/>
      <c r="NZU187" s="117"/>
      <c r="NZV187" s="117"/>
      <c r="NZW187" s="117"/>
      <c r="NZX187" s="117"/>
      <c r="NZY187" s="117"/>
      <c r="NZZ187" s="117"/>
      <c r="OAA187" s="117"/>
      <c r="OAB187" s="117"/>
      <c r="OAC187" s="117"/>
      <c r="OAD187" s="117"/>
      <c r="OAE187" s="117"/>
      <c r="OAF187" s="117"/>
      <c r="OAG187" s="117"/>
      <c r="OAH187" s="117"/>
      <c r="OAI187" s="117"/>
      <c r="OAJ187" s="117"/>
      <c r="OAK187" s="117"/>
      <c r="OAL187" s="117"/>
      <c r="OAM187" s="117"/>
      <c r="OAN187" s="117"/>
      <c r="OAO187" s="117"/>
      <c r="OAP187" s="117"/>
      <c r="OAQ187" s="117"/>
      <c r="OAR187" s="117"/>
      <c r="OAS187" s="117"/>
      <c r="OAT187" s="117"/>
      <c r="OAU187" s="117"/>
      <c r="OAV187" s="117"/>
      <c r="OAW187" s="117"/>
      <c r="OAX187" s="117"/>
      <c r="OAY187" s="117"/>
      <c r="OAZ187" s="117"/>
      <c r="OBA187" s="117"/>
      <c r="OBB187" s="117"/>
      <c r="OBC187" s="117"/>
      <c r="OBD187" s="117"/>
      <c r="OBE187" s="117"/>
      <c r="OBF187" s="117"/>
      <c r="OBG187" s="117"/>
      <c r="OBH187" s="117"/>
      <c r="OBI187" s="117"/>
      <c r="OBJ187" s="117"/>
      <c r="OBK187" s="117"/>
      <c r="OBL187" s="117"/>
      <c r="OBM187" s="117"/>
      <c r="OBN187" s="117"/>
      <c r="OBO187" s="117"/>
      <c r="OBP187" s="117"/>
      <c r="OBQ187" s="117"/>
      <c r="OBR187" s="117"/>
      <c r="OBS187" s="117"/>
      <c r="OBT187" s="117"/>
      <c r="OBU187" s="117"/>
      <c r="OBV187" s="117"/>
      <c r="OBW187" s="117"/>
      <c r="OBX187" s="117"/>
      <c r="OBY187" s="117"/>
      <c r="OBZ187" s="117"/>
      <c r="OCA187" s="117"/>
      <c r="OCB187" s="117"/>
      <c r="OCC187" s="117"/>
      <c r="OCD187" s="117"/>
      <c r="OCE187" s="117"/>
      <c r="OCF187" s="117"/>
      <c r="OCG187" s="117"/>
      <c r="OCH187" s="117"/>
      <c r="OCI187" s="117"/>
      <c r="OCJ187" s="117"/>
      <c r="OCK187" s="117"/>
      <c r="OCL187" s="117"/>
      <c r="OCM187" s="117"/>
      <c r="OCN187" s="117"/>
      <c r="OCO187" s="117"/>
      <c r="OCP187" s="117"/>
      <c r="OCQ187" s="117"/>
      <c r="OCR187" s="117"/>
      <c r="OCS187" s="117"/>
      <c r="OCT187" s="117"/>
      <c r="OCU187" s="117"/>
      <c r="OCV187" s="117"/>
      <c r="OCW187" s="117"/>
      <c r="OCX187" s="117"/>
      <c r="OCY187" s="117"/>
      <c r="OCZ187" s="117"/>
      <c r="ODA187" s="117"/>
      <c r="ODB187" s="117"/>
      <c r="ODC187" s="117"/>
      <c r="ODD187" s="117"/>
      <c r="ODE187" s="117"/>
      <c r="ODF187" s="117"/>
      <c r="ODG187" s="117"/>
      <c r="ODH187" s="117"/>
      <c r="ODI187" s="117"/>
      <c r="ODJ187" s="117"/>
      <c r="ODK187" s="117"/>
      <c r="ODL187" s="117"/>
      <c r="ODM187" s="117"/>
      <c r="ODN187" s="117"/>
      <c r="ODO187" s="117"/>
      <c r="ODP187" s="117"/>
      <c r="ODQ187" s="117"/>
      <c r="ODR187" s="117"/>
      <c r="ODS187" s="117"/>
      <c r="ODT187" s="117"/>
      <c r="ODU187" s="117"/>
      <c r="ODV187" s="117"/>
      <c r="ODW187" s="117"/>
      <c r="ODX187" s="117"/>
      <c r="ODY187" s="117"/>
      <c r="ODZ187" s="117"/>
      <c r="OEA187" s="117"/>
      <c r="OEB187" s="117"/>
      <c r="OEC187" s="117"/>
      <c r="OED187" s="117"/>
      <c r="OEE187" s="117"/>
      <c r="OEF187" s="117"/>
      <c r="OEG187" s="117"/>
      <c r="OEH187" s="117"/>
      <c r="OEI187" s="117"/>
      <c r="OEJ187" s="117"/>
      <c r="OEK187" s="117"/>
      <c r="OEL187" s="117"/>
      <c r="OEM187" s="117"/>
      <c r="OEN187" s="117"/>
      <c r="OEO187" s="117"/>
      <c r="OEP187" s="117"/>
      <c r="OEQ187" s="117"/>
      <c r="OER187" s="117"/>
      <c r="OES187" s="117"/>
      <c r="OET187" s="117"/>
      <c r="OEU187" s="117"/>
      <c r="OEV187" s="117"/>
      <c r="OEW187" s="117"/>
      <c r="OEX187" s="117"/>
      <c r="OEY187" s="117"/>
      <c r="OEZ187" s="117"/>
      <c r="OFA187" s="117"/>
      <c r="OFB187" s="117"/>
      <c r="OFC187" s="117"/>
      <c r="OFD187" s="117"/>
      <c r="OFE187" s="117"/>
      <c r="OFF187" s="117"/>
      <c r="OFG187" s="117"/>
      <c r="OFH187" s="117"/>
      <c r="OFI187" s="117"/>
      <c r="OFJ187" s="117"/>
      <c r="OFK187" s="117"/>
      <c r="OFL187" s="117"/>
      <c r="OFM187" s="117"/>
      <c r="OFN187" s="117"/>
      <c r="OFO187" s="117"/>
      <c r="OFP187" s="117"/>
      <c r="OFQ187" s="117"/>
      <c r="OFR187" s="117"/>
      <c r="OFS187" s="117"/>
      <c r="OFT187" s="117"/>
      <c r="OFU187" s="117"/>
      <c r="OFV187" s="117"/>
      <c r="OFW187" s="117"/>
      <c r="OFX187" s="117"/>
      <c r="OFY187" s="117"/>
      <c r="OFZ187" s="117"/>
      <c r="OGA187" s="117"/>
      <c r="OGB187" s="117"/>
      <c r="OGC187" s="117"/>
      <c r="OGD187" s="117"/>
      <c r="OGE187" s="117"/>
      <c r="OGF187" s="117"/>
      <c r="OGG187" s="117"/>
      <c r="OGH187" s="117"/>
      <c r="OGI187" s="117"/>
      <c r="OGJ187" s="117"/>
      <c r="OGK187" s="117"/>
      <c r="OGL187" s="117"/>
      <c r="OGM187" s="117"/>
      <c r="OGN187" s="117"/>
      <c r="OGO187" s="117"/>
      <c r="OGP187" s="117"/>
      <c r="OGQ187" s="117"/>
      <c r="OGR187" s="117"/>
      <c r="OGS187" s="117"/>
      <c r="OGT187" s="117"/>
      <c r="OGU187" s="117"/>
      <c r="OGV187" s="117"/>
      <c r="OGW187" s="117"/>
      <c r="OGX187" s="117"/>
      <c r="OGY187" s="117"/>
      <c r="OGZ187" s="117"/>
      <c r="OHA187" s="117"/>
      <c r="OHB187" s="117"/>
      <c r="OHC187" s="117"/>
      <c r="OHD187" s="117"/>
      <c r="OHE187" s="117"/>
      <c r="OHF187" s="117"/>
      <c r="OHG187" s="117"/>
      <c r="OHH187" s="117"/>
      <c r="OHI187" s="117"/>
      <c r="OHJ187" s="117"/>
      <c r="OHK187" s="117"/>
      <c r="OHL187" s="117"/>
      <c r="OHM187" s="117"/>
      <c r="OHN187" s="117"/>
      <c r="OHO187" s="117"/>
      <c r="OHP187" s="117"/>
      <c r="OHQ187" s="117"/>
      <c r="OHR187" s="117"/>
      <c r="OHS187" s="117"/>
      <c r="OHT187" s="117"/>
      <c r="OHU187" s="117"/>
      <c r="OHV187" s="117"/>
      <c r="OHW187" s="117"/>
      <c r="OHX187" s="117"/>
      <c r="OHY187" s="117"/>
      <c r="OHZ187" s="117"/>
      <c r="OIA187" s="117"/>
      <c r="OIB187" s="117"/>
      <c r="OIC187" s="117"/>
      <c r="OID187" s="117"/>
      <c r="OIE187" s="117"/>
      <c r="OIF187" s="117"/>
      <c r="OIG187" s="117"/>
      <c r="OIH187" s="117"/>
      <c r="OII187" s="117"/>
      <c r="OIJ187" s="117"/>
      <c r="OIK187" s="117"/>
      <c r="OIL187" s="117"/>
      <c r="OIM187" s="117"/>
      <c r="OIN187" s="117"/>
      <c r="OIO187" s="117"/>
      <c r="OIP187" s="117"/>
      <c r="OIQ187" s="117"/>
      <c r="OIR187" s="117"/>
      <c r="OIS187" s="117"/>
      <c r="OIT187" s="117"/>
      <c r="OIU187" s="117"/>
      <c r="OIV187" s="117"/>
      <c r="OIW187" s="117"/>
      <c r="OIX187" s="117"/>
      <c r="OIY187" s="117"/>
      <c r="OIZ187" s="117"/>
      <c r="OJA187" s="117"/>
      <c r="OJB187" s="117"/>
      <c r="OJC187" s="117"/>
      <c r="OJD187" s="117"/>
      <c r="OJE187" s="117"/>
      <c r="OJF187" s="117"/>
      <c r="OJG187" s="117"/>
      <c r="OJH187" s="117"/>
      <c r="OJI187" s="117"/>
      <c r="OJJ187" s="117"/>
      <c r="OJK187" s="117"/>
      <c r="OJL187" s="117"/>
      <c r="OJM187" s="117"/>
      <c r="OJN187" s="117"/>
      <c r="OJO187" s="117"/>
      <c r="OJP187" s="117"/>
      <c r="OJQ187" s="117"/>
      <c r="OJR187" s="117"/>
      <c r="OJS187" s="117"/>
      <c r="OJT187" s="117"/>
      <c r="OJU187" s="117"/>
      <c r="OJV187" s="117"/>
      <c r="OJW187" s="117"/>
      <c r="OJX187" s="117"/>
      <c r="OJY187" s="117"/>
      <c r="OJZ187" s="117"/>
      <c r="OKA187" s="117"/>
      <c r="OKB187" s="117"/>
      <c r="OKC187" s="117"/>
      <c r="OKD187" s="117"/>
      <c r="OKE187" s="117"/>
      <c r="OKF187" s="117"/>
      <c r="OKG187" s="117"/>
      <c r="OKH187" s="117"/>
      <c r="OKI187" s="117"/>
      <c r="OKJ187" s="117"/>
      <c r="OKK187" s="117"/>
      <c r="OKL187" s="117"/>
      <c r="OKM187" s="117"/>
      <c r="OKN187" s="117"/>
      <c r="OKO187" s="117"/>
      <c r="OKP187" s="117"/>
      <c r="OKQ187" s="117"/>
      <c r="OKR187" s="117"/>
      <c r="OKS187" s="117"/>
      <c r="OKT187" s="117"/>
      <c r="OKU187" s="117"/>
      <c r="OKV187" s="117"/>
      <c r="OKW187" s="117"/>
      <c r="OKX187" s="117"/>
      <c r="OKY187" s="117"/>
      <c r="OKZ187" s="117"/>
      <c r="OLA187" s="117"/>
      <c r="OLB187" s="117"/>
      <c r="OLC187" s="117"/>
      <c r="OLD187" s="117"/>
      <c r="OLE187" s="117"/>
      <c r="OLF187" s="117"/>
      <c r="OLG187" s="117"/>
      <c r="OLH187" s="117"/>
      <c r="OLI187" s="117"/>
      <c r="OLJ187" s="117"/>
      <c r="OLK187" s="117"/>
      <c r="OLL187" s="117"/>
      <c r="OLM187" s="117"/>
      <c r="OLN187" s="117"/>
      <c r="OLO187" s="117"/>
      <c r="OLP187" s="117"/>
      <c r="OLQ187" s="117"/>
      <c r="OLR187" s="117"/>
      <c r="OLS187" s="117"/>
      <c r="OLT187" s="117"/>
      <c r="OLU187" s="117"/>
      <c r="OLV187" s="117"/>
      <c r="OLW187" s="117"/>
      <c r="OLX187" s="117"/>
      <c r="OLY187" s="117"/>
      <c r="OLZ187" s="117"/>
      <c r="OMA187" s="117"/>
      <c r="OMB187" s="117"/>
      <c r="OMC187" s="117"/>
      <c r="OMD187" s="117"/>
      <c r="OME187" s="117"/>
      <c r="OMF187" s="117"/>
      <c r="OMG187" s="117"/>
      <c r="OMH187" s="117"/>
      <c r="OMI187" s="117"/>
      <c r="OMJ187" s="117"/>
      <c r="OMK187" s="117"/>
      <c r="OML187" s="117"/>
      <c r="OMM187" s="117"/>
      <c r="OMN187" s="117"/>
      <c r="OMO187" s="117"/>
      <c r="OMP187" s="117"/>
      <c r="OMQ187" s="117"/>
      <c r="OMR187" s="117"/>
      <c r="OMS187" s="117"/>
      <c r="OMT187" s="117"/>
      <c r="OMU187" s="117"/>
      <c r="OMV187" s="117"/>
      <c r="OMW187" s="117"/>
      <c r="OMX187" s="117"/>
      <c r="OMY187" s="117"/>
      <c r="OMZ187" s="117"/>
      <c r="ONA187" s="117"/>
      <c r="ONB187" s="117"/>
      <c r="ONC187" s="117"/>
      <c r="OND187" s="117"/>
      <c r="ONE187" s="117"/>
      <c r="ONF187" s="117"/>
      <c r="ONG187" s="117"/>
      <c r="ONH187" s="117"/>
      <c r="ONI187" s="117"/>
      <c r="ONJ187" s="117"/>
      <c r="ONK187" s="117"/>
      <c r="ONL187" s="117"/>
      <c r="ONM187" s="117"/>
      <c r="ONN187" s="117"/>
      <c r="ONO187" s="117"/>
      <c r="ONP187" s="117"/>
      <c r="ONQ187" s="117"/>
      <c r="ONR187" s="117"/>
      <c r="ONS187" s="117"/>
      <c r="ONT187" s="117"/>
      <c r="ONU187" s="117"/>
      <c r="ONV187" s="117"/>
      <c r="ONW187" s="117"/>
      <c r="ONX187" s="117"/>
      <c r="ONY187" s="117"/>
      <c r="ONZ187" s="117"/>
      <c r="OOA187" s="117"/>
      <c r="OOB187" s="117"/>
      <c r="OOC187" s="117"/>
      <c r="OOD187" s="117"/>
      <c r="OOE187" s="117"/>
      <c r="OOF187" s="117"/>
      <c r="OOG187" s="117"/>
      <c r="OOH187" s="117"/>
      <c r="OOI187" s="117"/>
      <c r="OOJ187" s="117"/>
      <c r="OOK187" s="117"/>
      <c r="OOL187" s="117"/>
      <c r="OOM187" s="117"/>
      <c r="OON187" s="117"/>
      <c r="OOO187" s="117"/>
      <c r="OOP187" s="117"/>
      <c r="OOQ187" s="117"/>
      <c r="OOR187" s="117"/>
      <c r="OOS187" s="117"/>
      <c r="OOT187" s="117"/>
      <c r="OOU187" s="117"/>
      <c r="OOV187" s="117"/>
      <c r="OOW187" s="117"/>
      <c r="OOX187" s="117"/>
      <c r="OOY187" s="117"/>
      <c r="OOZ187" s="117"/>
      <c r="OPA187" s="117"/>
      <c r="OPB187" s="117"/>
      <c r="OPC187" s="117"/>
      <c r="OPD187" s="117"/>
      <c r="OPE187" s="117"/>
      <c r="OPF187" s="117"/>
      <c r="OPG187" s="117"/>
      <c r="OPH187" s="117"/>
      <c r="OPI187" s="117"/>
      <c r="OPJ187" s="117"/>
      <c r="OPK187" s="117"/>
      <c r="OPL187" s="117"/>
      <c r="OPM187" s="117"/>
      <c r="OPN187" s="117"/>
      <c r="OPO187" s="117"/>
      <c r="OPP187" s="117"/>
      <c r="OPQ187" s="117"/>
      <c r="OPR187" s="117"/>
      <c r="OPS187" s="117"/>
      <c r="OPT187" s="117"/>
      <c r="OPU187" s="117"/>
      <c r="OPV187" s="117"/>
      <c r="OPW187" s="117"/>
      <c r="OPX187" s="117"/>
      <c r="OPY187" s="117"/>
      <c r="OPZ187" s="117"/>
      <c r="OQA187" s="117"/>
      <c r="OQB187" s="117"/>
      <c r="OQC187" s="117"/>
      <c r="OQD187" s="117"/>
      <c r="OQE187" s="117"/>
      <c r="OQF187" s="117"/>
      <c r="OQG187" s="117"/>
      <c r="OQH187" s="117"/>
      <c r="OQI187" s="117"/>
      <c r="OQJ187" s="117"/>
      <c r="OQK187" s="117"/>
      <c r="OQL187" s="117"/>
      <c r="OQM187" s="117"/>
      <c r="OQN187" s="117"/>
      <c r="OQO187" s="117"/>
      <c r="OQP187" s="117"/>
      <c r="OQQ187" s="117"/>
      <c r="OQR187" s="117"/>
      <c r="OQS187" s="117"/>
      <c r="OQT187" s="117"/>
      <c r="OQU187" s="117"/>
      <c r="OQV187" s="117"/>
      <c r="OQW187" s="117"/>
      <c r="OQX187" s="117"/>
      <c r="OQY187" s="117"/>
      <c r="OQZ187" s="117"/>
      <c r="ORA187" s="117"/>
      <c r="ORB187" s="117"/>
      <c r="ORC187" s="117"/>
      <c r="ORD187" s="117"/>
      <c r="ORE187" s="117"/>
      <c r="ORF187" s="117"/>
      <c r="ORG187" s="117"/>
      <c r="ORH187" s="117"/>
      <c r="ORI187" s="117"/>
      <c r="ORJ187" s="117"/>
      <c r="ORK187" s="117"/>
      <c r="ORL187" s="117"/>
      <c r="ORM187" s="117"/>
      <c r="ORN187" s="117"/>
      <c r="ORO187" s="117"/>
      <c r="ORP187" s="117"/>
      <c r="ORQ187" s="117"/>
      <c r="ORR187" s="117"/>
      <c r="ORS187" s="117"/>
      <c r="ORT187" s="117"/>
      <c r="ORU187" s="117"/>
      <c r="ORV187" s="117"/>
      <c r="ORW187" s="117"/>
      <c r="ORX187" s="117"/>
      <c r="ORY187" s="117"/>
      <c r="ORZ187" s="117"/>
      <c r="OSA187" s="117"/>
      <c r="OSB187" s="117"/>
      <c r="OSC187" s="117"/>
      <c r="OSD187" s="117"/>
      <c r="OSE187" s="117"/>
      <c r="OSF187" s="117"/>
      <c r="OSG187" s="117"/>
      <c r="OSH187" s="117"/>
      <c r="OSI187" s="117"/>
      <c r="OSJ187" s="117"/>
      <c r="OSK187" s="117"/>
      <c r="OSL187" s="117"/>
      <c r="OSM187" s="117"/>
      <c r="OSN187" s="117"/>
      <c r="OSO187" s="117"/>
      <c r="OSP187" s="117"/>
      <c r="OSQ187" s="117"/>
      <c r="OSR187" s="117"/>
      <c r="OSS187" s="117"/>
      <c r="OST187" s="117"/>
      <c r="OSU187" s="117"/>
      <c r="OSV187" s="117"/>
      <c r="OSW187" s="117"/>
      <c r="OSX187" s="117"/>
      <c r="OSY187" s="117"/>
      <c r="OSZ187" s="117"/>
      <c r="OTA187" s="117"/>
      <c r="OTB187" s="117"/>
      <c r="OTC187" s="117"/>
      <c r="OTD187" s="117"/>
      <c r="OTE187" s="117"/>
      <c r="OTF187" s="117"/>
      <c r="OTG187" s="117"/>
      <c r="OTH187" s="117"/>
      <c r="OTI187" s="117"/>
      <c r="OTJ187" s="117"/>
      <c r="OTK187" s="117"/>
      <c r="OTL187" s="117"/>
      <c r="OTM187" s="117"/>
      <c r="OTN187" s="117"/>
      <c r="OTO187" s="117"/>
      <c r="OTP187" s="117"/>
      <c r="OTQ187" s="117"/>
      <c r="OTR187" s="117"/>
      <c r="OTS187" s="117"/>
      <c r="OTT187" s="117"/>
      <c r="OTU187" s="117"/>
      <c r="OTV187" s="117"/>
      <c r="OTW187" s="117"/>
      <c r="OTX187" s="117"/>
      <c r="OTY187" s="117"/>
      <c r="OTZ187" s="117"/>
      <c r="OUA187" s="117"/>
      <c r="OUB187" s="117"/>
      <c r="OUC187" s="117"/>
      <c r="OUD187" s="117"/>
      <c r="OUE187" s="117"/>
      <c r="OUF187" s="117"/>
      <c r="OUG187" s="117"/>
      <c r="OUH187" s="117"/>
      <c r="OUI187" s="117"/>
      <c r="OUJ187" s="117"/>
      <c r="OUK187" s="117"/>
      <c r="OUL187" s="117"/>
      <c r="OUM187" s="117"/>
      <c r="OUN187" s="117"/>
      <c r="OUO187" s="117"/>
      <c r="OUP187" s="117"/>
      <c r="OUQ187" s="117"/>
      <c r="OUR187" s="117"/>
      <c r="OUS187" s="117"/>
      <c r="OUT187" s="117"/>
      <c r="OUU187" s="117"/>
      <c r="OUV187" s="117"/>
      <c r="OUW187" s="117"/>
      <c r="OUX187" s="117"/>
      <c r="OUY187" s="117"/>
      <c r="OUZ187" s="117"/>
      <c r="OVA187" s="117"/>
      <c r="OVB187" s="117"/>
      <c r="OVC187" s="117"/>
      <c r="OVD187" s="117"/>
      <c r="OVE187" s="117"/>
      <c r="OVF187" s="117"/>
      <c r="OVG187" s="117"/>
      <c r="OVH187" s="117"/>
      <c r="OVI187" s="117"/>
      <c r="OVJ187" s="117"/>
      <c r="OVK187" s="117"/>
      <c r="OVL187" s="117"/>
      <c r="OVM187" s="117"/>
      <c r="OVN187" s="117"/>
      <c r="OVO187" s="117"/>
      <c r="OVP187" s="117"/>
      <c r="OVQ187" s="117"/>
      <c r="OVR187" s="117"/>
      <c r="OVS187" s="117"/>
      <c r="OVT187" s="117"/>
      <c r="OVU187" s="117"/>
      <c r="OVV187" s="117"/>
      <c r="OVW187" s="117"/>
      <c r="OVX187" s="117"/>
      <c r="OVY187" s="117"/>
      <c r="OVZ187" s="117"/>
      <c r="OWA187" s="117"/>
      <c r="OWB187" s="117"/>
      <c r="OWC187" s="117"/>
      <c r="OWD187" s="117"/>
      <c r="OWE187" s="117"/>
      <c r="OWF187" s="117"/>
      <c r="OWG187" s="117"/>
      <c r="OWH187" s="117"/>
      <c r="OWI187" s="117"/>
      <c r="OWJ187" s="117"/>
      <c r="OWK187" s="117"/>
      <c r="OWL187" s="117"/>
      <c r="OWM187" s="117"/>
      <c r="OWN187" s="117"/>
      <c r="OWO187" s="117"/>
      <c r="OWP187" s="117"/>
      <c r="OWQ187" s="117"/>
      <c r="OWR187" s="117"/>
      <c r="OWS187" s="117"/>
      <c r="OWT187" s="117"/>
      <c r="OWU187" s="117"/>
      <c r="OWV187" s="117"/>
      <c r="OWW187" s="117"/>
      <c r="OWX187" s="117"/>
      <c r="OWY187" s="117"/>
      <c r="OWZ187" s="117"/>
      <c r="OXA187" s="117"/>
      <c r="OXB187" s="117"/>
      <c r="OXC187" s="117"/>
      <c r="OXD187" s="117"/>
      <c r="OXE187" s="117"/>
      <c r="OXF187" s="117"/>
      <c r="OXG187" s="117"/>
      <c r="OXH187" s="117"/>
      <c r="OXI187" s="117"/>
      <c r="OXJ187" s="117"/>
      <c r="OXK187" s="117"/>
      <c r="OXL187" s="117"/>
      <c r="OXM187" s="117"/>
      <c r="OXN187" s="117"/>
      <c r="OXO187" s="117"/>
      <c r="OXP187" s="117"/>
      <c r="OXQ187" s="117"/>
      <c r="OXR187" s="117"/>
      <c r="OXS187" s="117"/>
      <c r="OXT187" s="117"/>
      <c r="OXU187" s="117"/>
      <c r="OXV187" s="117"/>
      <c r="OXW187" s="117"/>
      <c r="OXX187" s="117"/>
      <c r="OXY187" s="117"/>
      <c r="OXZ187" s="117"/>
      <c r="OYA187" s="117"/>
      <c r="OYB187" s="117"/>
      <c r="OYC187" s="117"/>
      <c r="OYD187" s="117"/>
      <c r="OYE187" s="117"/>
      <c r="OYF187" s="117"/>
      <c r="OYG187" s="117"/>
      <c r="OYH187" s="117"/>
      <c r="OYI187" s="117"/>
      <c r="OYJ187" s="117"/>
      <c r="OYK187" s="117"/>
      <c r="OYL187" s="117"/>
      <c r="OYM187" s="117"/>
      <c r="OYN187" s="117"/>
      <c r="OYO187" s="117"/>
      <c r="OYP187" s="117"/>
      <c r="OYQ187" s="117"/>
      <c r="OYR187" s="117"/>
      <c r="OYS187" s="117"/>
      <c r="OYT187" s="117"/>
      <c r="OYU187" s="117"/>
      <c r="OYV187" s="117"/>
      <c r="OYW187" s="117"/>
      <c r="OYX187" s="117"/>
      <c r="OYY187" s="117"/>
      <c r="OYZ187" s="117"/>
      <c r="OZA187" s="117"/>
      <c r="OZB187" s="117"/>
      <c r="OZC187" s="117"/>
      <c r="OZD187" s="117"/>
      <c r="OZE187" s="117"/>
      <c r="OZF187" s="117"/>
      <c r="OZG187" s="117"/>
      <c r="OZH187" s="117"/>
      <c r="OZI187" s="117"/>
      <c r="OZJ187" s="117"/>
      <c r="OZK187" s="117"/>
      <c r="OZL187" s="117"/>
      <c r="OZM187" s="117"/>
      <c r="OZN187" s="117"/>
      <c r="OZO187" s="117"/>
      <c r="OZP187" s="117"/>
      <c r="OZQ187" s="117"/>
      <c r="OZR187" s="117"/>
      <c r="OZS187" s="117"/>
      <c r="OZT187" s="117"/>
      <c r="OZU187" s="117"/>
      <c r="OZV187" s="117"/>
      <c r="OZW187" s="117"/>
      <c r="OZX187" s="117"/>
      <c r="OZY187" s="117"/>
      <c r="OZZ187" s="117"/>
      <c r="PAA187" s="117"/>
      <c r="PAB187" s="117"/>
      <c r="PAC187" s="117"/>
      <c r="PAD187" s="117"/>
      <c r="PAE187" s="117"/>
      <c r="PAF187" s="117"/>
      <c r="PAG187" s="117"/>
      <c r="PAH187" s="117"/>
      <c r="PAI187" s="117"/>
      <c r="PAJ187" s="117"/>
      <c r="PAK187" s="117"/>
      <c r="PAL187" s="117"/>
      <c r="PAM187" s="117"/>
      <c r="PAN187" s="117"/>
      <c r="PAO187" s="117"/>
      <c r="PAP187" s="117"/>
      <c r="PAQ187" s="117"/>
      <c r="PAR187" s="117"/>
      <c r="PAS187" s="117"/>
      <c r="PAT187" s="117"/>
      <c r="PAU187" s="117"/>
      <c r="PAV187" s="117"/>
      <c r="PAW187" s="117"/>
      <c r="PAX187" s="117"/>
      <c r="PAY187" s="117"/>
      <c r="PAZ187" s="117"/>
      <c r="PBA187" s="117"/>
      <c r="PBB187" s="117"/>
      <c r="PBC187" s="117"/>
      <c r="PBD187" s="117"/>
      <c r="PBE187" s="117"/>
      <c r="PBF187" s="117"/>
      <c r="PBG187" s="117"/>
      <c r="PBH187" s="117"/>
      <c r="PBI187" s="117"/>
      <c r="PBJ187" s="117"/>
      <c r="PBK187" s="117"/>
      <c r="PBL187" s="117"/>
      <c r="PBM187" s="117"/>
      <c r="PBN187" s="117"/>
      <c r="PBO187" s="117"/>
      <c r="PBP187" s="117"/>
      <c r="PBQ187" s="117"/>
      <c r="PBR187" s="117"/>
      <c r="PBS187" s="117"/>
      <c r="PBT187" s="117"/>
      <c r="PBU187" s="117"/>
      <c r="PBV187" s="117"/>
      <c r="PBW187" s="117"/>
      <c r="PBX187" s="117"/>
      <c r="PBY187" s="117"/>
      <c r="PBZ187" s="117"/>
      <c r="PCA187" s="117"/>
      <c r="PCB187" s="117"/>
      <c r="PCC187" s="117"/>
      <c r="PCD187" s="117"/>
      <c r="PCE187" s="117"/>
      <c r="PCF187" s="117"/>
      <c r="PCG187" s="117"/>
      <c r="PCH187" s="117"/>
      <c r="PCI187" s="117"/>
      <c r="PCJ187" s="117"/>
      <c r="PCK187" s="117"/>
      <c r="PCL187" s="117"/>
      <c r="PCM187" s="117"/>
      <c r="PCN187" s="117"/>
      <c r="PCO187" s="117"/>
      <c r="PCP187" s="117"/>
      <c r="PCQ187" s="117"/>
      <c r="PCR187" s="117"/>
      <c r="PCS187" s="117"/>
      <c r="PCT187" s="117"/>
      <c r="PCU187" s="117"/>
      <c r="PCV187" s="117"/>
      <c r="PCW187" s="117"/>
      <c r="PCX187" s="117"/>
      <c r="PCY187" s="117"/>
      <c r="PCZ187" s="117"/>
      <c r="PDA187" s="117"/>
      <c r="PDB187" s="117"/>
      <c r="PDC187" s="117"/>
      <c r="PDD187" s="117"/>
      <c r="PDE187" s="117"/>
      <c r="PDF187" s="117"/>
      <c r="PDG187" s="117"/>
      <c r="PDH187" s="117"/>
      <c r="PDI187" s="117"/>
      <c r="PDJ187" s="117"/>
      <c r="PDK187" s="117"/>
      <c r="PDL187" s="117"/>
      <c r="PDM187" s="117"/>
      <c r="PDN187" s="117"/>
      <c r="PDO187" s="117"/>
      <c r="PDP187" s="117"/>
      <c r="PDQ187" s="117"/>
      <c r="PDR187" s="117"/>
      <c r="PDS187" s="117"/>
      <c r="PDT187" s="117"/>
      <c r="PDU187" s="117"/>
      <c r="PDV187" s="117"/>
      <c r="PDW187" s="117"/>
      <c r="PDX187" s="117"/>
      <c r="PDY187" s="117"/>
      <c r="PDZ187" s="117"/>
      <c r="PEA187" s="117"/>
      <c r="PEB187" s="117"/>
      <c r="PEC187" s="117"/>
      <c r="PED187" s="117"/>
      <c r="PEE187" s="117"/>
      <c r="PEF187" s="117"/>
      <c r="PEG187" s="117"/>
      <c r="PEH187" s="117"/>
      <c r="PEI187" s="117"/>
      <c r="PEJ187" s="117"/>
      <c r="PEK187" s="117"/>
      <c r="PEL187" s="117"/>
      <c r="PEM187" s="117"/>
      <c r="PEN187" s="117"/>
      <c r="PEO187" s="117"/>
      <c r="PEP187" s="117"/>
      <c r="PEQ187" s="117"/>
      <c r="PER187" s="117"/>
      <c r="PES187" s="117"/>
      <c r="PET187" s="117"/>
      <c r="PEU187" s="117"/>
      <c r="PEV187" s="117"/>
      <c r="PEW187" s="117"/>
      <c r="PEX187" s="117"/>
      <c r="PEY187" s="117"/>
      <c r="PEZ187" s="117"/>
      <c r="PFA187" s="117"/>
      <c r="PFB187" s="117"/>
      <c r="PFC187" s="117"/>
      <c r="PFD187" s="117"/>
      <c r="PFE187" s="117"/>
      <c r="PFF187" s="117"/>
      <c r="PFG187" s="117"/>
      <c r="PFH187" s="117"/>
      <c r="PFI187" s="117"/>
      <c r="PFJ187" s="117"/>
      <c r="PFK187" s="117"/>
      <c r="PFL187" s="117"/>
      <c r="PFM187" s="117"/>
      <c r="PFN187" s="117"/>
      <c r="PFO187" s="117"/>
      <c r="PFP187" s="117"/>
      <c r="PFQ187" s="117"/>
      <c r="PFR187" s="117"/>
      <c r="PFS187" s="117"/>
      <c r="PFT187" s="117"/>
      <c r="PFU187" s="117"/>
      <c r="PFV187" s="117"/>
      <c r="PFW187" s="117"/>
      <c r="PFX187" s="117"/>
      <c r="PFY187" s="117"/>
      <c r="PFZ187" s="117"/>
      <c r="PGA187" s="117"/>
      <c r="PGB187" s="117"/>
      <c r="PGC187" s="117"/>
      <c r="PGD187" s="117"/>
      <c r="PGE187" s="117"/>
      <c r="PGF187" s="117"/>
      <c r="PGG187" s="117"/>
      <c r="PGH187" s="117"/>
      <c r="PGI187" s="117"/>
      <c r="PGJ187" s="117"/>
      <c r="PGK187" s="117"/>
      <c r="PGL187" s="117"/>
      <c r="PGM187" s="117"/>
      <c r="PGN187" s="117"/>
      <c r="PGO187" s="117"/>
      <c r="PGP187" s="117"/>
      <c r="PGQ187" s="117"/>
      <c r="PGR187" s="117"/>
      <c r="PGS187" s="117"/>
      <c r="PGT187" s="117"/>
      <c r="PGU187" s="117"/>
      <c r="PGV187" s="117"/>
      <c r="PGW187" s="117"/>
      <c r="PGX187" s="117"/>
      <c r="PGY187" s="117"/>
      <c r="PGZ187" s="117"/>
      <c r="PHA187" s="117"/>
      <c r="PHB187" s="117"/>
      <c r="PHC187" s="117"/>
      <c r="PHD187" s="117"/>
      <c r="PHE187" s="117"/>
      <c r="PHF187" s="117"/>
      <c r="PHG187" s="117"/>
      <c r="PHH187" s="117"/>
      <c r="PHI187" s="117"/>
      <c r="PHJ187" s="117"/>
      <c r="PHK187" s="117"/>
      <c r="PHL187" s="117"/>
      <c r="PHM187" s="117"/>
      <c r="PHN187" s="117"/>
      <c r="PHO187" s="117"/>
      <c r="PHP187" s="117"/>
      <c r="PHQ187" s="117"/>
      <c r="PHR187" s="117"/>
      <c r="PHS187" s="117"/>
      <c r="PHT187" s="117"/>
      <c r="PHU187" s="117"/>
      <c r="PHV187" s="117"/>
      <c r="PHW187" s="117"/>
      <c r="PHX187" s="117"/>
      <c r="PHY187" s="117"/>
      <c r="PHZ187" s="117"/>
      <c r="PIA187" s="117"/>
      <c r="PIB187" s="117"/>
      <c r="PIC187" s="117"/>
      <c r="PID187" s="117"/>
      <c r="PIE187" s="117"/>
      <c r="PIF187" s="117"/>
      <c r="PIG187" s="117"/>
      <c r="PIH187" s="117"/>
      <c r="PII187" s="117"/>
      <c r="PIJ187" s="117"/>
      <c r="PIK187" s="117"/>
      <c r="PIL187" s="117"/>
      <c r="PIM187" s="117"/>
      <c r="PIN187" s="117"/>
      <c r="PIO187" s="117"/>
      <c r="PIP187" s="117"/>
      <c r="PIQ187" s="117"/>
      <c r="PIR187" s="117"/>
      <c r="PIS187" s="117"/>
      <c r="PIT187" s="117"/>
      <c r="PIU187" s="117"/>
      <c r="PIV187" s="117"/>
      <c r="PIW187" s="117"/>
      <c r="PIX187" s="117"/>
      <c r="PIY187" s="117"/>
      <c r="PIZ187" s="117"/>
      <c r="PJA187" s="117"/>
      <c r="PJB187" s="117"/>
      <c r="PJC187" s="117"/>
      <c r="PJD187" s="117"/>
      <c r="PJE187" s="117"/>
      <c r="PJF187" s="117"/>
      <c r="PJG187" s="117"/>
      <c r="PJH187" s="117"/>
      <c r="PJI187" s="117"/>
      <c r="PJJ187" s="117"/>
      <c r="PJK187" s="117"/>
      <c r="PJL187" s="117"/>
      <c r="PJM187" s="117"/>
      <c r="PJN187" s="117"/>
      <c r="PJO187" s="117"/>
      <c r="PJP187" s="117"/>
      <c r="PJQ187" s="117"/>
      <c r="PJR187" s="117"/>
      <c r="PJS187" s="117"/>
      <c r="PJT187" s="117"/>
      <c r="PJU187" s="117"/>
      <c r="PJV187" s="117"/>
      <c r="PJW187" s="117"/>
      <c r="PJX187" s="117"/>
      <c r="PJY187" s="117"/>
      <c r="PJZ187" s="117"/>
      <c r="PKA187" s="117"/>
      <c r="PKB187" s="117"/>
      <c r="PKC187" s="117"/>
      <c r="PKD187" s="117"/>
      <c r="PKE187" s="117"/>
      <c r="PKF187" s="117"/>
      <c r="PKG187" s="117"/>
      <c r="PKH187" s="117"/>
      <c r="PKI187" s="117"/>
      <c r="PKJ187" s="117"/>
      <c r="PKK187" s="117"/>
      <c r="PKL187" s="117"/>
      <c r="PKM187" s="117"/>
      <c r="PKN187" s="117"/>
      <c r="PKO187" s="117"/>
      <c r="PKP187" s="117"/>
      <c r="PKQ187" s="117"/>
      <c r="PKR187" s="117"/>
      <c r="PKS187" s="117"/>
      <c r="PKT187" s="117"/>
      <c r="PKU187" s="117"/>
      <c r="PKV187" s="117"/>
      <c r="PKW187" s="117"/>
      <c r="PKX187" s="117"/>
      <c r="PKY187" s="117"/>
      <c r="PKZ187" s="117"/>
      <c r="PLA187" s="117"/>
      <c r="PLB187" s="117"/>
      <c r="PLC187" s="117"/>
      <c r="PLD187" s="117"/>
      <c r="PLE187" s="117"/>
      <c r="PLF187" s="117"/>
      <c r="PLG187" s="117"/>
      <c r="PLH187" s="117"/>
      <c r="PLI187" s="117"/>
      <c r="PLJ187" s="117"/>
      <c r="PLK187" s="117"/>
      <c r="PLL187" s="117"/>
      <c r="PLM187" s="117"/>
      <c r="PLN187" s="117"/>
      <c r="PLO187" s="117"/>
      <c r="PLP187" s="117"/>
      <c r="PLQ187" s="117"/>
      <c r="PLR187" s="117"/>
      <c r="PLS187" s="117"/>
      <c r="PLT187" s="117"/>
      <c r="PLU187" s="117"/>
      <c r="PLV187" s="117"/>
      <c r="PLW187" s="117"/>
      <c r="PLX187" s="117"/>
      <c r="PLY187" s="117"/>
      <c r="PLZ187" s="117"/>
      <c r="PMA187" s="117"/>
      <c r="PMB187" s="117"/>
      <c r="PMC187" s="117"/>
      <c r="PMD187" s="117"/>
      <c r="PME187" s="117"/>
      <c r="PMF187" s="117"/>
      <c r="PMG187" s="117"/>
      <c r="PMH187" s="117"/>
      <c r="PMI187" s="117"/>
      <c r="PMJ187" s="117"/>
      <c r="PMK187" s="117"/>
      <c r="PML187" s="117"/>
      <c r="PMM187" s="117"/>
      <c r="PMN187" s="117"/>
      <c r="PMO187" s="117"/>
      <c r="PMP187" s="117"/>
      <c r="PMQ187" s="117"/>
      <c r="PMR187" s="117"/>
      <c r="PMS187" s="117"/>
      <c r="PMT187" s="117"/>
      <c r="PMU187" s="117"/>
      <c r="PMV187" s="117"/>
      <c r="PMW187" s="117"/>
      <c r="PMX187" s="117"/>
      <c r="PMY187" s="117"/>
      <c r="PMZ187" s="117"/>
      <c r="PNA187" s="117"/>
      <c r="PNB187" s="117"/>
      <c r="PNC187" s="117"/>
      <c r="PND187" s="117"/>
      <c r="PNE187" s="117"/>
      <c r="PNF187" s="117"/>
      <c r="PNG187" s="117"/>
      <c r="PNH187" s="117"/>
      <c r="PNI187" s="117"/>
      <c r="PNJ187" s="117"/>
      <c r="PNK187" s="117"/>
      <c r="PNL187" s="117"/>
      <c r="PNM187" s="117"/>
      <c r="PNN187" s="117"/>
      <c r="PNO187" s="117"/>
      <c r="PNP187" s="117"/>
      <c r="PNQ187" s="117"/>
      <c r="PNR187" s="117"/>
      <c r="PNS187" s="117"/>
      <c r="PNT187" s="117"/>
      <c r="PNU187" s="117"/>
      <c r="PNV187" s="117"/>
      <c r="PNW187" s="117"/>
      <c r="PNX187" s="117"/>
      <c r="PNY187" s="117"/>
      <c r="PNZ187" s="117"/>
      <c r="POA187" s="117"/>
      <c r="POB187" s="117"/>
      <c r="POC187" s="117"/>
      <c r="POD187" s="117"/>
      <c r="POE187" s="117"/>
      <c r="POF187" s="117"/>
      <c r="POG187" s="117"/>
      <c r="POH187" s="117"/>
      <c r="POI187" s="117"/>
      <c r="POJ187" s="117"/>
      <c r="POK187" s="117"/>
      <c r="POL187" s="117"/>
      <c r="POM187" s="117"/>
      <c r="PON187" s="117"/>
      <c r="POO187" s="117"/>
      <c r="POP187" s="117"/>
      <c r="POQ187" s="117"/>
      <c r="POR187" s="117"/>
      <c r="POS187" s="117"/>
      <c r="POT187" s="117"/>
      <c r="POU187" s="117"/>
      <c r="POV187" s="117"/>
      <c r="POW187" s="117"/>
      <c r="POX187" s="117"/>
      <c r="POY187" s="117"/>
      <c r="POZ187" s="117"/>
      <c r="PPA187" s="117"/>
      <c r="PPB187" s="117"/>
      <c r="PPC187" s="117"/>
      <c r="PPD187" s="117"/>
      <c r="PPE187" s="117"/>
      <c r="PPF187" s="117"/>
      <c r="PPG187" s="117"/>
      <c r="PPH187" s="117"/>
      <c r="PPI187" s="117"/>
      <c r="PPJ187" s="117"/>
      <c r="PPK187" s="117"/>
      <c r="PPL187" s="117"/>
      <c r="PPM187" s="117"/>
      <c r="PPN187" s="117"/>
      <c r="PPO187" s="117"/>
      <c r="PPP187" s="117"/>
      <c r="PPQ187" s="117"/>
      <c r="PPR187" s="117"/>
      <c r="PPS187" s="117"/>
      <c r="PPT187" s="117"/>
      <c r="PPU187" s="117"/>
      <c r="PPV187" s="117"/>
      <c r="PPW187" s="117"/>
      <c r="PPX187" s="117"/>
      <c r="PPY187" s="117"/>
      <c r="PPZ187" s="117"/>
      <c r="PQA187" s="117"/>
      <c r="PQB187" s="117"/>
      <c r="PQC187" s="117"/>
      <c r="PQD187" s="117"/>
      <c r="PQE187" s="117"/>
      <c r="PQF187" s="117"/>
      <c r="PQG187" s="117"/>
      <c r="PQH187" s="117"/>
      <c r="PQI187" s="117"/>
      <c r="PQJ187" s="117"/>
      <c r="PQK187" s="117"/>
      <c r="PQL187" s="117"/>
      <c r="PQM187" s="117"/>
      <c r="PQN187" s="117"/>
      <c r="PQO187" s="117"/>
      <c r="PQP187" s="117"/>
      <c r="PQQ187" s="117"/>
      <c r="PQR187" s="117"/>
      <c r="PQS187" s="117"/>
      <c r="PQT187" s="117"/>
      <c r="PQU187" s="117"/>
      <c r="PQV187" s="117"/>
      <c r="PQW187" s="117"/>
      <c r="PQX187" s="117"/>
      <c r="PQY187" s="117"/>
      <c r="PQZ187" s="117"/>
      <c r="PRA187" s="117"/>
      <c r="PRB187" s="117"/>
      <c r="PRC187" s="117"/>
      <c r="PRD187" s="117"/>
      <c r="PRE187" s="117"/>
      <c r="PRF187" s="117"/>
      <c r="PRG187" s="117"/>
      <c r="PRH187" s="117"/>
      <c r="PRI187" s="117"/>
      <c r="PRJ187" s="117"/>
      <c r="PRK187" s="117"/>
      <c r="PRL187" s="117"/>
      <c r="PRM187" s="117"/>
      <c r="PRN187" s="117"/>
      <c r="PRO187" s="117"/>
      <c r="PRP187" s="117"/>
      <c r="PRQ187" s="117"/>
      <c r="PRR187" s="117"/>
      <c r="PRS187" s="117"/>
      <c r="PRT187" s="117"/>
      <c r="PRU187" s="117"/>
      <c r="PRV187" s="117"/>
      <c r="PRW187" s="117"/>
      <c r="PRX187" s="117"/>
      <c r="PRY187" s="117"/>
      <c r="PRZ187" s="117"/>
      <c r="PSA187" s="117"/>
      <c r="PSB187" s="117"/>
      <c r="PSC187" s="117"/>
      <c r="PSD187" s="117"/>
      <c r="PSE187" s="117"/>
      <c r="PSF187" s="117"/>
      <c r="PSG187" s="117"/>
      <c r="PSH187" s="117"/>
      <c r="PSI187" s="117"/>
      <c r="PSJ187" s="117"/>
      <c r="PSK187" s="117"/>
      <c r="PSL187" s="117"/>
      <c r="PSM187" s="117"/>
      <c r="PSN187" s="117"/>
      <c r="PSO187" s="117"/>
      <c r="PSP187" s="117"/>
      <c r="PSQ187" s="117"/>
      <c r="PSR187" s="117"/>
      <c r="PSS187" s="117"/>
      <c r="PST187" s="117"/>
      <c r="PSU187" s="117"/>
      <c r="PSV187" s="117"/>
      <c r="PSW187" s="117"/>
      <c r="PSX187" s="117"/>
      <c r="PSY187" s="117"/>
      <c r="PSZ187" s="117"/>
      <c r="PTA187" s="117"/>
      <c r="PTB187" s="117"/>
      <c r="PTC187" s="117"/>
      <c r="PTD187" s="117"/>
      <c r="PTE187" s="117"/>
      <c r="PTF187" s="117"/>
      <c r="PTG187" s="117"/>
      <c r="PTH187" s="117"/>
      <c r="PTI187" s="117"/>
      <c r="PTJ187" s="117"/>
      <c r="PTK187" s="117"/>
      <c r="PTL187" s="117"/>
      <c r="PTM187" s="117"/>
      <c r="PTN187" s="117"/>
      <c r="PTO187" s="117"/>
      <c r="PTP187" s="117"/>
      <c r="PTQ187" s="117"/>
      <c r="PTR187" s="117"/>
      <c r="PTS187" s="117"/>
      <c r="PTT187" s="117"/>
      <c r="PTU187" s="117"/>
      <c r="PTV187" s="117"/>
      <c r="PTW187" s="117"/>
      <c r="PTX187" s="117"/>
      <c r="PTY187" s="117"/>
      <c r="PTZ187" s="117"/>
      <c r="PUA187" s="117"/>
      <c r="PUB187" s="117"/>
      <c r="PUC187" s="117"/>
      <c r="PUD187" s="117"/>
      <c r="PUE187" s="117"/>
      <c r="PUF187" s="117"/>
      <c r="PUG187" s="117"/>
      <c r="PUH187" s="117"/>
      <c r="PUI187" s="117"/>
      <c r="PUJ187" s="117"/>
      <c r="PUK187" s="117"/>
      <c r="PUL187" s="117"/>
      <c r="PUM187" s="117"/>
      <c r="PUN187" s="117"/>
      <c r="PUO187" s="117"/>
      <c r="PUP187" s="117"/>
      <c r="PUQ187" s="117"/>
      <c r="PUR187" s="117"/>
      <c r="PUS187" s="117"/>
      <c r="PUT187" s="117"/>
      <c r="PUU187" s="117"/>
      <c r="PUV187" s="117"/>
      <c r="PUW187" s="117"/>
      <c r="PUX187" s="117"/>
      <c r="PUY187" s="117"/>
      <c r="PUZ187" s="117"/>
      <c r="PVA187" s="117"/>
      <c r="PVB187" s="117"/>
      <c r="PVC187" s="117"/>
      <c r="PVD187" s="117"/>
      <c r="PVE187" s="117"/>
      <c r="PVF187" s="117"/>
      <c r="PVG187" s="117"/>
      <c r="PVH187" s="117"/>
      <c r="PVI187" s="117"/>
      <c r="PVJ187" s="117"/>
      <c r="PVK187" s="117"/>
      <c r="PVL187" s="117"/>
      <c r="PVM187" s="117"/>
      <c r="PVN187" s="117"/>
      <c r="PVO187" s="117"/>
      <c r="PVP187" s="117"/>
      <c r="PVQ187" s="117"/>
      <c r="PVR187" s="117"/>
      <c r="PVS187" s="117"/>
      <c r="PVT187" s="117"/>
      <c r="PVU187" s="117"/>
      <c r="PVV187" s="117"/>
      <c r="PVW187" s="117"/>
      <c r="PVX187" s="117"/>
      <c r="PVY187" s="117"/>
      <c r="PVZ187" s="117"/>
      <c r="PWA187" s="117"/>
      <c r="PWB187" s="117"/>
      <c r="PWC187" s="117"/>
      <c r="PWD187" s="117"/>
      <c r="PWE187" s="117"/>
      <c r="PWF187" s="117"/>
      <c r="PWG187" s="117"/>
      <c r="PWH187" s="117"/>
      <c r="PWI187" s="117"/>
      <c r="PWJ187" s="117"/>
      <c r="PWK187" s="117"/>
      <c r="PWL187" s="117"/>
      <c r="PWM187" s="117"/>
      <c r="PWN187" s="117"/>
      <c r="PWO187" s="117"/>
      <c r="PWP187" s="117"/>
      <c r="PWQ187" s="117"/>
      <c r="PWR187" s="117"/>
      <c r="PWS187" s="117"/>
      <c r="PWT187" s="117"/>
      <c r="PWU187" s="117"/>
      <c r="PWV187" s="117"/>
      <c r="PWW187" s="117"/>
      <c r="PWX187" s="117"/>
      <c r="PWY187" s="117"/>
      <c r="PWZ187" s="117"/>
      <c r="PXA187" s="117"/>
      <c r="PXB187" s="117"/>
      <c r="PXC187" s="117"/>
      <c r="PXD187" s="117"/>
      <c r="PXE187" s="117"/>
      <c r="PXF187" s="117"/>
      <c r="PXG187" s="117"/>
      <c r="PXH187" s="117"/>
      <c r="PXI187" s="117"/>
      <c r="PXJ187" s="117"/>
      <c r="PXK187" s="117"/>
      <c r="PXL187" s="117"/>
      <c r="PXM187" s="117"/>
      <c r="PXN187" s="117"/>
      <c r="PXO187" s="117"/>
      <c r="PXP187" s="117"/>
      <c r="PXQ187" s="117"/>
      <c r="PXR187" s="117"/>
      <c r="PXS187" s="117"/>
      <c r="PXT187" s="117"/>
      <c r="PXU187" s="117"/>
      <c r="PXV187" s="117"/>
      <c r="PXW187" s="117"/>
      <c r="PXX187" s="117"/>
      <c r="PXY187" s="117"/>
      <c r="PXZ187" s="117"/>
      <c r="PYA187" s="117"/>
      <c r="PYB187" s="117"/>
      <c r="PYC187" s="117"/>
      <c r="PYD187" s="117"/>
      <c r="PYE187" s="117"/>
      <c r="PYF187" s="117"/>
      <c r="PYG187" s="117"/>
      <c r="PYH187" s="117"/>
      <c r="PYI187" s="117"/>
      <c r="PYJ187" s="117"/>
      <c r="PYK187" s="117"/>
      <c r="PYL187" s="117"/>
      <c r="PYM187" s="117"/>
      <c r="PYN187" s="117"/>
      <c r="PYO187" s="117"/>
      <c r="PYP187" s="117"/>
      <c r="PYQ187" s="117"/>
      <c r="PYR187" s="117"/>
      <c r="PYS187" s="117"/>
      <c r="PYT187" s="117"/>
      <c r="PYU187" s="117"/>
      <c r="PYV187" s="117"/>
      <c r="PYW187" s="117"/>
      <c r="PYX187" s="117"/>
      <c r="PYY187" s="117"/>
      <c r="PYZ187" s="117"/>
      <c r="PZA187" s="117"/>
      <c r="PZB187" s="117"/>
      <c r="PZC187" s="117"/>
      <c r="PZD187" s="117"/>
      <c r="PZE187" s="117"/>
      <c r="PZF187" s="117"/>
      <c r="PZG187" s="117"/>
      <c r="PZH187" s="117"/>
      <c r="PZI187" s="117"/>
      <c r="PZJ187" s="117"/>
      <c r="PZK187" s="117"/>
      <c r="PZL187" s="117"/>
      <c r="PZM187" s="117"/>
      <c r="PZN187" s="117"/>
      <c r="PZO187" s="117"/>
      <c r="PZP187" s="117"/>
      <c r="PZQ187" s="117"/>
      <c r="PZR187" s="117"/>
      <c r="PZS187" s="117"/>
      <c r="PZT187" s="117"/>
      <c r="PZU187" s="117"/>
      <c r="PZV187" s="117"/>
      <c r="PZW187" s="117"/>
      <c r="PZX187" s="117"/>
      <c r="PZY187" s="117"/>
      <c r="PZZ187" s="117"/>
      <c r="QAA187" s="117"/>
      <c r="QAB187" s="117"/>
      <c r="QAC187" s="117"/>
      <c r="QAD187" s="117"/>
      <c r="QAE187" s="117"/>
      <c r="QAF187" s="117"/>
      <c r="QAG187" s="117"/>
      <c r="QAH187" s="117"/>
      <c r="QAI187" s="117"/>
      <c r="QAJ187" s="117"/>
      <c r="QAK187" s="117"/>
      <c r="QAL187" s="117"/>
      <c r="QAM187" s="117"/>
      <c r="QAN187" s="117"/>
      <c r="QAO187" s="117"/>
      <c r="QAP187" s="117"/>
      <c r="QAQ187" s="117"/>
      <c r="QAR187" s="117"/>
      <c r="QAS187" s="117"/>
      <c r="QAT187" s="117"/>
      <c r="QAU187" s="117"/>
      <c r="QAV187" s="117"/>
      <c r="QAW187" s="117"/>
      <c r="QAX187" s="117"/>
      <c r="QAY187" s="117"/>
      <c r="QAZ187" s="117"/>
      <c r="QBA187" s="117"/>
      <c r="QBB187" s="117"/>
      <c r="QBC187" s="117"/>
      <c r="QBD187" s="117"/>
      <c r="QBE187" s="117"/>
      <c r="QBF187" s="117"/>
      <c r="QBG187" s="117"/>
      <c r="QBH187" s="117"/>
      <c r="QBI187" s="117"/>
      <c r="QBJ187" s="117"/>
      <c r="QBK187" s="117"/>
      <c r="QBL187" s="117"/>
      <c r="QBM187" s="117"/>
      <c r="QBN187" s="117"/>
      <c r="QBO187" s="117"/>
      <c r="QBP187" s="117"/>
      <c r="QBQ187" s="117"/>
      <c r="QBR187" s="117"/>
      <c r="QBS187" s="117"/>
      <c r="QBT187" s="117"/>
      <c r="QBU187" s="117"/>
      <c r="QBV187" s="117"/>
      <c r="QBW187" s="117"/>
      <c r="QBX187" s="117"/>
      <c r="QBY187" s="117"/>
      <c r="QBZ187" s="117"/>
      <c r="QCA187" s="117"/>
      <c r="QCB187" s="117"/>
      <c r="QCC187" s="117"/>
      <c r="QCD187" s="117"/>
      <c r="QCE187" s="117"/>
      <c r="QCF187" s="117"/>
      <c r="QCG187" s="117"/>
      <c r="QCH187" s="117"/>
      <c r="QCI187" s="117"/>
      <c r="QCJ187" s="117"/>
      <c r="QCK187" s="117"/>
      <c r="QCL187" s="117"/>
      <c r="QCM187" s="117"/>
      <c r="QCN187" s="117"/>
      <c r="QCO187" s="117"/>
      <c r="QCP187" s="117"/>
      <c r="QCQ187" s="117"/>
      <c r="QCR187" s="117"/>
      <c r="QCS187" s="117"/>
      <c r="QCT187" s="117"/>
      <c r="QCU187" s="117"/>
      <c r="QCV187" s="117"/>
      <c r="QCW187" s="117"/>
      <c r="QCX187" s="117"/>
      <c r="QCY187" s="117"/>
      <c r="QCZ187" s="117"/>
      <c r="QDA187" s="117"/>
      <c r="QDB187" s="117"/>
      <c r="QDC187" s="117"/>
      <c r="QDD187" s="117"/>
      <c r="QDE187" s="117"/>
      <c r="QDF187" s="117"/>
      <c r="QDG187" s="117"/>
      <c r="QDH187" s="117"/>
      <c r="QDI187" s="117"/>
      <c r="QDJ187" s="117"/>
      <c r="QDK187" s="117"/>
      <c r="QDL187" s="117"/>
      <c r="QDM187" s="117"/>
      <c r="QDN187" s="117"/>
      <c r="QDO187" s="117"/>
      <c r="QDP187" s="117"/>
      <c r="QDQ187" s="117"/>
      <c r="QDR187" s="117"/>
      <c r="QDS187" s="117"/>
      <c r="QDT187" s="117"/>
      <c r="QDU187" s="117"/>
      <c r="QDV187" s="117"/>
      <c r="QDW187" s="117"/>
      <c r="QDX187" s="117"/>
      <c r="QDY187" s="117"/>
      <c r="QDZ187" s="117"/>
      <c r="QEA187" s="117"/>
      <c r="QEB187" s="117"/>
      <c r="QEC187" s="117"/>
      <c r="QED187" s="117"/>
      <c r="QEE187" s="117"/>
      <c r="QEF187" s="117"/>
      <c r="QEG187" s="117"/>
      <c r="QEH187" s="117"/>
      <c r="QEI187" s="117"/>
      <c r="QEJ187" s="117"/>
      <c r="QEK187" s="117"/>
      <c r="QEL187" s="117"/>
      <c r="QEM187" s="117"/>
      <c r="QEN187" s="117"/>
      <c r="QEO187" s="117"/>
      <c r="QEP187" s="117"/>
      <c r="QEQ187" s="117"/>
      <c r="QER187" s="117"/>
      <c r="QES187" s="117"/>
      <c r="QET187" s="117"/>
      <c r="QEU187" s="117"/>
      <c r="QEV187" s="117"/>
      <c r="QEW187" s="117"/>
      <c r="QEX187" s="117"/>
      <c r="QEY187" s="117"/>
      <c r="QEZ187" s="117"/>
      <c r="QFA187" s="117"/>
      <c r="QFB187" s="117"/>
      <c r="QFC187" s="117"/>
      <c r="QFD187" s="117"/>
      <c r="QFE187" s="117"/>
      <c r="QFF187" s="117"/>
      <c r="QFG187" s="117"/>
      <c r="QFH187" s="117"/>
      <c r="QFI187" s="117"/>
      <c r="QFJ187" s="117"/>
      <c r="QFK187" s="117"/>
      <c r="QFL187" s="117"/>
      <c r="QFM187" s="117"/>
      <c r="QFN187" s="117"/>
      <c r="QFO187" s="117"/>
      <c r="QFP187" s="117"/>
      <c r="QFQ187" s="117"/>
      <c r="QFR187" s="117"/>
      <c r="QFS187" s="117"/>
      <c r="QFT187" s="117"/>
      <c r="QFU187" s="117"/>
      <c r="QFV187" s="117"/>
      <c r="QFW187" s="117"/>
      <c r="QFX187" s="117"/>
      <c r="QFY187" s="117"/>
      <c r="QFZ187" s="117"/>
      <c r="QGA187" s="117"/>
      <c r="QGB187" s="117"/>
      <c r="QGC187" s="117"/>
      <c r="QGD187" s="117"/>
      <c r="QGE187" s="117"/>
      <c r="QGF187" s="117"/>
      <c r="QGG187" s="117"/>
      <c r="QGH187" s="117"/>
      <c r="QGI187" s="117"/>
      <c r="QGJ187" s="117"/>
      <c r="QGK187" s="117"/>
      <c r="QGL187" s="117"/>
      <c r="QGM187" s="117"/>
      <c r="QGN187" s="117"/>
      <c r="QGO187" s="117"/>
      <c r="QGP187" s="117"/>
      <c r="QGQ187" s="117"/>
      <c r="QGR187" s="117"/>
      <c r="QGS187" s="117"/>
      <c r="QGT187" s="117"/>
      <c r="QGU187" s="117"/>
      <c r="QGV187" s="117"/>
      <c r="QGW187" s="117"/>
      <c r="QGX187" s="117"/>
      <c r="QGY187" s="117"/>
      <c r="QGZ187" s="117"/>
      <c r="QHA187" s="117"/>
      <c r="QHB187" s="117"/>
      <c r="QHC187" s="117"/>
      <c r="QHD187" s="117"/>
      <c r="QHE187" s="117"/>
      <c r="QHF187" s="117"/>
      <c r="QHG187" s="117"/>
      <c r="QHH187" s="117"/>
      <c r="QHI187" s="117"/>
      <c r="QHJ187" s="117"/>
      <c r="QHK187" s="117"/>
      <c r="QHL187" s="117"/>
      <c r="QHM187" s="117"/>
      <c r="QHN187" s="117"/>
      <c r="QHO187" s="117"/>
      <c r="QHP187" s="117"/>
      <c r="QHQ187" s="117"/>
      <c r="QHR187" s="117"/>
      <c r="QHS187" s="117"/>
      <c r="QHT187" s="117"/>
      <c r="QHU187" s="117"/>
      <c r="QHV187" s="117"/>
      <c r="QHW187" s="117"/>
      <c r="QHX187" s="117"/>
      <c r="QHY187" s="117"/>
      <c r="QHZ187" s="117"/>
      <c r="QIA187" s="117"/>
      <c r="QIB187" s="117"/>
      <c r="QIC187" s="117"/>
      <c r="QID187" s="117"/>
      <c r="QIE187" s="117"/>
      <c r="QIF187" s="117"/>
      <c r="QIG187" s="117"/>
      <c r="QIH187" s="117"/>
      <c r="QII187" s="117"/>
      <c r="QIJ187" s="117"/>
      <c r="QIK187" s="117"/>
      <c r="QIL187" s="117"/>
      <c r="QIM187" s="117"/>
      <c r="QIN187" s="117"/>
      <c r="QIO187" s="117"/>
      <c r="QIP187" s="117"/>
      <c r="QIQ187" s="117"/>
      <c r="QIR187" s="117"/>
      <c r="QIS187" s="117"/>
      <c r="QIT187" s="117"/>
      <c r="QIU187" s="117"/>
      <c r="QIV187" s="117"/>
      <c r="QIW187" s="117"/>
      <c r="QIX187" s="117"/>
      <c r="QIY187" s="117"/>
      <c r="QIZ187" s="117"/>
      <c r="QJA187" s="117"/>
      <c r="QJB187" s="117"/>
      <c r="QJC187" s="117"/>
      <c r="QJD187" s="117"/>
      <c r="QJE187" s="117"/>
      <c r="QJF187" s="117"/>
      <c r="QJG187" s="117"/>
      <c r="QJH187" s="117"/>
      <c r="QJI187" s="117"/>
      <c r="QJJ187" s="117"/>
      <c r="QJK187" s="117"/>
      <c r="QJL187" s="117"/>
      <c r="QJM187" s="117"/>
      <c r="QJN187" s="117"/>
      <c r="QJO187" s="117"/>
      <c r="QJP187" s="117"/>
      <c r="QJQ187" s="117"/>
      <c r="QJR187" s="117"/>
      <c r="QJS187" s="117"/>
      <c r="QJT187" s="117"/>
      <c r="QJU187" s="117"/>
      <c r="QJV187" s="117"/>
      <c r="QJW187" s="117"/>
      <c r="QJX187" s="117"/>
      <c r="QJY187" s="117"/>
      <c r="QJZ187" s="117"/>
      <c r="QKA187" s="117"/>
      <c r="QKB187" s="117"/>
      <c r="QKC187" s="117"/>
      <c r="QKD187" s="117"/>
      <c r="QKE187" s="117"/>
      <c r="QKF187" s="117"/>
      <c r="QKG187" s="117"/>
      <c r="QKH187" s="117"/>
      <c r="QKI187" s="117"/>
      <c r="QKJ187" s="117"/>
      <c r="QKK187" s="117"/>
      <c r="QKL187" s="117"/>
      <c r="QKM187" s="117"/>
      <c r="QKN187" s="117"/>
      <c r="QKO187" s="117"/>
      <c r="QKP187" s="117"/>
      <c r="QKQ187" s="117"/>
      <c r="QKR187" s="117"/>
      <c r="QKS187" s="117"/>
      <c r="QKT187" s="117"/>
      <c r="QKU187" s="117"/>
      <c r="QKV187" s="117"/>
      <c r="QKW187" s="117"/>
      <c r="QKX187" s="117"/>
      <c r="QKY187" s="117"/>
      <c r="QKZ187" s="117"/>
      <c r="QLA187" s="117"/>
      <c r="QLB187" s="117"/>
      <c r="QLC187" s="117"/>
      <c r="QLD187" s="117"/>
      <c r="QLE187" s="117"/>
      <c r="QLF187" s="117"/>
      <c r="QLG187" s="117"/>
      <c r="QLH187" s="117"/>
      <c r="QLI187" s="117"/>
      <c r="QLJ187" s="117"/>
      <c r="QLK187" s="117"/>
      <c r="QLL187" s="117"/>
      <c r="QLM187" s="117"/>
      <c r="QLN187" s="117"/>
      <c r="QLO187" s="117"/>
      <c r="QLP187" s="117"/>
      <c r="QLQ187" s="117"/>
      <c r="QLR187" s="117"/>
      <c r="QLS187" s="117"/>
      <c r="QLT187" s="117"/>
      <c r="QLU187" s="117"/>
      <c r="QLV187" s="117"/>
      <c r="QLW187" s="117"/>
      <c r="QLX187" s="117"/>
      <c r="QLY187" s="117"/>
      <c r="QLZ187" s="117"/>
      <c r="QMA187" s="117"/>
      <c r="QMB187" s="117"/>
      <c r="QMC187" s="117"/>
      <c r="QMD187" s="117"/>
      <c r="QME187" s="117"/>
      <c r="QMF187" s="117"/>
      <c r="QMG187" s="117"/>
      <c r="QMH187" s="117"/>
      <c r="QMI187" s="117"/>
      <c r="QMJ187" s="117"/>
      <c r="QMK187" s="117"/>
      <c r="QML187" s="117"/>
      <c r="QMM187" s="117"/>
      <c r="QMN187" s="117"/>
      <c r="QMO187" s="117"/>
      <c r="QMP187" s="117"/>
      <c r="QMQ187" s="117"/>
      <c r="QMR187" s="117"/>
      <c r="QMS187" s="117"/>
      <c r="QMT187" s="117"/>
      <c r="QMU187" s="117"/>
      <c r="QMV187" s="117"/>
      <c r="QMW187" s="117"/>
      <c r="QMX187" s="117"/>
      <c r="QMY187" s="117"/>
      <c r="QMZ187" s="117"/>
      <c r="QNA187" s="117"/>
      <c r="QNB187" s="117"/>
      <c r="QNC187" s="117"/>
      <c r="QND187" s="117"/>
      <c r="QNE187" s="117"/>
      <c r="QNF187" s="117"/>
      <c r="QNG187" s="117"/>
      <c r="QNH187" s="117"/>
      <c r="QNI187" s="117"/>
      <c r="QNJ187" s="117"/>
      <c r="QNK187" s="117"/>
      <c r="QNL187" s="117"/>
      <c r="QNM187" s="117"/>
      <c r="QNN187" s="117"/>
      <c r="QNO187" s="117"/>
      <c r="QNP187" s="117"/>
      <c r="QNQ187" s="117"/>
      <c r="QNR187" s="117"/>
      <c r="QNS187" s="117"/>
      <c r="QNT187" s="117"/>
      <c r="QNU187" s="117"/>
      <c r="QNV187" s="117"/>
      <c r="QNW187" s="117"/>
      <c r="QNX187" s="117"/>
      <c r="QNY187" s="117"/>
      <c r="QNZ187" s="117"/>
      <c r="QOA187" s="117"/>
      <c r="QOB187" s="117"/>
      <c r="QOC187" s="117"/>
      <c r="QOD187" s="117"/>
      <c r="QOE187" s="117"/>
      <c r="QOF187" s="117"/>
      <c r="QOG187" s="117"/>
      <c r="QOH187" s="117"/>
      <c r="QOI187" s="117"/>
      <c r="QOJ187" s="117"/>
      <c r="QOK187" s="117"/>
      <c r="QOL187" s="117"/>
      <c r="QOM187" s="117"/>
      <c r="QON187" s="117"/>
      <c r="QOO187" s="117"/>
      <c r="QOP187" s="117"/>
      <c r="QOQ187" s="117"/>
      <c r="QOR187" s="117"/>
      <c r="QOS187" s="117"/>
      <c r="QOT187" s="117"/>
      <c r="QOU187" s="117"/>
      <c r="QOV187" s="117"/>
      <c r="QOW187" s="117"/>
      <c r="QOX187" s="117"/>
      <c r="QOY187" s="117"/>
      <c r="QOZ187" s="117"/>
      <c r="QPA187" s="117"/>
      <c r="QPB187" s="117"/>
      <c r="QPC187" s="117"/>
      <c r="QPD187" s="117"/>
      <c r="QPE187" s="117"/>
      <c r="QPF187" s="117"/>
      <c r="QPG187" s="117"/>
      <c r="QPH187" s="117"/>
      <c r="QPI187" s="117"/>
      <c r="QPJ187" s="117"/>
      <c r="QPK187" s="117"/>
      <c r="QPL187" s="117"/>
      <c r="QPM187" s="117"/>
      <c r="QPN187" s="117"/>
      <c r="QPO187" s="117"/>
      <c r="QPP187" s="117"/>
      <c r="QPQ187" s="117"/>
      <c r="QPR187" s="117"/>
      <c r="QPS187" s="117"/>
      <c r="QPT187" s="117"/>
      <c r="QPU187" s="117"/>
      <c r="QPV187" s="117"/>
      <c r="QPW187" s="117"/>
      <c r="QPX187" s="117"/>
      <c r="QPY187" s="117"/>
      <c r="QPZ187" s="117"/>
      <c r="QQA187" s="117"/>
      <c r="QQB187" s="117"/>
      <c r="QQC187" s="117"/>
      <c r="QQD187" s="117"/>
      <c r="QQE187" s="117"/>
      <c r="QQF187" s="117"/>
      <c r="QQG187" s="117"/>
      <c r="QQH187" s="117"/>
      <c r="QQI187" s="117"/>
      <c r="QQJ187" s="117"/>
      <c r="QQK187" s="117"/>
      <c r="QQL187" s="117"/>
      <c r="QQM187" s="117"/>
      <c r="QQN187" s="117"/>
      <c r="QQO187" s="117"/>
      <c r="QQP187" s="117"/>
      <c r="QQQ187" s="117"/>
      <c r="QQR187" s="117"/>
      <c r="QQS187" s="117"/>
      <c r="QQT187" s="117"/>
      <c r="QQU187" s="117"/>
      <c r="QQV187" s="117"/>
      <c r="QQW187" s="117"/>
      <c r="QQX187" s="117"/>
      <c r="QQY187" s="117"/>
      <c r="QQZ187" s="117"/>
      <c r="QRA187" s="117"/>
      <c r="QRB187" s="117"/>
      <c r="QRC187" s="117"/>
      <c r="QRD187" s="117"/>
      <c r="QRE187" s="117"/>
      <c r="QRF187" s="117"/>
      <c r="QRG187" s="117"/>
      <c r="QRH187" s="117"/>
      <c r="QRI187" s="117"/>
      <c r="QRJ187" s="117"/>
      <c r="QRK187" s="117"/>
      <c r="QRL187" s="117"/>
      <c r="QRM187" s="117"/>
      <c r="QRN187" s="117"/>
      <c r="QRO187" s="117"/>
      <c r="QRP187" s="117"/>
      <c r="QRQ187" s="117"/>
      <c r="QRR187" s="117"/>
      <c r="QRS187" s="117"/>
      <c r="QRT187" s="117"/>
      <c r="QRU187" s="117"/>
      <c r="QRV187" s="117"/>
      <c r="QRW187" s="117"/>
      <c r="QRX187" s="117"/>
      <c r="QRY187" s="117"/>
      <c r="QRZ187" s="117"/>
      <c r="QSA187" s="117"/>
      <c r="QSB187" s="117"/>
      <c r="QSC187" s="117"/>
      <c r="QSD187" s="117"/>
      <c r="QSE187" s="117"/>
      <c r="QSF187" s="117"/>
      <c r="QSG187" s="117"/>
      <c r="QSH187" s="117"/>
      <c r="QSI187" s="117"/>
      <c r="QSJ187" s="117"/>
      <c r="QSK187" s="117"/>
      <c r="QSL187" s="117"/>
      <c r="QSM187" s="117"/>
      <c r="QSN187" s="117"/>
      <c r="QSO187" s="117"/>
      <c r="QSP187" s="117"/>
      <c r="QSQ187" s="117"/>
      <c r="QSR187" s="117"/>
      <c r="QSS187" s="117"/>
      <c r="QST187" s="117"/>
      <c r="QSU187" s="117"/>
      <c r="QSV187" s="117"/>
      <c r="QSW187" s="117"/>
      <c r="QSX187" s="117"/>
      <c r="QSY187" s="117"/>
      <c r="QSZ187" s="117"/>
      <c r="QTA187" s="117"/>
      <c r="QTB187" s="117"/>
      <c r="QTC187" s="117"/>
      <c r="QTD187" s="117"/>
      <c r="QTE187" s="117"/>
      <c r="QTF187" s="117"/>
      <c r="QTG187" s="117"/>
      <c r="QTH187" s="117"/>
      <c r="QTI187" s="117"/>
      <c r="QTJ187" s="117"/>
      <c r="QTK187" s="117"/>
      <c r="QTL187" s="117"/>
      <c r="QTM187" s="117"/>
      <c r="QTN187" s="117"/>
      <c r="QTO187" s="117"/>
      <c r="QTP187" s="117"/>
      <c r="QTQ187" s="117"/>
      <c r="QTR187" s="117"/>
      <c r="QTS187" s="117"/>
      <c r="QTT187" s="117"/>
      <c r="QTU187" s="117"/>
      <c r="QTV187" s="117"/>
      <c r="QTW187" s="117"/>
      <c r="QTX187" s="117"/>
      <c r="QTY187" s="117"/>
      <c r="QTZ187" s="117"/>
      <c r="QUA187" s="117"/>
      <c r="QUB187" s="117"/>
      <c r="QUC187" s="117"/>
      <c r="QUD187" s="117"/>
      <c r="QUE187" s="117"/>
      <c r="QUF187" s="117"/>
      <c r="QUG187" s="117"/>
      <c r="QUH187" s="117"/>
      <c r="QUI187" s="117"/>
      <c r="QUJ187" s="117"/>
      <c r="QUK187" s="117"/>
      <c r="QUL187" s="117"/>
      <c r="QUM187" s="117"/>
      <c r="QUN187" s="117"/>
      <c r="QUO187" s="117"/>
      <c r="QUP187" s="117"/>
      <c r="QUQ187" s="117"/>
      <c r="QUR187" s="117"/>
      <c r="QUS187" s="117"/>
      <c r="QUT187" s="117"/>
      <c r="QUU187" s="117"/>
      <c r="QUV187" s="117"/>
      <c r="QUW187" s="117"/>
      <c r="QUX187" s="117"/>
      <c r="QUY187" s="117"/>
      <c r="QUZ187" s="117"/>
      <c r="QVA187" s="117"/>
      <c r="QVB187" s="117"/>
      <c r="QVC187" s="117"/>
      <c r="QVD187" s="117"/>
      <c r="QVE187" s="117"/>
      <c r="QVF187" s="117"/>
      <c r="QVG187" s="117"/>
      <c r="QVH187" s="117"/>
      <c r="QVI187" s="117"/>
      <c r="QVJ187" s="117"/>
      <c r="QVK187" s="117"/>
      <c r="QVL187" s="117"/>
      <c r="QVM187" s="117"/>
      <c r="QVN187" s="117"/>
      <c r="QVO187" s="117"/>
      <c r="QVP187" s="117"/>
      <c r="QVQ187" s="117"/>
      <c r="QVR187" s="117"/>
      <c r="QVS187" s="117"/>
      <c r="QVT187" s="117"/>
      <c r="QVU187" s="117"/>
      <c r="QVV187" s="117"/>
      <c r="QVW187" s="117"/>
      <c r="QVX187" s="117"/>
      <c r="QVY187" s="117"/>
      <c r="QVZ187" s="117"/>
      <c r="QWA187" s="117"/>
      <c r="QWB187" s="117"/>
      <c r="QWC187" s="117"/>
      <c r="QWD187" s="117"/>
      <c r="QWE187" s="117"/>
      <c r="QWF187" s="117"/>
      <c r="QWG187" s="117"/>
      <c r="QWH187" s="117"/>
      <c r="QWI187" s="117"/>
      <c r="QWJ187" s="117"/>
      <c r="QWK187" s="117"/>
      <c r="QWL187" s="117"/>
      <c r="QWM187" s="117"/>
      <c r="QWN187" s="117"/>
      <c r="QWO187" s="117"/>
      <c r="QWP187" s="117"/>
      <c r="QWQ187" s="117"/>
      <c r="QWR187" s="117"/>
      <c r="QWS187" s="117"/>
      <c r="QWT187" s="117"/>
      <c r="QWU187" s="117"/>
      <c r="QWV187" s="117"/>
      <c r="QWW187" s="117"/>
      <c r="QWX187" s="117"/>
      <c r="QWY187" s="117"/>
      <c r="QWZ187" s="117"/>
      <c r="QXA187" s="117"/>
      <c r="QXB187" s="117"/>
      <c r="QXC187" s="117"/>
      <c r="QXD187" s="117"/>
      <c r="QXE187" s="117"/>
      <c r="QXF187" s="117"/>
      <c r="QXG187" s="117"/>
      <c r="QXH187" s="117"/>
      <c r="QXI187" s="117"/>
      <c r="QXJ187" s="117"/>
      <c r="QXK187" s="117"/>
      <c r="QXL187" s="117"/>
      <c r="QXM187" s="117"/>
      <c r="QXN187" s="117"/>
      <c r="QXO187" s="117"/>
      <c r="QXP187" s="117"/>
      <c r="QXQ187" s="117"/>
      <c r="QXR187" s="117"/>
      <c r="QXS187" s="117"/>
      <c r="QXT187" s="117"/>
      <c r="QXU187" s="117"/>
      <c r="QXV187" s="117"/>
      <c r="QXW187" s="117"/>
      <c r="QXX187" s="117"/>
      <c r="QXY187" s="117"/>
      <c r="QXZ187" s="117"/>
      <c r="QYA187" s="117"/>
      <c r="QYB187" s="117"/>
      <c r="QYC187" s="117"/>
      <c r="QYD187" s="117"/>
      <c r="QYE187" s="117"/>
      <c r="QYF187" s="117"/>
      <c r="QYG187" s="117"/>
      <c r="QYH187" s="117"/>
      <c r="QYI187" s="117"/>
      <c r="QYJ187" s="117"/>
      <c r="QYK187" s="117"/>
      <c r="QYL187" s="117"/>
      <c r="QYM187" s="117"/>
      <c r="QYN187" s="117"/>
      <c r="QYO187" s="117"/>
      <c r="QYP187" s="117"/>
      <c r="QYQ187" s="117"/>
      <c r="QYR187" s="117"/>
      <c r="QYS187" s="117"/>
      <c r="QYT187" s="117"/>
      <c r="QYU187" s="117"/>
      <c r="QYV187" s="117"/>
      <c r="QYW187" s="117"/>
      <c r="QYX187" s="117"/>
      <c r="QYY187" s="117"/>
      <c r="QYZ187" s="117"/>
      <c r="QZA187" s="117"/>
      <c r="QZB187" s="117"/>
      <c r="QZC187" s="117"/>
      <c r="QZD187" s="117"/>
      <c r="QZE187" s="117"/>
      <c r="QZF187" s="117"/>
      <c r="QZG187" s="117"/>
      <c r="QZH187" s="117"/>
      <c r="QZI187" s="117"/>
      <c r="QZJ187" s="117"/>
      <c r="QZK187" s="117"/>
      <c r="QZL187" s="117"/>
      <c r="QZM187" s="117"/>
      <c r="QZN187" s="117"/>
      <c r="QZO187" s="117"/>
      <c r="QZP187" s="117"/>
      <c r="QZQ187" s="117"/>
      <c r="QZR187" s="117"/>
      <c r="QZS187" s="117"/>
      <c r="QZT187" s="117"/>
      <c r="QZU187" s="117"/>
      <c r="QZV187" s="117"/>
      <c r="QZW187" s="117"/>
      <c r="QZX187" s="117"/>
      <c r="QZY187" s="117"/>
      <c r="QZZ187" s="117"/>
      <c r="RAA187" s="117"/>
      <c r="RAB187" s="117"/>
      <c r="RAC187" s="117"/>
      <c r="RAD187" s="117"/>
      <c r="RAE187" s="117"/>
      <c r="RAF187" s="117"/>
      <c r="RAG187" s="117"/>
      <c r="RAH187" s="117"/>
      <c r="RAI187" s="117"/>
      <c r="RAJ187" s="117"/>
      <c r="RAK187" s="117"/>
      <c r="RAL187" s="117"/>
      <c r="RAM187" s="117"/>
      <c r="RAN187" s="117"/>
      <c r="RAO187" s="117"/>
      <c r="RAP187" s="117"/>
      <c r="RAQ187" s="117"/>
      <c r="RAR187" s="117"/>
      <c r="RAS187" s="117"/>
      <c r="RAT187" s="117"/>
      <c r="RAU187" s="117"/>
      <c r="RAV187" s="117"/>
      <c r="RAW187" s="117"/>
      <c r="RAX187" s="117"/>
      <c r="RAY187" s="117"/>
      <c r="RAZ187" s="117"/>
      <c r="RBA187" s="117"/>
      <c r="RBB187" s="117"/>
      <c r="RBC187" s="117"/>
      <c r="RBD187" s="117"/>
      <c r="RBE187" s="117"/>
      <c r="RBF187" s="117"/>
      <c r="RBG187" s="117"/>
      <c r="RBH187" s="117"/>
      <c r="RBI187" s="117"/>
      <c r="RBJ187" s="117"/>
      <c r="RBK187" s="117"/>
      <c r="RBL187" s="117"/>
      <c r="RBM187" s="117"/>
      <c r="RBN187" s="117"/>
      <c r="RBO187" s="117"/>
      <c r="RBP187" s="117"/>
      <c r="RBQ187" s="117"/>
      <c r="RBR187" s="117"/>
      <c r="RBS187" s="117"/>
      <c r="RBT187" s="117"/>
      <c r="RBU187" s="117"/>
      <c r="RBV187" s="117"/>
      <c r="RBW187" s="117"/>
      <c r="RBX187" s="117"/>
      <c r="RBY187" s="117"/>
      <c r="RBZ187" s="117"/>
      <c r="RCA187" s="117"/>
      <c r="RCB187" s="117"/>
      <c r="RCC187" s="117"/>
      <c r="RCD187" s="117"/>
      <c r="RCE187" s="117"/>
      <c r="RCF187" s="117"/>
      <c r="RCG187" s="117"/>
      <c r="RCH187" s="117"/>
      <c r="RCI187" s="117"/>
      <c r="RCJ187" s="117"/>
      <c r="RCK187" s="117"/>
      <c r="RCL187" s="117"/>
      <c r="RCM187" s="117"/>
      <c r="RCN187" s="117"/>
      <c r="RCO187" s="117"/>
      <c r="RCP187" s="117"/>
      <c r="RCQ187" s="117"/>
      <c r="RCR187" s="117"/>
      <c r="RCS187" s="117"/>
      <c r="RCT187" s="117"/>
      <c r="RCU187" s="117"/>
      <c r="RCV187" s="117"/>
      <c r="RCW187" s="117"/>
      <c r="RCX187" s="117"/>
      <c r="RCY187" s="117"/>
      <c r="RCZ187" s="117"/>
      <c r="RDA187" s="117"/>
      <c r="RDB187" s="117"/>
      <c r="RDC187" s="117"/>
      <c r="RDD187" s="117"/>
      <c r="RDE187" s="117"/>
      <c r="RDF187" s="117"/>
      <c r="RDG187" s="117"/>
      <c r="RDH187" s="117"/>
      <c r="RDI187" s="117"/>
      <c r="RDJ187" s="117"/>
      <c r="RDK187" s="117"/>
      <c r="RDL187" s="117"/>
      <c r="RDM187" s="117"/>
      <c r="RDN187" s="117"/>
      <c r="RDO187" s="117"/>
      <c r="RDP187" s="117"/>
      <c r="RDQ187" s="117"/>
      <c r="RDR187" s="117"/>
      <c r="RDS187" s="117"/>
      <c r="RDT187" s="117"/>
      <c r="RDU187" s="117"/>
      <c r="RDV187" s="117"/>
      <c r="RDW187" s="117"/>
      <c r="RDX187" s="117"/>
      <c r="RDY187" s="117"/>
      <c r="RDZ187" s="117"/>
      <c r="REA187" s="117"/>
      <c r="REB187" s="117"/>
      <c r="REC187" s="117"/>
      <c r="RED187" s="117"/>
      <c r="REE187" s="117"/>
      <c r="REF187" s="117"/>
      <c r="REG187" s="117"/>
      <c r="REH187" s="117"/>
      <c r="REI187" s="117"/>
      <c r="REJ187" s="117"/>
      <c r="REK187" s="117"/>
      <c r="REL187" s="117"/>
      <c r="REM187" s="117"/>
      <c r="REN187" s="117"/>
      <c r="REO187" s="117"/>
      <c r="REP187" s="117"/>
      <c r="REQ187" s="117"/>
      <c r="RER187" s="117"/>
      <c r="RES187" s="117"/>
      <c r="RET187" s="117"/>
      <c r="REU187" s="117"/>
      <c r="REV187" s="117"/>
      <c r="REW187" s="117"/>
      <c r="REX187" s="117"/>
      <c r="REY187" s="117"/>
      <c r="REZ187" s="117"/>
      <c r="RFA187" s="117"/>
      <c r="RFB187" s="117"/>
      <c r="RFC187" s="117"/>
      <c r="RFD187" s="117"/>
      <c r="RFE187" s="117"/>
      <c r="RFF187" s="117"/>
      <c r="RFG187" s="117"/>
      <c r="RFH187" s="117"/>
      <c r="RFI187" s="117"/>
      <c r="RFJ187" s="117"/>
      <c r="RFK187" s="117"/>
      <c r="RFL187" s="117"/>
      <c r="RFM187" s="117"/>
      <c r="RFN187" s="117"/>
      <c r="RFO187" s="117"/>
      <c r="RFP187" s="117"/>
      <c r="RFQ187" s="117"/>
      <c r="RFR187" s="117"/>
      <c r="RFS187" s="117"/>
      <c r="RFT187" s="117"/>
      <c r="RFU187" s="117"/>
      <c r="RFV187" s="117"/>
      <c r="RFW187" s="117"/>
      <c r="RFX187" s="117"/>
      <c r="RFY187" s="117"/>
      <c r="RFZ187" s="117"/>
      <c r="RGA187" s="117"/>
      <c r="RGB187" s="117"/>
      <c r="RGC187" s="117"/>
      <c r="RGD187" s="117"/>
      <c r="RGE187" s="117"/>
      <c r="RGF187" s="117"/>
      <c r="RGG187" s="117"/>
      <c r="RGH187" s="117"/>
      <c r="RGI187" s="117"/>
      <c r="RGJ187" s="117"/>
      <c r="RGK187" s="117"/>
      <c r="RGL187" s="117"/>
      <c r="RGM187" s="117"/>
      <c r="RGN187" s="117"/>
      <c r="RGO187" s="117"/>
      <c r="RGP187" s="117"/>
      <c r="RGQ187" s="117"/>
      <c r="RGR187" s="117"/>
      <c r="RGS187" s="117"/>
      <c r="RGT187" s="117"/>
      <c r="RGU187" s="117"/>
      <c r="RGV187" s="117"/>
      <c r="RGW187" s="117"/>
      <c r="RGX187" s="117"/>
      <c r="RGY187" s="117"/>
      <c r="RGZ187" s="117"/>
      <c r="RHA187" s="117"/>
      <c r="RHB187" s="117"/>
      <c r="RHC187" s="117"/>
      <c r="RHD187" s="117"/>
      <c r="RHE187" s="117"/>
      <c r="RHF187" s="117"/>
      <c r="RHG187" s="117"/>
      <c r="RHH187" s="117"/>
      <c r="RHI187" s="117"/>
      <c r="RHJ187" s="117"/>
      <c r="RHK187" s="117"/>
      <c r="RHL187" s="117"/>
      <c r="RHM187" s="117"/>
      <c r="RHN187" s="117"/>
      <c r="RHO187" s="117"/>
      <c r="RHP187" s="117"/>
      <c r="RHQ187" s="117"/>
      <c r="RHR187" s="117"/>
      <c r="RHS187" s="117"/>
      <c r="RHT187" s="117"/>
      <c r="RHU187" s="117"/>
      <c r="RHV187" s="117"/>
      <c r="RHW187" s="117"/>
      <c r="RHX187" s="117"/>
      <c r="RHY187" s="117"/>
      <c r="RHZ187" s="117"/>
      <c r="RIA187" s="117"/>
      <c r="RIB187" s="117"/>
      <c r="RIC187" s="117"/>
      <c r="RID187" s="117"/>
      <c r="RIE187" s="117"/>
      <c r="RIF187" s="117"/>
      <c r="RIG187" s="117"/>
      <c r="RIH187" s="117"/>
      <c r="RII187" s="117"/>
      <c r="RIJ187" s="117"/>
      <c r="RIK187" s="117"/>
      <c r="RIL187" s="117"/>
      <c r="RIM187" s="117"/>
      <c r="RIN187" s="117"/>
      <c r="RIO187" s="117"/>
      <c r="RIP187" s="117"/>
      <c r="RIQ187" s="117"/>
      <c r="RIR187" s="117"/>
      <c r="RIS187" s="117"/>
      <c r="RIT187" s="117"/>
      <c r="RIU187" s="117"/>
      <c r="RIV187" s="117"/>
      <c r="RIW187" s="117"/>
      <c r="RIX187" s="117"/>
      <c r="RIY187" s="117"/>
      <c r="RIZ187" s="117"/>
      <c r="RJA187" s="117"/>
      <c r="RJB187" s="117"/>
      <c r="RJC187" s="117"/>
      <c r="RJD187" s="117"/>
      <c r="RJE187" s="117"/>
      <c r="RJF187" s="117"/>
      <c r="RJG187" s="117"/>
      <c r="RJH187" s="117"/>
      <c r="RJI187" s="117"/>
      <c r="RJJ187" s="117"/>
      <c r="RJK187" s="117"/>
      <c r="RJL187" s="117"/>
      <c r="RJM187" s="117"/>
      <c r="RJN187" s="117"/>
      <c r="RJO187" s="117"/>
      <c r="RJP187" s="117"/>
      <c r="RJQ187" s="117"/>
      <c r="RJR187" s="117"/>
      <c r="RJS187" s="117"/>
      <c r="RJT187" s="117"/>
      <c r="RJU187" s="117"/>
      <c r="RJV187" s="117"/>
      <c r="RJW187" s="117"/>
      <c r="RJX187" s="117"/>
      <c r="RJY187" s="117"/>
      <c r="RJZ187" s="117"/>
      <c r="RKA187" s="117"/>
      <c r="RKB187" s="117"/>
      <c r="RKC187" s="117"/>
      <c r="RKD187" s="117"/>
      <c r="RKE187" s="117"/>
      <c r="RKF187" s="117"/>
      <c r="RKG187" s="117"/>
      <c r="RKH187" s="117"/>
      <c r="RKI187" s="117"/>
      <c r="RKJ187" s="117"/>
      <c r="RKK187" s="117"/>
      <c r="RKL187" s="117"/>
      <c r="RKM187" s="117"/>
      <c r="RKN187" s="117"/>
      <c r="RKO187" s="117"/>
      <c r="RKP187" s="117"/>
      <c r="RKQ187" s="117"/>
      <c r="RKR187" s="117"/>
      <c r="RKS187" s="117"/>
      <c r="RKT187" s="117"/>
      <c r="RKU187" s="117"/>
      <c r="RKV187" s="117"/>
      <c r="RKW187" s="117"/>
      <c r="RKX187" s="117"/>
      <c r="RKY187" s="117"/>
      <c r="RKZ187" s="117"/>
      <c r="RLA187" s="117"/>
      <c r="RLB187" s="117"/>
      <c r="RLC187" s="117"/>
      <c r="RLD187" s="117"/>
      <c r="RLE187" s="117"/>
      <c r="RLF187" s="117"/>
      <c r="RLG187" s="117"/>
      <c r="RLH187" s="117"/>
      <c r="RLI187" s="117"/>
      <c r="RLJ187" s="117"/>
      <c r="RLK187" s="117"/>
      <c r="RLL187" s="117"/>
      <c r="RLM187" s="117"/>
      <c r="RLN187" s="117"/>
      <c r="RLO187" s="117"/>
      <c r="RLP187" s="117"/>
      <c r="RLQ187" s="117"/>
      <c r="RLR187" s="117"/>
      <c r="RLS187" s="117"/>
      <c r="RLT187" s="117"/>
      <c r="RLU187" s="117"/>
      <c r="RLV187" s="117"/>
      <c r="RLW187" s="117"/>
      <c r="RLX187" s="117"/>
      <c r="RLY187" s="117"/>
      <c r="RLZ187" s="117"/>
      <c r="RMA187" s="117"/>
      <c r="RMB187" s="117"/>
      <c r="RMC187" s="117"/>
      <c r="RMD187" s="117"/>
      <c r="RME187" s="117"/>
      <c r="RMF187" s="117"/>
      <c r="RMG187" s="117"/>
      <c r="RMH187" s="117"/>
      <c r="RMI187" s="117"/>
      <c r="RMJ187" s="117"/>
      <c r="RMK187" s="117"/>
      <c r="RML187" s="117"/>
      <c r="RMM187" s="117"/>
      <c r="RMN187" s="117"/>
      <c r="RMO187" s="117"/>
      <c r="RMP187" s="117"/>
      <c r="RMQ187" s="117"/>
      <c r="RMR187" s="117"/>
      <c r="RMS187" s="117"/>
      <c r="RMT187" s="117"/>
      <c r="RMU187" s="117"/>
      <c r="RMV187" s="117"/>
      <c r="RMW187" s="117"/>
      <c r="RMX187" s="117"/>
      <c r="RMY187" s="117"/>
      <c r="RMZ187" s="117"/>
      <c r="RNA187" s="117"/>
      <c r="RNB187" s="117"/>
      <c r="RNC187" s="117"/>
      <c r="RND187" s="117"/>
      <c r="RNE187" s="117"/>
      <c r="RNF187" s="117"/>
      <c r="RNG187" s="117"/>
      <c r="RNH187" s="117"/>
      <c r="RNI187" s="117"/>
      <c r="RNJ187" s="117"/>
      <c r="RNK187" s="117"/>
      <c r="RNL187" s="117"/>
      <c r="RNM187" s="117"/>
      <c r="RNN187" s="117"/>
      <c r="RNO187" s="117"/>
      <c r="RNP187" s="117"/>
      <c r="RNQ187" s="117"/>
      <c r="RNR187" s="117"/>
      <c r="RNS187" s="117"/>
      <c r="RNT187" s="117"/>
      <c r="RNU187" s="117"/>
      <c r="RNV187" s="117"/>
      <c r="RNW187" s="117"/>
      <c r="RNX187" s="117"/>
      <c r="RNY187" s="117"/>
      <c r="RNZ187" s="117"/>
      <c r="ROA187" s="117"/>
      <c r="ROB187" s="117"/>
      <c r="ROC187" s="117"/>
      <c r="ROD187" s="117"/>
      <c r="ROE187" s="117"/>
      <c r="ROF187" s="117"/>
      <c r="ROG187" s="117"/>
      <c r="ROH187" s="117"/>
      <c r="ROI187" s="117"/>
      <c r="ROJ187" s="117"/>
      <c r="ROK187" s="117"/>
      <c r="ROL187" s="117"/>
      <c r="ROM187" s="117"/>
      <c r="RON187" s="117"/>
      <c r="ROO187" s="117"/>
      <c r="ROP187" s="117"/>
      <c r="ROQ187" s="117"/>
      <c r="ROR187" s="117"/>
      <c r="ROS187" s="117"/>
      <c r="ROT187" s="117"/>
      <c r="ROU187" s="117"/>
      <c r="ROV187" s="117"/>
      <c r="ROW187" s="117"/>
      <c r="ROX187" s="117"/>
      <c r="ROY187" s="117"/>
      <c r="ROZ187" s="117"/>
      <c r="RPA187" s="117"/>
      <c r="RPB187" s="117"/>
      <c r="RPC187" s="117"/>
      <c r="RPD187" s="117"/>
      <c r="RPE187" s="117"/>
      <c r="RPF187" s="117"/>
      <c r="RPG187" s="117"/>
      <c r="RPH187" s="117"/>
      <c r="RPI187" s="117"/>
      <c r="RPJ187" s="117"/>
      <c r="RPK187" s="117"/>
      <c r="RPL187" s="117"/>
      <c r="RPM187" s="117"/>
      <c r="RPN187" s="117"/>
      <c r="RPO187" s="117"/>
      <c r="RPP187" s="117"/>
      <c r="RPQ187" s="117"/>
      <c r="RPR187" s="117"/>
      <c r="RPS187" s="117"/>
      <c r="RPT187" s="117"/>
      <c r="RPU187" s="117"/>
      <c r="RPV187" s="117"/>
      <c r="RPW187" s="117"/>
      <c r="RPX187" s="117"/>
      <c r="RPY187" s="117"/>
      <c r="RPZ187" s="117"/>
      <c r="RQA187" s="117"/>
      <c r="RQB187" s="117"/>
      <c r="RQC187" s="117"/>
      <c r="RQD187" s="117"/>
      <c r="RQE187" s="117"/>
      <c r="RQF187" s="117"/>
      <c r="RQG187" s="117"/>
      <c r="RQH187" s="117"/>
      <c r="RQI187" s="117"/>
      <c r="RQJ187" s="117"/>
      <c r="RQK187" s="117"/>
      <c r="RQL187" s="117"/>
      <c r="RQM187" s="117"/>
      <c r="RQN187" s="117"/>
      <c r="RQO187" s="117"/>
      <c r="RQP187" s="117"/>
      <c r="RQQ187" s="117"/>
      <c r="RQR187" s="117"/>
      <c r="RQS187" s="117"/>
      <c r="RQT187" s="117"/>
      <c r="RQU187" s="117"/>
      <c r="RQV187" s="117"/>
      <c r="RQW187" s="117"/>
      <c r="RQX187" s="117"/>
      <c r="RQY187" s="117"/>
      <c r="RQZ187" s="117"/>
      <c r="RRA187" s="117"/>
      <c r="RRB187" s="117"/>
      <c r="RRC187" s="117"/>
      <c r="RRD187" s="117"/>
      <c r="RRE187" s="117"/>
      <c r="RRF187" s="117"/>
      <c r="RRG187" s="117"/>
      <c r="RRH187" s="117"/>
      <c r="RRI187" s="117"/>
      <c r="RRJ187" s="117"/>
      <c r="RRK187" s="117"/>
      <c r="RRL187" s="117"/>
      <c r="RRM187" s="117"/>
      <c r="RRN187" s="117"/>
      <c r="RRO187" s="117"/>
      <c r="RRP187" s="117"/>
      <c r="RRQ187" s="117"/>
      <c r="RRR187" s="117"/>
      <c r="RRS187" s="117"/>
      <c r="RRT187" s="117"/>
      <c r="RRU187" s="117"/>
      <c r="RRV187" s="117"/>
      <c r="RRW187" s="117"/>
      <c r="RRX187" s="117"/>
      <c r="RRY187" s="117"/>
      <c r="RRZ187" s="117"/>
      <c r="RSA187" s="117"/>
      <c r="RSB187" s="117"/>
      <c r="RSC187" s="117"/>
      <c r="RSD187" s="117"/>
      <c r="RSE187" s="117"/>
      <c r="RSF187" s="117"/>
      <c r="RSG187" s="117"/>
      <c r="RSH187" s="117"/>
      <c r="RSI187" s="117"/>
      <c r="RSJ187" s="117"/>
      <c r="RSK187" s="117"/>
      <c r="RSL187" s="117"/>
      <c r="RSM187" s="117"/>
      <c r="RSN187" s="117"/>
      <c r="RSO187" s="117"/>
      <c r="RSP187" s="117"/>
      <c r="RSQ187" s="117"/>
      <c r="RSR187" s="117"/>
      <c r="RSS187" s="117"/>
      <c r="RST187" s="117"/>
      <c r="RSU187" s="117"/>
      <c r="RSV187" s="117"/>
      <c r="RSW187" s="117"/>
      <c r="RSX187" s="117"/>
      <c r="RSY187" s="117"/>
      <c r="RSZ187" s="117"/>
      <c r="RTA187" s="117"/>
      <c r="RTB187" s="117"/>
      <c r="RTC187" s="117"/>
      <c r="RTD187" s="117"/>
      <c r="RTE187" s="117"/>
      <c r="RTF187" s="117"/>
      <c r="RTG187" s="117"/>
      <c r="RTH187" s="117"/>
      <c r="RTI187" s="117"/>
      <c r="RTJ187" s="117"/>
      <c r="RTK187" s="117"/>
      <c r="RTL187" s="117"/>
      <c r="RTM187" s="117"/>
      <c r="RTN187" s="117"/>
      <c r="RTO187" s="117"/>
      <c r="RTP187" s="117"/>
      <c r="RTQ187" s="117"/>
      <c r="RTR187" s="117"/>
      <c r="RTS187" s="117"/>
      <c r="RTT187" s="117"/>
      <c r="RTU187" s="117"/>
      <c r="RTV187" s="117"/>
      <c r="RTW187" s="117"/>
      <c r="RTX187" s="117"/>
      <c r="RTY187" s="117"/>
      <c r="RTZ187" s="117"/>
      <c r="RUA187" s="117"/>
      <c r="RUB187" s="117"/>
      <c r="RUC187" s="117"/>
      <c r="RUD187" s="117"/>
      <c r="RUE187" s="117"/>
      <c r="RUF187" s="117"/>
      <c r="RUG187" s="117"/>
      <c r="RUH187" s="117"/>
      <c r="RUI187" s="117"/>
      <c r="RUJ187" s="117"/>
      <c r="RUK187" s="117"/>
      <c r="RUL187" s="117"/>
      <c r="RUM187" s="117"/>
      <c r="RUN187" s="117"/>
      <c r="RUO187" s="117"/>
      <c r="RUP187" s="117"/>
      <c r="RUQ187" s="117"/>
      <c r="RUR187" s="117"/>
      <c r="RUS187" s="117"/>
      <c r="RUT187" s="117"/>
      <c r="RUU187" s="117"/>
      <c r="RUV187" s="117"/>
      <c r="RUW187" s="117"/>
      <c r="RUX187" s="117"/>
      <c r="RUY187" s="117"/>
      <c r="RUZ187" s="117"/>
      <c r="RVA187" s="117"/>
      <c r="RVB187" s="117"/>
      <c r="RVC187" s="117"/>
      <c r="RVD187" s="117"/>
      <c r="RVE187" s="117"/>
      <c r="RVF187" s="117"/>
      <c r="RVG187" s="117"/>
      <c r="RVH187" s="117"/>
      <c r="RVI187" s="117"/>
      <c r="RVJ187" s="117"/>
      <c r="RVK187" s="117"/>
      <c r="RVL187" s="117"/>
      <c r="RVM187" s="117"/>
      <c r="RVN187" s="117"/>
      <c r="RVO187" s="117"/>
      <c r="RVP187" s="117"/>
      <c r="RVQ187" s="117"/>
      <c r="RVR187" s="117"/>
      <c r="RVS187" s="117"/>
      <c r="RVT187" s="117"/>
      <c r="RVU187" s="117"/>
      <c r="RVV187" s="117"/>
      <c r="RVW187" s="117"/>
      <c r="RVX187" s="117"/>
      <c r="RVY187" s="117"/>
      <c r="RVZ187" s="117"/>
      <c r="RWA187" s="117"/>
      <c r="RWB187" s="117"/>
      <c r="RWC187" s="117"/>
      <c r="RWD187" s="117"/>
      <c r="RWE187" s="117"/>
      <c r="RWF187" s="117"/>
      <c r="RWG187" s="117"/>
      <c r="RWH187" s="117"/>
      <c r="RWI187" s="117"/>
      <c r="RWJ187" s="117"/>
      <c r="RWK187" s="117"/>
      <c r="RWL187" s="117"/>
      <c r="RWM187" s="117"/>
      <c r="RWN187" s="117"/>
      <c r="RWO187" s="117"/>
      <c r="RWP187" s="117"/>
      <c r="RWQ187" s="117"/>
      <c r="RWR187" s="117"/>
      <c r="RWS187" s="117"/>
      <c r="RWT187" s="117"/>
      <c r="RWU187" s="117"/>
      <c r="RWV187" s="117"/>
      <c r="RWW187" s="117"/>
      <c r="RWX187" s="117"/>
      <c r="RWY187" s="117"/>
      <c r="RWZ187" s="117"/>
      <c r="RXA187" s="117"/>
      <c r="RXB187" s="117"/>
      <c r="RXC187" s="117"/>
      <c r="RXD187" s="117"/>
      <c r="RXE187" s="117"/>
      <c r="RXF187" s="117"/>
      <c r="RXG187" s="117"/>
      <c r="RXH187" s="117"/>
      <c r="RXI187" s="117"/>
      <c r="RXJ187" s="117"/>
      <c r="RXK187" s="117"/>
      <c r="RXL187" s="117"/>
      <c r="RXM187" s="117"/>
      <c r="RXN187" s="117"/>
      <c r="RXO187" s="117"/>
      <c r="RXP187" s="117"/>
      <c r="RXQ187" s="117"/>
      <c r="RXR187" s="117"/>
      <c r="RXS187" s="117"/>
      <c r="RXT187" s="117"/>
      <c r="RXU187" s="117"/>
      <c r="RXV187" s="117"/>
      <c r="RXW187" s="117"/>
      <c r="RXX187" s="117"/>
      <c r="RXY187" s="117"/>
      <c r="RXZ187" s="117"/>
      <c r="RYA187" s="117"/>
      <c r="RYB187" s="117"/>
      <c r="RYC187" s="117"/>
      <c r="RYD187" s="117"/>
      <c r="RYE187" s="117"/>
      <c r="RYF187" s="117"/>
      <c r="RYG187" s="117"/>
      <c r="RYH187" s="117"/>
      <c r="RYI187" s="117"/>
      <c r="RYJ187" s="117"/>
      <c r="RYK187" s="117"/>
      <c r="RYL187" s="117"/>
      <c r="RYM187" s="117"/>
      <c r="RYN187" s="117"/>
      <c r="RYO187" s="117"/>
      <c r="RYP187" s="117"/>
      <c r="RYQ187" s="117"/>
      <c r="RYR187" s="117"/>
      <c r="RYS187" s="117"/>
      <c r="RYT187" s="117"/>
      <c r="RYU187" s="117"/>
      <c r="RYV187" s="117"/>
      <c r="RYW187" s="117"/>
      <c r="RYX187" s="117"/>
      <c r="RYY187" s="117"/>
      <c r="RYZ187" s="117"/>
      <c r="RZA187" s="117"/>
      <c r="RZB187" s="117"/>
      <c r="RZC187" s="117"/>
      <c r="RZD187" s="117"/>
      <c r="RZE187" s="117"/>
      <c r="RZF187" s="117"/>
      <c r="RZG187" s="117"/>
      <c r="RZH187" s="117"/>
      <c r="RZI187" s="117"/>
      <c r="RZJ187" s="117"/>
      <c r="RZK187" s="117"/>
      <c r="RZL187" s="117"/>
      <c r="RZM187" s="117"/>
      <c r="RZN187" s="117"/>
      <c r="RZO187" s="117"/>
      <c r="RZP187" s="117"/>
      <c r="RZQ187" s="117"/>
      <c r="RZR187" s="117"/>
      <c r="RZS187" s="117"/>
      <c r="RZT187" s="117"/>
      <c r="RZU187" s="117"/>
      <c r="RZV187" s="117"/>
      <c r="RZW187" s="117"/>
      <c r="RZX187" s="117"/>
      <c r="RZY187" s="117"/>
      <c r="RZZ187" s="117"/>
      <c r="SAA187" s="117"/>
      <c r="SAB187" s="117"/>
      <c r="SAC187" s="117"/>
      <c r="SAD187" s="117"/>
      <c r="SAE187" s="117"/>
      <c r="SAF187" s="117"/>
      <c r="SAG187" s="117"/>
      <c r="SAH187" s="117"/>
      <c r="SAI187" s="117"/>
      <c r="SAJ187" s="117"/>
      <c r="SAK187" s="117"/>
      <c r="SAL187" s="117"/>
      <c r="SAM187" s="117"/>
      <c r="SAN187" s="117"/>
      <c r="SAO187" s="117"/>
      <c r="SAP187" s="117"/>
      <c r="SAQ187" s="117"/>
      <c r="SAR187" s="117"/>
      <c r="SAS187" s="117"/>
      <c r="SAT187" s="117"/>
      <c r="SAU187" s="117"/>
      <c r="SAV187" s="117"/>
      <c r="SAW187" s="117"/>
      <c r="SAX187" s="117"/>
      <c r="SAY187" s="117"/>
      <c r="SAZ187" s="117"/>
      <c r="SBA187" s="117"/>
      <c r="SBB187" s="117"/>
      <c r="SBC187" s="117"/>
      <c r="SBD187" s="117"/>
      <c r="SBE187" s="117"/>
      <c r="SBF187" s="117"/>
      <c r="SBG187" s="117"/>
      <c r="SBH187" s="117"/>
      <c r="SBI187" s="117"/>
      <c r="SBJ187" s="117"/>
      <c r="SBK187" s="117"/>
      <c r="SBL187" s="117"/>
      <c r="SBM187" s="117"/>
      <c r="SBN187" s="117"/>
      <c r="SBO187" s="117"/>
      <c r="SBP187" s="117"/>
      <c r="SBQ187" s="117"/>
      <c r="SBR187" s="117"/>
      <c r="SBS187" s="117"/>
      <c r="SBT187" s="117"/>
      <c r="SBU187" s="117"/>
      <c r="SBV187" s="117"/>
      <c r="SBW187" s="117"/>
      <c r="SBX187" s="117"/>
      <c r="SBY187" s="117"/>
      <c r="SBZ187" s="117"/>
      <c r="SCA187" s="117"/>
      <c r="SCB187" s="117"/>
      <c r="SCC187" s="117"/>
      <c r="SCD187" s="117"/>
      <c r="SCE187" s="117"/>
      <c r="SCF187" s="117"/>
      <c r="SCG187" s="117"/>
      <c r="SCH187" s="117"/>
      <c r="SCI187" s="117"/>
      <c r="SCJ187" s="117"/>
      <c r="SCK187" s="117"/>
      <c r="SCL187" s="117"/>
      <c r="SCM187" s="117"/>
      <c r="SCN187" s="117"/>
      <c r="SCO187" s="117"/>
      <c r="SCP187" s="117"/>
      <c r="SCQ187" s="117"/>
      <c r="SCR187" s="117"/>
      <c r="SCS187" s="117"/>
      <c r="SCT187" s="117"/>
      <c r="SCU187" s="117"/>
      <c r="SCV187" s="117"/>
      <c r="SCW187" s="117"/>
      <c r="SCX187" s="117"/>
      <c r="SCY187" s="117"/>
      <c r="SCZ187" s="117"/>
      <c r="SDA187" s="117"/>
      <c r="SDB187" s="117"/>
      <c r="SDC187" s="117"/>
      <c r="SDD187" s="117"/>
      <c r="SDE187" s="117"/>
      <c r="SDF187" s="117"/>
      <c r="SDG187" s="117"/>
      <c r="SDH187" s="117"/>
      <c r="SDI187" s="117"/>
      <c r="SDJ187" s="117"/>
      <c r="SDK187" s="117"/>
      <c r="SDL187" s="117"/>
      <c r="SDM187" s="117"/>
      <c r="SDN187" s="117"/>
      <c r="SDO187" s="117"/>
      <c r="SDP187" s="117"/>
      <c r="SDQ187" s="117"/>
      <c r="SDR187" s="117"/>
      <c r="SDS187" s="117"/>
      <c r="SDT187" s="117"/>
      <c r="SDU187" s="117"/>
      <c r="SDV187" s="117"/>
      <c r="SDW187" s="117"/>
      <c r="SDX187" s="117"/>
      <c r="SDY187" s="117"/>
      <c r="SDZ187" s="117"/>
      <c r="SEA187" s="117"/>
      <c r="SEB187" s="117"/>
      <c r="SEC187" s="117"/>
      <c r="SED187" s="117"/>
      <c r="SEE187" s="117"/>
      <c r="SEF187" s="117"/>
      <c r="SEG187" s="117"/>
      <c r="SEH187" s="117"/>
      <c r="SEI187" s="117"/>
      <c r="SEJ187" s="117"/>
      <c r="SEK187" s="117"/>
      <c r="SEL187" s="117"/>
      <c r="SEM187" s="117"/>
      <c r="SEN187" s="117"/>
      <c r="SEO187" s="117"/>
      <c r="SEP187" s="117"/>
      <c r="SEQ187" s="117"/>
      <c r="SER187" s="117"/>
      <c r="SES187" s="117"/>
      <c r="SET187" s="117"/>
      <c r="SEU187" s="117"/>
      <c r="SEV187" s="117"/>
      <c r="SEW187" s="117"/>
      <c r="SEX187" s="117"/>
      <c r="SEY187" s="117"/>
      <c r="SEZ187" s="117"/>
      <c r="SFA187" s="117"/>
      <c r="SFB187" s="117"/>
      <c r="SFC187" s="117"/>
      <c r="SFD187" s="117"/>
      <c r="SFE187" s="117"/>
      <c r="SFF187" s="117"/>
      <c r="SFG187" s="117"/>
      <c r="SFH187" s="117"/>
      <c r="SFI187" s="117"/>
      <c r="SFJ187" s="117"/>
      <c r="SFK187" s="117"/>
      <c r="SFL187" s="117"/>
      <c r="SFM187" s="117"/>
      <c r="SFN187" s="117"/>
      <c r="SFO187" s="117"/>
      <c r="SFP187" s="117"/>
      <c r="SFQ187" s="117"/>
      <c r="SFR187" s="117"/>
      <c r="SFS187" s="117"/>
      <c r="SFT187" s="117"/>
      <c r="SFU187" s="117"/>
      <c r="SFV187" s="117"/>
      <c r="SFW187" s="117"/>
      <c r="SFX187" s="117"/>
      <c r="SFY187" s="117"/>
      <c r="SFZ187" s="117"/>
      <c r="SGA187" s="117"/>
      <c r="SGB187" s="117"/>
      <c r="SGC187" s="117"/>
      <c r="SGD187" s="117"/>
      <c r="SGE187" s="117"/>
      <c r="SGF187" s="117"/>
      <c r="SGG187" s="117"/>
      <c r="SGH187" s="117"/>
      <c r="SGI187" s="117"/>
      <c r="SGJ187" s="117"/>
      <c r="SGK187" s="117"/>
      <c r="SGL187" s="117"/>
      <c r="SGM187" s="117"/>
      <c r="SGN187" s="117"/>
      <c r="SGO187" s="117"/>
      <c r="SGP187" s="117"/>
      <c r="SGQ187" s="117"/>
      <c r="SGR187" s="117"/>
      <c r="SGS187" s="117"/>
      <c r="SGT187" s="117"/>
      <c r="SGU187" s="117"/>
      <c r="SGV187" s="117"/>
      <c r="SGW187" s="117"/>
      <c r="SGX187" s="117"/>
      <c r="SGY187" s="117"/>
      <c r="SGZ187" s="117"/>
      <c r="SHA187" s="117"/>
      <c r="SHB187" s="117"/>
      <c r="SHC187" s="117"/>
      <c r="SHD187" s="117"/>
      <c r="SHE187" s="117"/>
      <c r="SHF187" s="117"/>
      <c r="SHG187" s="117"/>
      <c r="SHH187" s="117"/>
      <c r="SHI187" s="117"/>
      <c r="SHJ187" s="117"/>
      <c r="SHK187" s="117"/>
      <c r="SHL187" s="117"/>
      <c r="SHM187" s="117"/>
      <c r="SHN187" s="117"/>
      <c r="SHO187" s="117"/>
      <c r="SHP187" s="117"/>
      <c r="SHQ187" s="117"/>
      <c r="SHR187" s="117"/>
      <c r="SHS187" s="117"/>
      <c r="SHT187" s="117"/>
      <c r="SHU187" s="117"/>
      <c r="SHV187" s="117"/>
      <c r="SHW187" s="117"/>
      <c r="SHX187" s="117"/>
      <c r="SHY187" s="117"/>
      <c r="SHZ187" s="117"/>
      <c r="SIA187" s="117"/>
      <c r="SIB187" s="117"/>
      <c r="SIC187" s="117"/>
      <c r="SID187" s="117"/>
      <c r="SIE187" s="117"/>
      <c r="SIF187" s="117"/>
      <c r="SIG187" s="117"/>
      <c r="SIH187" s="117"/>
      <c r="SII187" s="117"/>
      <c r="SIJ187" s="117"/>
      <c r="SIK187" s="117"/>
      <c r="SIL187" s="117"/>
      <c r="SIM187" s="117"/>
      <c r="SIN187" s="117"/>
      <c r="SIO187" s="117"/>
      <c r="SIP187" s="117"/>
      <c r="SIQ187" s="117"/>
      <c r="SIR187" s="117"/>
      <c r="SIS187" s="117"/>
      <c r="SIT187" s="117"/>
      <c r="SIU187" s="117"/>
      <c r="SIV187" s="117"/>
      <c r="SIW187" s="117"/>
      <c r="SIX187" s="117"/>
      <c r="SIY187" s="117"/>
      <c r="SIZ187" s="117"/>
      <c r="SJA187" s="117"/>
      <c r="SJB187" s="117"/>
      <c r="SJC187" s="117"/>
      <c r="SJD187" s="117"/>
      <c r="SJE187" s="117"/>
      <c r="SJF187" s="117"/>
      <c r="SJG187" s="117"/>
      <c r="SJH187" s="117"/>
      <c r="SJI187" s="117"/>
      <c r="SJJ187" s="117"/>
      <c r="SJK187" s="117"/>
      <c r="SJL187" s="117"/>
      <c r="SJM187" s="117"/>
      <c r="SJN187" s="117"/>
      <c r="SJO187" s="117"/>
      <c r="SJP187" s="117"/>
      <c r="SJQ187" s="117"/>
      <c r="SJR187" s="117"/>
      <c r="SJS187" s="117"/>
      <c r="SJT187" s="117"/>
      <c r="SJU187" s="117"/>
      <c r="SJV187" s="117"/>
      <c r="SJW187" s="117"/>
      <c r="SJX187" s="117"/>
      <c r="SJY187" s="117"/>
      <c r="SJZ187" s="117"/>
      <c r="SKA187" s="117"/>
      <c r="SKB187" s="117"/>
      <c r="SKC187" s="117"/>
      <c r="SKD187" s="117"/>
      <c r="SKE187" s="117"/>
      <c r="SKF187" s="117"/>
      <c r="SKG187" s="117"/>
      <c r="SKH187" s="117"/>
      <c r="SKI187" s="117"/>
      <c r="SKJ187" s="117"/>
      <c r="SKK187" s="117"/>
      <c r="SKL187" s="117"/>
      <c r="SKM187" s="117"/>
      <c r="SKN187" s="117"/>
      <c r="SKO187" s="117"/>
      <c r="SKP187" s="117"/>
      <c r="SKQ187" s="117"/>
      <c r="SKR187" s="117"/>
      <c r="SKS187" s="117"/>
      <c r="SKT187" s="117"/>
      <c r="SKU187" s="117"/>
      <c r="SKV187" s="117"/>
      <c r="SKW187" s="117"/>
      <c r="SKX187" s="117"/>
      <c r="SKY187" s="117"/>
      <c r="SKZ187" s="117"/>
      <c r="SLA187" s="117"/>
      <c r="SLB187" s="117"/>
      <c r="SLC187" s="117"/>
      <c r="SLD187" s="117"/>
      <c r="SLE187" s="117"/>
      <c r="SLF187" s="117"/>
      <c r="SLG187" s="117"/>
      <c r="SLH187" s="117"/>
      <c r="SLI187" s="117"/>
      <c r="SLJ187" s="117"/>
      <c r="SLK187" s="117"/>
      <c r="SLL187" s="117"/>
      <c r="SLM187" s="117"/>
      <c r="SLN187" s="117"/>
      <c r="SLO187" s="117"/>
      <c r="SLP187" s="117"/>
      <c r="SLQ187" s="117"/>
      <c r="SLR187" s="117"/>
      <c r="SLS187" s="117"/>
      <c r="SLT187" s="117"/>
      <c r="SLU187" s="117"/>
      <c r="SLV187" s="117"/>
      <c r="SLW187" s="117"/>
      <c r="SLX187" s="117"/>
      <c r="SLY187" s="117"/>
      <c r="SLZ187" s="117"/>
      <c r="SMA187" s="117"/>
      <c r="SMB187" s="117"/>
      <c r="SMC187" s="117"/>
      <c r="SMD187" s="117"/>
      <c r="SME187" s="117"/>
      <c r="SMF187" s="117"/>
      <c r="SMG187" s="117"/>
      <c r="SMH187" s="117"/>
      <c r="SMI187" s="117"/>
      <c r="SMJ187" s="117"/>
      <c r="SMK187" s="117"/>
      <c r="SML187" s="117"/>
      <c r="SMM187" s="117"/>
      <c r="SMN187" s="117"/>
      <c r="SMO187" s="117"/>
      <c r="SMP187" s="117"/>
      <c r="SMQ187" s="117"/>
      <c r="SMR187" s="117"/>
      <c r="SMS187" s="117"/>
      <c r="SMT187" s="117"/>
      <c r="SMU187" s="117"/>
      <c r="SMV187" s="117"/>
      <c r="SMW187" s="117"/>
      <c r="SMX187" s="117"/>
      <c r="SMY187" s="117"/>
      <c r="SMZ187" s="117"/>
      <c r="SNA187" s="117"/>
      <c r="SNB187" s="117"/>
      <c r="SNC187" s="117"/>
      <c r="SND187" s="117"/>
      <c r="SNE187" s="117"/>
      <c r="SNF187" s="117"/>
      <c r="SNG187" s="117"/>
      <c r="SNH187" s="117"/>
      <c r="SNI187" s="117"/>
      <c r="SNJ187" s="117"/>
      <c r="SNK187" s="117"/>
      <c r="SNL187" s="117"/>
      <c r="SNM187" s="117"/>
      <c r="SNN187" s="117"/>
      <c r="SNO187" s="117"/>
      <c r="SNP187" s="117"/>
      <c r="SNQ187" s="117"/>
      <c r="SNR187" s="117"/>
      <c r="SNS187" s="117"/>
      <c r="SNT187" s="117"/>
      <c r="SNU187" s="117"/>
      <c r="SNV187" s="117"/>
      <c r="SNW187" s="117"/>
      <c r="SNX187" s="117"/>
      <c r="SNY187" s="117"/>
      <c r="SNZ187" s="117"/>
      <c r="SOA187" s="117"/>
      <c r="SOB187" s="117"/>
      <c r="SOC187" s="117"/>
      <c r="SOD187" s="117"/>
      <c r="SOE187" s="117"/>
      <c r="SOF187" s="117"/>
      <c r="SOG187" s="117"/>
      <c r="SOH187" s="117"/>
      <c r="SOI187" s="117"/>
      <c r="SOJ187" s="117"/>
      <c r="SOK187" s="117"/>
      <c r="SOL187" s="117"/>
      <c r="SOM187" s="117"/>
      <c r="SON187" s="117"/>
      <c r="SOO187" s="117"/>
      <c r="SOP187" s="117"/>
      <c r="SOQ187" s="117"/>
      <c r="SOR187" s="117"/>
      <c r="SOS187" s="117"/>
      <c r="SOT187" s="117"/>
      <c r="SOU187" s="117"/>
      <c r="SOV187" s="117"/>
      <c r="SOW187" s="117"/>
      <c r="SOX187" s="117"/>
      <c r="SOY187" s="117"/>
      <c r="SOZ187" s="117"/>
      <c r="SPA187" s="117"/>
      <c r="SPB187" s="117"/>
      <c r="SPC187" s="117"/>
      <c r="SPD187" s="117"/>
      <c r="SPE187" s="117"/>
      <c r="SPF187" s="117"/>
      <c r="SPG187" s="117"/>
      <c r="SPH187" s="117"/>
      <c r="SPI187" s="117"/>
      <c r="SPJ187" s="117"/>
      <c r="SPK187" s="117"/>
      <c r="SPL187" s="117"/>
      <c r="SPM187" s="117"/>
      <c r="SPN187" s="117"/>
      <c r="SPO187" s="117"/>
      <c r="SPP187" s="117"/>
      <c r="SPQ187" s="117"/>
      <c r="SPR187" s="117"/>
      <c r="SPS187" s="117"/>
      <c r="SPT187" s="117"/>
      <c r="SPU187" s="117"/>
      <c r="SPV187" s="117"/>
      <c r="SPW187" s="117"/>
      <c r="SPX187" s="117"/>
      <c r="SPY187" s="117"/>
      <c r="SPZ187" s="117"/>
      <c r="SQA187" s="117"/>
      <c r="SQB187" s="117"/>
      <c r="SQC187" s="117"/>
      <c r="SQD187" s="117"/>
      <c r="SQE187" s="117"/>
      <c r="SQF187" s="117"/>
      <c r="SQG187" s="117"/>
      <c r="SQH187" s="117"/>
      <c r="SQI187" s="117"/>
      <c r="SQJ187" s="117"/>
      <c r="SQK187" s="117"/>
      <c r="SQL187" s="117"/>
      <c r="SQM187" s="117"/>
      <c r="SQN187" s="117"/>
      <c r="SQO187" s="117"/>
      <c r="SQP187" s="117"/>
      <c r="SQQ187" s="117"/>
      <c r="SQR187" s="117"/>
      <c r="SQS187" s="117"/>
      <c r="SQT187" s="117"/>
      <c r="SQU187" s="117"/>
      <c r="SQV187" s="117"/>
      <c r="SQW187" s="117"/>
      <c r="SQX187" s="117"/>
      <c r="SQY187" s="117"/>
      <c r="SQZ187" s="117"/>
      <c r="SRA187" s="117"/>
      <c r="SRB187" s="117"/>
      <c r="SRC187" s="117"/>
      <c r="SRD187" s="117"/>
      <c r="SRE187" s="117"/>
      <c r="SRF187" s="117"/>
      <c r="SRG187" s="117"/>
      <c r="SRH187" s="117"/>
      <c r="SRI187" s="117"/>
      <c r="SRJ187" s="117"/>
      <c r="SRK187" s="117"/>
      <c r="SRL187" s="117"/>
      <c r="SRM187" s="117"/>
      <c r="SRN187" s="117"/>
      <c r="SRO187" s="117"/>
      <c r="SRP187" s="117"/>
      <c r="SRQ187" s="117"/>
      <c r="SRR187" s="117"/>
      <c r="SRS187" s="117"/>
      <c r="SRT187" s="117"/>
      <c r="SRU187" s="117"/>
      <c r="SRV187" s="117"/>
      <c r="SRW187" s="117"/>
      <c r="SRX187" s="117"/>
      <c r="SRY187" s="117"/>
      <c r="SRZ187" s="117"/>
      <c r="SSA187" s="117"/>
      <c r="SSB187" s="117"/>
      <c r="SSC187" s="117"/>
      <c r="SSD187" s="117"/>
      <c r="SSE187" s="117"/>
      <c r="SSF187" s="117"/>
      <c r="SSG187" s="117"/>
      <c r="SSH187" s="117"/>
      <c r="SSI187" s="117"/>
      <c r="SSJ187" s="117"/>
      <c r="SSK187" s="117"/>
      <c r="SSL187" s="117"/>
      <c r="SSM187" s="117"/>
      <c r="SSN187" s="117"/>
      <c r="SSO187" s="117"/>
      <c r="SSP187" s="117"/>
      <c r="SSQ187" s="117"/>
      <c r="SSR187" s="117"/>
      <c r="SSS187" s="117"/>
      <c r="SST187" s="117"/>
      <c r="SSU187" s="117"/>
      <c r="SSV187" s="117"/>
      <c r="SSW187" s="117"/>
      <c r="SSX187" s="117"/>
      <c r="SSY187" s="117"/>
      <c r="SSZ187" s="117"/>
      <c r="STA187" s="117"/>
      <c r="STB187" s="117"/>
      <c r="STC187" s="117"/>
      <c r="STD187" s="117"/>
      <c r="STE187" s="117"/>
      <c r="STF187" s="117"/>
      <c r="STG187" s="117"/>
      <c r="STH187" s="117"/>
      <c r="STI187" s="117"/>
      <c r="STJ187" s="117"/>
      <c r="STK187" s="117"/>
      <c r="STL187" s="117"/>
      <c r="STM187" s="117"/>
      <c r="STN187" s="117"/>
      <c r="STO187" s="117"/>
      <c r="STP187" s="117"/>
      <c r="STQ187" s="117"/>
      <c r="STR187" s="117"/>
      <c r="STS187" s="117"/>
      <c r="STT187" s="117"/>
      <c r="STU187" s="117"/>
      <c r="STV187" s="117"/>
      <c r="STW187" s="117"/>
      <c r="STX187" s="117"/>
      <c r="STY187" s="117"/>
      <c r="STZ187" s="117"/>
      <c r="SUA187" s="117"/>
      <c r="SUB187" s="117"/>
      <c r="SUC187" s="117"/>
      <c r="SUD187" s="117"/>
      <c r="SUE187" s="117"/>
      <c r="SUF187" s="117"/>
      <c r="SUG187" s="117"/>
      <c r="SUH187" s="117"/>
      <c r="SUI187" s="117"/>
      <c r="SUJ187" s="117"/>
      <c r="SUK187" s="117"/>
      <c r="SUL187" s="117"/>
      <c r="SUM187" s="117"/>
      <c r="SUN187" s="117"/>
      <c r="SUO187" s="117"/>
      <c r="SUP187" s="117"/>
      <c r="SUQ187" s="117"/>
      <c r="SUR187" s="117"/>
      <c r="SUS187" s="117"/>
      <c r="SUT187" s="117"/>
      <c r="SUU187" s="117"/>
      <c r="SUV187" s="117"/>
      <c r="SUW187" s="117"/>
      <c r="SUX187" s="117"/>
      <c r="SUY187" s="117"/>
      <c r="SUZ187" s="117"/>
      <c r="SVA187" s="117"/>
      <c r="SVB187" s="117"/>
      <c r="SVC187" s="117"/>
      <c r="SVD187" s="117"/>
      <c r="SVE187" s="117"/>
      <c r="SVF187" s="117"/>
      <c r="SVG187" s="117"/>
      <c r="SVH187" s="117"/>
      <c r="SVI187" s="117"/>
      <c r="SVJ187" s="117"/>
      <c r="SVK187" s="117"/>
      <c r="SVL187" s="117"/>
      <c r="SVM187" s="117"/>
      <c r="SVN187" s="117"/>
      <c r="SVO187" s="117"/>
      <c r="SVP187" s="117"/>
      <c r="SVQ187" s="117"/>
      <c r="SVR187" s="117"/>
      <c r="SVS187" s="117"/>
      <c r="SVT187" s="117"/>
      <c r="SVU187" s="117"/>
      <c r="SVV187" s="117"/>
      <c r="SVW187" s="117"/>
      <c r="SVX187" s="117"/>
      <c r="SVY187" s="117"/>
      <c r="SVZ187" s="117"/>
      <c r="SWA187" s="117"/>
      <c r="SWB187" s="117"/>
      <c r="SWC187" s="117"/>
      <c r="SWD187" s="117"/>
      <c r="SWE187" s="117"/>
      <c r="SWF187" s="117"/>
      <c r="SWG187" s="117"/>
      <c r="SWH187" s="117"/>
      <c r="SWI187" s="117"/>
      <c r="SWJ187" s="117"/>
      <c r="SWK187" s="117"/>
      <c r="SWL187" s="117"/>
      <c r="SWM187" s="117"/>
      <c r="SWN187" s="117"/>
      <c r="SWO187" s="117"/>
      <c r="SWP187" s="117"/>
      <c r="SWQ187" s="117"/>
      <c r="SWR187" s="117"/>
      <c r="SWS187" s="117"/>
      <c r="SWT187" s="117"/>
      <c r="SWU187" s="117"/>
      <c r="SWV187" s="117"/>
      <c r="SWW187" s="117"/>
      <c r="SWX187" s="117"/>
      <c r="SWY187" s="117"/>
      <c r="SWZ187" s="117"/>
      <c r="SXA187" s="117"/>
      <c r="SXB187" s="117"/>
      <c r="SXC187" s="117"/>
      <c r="SXD187" s="117"/>
      <c r="SXE187" s="117"/>
      <c r="SXF187" s="117"/>
      <c r="SXG187" s="117"/>
      <c r="SXH187" s="117"/>
      <c r="SXI187" s="117"/>
      <c r="SXJ187" s="117"/>
      <c r="SXK187" s="117"/>
      <c r="SXL187" s="117"/>
      <c r="SXM187" s="117"/>
      <c r="SXN187" s="117"/>
      <c r="SXO187" s="117"/>
      <c r="SXP187" s="117"/>
      <c r="SXQ187" s="117"/>
      <c r="SXR187" s="117"/>
      <c r="SXS187" s="117"/>
      <c r="SXT187" s="117"/>
      <c r="SXU187" s="117"/>
      <c r="SXV187" s="117"/>
      <c r="SXW187" s="117"/>
      <c r="SXX187" s="117"/>
      <c r="SXY187" s="117"/>
      <c r="SXZ187" s="117"/>
      <c r="SYA187" s="117"/>
      <c r="SYB187" s="117"/>
      <c r="SYC187" s="117"/>
      <c r="SYD187" s="117"/>
      <c r="SYE187" s="117"/>
      <c r="SYF187" s="117"/>
      <c r="SYG187" s="117"/>
      <c r="SYH187" s="117"/>
      <c r="SYI187" s="117"/>
      <c r="SYJ187" s="117"/>
      <c r="SYK187" s="117"/>
      <c r="SYL187" s="117"/>
      <c r="SYM187" s="117"/>
      <c r="SYN187" s="117"/>
      <c r="SYO187" s="117"/>
      <c r="SYP187" s="117"/>
      <c r="SYQ187" s="117"/>
      <c r="SYR187" s="117"/>
      <c r="SYS187" s="117"/>
      <c r="SYT187" s="117"/>
      <c r="SYU187" s="117"/>
      <c r="SYV187" s="117"/>
      <c r="SYW187" s="117"/>
      <c r="SYX187" s="117"/>
      <c r="SYY187" s="117"/>
      <c r="SYZ187" s="117"/>
      <c r="SZA187" s="117"/>
      <c r="SZB187" s="117"/>
      <c r="SZC187" s="117"/>
      <c r="SZD187" s="117"/>
      <c r="SZE187" s="117"/>
      <c r="SZF187" s="117"/>
      <c r="SZG187" s="117"/>
      <c r="SZH187" s="117"/>
      <c r="SZI187" s="117"/>
      <c r="SZJ187" s="117"/>
      <c r="SZK187" s="117"/>
      <c r="SZL187" s="117"/>
      <c r="SZM187" s="117"/>
      <c r="SZN187" s="117"/>
      <c r="SZO187" s="117"/>
      <c r="SZP187" s="117"/>
      <c r="SZQ187" s="117"/>
      <c r="SZR187" s="117"/>
      <c r="SZS187" s="117"/>
      <c r="SZT187" s="117"/>
      <c r="SZU187" s="117"/>
      <c r="SZV187" s="117"/>
      <c r="SZW187" s="117"/>
      <c r="SZX187" s="117"/>
      <c r="SZY187" s="117"/>
      <c r="SZZ187" s="117"/>
      <c r="TAA187" s="117"/>
      <c r="TAB187" s="117"/>
      <c r="TAC187" s="117"/>
      <c r="TAD187" s="117"/>
      <c r="TAE187" s="117"/>
      <c r="TAF187" s="117"/>
      <c r="TAG187" s="117"/>
      <c r="TAH187" s="117"/>
      <c r="TAI187" s="117"/>
      <c r="TAJ187" s="117"/>
      <c r="TAK187" s="117"/>
      <c r="TAL187" s="117"/>
      <c r="TAM187" s="117"/>
      <c r="TAN187" s="117"/>
      <c r="TAO187" s="117"/>
      <c r="TAP187" s="117"/>
      <c r="TAQ187" s="117"/>
      <c r="TAR187" s="117"/>
      <c r="TAS187" s="117"/>
      <c r="TAT187" s="117"/>
      <c r="TAU187" s="117"/>
      <c r="TAV187" s="117"/>
      <c r="TAW187" s="117"/>
      <c r="TAX187" s="117"/>
      <c r="TAY187" s="117"/>
      <c r="TAZ187" s="117"/>
      <c r="TBA187" s="117"/>
      <c r="TBB187" s="117"/>
      <c r="TBC187" s="117"/>
      <c r="TBD187" s="117"/>
      <c r="TBE187" s="117"/>
      <c r="TBF187" s="117"/>
      <c r="TBG187" s="117"/>
      <c r="TBH187" s="117"/>
      <c r="TBI187" s="117"/>
      <c r="TBJ187" s="117"/>
      <c r="TBK187" s="117"/>
      <c r="TBL187" s="117"/>
      <c r="TBM187" s="117"/>
      <c r="TBN187" s="117"/>
      <c r="TBO187" s="117"/>
      <c r="TBP187" s="117"/>
      <c r="TBQ187" s="117"/>
      <c r="TBR187" s="117"/>
      <c r="TBS187" s="117"/>
      <c r="TBT187" s="117"/>
      <c r="TBU187" s="117"/>
      <c r="TBV187" s="117"/>
      <c r="TBW187" s="117"/>
      <c r="TBX187" s="117"/>
      <c r="TBY187" s="117"/>
      <c r="TBZ187" s="117"/>
      <c r="TCA187" s="117"/>
      <c r="TCB187" s="117"/>
      <c r="TCC187" s="117"/>
      <c r="TCD187" s="117"/>
      <c r="TCE187" s="117"/>
      <c r="TCF187" s="117"/>
      <c r="TCG187" s="117"/>
      <c r="TCH187" s="117"/>
      <c r="TCI187" s="117"/>
      <c r="TCJ187" s="117"/>
      <c r="TCK187" s="117"/>
      <c r="TCL187" s="117"/>
      <c r="TCM187" s="117"/>
      <c r="TCN187" s="117"/>
      <c r="TCO187" s="117"/>
      <c r="TCP187" s="117"/>
      <c r="TCQ187" s="117"/>
      <c r="TCR187" s="117"/>
      <c r="TCS187" s="117"/>
      <c r="TCT187" s="117"/>
      <c r="TCU187" s="117"/>
      <c r="TCV187" s="117"/>
      <c r="TCW187" s="117"/>
      <c r="TCX187" s="117"/>
      <c r="TCY187" s="117"/>
      <c r="TCZ187" s="117"/>
      <c r="TDA187" s="117"/>
      <c r="TDB187" s="117"/>
      <c r="TDC187" s="117"/>
      <c r="TDD187" s="117"/>
      <c r="TDE187" s="117"/>
      <c r="TDF187" s="117"/>
      <c r="TDG187" s="117"/>
      <c r="TDH187" s="117"/>
      <c r="TDI187" s="117"/>
      <c r="TDJ187" s="117"/>
      <c r="TDK187" s="117"/>
      <c r="TDL187" s="117"/>
      <c r="TDM187" s="117"/>
      <c r="TDN187" s="117"/>
      <c r="TDO187" s="117"/>
      <c r="TDP187" s="117"/>
      <c r="TDQ187" s="117"/>
      <c r="TDR187" s="117"/>
      <c r="TDS187" s="117"/>
      <c r="TDT187" s="117"/>
      <c r="TDU187" s="117"/>
      <c r="TDV187" s="117"/>
      <c r="TDW187" s="117"/>
      <c r="TDX187" s="117"/>
      <c r="TDY187" s="117"/>
      <c r="TDZ187" s="117"/>
      <c r="TEA187" s="117"/>
      <c r="TEB187" s="117"/>
      <c r="TEC187" s="117"/>
      <c r="TED187" s="117"/>
      <c r="TEE187" s="117"/>
      <c r="TEF187" s="117"/>
      <c r="TEG187" s="117"/>
      <c r="TEH187" s="117"/>
      <c r="TEI187" s="117"/>
      <c r="TEJ187" s="117"/>
      <c r="TEK187" s="117"/>
      <c r="TEL187" s="117"/>
      <c r="TEM187" s="117"/>
      <c r="TEN187" s="117"/>
      <c r="TEO187" s="117"/>
      <c r="TEP187" s="117"/>
      <c r="TEQ187" s="117"/>
      <c r="TER187" s="117"/>
      <c r="TES187" s="117"/>
      <c r="TET187" s="117"/>
      <c r="TEU187" s="117"/>
      <c r="TEV187" s="117"/>
      <c r="TEW187" s="117"/>
      <c r="TEX187" s="117"/>
      <c r="TEY187" s="117"/>
      <c r="TEZ187" s="117"/>
      <c r="TFA187" s="117"/>
      <c r="TFB187" s="117"/>
      <c r="TFC187" s="117"/>
      <c r="TFD187" s="117"/>
      <c r="TFE187" s="117"/>
      <c r="TFF187" s="117"/>
      <c r="TFG187" s="117"/>
      <c r="TFH187" s="117"/>
      <c r="TFI187" s="117"/>
      <c r="TFJ187" s="117"/>
      <c r="TFK187" s="117"/>
      <c r="TFL187" s="117"/>
      <c r="TFM187" s="117"/>
      <c r="TFN187" s="117"/>
      <c r="TFO187" s="117"/>
      <c r="TFP187" s="117"/>
      <c r="TFQ187" s="117"/>
      <c r="TFR187" s="117"/>
      <c r="TFS187" s="117"/>
      <c r="TFT187" s="117"/>
      <c r="TFU187" s="117"/>
      <c r="TFV187" s="117"/>
      <c r="TFW187" s="117"/>
      <c r="TFX187" s="117"/>
      <c r="TFY187" s="117"/>
      <c r="TFZ187" s="117"/>
      <c r="TGA187" s="117"/>
      <c r="TGB187" s="117"/>
      <c r="TGC187" s="117"/>
      <c r="TGD187" s="117"/>
      <c r="TGE187" s="117"/>
      <c r="TGF187" s="117"/>
      <c r="TGG187" s="117"/>
      <c r="TGH187" s="117"/>
      <c r="TGI187" s="117"/>
      <c r="TGJ187" s="117"/>
      <c r="TGK187" s="117"/>
      <c r="TGL187" s="117"/>
      <c r="TGM187" s="117"/>
      <c r="TGN187" s="117"/>
      <c r="TGO187" s="117"/>
      <c r="TGP187" s="117"/>
      <c r="TGQ187" s="117"/>
      <c r="TGR187" s="117"/>
      <c r="TGS187" s="117"/>
      <c r="TGT187" s="117"/>
      <c r="TGU187" s="117"/>
      <c r="TGV187" s="117"/>
      <c r="TGW187" s="117"/>
      <c r="TGX187" s="117"/>
      <c r="TGY187" s="117"/>
      <c r="TGZ187" s="117"/>
      <c r="THA187" s="117"/>
      <c r="THB187" s="117"/>
      <c r="THC187" s="117"/>
      <c r="THD187" s="117"/>
      <c r="THE187" s="117"/>
      <c r="THF187" s="117"/>
      <c r="THG187" s="117"/>
      <c r="THH187" s="117"/>
      <c r="THI187" s="117"/>
      <c r="THJ187" s="117"/>
      <c r="THK187" s="117"/>
      <c r="THL187" s="117"/>
      <c r="THM187" s="117"/>
      <c r="THN187" s="117"/>
      <c r="THO187" s="117"/>
      <c r="THP187" s="117"/>
      <c r="THQ187" s="117"/>
      <c r="THR187" s="117"/>
      <c r="THS187" s="117"/>
      <c r="THT187" s="117"/>
      <c r="THU187" s="117"/>
      <c r="THV187" s="117"/>
      <c r="THW187" s="117"/>
      <c r="THX187" s="117"/>
      <c r="THY187" s="117"/>
      <c r="THZ187" s="117"/>
      <c r="TIA187" s="117"/>
      <c r="TIB187" s="117"/>
      <c r="TIC187" s="117"/>
      <c r="TID187" s="117"/>
      <c r="TIE187" s="117"/>
      <c r="TIF187" s="117"/>
      <c r="TIG187" s="117"/>
      <c r="TIH187" s="117"/>
      <c r="TII187" s="117"/>
      <c r="TIJ187" s="117"/>
      <c r="TIK187" s="117"/>
      <c r="TIL187" s="117"/>
      <c r="TIM187" s="117"/>
      <c r="TIN187" s="117"/>
      <c r="TIO187" s="117"/>
      <c r="TIP187" s="117"/>
      <c r="TIQ187" s="117"/>
      <c r="TIR187" s="117"/>
      <c r="TIS187" s="117"/>
      <c r="TIT187" s="117"/>
      <c r="TIU187" s="117"/>
      <c r="TIV187" s="117"/>
      <c r="TIW187" s="117"/>
      <c r="TIX187" s="117"/>
      <c r="TIY187" s="117"/>
      <c r="TIZ187" s="117"/>
      <c r="TJA187" s="117"/>
      <c r="TJB187" s="117"/>
      <c r="TJC187" s="117"/>
      <c r="TJD187" s="117"/>
      <c r="TJE187" s="117"/>
      <c r="TJF187" s="117"/>
      <c r="TJG187" s="117"/>
      <c r="TJH187" s="117"/>
      <c r="TJI187" s="117"/>
      <c r="TJJ187" s="117"/>
      <c r="TJK187" s="117"/>
      <c r="TJL187" s="117"/>
      <c r="TJM187" s="117"/>
      <c r="TJN187" s="117"/>
      <c r="TJO187" s="117"/>
      <c r="TJP187" s="117"/>
      <c r="TJQ187" s="117"/>
      <c r="TJR187" s="117"/>
      <c r="TJS187" s="117"/>
      <c r="TJT187" s="117"/>
      <c r="TJU187" s="117"/>
      <c r="TJV187" s="117"/>
      <c r="TJW187" s="117"/>
      <c r="TJX187" s="117"/>
      <c r="TJY187" s="117"/>
      <c r="TJZ187" s="117"/>
      <c r="TKA187" s="117"/>
      <c r="TKB187" s="117"/>
      <c r="TKC187" s="117"/>
      <c r="TKD187" s="117"/>
      <c r="TKE187" s="117"/>
      <c r="TKF187" s="117"/>
      <c r="TKG187" s="117"/>
      <c r="TKH187" s="117"/>
      <c r="TKI187" s="117"/>
      <c r="TKJ187" s="117"/>
      <c r="TKK187" s="117"/>
      <c r="TKL187" s="117"/>
      <c r="TKM187" s="117"/>
      <c r="TKN187" s="117"/>
      <c r="TKO187" s="117"/>
      <c r="TKP187" s="117"/>
      <c r="TKQ187" s="117"/>
      <c r="TKR187" s="117"/>
      <c r="TKS187" s="117"/>
      <c r="TKT187" s="117"/>
      <c r="TKU187" s="117"/>
      <c r="TKV187" s="117"/>
      <c r="TKW187" s="117"/>
      <c r="TKX187" s="117"/>
      <c r="TKY187" s="117"/>
      <c r="TKZ187" s="117"/>
      <c r="TLA187" s="117"/>
      <c r="TLB187" s="117"/>
      <c r="TLC187" s="117"/>
      <c r="TLD187" s="117"/>
      <c r="TLE187" s="117"/>
      <c r="TLF187" s="117"/>
      <c r="TLG187" s="117"/>
      <c r="TLH187" s="117"/>
      <c r="TLI187" s="117"/>
      <c r="TLJ187" s="117"/>
      <c r="TLK187" s="117"/>
      <c r="TLL187" s="117"/>
      <c r="TLM187" s="117"/>
      <c r="TLN187" s="117"/>
      <c r="TLO187" s="117"/>
      <c r="TLP187" s="117"/>
      <c r="TLQ187" s="117"/>
      <c r="TLR187" s="117"/>
      <c r="TLS187" s="117"/>
      <c r="TLT187" s="117"/>
      <c r="TLU187" s="117"/>
      <c r="TLV187" s="117"/>
      <c r="TLW187" s="117"/>
      <c r="TLX187" s="117"/>
      <c r="TLY187" s="117"/>
      <c r="TLZ187" s="117"/>
      <c r="TMA187" s="117"/>
      <c r="TMB187" s="117"/>
      <c r="TMC187" s="117"/>
      <c r="TMD187" s="117"/>
      <c r="TME187" s="117"/>
      <c r="TMF187" s="117"/>
      <c r="TMG187" s="117"/>
      <c r="TMH187" s="117"/>
      <c r="TMI187" s="117"/>
      <c r="TMJ187" s="117"/>
      <c r="TMK187" s="117"/>
      <c r="TML187" s="117"/>
      <c r="TMM187" s="117"/>
      <c r="TMN187" s="117"/>
      <c r="TMO187" s="117"/>
      <c r="TMP187" s="117"/>
      <c r="TMQ187" s="117"/>
      <c r="TMR187" s="117"/>
      <c r="TMS187" s="117"/>
      <c r="TMT187" s="117"/>
      <c r="TMU187" s="117"/>
      <c r="TMV187" s="117"/>
      <c r="TMW187" s="117"/>
      <c r="TMX187" s="117"/>
      <c r="TMY187" s="117"/>
      <c r="TMZ187" s="117"/>
      <c r="TNA187" s="117"/>
      <c r="TNB187" s="117"/>
      <c r="TNC187" s="117"/>
      <c r="TND187" s="117"/>
      <c r="TNE187" s="117"/>
      <c r="TNF187" s="117"/>
      <c r="TNG187" s="117"/>
      <c r="TNH187" s="117"/>
      <c r="TNI187" s="117"/>
      <c r="TNJ187" s="117"/>
      <c r="TNK187" s="117"/>
      <c r="TNL187" s="117"/>
      <c r="TNM187" s="117"/>
      <c r="TNN187" s="117"/>
      <c r="TNO187" s="117"/>
      <c r="TNP187" s="117"/>
      <c r="TNQ187" s="117"/>
      <c r="TNR187" s="117"/>
      <c r="TNS187" s="117"/>
      <c r="TNT187" s="117"/>
      <c r="TNU187" s="117"/>
      <c r="TNV187" s="117"/>
      <c r="TNW187" s="117"/>
      <c r="TNX187" s="117"/>
      <c r="TNY187" s="117"/>
      <c r="TNZ187" s="117"/>
      <c r="TOA187" s="117"/>
      <c r="TOB187" s="117"/>
      <c r="TOC187" s="117"/>
      <c r="TOD187" s="117"/>
      <c r="TOE187" s="117"/>
      <c r="TOF187" s="117"/>
      <c r="TOG187" s="117"/>
      <c r="TOH187" s="117"/>
      <c r="TOI187" s="117"/>
      <c r="TOJ187" s="117"/>
      <c r="TOK187" s="117"/>
      <c r="TOL187" s="117"/>
      <c r="TOM187" s="117"/>
      <c r="TON187" s="117"/>
      <c r="TOO187" s="117"/>
      <c r="TOP187" s="117"/>
      <c r="TOQ187" s="117"/>
      <c r="TOR187" s="117"/>
      <c r="TOS187" s="117"/>
      <c r="TOT187" s="117"/>
      <c r="TOU187" s="117"/>
      <c r="TOV187" s="117"/>
      <c r="TOW187" s="117"/>
      <c r="TOX187" s="117"/>
      <c r="TOY187" s="117"/>
      <c r="TOZ187" s="117"/>
      <c r="TPA187" s="117"/>
      <c r="TPB187" s="117"/>
      <c r="TPC187" s="117"/>
      <c r="TPD187" s="117"/>
      <c r="TPE187" s="117"/>
      <c r="TPF187" s="117"/>
      <c r="TPG187" s="117"/>
      <c r="TPH187" s="117"/>
      <c r="TPI187" s="117"/>
      <c r="TPJ187" s="117"/>
      <c r="TPK187" s="117"/>
      <c r="TPL187" s="117"/>
      <c r="TPM187" s="117"/>
      <c r="TPN187" s="117"/>
      <c r="TPO187" s="117"/>
      <c r="TPP187" s="117"/>
      <c r="TPQ187" s="117"/>
      <c r="TPR187" s="117"/>
      <c r="TPS187" s="117"/>
      <c r="TPT187" s="117"/>
      <c r="TPU187" s="117"/>
      <c r="TPV187" s="117"/>
      <c r="TPW187" s="117"/>
      <c r="TPX187" s="117"/>
      <c r="TPY187" s="117"/>
      <c r="TPZ187" s="117"/>
      <c r="TQA187" s="117"/>
      <c r="TQB187" s="117"/>
      <c r="TQC187" s="117"/>
      <c r="TQD187" s="117"/>
      <c r="TQE187" s="117"/>
      <c r="TQF187" s="117"/>
      <c r="TQG187" s="117"/>
      <c r="TQH187" s="117"/>
      <c r="TQI187" s="117"/>
      <c r="TQJ187" s="117"/>
      <c r="TQK187" s="117"/>
      <c r="TQL187" s="117"/>
      <c r="TQM187" s="117"/>
      <c r="TQN187" s="117"/>
      <c r="TQO187" s="117"/>
      <c r="TQP187" s="117"/>
      <c r="TQQ187" s="117"/>
      <c r="TQR187" s="117"/>
      <c r="TQS187" s="117"/>
      <c r="TQT187" s="117"/>
      <c r="TQU187" s="117"/>
      <c r="TQV187" s="117"/>
      <c r="TQW187" s="117"/>
      <c r="TQX187" s="117"/>
      <c r="TQY187" s="117"/>
      <c r="TQZ187" s="117"/>
      <c r="TRA187" s="117"/>
      <c r="TRB187" s="117"/>
      <c r="TRC187" s="117"/>
      <c r="TRD187" s="117"/>
      <c r="TRE187" s="117"/>
      <c r="TRF187" s="117"/>
      <c r="TRG187" s="117"/>
      <c r="TRH187" s="117"/>
      <c r="TRI187" s="117"/>
      <c r="TRJ187" s="117"/>
      <c r="TRK187" s="117"/>
      <c r="TRL187" s="117"/>
      <c r="TRM187" s="117"/>
      <c r="TRN187" s="117"/>
      <c r="TRO187" s="117"/>
      <c r="TRP187" s="117"/>
      <c r="TRQ187" s="117"/>
      <c r="TRR187" s="117"/>
      <c r="TRS187" s="117"/>
      <c r="TRT187" s="117"/>
      <c r="TRU187" s="117"/>
      <c r="TRV187" s="117"/>
      <c r="TRW187" s="117"/>
      <c r="TRX187" s="117"/>
      <c r="TRY187" s="117"/>
      <c r="TRZ187" s="117"/>
      <c r="TSA187" s="117"/>
      <c r="TSB187" s="117"/>
      <c r="TSC187" s="117"/>
      <c r="TSD187" s="117"/>
      <c r="TSE187" s="117"/>
      <c r="TSF187" s="117"/>
      <c r="TSG187" s="117"/>
      <c r="TSH187" s="117"/>
      <c r="TSI187" s="117"/>
      <c r="TSJ187" s="117"/>
      <c r="TSK187" s="117"/>
      <c r="TSL187" s="117"/>
      <c r="TSM187" s="117"/>
      <c r="TSN187" s="117"/>
      <c r="TSO187" s="117"/>
      <c r="TSP187" s="117"/>
      <c r="TSQ187" s="117"/>
      <c r="TSR187" s="117"/>
      <c r="TSS187" s="117"/>
      <c r="TST187" s="117"/>
      <c r="TSU187" s="117"/>
      <c r="TSV187" s="117"/>
      <c r="TSW187" s="117"/>
      <c r="TSX187" s="117"/>
      <c r="TSY187" s="117"/>
      <c r="TSZ187" s="117"/>
      <c r="TTA187" s="117"/>
      <c r="TTB187" s="117"/>
      <c r="TTC187" s="117"/>
      <c r="TTD187" s="117"/>
      <c r="TTE187" s="117"/>
      <c r="TTF187" s="117"/>
      <c r="TTG187" s="117"/>
      <c r="TTH187" s="117"/>
      <c r="TTI187" s="117"/>
      <c r="TTJ187" s="117"/>
      <c r="TTK187" s="117"/>
      <c r="TTL187" s="117"/>
      <c r="TTM187" s="117"/>
      <c r="TTN187" s="117"/>
      <c r="TTO187" s="117"/>
      <c r="TTP187" s="117"/>
      <c r="TTQ187" s="117"/>
      <c r="TTR187" s="117"/>
      <c r="TTS187" s="117"/>
      <c r="TTT187" s="117"/>
      <c r="TTU187" s="117"/>
      <c r="TTV187" s="117"/>
      <c r="TTW187" s="117"/>
      <c r="TTX187" s="117"/>
      <c r="TTY187" s="117"/>
      <c r="TTZ187" s="117"/>
      <c r="TUA187" s="117"/>
      <c r="TUB187" s="117"/>
      <c r="TUC187" s="117"/>
      <c r="TUD187" s="117"/>
      <c r="TUE187" s="117"/>
      <c r="TUF187" s="117"/>
      <c r="TUG187" s="117"/>
      <c r="TUH187" s="117"/>
      <c r="TUI187" s="117"/>
      <c r="TUJ187" s="117"/>
      <c r="TUK187" s="117"/>
      <c r="TUL187" s="117"/>
      <c r="TUM187" s="117"/>
      <c r="TUN187" s="117"/>
      <c r="TUO187" s="117"/>
      <c r="TUP187" s="117"/>
      <c r="TUQ187" s="117"/>
      <c r="TUR187" s="117"/>
      <c r="TUS187" s="117"/>
      <c r="TUT187" s="117"/>
      <c r="TUU187" s="117"/>
      <c r="TUV187" s="117"/>
      <c r="TUW187" s="117"/>
      <c r="TUX187" s="117"/>
      <c r="TUY187" s="117"/>
      <c r="TUZ187" s="117"/>
      <c r="TVA187" s="117"/>
      <c r="TVB187" s="117"/>
      <c r="TVC187" s="117"/>
      <c r="TVD187" s="117"/>
      <c r="TVE187" s="117"/>
      <c r="TVF187" s="117"/>
      <c r="TVG187" s="117"/>
      <c r="TVH187" s="117"/>
      <c r="TVI187" s="117"/>
      <c r="TVJ187" s="117"/>
      <c r="TVK187" s="117"/>
      <c r="TVL187" s="117"/>
      <c r="TVM187" s="117"/>
      <c r="TVN187" s="117"/>
      <c r="TVO187" s="117"/>
      <c r="TVP187" s="117"/>
      <c r="TVQ187" s="117"/>
      <c r="TVR187" s="117"/>
      <c r="TVS187" s="117"/>
      <c r="TVT187" s="117"/>
      <c r="TVU187" s="117"/>
      <c r="TVV187" s="117"/>
      <c r="TVW187" s="117"/>
      <c r="TVX187" s="117"/>
      <c r="TVY187" s="117"/>
      <c r="TVZ187" s="117"/>
      <c r="TWA187" s="117"/>
      <c r="TWB187" s="117"/>
      <c r="TWC187" s="117"/>
      <c r="TWD187" s="117"/>
      <c r="TWE187" s="117"/>
      <c r="TWF187" s="117"/>
      <c r="TWG187" s="117"/>
      <c r="TWH187" s="117"/>
      <c r="TWI187" s="117"/>
      <c r="TWJ187" s="117"/>
      <c r="TWK187" s="117"/>
      <c r="TWL187" s="117"/>
      <c r="TWM187" s="117"/>
      <c r="TWN187" s="117"/>
      <c r="TWO187" s="117"/>
      <c r="TWP187" s="117"/>
      <c r="TWQ187" s="117"/>
      <c r="TWR187" s="117"/>
      <c r="TWS187" s="117"/>
      <c r="TWT187" s="117"/>
      <c r="TWU187" s="117"/>
      <c r="TWV187" s="117"/>
      <c r="TWW187" s="117"/>
      <c r="TWX187" s="117"/>
      <c r="TWY187" s="117"/>
      <c r="TWZ187" s="117"/>
      <c r="TXA187" s="117"/>
      <c r="TXB187" s="117"/>
      <c r="TXC187" s="117"/>
      <c r="TXD187" s="117"/>
      <c r="TXE187" s="117"/>
      <c r="TXF187" s="117"/>
      <c r="TXG187" s="117"/>
      <c r="TXH187" s="117"/>
      <c r="TXI187" s="117"/>
      <c r="TXJ187" s="117"/>
      <c r="TXK187" s="117"/>
      <c r="TXL187" s="117"/>
      <c r="TXM187" s="117"/>
      <c r="TXN187" s="117"/>
      <c r="TXO187" s="117"/>
      <c r="TXP187" s="117"/>
      <c r="TXQ187" s="117"/>
      <c r="TXR187" s="117"/>
      <c r="TXS187" s="117"/>
      <c r="TXT187" s="117"/>
      <c r="TXU187" s="117"/>
      <c r="TXV187" s="117"/>
      <c r="TXW187" s="117"/>
      <c r="TXX187" s="117"/>
      <c r="TXY187" s="117"/>
      <c r="TXZ187" s="117"/>
      <c r="TYA187" s="117"/>
      <c r="TYB187" s="117"/>
      <c r="TYC187" s="117"/>
      <c r="TYD187" s="117"/>
      <c r="TYE187" s="117"/>
      <c r="TYF187" s="117"/>
      <c r="TYG187" s="117"/>
      <c r="TYH187" s="117"/>
      <c r="TYI187" s="117"/>
      <c r="TYJ187" s="117"/>
      <c r="TYK187" s="117"/>
      <c r="TYL187" s="117"/>
      <c r="TYM187" s="117"/>
      <c r="TYN187" s="117"/>
      <c r="TYO187" s="117"/>
      <c r="TYP187" s="117"/>
      <c r="TYQ187" s="117"/>
      <c r="TYR187" s="117"/>
      <c r="TYS187" s="117"/>
      <c r="TYT187" s="117"/>
      <c r="TYU187" s="117"/>
      <c r="TYV187" s="117"/>
      <c r="TYW187" s="117"/>
      <c r="TYX187" s="117"/>
      <c r="TYY187" s="117"/>
      <c r="TYZ187" s="117"/>
      <c r="TZA187" s="117"/>
      <c r="TZB187" s="117"/>
      <c r="TZC187" s="117"/>
      <c r="TZD187" s="117"/>
      <c r="TZE187" s="117"/>
      <c r="TZF187" s="117"/>
      <c r="TZG187" s="117"/>
      <c r="TZH187" s="117"/>
      <c r="TZI187" s="117"/>
      <c r="TZJ187" s="117"/>
      <c r="TZK187" s="117"/>
      <c r="TZL187" s="117"/>
      <c r="TZM187" s="117"/>
      <c r="TZN187" s="117"/>
      <c r="TZO187" s="117"/>
      <c r="TZP187" s="117"/>
      <c r="TZQ187" s="117"/>
      <c r="TZR187" s="117"/>
      <c r="TZS187" s="117"/>
      <c r="TZT187" s="117"/>
      <c r="TZU187" s="117"/>
      <c r="TZV187" s="117"/>
      <c r="TZW187" s="117"/>
      <c r="TZX187" s="117"/>
      <c r="TZY187" s="117"/>
      <c r="TZZ187" s="117"/>
      <c r="UAA187" s="117"/>
      <c r="UAB187" s="117"/>
      <c r="UAC187" s="117"/>
      <c r="UAD187" s="117"/>
      <c r="UAE187" s="117"/>
      <c r="UAF187" s="117"/>
      <c r="UAG187" s="117"/>
      <c r="UAH187" s="117"/>
      <c r="UAI187" s="117"/>
      <c r="UAJ187" s="117"/>
      <c r="UAK187" s="117"/>
      <c r="UAL187" s="117"/>
      <c r="UAM187" s="117"/>
      <c r="UAN187" s="117"/>
      <c r="UAO187" s="117"/>
      <c r="UAP187" s="117"/>
      <c r="UAQ187" s="117"/>
      <c r="UAR187" s="117"/>
      <c r="UAS187" s="117"/>
      <c r="UAT187" s="117"/>
      <c r="UAU187" s="117"/>
      <c r="UAV187" s="117"/>
      <c r="UAW187" s="117"/>
      <c r="UAX187" s="117"/>
      <c r="UAY187" s="117"/>
      <c r="UAZ187" s="117"/>
      <c r="UBA187" s="117"/>
      <c r="UBB187" s="117"/>
      <c r="UBC187" s="117"/>
      <c r="UBD187" s="117"/>
      <c r="UBE187" s="117"/>
      <c r="UBF187" s="117"/>
      <c r="UBG187" s="117"/>
      <c r="UBH187" s="117"/>
      <c r="UBI187" s="117"/>
      <c r="UBJ187" s="117"/>
      <c r="UBK187" s="117"/>
      <c r="UBL187" s="117"/>
      <c r="UBM187" s="117"/>
      <c r="UBN187" s="117"/>
      <c r="UBO187" s="117"/>
      <c r="UBP187" s="117"/>
      <c r="UBQ187" s="117"/>
      <c r="UBR187" s="117"/>
      <c r="UBS187" s="117"/>
      <c r="UBT187" s="117"/>
      <c r="UBU187" s="117"/>
      <c r="UBV187" s="117"/>
      <c r="UBW187" s="117"/>
      <c r="UBX187" s="117"/>
      <c r="UBY187" s="117"/>
      <c r="UBZ187" s="117"/>
      <c r="UCA187" s="117"/>
      <c r="UCB187" s="117"/>
      <c r="UCC187" s="117"/>
      <c r="UCD187" s="117"/>
      <c r="UCE187" s="117"/>
      <c r="UCF187" s="117"/>
      <c r="UCG187" s="117"/>
      <c r="UCH187" s="117"/>
      <c r="UCI187" s="117"/>
      <c r="UCJ187" s="117"/>
      <c r="UCK187" s="117"/>
      <c r="UCL187" s="117"/>
      <c r="UCM187" s="117"/>
      <c r="UCN187" s="117"/>
      <c r="UCO187" s="117"/>
      <c r="UCP187" s="117"/>
      <c r="UCQ187" s="117"/>
      <c r="UCR187" s="117"/>
      <c r="UCS187" s="117"/>
      <c r="UCT187" s="117"/>
      <c r="UCU187" s="117"/>
      <c r="UCV187" s="117"/>
      <c r="UCW187" s="117"/>
      <c r="UCX187" s="117"/>
      <c r="UCY187" s="117"/>
      <c r="UCZ187" s="117"/>
      <c r="UDA187" s="117"/>
      <c r="UDB187" s="117"/>
      <c r="UDC187" s="117"/>
      <c r="UDD187" s="117"/>
      <c r="UDE187" s="117"/>
      <c r="UDF187" s="117"/>
      <c r="UDG187" s="117"/>
      <c r="UDH187" s="117"/>
      <c r="UDI187" s="117"/>
      <c r="UDJ187" s="117"/>
      <c r="UDK187" s="117"/>
      <c r="UDL187" s="117"/>
      <c r="UDM187" s="117"/>
      <c r="UDN187" s="117"/>
      <c r="UDO187" s="117"/>
      <c r="UDP187" s="117"/>
      <c r="UDQ187" s="117"/>
      <c r="UDR187" s="117"/>
      <c r="UDS187" s="117"/>
      <c r="UDT187" s="117"/>
      <c r="UDU187" s="117"/>
      <c r="UDV187" s="117"/>
      <c r="UDW187" s="117"/>
      <c r="UDX187" s="117"/>
      <c r="UDY187" s="117"/>
      <c r="UDZ187" s="117"/>
      <c r="UEA187" s="117"/>
      <c r="UEB187" s="117"/>
      <c r="UEC187" s="117"/>
      <c r="UED187" s="117"/>
      <c r="UEE187" s="117"/>
      <c r="UEF187" s="117"/>
      <c r="UEG187" s="117"/>
      <c r="UEH187" s="117"/>
      <c r="UEI187" s="117"/>
      <c r="UEJ187" s="117"/>
      <c r="UEK187" s="117"/>
      <c r="UEL187" s="117"/>
      <c r="UEM187" s="117"/>
      <c r="UEN187" s="117"/>
      <c r="UEO187" s="117"/>
      <c r="UEP187" s="117"/>
      <c r="UEQ187" s="117"/>
      <c r="UER187" s="117"/>
      <c r="UES187" s="117"/>
      <c r="UET187" s="117"/>
      <c r="UEU187" s="117"/>
      <c r="UEV187" s="117"/>
      <c r="UEW187" s="117"/>
      <c r="UEX187" s="117"/>
      <c r="UEY187" s="117"/>
      <c r="UEZ187" s="117"/>
      <c r="UFA187" s="117"/>
      <c r="UFB187" s="117"/>
      <c r="UFC187" s="117"/>
      <c r="UFD187" s="117"/>
      <c r="UFE187" s="117"/>
      <c r="UFF187" s="117"/>
      <c r="UFG187" s="117"/>
      <c r="UFH187" s="117"/>
      <c r="UFI187" s="117"/>
      <c r="UFJ187" s="117"/>
      <c r="UFK187" s="117"/>
      <c r="UFL187" s="117"/>
      <c r="UFM187" s="117"/>
      <c r="UFN187" s="117"/>
      <c r="UFO187" s="117"/>
      <c r="UFP187" s="117"/>
      <c r="UFQ187" s="117"/>
      <c r="UFR187" s="117"/>
      <c r="UFS187" s="117"/>
      <c r="UFT187" s="117"/>
      <c r="UFU187" s="117"/>
      <c r="UFV187" s="117"/>
      <c r="UFW187" s="117"/>
      <c r="UFX187" s="117"/>
      <c r="UFY187" s="117"/>
      <c r="UFZ187" s="117"/>
      <c r="UGA187" s="117"/>
      <c r="UGB187" s="117"/>
      <c r="UGC187" s="117"/>
      <c r="UGD187" s="117"/>
      <c r="UGE187" s="117"/>
      <c r="UGF187" s="117"/>
      <c r="UGG187" s="117"/>
      <c r="UGH187" s="117"/>
      <c r="UGI187" s="117"/>
      <c r="UGJ187" s="117"/>
      <c r="UGK187" s="117"/>
      <c r="UGL187" s="117"/>
      <c r="UGM187" s="117"/>
      <c r="UGN187" s="117"/>
      <c r="UGO187" s="117"/>
      <c r="UGP187" s="117"/>
      <c r="UGQ187" s="117"/>
      <c r="UGR187" s="117"/>
      <c r="UGS187" s="117"/>
      <c r="UGT187" s="117"/>
      <c r="UGU187" s="117"/>
      <c r="UGV187" s="117"/>
      <c r="UGW187" s="117"/>
      <c r="UGX187" s="117"/>
      <c r="UGY187" s="117"/>
      <c r="UGZ187" s="117"/>
      <c r="UHA187" s="117"/>
      <c r="UHB187" s="117"/>
      <c r="UHC187" s="117"/>
      <c r="UHD187" s="117"/>
      <c r="UHE187" s="117"/>
      <c r="UHF187" s="117"/>
      <c r="UHG187" s="117"/>
      <c r="UHH187" s="117"/>
      <c r="UHI187" s="117"/>
      <c r="UHJ187" s="117"/>
      <c r="UHK187" s="117"/>
      <c r="UHL187" s="117"/>
      <c r="UHM187" s="117"/>
      <c r="UHN187" s="117"/>
      <c r="UHO187" s="117"/>
      <c r="UHP187" s="117"/>
      <c r="UHQ187" s="117"/>
      <c r="UHR187" s="117"/>
      <c r="UHS187" s="117"/>
      <c r="UHT187" s="117"/>
      <c r="UHU187" s="117"/>
      <c r="UHV187" s="117"/>
      <c r="UHW187" s="117"/>
      <c r="UHX187" s="117"/>
      <c r="UHY187" s="117"/>
      <c r="UHZ187" s="117"/>
      <c r="UIA187" s="117"/>
      <c r="UIB187" s="117"/>
      <c r="UIC187" s="117"/>
      <c r="UID187" s="117"/>
      <c r="UIE187" s="117"/>
      <c r="UIF187" s="117"/>
      <c r="UIG187" s="117"/>
      <c r="UIH187" s="117"/>
      <c r="UII187" s="117"/>
      <c r="UIJ187" s="117"/>
      <c r="UIK187" s="117"/>
      <c r="UIL187" s="117"/>
      <c r="UIM187" s="117"/>
      <c r="UIN187" s="117"/>
      <c r="UIO187" s="117"/>
      <c r="UIP187" s="117"/>
      <c r="UIQ187" s="117"/>
      <c r="UIR187" s="117"/>
      <c r="UIS187" s="117"/>
      <c r="UIT187" s="117"/>
      <c r="UIU187" s="117"/>
      <c r="UIV187" s="117"/>
      <c r="UIW187" s="117"/>
      <c r="UIX187" s="117"/>
      <c r="UIY187" s="117"/>
      <c r="UIZ187" s="117"/>
      <c r="UJA187" s="117"/>
      <c r="UJB187" s="117"/>
      <c r="UJC187" s="117"/>
      <c r="UJD187" s="117"/>
      <c r="UJE187" s="117"/>
      <c r="UJF187" s="117"/>
      <c r="UJG187" s="117"/>
      <c r="UJH187" s="117"/>
      <c r="UJI187" s="117"/>
      <c r="UJJ187" s="117"/>
      <c r="UJK187" s="117"/>
      <c r="UJL187" s="117"/>
      <c r="UJM187" s="117"/>
      <c r="UJN187" s="117"/>
      <c r="UJO187" s="117"/>
      <c r="UJP187" s="117"/>
      <c r="UJQ187" s="117"/>
      <c r="UJR187" s="117"/>
      <c r="UJS187" s="117"/>
      <c r="UJT187" s="117"/>
      <c r="UJU187" s="117"/>
      <c r="UJV187" s="117"/>
      <c r="UJW187" s="117"/>
      <c r="UJX187" s="117"/>
      <c r="UJY187" s="117"/>
      <c r="UJZ187" s="117"/>
      <c r="UKA187" s="117"/>
      <c r="UKB187" s="117"/>
      <c r="UKC187" s="117"/>
      <c r="UKD187" s="117"/>
      <c r="UKE187" s="117"/>
      <c r="UKF187" s="117"/>
      <c r="UKG187" s="117"/>
      <c r="UKH187" s="117"/>
      <c r="UKI187" s="117"/>
      <c r="UKJ187" s="117"/>
      <c r="UKK187" s="117"/>
      <c r="UKL187" s="117"/>
      <c r="UKM187" s="117"/>
      <c r="UKN187" s="117"/>
      <c r="UKO187" s="117"/>
      <c r="UKP187" s="117"/>
      <c r="UKQ187" s="117"/>
      <c r="UKR187" s="117"/>
      <c r="UKS187" s="117"/>
      <c r="UKT187" s="117"/>
      <c r="UKU187" s="117"/>
      <c r="UKV187" s="117"/>
      <c r="UKW187" s="117"/>
      <c r="UKX187" s="117"/>
      <c r="UKY187" s="117"/>
      <c r="UKZ187" s="117"/>
      <c r="ULA187" s="117"/>
      <c r="ULB187" s="117"/>
      <c r="ULC187" s="117"/>
      <c r="ULD187" s="117"/>
      <c r="ULE187" s="117"/>
      <c r="ULF187" s="117"/>
      <c r="ULG187" s="117"/>
      <c r="ULH187" s="117"/>
      <c r="ULI187" s="117"/>
      <c r="ULJ187" s="117"/>
      <c r="ULK187" s="117"/>
      <c r="ULL187" s="117"/>
      <c r="ULM187" s="117"/>
      <c r="ULN187" s="117"/>
      <c r="ULO187" s="117"/>
      <c r="ULP187" s="117"/>
      <c r="ULQ187" s="117"/>
      <c r="ULR187" s="117"/>
      <c r="ULS187" s="117"/>
      <c r="ULT187" s="117"/>
      <c r="ULU187" s="117"/>
      <c r="ULV187" s="117"/>
      <c r="ULW187" s="117"/>
      <c r="ULX187" s="117"/>
      <c r="ULY187" s="117"/>
      <c r="ULZ187" s="117"/>
      <c r="UMA187" s="117"/>
      <c r="UMB187" s="117"/>
      <c r="UMC187" s="117"/>
      <c r="UMD187" s="117"/>
      <c r="UME187" s="117"/>
      <c r="UMF187" s="117"/>
      <c r="UMG187" s="117"/>
      <c r="UMH187" s="117"/>
      <c r="UMI187" s="117"/>
      <c r="UMJ187" s="117"/>
      <c r="UMK187" s="117"/>
      <c r="UML187" s="117"/>
      <c r="UMM187" s="117"/>
      <c r="UMN187" s="117"/>
      <c r="UMO187" s="117"/>
      <c r="UMP187" s="117"/>
      <c r="UMQ187" s="117"/>
      <c r="UMR187" s="117"/>
      <c r="UMS187" s="117"/>
      <c r="UMT187" s="117"/>
      <c r="UMU187" s="117"/>
      <c r="UMV187" s="117"/>
      <c r="UMW187" s="117"/>
      <c r="UMX187" s="117"/>
      <c r="UMY187" s="117"/>
      <c r="UMZ187" s="117"/>
      <c r="UNA187" s="117"/>
      <c r="UNB187" s="117"/>
      <c r="UNC187" s="117"/>
      <c r="UND187" s="117"/>
      <c r="UNE187" s="117"/>
      <c r="UNF187" s="117"/>
      <c r="UNG187" s="117"/>
      <c r="UNH187" s="117"/>
      <c r="UNI187" s="117"/>
      <c r="UNJ187" s="117"/>
      <c r="UNK187" s="117"/>
      <c r="UNL187" s="117"/>
      <c r="UNM187" s="117"/>
      <c r="UNN187" s="117"/>
      <c r="UNO187" s="117"/>
      <c r="UNP187" s="117"/>
      <c r="UNQ187" s="117"/>
      <c r="UNR187" s="117"/>
      <c r="UNS187" s="117"/>
      <c r="UNT187" s="117"/>
      <c r="UNU187" s="117"/>
      <c r="UNV187" s="117"/>
      <c r="UNW187" s="117"/>
      <c r="UNX187" s="117"/>
      <c r="UNY187" s="117"/>
      <c r="UNZ187" s="117"/>
      <c r="UOA187" s="117"/>
      <c r="UOB187" s="117"/>
      <c r="UOC187" s="117"/>
      <c r="UOD187" s="117"/>
      <c r="UOE187" s="117"/>
      <c r="UOF187" s="117"/>
      <c r="UOG187" s="117"/>
      <c r="UOH187" s="117"/>
      <c r="UOI187" s="117"/>
      <c r="UOJ187" s="117"/>
      <c r="UOK187" s="117"/>
      <c r="UOL187" s="117"/>
      <c r="UOM187" s="117"/>
      <c r="UON187" s="117"/>
      <c r="UOO187" s="117"/>
      <c r="UOP187" s="117"/>
      <c r="UOQ187" s="117"/>
      <c r="UOR187" s="117"/>
      <c r="UOS187" s="117"/>
      <c r="UOT187" s="117"/>
      <c r="UOU187" s="117"/>
      <c r="UOV187" s="117"/>
      <c r="UOW187" s="117"/>
      <c r="UOX187" s="117"/>
      <c r="UOY187" s="117"/>
      <c r="UOZ187" s="117"/>
      <c r="UPA187" s="117"/>
      <c r="UPB187" s="117"/>
      <c r="UPC187" s="117"/>
      <c r="UPD187" s="117"/>
      <c r="UPE187" s="117"/>
      <c r="UPF187" s="117"/>
      <c r="UPG187" s="117"/>
      <c r="UPH187" s="117"/>
      <c r="UPI187" s="117"/>
      <c r="UPJ187" s="117"/>
      <c r="UPK187" s="117"/>
      <c r="UPL187" s="117"/>
      <c r="UPM187" s="117"/>
      <c r="UPN187" s="117"/>
      <c r="UPO187" s="117"/>
      <c r="UPP187" s="117"/>
      <c r="UPQ187" s="117"/>
      <c r="UPR187" s="117"/>
      <c r="UPS187" s="117"/>
      <c r="UPT187" s="117"/>
      <c r="UPU187" s="117"/>
      <c r="UPV187" s="117"/>
      <c r="UPW187" s="117"/>
      <c r="UPX187" s="117"/>
      <c r="UPY187" s="117"/>
      <c r="UPZ187" s="117"/>
      <c r="UQA187" s="117"/>
      <c r="UQB187" s="117"/>
      <c r="UQC187" s="117"/>
      <c r="UQD187" s="117"/>
      <c r="UQE187" s="117"/>
      <c r="UQF187" s="117"/>
      <c r="UQG187" s="117"/>
      <c r="UQH187" s="117"/>
      <c r="UQI187" s="117"/>
      <c r="UQJ187" s="117"/>
      <c r="UQK187" s="117"/>
      <c r="UQL187" s="117"/>
      <c r="UQM187" s="117"/>
      <c r="UQN187" s="117"/>
      <c r="UQO187" s="117"/>
      <c r="UQP187" s="117"/>
      <c r="UQQ187" s="117"/>
      <c r="UQR187" s="117"/>
      <c r="UQS187" s="117"/>
      <c r="UQT187" s="117"/>
      <c r="UQU187" s="117"/>
      <c r="UQV187" s="117"/>
      <c r="UQW187" s="117"/>
      <c r="UQX187" s="117"/>
      <c r="UQY187" s="117"/>
      <c r="UQZ187" s="117"/>
      <c r="URA187" s="117"/>
      <c r="URB187" s="117"/>
      <c r="URC187" s="117"/>
      <c r="URD187" s="117"/>
      <c r="URE187" s="117"/>
      <c r="URF187" s="117"/>
      <c r="URG187" s="117"/>
      <c r="URH187" s="117"/>
      <c r="URI187" s="117"/>
      <c r="URJ187" s="117"/>
      <c r="URK187" s="117"/>
      <c r="URL187" s="117"/>
      <c r="URM187" s="117"/>
      <c r="URN187" s="117"/>
      <c r="URO187" s="117"/>
      <c r="URP187" s="117"/>
      <c r="URQ187" s="117"/>
      <c r="URR187" s="117"/>
      <c r="URS187" s="117"/>
      <c r="URT187" s="117"/>
      <c r="URU187" s="117"/>
      <c r="URV187" s="117"/>
      <c r="URW187" s="117"/>
      <c r="URX187" s="117"/>
      <c r="URY187" s="117"/>
      <c r="URZ187" s="117"/>
      <c r="USA187" s="117"/>
      <c r="USB187" s="117"/>
      <c r="USC187" s="117"/>
      <c r="USD187" s="117"/>
      <c r="USE187" s="117"/>
      <c r="USF187" s="117"/>
      <c r="USG187" s="117"/>
      <c r="USH187" s="117"/>
      <c r="USI187" s="117"/>
      <c r="USJ187" s="117"/>
      <c r="USK187" s="117"/>
      <c r="USL187" s="117"/>
      <c r="USM187" s="117"/>
      <c r="USN187" s="117"/>
      <c r="USO187" s="117"/>
      <c r="USP187" s="117"/>
      <c r="USQ187" s="117"/>
      <c r="USR187" s="117"/>
      <c r="USS187" s="117"/>
      <c r="UST187" s="117"/>
      <c r="USU187" s="117"/>
      <c r="USV187" s="117"/>
      <c r="USW187" s="117"/>
      <c r="USX187" s="117"/>
      <c r="USY187" s="117"/>
      <c r="USZ187" s="117"/>
      <c r="UTA187" s="117"/>
      <c r="UTB187" s="117"/>
      <c r="UTC187" s="117"/>
      <c r="UTD187" s="117"/>
      <c r="UTE187" s="117"/>
      <c r="UTF187" s="117"/>
      <c r="UTG187" s="117"/>
      <c r="UTH187" s="117"/>
      <c r="UTI187" s="117"/>
      <c r="UTJ187" s="117"/>
      <c r="UTK187" s="117"/>
      <c r="UTL187" s="117"/>
      <c r="UTM187" s="117"/>
      <c r="UTN187" s="117"/>
      <c r="UTO187" s="117"/>
      <c r="UTP187" s="117"/>
      <c r="UTQ187" s="117"/>
      <c r="UTR187" s="117"/>
      <c r="UTS187" s="117"/>
      <c r="UTT187" s="117"/>
      <c r="UTU187" s="117"/>
      <c r="UTV187" s="117"/>
      <c r="UTW187" s="117"/>
      <c r="UTX187" s="117"/>
      <c r="UTY187" s="117"/>
      <c r="UTZ187" s="117"/>
      <c r="UUA187" s="117"/>
      <c r="UUB187" s="117"/>
      <c r="UUC187" s="117"/>
      <c r="UUD187" s="117"/>
      <c r="UUE187" s="117"/>
      <c r="UUF187" s="117"/>
      <c r="UUG187" s="117"/>
      <c r="UUH187" s="117"/>
      <c r="UUI187" s="117"/>
      <c r="UUJ187" s="117"/>
      <c r="UUK187" s="117"/>
      <c r="UUL187" s="117"/>
      <c r="UUM187" s="117"/>
      <c r="UUN187" s="117"/>
      <c r="UUO187" s="117"/>
      <c r="UUP187" s="117"/>
      <c r="UUQ187" s="117"/>
      <c r="UUR187" s="117"/>
      <c r="UUS187" s="117"/>
      <c r="UUT187" s="117"/>
      <c r="UUU187" s="117"/>
      <c r="UUV187" s="117"/>
      <c r="UUW187" s="117"/>
      <c r="UUX187" s="117"/>
      <c r="UUY187" s="117"/>
      <c r="UUZ187" s="117"/>
      <c r="UVA187" s="117"/>
      <c r="UVB187" s="117"/>
      <c r="UVC187" s="117"/>
      <c r="UVD187" s="117"/>
      <c r="UVE187" s="117"/>
      <c r="UVF187" s="117"/>
      <c r="UVG187" s="117"/>
      <c r="UVH187" s="117"/>
      <c r="UVI187" s="117"/>
      <c r="UVJ187" s="117"/>
      <c r="UVK187" s="117"/>
      <c r="UVL187" s="117"/>
      <c r="UVM187" s="117"/>
      <c r="UVN187" s="117"/>
      <c r="UVO187" s="117"/>
      <c r="UVP187" s="117"/>
      <c r="UVQ187" s="117"/>
      <c r="UVR187" s="117"/>
      <c r="UVS187" s="117"/>
      <c r="UVT187" s="117"/>
      <c r="UVU187" s="117"/>
      <c r="UVV187" s="117"/>
      <c r="UVW187" s="117"/>
      <c r="UVX187" s="117"/>
      <c r="UVY187" s="117"/>
      <c r="UVZ187" s="117"/>
      <c r="UWA187" s="117"/>
      <c r="UWB187" s="117"/>
      <c r="UWC187" s="117"/>
      <c r="UWD187" s="117"/>
      <c r="UWE187" s="117"/>
      <c r="UWF187" s="117"/>
      <c r="UWG187" s="117"/>
      <c r="UWH187" s="117"/>
      <c r="UWI187" s="117"/>
      <c r="UWJ187" s="117"/>
      <c r="UWK187" s="117"/>
      <c r="UWL187" s="117"/>
      <c r="UWM187" s="117"/>
      <c r="UWN187" s="117"/>
      <c r="UWO187" s="117"/>
      <c r="UWP187" s="117"/>
      <c r="UWQ187" s="117"/>
      <c r="UWR187" s="117"/>
      <c r="UWS187" s="117"/>
      <c r="UWT187" s="117"/>
      <c r="UWU187" s="117"/>
      <c r="UWV187" s="117"/>
      <c r="UWW187" s="117"/>
      <c r="UWX187" s="117"/>
      <c r="UWY187" s="117"/>
      <c r="UWZ187" s="117"/>
      <c r="UXA187" s="117"/>
      <c r="UXB187" s="117"/>
      <c r="UXC187" s="117"/>
      <c r="UXD187" s="117"/>
      <c r="UXE187" s="117"/>
      <c r="UXF187" s="117"/>
      <c r="UXG187" s="117"/>
      <c r="UXH187" s="117"/>
      <c r="UXI187" s="117"/>
      <c r="UXJ187" s="117"/>
      <c r="UXK187" s="117"/>
      <c r="UXL187" s="117"/>
      <c r="UXM187" s="117"/>
      <c r="UXN187" s="117"/>
      <c r="UXO187" s="117"/>
      <c r="UXP187" s="117"/>
      <c r="UXQ187" s="117"/>
      <c r="UXR187" s="117"/>
      <c r="UXS187" s="117"/>
      <c r="UXT187" s="117"/>
      <c r="UXU187" s="117"/>
      <c r="UXV187" s="117"/>
      <c r="UXW187" s="117"/>
      <c r="UXX187" s="117"/>
      <c r="UXY187" s="117"/>
      <c r="UXZ187" s="117"/>
      <c r="UYA187" s="117"/>
      <c r="UYB187" s="117"/>
      <c r="UYC187" s="117"/>
      <c r="UYD187" s="117"/>
      <c r="UYE187" s="117"/>
      <c r="UYF187" s="117"/>
      <c r="UYG187" s="117"/>
      <c r="UYH187" s="117"/>
      <c r="UYI187" s="117"/>
      <c r="UYJ187" s="117"/>
      <c r="UYK187" s="117"/>
      <c r="UYL187" s="117"/>
      <c r="UYM187" s="117"/>
      <c r="UYN187" s="117"/>
      <c r="UYO187" s="117"/>
      <c r="UYP187" s="117"/>
      <c r="UYQ187" s="117"/>
      <c r="UYR187" s="117"/>
      <c r="UYS187" s="117"/>
      <c r="UYT187" s="117"/>
      <c r="UYU187" s="117"/>
      <c r="UYV187" s="117"/>
      <c r="UYW187" s="117"/>
      <c r="UYX187" s="117"/>
      <c r="UYY187" s="117"/>
      <c r="UYZ187" s="117"/>
      <c r="UZA187" s="117"/>
      <c r="UZB187" s="117"/>
      <c r="UZC187" s="117"/>
      <c r="UZD187" s="117"/>
      <c r="UZE187" s="117"/>
      <c r="UZF187" s="117"/>
      <c r="UZG187" s="117"/>
      <c r="UZH187" s="117"/>
      <c r="UZI187" s="117"/>
      <c r="UZJ187" s="117"/>
      <c r="UZK187" s="117"/>
      <c r="UZL187" s="117"/>
      <c r="UZM187" s="117"/>
      <c r="UZN187" s="117"/>
      <c r="UZO187" s="117"/>
      <c r="UZP187" s="117"/>
      <c r="UZQ187" s="117"/>
      <c r="UZR187" s="117"/>
      <c r="UZS187" s="117"/>
      <c r="UZT187" s="117"/>
      <c r="UZU187" s="117"/>
      <c r="UZV187" s="117"/>
      <c r="UZW187" s="117"/>
      <c r="UZX187" s="117"/>
      <c r="UZY187" s="117"/>
      <c r="UZZ187" s="117"/>
      <c r="VAA187" s="117"/>
      <c r="VAB187" s="117"/>
      <c r="VAC187" s="117"/>
      <c r="VAD187" s="117"/>
      <c r="VAE187" s="117"/>
      <c r="VAF187" s="117"/>
      <c r="VAG187" s="117"/>
      <c r="VAH187" s="117"/>
      <c r="VAI187" s="117"/>
      <c r="VAJ187" s="117"/>
      <c r="VAK187" s="117"/>
      <c r="VAL187" s="117"/>
      <c r="VAM187" s="117"/>
      <c r="VAN187" s="117"/>
      <c r="VAO187" s="117"/>
      <c r="VAP187" s="117"/>
      <c r="VAQ187" s="117"/>
      <c r="VAR187" s="117"/>
      <c r="VAS187" s="117"/>
      <c r="VAT187" s="117"/>
      <c r="VAU187" s="117"/>
      <c r="VAV187" s="117"/>
      <c r="VAW187" s="117"/>
      <c r="VAX187" s="117"/>
      <c r="VAY187" s="117"/>
      <c r="VAZ187" s="117"/>
      <c r="VBA187" s="117"/>
      <c r="VBB187" s="117"/>
      <c r="VBC187" s="117"/>
      <c r="VBD187" s="117"/>
      <c r="VBE187" s="117"/>
      <c r="VBF187" s="117"/>
      <c r="VBG187" s="117"/>
      <c r="VBH187" s="117"/>
      <c r="VBI187" s="117"/>
      <c r="VBJ187" s="117"/>
      <c r="VBK187" s="117"/>
      <c r="VBL187" s="117"/>
      <c r="VBM187" s="117"/>
      <c r="VBN187" s="117"/>
      <c r="VBO187" s="117"/>
      <c r="VBP187" s="117"/>
      <c r="VBQ187" s="117"/>
      <c r="VBR187" s="117"/>
      <c r="VBS187" s="117"/>
      <c r="VBT187" s="117"/>
      <c r="VBU187" s="117"/>
      <c r="VBV187" s="117"/>
      <c r="VBW187" s="117"/>
      <c r="VBX187" s="117"/>
      <c r="VBY187" s="117"/>
      <c r="VBZ187" s="117"/>
      <c r="VCA187" s="117"/>
      <c r="VCB187" s="117"/>
      <c r="VCC187" s="117"/>
      <c r="VCD187" s="117"/>
      <c r="VCE187" s="117"/>
      <c r="VCF187" s="117"/>
      <c r="VCG187" s="117"/>
      <c r="VCH187" s="117"/>
      <c r="VCI187" s="117"/>
      <c r="VCJ187" s="117"/>
      <c r="VCK187" s="117"/>
      <c r="VCL187" s="117"/>
      <c r="VCM187" s="117"/>
      <c r="VCN187" s="117"/>
      <c r="VCO187" s="117"/>
      <c r="VCP187" s="117"/>
      <c r="VCQ187" s="117"/>
      <c r="VCR187" s="117"/>
      <c r="VCS187" s="117"/>
      <c r="VCT187" s="117"/>
      <c r="VCU187" s="117"/>
      <c r="VCV187" s="117"/>
      <c r="VCW187" s="117"/>
      <c r="VCX187" s="117"/>
      <c r="VCY187" s="117"/>
      <c r="VCZ187" s="117"/>
      <c r="VDA187" s="117"/>
      <c r="VDB187" s="117"/>
      <c r="VDC187" s="117"/>
      <c r="VDD187" s="117"/>
      <c r="VDE187" s="117"/>
      <c r="VDF187" s="117"/>
      <c r="VDG187" s="117"/>
      <c r="VDH187" s="117"/>
      <c r="VDI187" s="117"/>
      <c r="VDJ187" s="117"/>
      <c r="VDK187" s="117"/>
      <c r="VDL187" s="117"/>
      <c r="VDM187" s="117"/>
      <c r="VDN187" s="117"/>
      <c r="VDO187" s="117"/>
      <c r="VDP187" s="117"/>
      <c r="VDQ187" s="117"/>
      <c r="VDR187" s="117"/>
      <c r="VDS187" s="117"/>
      <c r="VDT187" s="117"/>
      <c r="VDU187" s="117"/>
      <c r="VDV187" s="117"/>
      <c r="VDW187" s="117"/>
      <c r="VDX187" s="117"/>
      <c r="VDY187" s="117"/>
      <c r="VDZ187" s="117"/>
      <c r="VEA187" s="117"/>
      <c r="VEB187" s="117"/>
      <c r="VEC187" s="117"/>
      <c r="VED187" s="117"/>
      <c r="VEE187" s="117"/>
      <c r="VEF187" s="117"/>
      <c r="VEG187" s="117"/>
      <c r="VEH187" s="117"/>
      <c r="VEI187" s="117"/>
      <c r="VEJ187" s="117"/>
      <c r="VEK187" s="117"/>
      <c r="VEL187" s="117"/>
      <c r="VEM187" s="117"/>
      <c r="VEN187" s="117"/>
      <c r="VEO187" s="117"/>
      <c r="VEP187" s="117"/>
      <c r="VEQ187" s="117"/>
      <c r="VER187" s="117"/>
      <c r="VES187" s="117"/>
      <c r="VET187" s="117"/>
      <c r="VEU187" s="117"/>
      <c r="VEV187" s="117"/>
      <c r="VEW187" s="117"/>
      <c r="VEX187" s="117"/>
      <c r="VEY187" s="117"/>
      <c r="VEZ187" s="117"/>
      <c r="VFA187" s="117"/>
      <c r="VFB187" s="117"/>
      <c r="VFC187" s="117"/>
      <c r="VFD187" s="117"/>
      <c r="VFE187" s="117"/>
      <c r="VFF187" s="117"/>
      <c r="VFG187" s="117"/>
      <c r="VFH187" s="117"/>
      <c r="VFI187" s="117"/>
      <c r="VFJ187" s="117"/>
      <c r="VFK187" s="117"/>
      <c r="VFL187" s="117"/>
      <c r="VFM187" s="117"/>
      <c r="VFN187" s="117"/>
      <c r="VFO187" s="117"/>
      <c r="VFP187" s="117"/>
      <c r="VFQ187" s="117"/>
      <c r="VFR187" s="117"/>
      <c r="VFS187" s="117"/>
      <c r="VFT187" s="117"/>
      <c r="VFU187" s="117"/>
      <c r="VFV187" s="117"/>
      <c r="VFW187" s="117"/>
      <c r="VFX187" s="117"/>
      <c r="VFY187" s="117"/>
      <c r="VFZ187" s="117"/>
      <c r="VGA187" s="117"/>
      <c r="VGB187" s="117"/>
      <c r="VGC187" s="117"/>
      <c r="VGD187" s="117"/>
      <c r="VGE187" s="117"/>
      <c r="VGF187" s="117"/>
      <c r="VGG187" s="117"/>
      <c r="VGH187" s="117"/>
      <c r="VGI187" s="117"/>
      <c r="VGJ187" s="117"/>
      <c r="VGK187" s="117"/>
      <c r="VGL187" s="117"/>
      <c r="VGM187" s="117"/>
      <c r="VGN187" s="117"/>
      <c r="VGO187" s="117"/>
      <c r="VGP187" s="117"/>
      <c r="VGQ187" s="117"/>
      <c r="VGR187" s="117"/>
      <c r="VGS187" s="117"/>
      <c r="VGT187" s="117"/>
      <c r="VGU187" s="117"/>
      <c r="VGV187" s="117"/>
      <c r="VGW187" s="117"/>
      <c r="VGX187" s="117"/>
      <c r="VGY187" s="117"/>
      <c r="VGZ187" s="117"/>
      <c r="VHA187" s="117"/>
      <c r="VHB187" s="117"/>
      <c r="VHC187" s="117"/>
      <c r="VHD187" s="117"/>
      <c r="VHE187" s="117"/>
      <c r="VHF187" s="117"/>
      <c r="VHG187" s="117"/>
      <c r="VHH187" s="117"/>
      <c r="VHI187" s="117"/>
      <c r="VHJ187" s="117"/>
      <c r="VHK187" s="117"/>
      <c r="VHL187" s="117"/>
      <c r="VHM187" s="117"/>
      <c r="VHN187" s="117"/>
      <c r="VHO187" s="117"/>
      <c r="VHP187" s="117"/>
      <c r="VHQ187" s="117"/>
      <c r="VHR187" s="117"/>
      <c r="VHS187" s="117"/>
      <c r="VHT187" s="117"/>
      <c r="VHU187" s="117"/>
      <c r="VHV187" s="117"/>
      <c r="VHW187" s="117"/>
      <c r="VHX187" s="117"/>
      <c r="VHY187" s="117"/>
      <c r="VHZ187" s="117"/>
      <c r="VIA187" s="117"/>
      <c r="VIB187" s="117"/>
      <c r="VIC187" s="117"/>
      <c r="VID187" s="117"/>
      <c r="VIE187" s="117"/>
      <c r="VIF187" s="117"/>
      <c r="VIG187" s="117"/>
      <c r="VIH187" s="117"/>
      <c r="VII187" s="117"/>
      <c r="VIJ187" s="117"/>
      <c r="VIK187" s="117"/>
      <c r="VIL187" s="117"/>
      <c r="VIM187" s="117"/>
      <c r="VIN187" s="117"/>
      <c r="VIO187" s="117"/>
      <c r="VIP187" s="117"/>
      <c r="VIQ187" s="117"/>
      <c r="VIR187" s="117"/>
      <c r="VIS187" s="117"/>
      <c r="VIT187" s="117"/>
      <c r="VIU187" s="117"/>
      <c r="VIV187" s="117"/>
      <c r="VIW187" s="117"/>
      <c r="VIX187" s="117"/>
      <c r="VIY187" s="117"/>
      <c r="VIZ187" s="117"/>
      <c r="VJA187" s="117"/>
      <c r="VJB187" s="117"/>
      <c r="VJC187" s="117"/>
      <c r="VJD187" s="117"/>
      <c r="VJE187" s="117"/>
      <c r="VJF187" s="117"/>
      <c r="VJG187" s="117"/>
      <c r="VJH187" s="117"/>
      <c r="VJI187" s="117"/>
      <c r="VJJ187" s="117"/>
      <c r="VJK187" s="117"/>
      <c r="VJL187" s="117"/>
      <c r="VJM187" s="117"/>
      <c r="VJN187" s="117"/>
      <c r="VJO187" s="117"/>
      <c r="VJP187" s="117"/>
      <c r="VJQ187" s="117"/>
      <c r="VJR187" s="117"/>
      <c r="VJS187" s="117"/>
      <c r="VJT187" s="117"/>
      <c r="VJU187" s="117"/>
      <c r="VJV187" s="117"/>
      <c r="VJW187" s="117"/>
      <c r="VJX187" s="117"/>
      <c r="VJY187" s="117"/>
      <c r="VJZ187" s="117"/>
      <c r="VKA187" s="117"/>
      <c r="VKB187" s="117"/>
      <c r="VKC187" s="117"/>
      <c r="VKD187" s="117"/>
      <c r="VKE187" s="117"/>
      <c r="VKF187" s="117"/>
      <c r="VKG187" s="117"/>
      <c r="VKH187" s="117"/>
      <c r="VKI187" s="117"/>
      <c r="VKJ187" s="117"/>
      <c r="VKK187" s="117"/>
      <c r="VKL187" s="117"/>
      <c r="VKM187" s="117"/>
      <c r="VKN187" s="117"/>
      <c r="VKO187" s="117"/>
      <c r="VKP187" s="117"/>
      <c r="VKQ187" s="117"/>
      <c r="VKR187" s="117"/>
      <c r="VKS187" s="117"/>
      <c r="VKT187" s="117"/>
      <c r="VKU187" s="117"/>
      <c r="VKV187" s="117"/>
      <c r="VKW187" s="117"/>
      <c r="VKX187" s="117"/>
      <c r="VKY187" s="117"/>
      <c r="VKZ187" s="117"/>
      <c r="VLA187" s="117"/>
      <c r="VLB187" s="117"/>
      <c r="VLC187" s="117"/>
      <c r="VLD187" s="117"/>
      <c r="VLE187" s="117"/>
      <c r="VLF187" s="117"/>
      <c r="VLG187" s="117"/>
      <c r="VLH187" s="117"/>
      <c r="VLI187" s="117"/>
      <c r="VLJ187" s="117"/>
      <c r="VLK187" s="117"/>
      <c r="VLL187" s="117"/>
      <c r="VLM187" s="117"/>
      <c r="VLN187" s="117"/>
      <c r="VLO187" s="117"/>
      <c r="VLP187" s="117"/>
      <c r="VLQ187" s="117"/>
      <c r="VLR187" s="117"/>
      <c r="VLS187" s="117"/>
      <c r="VLT187" s="117"/>
      <c r="VLU187" s="117"/>
      <c r="VLV187" s="117"/>
      <c r="VLW187" s="117"/>
      <c r="VLX187" s="117"/>
      <c r="VLY187" s="117"/>
      <c r="VLZ187" s="117"/>
      <c r="VMA187" s="117"/>
      <c r="VMB187" s="117"/>
      <c r="VMC187" s="117"/>
      <c r="VMD187" s="117"/>
      <c r="VME187" s="117"/>
      <c r="VMF187" s="117"/>
      <c r="VMG187" s="117"/>
      <c r="VMH187" s="117"/>
      <c r="VMI187" s="117"/>
      <c r="VMJ187" s="117"/>
      <c r="VMK187" s="117"/>
      <c r="VML187" s="117"/>
      <c r="VMM187" s="117"/>
      <c r="VMN187" s="117"/>
      <c r="VMO187" s="117"/>
      <c r="VMP187" s="117"/>
      <c r="VMQ187" s="117"/>
      <c r="VMR187" s="117"/>
      <c r="VMS187" s="117"/>
      <c r="VMT187" s="117"/>
      <c r="VMU187" s="117"/>
      <c r="VMV187" s="117"/>
      <c r="VMW187" s="117"/>
      <c r="VMX187" s="117"/>
      <c r="VMY187" s="117"/>
      <c r="VMZ187" s="117"/>
      <c r="VNA187" s="117"/>
      <c r="VNB187" s="117"/>
      <c r="VNC187" s="117"/>
      <c r="VND187" s="117"/>
      <c r="VNE187" s="117"/>
      <c r="VNF187" s="117"/>
      <c r="VNG187" s="117"/>
      <c r="VNH187" s="117"/>
      <c r="VNI187" s="117"/>
      <c r="VNJ187" s="117"/>
      <c r="VNK187" s="117"/>
      <c r="VNL187" s="117"/>
      <c r="VNM187" s="117"/>
      <c r="VNN187" s="117"/>
      <c r="VNO187" s="117"/>
      <c r="VNP187" s="117"/>
      <c r="VNQ187" s="117"/>
      <c r="VNR187" s="117"/>
      <c r="VNS187" s="117"/>
      <c r="VNT187" s="117"/>
      <c r="VNU187" s="117"/>
      <c r="VNV187" s="117"/>
      <c r="VNW187" s="117"/>
      <c r="VNX187" s="117"/>
      <c r="VNY187" s="117"/>
      <c r="VNZ187" s="117"/>
      <c r="VOA187" s="117"/>
      <c r="VOB187" s="117"/>
      <c r="VOC187" s="117"/>
      <c r="VOD187" s="117"/>
      <c r="VOE187" s="117"/>
      <c r="VOF187" s="117"/>
      <c r="VOG187" s="117"/>
      <c r="VOH187" s="117"/>
      <c r="VOI187" s="117"/>
      <c r="VOJ187" s="117"/>
      <c r="VOK187" s="117"/>
      <c r="VOL187" s="117"/>
      <c r="VOM187" s="117"/>
      <c r="VON187" s="117"/>
      <c r="VOO187" s="117"/>
      <c r="VOP187" s="117"/>
      <c r="VOQ187" s="117"/>
      <c r="VOR187" s="117"/>
      <c r="VOS187" s="117"/>
      <c r="VOT187" s="117"/>
      <c r="VOU187" s="117"/>
      <c r="VOV187" s="117"/>
      <c r="VOW187" s="117"/>
      <c r="VOX187" s="117"/>
      <c r="VOY187" s="117"/>
      <c r="VOZ187" s="117"/>
      <c r="VPA187" s="117"/>
      <c r="VPB187" s="117"/>
      <c r="VPC187" s="117"/>
      <c r="VPD187" s="117"/>
      <c r="VPE187" s="117"/>
      <c r="VPF187" s="117"/>
      <c r="VPG187" s="117"/>
      <c r="VPH187" s="117"/>
      <c r="VPI187" s="117"/>
      <c r="VPJ187" s="117"/>
      <c r="VPK187" s="117"/>
      <c r="VPL187" s="117"/>
      <c r="VPM187" s="117"/>
      <c r="VPN187" s="117"/>
      <c r="VPO187" s="117"/>
      <c r="VPP187" s="117"/>
      <c r="VPQ187" s="117"/>
      <c r="VPR187" s="117"/>
      <c r="VPS187" s="117"/>
      <c r="VPT187" s="117"/>
      <c r="VPU187" s="117"/>
      <c r="VPV187" s="117"/>
      <c r="VPW187" s="117"/>
      <c r="VPX187" s="117"/>
      <c r="VPY187" s="117"/>
      <c r="VPZ187" s="117"/>
      <c r="VQA187" s="117"/>
      <c r="VQB187" s="117"/>
      <c r="VQC187" s="117"/>
      <c r="VQD187" s="117"/>
      <c r="VQE187" s="117"/>
      <c r="VQF187" s="117"/>
      <c r="VQG187" s="117"/>
      <c r="VQH187" s="117"/>
      <c r="VQI187" s="117"/>
      <c r="VQJ187" s="117"/>
      <c r="VQK187" s="117"/>
      <c r="VQL187" s="117"/>
      <c r="VQM187" s="117"/>
      <c r="VQN187" s="117"/>
      <c r="VQO187" s="117"/>
      <c r="VQP187" s="117"/>
      <c r="VQQ187" s="117"/>
      <c r="VQR187" s="117"/>
      <c r="VQS187" s="117"/>
      <c r="VQT187" s="117"/>
      <c r="VQU187" s="117"/>
      <c r="VQV187" s="117"/>
      <c r="VQW187" s="117"/>
      <c r="VQX187" s="117"/>
      <c r="VQY187" s="117"/>
      <c r="VQZ187" s="117"/>
      <c r="VRA187" s="117"/>
      <c r="VRB187" s="117"/>
      <c r="VRC187" s="117"/>
      <c r="VRD187" s="117"/>
      <c r="VRE187" s="117"/>
      <c r="VRF187" s="117"/>
      <c r="VRG187" s="117"/>
      <c r="VRH187" s="117"/>
      <c r="VRI187" s="117"/>
      <c r="VRJ187" s="117"/>
      <c r="VRK187" s="117"/>
      <c r="VRL187" s="117"/>
      <c r="VRM187" s="117"/>
      <c r="VRN187" s="117"/>
      <c r="VRO187" s="117"/>
      <c r="VRP187" s="117"/>
      <c r="VRQ187" s="117"/>
      <c r="VRR187" s="117"/>
      <c r="VRS187" s="117"/>
      <c r="VRT187" s="117"/>
      <c r="VRU187" s="117"/>
      <c r="VRV187" s="117"/>
      <c r="VRW187" s="117"/>
      <c r="VRX187" s="117"/>
      <c r="VRY187" s="117"/>
      <c r="VRZ187" s="117"/>
      <c r="VSA187" s="117"/>
      <c r="VSB187" s="117"/>
      <c r="VSC187" s="117"/>
      <c r="VSD187" s="117"/>
      <c r="VSE187" s="117"/>
      <c r="VSF187" s="117"/>
      <c r="VSG187" s="117"/>
      <c r="VSH187" s="117"/>
      <c r="VSI187" s="117"/>
      <c r="VSJ187" s="117"/>
      <c r="VSK187" s="117"/>
      <c r="VSL187" s="117"/>
      <c r="VSM187" s="117"/>
      <c r="VSN187" s="117"/>
      <c r="VSO187" s="117"/>
      <c r="VSP187" s="117"/>
      <c r="VSQ187" s="117"/>
      <c r="VSR187" s="117"/>
      <c r="VSS187" s="117"/>
      <c r="VST187" s="117"/>
      <c r="VSU187" s="117"/>
      <c r="VSV187" s="117"/>
      <c r="VSW187" s="117"/>
      <c r="VSX187" s="117"/>
      <c r="VSY187" s="117"/>
      <c r="VSZ187" s="117"/>
      <c r="VTA187" s="117"/>
      <c r="VTB187" s="117"/>
      <c r="VTC187" s="117"/>
      <c r="VTD187" s="117"/>
      <c r="VTE187" s="117"/>
      <c r="VTF187" s="117"/>
      <c r="VTG187" s="117"/>
      <c r="VTH187" s="117"/>
      <c r="VTI187" s="117"/>
      <c r="VTJ187" s="117"/>
      <c r="VTK187" s="117"/>
      <c r="VTL187" s="117"/>
      <c r="VTM187" s="117"/>
      <c r="VTN187" s="117"/>
      <c r="VTO187" s="117"/>
      <c r="VTP187" s="117"/>
      <c r="VTQ187" s="117"/>
      <c r="VTR187" s="117"/>
      <c r="VTS187" s="117"/>
      <c r="VTT187" s="117"/>
      <c r="VTU187" s="117"/>
      <c r="VTV187" s="117"/>
      <c r="VTW187" s="117"/>
      <c r="VTX187" s="117"/>
      <c r="VTY187" s="117"/>
      <c r="VTZ187" s="117"/>
      <c r="VUA187" s="117"/>
      <c r="VUB187" s="117"/>
      <c r="VUC187" s="117"/>
      <c r="VUD187" s="117"/>
      <c r="VUE187" s="117"/>
      <c r="VUF187" s="117"/>
      <c r="VUG187" s="117"/>
      <c r="VUH187" s="117"/>
      <c r="VUI187" s="117"/>
      <c r="VUJ187" s="117"/>
      <c r="VUK187" s="117"/>
      <c r="VUL187" s="117"/>
      <c r="VUM187" s="117"/>
      <c r="VUN187" s="117"/>
      <c r="VUO187" s="117"/>
      <c r="VUP187" s="117"/>
      <c r="VUQ187" s="117"/>
      <c r="VUR187" s="117"/>
      <c r="VUS187" s="117"/>
      <c r="VUT187" s="117"/>
      <c r="VUU187" s="117"/>
      <c r="VUV187" s="117"/>
      <c r="VUW187" s="117"/>
      <c r="VUX187" s="117"/>
      <c r="VUY187" s="117"/>
      <c r="VUZ187" s="117"/>
      <c r="VVA187" s="117"/>
      <c r="VVB187" s="117"/>
      <c r="VVC187" s="117"/>
      <c r="VVD187" s="117"/>
      <c r="VVE187" s="117"/>
      <c r="VVF187" s="117"/>
      <c r="VVG187" s="117"/>
      <c r="VVH187" s="117"/>
      <c r="VVI187" s="117"/>
      <c r="VVJ187" s="117"/>
      <c r="VVK187" s="117"/>
      <c r="VVL187" s="117"/>
      <c r="VVM187" s="117"/>
      <c r="VVN187" s="117"/>
      <c r="VVO187" s="117"/>
      <c r="VVP187" s="117"/>
      <c r="VVQ187" s="117"/>
      <c r="VVR187" s="117"/>
      <c r="VVS187" s="117"/>
      <c r="VVT187" s="117"/>
      <c r="VVU187" s="117"/>
      <c r="VVV187" s="117"/>
      <c r="VVW187" s="117"/>
      <c r="VVX187" s="117"/>
      <c r="VVY187" s="117"/>
      <c r="VVZ187" s="117"/>
      <c r="VWA187" s="117"/>
      <c r="VWB187" s="117"/>
      <c r="VWC187" s="117"/>
      <c r="VWD187" s="117"/>
      <c r="VWE187" s="117"/>
      <c r="VWF187" s="117"/>
      <c r="VWG187" s="117"/>
      <c r="VWH187" s="117"/>
      <c r="VWI187" s="117"/>
      <c r="VWJ187" s="117"/>
      <c r="VWK187" s="117"/>
      <c r="VWL187" s="117"/>
      <c r="VWM187" s="117"/>
      <c r="VWN187" s="117"/>
      <c r="VWO187" s="117"/>
      <c r="VWP187" s="117"/>
      <c r="VWQ187" s="117"/>
      <c r="VWR187" s="117"/>
      <c r="VWS187" s="117"/>
      <c r="VWT187" s="117"/>
      <c r="VWU187" s="117"/>
      <c r="VWV187" s="117"/>
      <c r="VWW187" s="117"/>
      <c r="VWX187" s="117"/>
      <c r="VWY187" s="117"/>
      <c r="VWZ187" s="117"/>
      <c r="VXA187" s="117"/>
      <c r="VXB187" s="117"/>
      <c r="VXC187" s="117"/>
      <c r="VXD187" s="117"/>
      <c r="VXE187" s="117"/>
      <c r="VXF187" s="117"/>
      <c r="VXG187" s="117"/>
      <c r="VXH187" s="117"/>
      <c r="VXI187" s="117"/>
      <c r="VXJ187" s="117"/>
      <c r="VXK187" s="117"/>
      <c r="VXL187" s="117"/>
      <c r="VXM187" s="117"/>
      <c r="VXN187" s="117"/>
      <c r="VXO187" s="117"/>
      <c r="VXP187" s="117"/>
      <c r="VXQ187" s="117"/>
      <c r="VXR187" s="117"/>
      <c r="VXS187" s="117"/>
      <c r="VXT187" s="117"/>
      <c r="VXU187" s="117"/>
      <c r="VXV187" s="117"/>
      <c r="VXW187" s="117"/>
      <c r="VXX187" s="117"/>
      <c r="VXY187" s="117"/>
      <c r="VXZ187" s="117"/>
      <c r="VYA187" s="117"/>
      <c r="VYB187" s="117"/>
      <c r="VYC187" s="117"/>
      <c r="VYD187" s="117"/>
      <c r="VYE187" s="117"/>
      <c r="VYF187" s="117"/>
      <c r="VYG187" s="117"/>
      <c r="VYH187" s="117"/>
      <c r="VYI187" s="117"/>
      <c r="VYJ187" s="117"/>
      <c r="VYK187" s="117"/>
      <c r="VYL187" s="117"/>
      <c r="VYM187" s="117"/>
      <c r="VYN187" s="117"/>
      <c r="VYO187" s="117"/>
      <c r="VYP187" s="117"/>
      <c r="VYQ187" s="117"/>
      <c r="VYR187" s="117"/>
      <c r="VYS187" s="117"/>
      <c r="VYT187" s="117"/>
      <c r="VYU187" s="117"/>
      <c r="VYV187" s="117"/>
      <c r="VYW187" s="117"/>
      <c r="VYX187" s="117"/>
      <c r="VYY187" s="117"/>
      <c r="VYZ187" s="117"/>
      <c r="VZA187" s="117"/>
      <c r="VZB187" s="117"/>
      <c r="VZC187" s="117"/>
      <c r="VZD187" s="117"/>
      <c r="VZE187" s="117"/>
      <c r="VZF187" s="117"/>
      <c r="VZG187" s="117"/>
      <c r="VZH187" s="117"/>
      <c r="VZI187" s="117"/>
      <c r="VZJ187" s="117"/>
      <c r="VZK187" s="117"/>
      <c r="VZL187" s="117"/>
      <c r="VZM187" s="117"/>
      <c r="VZN187" s="117"/>
      <c r="VZO187" s="117"/>
      <c r="VZP187" s="117"/>
      <c r="VZQ187" s="117"/>
      <c r="VZR187" s="117"/>
      <c r="VZS187" s="117"/>
      <c r="VZT187" s="117"/>
      <c r="VZU187" s="117"/>
      <c r="VZV187" s="117"/>
      <c r="VZW187" s="117"/>
      <c r="VZX187" s="117"/>
      <c r="VZY187" s="117"/>
      <c r="VZZ187" s="117"/>
      <c r="WAA187" s="117"/>
      <c r="WAB187" s="117"/>
      <c r="WAC187" s="117"/>
      <c r="WAD187" s="117"/>
      <c r="WAE187" s="117"/>
      <c r="WAF187" s="117"/>
      <c r="WAG187" s="117"/>
      <c r="WAH187" s="117"/>
      <c r="WAI187" s="117"/>
      <c r="WAJ187" s="117"/>
      <c r="WAK187" s="117"/>
      <c r="WAL187" s="117"/>
      <c r="WAM187" s="117"/>
      <c r="WAN187" s="117"/>
      <c r="WAO187" s="117"/>
      <c r="WAP187" s="117"/>
      <c r="WAQ187" s="117"/>
      <c r="WAR187" s="117"/>
      <c r="WAS187" s="117"/>
      <c r="WAT187" s="117"/>
      <c r="WAU187" s="117"/>
      <c r="WAV187" s="117"/>
      <c r="WAW187" s="117"/>
      <c r="WAX187" s="117"/>
      <c r="WAY187" s="117"/>
      <c r="WAZ187" s="117"/>
      <c r="WBA187" s="117"/>
      <c r="WBB187" s="117"/>
      <c r="WBC187" s="117"/>
      <c r="WBD187" s="117"/>
      <c r="WBE187" s="117"/>
      <c r="WBF187" s="117"/>
      <c r="WBG187" s="117"/>
      <c r="WBH187" s="117"/>
      <c r="WBI187" s="117"/>
      <c r="WBJ187" s="117"/>
      <c r="WBK187" s="117"/>
      <c r="WBL187" s="117"/>
      <c r="WBM187" s="117"/>
      <c r="WBN187" s="117"/>
      <c r="WBO187" s="117"/>
      <c r="WBP187" s="117"/>
      <c r="WBQ187" s="117"/>
      <c r="WBR187" s="117"/>
      <c r="WBS187" s="117"/>
      <c r="WBT187" s="117"/>
      <c r="WBU187" s="117"/>
      <c r="WBV187" s="117"/>
      <c r="WBW187" s="117"/>
      <c r="WBX187" s="117"/>
      <c r="WBY187" s="117"/>
      <c r="WBZ187" s="117"/>
      <c r="WCA187" s="117"/>
      <c r="WCB187" s="117"/>
      <c r="WCC187" s="117"/>
      <c r="WCD187" s="117"/>
      <c r="WCE187" s="117"/>
      <c r="WCF187" s="117"/>
      <c r="WCG187" s="117"/>
      <c r="WCH187" s="117"/>
      <c r="WCI187" s="117"/>
      <c r="WCJ187" s="117"/>
      <c r="WCK187" s="117"/>
      <c r="WCL187" s="117"/>
      <c r="WCM187" s="117"/>
      <c r="WCN187" s="117"/>
      <c r="WCO187" s="117"/>
      <c r="WCP187" s="117"/>
      <c r="WCQ187" s="117"/>
      <c r="WCR187" s="117"/>
      <c r="WCS187" s="117"/>
      <c r="WCT187" s="117"/>
      <c r="WCU187" s="117"/>
      <c r="WCV187" s="117"/>
      <c r="WCW187" s="117"/>
      <c r="WCX187" s="117"/>
      <c r="WCY187" s="117"/>
      <c r="WCZ187" s="117"/>
      <c r="WDA187" s="117"/>
      <c r="WDB187" s="117"/>
      <c r="WDC187" s="117"/>
      <c r="WDD187" s="117"/>
      <c r="WDE187" s="117"/>
      <c r="WDF187" s="117"/>
      <c r="WDG187" s="117"/>
      <c r="WDH187" s="117"/>
      <c r="WDI187" s="117"/>
      <c r="WDJ187" s="117"/>
      <c r="WDK187" s="117"/>
      <c r="WDL187" s="117"/>
      <c r="WDM187" s="117"/>
      <c r="WDN187" s="117"/>
      <c r="WDO187" s="117"/>
      <c r="WDP187" s="117"/>
      <c r="WDQ187" s="117"/>
      <c r="WDR187" s="117"/>
      <c r="WDS187" s="117"/>
      <c r="WDT187" s="117"/>
      <c r="WDU187" s="117"/>
      <c r="WDV187" s="117"/>
      <c r="WDW187" s="117"/>
      <c r="WDX187" s="117"/>
      <c r="WDY187" s="117"/>
      <c r="WDZ187" s="117"/>
      <c r="WEA187" s="117"/>
      <c r="WEB187" s="117"/>
      <c r="WEC187" s="117"/>
      <c r="WED187" s="117"/>
      <c r="WEE187" s="117"/>
      <c r="WEF187" s="117"/>
      <c r="WEG187" s="117"/>
      <c r="WEH187" s="117"/>
      <c r="WEI187" s="117"/>
      <c r="WEJ187" s="117"/>
      <c r="WEK187" s="117"/>
      <c r="WEL187" s="117"/>
      <c r="WEM187" s="117"/>
      <c r="WEN187" s="117"/>
      <c r="WEO187" s="117"/>
      <c r="WEP187" s="117"/>
      <c r="WEQ187" s="117"/>
      <c r="WER187" s="117"/>
      <c r="WES187" s="117"/>
      <c r="WET187" s="117"/>
      <c r="WEU187" s="117"/>
      <c r="WEV187" s="117"/>
      <c r="WEW187" s="117"/>
      <c r="WEX187" s="117"/>
      <c r="WEY187" s="117"/>
      <c r="WEZ187" s="117"/>
      <c r="WFA187" s="117"/>
      <c r="WFB187" s="117"/>
      <c r="WFC187" s="117"/>
      <c r="WFD187" s="117"/>
      <c r="WFE187" s="117"/>
      <c r="WFF187" s="117"/>
      <c r="WFG187" s="117"/>
      <c r="WFH187" s="117"/>
      <c r="WFI187" s="117"/>
      <c r="WFJ187" s="117"/>
      <c r="WFK187" s="117"/>
      <c r="WFL187" s="117"/>
      <c r="WFM187" s="117"/>
      <c r="WFN187" s="117"/>
      <c r="WFO187" s="117"/>
      <c r="WFP187" s="117"/>
      <c r="WFQ187" s="117"/>
      <c r="WFR187" s="117"/>
      <c r="WFS187" s="117"/>
      <c r="WFT187" s="117"/>
      <c r="WFU187" s="117"/>
      <c r="WFV187" s="117"/>
      <c r="WFW187" s="117"/>
      <c r="WFX187" s="117"/>
      <c r="WFY187" s="117"/>
      <c r="WFZ187" s="117"/>
      <c r="WGA187" s="117"/>
      <c r="WGB187" s="117"/>
      <c r="WGC187" s="117"/>
      <c r="WGD187" s="117"/>
      <c r="WGE187" s="117"/>
      <c r="WGF187" s="117"/>
      <c r="WGG187" s="117"/>
      <c r="WGH187" s="117"/>
      <c r="WGI187" s="117"/>
      <c r="WGJ187" s="117"/>
      <c r="WGK187" s="117"/>
      <c r="WGL187" s="117"/>
      <c r="WGM187" s="117"/>
      <c r="WGN187" s="117"/>
      <c r="WGO187" s="117"/>
      <c r="WGP187" s="117"/>
      <c r="WGQ187" s="117"/>
      <c r="WGR187" s="117"/>
      <c r="WGS187" s="117"/>
      <c r="WGT187" s="117"/>
      <c r="WGU187" s="117"/>
      <c r="WGV187" s="117"/>
      <c r="WGW187" s="117"/>
      <c r="WGX187" s="117"/>
      <c r="WGY187" s="117"/>
      <c r="WGZ187" s="117"/>
      <c r="WHA187" s="117"/>
      <c r="WHB187" s="117"/>
      <c r="WHC187" s="117"/>
      <c r="WHD187" s="117"/>
      <c r="WHE187" s="117"/>
      <c r="WHF187" s="117"/>
      <c r="WHG187" s="117"/>
      <c r="WHH187" s="117"/>
      <c r="WHI187" s="117"/>
      <c r="WHJ187" s="117"/>
      <c r="WHK187" s="117"/>
      <c r="WHL187" s="117"/>
      <c r="WHM187" s="117"/>
      <c r="WHN187" s="117"/>
      <c r="WHO187" s="117"/>
      <c r="WHP187" s="117"/>
      <c r="WHQ187" s="117"/>
      <c r="WHR187" s="117"/>
      <c r="WHS187" s="117"/>
      <c r="WHT187" s="117"/>
      <c r="WHU187" s="117"/>
      <c r="WHV187" s="117"/>
      <c r="WHW187" s="117"/>
      <c r="WHX187" s="117"/>
      <c r="WHY187" s="117"/>
      <c r="WHZ187" s="117"/>
      <c r="WIA187" s="117"/>
      <c r="WIB187" s="117"/>
      <c r="WIC187" s="117"/>
      <c r="WID187" s="117"/>
      <c r="WIE187" s="117"/>
      <c r="WIF187" s="117"/>
      <c r="WIG187" s="117"/>
      <c r="WIH187" s="117"/>
      <c r="WII187" s="117"/>
      <c r="WIJ187" s="117"/>
      <c r="WIK187" s="117"/>
      <c r="WIL187" s="117"/>
      <c r="WIM187" s="117"/>
      <c r="WIN187" s="117"/>
      <c r="WIO187" s="117"/>
      <c r="WIP187" s="117"/>
      <c r="WIQ187" s="117"/>
      <c r="WIR187" s="117"/>
      <c r="WIS187" s="117"/>
      <c r="WIT187" s="117"/>
      <c r="WIU187" s="117"/>
      <c r="WIV187" s="117"/>
      <c r="WIW187" s="117"/>
      <c r="WIX187" s="117"/>
      <c r="WIY187" s="117"/>
      <c r="WIZ187" s="117"/>
      <c r="WJA187" s="117"/>
      <c r="WJB187" s="117"/>
      <c r="WJC187" s="117"/>
      <c r="WJD187" s="117"/>
      <c r="WJE187" s="117"/>
      <c r="WJF187" s="117"/>
      <c r="WJG187" s="117"/>
      <c r="WJH187" s="117"/>
      <c r="WJI187" s="117"/>
      <c r="WJJ187" s="117"/>
      <c r="WJK187" s="117"/>
      <c r="WJL187" s="117"/>
      <c r="WJM187" s="117"/>
      <c r="WJN187" s="117"/>
      <c r="WJO187" s="117"/>
      <c r="WJP187" s="117"/>
      <c r="WJQ187" s="117"/>
      <c r="WJR187" s="117"/>
      <c r="WJS187" s="117"/>
      <c r="WJT187" s="117"/>
      <c r="WJU187" s="117"/>
      <c r="WJV187" s="117"/>
      <c r="WJW187" s="117"/>
      <c r="WJX187" s="117"/>
      <c r="WJY187" s="117"/>
      <c r="WJZ187" s="117"/>
      <c r="WKA187" s="117"/>
      <c r="WKB187" s="117"/>
      <c r="WKC187" s="117"/>
      <c r="WKD187" s="117"/>
      <c r="WKE187" s="117"/>
      <c r="WKF187" s="117"/>
      <c r="WKG187" s="117"/>
      <c r="WKH187" s="117"/>
      <c r="WKI187" s="117"/>
      <c r="WKJ187" s="117"/>
      <c r="WKK187" s="117"/>
      <c r="WKL187" s="117"/>
      <c r="WKM187" s="117"/>
      <c r="WKN187" s="117"/>
      <c r="WKO187" s="117"/>
      <c r="WKP187" s="117"/>
      <c r="WKQ187" s="117"/>
      <c r="WKR187" s="117"/>
      <c r="WKS187" s="117"/>
      <c r="WKT187" s="117"/>
      <c r="WKU187" s="117"/>
      <c r="WKV187" s="117"/>
      <c r="WKW187" s="117"/>
      <c r="WKX187" s="117"/>
      <c r="WKY187" s="117"/>
      <c r="WKZ187" s="117"/>
      <c r="WLA187" s="117"/>
      <c r="WLB187" s="117"/>
      <c r="WLC187" s="117"/>
      <c r="WLD187" s="117"/>
      <c r="WLE187" s="117"/>
      <c r="WLF187" s="117"/>
      <c r="WLG187" s="117"/>
      <c r="WLH187" s="117"/>
      <c r="WLI187" s="117"/>
      <c r="WLJ187" s="117"/>
      <c r="WLK187" s="117"/>
      <c r="WLL187" s="117"/>
      <c r="WLM187" s="117"/>
      <c r="WLN187" s="117"/>
      <c r="WLO187" s="117"/>
      <c r="WLP187" s="117"/>
      <c r="WLQ187" s="117"/>
      <c r="WLR187" s="117"/>
      <c r="WLS187" s="117"/>
      <c r="WLT187" s="117"/>
      <c r="WLU187" s="117"/>
      <c r="WLV187" s="117"/>
      <c r="WLW187" s="117"/>
      <c r="WLX187" s="117"/>
      <c r="WLY187" s="117"/>
      <c r="WLZ187" s="117"/>
      <c r="WMA187" s="117"/>
      <c r="WMB187" s="117"/>
      <c r="WMC187" s="117"/>
      <c r="WMD187" s="117"/>
      <c r="WME187" s="117"/>
      <c r="WMF187" s="117"/>
      <c r="WMG187" s="117"/>
      <c r="WMH187" s="117"/>
      <c r="WMI187" s="117"/>
      <c r="WMJ187" s="117"/>
      <c r="WMK187" s="117"/>
      <c r="WML187" s="117"/>
      <c r="WMM187" s="117"/>
      <c r="WMN187" s="117"/>
      <c r="WMO187" s="117"/>
      <c r="WMP187" s="117"/>
      <c r="WMQ187" s="117"/>
      <c r="WMR187" s="117"/>
      <c r="WMS187" s="117"/>
      <c r="WMT187" s="117"/>
      <c r="WMU187" s="117"/>
      <c r="WMV187" s="117"/>
      <c r="WMW187" s="117"/>
      <c r="WMX187" s="117"/>
      <c r="WMY187" s="117"/>
      <c r="WMZ187" s="117"/>
      <c r="WNA187" s="117"/>
      <c r="WNB187" s="117"/>
      <c r="WNC187" s="117"/>
      <c r="WND187" s="117"/>
      <c r="WNE187" s="117"/>
      <c r="WNF187" s="117"/>
      <c r="WNG187" s="117"/>
      <c r="WNH187" s="117"/>
      <c r="WNI187" s="117"/>
      <c r="WNJ187" s="117"/>
      <c r="WNK187" s="117"/>
      <c r="WNL187" s="117"/>
      <c r="WNM187" s="117"/>
      <c r="WNN187" s="117"/>
      <c r="WNO187" s="117"/>
      <c r="WNP187" s="117"/>
      <c r="WNQ187" s="117"/>
      <c r="WNR187" s="117"/>
      <c r="WNS187" s="117"/>
      <c r="WNT187" s="117"/>
      <c r="WNU187" s="117"/>
      <c r="WNV187" s="117"/>
      <c r="WNW187" s="117"/>
      <c r="WNX187" s="117"/>
      <c r="WNY187" s="117"/>
      <c r="WNZ187" s="117"/>
      <c r="WOA187" s="117"/>
      <c r="WOB187" s="117"/>
      <c r="WOC187" s="117"/>
      <c r="WOD187" s="117"/>
      <c r="WOE187" s="117"/>
      <c r="WOF187" s="117"/>
      <c r="WOG187" s="117"/>
      <c r="WOH187" s="117"/>
      <c r="WOI187" s="117"/>
      <c r="WOJ187" s="117"/>
      <c r="WOK187" s="117"/>
      <c r="WOL187" s="117"/>
      <c r="WOM187" s="117"/>
      <c r="WON187" s="117"/>
      <c r="WOO187" s="117"/>
      <c r="WOP187" s="117"/>
      <c r="WOQ187" s="117"/>
      <c r="WOR187" s="117"/>
      <c r="WOS187" s="117"/>
      <c r="WOT187" s="117"/>
      <c r="WOU187" s="117"/>
      <c r="WOV187" s="117"/>
      <c r="WOW187" s="117"/>
      <c r="WOX187" s="117"/>
      <c r="WOY187" s="117"/>
      <c r="WOZ187" s="117"/>
      <c r="WPA187" s="117"/>
      <c r="WPB187" s="117"/>
      <c r="WPC187" s="117"/>
      <c r="WPD187" s="117"/>
      <c r="WPE187" s="117"/>
      <c r="WPF187" s="117"/>
      <c r="WPG187" s="117"/>
      <c r="WPH187" s="117"/>
      <c r="WPI187" s="117"/>
      <c r="WPJ187" s="117"/>
      <c r="WPK187" s="117"/>
      <c r="WPL187" s="117"/>
      <c r="WPM187" s="117"/>
      <c r="WPN187" s="117"/>
      <c r="WPO187" s="117"/>
      <c r="WPP187" s="117"/>
      <c r="WPQ187" s="117"/>
      <c r="WPR187" s="117"/>
      <c r="WPS187" s="117"/>
      <c r="WPT187" s="117"/>
      <c r="WPU187" s="117"/>
      <c r="WPV187" s="117"/>
      <c r="WPW187" s="117"/>
      <c r="WPX187" s="117"/>
      <c r="WPY187" s="117"/>
      <c r="WPZ187" s="117"/>
      <c r="WQA187" s="117"/>
      <c r="WQB187" s="117"/>
      <c r="WQC187" s="117"/>
      <c r="WQD187" s="117"/>
      <c r="WQE187" s="117"/>
      <c r="WQF187" s="117"/>
      <c r="WQG187" s="117"/>
      <c r="WQH187" s="117"/>
      <c r="WQI187" s="117"/>
      <c r="WQJ187" s="117"/>
      <c r="WQK187" s="117"/>
      <c r="WQL187" s="117"/>
      <c r="WQM187" s="117"/>
      <c r="WQN187" s="117"/>
      <c r="WQO187" s="117"/>
      <c r="WQP187" s="117"/>
      <c r="WQQ187" s="117"/>
      <c r="WQR187" s="117"/>
      <c r="WQS187" s="117"/>
      <c r="WQT187" s="117"/>
      <c r="WQU187" s="117"/>
      <c r="WQV187" s="117"/>
      <c r="WQW187" s="117"/>
      <c r="WQX187" s="117"/>
      <c r="WQY187" s="117"/>
      <c r="WQZ187" s="117"/>
      <c r="WRA187" s="117"/>
      <c r="WRB187" s="117"/>
      <c r="WRC187" s="117"/>
      <c r="WRD187" s="117"/>
      <c r="WRE187" s="117"/>
      <c r="WRF187" s="117"/>
      <c r="WRG187" s="117"/>
      <c r="WRH187" s="117"/>
      <c r="WRI187" s="117"/>
      <c r="WRJ187" s="117"/>
      <c r="WRK187" s="117"/>
      <c r="WRL187" s="117"/>
      <c r="WRM187" s="117"/>
      <c r="WRN187" s="117"/>
      <c r="WRO187" s="117"/>
      <c r="WRP187" s="117"/>
      <c r="WRQ187" s="117"/>
      <c r="WRR187" s="117"/>
      <c r="WRS187" s="117"/>
      <c r="WRT187" s="117"/>
      <c r="WRU187" s="117"/>
      <c r="WRV187" s="117"/>
      <c r="WRW187" s="117"/>
      <c r="WRX187" s="117"/>
      <c r="WRY187" s="117"/>
      <c r="WRZ187" s="117"/>
      <c r="WSA187" s="117"/>
      <c r="WSB187" s="117"/>
      <c r="WSC187" s="117"/>
      <c r="WSD187" s="117"/>
      <c r="WSE187" s="117"/>
      <c r="WSF187" s="117"/>
      <c r="WSG187" s="117"/>
      <c r="WSH187" s="117"/>
      <c r="WSI187" s="117"/>
      <c r="WSJ187" s="117"/>
      <c r="WSK187" s="117"/>
      <c r="WSL187" s="117"/>
      <c r="WSM187" s="117"/>
      <c r="WSN187" s="117"/>
      <c r="WSO187" s="117"/>
      <c r="WSP187" s="117"/>
      <c r="WSQ187" s="117"/>
      <c r="WSR187" s="117"/>
      <c r="WSS187" s="117"/>
      <c r="WST187" s="117"/>
      <c r="WSU187" s="117"/>
      <c r="WSV187" s="117"/>
      <c r="WSW187" s="117"/>
      <c r="WSX187" s="117"/>
      <c r="WSY187" s="117"/>
      <c r="WSZ187" s="117"/>
      <c r="WTA187" s="117"/>
      <c r="WTB187" s="117"/>
      <c r="WTC187" s="117"/>
      <c r="WTD187" s="117"/>
      <c r="WTE187" s="117"/>
      <c r="WTF187" s="117"/>
      <c r="WTG187" s="117"/>
      <c r="WTH187" s="117"/>
      <c r="WTI187" s="117"/>
      <c r="WTJ187" s="117"/>
      <c r="WTK187" s="117"/>
      <c r="WTL187" s="117"/>
      <c r="WTM187" s="117"/>
      <c r="WTN187" s="117"/>
      <c r="WTO187" s="117"/>
      <c r="WTP187" s="117"/>
      <c r="WTQ187" s="117"/>
      <c r="WTR187" s="117"/>
      <c r="WTS187" s="117"/>
      <c r="WTT187" s="117"/>
      <c r="WTU187" s="117"/>
      <c r="WTV187" s="117"/>
      <c r="WTW187" s="117"/>
      <c r="WTX187" s="117"/>
      <c r="WTY187" s="117"/>
      <c r="WTZ187" s="117"/>
      <c r="WUA187" s="117"/>
      <c r="WUB187" s="117"/>
      <c r="WUC187" s="117"/>
      <c r="WUD187" s="117"/>
      <c r="WUE187" s="117"/>
      <c r="WUF187" s="117"/>
      <c r="WUG187" s="117"/>
      <c r="WUH187" s="117"/>
      <c r="WUI187" s="117"/>
      <c r="WUJ187" s="117"/>
      <c r="WUK187" s="117"/>
      <c r="WUL187" s="117"/>
      <c r="WUM187" s="117"/>
      <c r="WUN187" s="117"/>
      <c r="WUO187" s="117"/>
      <c r="WUP187" s="117"/>
      <c r="WUQ187" s="117"/>
      <c r="WUR187" s="117"/>
      <c r="WUS187" s="117"/>
      <c r="WUT187" s="117"/>
      <c r="WUU187" s="117"/>
      <c r="WUV187" s="117"/>
      <c r="WUW187" s="117"/>
      <c r="WUX187" s="117"/>
      <c r="WUY187" s="117"/>
      <c r="WUZ187" s="117"/>
      <c r="WVA187" s="117"/>
      <c r="WVB187" s="117"/>
      <c r="WVC187" s="117"/>
      <c r="WVD187" s="117"/>
      <c r="WVE187" s="117"/>
      <c r="WVF187" s="117"/>
      <c r="WVG187" s="117"/>
      <c r="WVH187" s="117"/>
      <c r="WVI187" s="117"/>
      <c r="WVJ187" s="117"/>
      <c r="WVK187" s="117"/>
      <c r="WVL187" s="117"/>
      <c r="WVM187" s="117"/>
      <c r="WVN187" s="117"/>
      <c r="WVO187" s="117"/>
      <c r="WVP187" s="117"/>
      <c r="WVQ187" s="117"/>
      <c r="WVR187" s="117"/>
      <c r="WVS187" s="117"/>
      <c r="WVT187" s="117"/>
      <c r="WVU187" s="117"/>
      <c r="WVV187" s="117"/>
      <c r="WVW187" s="117"/>
      <c r="WVX187" s="117"/>
      <c r="WVY187" s="117"/>
      <c r="WVZ187" s="117"/>
      <c r="WWA187" s="117"/>
      <c r="WWB187" s="117"/>
      <c r="WWC187" s="117"/>
      <c r="WWD187" s="117"/>
      <c r="WWE187" s="117"/>
      <c r="WWF187" s="117"/>
      <c r="WWG187" s="117"/>
      <c r="WWH187" s="117"/>
      <c r="WWI187" s="117"/>
      <c r="WWJ187" s="117"/>
      <c r="WWK187" s="117"/>
      <c r="WWL187" s="117"/>
      <c r="WWM187" s="117"/>
      <c r="WWN187" s="117"/>
      <c r="WWO187" s="117"/>
      <c r="WWP187" s="117"/>
      <c r="WWQ187" s="117"/>
      <c r="WWR187" s="117"/>
      <c r="WWS187" s="117"/>
      <c r="WWT187" s="117"/>
      <c r="WWU187" s="117"/>
      <c r="WWV187" s="117"/>
      <c r="WWW187" s="117"/>
      <c r="WWX187" s="117"/>
      <c r="WWY187" s="117"/>
      <c r="WWZ187" s="117"/>
      <c r="WXA187" s="117"/>
      <c r="WXB187" s="117"/>
      <c r="WXC187" s="117"/>
      <c r="WXD187" s="117"/>
      <c r="WXE187" s="117"/>
      <c r="WXF187" s="117"/>
      <c r="WXG187" s="117"/>
      <c r="WXH187" s="117"/>
      <c r="WXI187" s="117"/>
      <c r="WXJ187" s="117"/>
      <c r="WXK187" s="117"/>
      <c r="WXL187" s="117"/>
      <c r="WXM187" s="117"/>
      <c r="WXN187" s="117"/>
      <c r="WXO187" s="117"/>
      <c r="WXP187" s="117"/>
      <c r="WXQ187" s="117"/>
      <c r="WXR187" s="117"/>
      <c r="WXS187" s="117"/>
      <c r="WXT187" s="117"/>
      <c r="WXU187" s="117"/>
      <c r="WXV187" s="117"/>
      <c r="WXW187" s="117"/>
      <c r="WXX187" s="117"/>
      <c r="WXY187" s="117"/>
      <c r="WXZ187" s="117"/>
      <c r="WYA187" s="117"/>
      <c r="WYB187" s="117"/>
      <c r="WYC187" s="117"/>
      <c r="WYD187" s="117"/>
      <c r="WYE187" s="117"/>
      <c r="WYF187" s="117"/>
      <c r="WYG187" s="117"/>
      <c r="WYH187" s="117"/>
      <c r="WYI187" s="117"/>
      <c r="WYJ187" s="117"/>
      <c r="WYK187" s="117"/>
      <c r="WYL187" s="117"/>
      <c r="WYM187" s="117"/>
      <c r="WYN187" s="117"/>
      <c r="WYO187" s="117"/>
      <c r="WYP187" s="117"/>
      <c r="WYQ187" s="117"/>
      <c r="WYR187" s="117"/>
      <c r="WYS187" s="117"/>
      <c r="WYT187" s="117"/>
      <c r="WYU187" s="117"/>
      <c r="WYV187" s="117"/>
      <c r="WYW187" s="117"/>
      <c r="WYX187" s="117"/>
      <c r="WYY187" s="117"/>
      <c r="WYZ187" s="117"/>
      <c r="WZA187" s="117"/>
      <c r="WZB187" s="117"/>
      <c r="WZC187" s="117"/>
      <c r="WZD187" s="117"/>
      <c r="WZE187" s="117"/>
      <c r="WZF187" s="117"/>
      <c r="WZG187" s="117"/>
      <c r="WZH187" s="117"/>
      <c r="WZI187" s="117"/>
      <c r="WZJ187" s="117"/>
      <c r="WZK187" s="117"/>
      <c r="WZL187" s="117"/>
      <c r="WZM187" s="117"/>
      <c r="WZN187" s="117"/>
      <c r="WZO187" s="117"/>
      <c r="WZP187" s="117"/>
      <c r="WZQ187" s="117"/>
      <c r="WZR187" s="117"/>
      <c r="WZS187" s="117"/>
      <c r="WZT187" s="117"/>
      <c r="WZU187" s="117"/>
      <c r="WZV187" s="117"/>
      <c r="WZW187" s="117"/>
      <c r="WZX187" s="117"/>
      <c r="WZY187" s="117"/>
      <c r="WZZ187" s="117"/>
      <c r="XAA187" s="117"/>
      <c r="XAB187" s="117"/>
      <c r="XAC187" s="117"/>
      <c r="XAD187" s="117"/>
      <c r="XAE187" s="117"/>
      <c r="XAF187" s="117"/>
      <c r="XAG187" s="117"/>
      <c r="XAH187" s="117"/>
      <c r="XAI187" s="117"/>
      <c r="XAJ187" s="117"/>
      <c r="XAK187" s="117"/>
      <c r="XAL187" s="117"/>
      <c r="XAM187" s="117"/>
      <c r="XAN187" s="117"/>
      <c r="XAO187" s="117"/>
      <c r="XAP187" s="117"/>
      <c r="XAQ187" s="117"/>
      <c r="XAR187" s="117"/>
      <c r="XAS187" s="117"/>
      <c r="XAT187" s="117"/>
      <c r="XAU187" s="117"/>
      <c r="XAV187" s="117"/>
      <c r="XAW187" s="117"/>
      <c r="XAX187" s="117"/>
      <c r="XAY187" s="117"/>
      <c r="XAZ187" s="117"/>
      <c r="XBA187" s="117"/>
      <c r="XBB187" s="117"/>
      <c r="XBC187" s="117"/>
      <c r="XBD187" s="117"/>
      <c r="XBE187" s="117"/>
      <c r="XBF187" s="117"/>
      <c r="XBG187" s="117"/>
      <c r="XBH187" s="117"/>
      <c r="XBI187" s="117"/>
      <c r="XBJ187" s="117"/>
      <c r="XBK187" s="117"/>
      <c r="XBL187" s="117"/>
      <c r="XBM187" s="117"/>
      <c r="XBN187" s="117"/>
      <c r="XBO187" s="117"/>
      <c r="XBP187" s="117"/>
      <c r="XBQ187" s="117"/>
      <c r="XBR187" s="117"/>
      <c r="XBS187" s="117"/>
      <c r="XBT187" s="117"/>
      <c r="XBU187" s="117"/>
      <c r="XBV187" s="117"/>
      <c r="XBW187" s="117"/>
      <c r="XBX187" s="117"/>
      <c r="XBY187" s="117"/>
      <c r="XBZ187" s="117"/>
      <c r="XCA187" s="117"/>
      <c r="XCB187" s="117"/>
      <c r="XCC187" s="117"/>
      <c r="XCD187" s="117"/>
      <c r="XCE187" s="117"/>
      <c r="XCF187" s="117"/>
      <c r="XCG187" s="117"/>
      <c r="XCH187" s="117"/>
      <c r="XCI187" s="117"/>
      <c r="XCJ187" s="117"/>
      <c r="XCK187" s="117"/>
      <c r="XCL187" s="117"/>
      <c r="XCM187" s="117"/>
      <c r="XCN187" s="117"/>
      <c r="XCO187" s="117"/>
      <c r="XCP187" s="117"/>
      <c r="XCQ187" s="117"/>
      <c r="XCR187" s="117"/>
      <c r="XCS187" s="117"/>
      <c r="XCT187" s="117"/>
      <c r="XCU187" s="117"/>
      <c r="XCV187" s="117"/>
      <c r="XCW187" s="117"/>
      <c r="XCX187" s="117"/>
      <c r="XCY187" s="117"/>
      <c r="XCZ187" s="117"/>
      <c r="XDA187" s="117"/>
      <c r="XDB187" s="117"/>
      <c r="XDC187" s="117"/>
      <c r="XDD187" s="117"/>
      <c r="XDE187" s="117"/>
      <c r="XDF187" s="117"/>
      <c r="XDG187" s="117"/>
      <c r="XDH187" s="117"/>
      <c r="XDI187" s="117"/>
      <c r="XDJ187" s="117"/>
      <c r="XDK187" s="117"/>
      <c r="XDL187" s="117"/>
      <c r="XDM187" s="117"/>
      <c r="XDN187" s="117"/>
      <c r="XDO187" s="117"/>
      <c r="XDP187" s="117"/>
      <c r="XDQ187" s="117"/>
      <c r="XDR187" s="117"/>
      <c r="XDS187" s="117"/>
      <c r="XDT187" s="117"/>
      <c r="XDU187" s="117"/>
      <c r="XDV187" s="117"/>
      <c r="XDW187" s="117"/>
      <c r="XDX187" s="117"/>
    </row>
    <row r="188" spans="1:16352" s="118" customFormat="1" ht="12.5" customHeight="1" x14ac:dyDescent="0.35">
      <c r="A188" s="116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117"/>
      <c r="BT188" s="117"/>
      <c r="BU188" s="117"/>
      <c r="BV188" s="117"/>
      <c r="BW188" s="117"/>
      <c r="BX188" s="117"/>
      <c r="BY188" s="117"/>
      <c r="BZ188" s="117"/>
      <c r="CA188" s="117"/>
      <c r="CB188" s="117"/>
      <c r="CC188" s="117"/>
      <c r="CD188" s="117"/>
      <c r="CE188" s="117"/>
      <c r="CF188" s="117"/>
      <c r="CG188" s="117"/>
      <c r="CH188" s="117"/>
      <c r="CI188" s="117"/>
      <c r="CJ188" s="117"/>
      <c r="CK188" s="117"/>
      <c r="CL188" s="117"/>
      <c r="CM188" s="117"/>
      <c r="CN188" s="117"/>
      <c r="CO188" s="117"/>
      <c r="CP188" s="117"/>
      <c r="CQ188" s="117"/>
      <c r="CR188" s="117"/>
      <c r="CS188" s="117"/>
      <c r="CT188" s="117"/>
      <c r="CU188" s="117"/>
      <c r="CV188" s="117"/>
      <c r="CW188" s="117"/>
      <c r="CX188" s="117"/>
      <c r="CY188" s="117"/>
      <c r="CZ188" s="117"/>
      <c r="DA188" s="117"/>
      <c r="DB188" s="117"/>
      <c r="DC188" s="117"/>
      <c r="DD188" s="117"/>
      <c r="DE188" s="117"/>
      <c r="DF188" s="117"/>
      <c r="DG188" s="117"/>
      <c r="DH188" s="117"/>
      <c r="DI188" s="117"/>
      <c r="DJ188" s="117"/>
      <c r="DK188" s="117"/>
      <c r="DL188" s="117"/>
      <c r="DM188" s="117"/>
      <c r="DN188" s="117"/>
      <c r="DO188" s="117"/>
      <c r="DP188" s="117"/>
      <c r="DQ188" s="117"/>
      <c r="DR188" s="117"/>
      <c r="DS188" s="117"/>
      <c r="DT188" s="117"/>
      <c r="DU188" s="117"/>
      <c r="DV188" s="117"/>
      <c r="DW188" s="117"/>
      <c r="DX188" s="117"/>
      <c r="DY188" s="117"/>
      <c r="DZ188" s="117"/>
      <c r="EA188" s="117"/>
      <c r="EB188" s="117"/>
      <c r="EC188" s="117"/>
      <c r="ED188" s="117"/>
      <c r="EE188" s="117"/>
      <c r="EF188" s="117"/>
      <c r="EG188" s="117"/>
      <c r="EH188" s="117"/>
      <c r="EI188" s="117"/>
      <c r="EJ188" s="117"/>
      <c r="EK188" s="117"/>
      <c r="EL188" s="117"/>
      <c r="EM188" s="117"/>
      <c r="EN188" s="117"/>
      <c r="EO188" s="117"/>
      <c r="EP188" s="117"/>
      <c r="EQ188" s="117"/>
      <c r="ER188" s="117"/>
      <c r="ES188" s="117"/>
      <c r="ET188" s="117"/>
      <c r="EU188" s="117"/>
      <c r="EV188" s="117"/>
      <c r="EW188" s="117"/>
      <c r="EX188" s="117"/>
      <c r="EY188" s="117"/>
      <c r="EZ188" s="117"/>
      <c r="FA188" s="117"/>
      <c r="FB188" s="117"/>
      <c r="FC188" s="117"/>
      <c r="FD188" s="117"/>
      <c r="FE188" s="117"/>
      <c r="FF188" s="117"/>
      <c r="FG188" s="117"/>
      <c r="FH188" s="117"/>
      <c r="FI188" s="117"/>
      <c r="FJ188" s="117"/>
      <c r="FK188" s="117"/>
      <c r="FL188" s="117"/>
      <c r="FM188" s="117"/>
      <c r="FN188" s="117"/>
      <c r="FO188" s="117"/>
      <c r="FP188" s="117"/>
      <c r="FQ188" s="117"/>
      <c r="FR188" s="117"/>
      <c r="FS188" s="117"/>
      <c r="FT188" s="117"/>
      <c r="FU188" s="117"/>
      <c r="FV188" s="117"/>
      <c r="FW188" s="117"/>
      <c r="FX188" s="117"/>
      <c r="FY188" s="117"/>
      <c r="FZ188" s="117"/>
      <c r="GA188" s="117"/>
      <c r="GB188" s="117"/>
      <c r="GC188" s="117"/>
      <c r="GD188" s="117"/>
      <c r="GE188" s="117"/>
      <c r="GF188" s="117"/>
      <c r="GG188" s="117"/>
      <c r="GH188" s="117"/>
      <c r="GI188" s="117"/>
      <c r="GJ188" s="117"/>
      <c r="GK188" s="117"/>
      <c r="GL188" s="117"/>
      <c r="GM188" s="117"/>
      <c r="GN188" s="117"/>
      <c r="GO188" s="117"/>
      <c r="GP188" s="117"/>
      <c r="GQ188" s="117"/>
      <c r="GR188" s="117"/>
      <c r="GS188" s="117"/>
      <c r="GT188" s="117"/>
      <c r="GU188" s="117"/>
      <c r="GV188" s="117"/>
      <c r="GW188" s="117"/>
      <c r="GX188" s="117"/>
      <c r="GY188" s="117"/>
      <c r="GZ188" s="117"/>
      <c r="HA188" s="117"/>
      <c r="HB188" s="117"/>
      <c r="HC188" s="117"/>
      <c r="HD188" s="117"/>
      <c r="HE188" s="117"/>
      <c r="HF188" s="117"/>
      <c r="HG188" s="117"/>
      <c r="HH188" s="117"/>
      <c r="HI188" s="117"/>
      <c r="HJ188" s="117"/>
      <c r="HK188" s="117"/>
      <c r="HL188" s="117"/>
      <c r="HM188" s="117"/>
      <c r="HN188" s="117"/>
      <c r="HO188" s="117"/>
      <c r="HP188" s="117"/>
      <c r="HQ188" s="117"/>
      <c r="HR188" s="117"/>
      <c r="HS188" s="117"/>
      <c r="HT188" s="117"/>
      <c r="HU188" s="117"/>
      <c r="HV188" s="117"/>
      <c r="HW188" s="117"/>
      <c r="HX188" s="117"/>
      <c r="HY188" s="117"/>
      <c r="HZ188" s="117"/>
      <c r="IA188" s="117"/>
      <c r="IB188" s="117"/>
      <c r="IC188" s="117"/>
      <c r="ID188" s="117"/>
      <c r="IE188" s="117"/>
      <c r="IF188" s="117"/>
      <c r="IG188" s="117"/>
      <c r="IH188" s="117"/>
      <c r="II188" s="117"/>
      <c r="IJ188" s="117"/>
      <c r="IK188" s="117"/>
      <c r="IL188" s="117"/>
      <c r="IM188" s="117"/>
      <c r="IN188" s="117"/>
      <c r="IO188" s="117"/>
      <c r="IP188" s="117"/>
      <c r="IQ188" s="117"/>
      <c r="IR188" s="117"/>
      <c r="IS188" s="117"/>
      <c r="IT188" s="117"/>
      <c r="IU188" s="117"/>
      <c r="IV188" s="117"/>
      <c r="IW188" s="117"/>
      <c r="IX188" s="117"/>
      <c r="IY188" s="117"/>
      <c r="IZ188" s="117"/>
      <c r="JA188" s="117"/>
      <c r="JB188" s="117"/>
      <c r="JC188" s="117"/>
      <c r="JD188" s="117"/>
      <c r="JE188" s="117"/>
      <c r="JF188" s="117"/>
      <c r="JG188" s="117"/>
      <c r="JH188" s="117"/>
      <c r="JI188" s="117"/>
      <c r="JJ188" s="117"/>
      <c r="JK188" s="117"/>
      <c r="JL188" s="117"/>
      <c r="JM188" s="117"/>
      <c r="JN188" s="117"/>
      <c r="JO188" s="117"/>
      <c r="JP188" s="117"/>
      <c r="JQ188" s="117"/>
      <c r="JR188" s="117"/>
      <c r="JS188" s="117"/>
      <c r="JT188" s="117"/>
      <c r="JU188" s="117"/>
      <c r="JV188" s="117"/>
      <c r="JW188" s="117"/>
      <c r="JX188" s="117"/>
      <c r="JY188" s="117"/>
      <c r="JZ188" s="117"/>
      <c r="KA188" s="117"/>
      <c r="KB188" s="117"/>
      <c r="KC188" s="117"/>
      <c r="KD188" s="117"/>
      <c r="KE188" s="117"/>
      <c r="KF188" s="117"/>
      <c r="KG188" s="117"/>
      <c r="KH188" s="117"/>
      <c r="KI188" s="117"/>
      <c r="KJ188" s="117"/>
      <c r="KK188" s="117"/>
      <c r="KL188" s="117"/>
      <c r="KM188" s="117"/>
      <c r="KN188" s="117"/>
      <c r="KO188" s="117"/>
      <c r="KP188" s="117"/>
      <c r="KQ188" s="117"/>
      <c r="KR188" s="117"/>
      <c r="KS188" s="117"/>
      <c r="KT188" s="117"/>
      <c r="KU188" s="117"/>
      <c r="KV188" s="117"/>
      <c r="KW188" s="117"/>
      <c r="KX188" s="117"/>
      <c r="KY188" s="117"/>
      <c r="KZ188" s="117"/>
      <c r="LA188" s="117"/>
      <c r="LB188" s="117"/>
      <c r="LC188" s="117"/>
      <c r="LD188" s="117"/>
      <c r="LE188" s="117"/>
      <c r="LF188" s="117"/>
      <c r="LG188" s="117"/>
      <c r="LH188" s="117"/>
      <c r="LI188" s="117"/>
      <c r="LJ188" s="117"/>
      <c r="LK188" s="117"/>
      <c r="LL188" s="117"/>
      <c r="LM188" s="117"/>
      <c r="LN188" s="117"/>
      <c r="LO188" s="117"/>
      <c r="LP188" s="117"/>
      <c r="LQ188" s="117"/>
      <c r="LR188" s="117"/>
      <c r="LS188" s="117"/>
      <c r="LT188" s="117"/>
      <c r="LU188" s="117"/>
      <c r="LV188" s="117"/>
      <c r="LW188" s="117"/>
      <c r="LX188" s="117"/>
      <c r="LY188" s="117"/>
      <c r="LZ188" s="117"/>
      <c r="MA188" s="117"/>
      <c r="MB188" s="117"/>
      <c r="MC188" s="117"/>
      <c r="MD188" s="117"/>
      <c r="ME188" s="117"/>
      <c r="MF188" s="117"/>
      <c r="MG188" s="117"/>
      <c r="MH188" s="117"/>
      <c r="MI188" s="117"/>
      <c r="MJ188" s="117"/>
      <c r="MK188" s="117"/>
      <c r="ML188" s="117"/>
      <c r="MM188" s="117"/>
      <c r="MN188" s="117"/>
      <c r="MO188" s="117"/>
      <c r="MP188" s="117"/>
      <c r="MQ188" s="117"/>
      <c r="MR188" s="117"/>
      <c r="MS188" s="117"/>
      <c r="MT188" s="117"/>
      <c r="MU188" s="117"/>
      <c r="MV188" s="117"/>
      <c r="MW188" s="117"/>
      <c r="MX188" s="117"/>
      <c r="MY188" s="117"/>
      <c r="MZ188" s="117"/>
      <c r="NA188" s="117"/>
      <c r="NB188" s="117"/>
      <c r="NC188" s="117"/>
      <c r="ND188" s="117"/>
      <c r="NE188" s="117"/>
      <c r="NF188" s="117"/>
      <c r="NG188" s="117"/>
      <c r="NH188" s="117"/>
      <c r="NI188" s="117"/>
      <c r="NJ188" s="117"/>
      <c r="NK188" s="117"/>
      <c r="NL188" s="117"/>
      <c r="NM188" s="117"/>
      <c r="NN188" s="117"/>
      <c r="NO188" s="117"/>
      <c r="NP188" s="117"/>
      <c r="NQ188" s="117"/>
      <c r="NR188" s="117"/>
      <c r="NS188" s="117"/>
      <c r="NT188" s="117"/>
      <c r="NU188" s="117"/>
      <c r="NV188" s="117"/>
      <c r="NW188" s="117"/>
      <c r="NX188" s="117"/>
      <c r="NY188" s="117"/>
      <c r="NZ188" s="117"/>
      <c r="OA188" s="117"/>
      <c r="OB188" s="117"/>
      <c r="OC188" s="117"/>
      <c r="OD188" s="117"/>
      <c r="OE188" s="117"/>
      <c r="OF188" s="117"/>
      <c r="OG188" s="117"/>
      <c r="OH188" s="117"/>
      <c r="OI188" s="117"/>
      <c r="OJ188" s="117"/>
      <c r="OK188" s="117"/>
      <c r="OL188" s="117"/>
      <c r="OM188" s="117"/>
      <c r="ON188" s="117"/>
      <c r="OO188" s="117"/>
      <c r="OP188" s="117"/>
      <c r="OQ188" s="117"/>
      <c r="OR188" s="117"/>
      <c r="OS188" s="117"/>
      <c r="OT188" s="117"/>
      <c r="OU188" s="117"/>
      <c r="OV188" s="117"/>
      <c r="OW188" s="117"/>
      <c r="OX188" s="117"/>
      <c r="OY188" s="117"/>
      <c r="OZ188" s="117"/>
      <c r="PA188" s="117"/>
      <c r="PB188" s="117"/>
      <c r="PC188" s="117"/>
      <c r="PD188" s="117"/>
      <c r="PE188" s="117"/>
      <c r="PF188" s="117"/>
      <c r="PG188" s="117"/>
      <c r="PH188" s="117"/>
      <c r="PI188" s="117"/>
      <c r="PJ188" s="117"/>
      <c r="PK188" s="117"/>
      <c r="PL188" s="117"/>
      <c r="PM188" s="117"/>
      <c r="PN188" s="117"/>
      <c r="PO188" s="117"/>
      <c r="PP188" s="117"/>
      <c r="PQ188" s="117"/>
      <c r="PR188" s="117"/>
      <c r="PS188" s="117"/>
      <c r="PT188" s="117"/>
      <c r="PU188" s="117"/>
      <c r="PV188" s="117"/>
      <c r="PW188" s="117"/>
      <c r="PX188" s="117"/>
      <c r="PY188" s="117"/>
      <c r="PZ188" s="117"/>
      <c r="QA188" s="117"/>
      <c r="QB188" s="117"/>
      <c r="QC188" s="117"/>
      <c r="QD188" s="117"/>
      <c r="QE188" s="117"/>
      <c r="QF188" s="117"/>
      <c r="QG188" s="117"/>
      <c r="QH188" s="117"/>
      <c r="QI188" s="117"/>
      <c r="QJ188" s="117"/>
      <c r="QK188" s="117"/>
      <c r="QL188" s="117"/>
      <c r="QM188" s="117"/>
      <c r="QN188" s="117"/>
      <c r="QO188" s="117"/>
      <c r="QP188" s="117"/>
      <c r="QQ188" s="117"/>
      <c r="QR188" s="117"/>
      <c r="QS188" s="117"/>
      <c r="QT188" s="117"/>
      <c r="QU188" s="117"/>
      <c r="QV188" s="117"/>
      <c r="QW188" s="117"/>
      <c r="QX188" s="117"/>
      <c r="QY188" s="117"/>
      <c r="QZ188" s="117"/>
      <c r="RA188" s="117"/>
      <c r="RB188" s="117"/>
      <c r="RC188" s="117"/>
      <c r="RD188" s="117"/>
      <c r="RE188" s="117"/>
      <c r="RF188" s="117"/>
      <c r="RG188" s="117"/>
      <c r="RH188" s="117"/>
      <c r="RI188" s="117"/>
      <c r="RJ188" s="117"/>
      <c r="RK188" s="117"/>
      <c r="RL188" s="117"/>
      <c r="RM188" s="117"/>
      <c r="RN188" s="117"/>
      <c r="RO188" s="117"/>
      <c r="RP188" s="117"/>
      <c r="RQ188" s="117"/>
      <c r="RR188" s="117"/>
      <c r="RS188" s="117"/>
      <c r="RT188" s="117"/>
      <c r="RU188" s="117"/>
      <c r="RV188" s="117"/>
      <c r="RW188" s="117"/>
      <c r="RX188" s="117"/>
      <c r="RY188" s="117"/>
      <c r="RZ188" s="117"/>
      <c r="SA188" s="117"/>
      <c r="SB188" s="117"/>
      <c r="SC188" s="117"/>
      <c r="SD188" s="117"/>
      <c r="SE188" s="117"/>
      <c r="SF188" s="117"/>
      <c r="SG188" s="117"/>
      <c r="SH188" s="117"/>
      <c r="SI188" s="117"/>
      <c r="SJ188" s="117"/>
      <c r="SK188" s="117"/>
      <c r="SL188" s="117"/>
      <c r="SM188" s="117"/>
      <c r="SN188" s="117"/>
      <c r="SO188" s="117"/>
      <c r="SP188" s="117"/>
      <c r="SQ188" s="117"/>
      <c r="SR188" s="117"/>
      <c r="SS188" s="117"/>
      <c r="ST188" s="117"/>
      <c r="SU188" s="117"/>
      <c r="SV188" s="117"/>
      <c r="SW188" s="117"/>
      <c r="SX188" s="117"/>
      <c r="SY188" s="117"/>
      <c r="SZ188" s="117"/>
      <c r="TA188" s="117"/>
      <c r="TB188" s="117"/>
      <c r="TC188" s="117"/>
      <c r="TD188" s="117"/>
      <c r="TE188" s="117"/>
      <c r="TF188" s="117"/>
      <c r="TG188" s="117"/>
      <c r="TH188" s="117"/>
      <c r="TI188" s="117"/>
      <c r="TJ188" s="117"/>
      <c r="TK188" s="117"/>
      <c r="TL188" s="117"/>
      <c r="TM188" s="117"/>
      <c r="TN188" s="117"/>
      <c r="TO188" s="117"/>
      <c r="TP188" s="117"/>
      <c r="TQ188" s="117"/>
      <c r="TR188" s="117"/>
      <c r="TS188" s="117"/>
      <c r="TT188" s="117"/>
      <c r="TU188" s="117"/>
      <c r="TV188" s="117"/>
      <c r="TW188" s="117"/>
      <c r="TX188" s="117"/>
      <c r="TY188" s="117"/>
      <c r="TZ188" s="117"/>
      <c r="UA188" s="117"/>
      <c r="UB188" s="117"/>
      <c r="UC188" s="117"/>
      <c r="UD188" s="117"/>
      <c r="UE188" s="117"/>
      <c r="UF188" s="117"/>
      <c r="UG188" s="117"/>
      <c r="UH188" s="117"/>
      <c r="UI188" s="117"/>
      <c r="UJ188" s="117"/>
      <c r="UK188" s="117"/>
      <c r="UL188" s="117"/>
      <c r="UM188" s="117"/>
      <c r="UN188" s="117"/>
      <c r="UO188" s="117"/>
      <c r="UP188" s="117"/>
      <c r="UQ188" s="117"/>
      <c r="UR188" s="117"/>
      <c r="US188" s="117"/>
      <c r="UT188" s="117"/>
      <c r="UU188" s="117"/>
      <c r="UV188" s="117"/>
      <c r="UW188" s="117"/>
      <c r="UX188" s="117"/>
      <c r="UY188" s="117"/>
      <c r="UZ188" s="117"/>
      <c r="VA188" s="117"/>
      <c r="VB188" s="117"/>
      <c r="VC188" s="117"/>
      <c r="VD188" s="117"/>
      <c r="VE188" s="117"/>
      <c r="VF188" s="117"/>
      <c r="VG188" s="117"/>
      <c r="VH188" s="117"/>
      <c r="VI188" s="117"/>
      <c r="VJ188" s="117"/>
      <c r="VK188" s="117"/>
      <c r="VL188" s="117"/>
      <c r="VM188" s="117"/>
      <c r="VN188" s="117"/>
      <c r="VO188" s="117"/>
      <c r="VP188" s="117"/>
      <c r="VQ188" s="117"/>
      <c r="VR188" s="117"/>
      <c r="VS188" s="117"/>
      <c r="VT188" s="117"/>
      <c r="VU188" s="117"/>
      <c r="VV188" s="117"/>
      <c r="VW188" s="117"/>
      <c r="VX188" s="117"/>
      <c r="VY188" s="117"/>
      <c r="VZ188" s="117"/>
      <c r="WA188" s="117"/>
      <c r="WB188" s="117"/>
      <c r="WC188" s="117"/>
      <c r="WD188" s="117"/>
      <c r="WE188" s="117"/>
      <c r="WF188" s="117"/>
      <c r="WG188" s="117"/>
      <c r="WH188" s="117"/>
      <c r="WI188" s="117"/>
      <c r="WJ188" s="117"/>
      <c r="WK188" s="117"/>
      <c r="WL188" s="117"/>
      <c r="WM188" s="117"/>
      <c r="WN188" s="117"/>
      <c r="WO188" s="117"/>
      <c r="WP188" s="117"/>
      <c r="WQ188" s="117"/>
      <c r="WR188" s="117"/>
      <c r="WS188" s="117"/>
      <c r="WT188" s="117"/>
      <c r="WU188" s="117"/>
      <c r="WV188" s="117"/>
      <c r="WW188" s="117"/>
      <c r="WX188" s="117"/>
      <c r="WY188" s="117"/>
      <c r="WZ188" s="117"/>
      <c r="XA188" s="117"/>
      <c r="XB188" s="117"/>
      <c r="XC188" s="117"/>
      <c r="XD188" s="117"/>
      <c r="XE188" s="117"/>
      <c r="XF188" s="117"/>
      <c r="XG188" s="117"/>
      <c r="XH188" s="117"/>
      <c r="XI188" s="117"/>
      <c r="XJ188" s="117"/>
      <c r="XK188" s="117"/>
      <c r="XL188" s="117"/>
      <c r="XM188" s="117"/>
      <c r="XN188" s="117"/>
      <c r="XO188" s="117"/>
      <c r="XP188" s="117"/>
      <c r="XQ188" s="117"/>
      <c r="XR188" s="117"/>
      <c r="XS188" s="117"/>
      <c r="XT188" s="117"/>
      <c r="XU188" s="117"/>
      <c r="XV188" s="117"/>
      <c r="XW188" s="117"/>
      <c r="XX188" s="117"/>
      <c r="XY188" s="117"/>
      <c r="XZ188" s="117"/>
      <c r="YA188" s="117"/>
      <c r="YB188" s="117"/>
      <c r="YC188" s="117"/>
      <c r="YD188" s="117"/>
      <c r="YE188" s="117"/>
      <c r="YF188" s="117"/>
      <c r="YG188" s="117"/>
      <c r="YH188" s="117"/>
      <c r="YI188" s="117"/>
      <c r="YJ188" s="117"/>
      <c r="YK188" s="117"/>
      <c r="YL188" s="117"/>
      <c r="YM188" s="117"/>
      <c r="YN188" s="117"/>
      <c r="YO188" s="117"/>
      <c r="YP188" s="117"/>
      <c r="YQ188" s="117"/>
      <c r="YR188" s="117"/>
      <c r="YS188" s="117"/>
      <c r="YT188" s="117"/>
      <c r="YU188" s="117"/>
      <c r="YV188" s="117"/>
      <c r="YW188" s="117"/>
      <c r="YX188" s="117"/>
      <c r="YY188" s="117"/>
      <c r="YZ188" s="117"/>
      <c r="ZA188" s="117"/>
      <c r="ZB188" s="117"/>
      <c r="ZC188" s="117"/>
      <c r="ZD188" s="117"/>
      <c r="ZE188" s="117"/>
      <c r="ZF188" s="117"/>
      <c r="ZG188" s="117"/>
      <c r="ZH188" s="117"/>
      <c r="ZI188" s="117"/>
      <c r="ZJ188" s="117"/>
      <c r="ZK188" s="117"/>
      <c r="ZL188" s="117"/>
      <c r="ZM188" s="117"/>
      <c r="ZN188" s="117"/>
      <c r="ZO188" s="117"/>
      <c r="ZP188" s="117"/>
      <c r="ZQ188" s="117"/>
      <c r="ZR188" s="117"/>
      <c r="ZS188" s="117"/>
      <c r="ZT188" s="117"/>
      <c r="ZU188" s="117"/>
      <c r="ZV188" s="117"/>
      <c r="ZW188" s="117"/>
      <c r="ZX188" s="117"/>
      <c r="ZY188" s="117"/>
      <c r="ZZ188" s="117"/>
      <c r="AAA188" s="117"/>
      <c r="AAB188" s="117"/>
      <c r="AAC188" s="117"/>
      <c r="AAD188" s="117"/>
      <c r="AAE188" s="117"/>
      <c r="AAF188" s="117"/>
      <c r="AAG188" s="117"/>
      <c r="AAH188" s="117"/>
      <c r="AAI188" s="117"/>
      <c r="AAJ188" s="117"/>
      <c r="AAK188" s="117"/>
      <c r="AAL188" s="117"/>
      <c r="AAM188" s="117"/>
      <c r="AAN188" s="117"/>
      <c r="AAO188" s="117"/>
      <c r="AAP188" s="117"/>
      <c r="AAQ188" s="117"/>
      <c r="AAR188" s="117"/>
      <c r="AAS188" s="117"/>
      <c r="AAT188" s="117"/>
      <c r="AAU188" s="117"/>
      <c r="AAV188" s="117"/>
      <c r="AAW188" s="117"/>
      <c r="AAX188" s="117"/>
      <c r="AAY188" s="117"/>
      <c r="AAZ188" s="117"/>
      <c r="ABA188" s="117"/>
      <c r="ABB188" s="117"/>
      <c r="ABC188" s="117"/>
      <c r="ABD188" s="117"/>
      <c r="ABE188" s="117"/>
      <c r="ABF188" s="117"/>
      <c r="ABG188" s="117"/>
      <c r="ABH188" s="117"/>
      <c r="ABI188" s="117"/>
      <c r="ABJ188" s="117"/>
      <c r="ABK188" s="117"/>
      <c r="ABL188" s="117"/>
      <c r="ABM188" s="117"/>
      <c r="ABN188" s="117"/>
      <c r="ABO188" s="117"/>
      <c r="ABP188" s="117"/>
      <c r="ABQ188" s="117"/>
      <c r="ABR188" s="117"/>
      <c r="ABS188" s="117"/>
      <c r="ABT188" s="117"/>
      <c r="ABU188" s="117"/>
      <c r="ABV188" s="117"/>
      <c r="ABW188" s="117"/>
      <c r="ABX188" s="117"/>
      <c r="ABY188" s="117"/>
      <c r="ABZ188" s="117"/>
      <c r="ACA188" s="117"/>
      <c r="ACB188" s="117"/>
      <c r="ACC188" s="117"/>
      <c r="ACD188" s="117"/>
      <c r="ACE188" s="117"/>
      <c r="ACF188" s="117"/>
      <c r="ACG188" s="117"/>
      <c r="ACH188" s="117"/>
      <c r="ACI188" s="117"/>
      <c r="ACJ188" s="117"/>
      <c r="ACK188" s="117"/>
      <c r="ACL188" s="117"/>
      <c r="ACM188" s="117"/>
      <c r="ACN188" s="117"/>
      <c r="ACO188" s="117"/>
      <c r="ACP188" s="117"/>
      <c r="ACQ188" s="117"/>
      <c r="ACR188" s="117"/>
      <c r="ACS188" s="117"/>
      <c r="ACT188" s="117"/>
      <c r="ACU188" s="117"/>
      <c r="ACV188" s="117"/>
      <c r="ACW188" s="117"/>
      <c r="ACX188" s="117"/>
      <c r="ACY188" s="117"/>
      <c r="ACZ188" s="117"/>
      <c r="ADA188" s="117"/>
      <c r="ADB188" s="117"/>
      <c r="ADC188" s="117"/>
      <c r="ADD188" s="117"/>
      <c r="ADE188" s="117"/>
      <c r="ADF188" s="117"/>
      <c r="ADG188" s="117"/>
      <c r="ADH188" s="117"/>
      <c r="ADI188" s="117"/>
      <c r="ADJ188" s="117"/>
      <c r="ADK188" s="117"/>
      <c r="ADL188" s="117"/>
      <c r="ADM188" s="117"/>
      <c r="ADN188" s="117"/>
      <c r="ADO188" s="117"/>
      <c r="ADP188" s="117"/>
      <c r="ADQ188" s="117"/>
      <c r="ADR188" s="117"/>
      <c r="ADS188" s="117"/>
      <c r="ADT188" s="117"/>
      <c r="ADU188" s="117"/>
      <c r="ADV188" s="117"/>
      <c r="ADW188" s="117"/>
      <c r="ADX188" s="117"/>
      <c r="ADY188" s="117"/>
      <c r="ADZ188" s="117"/>
      <c r="AEA188" s="117"/>
      <c r="AEB188" s="117"/>
      <c r="AEC188" s="117"/>
      <c r="AED188" s="117"/>
      <c r="AEE188" s="117"/>
      <c r="AEF188" s="117"/>
      <c r="AEG188" s="117"/>
      <c r="AEH188" s="117"/>
      <c r="AEI188" s="117"/>
      <c r="AEJ188" s="117"/>
      <c r="AEK188" s="117"/>
      <c r="AEL188" s="117"/>
      <c r="AEM188" s="117"/>
      <c r="AEN188" s="117"/>
      <c r="AEO188" s="117"/>
      <c r="AEP188" s="117"/>
      <c r="AEQ188" s="117"/>
      <c r="AER188" s="117"/>
      <c r="AES188" s="117"/>
      <c r="AET188" s="117"/>
      <c r="AEU188" s="117"/>
      <c r="AEV188" s="117"/>
      <c r="AEW188" s="117"/>
      <c r="AEX188" s="117"/>
      <c r="AEY188" s="117"/>
      <c r="AEZ188" s="117"/>
      <c r="AFA188" s="117"/>
      <c r="AFB188" s="117"/>
      <c r="AFC188" s="117"/>
      <c r="AFD188" s="117"/>
      <c r="AFE188" s="117"/>
      <c r="AFF188" s="117"/>
      <c r="AFG188" s="117"/>
      <c r="AFH188" s="117"/>
      <c r="AFI188" s="117"/>
      <c r="AFJ188" s="117"/>
      <c r="AFK188" s="117"/>
      <c r="AFL188" s="117"/>
      <c r="AFM188" s="117"/>
      <c r="AFN188" s="117"/>
      <c r="AFO188" s="117"/>
      <c r="AFP188" s="117"/>
      <c r="AFQ188" s="117"/>
      <c r="AFR188" s="117"/>
      <c r="AFS188" s="117"/>
      <c r="AFT188" s="117"/>
      <c r="AFU188" s="117"/>
      <c r="AFV188" s="117"/>
      <c r="AFW188" s="117"/>
      <c r="AFX188" s="117"/>
      <c r="AFY188" s="117"/>
      <c r="AFZ188" s="117"/>
      <c r="AGA188" s="117"/>
      <c r="AGB188" s="117"/>
      <c r="AGC188" s="117"/>
      <c r="AGD188" s="117"/>
      <c r="AGE188" s="117"/>
      <c r="AGF188" s="117"/>
      <c r="AGG188" s="117"/>
      <c r="AGH188" s="117"/>
      <c r="AGI188" s="117"/>
      <c r="AGJ188" s="117"/>
      <c r="AGK188" s="117"/>
      <c r="AGL188" s="117"/>
      <c r="AGM188" s="117"/>
      <c r="AGN188" s="117"/>
      <c r="AGO188" s="117"/>
      <c r="AGP188" s="117"/>
      <c r="AGQ188" s="117"/>
      <c r="AGR188" s="117"/>
      <c r="AGS188" s="117"/>
      <c r="AGT188" s="117"/>
      <c r="AGU188" s="117"/>
      <c r="AGV188" s="117"/>
      <c r="AGW188" s="117"/>
      <c r="AGX188" s="117"/>
      <c r="AGY188" s="117"/>
      <c r="AGZ188" s="117"/>
      <c r="AHA188" s="117"/>
      <c r="AHB188" s="117"/>
      <c r="AHC188" s="117"/>
      <c r="AHD188" s="117"/>
      <c r="AHE188" s="117"/>
      <c r="AHF188" s="117"/>
      <c r="AHG188" s="117"/>
      <c r="AHH188" s="117"/>
      <c r="AHI188" s="117"/>
      <c r="AHJ188" s="117"/>
      <c r="AHK188" s="117"/>
      <c r="AHL188" s="117"/>
      <c r="AHM188" s="117"/>
      <c r="AHN188" s="117"/>
      <c r="AHO188" s="117"/>
      <c r="AHP188" s="117"/>
      <c r="AHQ188" s="117"/>
      <c r="AHR188" s="117"/>
      <c r="AHS188" s="117"/>
      <c r="AHT188" s="117"/>
      <c r="AHU188" s="117"/>
      <c r="AHV188" s="117"/>
      <c r="AHW188" s="117"/>
      <c r="AHX188" s="117"/>
      <c r="AHY188" s="117"/>
      <c r="AHZ188" s="117"/>
      <c r="AIA188" s="117"/>
      <c r="AIB188" s="117"/>
      <c r="AIC188" s="117"/>
      <c r="AID188" s="117"/>
      <c r="AIE188" s="117"/>
      <c r="AIF188" s="117"/>
      <c r="AIG188" s="117"/>
      <c r="AIH188" s="117"/>
      <c r="AII188" s="117"/>
      <c r="AIJ188" s="117"/>
      <c r="AIK188" s="117"/>
      <c r="AIL188" s="117"/>
      <c r="AIM188" s="117"/>
      <c r="AIN188" s="117"/>
      <c r="AIO188" s="117"/>
      <c r="AIP188" s="117"/>
      <c r="AIQ188" s="117"/>
      <c r="AIR188" s="117"/>
      <c r="AIS188" s="117"/>
      <c r="AIT188" s="117"/>
      <c r="AIU188" s="117"/>
      <c r="AIV188" s="117"/>
      <c r="AIW188" s="117"/>
      <c r="AIX188" s="117"/>
      <c r="AIY188" s="117"/>
      <c r="AIZ188" s="117"/>
      <c r="AJA188" s="117"/>
      <c r="AJB188" s="117"/>
      <c r="AJC188" s="117"/>
      <c r="AJD188" s="117"/>
      <c r="AJE188" s="117"/>
      <c r="AJF188" s="117"/>
      <c r="AJG188" s="117"/>
      <c r="AJH188" s="117"/>
      <c r="AJI188" s="117"/>
      <c r="AJJ188" s="117"/>
      <c r="AJK188" s="117"/>
      <c r="AJL188" s="117"/>
      <c r="AJM188" s="117"/>
      <c r="AJN188" s="117"/>
      <c r="AJO188" s="117"/>
      <c r="AJP188" s="117"/>
      <c r="AJQ188" s="117"/>
      <c r="AJR188" s="117"/>
      <c r="AJS188" s="117"/>
      <c r="AJT188" s="117"/>
      <c r="AJU188" s="117"/>
      <c r="AJV188" s="117"/>
      <c r="AJW188" s="117"/>
      <c r="AJX188" s="117"/>
      <c r="AJY188" s="117"/>
      <c r="AJZ188" s="117"/>
      <c r="AKA188" s="117"/>
      <c r="AKB188" s="117"/>
      <c r="AKC188" s="117"/>
      <c r="AKD188" s="117"/>
      <c r="AKE188" s="117"/>
      <c r="AKF188" s="117"/>
      <c r="AKG188" s="117"/>
      <c r="AKH188" s="117"/>
      <c r="AKI188" s="117"/>
      <c r="AKJ188" s="117"/>
      <c r="AKK188" s="117"/>
      <c r="AKL188" s="117"/>
      <c r="AKM188" s="117"/>
      <c r="AKN188" s="117"/>
      <c r="AKO188" s="117"/>
      <c r="AKP188" s="117"/>
      <c r="AKQ188" s="117"/>
      <c r="AKR188" s="117"/>
      <c r="AKS188" s="117"/>
      <c r="AKT188" s="117"/>
      <c r="AKU188" s="117"/>
      <c r="AKV188" s="117"/>
      <c r="AKW188" s="117"/>
      <c r="AKX188" s="117"/>
      <c r="AKY188" s="117"/>
      <c r="AKZ188" s="117"/>
      <c r="ALA188" s="117"/>
      <c r="ALB188" s="117"/>
      <c r="ALC188" s="117"/>
      <c r="ALD188" s="117"/>
      <c r="ALE188" s="117"/>
      <c r="ALF188" s="117"/>
      <c r="ALG188" s="117"/>
      <c r="ALH188" s="117"/>
      <c r="ALI188" s="117"/>
      <c r="ALJ188" s="117"/>
      <c r="ALK188" s="117"/>
      <c r="ALL188" s="117"/>
      <c r="ALM188" s="117"/>
      <c r="ALN188" s="117"/>
      <c r="ALO188" s="117"/>
      <c r="ALP188" s="117"/>
      <c r="ALQ188" s="117"/>
      <c r="ALR188" s="117"/>
      <c r="ALS188" s="117"/>
      <c r="ALT188" s="117"/>
      <c r="ALU188" s="117"/>
      <c r="ALV188" s="117"/>
      <c r="ALW188" s="117"/>
      <c r="ALX188" s="117"/>
      <c r="ALY188" s="117"/>
      <c r="ALZ188" s="117"/>
      <c r="AMA188" s="117"/>
      <c r="AMB188" s="117"/>
      <c r="AMC188" s="117"/>
      <c r="AMD188" s="117"/>
      <c r="AME188" s="117"/>
      <c r="AMF188" s="117"/>
      <c r="AMG188" s="117"/>
      <c r="AMH188" s="117"/>
      <c r="AMI188" s="117"/>
      <c r="AMJ188" s="117"/>
      <c r="AMK188" s="117"/>
      <c r="AML188" s="117"/>
      <c r="AMM188" s="117"/>
      <c r="AMN188" s="117"/>
      <c r="AMO188" s="117"/>
      <c r="AMP188" s="117"/>
      <c r="AMQ188" s="117"/>
      <c r="AMR188" s="117"/>
      <c r="AMS188" s="117"/>
      <c r="AMT188" s="117"/>
      <c r="AMU188" s="117"/>
      <c r="AMV188" s="117"/>
      <c r="AMW188" s="117"/>
      <c r="AMX188" s="117"/>
      <c r="AMY188" s="117"/>
      <c r="AMZ188" s="117"/>
      <c r="ANA188" s="117"/>
      <c r="ANB188" s="117"/>
      <c r="ANC188" s="117"/>
      <c r="AND188" s="117"/>
      <c r="ANE188" s="117"/>
      <c r="ANF188" s="117"/>
      <c r="ANG188" s="117"/>
      <c r="ANH188" s="117"/>
      <c r="ANI188" s="117"/>
      <c r="ANJ188" s="117"/>
      <c r="ANK188" s="117"/>
      <c r="ANL188" s="117"/>
      <c r="ANM188" s="117"/>
      <c r="ANN188" s="117"/>
      <c r="ANO188" s="117"/>
      <c r="ANP188" s="117"/>
      <c r="ANQ188" s="117"/>
      <c r="ANR188" s="117"/>
      <c r="ANS188" s="117"/>
      <c r="ANT188" s="117"/>
      <c r="ANU188" s="117"/>
      <c r="ANV188" s="117"/>
      <c r="ANW188" s="117"/>
      <c r="ANX188" s="117"/>
      <c r="ANY188" s="117"/>
      <c r="ANZ188" s="117"/>
      <c r="AOA188" s="117"/>
      <c r="AOB188" s="117"/>
      <c r="AOC188" s="117"/>
      <c r="AOD188" s="117"/>
      <c r="AOE188" s="117"/>
      <c r="AOF188" s="117"/>
      <c r="AOG188" s="117"/>
      <c r="AOH188" s="117"/>
      <c r="AOI188" s="117"/>
      <c r="AOJ188" s="117"/>
      <c r="AOK188" s="117"/>
      <c r="AOL188" s="117"/>
      <c r="AOM188" s="117"/>
      <c r="AON188" s="117"/>
      <c r="AOO188" s="117"/>
      <c r="AOP188" s="117"/>
      <c r="AOQ188" s="117"/>
      <c r="AOR188" s="117"/>
      <c r="AOS188" s="117"/>
      <c r="AOT188" s="117"/>
      <c r="AOU188" s="117"/>
      <c r="AOV188" s="117"/>
      <c r="AOW188" s="117"/>
      <c r="AOX188" s="117"/>
      <c r="AOY188" s="117"/>
      <c r="AOZ188" s="117"/>
      <c r="APA188" s="117"/>
      <c r="APB188" s="117"/>
      <c r="APC188" s="117"/>
      <c r="APD188" s="117"/>
      <c r="APE188" s="117"/>
      <c r="APF188" s="117"/>
      <c r="APG188" s="117"/>
      <c r="APH188" s="117"/>
      <c r="API188" s="117"/>
      <c r="APJ188" s="117"/>
      <c r="APK188" s="117"/>
      <c r="APL188" s="117"/>
      <c r="APM188" s="117"/>
      <c r="APN188" s="117"/>
      <c r="APO188" s="117"/>
      <c r="APP188" s="117"/>
      <c r="APQ188" s="117"/>
      <c r="APR188" s="117"/>
      <c r="APS188" s="117"/>
      <c r="APT188" s="117"/>
      <c r="APU188" s="117"/>
      <c r="APV188" s="117"/>
      <c r="APW188" s="117"/>
      <c r="APX188" s="117"/>
      <c r="APY188" s="117"/>
      <c r="APZ188" s="117"/>
      <c r="AQA188" s="117"/>
      <c r="AQB188" s="117"/>
      <c r="AQC188" s="117"/>
      <c r="AQD188" s="117"/>
      <c r="AQE188" s="117"/>
      <c r="AQF188" s="117"/>
      <c r="AQG188" s="117"/>
      <c r="AQH188" s="117"/>
      <c r="AQI188" s="117"/>
      <c r="AQJ188" s="117"/>
      <c r="AQK188" s="117"/>
      <c r="AQL188" s="117"/>
      <c r="AQM188" s="117"/>
      <c r="AQN188" s="117"/>
      <c r="AQO188" s="117"/>
      <c r="AQP188" s="117"/>
      <c r="AQQ188" s="117"/>
      <c r="AQR188" s="117"/>
      <c r="AQS188" s="117"/>
      <c r="AQT188" s="117"/>
      <c r="AQU188" s="117"/>
      <c r="AQV188" s="117"/>
      <c r="AQW188" s="117"/>
      <c r="AQX188" s="117"/>
      <c r="AQY188" s="117"/>
      <c r="AQZ188" s="117"/>
      <c r="ARA188" s="117"/>
      <c r="ARB188" s="117"/>
      <c r="ARC188" s="117"/>
      <c r="ARD188" s="117"/>
      <c r="ARE188" s="117"/>
      <c r="ARF188" s="117"/>
      <c r="ARG188" s="117"/>
      <c r="ARH188" s="117"/>
      <c r="ARI188" s="117"/>
      <c r="ARJ188" s="117"/>
      <c r="ARK188" s="117"/>
      <c r="ARL188" s="117"/>
      <c r="ARM188" s="117"/>
      <c r="ARN188" s="117"/>
      <c r="ARO188" s="117"/>
      <c r="ARP188" s="117"/>
      <c r="ARQ188" s="117"/>
      <c r="ARR188" s="117"/>
      <c r="ARS188" s="117"/>
      <c r="ART188" s="117"/>
      <c r="ARU188" s="117"/>
      <c r="ARV188" s="117"/>
      <c r="ARW188" s="117"/>
      <c r="ARX188" s="117"/>
      <c r="ARY188" s="117"/>
      <c r="ARZ188" s="117"/>
      <c r="ASA188" s="117"/>
      <c r="ASB188" s="117"/>
      <c r="ASC188" s="117"/>
      <c r="ASD188" s="117"/>
      <c r="ASE188" s="117"/>
      <c r="ASF188" s="117"/>
      <c r="ASG188" s="117"/>
      <c r="ASH188" s="117"/>
      <c r="ASI188" s="117"/>
      <c r="ASJ188" s="117"/>
      <c r="ASK188" s="117"/>
      <c r="ASL188" s="117"/>
      <c r="ASM188" s="117"/>
      <c r="ASN188" s="117"/>
      <c r="ASO188" s="117"/>
      <c r="ASP188" s="117"/>
      <c r="ASQ188" s="117"/>
      <c r="ASR188" s="117"/>
      <c r="ASS188" s="117"/>
      <c r="AST188" s="117"/>
      <c r="ASU188" s="117"/>
      <c r="ASV188" s="117"/>
      <c r="ASW188" s="117"/>
      <c r="ASX188" s="117"/>
      <c r="ASY188" s="117"/>
      <c r="ASZ188" s="117"/>
      <c r="ATA188" s="117"/>
      <c r="ATB188" s="117"/>
      <c r="ATC188" s="117"/>
      <c r="ATD188" s="117"/>
      <c r="ATE188" s="117"/>
      <c r="ATF188" s="117"/>
      <c r="ATG188" s="117"/>
      <c r="ATH188" s="117"/>
      <c r="ATI188" s="117"/>
      <c r="ATJ188" s="117"/>
      <c r="ATK188" s="117"/>
      <c r="ATL188" s="117"/>
      <c r="ATM188" s="117"/>
      <c r="ATN188" s="117"/>
      <c r="ATO188" s="117"/>
      <c r="ATP188" s="117"/>
      <c r="ATQ188" s="117"/>
      <c r="ATR188" s="117"/>
      <c r="ATS188" s="117"/>
      <c r="ATT188" s="117"/>
      <c r="ATU188" s="117"/>
      <c r="ATV188" s="117"/>
      <c r="ATW188" s="117"/>
      <c r="ATX188" s="117"/>
      <c r="ATY188" s="117"/>
      <c r="ATZ188" s="117"/>
      <c r="AUA188" s="117"/>
      <c r="AUB188" s="117"/>
      <c r="AUC188" s="117"/>
      <c r="AUD188" s="117"/>
      <c r="AUE188" s="117"/>
      <c r="AUF188" s="117"/>
      <c r="AUG188" s="117"/>
      <c r="AUH188" s="117"/>
      <c r="AUI188" s="117"/>
      <c r="AUJ188" s="117"/>
      <c r="AUK188" s="117"/>
      <c r="AUL188" s="117"/>
      <c r="AUM188" s="117"/>
      <c r="AUN188" s="117"/>
      <c r="AUO188" s="117"/>
      <c r="AUP188" s="117"/>
      <c r="AUQ188" s="117"/>
      <c r="AUR188" s="117"/>
      <c r="AUS188" s="117"/>
      <c r="AUT188" s="117"/>
      <c r="AUU188" s="117"/>
      <c r="AUV188" s="117"/>
      <c r="AUW188" s="117"/>
      <c r="AUX188" s="117"/>
      <c r="AUY188" s="117"/>
      <c r="AUZ188" s="117"/>
      <c r="AVA188" s="117"/>
      <c r="AVB188" s="117"/>
      <c r="AVC188" s="117"/>
      <c r="AVD188" s="117"/>
      <c r="AVE188" s="117"/>
      <c r="AVF188" s="117"/>
      <c r="AVG188" s="117"/>
      <c r="AVH188" s="117"/>
      <c r="AVI188" s="117"/>
      <c r="AVJ188" s="117"/>
      <c r="AVK188" s="117"/>
      <c r="AVL188" s="117"/>
      <c r="AVM188" s="117"/>
      <c r="AVN188" s="117"/>
      <c r="AVO188" s="117"/>
      <c r="AVP188" s="117"/>
      <c r="AVQ188" s="117"/>
      <c r="AVR188" s="117"/>
      <c r="AVS188" s="117"/>
      <c r="AVT188" s="117"/>
      <c r="AVU188" s="117"/>
      <c r="AVV188" s="117"/>
      <c r="AVW188" s="117"/>
      <c r="AVX188" s="117"/>
      <c r="AVY188" s="117"/>
      <c r="AVZ188" s="117"/>
      <c r="AWA188" s="117"/>
      <c r="AWB188" s="117"/>
      <c r="AWC188" s="117"/>
      <c r="AWD188" s="117"/>
      <c r="AWE188" s="117"/>
      <c r="AWF188" s="117"/>
      <c r="AWG188" s="117"/>
      <c r="AWH188" s="117"/>
      <c r="AWI188" s="117"/>
      <c r="AWJ188" s="117"/>
      <c r="AWK188" s="117"/>
      <c r="AWL188" s="117"/>
      <c r="AWM188" s="117"/>
      <c r="AWN188" s="117"/>
      <c r="AWO188" s="117"/>
      <c r="AWP188" s="117"/>
      <c r="AWQ188" s="117"/>
      <c r="AWR188" s="117"/>
      <c r="AWS188" s="117"/>
      <c r="AWT188" s="117"/>
      <c r="AWU188" s="117"/>
      <c r="AWV188" s="117"/>
      <c r="AWW188" s="117"/>
      <c r="AWX188" s="117"/>
      <c r="AWY188" s="117"/>
      <c r="AWZ188" s="117"/>
      <c r="AXA188" s="117"/>
      <c r="AXB188" s="117"/>
      <c r="AXC188" s="117"/>
      <c r="AXD188" s="117"/>
      <c r="AXE188" s="117"/>
      <c r="AXF188" s="117"/>
      <c r="AXG188" s="117"/>
      <c r="AXH188" s="117"/>
      <c r="AXI188" s="117"/>
      <c r="AXJ188" s="117"/>
      <c r="AXK188" s="117"/>
      <c r="AXL188" s="117"/>
      <c r="AXM188" s="117"/>
      <c r="AXN188" s="117"/>
      <c r="AXO188" s="117"/>
      <c r="AXP188" s="117"/>
      <c r="AXQ188" s="117"/>
      <c r="AXR188" s="117"/>
      <c r="AXS188" s="117"/>
      <c r="AXT188" s="117"/>
      <c r="AXU188" s="117"/>
      <c r="AXV188" s="117"/>
      <c r="AXW188" s="117"/>
      <c r="AXX188" s="117"/>
      <c r="AXY188" s="117"/>
      <c r="AXZ188" s="117"/>
      <c r="AYA188" s="117"/>
      <c r="AYB188" s="117"/>
      <c r="AYC188" s="117"/>
      <c r="AYD188" s="117"/>
      <c r="AYE188" s="117"/>
      <c r="AYF188" s="117"/>
      <c r="AYG188" s="117"/>
      <c r="AYH188" s="117"/>
      <c r="AYI188" s="117"/>
      <c r="AYJ188" s="117"/>
      <c r="AYK188" s="117"/>
      <c r="AYL188" s="117"/>
      <c r="AYM188" s="117"/>
      <c r="AYN188" s="117"/>
      <c r="AYO188" s="117"/>
      <c r="AYP188" s="117"/>
      <c r="AYQ188" s="117"/>
      <c r="AYR188" s="117"/>
      <c r="AYS188" s="117"/>
      <c r="AYT188" s="117"/>
      <c r="AYU188" s="117"/>
      <c r="AYV188" s="117"/>
      <c r="AYW188" s="117"/>
      <c r="AYX188" s="117"/>
      <c r="AYY188" s="117"/>
      <c r="AYZ188" s="117"/>
      <c r="AZA188" s="117"/>
      <c r="AZB188" s="117"/>
      <c r="AZC188" s="117"/>
      <c r="AZD188" s="117"/>
      <c r="AZE188" s="117"/>
      <c r="AZF188" s="117"/>
      <c r="AZG188" s="117"/>
      <c r="AZH188" s="117"/>
      <c r="AZI188" s="117"/>
      <c r="AZJ188" s="117"/>
      <c r="AZK188" s="117"/>
      <c r="AZL188" s="117"/>
      <c r="AZM188" s="117"/>
      <c r="AZN188" s="117"/>
      <c r="AZO188" s="117"/>
      <c r="AZP188" s="117"/>
      <c r="AZQ188" s="117"/>
      <c r="AZR188" s="117"/>
      <c r="AZS188" s="117"/>
      <c r="AZT188" s="117"/>
      <c r="AZU188" s="117"/>
      <c r="AZV188" s="117"/>
      <c r="AZW188" s="117"/>
      <c r="AZX188" s="117"/>
      <c r="AZY188" s="117"/>
      <c r="AZZ188" s="117"/>
      <c r="BAA188" s="117"/>
      <c r="BAB188" s="117"/>
      <c r="BAC188" s="117"/>
      <c r="BAD188" s="117"/>
      <c r="BAE188" s="117"/>
      <c r="BAF188" s="117"/>
      <c r="BAG188" s="117"/>
      <c r="BAH188" s="117"/>
      <c r="BAI188" s="117"/>
      <c r="BAJ188" s="117"/>
      <c r="BAK188" s="117"/>
      <c r="BAL188" s="117"/>
      <c r="BAM188" s="117"/>
      <c r="BAN188" s="117"/>
      <c r="BAO188" s="117"/>
      <c r="BAP188" s="117"/>
      <c r="BAQ188" s="117"/>
      <c r="BAR188" s="117"/>
      <c r="BAS188" s="117"/>
      <c r="BAT188" s="117"/>
      <c r="BAU188" s="117"/>
      <c r="BAV188" s="117"/>
      <c r="BAW188" s="117"/>
      <c r="BAX188" s="117"/>
      <c r="BAY188" s="117"/>
      <c r="BAZ188" s="117"/>
      <c r="BBA188" s="117"/>
      <c r="BBB188" s="117"/>
      <c r="BBC188" s="117"/>
      <c r="BBD188" s="117"/>
      <c r="BBE188" s="117"/>
      <c r="BBF188" s="117"/>
      <c r="BBG188" s="117"/>
      <c r="BBH188" s="117"/>
      <c r="BBI188" s="117"/>
      <c r="BBJ188" s="117"/>
      <c r="BBK188" s="117"/>
      <c r="BBL188" s="117"/>
      <c r="BBM188" s="117"/>
      <c r="BBN188" s="117"/>
      <c r="BBO188" s="117"/>
      <c r="BBP188" s="117"/>
      <c r="BBQ188" s="117"/>
      <c r="BBR188" s="117"/>
      <c r="BBS188" s="117"/>
      <c r="BBT188" s="117"/>
      <c r="BBU188" s="117"/>
      <c r="BBV188" s="117"/>
      <c r="BBW188" s="117"/>
      <c r="BBX188" s="117"/>
      <c r="BBY188" s="117"/>
      <c r="BBZ188" s="117"/>
      <c r="BCA188" s="117"/>
      <c r="BCB188" s="117"/>
      <c r="BCC188" s="117"/>
      <c r="BCD188" s="117"/>
      <c r="BCE188" s="117"/>
      <c r="BCF188" s="117"/>
      <c r="BCG188" s="117"/>
      <c r="BCH188" s="117"/>
      <c r="BCI188" s="117"/>
      <c r="BCJ188" s="117"/>
      <c r="BCK188" s="117"/>
      <c r="BCL188" s="117"/>
      <c r="BCM188" s="117"/>
      <c r="BCN188" s="117"/>
      <c r="BCO188" s="117"/>
      <c r="BCP188" s="117"/>
      <c r="BCQ188" s="117"/>
      <c r="BCR188" s="117"/>
      <c r="BCS188" s="117"/>
      <c r="BCT188" s="117"/>
      <c r="BCU188" s="117"/>
      <c r="BCV188" s="117"/>
      <c r="BCW188" s="117"/>
      <c r="BCX188" s="117"/>
      <c r="BCY188" s="117"/>
      <c r="BCZ188" s="117"/>
      <c r="BDA188" s="117"/>
      <c r="BDB188" s="117"/>
      <c r="BDC188" s="117"/>
      <c r="BDD188" s="117"/>
      <c r="BDE188" s="117"/>
      <c r="BDF188" s="117"/>
      <c r="BDG188" s="117"/>
      <c r="BDH188" s="117"/>
      <c r="BDI188" s="117"/>
      <c r="BDJ188" s="117"/>
      <c r="BDK188" s="117"/>
      <c r="BDL188" s="117"/>
      <c r="BDM188" s="117"/>
      <c r="BDN188" s="117"/>
      <c r="BDO188" s="117"/>
      <c r="BDP188" s="117"/>
      <c r="BDQ188" s="117"/>
      <c r="BDR188" s="117"/>
      <c r="BDS188" s="117"/>
      <c r="BDT188" s="117"/>
      <c r="BDU188" s="117"/>
      <c r="BDV188" s="117"/>
      <c r="BDW188" s="117"/>
      <c r="BDX188" s="117"/>
      <c r="BDY188" s="117"/>
      <c r="BDZ188" s="117"/>
      <c r="BEA188" s="117"/>
      <c r="BEB188" s="117"/>
      <c r="BEC188" s="117"/>
      <c r="BED188" s="117"/>
      <c r="BEE188" s="117"/>
      <c r="BEF188" s="117"/>
      <c r="BEG188" s="117"/>
      <c r="BEH188" s="117"/>
      <c r="BEI188" s="117"/>
      <c r="BEJ188" s="117"/>
      <c r="BEK188" s="117"/>
      <c r="BEL188" s="117"/>
      <c r="BEM188" s="117"/>
      <c r="BEN188" s="117"/>
      <c r="BEO188" s="117"/>
      <c r="BEP188" s="117"/>
      <c r="BEQ188" s="117"/>
      <c r="BER188" s="117"/>
      <c r="BES188" s="117"/>
      <c r="BET188" s="117"/>
      <c r="BEU188" s="117"/>
      <c r="BEV188" s="117"/>
      <c r="BEW188" s="117"/>
      <c r="BEX188" s="117"/>
      <c r="BEY188" s="117"/>
      <c r="BEZ188" s="117"/>
      <c r="BFA188" s="117"/>
      <c r="BFB188" s="117"/>
      <c r="BFC188" s="117"/>
      <c r="BFD188" s="117"/>
      <c r="BFE188" s="117"/>
      <c r="BFF188" s="117"/>
      <c r="BFG188" s="117"/>
      <c r="BFH188" s="117"/>
      <c r="BFI188" s="117"/>
      <c r="BFJ188" s="117"/>
      <c r="BFK188" s="117"/>
      <c r="BFL188" s="117"/>
      <c r="BFM188" s="117"/>
      <c r="BFN188" s="117"/>
      <c r="BFO188" s="117"/>
      <c r="BFP188" s="117"/>
      <c r="BFQ188" s="117"/>
      <c r="BFR188" s="117"/>
      <c r="BFS188" s="117"/>
      <c r="BFT188" s="117"/>
      <c r="BFU188" s="117"/>
      <c r="BFV188" s="117"/>
      <c r="BFW188" s="117"/>
      <c r="BFX188" s="117"/>
      <c r="BFY188" s="117"/>
      <c r="BFZ188" s="117"/>
      <c r="BGA188" s="117"/>
      <c r="BGB188" s="117"/>
      <c r="BGC188" s="117"/>
      <c r="BGD188" s="117"/>
      <c r="BGE188" s="117"/>
      <c r="BGF188" s="117"/>
      <c r="BGG188" s="117"/>
      <c r="BGH188" s="117"/>
      <c r="BGI188" s="117"/>
      <c r="BGJ188" s="117"/>
      <c r="BGK188" s="117"/>
      <c r="BGL188" s="117"/>
      <c r="BGM188" s="117"/>
      <c r="BGN188" s="117"/>
      <c r="BGO188" s="117"/>
      <c r="BGP188" s="117"/>
      <c r="BGQ188" s="117"/>
      <c r="BGR188" s="117"/>
      <c r="BGS188" s="117"/>
      <c r="BGT188" s="117"/>
      <c r="BGU188" s="117"/>
      <c r="BGV188" s="117"/>
      <c r="BGW188" s="117"/>
      <c r="BGX188" s="117"/>
      <c r="BGY188" s="117"/>
      <c r="BGZ188" s="117"/>
      <c r="BHA188" s="117"/>
      <c r="BHB188" s="117"/>
      <c r="BHC188" s="117"/>
      <c r="BHD188" s="117"/>
      <c r="BHE188" s="117"/>
      <c r="BHF188" s="117"/>
      <c r="BHG188" s="117"/>
      <c r="BHH188" s="117"/>
      <c r="BHI188" s="117"/>
      <c r="BHJ188" s="117"/>
      <c r="BHK188" s="117"/>
      <c r="BHL188" s="117"/>
      <c r="BHM188" s="117"/>
      <c r="BHN188" s="117"/>
      <c r="BHO188" s="117"/>
      <c r="BHP188" s="117"/>
      <c r="BHQ188" s="117"/>
      <c r="BHR188" s="117"/>
      <c r="BHS188" s="117"/>
      <c r="BHT188" s="117"/>
      <c r="BHU188" s="117"/>
      <c r="BHV188" s="117"/>
      <c r="BHW188" s="117"/>
      <c r="BHX188" s="117"/>
      <c r="BHY188" s="117"/>
      <c r="BHZ188" s="117"/>
      <c r="BIA188" s="117"/>
      <c r="BIB188" s="117"/>
      <c r="BIC188" s="117"/>
      <c r="BID188" s="117"/>
      <c r="BIE188" s="117"/>
      <c r="BIF188" s="117"/>
      <c r="BIG188" s="117"/>
      <c r="BIH188" s="117"/>
      <c r="BII188" s="117"/>
      <c r="BIJ188" s="117"/>
      <c r="BIK188" s="117"/>
      <c r="BIL188" s="117"/>
      <c r="BIM188" s="117"/>
      <c r="BIN188" s="117"/>
      <c r="BIO188" s="117"/>
      <c r="BIP188" s="117"/>
      <c r="BIQ188" s="117"/>
      <c r="BIR188" s="117"/>
      <c r="BIS188" s="117"/>
      <c r="BIT188" s="117"/>
      <c r="BIU188" s="117"/>
      <c r="BIV188" s="117"/>
      <c r="BIW188" s="117"/>
      <c r="BIX188" s="117"/>
      <c r="BIY188" s="117"/>
      <c r="BIZ188" s="117"/>
      <c r="BJA188" s="117"/>
      <c r="BJB188" s="117"/>
      <c r="BJC188" s="117"/>
      <c r="BJD188" s="117"/>
      <c r="BJE188" s="117"/>
      <c r="BJF188" s="117"/>
      <c r="BJG188" s="117"/>
      <c r="BJH188" s="117"/>
      <c r="BJI188" s="117"/>
      <c r="BJJ188" s="117"/>
      <c r="BJK188" s="117"/>
      <c r="BJL188" s="117"/>
      <c r="BJM188" s="117"/>
      <c r="BJN188" s="117"/>
      <c r="BJO188" s="117"/>
      <c r="BJP188" s="117"/>
      <c r="BJQ188" s="117"/>
      <c r="BJR188" s="117"/>
      <c r="BJS188" s="117"/>
      <c r="BJT188" s="117"/>
      <c r="BJU188" s="117"/>
      <c r="BJV188" s="117"/>
      <c r="BJW188" s="117"/>
      <c r="BJX188" s="117"/>
      <c r="BJY188" s="117"/>
      <c r="BJZ188" s="117"/>
      <c r="BKA188" s="117"/>
      <c r="BKB188" s="117"/>
      <c r="BKC188" s="117"/>
      <c r="BKD188" s="117"/>
      <c r="BKE188" s="117"/>
      <c r="BKF188" s="117"/>
      <c r="BKG188" s="117"/>
      <c r="BKH188" s="117"/>
      <c r="BKI188" s="117"/>
      <c r="BKJ188" s="117"/>
      <c r="BKK188" s="117"/>
      <c r="BKL188" s="117"/>
      <c r="BKM188" s="117"/>
      <c r="BKN188" s="117"/>
      <c r="BKO188" s="117"/>
      <c r="BKP188" s="117"/>
      <c r="BKQ188" s="117"/>
      <c r="BKR188" s="117"/>
      <c r="BKS188" s="117"/>
      <c r="BKT188" s="117"/>
      <c r="BKU188" s="117"/>
      <c r="BKV188" s="117"/>
      <c r="BKW188" s="117"/>
      <c r="BKX188" s="117"/>
      <c r="BKY188" s="117"/>
      <c r="BKZ188" s="117"/>
      <c r="BLA188" s="117"/>
      <c r="BLB188" s="117"/>
      <c r="BLC188" s="117"/>
      <c r="BLD188" s="117"/>
      <c r="BLE188" s="117"/>
      <c r="BLF188" s="117"/>
      <c r="BLG188" s="117"/>
      <c r="BLH188" s="117"/>
      <c r="BLI188" s="117"/>
      <c r="BLJ188" s="117"/>
      <c r="BLK188" s="117"/>
      <c r="BLL188" s="117"/>
      <c r="BLM188" s="117"/>
      <c r="BLN188" s="117"/>
      <c r="BLO188" s="117"/>
      <c r="BLP188" s="117"/>
      <c r="BLQ188" s="117"/>
      <c r="BLR188" s="117"/>
      <c r="BLS188" s="117"/>
      <c r="BLT188" s="117"/>
      <c r="BLU188" s="117"/>
      <c r="BLV188" s="117"/>
      <c r="BLW188" s="117"/>
      <c r="BLX188" s="117"/>
      <c r="BLY188" s="117"/>
      <c r="BLZ188" s="117"/>
      <c r="BMA188" s="117"/>
      <c r="BMB188" s="117"/>
      <c r="BMC188" s="117"/>
      <c r="BMD188" s="117"/>
      <c r="BME188" s="117"/>
      <c r="BMF188" s="117"/>
      <c r="BMG188" s="117"/>
      <c r="BMH188" s="117"/>
      <c r="BMI188" s="117"/>
      <c r="BMJ188" s="117"/>
      <c r="BMK188" s="117"/>
      <c r="BML188" s="117"/>
      <c r="BMM188" s="117"/>
      <c r="BMN188" s="117"/>
      <c r="BMO188" s="117"/>
      <c r="BMP188" s="117"/>
      <c r="BMQ188" s="117"/>
      <c r="BMR188" s="117"/>
      <c r="BMS188" s="117"/>
      <c r="BMT188" s="117"/>
      <c r="BMU188" s="117"/>
      <c r="BMV188" s="117"/>
      <c r="BMW188" s="117"/>
      <c r="BMX188" s="117"/>
      <c r="BMY188" s="117"/>
      <c r="BMZ188" s="117"/>
      <c r="BNA188" s="117"/>
      <c r="BNB188" s="117"/>
      <c r="BNC188" s="117"/>
      <c r="BND188" s="117"/>
      <c r="BNE188" s="117"/>
      <c r="BNF188" s="117"/>
      <c r="BNG188" s="117"/>
      <c r="BNH188" s="117"/>
      <c r="BNI188" s="117"/>
      <c r="BNJ188" s="117"/>
      <c r="BNK188" s="117"/>
      <c r="BNL188" s="117"/>
      <c r="BNM188" s="117"/>
      <c r="BNN188" s="117"/>
      <c r="BNO188" s="117"/>
      <c r="BNP188" s="117"/>
      <c r="BNQ188" s="117"/>
      <c r="BNR188" s="117"/>
      <c r="BNS188" s="117"/>
      <c r="BNT188" s="117"/>
      <c r="BNU188" s="117"/>
      <c r="BNV188" s="117"/>
      <c r="BNW188" s="117"/>
      <c r="BNX188" s="117"/>
      <c r="BNY188" s="117"/>
      <c r="BNZ188" s="117"/>
      <c r="BOA188" s="117"/>
      <c r="BOB188" s="117"/>
      <c r="BOC188" s="117"/>
      <c r="BOD188" s="117"/>
      <c r="BOE188" s="117"/>
      <c r="BOF188" s="117"/>
      <c r="BOG188" s="117"/>
      <c r="BOH188" s="117"/>
      <c r="BOI188" s="117"/>
      <c r="BOJ188" s="117"/>
      <c r="BOK188" s="117"/>
      <c r="BOL188" s="117"/>
      <c r="BOM188" s="117"/>
      <c r="BON188" s="117"/>
      <c r="BOO188" s="117"/>
      <c r="BOP188" s="117"/>
      <c r="BOQ188" s="117"/>
      <c r="BOR188" s="117"/>
      <c r="BOS188" s="117"/>
      <c r="BOT188" s="117"/>
      <c r="BOU188" s="117"/>
      <c r="BOV188" s="117"/>
      <c r="BOW188" s="117"/>
      <c r="BOX188" s="117"/>
      <c r="BOY188" s="117"/>
      <c r="BOZ188" s="117"/>
      <c r="BPA188" s="117"/>
      <c r="BPB188" s="117"/>
      <c r="BPC188" s="117"/>
      <c r="BPD188" s="117"/>
      <c r="BPE188" s="117"/>
      <c r="BPF188" s="117"/>
      <c r="BPG188" s="117"/>
      <c r="BPH188" s="117"/>
      <c r="BPI188" s="117"/>
      <c r="BPJ188" s="117"/>
      <c r="BPK188" s="117"/>
      <c r="BPL188" s="117"/>
      <c r="BPM188" s="117"/>
      <c r="BPN188" s="117"/>
      <c r="BPO188" s="117"/>
      <c r="BPP188" s="117"/>
      <c r="BPQ188" s="117"/>
      <c r="BPR188" s="117"/>
      <c r="BPS188" s="117"/>
      <c r="BPT188" s="117"/>
      <c r="BPU188" s="117"/>
      <c r="BPV188" s="117"/>
      <c r="BPW188" s="117"/>
      <c r="BPX188" s="117"/>
      <c r="BPY188" s="117"/>
      <c r="BPZ188" s="117"/>
      <c r="BQA188" s="117"/>
      <c r="BQB188" s="117"/>
      <c r="BQC188" s="117"/>
      <c r="BQD188" s="117"/>
      <c r="BQE188" s="117"/>
      <c r="BQF188" s="117"/>
      <c r="BQG188" s="117"/>
      <c r="BQH188" s="117"/>
      <c r="BQI188" s="117"/>
      <c r="BQJ188" s="117"/>
      <c r="BQK188" s="117"/>
      <c r="BQL188" s="117"/>
      <c r="BQM188" s="117"/>
      <c r="BQN188" s="117"/>
      <c r="BQO188" s="117"/>
      <c r="BQP188" s="117"/>
      <c r="BQQ188" s="117"/>
      <c r="BQR188" s="117"/>
      <c r="BQS188" s="117"/>
      <c r="BQT188" s="117"/>
      <c r="BQU188" s="117"/>
      <c r="BQV188" s="117"/>
      <c r="BQW188" s="117"/>
      <c r="BQX188" s="117"/>
      <c r="BQY188" s="117"/>
      <c r="BQZ188" s="117"/>
      <c r="BRA188" s="117"/>
      <c r="BRB188" s="117"/>
      <c r="BRC188" s="117"/>
      <c r="BRD188" s="117"/>
      <c r="BRE188" s="117"/>
      <c r="BRF188" s="117"/>
      <c r="BRG188" s="117"/>
      <c r="BRH188" s="117"/>
      <c r="BRI188" s="117"/>
      <c r="BRJ188" s="117"/>
      <c r="BRK188" s="117"/>
      <c r="BRL188" s="117"/>
      <c r="BRM188" s="117"/>
      <c r="BRN188" s="117"/>
      <c r="BRO188" s="117"/>
      <c r="BRP188" s="117"/>
      <c r="BRQ188" s="117"/>
      <c r="BRR188" s="117"/>
      <c r="BRS188" s="117"/>
      <c r="BRT188" s="117"/>
      <c r="BRU188" s="117"/>
      <c r="BRV188" s="117"/>
      <c r="BRW188" s="117"/>
      <c r="BRX188" s="117"/>
      <c r="BRY188" s="117"/>
      <c r="BRZ188" s="117"/>
      <c r="BSA188" s="117"/>
      <c r="BSB188" s="117"/>
      <c r="BSC188" s="117"/>
      <c r="BSD188" s="117"/>
      <c r="BSE188" s="117"/>
      <c r="BSF188" s="117"/>
      <c r="BSG188" s="117"/>
      <c r="BSH188" s="117"/>
      <c r="BSI188" s="117"/>
      <c r="BSJ188" s="117"/>
      <c r="BSK188" s="117"/>
      <c r="BSL188" s="117"/>
      <c r="BSM188" s="117"/>
      <c r="BSN188" s="117"/>
      <c r="BSO188" s="117"/>
      <c r="BSP188" s="117"/>
      <c r="BSQ188" s="117"/>
      <c r="BSR188" s="117"/>
      <c r="BSS188" s="117"/>
      <c r="BST188" s="117"/>
      <c r="BSU188" s="117"/>
      <c r="BSV188" s="117"/>
      <c r="BSW188" s="117"/>
      <c r="BSX188" s="117"/>
      <c r="BSY188" s="117"/>
      <c r="BSZ188" s="117"/>
      <c r="BTA188" s="117"/>
      <c r="BTB188" s="117"/>
      <c r="BTC188" s="117"/>
      <c r="BTD188" s="117"/>
      <c r="BTE188" s="117"/>
      <c r="BTF188" s="117"/>
      <c r="BTG188" s="117"/>
      <c r="BTH188" s="117"/>
      <c r="BTI188" s="117"/>
      <c r="BTJ188" s="117"/>
      <c r="BTK188" s="117"/>
      <c r="BTL188" s="117"/>
      <c r="BTM188" s="117"/>
      <c r="BTN188" s="117"/>
      <c r="BTO188" s="117"/>
      <c r="BTP188" s="117"/>
      <c r="BTQ188" s="117"/>
      <c r="BTR188" s="117"/>
      <c r="BTS188" s="117"/>
      <c r="BTT188" s="117"/>
      <c r="BTU188" s="117"/>
      <c r="BTV188" s="117"/>
      <c r="BTW188" s="117"/>
      <c r="BTX188" s="117"/>
      <c r="BTY188" s="117"/>
      <c r="BTZ188" s="117"/>
      <c r="BUA188" s="117"/>
      <c r="BUB188" s="117"/>
      <c r="BUC188" s="117"/>
      <c r="BUD188" s="117"/>
      <c r="BUE188" s="117"/>
      <c r="BUF188" s="117"/>
      <c r="BUG188" s="117"/>
      <c r="BUH188" s="117"/>
      <c r="BUI188" s="117"/>
      <c r="BUJ188" s="117"/>
      <c r="BUK188" s="117"/>
      <c r="BUL188" s="117"/>
      <c r="BUM188" s="117"/>
      <c r="BUN188" s="117"/>
      <c r="BUO188" s="117"/>
      <c r="BUP188" s="117"/>
      <c r="BUQ188" s="117"/>
      <c r="BUR188" s="117"/>
      <c r="BUS188" s="117"/>
      <c r="BUT188" s="117"/>
      <c r="BUU188" s="117"/>
      <c r="BUV188" s="117"/>
      <c r="BUW188" s="117"/>
      <c r="BUX188" s="117"/>
      <c r="BUY188" s="117"/>
      <c r="BUZ188" s="117"/>
      <c r="BVA188" s="117"/>
      <c r="BVB188" s="117"/>
      <c r="BVC188" s="117"/>
      <c r="BVD188" s="117"/>
      <c r="BVE188" s="117"/>
      <c r="BVF188" s="117"/>
      <c r="BVG188" s="117"/>
      <c r="BVH188" s="117"/>
      <c r="BVI188" s="117"/>
      <c r="BVJ188" s="117"/>
      <c r="BVK188" s="117"/>
      <c r="BVL188" s="117"/>
      <c r="BVM188" s="117"/>
      <c r="BVN188" s="117"/>
      <c r="BVO188" s="117"/>
      <c r="BVP188" s="117"/>
      <c r="BVQ188" s="117"/>
      <c r="BVR188" s="117"/>
      <c r="BVS188" s="117"/>
      <c r="BVT188" s="117"/>
      <c r="BVU188" s="117"/>
      <c r="BVV188" s="117"/>
      <c r="BVW188" s="117"/>
      <c r="BVX188" s="117"/>
      <c r="BVY188" s="117"/>
      <c r="BVZ188" s="117"/>
      <c r="BWA188" s="117"/>
      <c r="BWB188" s="117"/>
      <c r="BWC188" s="117"/>
      <c r="BWD188" s="117"/>
      <c r="BWE188" s="117"/>
      <c r="BWF188" s="117"/>
      <c r="BWG188" s="117"/>
      <c r="BWH188" s="117"/>
      <c r="BWI188" s="117"/>
      <c r="BWJ188" s="117"/>
      <c r="BWK188" s="117"/>
      <c r="BWL188" s="117"/>
      <c r="BWM188" s="117"/>
      <c r="BWN188" s="117"/>
      <c r="BWO188" s="117"/>
      <c r="BWP188" s="117"/>
      <c r="BWQ188" s="117"/>
      <c r="BWR188" s="117"/>
      <c r="BWS188" s="117"/>
      <c r="BWT188" s="117"/>
      <c r="BWU188" s="117"/>
      <c r="BWV188" s="117"/>
      <c r="BWW188" s="117"/>
      <c r="BWX188" s="117"/>
      <c r="BWY188" s="117"/>
      <c r="BWZ188" s="117"/>
      <c r="BXA188" s="117"/>
      <c r="BXB188" s="117"/>
      <c r="BXC188" s="117"/>
      <c r="BXD188" s="117"/>
      <c r="BXE188" s="117"/>
      <c r="BXF188" s="117"/>
      <c r="BXG188" s="117"/>
      <c r="BXH188" s="117"/>
      <c r="BXI188" s="117"/>
      <c r="BXJ188" s="117"/>
      <c r="BXK188" s="117"/>
      <c r="BXL188" s="117"/>
      <c r="BXM188" s="117"/>
      <c r="BXN188" s="117"/>
      <c r="BXO188" s="117"/>
      <c r="BXP188" s="117"/>
      <c r="BXQ188" s="117"/>
      <c r="BXR188" s="117"/>
      <c r="BXS188" s="117"/>
      <c r="BXT188" s="117"/>
      <c r="BXU188" s="117"/>
      <c r="BXV188" s="117"/>
      <c r="BXW188" s="117"/>
      <c r="BXX188" s="117"/>
      <c r="BXY188" s="117"/>
      <c r="BXZ188" s="117"/>
      <c r="BYA188" s="117"/>
      <c r="BYB188" s="117"/>
      <c r="BYC188" s="117"/>
      <c r="BYD188" s="117"/>
      <c r="BYE188" s="117"/>
      <c r="BYF188" s="117"/>
      <c r="BYG188" s="117"/>
      <c r="BYH188" s="117"/>
      <c r="BYI188" s="117"/>
      <c r="BYJ188" s="117"/>
      <c r="BYK188" s="117"/>
      <c r="BYL188" s="117"/>
      <c r="BYM188" s="117"/>
      <c r="BYN188" s="117"/>
      <c r="BYO188" s="117"/>
      <c r="BYP188" s="117"/>
      <c r="BYQ188" s="117"/>
      <c r="BYR188" s="117"/>
      <c r="BYS188" s="117"/>
      <c r="BYT188" s="117"/>
      <c r="BYU188" s="117"/>
      <c r="BYV188" s="117"/>
      <c r="BYW188" s="117"/>
      <c r="BYX188" s="117"/>
      <c r="BYY188" s="117"/>
      <c r="BYZ188" s="117"/>
      <c r="BZA188" s="117"/>
      <c r="BZB188" s="117"/>
      <c r="BZC188" s="117"/>
      <c r="BZD188" s="117"/>
      <c r="BZE188" s="117"/>
      <c r="BZF188" s="117"/>
      <c r="BZG188" s="117"/>
      <c r="BZH188" s="117"/>
      <c r="BZI188" s="117"/>
      <c r="BZJ188" s="117"/>
      <c r="BZK188" s="117"/>
      <c r="BZL188" s="117"/>
      <c r="BZM188" s="117"/>
      <c r="BZN188" s="117"/>
      <c r="BZO188" s="117"/>
      <c r="BZP188" s="117"/>
      <c r="BZQ188" s="117"/>
      <c r="BZR188" s="117"/>
      <c r="BZS188" s="117"/>
      <c r="BZT188" s="117"/>
      <c r="BZU188" s="117"/>
      <c r="BZV188" s="117"/>
      <c r="BZW188" s="117"/>
      <c r="BZX188" s="117"/>
      <c r="BZY188" s="117"/>
      <c r="BZZ188" s="117"/>
      <c r="CAA188" s="117"/>
      <c r="CAB188" s="117"/>
      <c r="CAC188" s="117"/>
      <c r="CAD188" s="117"/>
      <c r="CAE188" s="117"/>
      <c r="CAF188" s="117"/>
      <c r="CAG188" s="117"/>
      <c r="CAH188" s="117"/>
      <c r="CAI188" s="117"/>
      <c r="CAJ188" s="117"/>
      <c r="CAK188" s="117"/>
      <c r="CAL188" s="117"/>
      <c r="CAM188" s="117"/>
      <c r="CAN188" s="117"/>
      <c r="CAO188" s="117"/>
      <c r="CAP188" s="117"/>
      <c r="CAQ188" s="117"/>
      <c r="CAR188" s="117"/>
      <c r="CAS188" s="117"/>
      <c r="CAT188" s="117"/>
      <c r="CAU188" s="117"/>
      <c r="CAV188" s="117"/>
      <c r="CAW188" s="117"/>
      <c r="CAX188" s="117"/>
      <c r="CAY188" s="117"/>
      <c r="CAZ188" s="117"/>
      <c r="CBA188" s="117"/>
      <c r="CBB188" s="117"/>
      <c r="CBC188" s="117"/>
      <c r="CBD188" s="117"/>
      <c r="CBE188" s="117"/>
      <c r="CBF188" s="117"/>
      <c r="CBG188" s="117"/>
      <c r="CBH188" s="117"/>
      <c r="CBI188" s="117"/>
      <c r="CBJ188" s="117"/>
      <c r="CBK188" s="117"/>
      <c r="CBL188" s="117"/>
      <c r="CBM188" s="117"/>
      <c r="CBN188" s="117"/>
      <c r="CBO188" s="117"/>
      <c r="CBP188" s="117"/>
      <c r="CBQ188" s="117"/>
      <c r="CBR188" s="117"/>
      <c r="CBS188" s="117"/>
      <c r="CBT188" s="117"/>
      <c r="CBU188" s="117"/>
      <c r="CBV188" s="117"/>
      <c r="CBW188" s="117"/>
      <c r="CBX188" s="117"/>
      <c r="CBY188" s="117"/>
      <c r="CBZ188" s="117"/>
      <c r="CCA188" s="117"/>
      <c r="CCB188" s="117"/>
      <c r="CCC188" s="117"/>
      <c r="CCD188" s="117"/>
      <c r="CCE188" s="117"/>
      <c r="CCF188" s="117"/>
      <c r="CCG188" s="117"/>
      <c r="CCH188" s="117"/>
      <c r="CCI188" s="117"/>
      <c r="CCJ188" s="117"/>
      <c r="CCK188" s="117"/>
      <c r="CCL188" s="117"/>
      <c r="CCM188" s="117"/>
      <c r="CCN188" s="117"/>
      <c r="CCO188" s="117"/>
      <c r="CCP188" s="117"/>
      <c r="CCQ188" s="117"/>
      <c r="CCR188" s="117"/>
      <c r="CCS188" s="117"/>
      <c r="CCT188" s="117"/>
      <c r="CCU188" s="117"/>
      <c r="CCV188" s="117"/>
      <c r="CCW188" s="117"/>
      <c r="CCX188" s="117"/>
      <c r="CCY188" s="117"/>
      <c r="CCZ188" s="117"/>
      <c r="CDA188" s="117"/>
      <c r="CDB188" s="117"/>
      <c r="CDC188" s="117"/>
      <c r="CDD188" s="117"/>
      <c r="CDE188" s="117"/>
      <c r="CDF188" s="117"/>
      <c r="CDG188" s="117"/>
      <c r="CDH188" s="117"/>
      <c r="CDI188" s="117"/>
      <c r="CDJ188" s="117"/>
      <c r="CDK188" s="117"/>
      <c r="CDL188" s="117"/>
      <c r="CDM188" s="117"/>
      <c r="CDN188" s="117"/>
      <c r="CDO188" s="117"/>
      <c r="CDP188" s="117"/>
      <c r="CDQ188" s="117"/>
      <c r="CDR188" s="117"/>
      <c r="CDS188" s="117"/>
      <c r="CDT188" s="117"/>
      <c r="CDU188" s="117"/>
      <c r="CDV188" s="117"/>
      <c r="CDW188" s="117"/>
      <c r="CDX188" s="117"/>
      <c r="CDY188" s="117"/>
      <c r="CDZ188" s="117"/>
      <c r="CEA188" s="117"/>
      <c r="CEB188" s="117"/>
      <c r="CEC188" s="117"/>
      <c r="CED188" s="117"/>
      <c r="CEE188" s="117"/>
      <c r="CEF188" s="117"/>
      <c r="CEG188" s="117"/>
      <c r="CEH188" s="117"/>
      <c r="CEI188" s="117"/>
      <c r="CEJ188" s="117"/>
      <c r="CEK188" s="117"/>
      <c r="CEL188" s="117"/>
      <c r="CEM188" s="117"/>
      <c r="CEN188" s="117"/>
      <c r="CEO188" s="117"/>
      <c r="CEP188" s="117"/>
      <c r="CEQ188" s="117"/>
      <c r="CER188" s="117"/>
      <c r="CES188" s="117"/>
      <c r="CET188" s="117"/>
      <c r="CEU188" s="117"/>
      <c r="CEV188" s="117"/>
      <c r="CEW188" s="117"/>
      <c r="CEX188" s="117"/>
      <c r="CEY188" s="117"/>
      <c r="CEZ188" s="117"/>
      <c r="CFA188" s="117"/>
      <c r="CFB188" s="117"/>
      <c r="CFC188" s="117"/>
      <c r="CFD188" s="117"/>
      <c r="CFE188" s="117"/>
      <c r="CFF188" s="117"/>
      <c r="CFG188" s="117"/>
      <c r="CFH188" s="117"/>
      <c r="CFI188" s="117"/>
      <c r="CFJ188" s="117"/>
      <c r="CFK188" s="117"/>
      <c r="CFL188" s="117"/>
      <c r="CFM188" s="117"/>
      <c r="CFN188" s="117"/>
      <c r="CFO188" s="117"/>
      <c r="CFP188" s="117"/>
      <c r="CFQ188" s="117"/>
      <c r="CFR188" s="117"/>
      <c r="CFS188" s="117"/>
      <c r="CFT188" s="117"/>
      <c r="CFU188" s="117"/>
      <c r="CFV188" s="117"/>
      <c r="CFW188" s="117"/>
      <c r="CFX188" s="117"/>
      <c r="CFY188" s="117"/>
      <c r="CFZ188" s="117"/>
      <c r="CGA188" s="117"/>
      <c r="CGB188" s="117"/>
      <c r="CGC188" s="117"/>
      <c r="CGD188" s="117"/>
      <c r="CGE188" s="117"/>
      <c r="CGF188" s="117"/>
      <c r="CGG188" s="117"/>
      <c r="CGH188" s="117"/>
      <c r="CGI188" s="117"/>
      <c r="CGJ188" s="117"/>
      <c r="CGK188" s="117"/>
      <c r="CGL188" s="117"/>
      <c r="CGM188" s="117"/>
      <c r="CGN188" s="117"/>
      <c r="CGO188" s="117"/>
      <c r="CGP188" s="117"/>
      <c r="CGQ188" s="117"/>
      <c r="CGR188" s="117"/>
      <c r="CGS188" s="117"/>
      <c r="CGT188" s="117"/>
      <c r="CGU188" s="117"/>
      <c r="CGV188" s="117"/>
      <c r="CGW188" s="117"/>
      <c r="CGX188" s="117"/>
      <c r="CGY188" s="117"/>
      <c r="CGZ188" s="117"/>
      <c r="CHA188" s="117"/>
      <c r="CHB188" s="117"/>
      <c r="CHC188" s="117"/>
      <c r="CHD188" s="117"/>
      <c r="CHE188" s="117"/>
      <c r="CHF188" s="117"/>
      <c r="CHG188" s="117"/>
      <c r="CHH188" s="117"/>
      <c r="CHI188" s="117"/>
      <c r="CHJ188" s="117"/>
      <c r="CHK188" s="117"/>
      <c r="CHL188" s="117"/>
      <c r="CHM188" s="117"/>
      <c r="CHN188" s="117"/>
      <c r="CHO188" s="117"/>
      <c r="CHP188" s="117"/>
      <c r="CHQ188" s="117"/>
      <c r="CHR188" s="117"/>
      <c r="CHS188" s="117"/>
      <c r="CHT188" s="117"/>
      <c r="CHU188" s="117"/>
      <c r="CHV188" s="117"/>
      <c r="CHW188" s="117"/>
      <c r="CHX188" s="117"/>
      <c r="CHY188" s="117"/>
      <c r="CHZ188" s="117"/>
      <c r="CIA188" s="117"/>
      <c r="CIB188" s="117"/>
      <c r="CIC188" s="117"/>
      <c r="CID188" s="117"/>
      <c r="CIE188" s="117"/>
      <c r="CIF188" s="117"/>
      <c r="CIG188" s="117"/>
      <c r="CIH188" s="117"/>
      <c r="CII188" s="117"/>
      <c r="CIJ188" s="117"/>
      <c r="CIK188" s="117"/>
      <c r="CIL188" s="117"/>
      <c r="CIM188" s="117"/>
      <c r="CIN188" s="117"/>
      <c r="CIO188" s="117"/>
      <c r="CIP188" s="117"/>
      <c r="CIQ188" s="117"/>
      <c r="CIR188" s="117"/>
      <c r="CIS188" s="117"/>
      <c r="CIT188" s="117"/>
      <c r="CIU188" s="117"/>
      <c r="CIV188" s="117"/>
      <c r="CIW188" s="117"/>
      <c r="CIX188" s="117"/>
      <c r="CIY188" s="117"/>
      <c r="CIZ188" s="117"/>
      <c r="CJA188" s="117"/>
      <c r="CJB188" s="117"/>
      <c r="CJC188" s="117"/>
      <c r="CJD188" s="117"/>
      <c r="CJE188" s="117"/>
      <c r="CJF188" s="117"/>
      <c r="CJG188" s="117"/>
      <c r="CJH188" s="117"/>
      <c r="CJI188" s="117"/>
      <c r="CJJ188" s="117"/>
      <c r="CJK188" s="117"/>
      <c r="CJL188" s="117"/>
      <c r="CJM188" s="117"/>
      <c r="CJN188" s="117"/>
      <c r="CJO188" s="117"/>
      <c r="CJP188" s="117"/>
      <c r="CJQ188" s="117"/>
      <c r="CJR188" s="117"/>
      <c r="CJS188" s="117"/>
      <c r="CJT188" s="117"/>
      <c r="CJU188" s="117"/>
      <c r="CJV188" s="117"/>
      <c r="CJW188" s="117"/>
      <c r="CJX188" s="117"/>
      <c r="CJY188" s="117"/>
      <c r="CJZ188" s="117"/>
      <c r="CKA188" s="117"/>
      <c r="CKB188" s="117"/>
      <c r="CKC188" s="117"/>
      <c r="CKD188" s="117"/>
      <c r="CKE188" s="117"/>
      <c r="CKF188" s="117"/>
      <c r="CKG188" s="117"/>
      <c r="CKH188" s="117"/>
      <c r="CKI188" s="117"/>
      <c r="CKJ188" s="117"/>
      <c r="CKK188" s="117"/>
      <c r="CKL188" s="117"/>
      <c r="CKM188" s="117"/>
      <c r="CKN188" s="117"/>
      <c r="CKO188" s="117"/>
      <c r="CKP188" s="117"/>
      <c r="CKQ188" s="117"/>
      <c r="CKR188" s="117"/>
      <c r="CKS188" s="117"/>
      <c r="CKT188" s="117"/>
      <c r="CKU188" s="117"/>
      <c r="CKV188" s="117"/>
      <c r="CKW188" s="117"/>
      <c r="CKX188" s="117"/>
      <c r="CKY188" s="117"/>
      <c r="CKZ188" s="117"/>
      <c r="CLA188" s="117"/>
      <c r="CLB188" s="117"/>
      <c r="CLC188" s="117"/>
      <c r="CLD188" s="117"/>
      <c r="CLE188" s="117"/>
      <c r="CLF188" s="117"/>
      <c r="CLG188" s="117"/>
      <c r="CLH188" s="117"/>
      <c r="CLI188" s="117"/>
      <c r="CLJ188" s="117"/>
      <c r="CLK188" s="117"/>
      <c r="CLL188" s="117"/>
      <c r="CLM188" s="117"/>
      <c r="CLN188" s="117"/>
      <c r="CLO188" s="117"/>
      <c r="CLP188" s="117"/>
      <c r="CLQ188" s="117"/>
      <c r="CLR188" s="117"/>
      <c r="CLS188" s="117"/>
      <c r="CLT188" s="117"/>
      <c r="CLU188" s="117"/>
      <c r="CLV188" s="117"/>
      <c r="CLW188" s="117"/>
      <c r="CLX188" s="117"/>
      <c r="CLY188" s="117"/>
      <c r="CLZ188" s="117"/>
      <c r="CMA188" s="117"/>
      <c r="CMB188" s="117"/>
      <c r="CMC188" s="117"/>
      <c r="CMD188" s="117"/>
      <c r="CME188" s="117"/>
      <c r="CMF188" s="117"/>
      <c r="CMG188" s="117"/>
      <c r="CMH188" s="117"/>
      <c r="CMI188" s="117"/>
      <c r="CMJ188" s="117"/>
      <c r="CMK188" s="117"/>
      <c r="CML188" s="117"/>
      <c r="CMM188" s="117"/>
      <c r="CMN188" s="117"/>
      <c r="CMO188" s="117"/>
      <c r="CMP188" s="117"/>
      <c r="CMQ188" s="117"/>
      <c r="CMR188" s="117"/>
      <c r="CMS188" s="117"/>
      <c r="CMT188" s="117"/>
      <c r="CMU188" s="117"/>
      <c r="CMV188" s="117"/>
      <c r="CMW188" s="117"/>
      <c r="CMX188" s="117"/>
      <c r="CMY188" s="117"/>
      <c r="CMZ188" s="117"/>
      <c r="CNA188" s="117"/>
      <c r="CNB188" s="117"/>
      <c r="CNC188" s="117"/>
      <c r="CND188" s="117"/>
      <c r="CNE188" s="117"/>
      <c r="CNF188" s="117"/>
      <c r="CNG188" s="117"/>
      <c r="CNH188" s="117"/>
      <c r="CNI188" s="117"/>
      <c r="CNJ188" s="117"/>
      <c r="CNK188" s="117"/>
      <c r="CNL188" s="117"/>
      <c r="CNM188" s="117"/>
      <c r="CNN188" s="117"/>
      <c r="CNO188" s="117"/>
      <c r="CNP188" s="117"/>
      <c r="CNQ188" s="117"/>
      <c r="CNR188" s="117"/>
      <c r="CNS188" s="117"/>
      <c r="CNT188" s="117"/>
      <c r="CNU188" s="117"/>
      <c r="CNV188" s="117"/>
      <c r="CNW188" s="117"/>
      <c r="CNX188" s="117"/>
      <c r="CNY188" s="117"/>
      <c r="CNZ188" s="117"/>
      <c r="COA188" s="117"/>
      <c r="COB188" s="117"/>
      <c r="COC188" s="117"/>
      <c r="COD188" s="117"/>
      <c r="COE188" s="117"/>
      <c r="COF188" s="117"/>
      <c r="COG188" s="117"/>
      <c r="COH188" s="117"/>
      <c r="COI188" s="117"/>
      <c r="COJ188" s="117"/>
      <c r="COK188" s="117"/>
      <c r="COL188" s="117"/>
      <c r="COM188" s="117"/>
      <c r="CON188" s="117"/>
      <c r="COO188" s="117"/>
      <c r="COP188" s="117"/>
      <c r="COQ188" s="117"/>
      <c r="COR188" s="117"/>
      <c r="COS188" s="117"/>
      <c r="COT188" s="117"/>
      <c r="COU188" s="117"/>
      <c r="COV188" s="117"/>
      <c r="COW188" s="117"/>
      <c r="COX188" s="117"/>
      <c r="COY188" s="117"/>
      <c r="COZ188" s="117"/>
      <c r="CPA188" s="117"/>
      <c r="CPB188" s="117"/>
      <c r="CPC188" s="117"/>
      <c r="CPD188" s="117"/>
      <c r="CPE188" s="117"/>
      <c r="CPF188" s="117"/>
      <c r="CPG188" s="117"/>
      <c r="CPH188" s="117"/>
      <c r="CPI188" s="117"/>
      <c r="CPJ188" s="117"/>
      <c r="CPK188" s="117"/>
      <c r="CPL188" s="117"/>
      <c r="CPM188" s="117"/>
      <c r="CPN188" s="117"/>
      <c r="CPO188" s="117"/>
      <c r="CPP188" s="117"/>
      <c r="CPQ188" s="117"/>
      <c r="CPR188" s="117"/>
      <c r="CPS188" s="117"/>
      <c r="CPT188" s="117"/>
      <c r="CPU188" s="117"/>
      <c r="CPV188" s="117"/>
      <c r="CPW188" s="117"/>
      <c r="CPX188" s="117"/>
      <c r="CPY188" s="117"/>
      <c r="CPZ188" s="117"/>
      <c r="CQA188" s="117"/>
      <c r="CQB188" s="117"/>
      <c r="CQC188" s="117"/>
      <c r="CQD188" s="117"/>
      <c r="CQE188" s="117"/>
      <c r="CQF188" s="117"/>
      <c r="CQG188" s="117"/>
      <c r="CQH188" s="117"/>
      <c r="CQI188" s="117"/>
      <c r="CQJ188" s="117"/>
      <c r="CQK188" s="117"/>
      <c r="CQL188" s="117"/>
      <c r="CQM188" s="117"/>
      <c r="CQN188" s="117"/>
      <c r="CQO188" s="117"/>
      <c r="CQP188" s="117"/>
      <c r="CQQ188" s="117"/>
      <c r="CQR188" s="117"/>
      <c r="CQS188" s="117"/>
      <c r="CQT188" s="117"/>
      <c r="CQU188" s="117"/>
      <c r="CQV188" s="117"/>
      <c r="CQW188" s="117"/>
      <c r="CQX188" s="117"/>
      <c r="CQY188" s="117"/>
      <c r="CQZ188" s="117"/>
      <c r="CRA188" s="117"/>
      <c r="CRB188" s="117"/>
      <c r="CRC188" s="117"/>
      <c r="CRD188" s="117"/>
      <c r="CRE188" s="117"/>
      <c r="CRF188" s="117"/>
      <c r="CRG188" s="117"/>
      <c r="CRH188" s="117"/>
      <c r="CRI188" s="117"/>
      <c r="CRJ188" s="117"/>
      <c r="CRK188" s="117"/>
      <c r="CRL188" s="117"/>
      <c r="CRM188" s="117"/>
      <c r="CRN188" s="117"/>
      <c r="CRO188" s="117"/>
      <c r="CRP188" s="117"/>
      <c r="CRQ188" s="117"/>
      <c r="CRR188" s="117"/>
      <c r="CRS188" s="117"/>
      <c r="CRT188" s="117"/>
      <c r="CRU188" s="117"/>
      <c r="CRV188" s="117"/>
      <c r="CRW188" s="117"/>
      <c r="CRX188" s="117"/>
      <c r="CRY188" s="117"/>
      <c r="CRZ188" s="117"/>
      <c r="CSA188" s="117"/>
      <c r="CSB188" s="117"/>
      <c r="CSC188" s="117"/>
      <c r="CSD188" s="117"/>
      <c r="CSE188" s="117"/>
      <c r="CSF188" s="117"/>
      <c r="CSG188" s="117"/>
      <c r="CSH188" s="117"/>
      <c r="CSI188" s="117"/>
      <c r="CSJ188" s="117"/>
      <c r="CSK188" s="117"/>
      <c r="CSL188" s="117"/>
      <c r="CSM188" s="117"/>
      <c r="CSN188" s="117"/>
      <c r="CSO188" s="117"/>
      <c r="CSP188" s="117"/>
      <c r="CSQ188" s="117"/>
      <c r="CSR188" s="117"/>
      <c r="CSS188" s="117"/>
      <c r="CST188" s="117"/>
      <c r="CSU188" s="117"/>
      <c r="CSV188" s="117"/>
      <c r="CSW188" s="117"/>
      <c r="CSX188" s="117"/>
      <c r="CSY188" s="117"/>
      <c r="CSZ188" s="117"/>
      <c r="CTA188" s="117"/>
      <c r="CTB188" s="117"/>
      <c r="CTC188" s="117"/>
      <c r="CTD188" s="117"/>
      <c r="CTE188" s="117"/>
      <c r="CTF188" s="117"/>
      <c r="CTG188" s="117"/>
      <c r="CTH188" s="117"/>
      <c r="CTI188" s="117"/>
      <c r="CTJ188" s="117"/>
      <c r="CTK188" s="117"/>
      <c r="CTL188" s="117"/>
      <c r="CTM188" s="117"/>
      <c r="CTN188" s="117"/>
      <c r="CTO188" s="117"/>
      <c r="CTP188" s="117"/>
      <c r="CTQ188" s="117"/>
      <c r="CTR188" s="117"/>
      <c r="CTS188" s="117"/>
      <c r="CTT188" s="117"/>
      <c r="CTU188" s="117"/>
      <c r="CTV188" s="117"/>
      <c r="CTW188" s="117"/>
      <c r="CTX188" s="117"/>
      <c r="CTY188" s="117"/>
      <c r="CTZ188" s="117"/>
      <c r="CUA188" s="117"/>
      <c r="CUB188" s="117"/>
      <c r="CUC188" s="117"/>
      <c r="CUD188" s="117"/>
      <c r="CUE188" s="117"/>
      <c r="CUF188" s="117"/>
      <c r="CUG188" s="117"/>
      <c r="CUH188" s="117"/>
      <c r="CUI188" s="117"/>
      <c r="CUJ188" s="117"/>
      <c r="CUK188" s="117"/>
      <c r="CUL188" s="117"/>
      <c r="CUM188" s="117"/>
      <c r="CUN188" s="117"/>
      <c r="CUO188" s="117"/>
      <c r="CUP188" s="117"/>
      <c r="CUQ188" s="117"/>
      <c r="CUR188" s="117"/>
      <c r="CUS188" s="117"/>
      <c r="CUT188" s="117"/>
      <c r="CUU188" s="117"/>
      <c r="CUV188" s="117"/>
      <c r="CUW188" s="117"/>
      <c r="CUX188" s="117"/>
      <c r="CUY188" s="117"/>
      <c r="CUZ188" s="117"/>
      <c r="CVA188" s="117"/>
      <c r="CVB188" s="117"/>
      <c r="CVC188" s="117"/>
      <c r="CVD188" s="117"/>
      <c r="CVE188" s="117"/>
      <c r="CVF188" s="117"/>
      <c r="CVG188" s="117"/>
      <c r="CVH188" s="117"/>
      <c r="CVI188" s="117"/>
      <c r="CVJ188" s="117"/>
      <c r="CVK188" s="117"/>
      <c r="CVL188" s="117"/>
      <c r="CVM188" s="117"/>
      <c r="CVN188" s="117"/>
      <c r="CVO188" s="117"/>
      <c r="CVP188" s="117"/>
      <c r="CVQ188" s="117"/>
      <c r="CVR188" s="117"/>
      <c r="CVS188" s="117"/>
      <c r="CVT188" s="117"/>
      <c r="CVU188" s="117"/>
      <c r="CVV188" s="117"/>
      <c r="CVW188" s="117"/>
      <c r="CVX188" s="117"/>
      <c r="CVY188" s="117"/>
      <c r="CVZ188" s="117"/>
      <c r="CWA188" s="117"/>
      <c r="CWB188" s="117"/>
      <c r="CWC188" s="117"/>
      <c r="CWD188" s="117"/>
      <c r="CWE188" s="117"/>
      <c r="CWF188" s="117"/>
      <c r="CWG188" s="117"/>
      <c r="CWH188" s="117"/>
      <c r="CWI188" s="117"/>
      <c r="CWJ188" s="117"/>
      <c r="CWK188" s="117"/>
      <c r="CWL188" s="117"/>
      <c r="CWM188" s="117"/>
      <c r="CWN188" s="117"/>
      <c r="CWO188" s="117"/>
      <c r="CWP188" s="117"/>
      <c r="CWQ188" s="117"/>
      <c r="CWR188" s="117"/>
      <c r="CWS188" s="117"/>
      <c r="CWT188" s="117"/>
      <c r="CWU188" s="117"/>
      <c r="CWV188" s="117"/>
      <c r="CWW188" s="117"/>
      <c r="CWX188" s="117"/>
      <c r="CWY188" s="117"/>
      <c r="CWZ188" s="117"/>
      <c r="CXA188" s="117"/>
      <c r="CXB188" s="117"/>
      <c r="CXC188" s="117"/>
      <c r="CXD188" s="117"/>
      <c r="CXE188" s="117"/>
      <c r="CXF188" s="117"/>
      <c r="CXG188" s="117"/>
      <c r="CXH188" s="117"/>
      <c r="CXI188" s="117"/>
      <c r="CXJ188" s="117"/>
      <c r="CXK188" s="117"/>
      <c r="CXL188" s="117"/>
      <c r="CXM188" s="117"/>
      <c r="CXN188" s="117"/>
      <c r="CXO188" s="117"/>
      <c r="CXP188" s="117"/>
      <c r="CXQ188" s="117"/>
      <c r="CXR188" s="117"/>
      <c r="CXS188" s="117"/>
      <c r="CXT188" s="117"/>
      <c r="CXU188" s="117"/>
      <c r="CXV188" s="117"/>
      <c r="CXW188" s="117"/>
      <c r="CXX188" s="117"/>
      <c r="CXY188" s="117"/>
      <c r="CXZ188" s="117"/>
      <c r="CYA188" s="117"/>
      <c r="CYB188" s="117"/>
      <c r="CYC188" s="117"/>
      <c r="CYD188" s="117"/>
      <c r="CYE188" s="117"/>
      <c r="CYF188" s="117"/>
      <c r="CYG188" s="117"/>
      <c r="CYH188" s="117"/>
      <c r="CYI188" s="117"/>
      <c r="CYJ188" s="117"/>
      <c r="CYK188" s="117"/>
      <c r="CYL188" s="117"/>
      <c r="CYM188" s="117"/>
      <c r="CYN188" s="117"/>
      <c r="CYO188" s="117"/>
      <c r="CYP188" s="117"/>
      <c r="CYQ188" s="117"/>
      <c r="CYR188" s="117"/>
      <c r="CYS188" s="117"/>
      <c r="CYT188" s="117"/>
      <c r="CYU188" s="117"/>
      <c r="CYV188" s="117"/>
      <c r="CYW188" s="117"/>
      <c r="CYX188" s="117"/>
      <c r="CYY188" s="117"/>
      <c r="CYZ188" s="117"/>
      <c r="CZA188" s="117"/>
      <c r="CZB188" s="117"/>
      <c r="CZC188" s="117"/>
      <c r="CZD188" s="117"/>
      <c r="CZE188" s="117"/>
      <c r="CZF188" s="117"/>
      <c r="CZG188" s="117"/>
      <c r="CZH188" s="117"/>
      <c r="CZI188" s="117"/>
      <c r="CZJ188" s="117"/>
      <c r="CZK188" s="117"/>
      <c r="CZL188" s="117"/>
      <c r="CZM188" s="117"/>
      <c r="CZN188" s="117"/>
      <c r="CZO188" s="117"/>
      <c r="CZP188" s="117"/>
      <c r="CZQ188" s="117"/>
      <c r="CZR188" s="117"/>
      <c r="CZS188" s="117"/>
      <c r="CZT188" s="117"/>
      <c r="CZU188" s="117"/>
      <c r="CZV188" s="117"/>
      <c r="CZW188" s="117"/>
      <c r="CZX188" s="117"/>
      <c r="CZY188" s="117"/>
      <c r="CZZ188" s="117"/>
      <c r="DAA188" s="117"/>
      <c r="DAB188" s="117"/>
      <c r="DAC188" s="117"/>
      <c r="DAD188" s="117"/>
      <c r="DAE188" s="117"/>
      <c r="DAF188" s="117"/>
      <c r="DAG188" s="117"/>
      <c r="DAH188" s="117"/>
      <c r="DAI188" s="117"/>
      <c r="DAJ188" s="117"/>
      <c r="DAK188" s="117"/>
      <c r="DAL188" s="117"/>
      <c r="DAM188" s="117"/>
      <c r="DAN188" s="117"/>
      <c r="DAO188" s="117"/>
      <c r="DAP188" s="117"/>
      <c r="DAQ188" s="117"/>
      <c r="DAR188" s="117"/>
      <c r="DAS188" s="117"/>
      <c r="DAT188" s="117"/>
      <c r="DAU188" s="117"/>
      <c r="DAV188" s="117"/>
      <c r="DAW188" s="117"/>
      <c r="DAX188" s="117"/>
      <c r="DAY188" s="117"/>
      <c r="DAZ188" s="117"/>
      <c r="DBA188" s="117"/>
      <c r="DBB188" s="117"/>
      <c r="DBC188" s="117"/>
      <c r="DBD188" s="117"/>
      <c r="DBE188" s="117"/>
      <c r="DBF188" s="117"/>
      <c r="DBG188" s="117"/>
      <c r="DBH188" s="117"/>
      <c r="DBI188" s="117"/>
      <c r="DBJ188" s="117"/>
      <c r="DBK188" s="117"/>
      <c r="DBL188" s="117"/>
      <c r="DBM188" s="117"/>
      <c r="DBN188" s="117"/>
      <c r="DBO188" s="117"/>
      <c r="DBP188" s="117"/>
      <c r="DBQ188" s="117"/>
      <c r="DBR188" s="117"/>
      <c r="DBS188" s="117"/>
      <c r="DBT188" s="117"/>
      <c r="DBU188" s="117"/>
      <c r="DBV188" s="117"/>
      <c r="DBW188" s="117"/>
      <c r="DBX188" s="117"/>
      <c r="DBY188" s="117"/>
      <c r="DBZ188" s="117"/>
      <c r="DCA188" s="117"/>
      <c r="DCB188" s="117"/>
      <c r="DCC188" s="117"/>
      <c r="DCD188" s="117"/>
      <c r="DCE188" s="117"/>
      <c r="DCF188" s="117"/>
      <c r="DCG188" s="117"/>
      <c r="DCH188" s="117"/>
      <c r="DCI188" s="117"/>
      <c r="DCJ188" s="117"/>
      <c r="DCK188" s="117"/>
      <c r="DCL188" s="117"/>
      <c r="DCM188" s="117"/>
      <c r="DCN188" s="117"/>
      <c r="DCO188" s="117"/>
      <c r="DCP188" s="117"/>
      <c r="DCQ188" s="117"/>
      <c r="DCR188" s="117"/>
      <c r="DCS188" s="117"/>
      <c r="DCT188" s="117"/>
      <c r="DCU188" s="117"/>
      <c r="DCV188" s="117"/>
      <c r="DCW188" s="117"/>
      <c r="DCX188" s="117"/>
      <c r="DCY188" s="117"/>
      <c r="DCZ188" s="117"/>
      <c r="DDA188" s="117"/>
      <c r="DDB188" s="117"/>
      <c r="DDC188" s="117"/>
      <c r="DDD188" s="117"/>
      <c r="DDE188" s="117"/>
      <c r="DDF188" s="117"/>
      <c r="DDG188" s="117"/>
      <c r="DDH188" s="117"/>
      <c r="DDI188" s="117"/>
      <c r="DDJ188" s="117"/>
      <c r="DDK188" s="117"/>
      <c r="DDL188" s="117"/>
      <c r="DDM188" s="117"/>
      <c r="DDN188" s="117"/>
      <c r="DDO188" s="117"/>
      <c r="DDP188" s="117"/>
      <c r="DDQ188" s="117"/>
      <c r="DDR188" s="117"/>
      <c r="DDS188" s="117"/>
      <c r="DDT188" s="117"/>
      <c r="DDU188" s="117"/>
      <c r="DDV188" s="117"/>
      <c r="DDW188" s="117"/>
      <c r="DDX188" s="117"/>
      <c r="DDY188" s="117"/>
      <c r="DDZ188" s="117"/>
      <c r="DEA188" s="117"/>
      <c r="DEB188" s="117"/>
      <c r="DEC188" s="117"/>
      <c r="DED188" s="117"/>
      <c r="DEE188" s="117"/>
      <c r="DEF188" s="117"/>
      <c r="DEG188" s="117"/>
      <c r="DEH188" s="117"/>
      <c r="DEI188" s="117"/>
      <c r="DEJ188" s="117"/>
      <c r="DEK188" s="117"/>
      <c r="DEL188" s="117"/>
      <c r="DEM188" s="117"/>
      <c r="DEN188" s="117"/>
      <c r="DEO188" s="117"/>
      <c r="DEP188" s="117"/>
      <c r="DEQ188" s="117"/>
      <c r="DER188" s="117"/>
      <c r="DES188" s="117"/>
      <c r="DET188" s="117"/>
      <c r="DEU188" s="117"/>
      <c r="DEV188" s="117"/>
      <c r="DEW188" s="117"/>
      <c r="DEX188" s="117"/>
      <c r="DEY188" s="117"/>
      <c r="DEZ188" s="117"/>
      <c r="DFA188" s="117"/>
      <c r="DFB188" s="117"/>
      <c r="DFC188" s="117"/>
      <c r="DFD188" s="117"/>
      <c r="DFE188" s="117"/>
      <c r="DFF188" s="117"/>
      <c r="DFG188" s="117"/>
      <c r="DFH188" s="117"/>
      <c r="DFI188" s="117"/>
      <c r="DFJ188" s="117"/>
      <c r="DFK188" s="117"/>
      <c r="DFL188" s="117"/>
      <c r="DFM188" s="117"/>
      <c r="DFN188" s="117"/>
      <c r="DFO188" s="117"/>
      <c r="DFP188" s="117"/>
      <c r="DFQ188" s="117"/>
      <c r="DFR188" s="117"/>
      <c r="DFS188" s="117"/>
      <c r="DFT188" s="117"/>
      <c r="DFU188" s="117"/>
      <c r="DFV188" s="117"/>
      <c r="DFW188" s="117"/>
      <c r="DFX188" s="117"/>
      <c r="DFY188" s="117"/>
      <c r="DFZ188" s="117"/>
      <c r="DGA188" s="117"/>
      <c r="DGB188" s="117"/>
      <c r="DGC188" s="117"/>
      <c r="DGD188" s="117"/>
      <c r="DGE188" s="117"/>
      <c r="DGF188" s="117"/>
      <c r="DGG188" s="117"/>
      <c r="DGH188" s="117"/>
      <c r="DGI188" s="117"/>
      <c r="DGJ188" s="117"/>
      <c r="DGK188" s="117"/>
      <c r="DGL188" s="117"/>
      <c r="DGM188" s="117"/>
      <c r="DGN188" s="117"/>
      <c r="DGO188" s="117"/>
      <c r="DGP188" s="117"/>
      <c r="DGQ188" s="117"/>
      <c r="DGR188" s="117"/>
      <c r="DGS188" s="117"/>
      <c r="DGT188" s="117"/>
      <c r="DGU188" s="117"/>
      <c r="DGV188" s="117"/>
      <c r="DGW188" s="117"/>
      <c r="DGX188" s="117"/>
      <c r="DGY188" s="117"/>
      <c r="DGZ188" s="117"/>
      <c r="DHA188" s="117"/>
      <c r="DHB188" s="117"/>
      <c r="DHC188" s="117"/>
      <c r="DHD188" s="117"/>
      <c r="DHE188" s="117"/>
      <c r="DHF188" s="117"/>
      <c r="DHG188" s="117"/>
      <c r="DHH188" s="117"/>
      <c r="DHI188" s="117"/>
      <c r="DHJ188" s="117"/>
      <c r="DHK188" s="117"/>
      <c r="DHL188" s="117"/>
      <c r="DHM188" s="117"/>
      <c r="DHN188" s="117"/>
      <c r="DHO188" s="117"/>
      <c r="DHP188" s="117"/>
      <c r="DHQ188" s="117"/>
      <c r="DHR188" s="117"/>
      <c r="DHS188" s="117"/>
      <c r="DHT188" s="117"/>
      <c r="DHU188" s="117"/>
      <c r="DHV188" s="117"/>
      <c r="DHW188" s="117"/>
      <c r="DHX188" s="117"/>
      <c r="DHY188" s="117"/>
      <c r="DHZ188" s="117"/>
      <c r="DIA188" s="117"/>
      <c r="DIB188" s="117"/>
      <c r="DIC188" s="117"/>
      <c r="DID188" s="117"/>
      <c r="DIE188" s="117"/>
      <c r="DIF188" s="117"/>
      <c r="DIG188" s="117"/>
      <c r="DIH188" s="117"/>
      <c r="DII188" s="117"/>
      <c r="DIJ188" s="117"/>
      <c r="DIK188" s="117"/>
      <c r="DIL188" s="117"/>
      <c r="DIM188" s="117"/>
      <c r="DIN188" s="117"/>
      <c r="DIO188" s="117"/>
      <c r="DIP188" s="117"/>
      <c r="DIQ188" s="117"/>
      <c r="DIR188" s="117"/>
      <c r="DIS188" s="117"/>
      <c r="DIT188" s="117"/>
      <c r="DIU188" s="117"/>
      <c r="DIV188" s="117"/>
      <c r="DIW188" s="117"/>
      <c r="DIX188" s="117"/>
      <c r="DIY188" s="117"/>
      <c r="DIZ188" s="117"/>
      <c r="DJA188" s="117"/>
      <c r="DJB188" s="117"/>
      <c r="DJC188" s="117"/>
      <c r="DJD188" s="117"/>
      <c r="DJE188" s="117"/>
      <c r="DJF188" s="117"/>
      <c r="DJG188" s="117"/>
      <c r="DJH188" s="117"/>
      <c r="DJI188" s="117"/>
      <c r="DJJ188" s="117"/>
      <c r="DJK188" s="117"/>
      <c r="DJL188" s="117"/>
      <c r="DJM188" s="117"/>
      <c r="DJN188" s="117"/>
      <c r="DJO188" s="117"/>
      <c r="DJP188" s="117"/>
      <c r="DJQ188" s="117"/>
      <c r="DJR188" s="117"/>
      <c r="DJS188" s="117"/>
      <c r="DJT188" s="117"/>
      <c r="DJU188" s="117"/>
      <c r="DJV188" s="117"/>
      <c r="DJW188" s="117"/>
      <c r="DJX188" s="117"/>
      <c r="DJY188" s="117"/>
      <c r="DJZ188" s="117"/>
      <c r="DKA188" s="117"/>
      <c r="DKB188" s="117"/>
      <c r="DKC188" s="117"/>
      <c r="DKD188" s="117"/>
      <c r="DKE188" s="117"/>
      <c r="DKF188" s="117"/>
      <c r="DKG188" s="117"/>
      <c r="DKH188" s="117"/>
      <c r="DKI188" s="117"/>
      <c r="DKJ188" s="117"/>
      <c r="DKK188" s="117"/>
      <c r="DKL188" s="117"/>
      <c r="DKM188" s="117"/>
      <c r="DKN188" s="117"/>
      <c r="DKO188" s="117"/>
      <c r="DKP188" s="117"/>
      <c r="DKQ188" s="117"/>
      <c r="DKR188" s="117"/>
      <c r="DKS188" s="117"/>
      <c r="DKT188" s="117"/>
      <c r="DKU188" s="117"/>
      <c r="DKV188" s="117"/>
      <c r="DKW188" s="117"/>
      <c r="DKX188" s="117"/>
      <c r="DKY188" s="117"/>
      <c r="DKZ188" s="117"/>
      <c r="DLA188" s="117"/>
      <c r="DLB188" s="117"/>
      <c r="DLC188" s="117"/>
      <c r="DLD188" s="117"/>
      <c r="DLE188" s="117"/>
      <c r="DLF188" s="117"/>
      <c r="DLG188" s="117"/>
      <c r="DLH188" s="117"/>
      <c r="DLI188" s="117"/>
      <c r="DLJ188" s="117"/>
      <c r="DLK188" s="117"/>
      <c r="DLL188" s="117"/>
      <c r="DLM188" s="117"/>
      <c r="DLN188" s="117"/>
      <c r="DLO188" s="117"/>
      <c r="DLP188" s="117"/>
      <c r="DLQ188" s="117"/>
      <c r="DLR188" s="117"/>
      <c r="DLS188" s="117"/>
      <c r="DLT188" s="117"/>
      <c r="DLU188" s="117"/>
      <c r="DLV188" s="117"/>
      <c r="DLW188" s="117"/>
      <c r="DLX188" s="117"/>
      <c r="DLY188" s="117"/>
      <c r="DLZ188" s="117"/>
      <c r="DMA188" s="117"/>
      <c r="DMB188" s="117"/>
      <c r="DMC188" s="117"/>
      <c r="DMD188" s="117"/>
      <c r="DME188" s="117"/>
      <c r="DMF188" s="117"/>
      <c r="DMG188" s="117"/>
      <c r="DMH188" s="117"/>
      <c r="DMI188" s="117"/>
      <c r="DMJ188" s="117"/>
      <c r="DMK188" s="117"/>
      <c r="DML188" s="117"/>
      <c r="DMM188" s="117"/>
      <c r="DMN188" s="117"/>
      <c r="DMO188" s="117"/>
      <c r="DMP188" s="117"/>
      <c r="DMQ188" s="117"/>
      <c r="DMR188" s="117"/>
      <c r="DMS188" s="117"/>
      <c r="DMT188" s="117"/>
      <c r="DMU188" s="117"/>
      <c r="DMV188" s="117"/>
      <c r="DMW188" s="117"/>
      <c r="DMX188" s="117"/>
      <c r="DMY188" s="117"/>
      <c r="DMZ188" s="117"/>
      <c r="DNA188" s="117"/>
      <c r="DNB188" s="117"/>
      <c r="DNC188" s="117"/>
      <c r="DND188" s="117"/>
      <c r="DNE188" s="117"/>
      <c r="DNF188" s="117"/>
      <c r="DNG188" s="117"/>
      <c r="DNH188" s="117"/>
      <c r="DNI188" s="117"/>
      <c r="DNJ188" s="117"/>
      <c r="DNK188" s="117"/>
      <c r="DNL188" s="117"/>
      <c r="DNM188" s="117"/>
      <c r="DNN188" s="117"/>
      <c r="DNO188" s="117"/>
      <c r="DNP188" s="117"/>
      <c r="DNQ188" s="117"/>
      <c r="DNR188" s="117"/>
      <c r="DNS188" s="117"/>
      <c r="DNT188" s="117"/>
      <c r="DNU188" s="117"/>
      <c r="DNV188" s="117"/>
      <c r="DNW188" s="117"/>
      <c r="DNX188" s="117"/>
      <c r="DNY188" s="117"/>
      <c r="DNZ188" s="117"/>
      <c r="DOA188" s="117"/>
      <c r="DOB188" s="117"/>
      <c r="DOC188" s="117"/>
      <c r="DOD188" s="117"/>
      <c r="DOE188" s="117"/>
      <c r="DOF188" s="117"/>
      <c r="DOG188" s="117"/>
      <c r="DOH188" s="117"/>
      <c r="DOI188" s="117"/>
      <c r="DOJ188" s="117"/>
      <c r="DOK188" s="117"/>
      <c r="DOL188" s="117"/>
      <c r="DOM188" s="117"/>
      <c r="DON188" s="117"/>
      <c r="DOO188" s="117"/>
      <c r="DOP188" s="117"/>
      <c r="DOQ188" s="117"/>
      <c r="DOR188" s="117"/>
      <c r="DOS188" s="117"/>
      <c r="DOT188" s="117"/>
      <c r="DOU188" s="117"/>
      <c r="DOV188" s="117"/>
      <c r="DOW188" s="117"/>
      <c r="DOX188" s="117"/>
      <c r="DOY188" s="117"/>
      <c r="DOZ188" s="117"/>
      <c r="DPA188" s="117"/>
      <c r="DPB188" s="117"/>
      <c r="DPC188" s="117"/>
      <c r="DPD188" s="117"/>
      <c r="DPE188" s="117"/>
      <c r="DPF188" s="117"/>
      <c r="DPG188" s="117"/>
      <c r="DPH188" s="117"/>
      <c r="DPI188" s="117"/>
      <c r="DPJ188" s="117"/>
      <c r="DPK188" s="117"/>
      <c r="DPL188" s="117"/>
      <c r="DPM188" s="117"/>
      <c r="DPN188" s="117"/>
      <c r="DPO188" s="117"/>
      <c r="DPP188" s="117"/>
      <c r="DPQ188" s="117"/>
      <c r="DPR188" s="117"/>
      <c r="DPS188" s="117"/>
      <c r="DPT188" s="117"/>
      <c r="DPU188" s="117"/>
      <c r="DPV188" s="117"/>
      <c r="DPW188" s="117"/>
      <c r="DPX188" s="117"/>
      <c r="DPY188" s="117"/>
      <c r="DPZ188" s="117"/>
      <c r="DQA188" s="117"/>
      <c r="DQB188" s="117"/>
      <c r="DQC188" s="117"/>
      <c r="DQD188" s="117"/>
      <c r="DQE188" s="117"/>
      <c r="DQF188" s="117"/>
      <c r="DQG188" s="117"/>
      <c r="DQH188" s="117"/>
      <c r="DQI188" s="117"/>
      <c r="DQJ188" s="117"/>
      <c r="DQK188" s="117"/>
      <c r="DQL188" s="117"/>
      <c r="DQM188" s="117"/>
      <c r="DQN188" s="117"/>
      <c r="DQO188" s="117"/>
      <c r="DQP188" s="117"/>
      <c r="DQQ188" s="117"/>
      <c r="DQR188" s="117"/>
      <c r="DQS188" s="117"/>
      <c r="DQT188" s="117"/>
      <c r="DQU188" s="117"/>
      <c r="DQV188" s="117"/>
      <c r="DQW188" s="117"/>
      <c r="DQX188" s="117"/>
      <c r="DQY188" s="117"/>
      <c r="DQZ188" s="117"/>
      <c r="DRA188" s="117"/>
      <c r="DRB188" s="117"/>
      <c r="DRC188" s="117"/>
      <c r="DRD188" s="117"/>
      <c r="DRE188" s="117"/>
      <c r="DRF188" s="117"/>
      <c r="DRG188" s="117"/>
      <c r="DRH188" s="117"/>
      <c r="DRI188" s="117"/>
      <c r="DRJ188" s="117"/>
      <c r="DRK188" s="117"/>
      <c r="DRL188" s="117"/>
      <c r="DRM188" s="117"/>
      <c r="DRN188" s="117"/>
      <c r="DRO188" s="117"/>
      <c r="DRP188" s="117"/>
      <c r="DRQ188" s="117"/>
      <c r="DRR188" s="117"/>
      <c r="DRS188" s="117"/>
      <c r="DRT188" s="117"/>
      <c r="DRU188" s="117"/>
      <c r="DRV188" s="117"/>
      <c r="DRW188" s="117"/>
      <c r="DRX188" s="117"/>
      <c r="DRY188" s="117"/>
      <c r="DRZ188" s="117"/>
      <c r="DSA188" s="117"/>
      <c r="DSB188" s="117"/>
      <c r="DSC188" s="117"/>
      <c r="DSD188" s="117"/>
      <c r="DSE188" s="117"/>
      <c r="DSF188" s="117"/>
      <c r="DSG188" s="117"/>
      <c r="DSH188" s="117"/>
      <c r="DSI188" s="117"/>
      <c r="DSJ188" s="117"/>
      <c r="DSK188" s="117"/>
      <c r="DSL188" s="117"/>
      <c r="DSM188" s="117"/>
      <c r="DSN188" s="117"/>
      <c r="DSO188" s="117"/>
      <c r="DSP188" s="117"/>
      <c r="DSQ188" s="117"/>
      <c r="DSR188" s="117"/>
      <c r="DSS188" s="117"/>
      <c r="DST188" s="117"/>
      <c r="DSU188" s="117"/>
      <c r="DSV188" s="117"/>
      <c r="DSW188" s="117"/>
      <c r="DSX188" s="117"/>
      <c r="DSY188" s="117"/>
      <c r="DSZ188" s="117"/>
      <c r="DTA188" s="117"/>
      <c r="DTB188" s="117"/>
      <c r="DTC188" s="117"/>
      <c r="DTD188" s="117"/>
      <c r="DTE188" s="117"/>
      <c r="DTF188" s="117"/>
      <c r="DTG188" s="117"/>
      <c r="DTH188" s="117"/>
      <c r="DTI188" s="117"/>
      <c r="DTJ188" s="117"/>
      <c r="DTK188" s="117"/>
      <c r="DTL188" s="117"/>
      <c r="DTM188" s="117"/>
      <c r="DTN188" s="117"/>
      <c r="DTO188" s="117"/>
      <c r="DTP188" s="117"/>
      <c r="DTQ188" s="117"/>
      <c r="DTR188" s="117"/>
      <c r="DTS188" s="117"/>
      <c r="DTT188" s="117"/>
      <c r="DTU188" s="117"/>
      <c r="DTV188" s="117"/>
      <c r="DTW188" s="117"/>
      <c r="DTX188" s="117"/>
      <c r="DTY188" s="117"/>
      <c r="DTZ188" s="117"/>
      <c r="DUA188" s="117"/>
      <c r="DUB188" s="117"/>
      <c r="DUC188" s="117"/>
      <c r="DUD188" s="117"/>
      <c r="DUE188" s="117"/>
      <c r="DUF188" s="117"/>
      <c r="DUG188" s="117"/>
      <c r="DUH188" s="117"/>
      <c r="DUI188" s="117"/>
      <c r="DUJ188" s="117"/>
      <c r="DUK188" s="117"/>
      <c r="DUL188" s="117"/>
      <c r="DUM188" s="117"/>
      <c r="DUN188" s="117"/>
      <c r="DUO188" s="117"/>
      <c r="DUP188" s="117"/>
      <c r="DUQ188" s="117"/>
      <c r="DUR188" s="117"/>
      <c r="DUS188" s="117"/>
      <c r="DUT188" s="117"/>
      <c r="DUU188" s="117"/>
      <c r="DUV188" s="117"/>
      <c r="DUW188" s="117"/>
      <c r="DUX188" s="117"/>
      <c r="DUY188" s="117"/>
      <c r="DUZ188" s="117"/>
      <c r="DVA188" s="117"/>
      <c r="DVB188" s="117"/>
      <c r="DVC188" s="117"/>
      <c r="DVD188" s="117"/>
      <c r="DVE188" s="117"/>
      <c r="DVF188" s="117"/>
      <c r="DVG188" s="117"/>
      <c r="DVH188" s="117"/>
      <c r="DVI188" s="117"/>
      <c r="DVJ188" s="117"/>
      <c r="DVK188" s="117"/>
      <c r="DVL188" s="117"/>
      <c r="DVM188" s="117"/>
      <c r="DVN188" s="117"/>
      <c r="DVO188" s="117"/>
      <c r="DVP188" s="117"/>
      <c r="DVQ188" s="117"/>
      <c r="DVR188" s="117"/>
      <c r="DVS188" s="117"/>
      <c r="DVT188" s="117"/>
      <c r="DVU188" s="117"/>
      <c r="DVV188" s="117"/>
      <c r="DVW188" s="117"/>
      <c r="DVX188" s="117"/>
      <c r="DVY188" s="117"/>
      <c r="DVZ188" s="117"/>
      <c r="DWA188" s="117"/>
      <c r="DWB188" s="117"/>
      <c r="DWC188" s="117"/>
      <c r="DWD188" s="117"/>
      <c r="DWE188" s="117"/>
      <c r="DWF188" s="117"/>
      <c r="DWG188" s="117"/>
      <c r="DWH188" s="117"/>
      <c r="DWI188" s="117"/>
      <c r="DWJ188" s="117"/>
      <c r="DWK188" s="117"/>
      <c r="DWL188" s="117"/>
      <c r="DWM188" s="117"/>
      <c r="DWN188" s="117"/>
      <c r="DWO188" s="117"/>
      <c r="DWP188" s="117"/>
      <c r="DWQ188" s="117"/>
      <c r="DWR188" s="117"/>
      <c r="DWS188" s="117"/>
      <c r="DWT188" s="117"/>
      <c r="DWU188" s="117"/>
      <c r="DWV188" s="117"/>
      <c r="DWW188" s="117"/>
      <c r="DWX188" s="117"/>
      <c r="DWY188" s="117"/>
      <c r="DWZ188" s="117"/>
      <c r="DXA188" s="117"/>
      <c r="DXB188" s="117"/>
      <c r="DXC188" s="117"/>
      <c r="DXD188" s="117"/>
      <c r="DXE188" s="117"/>
      <c r="DXF188" s="117"/>
      <c r="DXG188" s="117"/>
      <c r="DXH188" s="117"/>
      <c r="DXI188" s="117"/>
      <c r="DXJ188" s="117"/>
      <c r="DXK188" s="117"/>
      <c r="DXL188" s="117"/>
      <c r="DXM188" s="117"/>
      <c r="DXN188" s="117"/>
      <c r="DXO188" s="117"/>
      <c r="DXP188" s="117"/>
      <c r="DXQ188" s="117"/>
      <c r="DXR188" s="117"/>
      <c r="DXS188" s="117"/>
      <c r="DXT188" s="117"/>
      <c r="DXU188" s="117"/>
      <c r="DXV188" s="117"/>
      <c r="DXW188" s="117"/>
      <c r="DXX188" s="117"/>
      <c r="DXY188" s="117"/>
      <c r="DXZ188" s="117"/>
      <c r="DYA188" s="117"/>
      <c r="DYB188" s="117"/>
      <c r="DYC188" s="117"/>
      <c r="DYD188" s="117"/>
      <c r="DYE188" s="117"/>
      <c r="DYF188" s="117"/>
      <c r="DYG188" s="117"/>
      <c r="DYH188" s="117"/>
      <c r="DYI188" s="117"/>
      <c r="DYJ188" s="117"/>
      <c r="DYK188" s="117"/>
      <c r="DYL188" s="117"/>
      <c r="DYM188" s="117"/>
      <c r="DYN188" s="117"/>
      <c r="DYO188" s="117"/>
      <c r="DYP188" s="117"/>
      <c r="DYQ188" s="117"/>
      <c r="DYR188" s="117"/>
      <c r="DYS188" s="117"/>
      <c r="DYT188" s="117"/>
      <c r="DYU188" s="117"/>
      <c r="DYV188" s="117"/>
      <c r="DYW188" s="117"/>
      <c r="DYX188" s="117"/>
      <c r="DYY188" s="117"/>
      <c r="DYZ188" s="117"/>
      <c r="DZA188" s="117"/>
      <c r="DZB188" s="117"/>
      <c r="DZC188" s="117"/>
      <c r="DZD188" s="117"/>
      <c r="DZE188" s="117"/>
      <c r="DZF188" s="117"/>
      <c r="DZG188" s="117"/>
      <c r="DZH188" s="117"/>
      <c r="DZI188" s="117"/>
      <c r="DZJ188" s="117"/>
      <c r="DZK188" s="117"/>
      <c r="DZL188" s="117"/>
      <c r="DZM188" s="117"/>
      <c r="DZN188" s="117"/>
      <c r="DZO188" s="117"/>
      <c r="DZP188" s="117"/>
      <c r="DZQ188" s="117"/>
      <c r="DZR188" s="117"/>
      <c r="DZS188" s="117"/>
      <c r="DZT188" s="117"/>
      <c r="DZU188" s="117"/>
      <c r="DZV188" s="117"/>
      <c r="DZW188" s="117"/>
      <c r="DZX188" s="117"/>
      <c r="DZY188" s="117"/>
      <c r="DZZ188" s="117"/>
      <c r="EAA188" s="117"/>
      <c r="EAB188" s="117"/>
      <c r="EAC188" s="117"/>
      <c r="EAD188" s="117"/>
      <c r="EAE188" s="117"/>
      <c r="EAF188" s="117"/>
      <c r="EAG188" s="117"/>
      <c r="EAH188" s="117"/>
      <c r="EAI188" s="117"/>
      <c r="EAJ188" s="117"/>
      <c r="EAK188" s="117"/>
      <c r="EAL188" s="117"/>
      <c r="EAM188" s="117"/>
      <c r="EAN188" s="117"/>
      <c r="EAO188" s="117"/>
      <c r="EAP188" s="117"/>
      <c r="EAQ188" s="117"/>
      <c r="EAR188" s="117"/>
      <c r="EAS188" s="117"/>
      <c r="EAT188" s="117"/>
      <c r="EAU188" s="117"/>
      <c r="EAV188" s="117"/>
      <c r="EAW188" s="117"/>
      <c r="EAX188" s="117"/>
      <c r="EAY188" s="117"/>
      <c r="EAZ188" s="117"/>
      <c r="EBA188" s="117"/>
      <c r="EBB188" s="117"/>
      <c r="EBC188" s="117"/>
      <c r="EBD188" s="117"/>
      <c r="EBE188" s="117"/>
      <c r="EBF188" s="117"/>
      <c r="EBG188" s="117"/>
      <c r="EBH188" s="117"/>
      <c r="EBI188" s="117"/>
      <c r="EBJ188" s="117"/>
      <c r="EBK188" s="117"/>
      <c r="EBL188" s="117"/>
      <c r="EBM188" s="117"/>
      <c r="EBN188" s="117"/>
      <c r="EBO188" s="117"/>
      <c r="EBP188" s="117"/>
      <c r="EBQ188" s="117"/>
      <c r="EBR188" s="117"/>
      <c r="EBS188" s="117"/>
      <c r="EBT188" s="117"/>
      <c r="EBU188" s="117"/>
      <c r="EBV188" s="117"/>
      <c r="EBW188" s="117"/>
      <c r="EBX188" s="117"/>
      <c r="EBY188" s="117"/>
      <c r="EBZ188" s="117"/>
      <c r="ECA188" s="117"/>
      <c r="ECB188" s="117"/>
      <c r="ECC188" s="117"/>
      <c r="ECD188" s="117"/>
      <c r="ECE188" s="117"/>
      <c r="ECF188" s="117"/>
      <c r="ECG188" s="117"/>
      <c r="ECH188" s="117"/>
      <c r="ECI188" s="117"/>
      <c r="ECJ188" s="117"/>
      <c r="ECK188" s="117"/>
      <c r="ECL188" s="117"/>
      <c r="ECM188" s="117"/>
      <c r="ECN188" s="117"/>
      <c r="ECO188" s="117"/>
      <c r="ECP188" s="117"/>
      <c r="ECQ188" s="117"/>
      <c r="ECR188" s="117"/>
      <c r="ECS188" s="117"/>
      <c r="ECT188" s="117"/>
      <c r="ECU188" s="117"/>
      <c r="ECV188" s="117"/>
      <c r="ECW188" s="117"/>
      <c r="ECX188" s="117"/>
      <c r="ECY188" s="117"/>
      <c r="ECZ188" s="117"/>
      <c r="EDA188" s="117"/>
      <c r="EDB188" s="117"/>
      <c r="EDC188" s="117"/>
      <c r="EDD188" s="117"/>
      <c r="EDE188" s="117"/>
      <c r="EDF188" s="117"/>
      <c r="EDG188" s="117"/>
      <c r="EDH188" s="117"/>
      <c r="EDI188" s="117"/>
      <c r="EDJ188" s="117"/>
      <c r="EDK188" s="117"/>
      <c r="EDL188" s="117"/>
      <c r="EDM188" s="117"/>
      <c r="EDN188" s="117"/>
      <c r="EDO188" s="117"/>
      <c r="EDP188" s="117"/>
      <c r="EDQ188" s="117"/>
      <c r="EDR188" s="117"/>
      <c r="EDS188" s="117"/>
      <c r="EDT188" s="117"/>
      <c r="EDU188" s="117"/>
      <c r="EDV188" s="117"/>
      <c r="EDW188" s="117"/>
      <c r="EDX188" s="117"/>
      <c r="EDY188" s="117"/>
      <c r="EDZ188" s="117"/>
      <c r="EEA188" s="117"/>
      <c r="EEB188" s="117"/>
      <c r="EEC188" s="117"/>
      <c r="EED188" s="117"/>
      <c r="EEE188" s="117"/>
      <c r="EEF188" s="117"/>
      <c r="EEG188" s="117"/>
      <c r="EEH188" s="117"/>
      <c r="EEI188" s="117"/>
      <c r="EEJ188" s="117"/>
      <c r="EEK188" s="117"/>
      <c r="EEL188" s="117"/>
      <c r="EEM188" s="117"/>
      <c r="EEN188" s="117"/>
      <c r="EEO188" s="117"/>
      <c r="EEP188" s="117"/>
      <c r="EEQ188" s="117"/>
      <c r="EER188" s="117"/>
      <c r="EES188" s="117"/>
      <c r="EET188" s="117"/>
      <c r="EEU188" s="117"/>
      <c r="EEV188" s="117"/>
      <c r="EEW188" s="117"/>
      <c r="EEX188" s="117"/>
      <c r="EEY188" s="117"/>
      <c r="EEZ188" s="117"/>
      <c r="EFA188" s="117"/>
      <c r="EFB188" s="117"/>
      <c r="EFC188" s="117"/>
      <c r="EFD188" s="117"/>
      <c r="EFE188" s="117"/>
      <c r="EFF188" s="117"/>
      <c r="EFG188" s="117"/>
      <c r="EFH188" s="117"/>
      <c r="EFI188" s="117"/>
      <c r="EFJ188" s="117"/>
      <c r="EFK188" s="117"/>
      <c r="EFL188" s="117"/>
      <c r="EFM188" s="117"/>
      <c r="EFN188" s="117"/>
      <c r="EFO188" s="117"/>
      <c r="EFP188" s="117"/>
      <c r="EFQ188" s="117"/>
      <c r="EFR188" s="117"/>
      <c r="EFS188" s="117"/>
      <c r="EFT188" s="117"/>
      <c r="EFU188" s="117"/>
      <c r="EFV188" s="117"/>
      <c r="EFW188" s="117"/>
      <c r="EFX188" s="117"/>
      <c r="EFY188" s="117"/>
      <c r="EFZ188" s="117"/>
      <c r="EGA188" s="117"/>
      <c r="EGB188" s="117"/>
      <c r="EGC188" s="117"/>
      <c r="EGD188" s="117"/>
      <c r="EGE188" s="117"/>
      <c r="EGF188" s="117"/>
      <c r="EGG188" s="117"/>
      <c r="EGH188" s="117"/>
      <c r="EGI188" s="117"/>
      <c r="EGJ188" s="117"/>
      <c r="EGK188" s="117"/>
      <c r="EGL188" s="117"/>
      <c r="EGM188" s="117"/>
      <c r="EGN188" s="117"/>
      <c r="EGO188" s="117"/>
      <c r="EGP188" s="117"/>
      <c r="EGQ188" s="117"/>
      <c r="EGR188" s="117"/>
      <c r="EGS188" s="117"/>
      <c r="EGT188" s="117"/>
      <c r="EGU188" s="117"/>
      <c r="EGV188" s="117"/>
      <c r="EGW188" s="117"/>
      <c r="EGX188" s="117"/>
      <c r="EGY188" s="117"/>
      <c r="EGZ188" s="117"/>
      <c r="EHA188" s="117"/>
      <c r="EHB188" s="117"/>
      <c r="EHC188" s="117"/>
      <c r="EHD188" s="117"/>
      <c r="EHE188" s="117"/>
      <c r="EHF188" s="117"/>
      <c r="EHG188" s="117"/>
      <c r="EHH188" s="117"/>
      <c r="EHI188" s="117"/>
      <c r="EHJ188" s="117"/>
      <c r="EHK188" s="117"/>
      <c r="EHL188" s="117"/>
      <c r="EHM188" s="117"/>
      <c r="EHN188" s="117"/>
      <c r="EHO188" s="117"/>
      <c r="EHP188" s="117"/>
      <c r="EHQ188" s="117"/>
      <c r="EHR188" s="117"/>
      <c r="EHS188" s="117"/>
      <c r="EHT188" s="117"/>
      <c r="EHU188" s="117"/>
      <c r="EHV188" s="117"/>
      <c r="EHW188" s="117"/>
      <c r="EHX188" s="117"/>
      <c r="EHY188" s="117"/>
      <c r="EHZ188" s="117"/>
      <c r="EIA188" s="117"/>
      <c r="EIB188" s="117"/>
      <c r="EIC188" s="117"/>
      <c r="EID188" s="117"/>
      <c r="EIE188" s="117"/>
      <c r="EIF188" s="117"/>
      <c r="EIG188" s="117"/>
      <c r="EIH188" s="117"/>
      <c r="EII188" s="117"/>
      <c r="EIJ188" s="117"/>
      <c r="EIK188" s="117"/>
      <c r="EIL188" s="117"/>
      <c r="EIM188" s="117"/>
      <c r="EIN188" s="117"/>
      <c r="EIO188" s="117"/>
      <c r="EIP188" s="117"/>
      <c r="EIQ188" s="117"/>
      <c r="EIR188" s="117"/>
      <c r="EIS188" s="117"/>
      <c r="EIT188" s="117"/>
      <c r="EIU188" s="117"/>
      <c r="EIV188" s="117"/>
      <c r="EIW188" s="117"/>
      <c r="EIX188" s="117"/>
      <c r="EIY188" s="117"/>
      <c r="EIZ188" s="117"/>
      <c r="EJA188" s="117"/>
      <c r="EJB188" s="117"/>
      <c r="EJC188" s="117"/>
      <c r="EJD188" s="117"/>
      <c r="EJE188" s="117"/>
      <c r="EJF188" s="117"/>
      <c r="EJG188" s="117"/>
      <c r="EJH188" s="117"/>
      <c r="EJI188" s="117"/>
      <c r="EJJ188" s="117"/>
      <c r="EJK188" s="117"/>
      <c r="EJL188" s="117"/>
      <c r="EJM188" s="117"/>
      <c r="EJN188" s="117"/>
      <c r="EJO188" s="117"/>
      <c r="EJP188" s="117"/>
      <c r="EJQ188" s="117"/>
      <c r="EJR188" s="117"/>
      <c r="EJS188" s="117"/>
      <c r="EJT188" s="117"/>
      <c r="EJU188" s="117"/>
      <c r="EJV188" s="117"/>
      <c r="EJW188" s="117"/>
      <c r="EJX188" s="117"/>
      <c r="EJY188" s="117"/>
      <c r="EJZ188" s="117"/>
      <c r="EKA188" s="117"/>
      <c r="EKB188" s="117"/>
      <c r="EKC188" s="117"/>
      <c r="EKD188" s="117"/>
      <c r="EKE188" s="117"/>
      <c r="EKF188" s="117"/>
      <c r="EKG188" s="117"/>
      <c r="EKH188" s="117"/>
      <c r="EKI188" s="117"/>
      <c r="EKJ188" s="117"/>
      <c r="EKK188" s="117"/>
      <c r="EKL188" s="117"/>
      <c r="EKM188" s="117"/>
      <c r="EKN188" s="117"/>
      <c r="EKO188" s="117"/>
      <c r="EKP188" s="117"/>
      <c r="EKQ188" s="117"/>
      <c r="EKR188" s="117"/>
      <c r="EKS188" s="117"/>
      <c r="EKT188" s="117"/>
      <c r="EKU188" s="117"/>
      <c r="EKV188" s="117"/>
      <c r="EKW188" s="117"/>
      <c r="EKX188" s="117"/>
      <c r="EKY188" s="117"/>
      <c r="EKZ188" s="117"/>
      <c r="ELA188" s="117"/>
      <c r="ELB188" s="117"/>
      <c r="ELC188" s="117"/>
      <c r="ELD188" s="117"/>
      <c r="ELE188" s="117"/>
      <c r="ELF188" s="117"/>
      <c r="ELG188" s="117"/>
      <c r="ELH188" s="117"/>
      <c r="ELI188" s="117"/>
      <c r="ELJ188" s="117"/>
      <c r="ELK188" s="117"/>
      <c r="ELL188" s="117"/>
      <c r="ELM188" s="117"/>
      <c r="ELN188" s="117"/>
      <c r="ELO188" s="117"/>
      <c r="ELP188" s="117"/>
      <c r="ELQ188" s="117"/>
      <c r="ELR188" s="117"/>
      <c r="ELS188" s="117"/>
      <c r="ELT188" s="117"/>
      <c r="ELU188" s="117"/>
      <c r="ELV188" s="117"/>
      <c r="ELW188" s="117"/>
      <c r="ELX188" s="117"/>
      <c r="ELY188" s="117"/>
      <c r="ELZ188" s="117"/>
      <c r="EMA188" s="117"/>
      <c r="EMB188" s="117"/>
      <c r="EMC188" s="117"/>
      <c r="EMD188" s="117"/>
      <c r="EME188" s="117"/>
      <c r="EMF188" s="117"/>
      <c r="EMG188" s="117"/>
      <c r="EMH188" s="117"/>
      <c r="EMI188" s="117"/>
      <c r="EMJ188" s="117"/>
      <c r="EMK188" s="117"/>
      <c r="EML188" s="117"/>
      <c r="EMM188" s="117"/>
      <c r="EMN188" s="117"/>
      <c r="EMO188" s="117"/>
      <c r="EMP188" s="117"/>
      <c r="EMQ188" s="117"/>
      <c r="EMR188" s="117"/>
      <c r="EMS188" s="117"/>
      <c r="EMT188" s="117"/>
      <c r="EMU188" s="117"/>
      <c r="EMV188" s="117"/>
      <c r="EMW188" s="117"/>
      <c r="EMX188" s="117"/>
      <c r="EMY188" s="117"/>
      <c r="EMZ188" s="117"/>
      <c r="ENA188" s="117"/>
      <c r="ENB188" s="117"/>
      <c r="ENC188" s="117"/>
      <c r="END188" s="117"/>
      <c r="ENE188" s="117"/>
      <c r="ENF188" s="117"/>
      <c r="ENG188" s="117"/>
      <c r="ENH188" s="117"/>
      <c r="ENI188" s="117"/>
      <c r="ENJ188" s="117"/>
      <c r="ENK188" s="117"/>
      <c r="ENL188" s="117"/>
      <c r="ENM188" s="117"/>
      <c r="ENN188" s="117"/>
      <c r="ENO188" s="117"/>
      <c r="ENP188" s="117"/>
      <c r="ENQ188" s="117"/>
      <c r="ENR188" s="117"/>
      <c r="ENS188" s="117"/>
      <c r="ENT188" s="117"/>
      <c r="ENU188" s="117"/>
      <c r="ENV188" s="117"/>
      <c r="ENW188" s="117"/>
      <c r="ENX188" s="117"/>
      <c r="ENY188" s="117"/>
      <c r="ENZ188" s="117"/>
      <c r="EOA188" s="117"/>
      <c r="EOB188" s="117"/>
      <c r="EOC188" s="117"/>
      <c r="EOD188" s="117"/>
      <c r="EOE188" s="117"/>
      <c r="EOF188" s="117"/>
      <c r="EOG188" s="117"/>
      <c r="EOH188" s="117"/>
      <c r="EOI188" s="117"/>
      <c r="EOJ188" s="117"/>
      <c r="EOK188" s="117"/>
      <c r="EOL188" s="117"/>
      <c r="EOM188" s="117"/>
      <c r="EON188" s="117"/>
      <c r="EOO188" s="117"/>
      <c r="EOP188" s="117"/>
      <c r="EOQ188" s="117"/>
      <c r="EOR188" s="117"/>
      <c r="EOS188" s="117"/>
      <c r="EOT188" s="117"/>
      <c r="EOU188" s="117"/>
      <c r="EOV188" s="117"/>
      <c r="EOW188" s="117"/>
      <c r="EOX188" s="117"/>
      <c r="EOY188" s="117"/>
      <c r="EOZ188" s="117"/>
      <c r="EPA188" s="117"/>
      <c r="EPB188" s="117"/>
      <c r="EPC188" s="117"/>
      <c r="EPD188" s="117"/>
      <c r="EPE188" s="117"/>
      <c r="EPF188" s="117"/>
      <c r="EPG188" s="117"/>
      <c r="EPH188" s="117"/>
      <c r="EPI188" s="117"/>
      <c r="EPJ188" s="117"/>
      <c r="EPK188" s="117"/>
      <c r="EPL188" s="117"/>
      <c r="EPM188" s="117"/>
      <c r="EPN188" s="117"/>
      <c r="EPO188" s="117"/>
      <c r="EPP188" s="117"/>
      <c r="EPQ188" s="117"/>
      <c r="EPR188" s="117"/>
      <c r="EPS188" s="117"/>
      <c r="EPT188" s="117"/>
      <c r="EPU188" s="117"/>
      <c r="EPV188" s="117"/>
      <c r="EPW188" s="117"/>
      <c r="EPX188" s="117"/>
      <c r="EPY188" s="117"/>
      <c r="EPZ188" s="117"/>
      <c r="EQA188" s="117"/>
      <c r="EQB188" s="117"/>
      <c r="EQC188" s="117"/>
      <c r="EQD188" s="117"/>
      <c r="EQE188" s="117"/>
      <c r="EQF188" s="117"/>
      <c r="EQG188" s="117"/>
      <c r="EQH188" s="117"/>
      <c r="EQI188" s="117"/>
      <c r="EQJ188" s="117"/>
      <c r="EQK188" s="117"/>
      <c r="EQL188" s="117"/>
      <c r="EQM188" s="117"/>
      <c r="EQN188" s="117"/>
      <c r="EQO188" s="117"/>
      <c r="EQP188" s="117"/>
      <c r="EQQ188" s="117"/>
      <c r="EQR188" s="117"/>
      <c r="EQS188" s="117"/>
      <c r="EQT188" s="117"/>
      <c r="EQU188" s="117"/>
      <c r="EQV188" s="117"/>
      <c r="EQW188" s="117"/>
      <c r="EQX188" s="117"/>
      <c r="EQY188" s="117"/>
      <c r="EQZ188" s="117"/>
      <c r="ERA188" s="117"/>
      <c r="ERB188" s="117"/>
      <c r="ERC188" s="117"/>
      <c r="ERD188" s="117"/>
      <c r="ERE188" s="117"/>
      <c r="ERF188" s="117"/>
      <c r="ERG188" s="117"/>
      <c r="ERH188" s="117"/>
      <c r="ERI188" s="117"/>
      <c r="ERJ188" s="117"/>
      <c r="ERK188" s="117"/>
      <c r="ERL188" s="117"/>
      <c r="ERM188" s="117"/>
      <c r="ERN188" s="117"/>
      <c r="ERO188" s="117"/>
      <c r="ERP188" s="117"/>
      <c r="ERQ188" s="117"/>
      <c r="ERR188" s="117"/>
      <c r="ERS188" s="117"/>
      <c r="ERT188" s="117"/>
      <c r="ERU188" s="117"/>
      <c r="ERV188" s="117"/>
      <c r="ERW188" s="117"/>
      <c r="ERX188" s="117"/>
      <c r="ERY188" s="117"/>
      <c r="ERZ188" s="117"/>
      <c r="ESA188" s="117"/>
      <c r="ESB188" s="117"/>
      <c r="ESC188" s="117"/>
      <c r="ESD188" s="117"/>
      <c r="ESE188" s="117"/>
      <c r="ESF188" s="117"/>
      <c r="ESG188" s="117"/>
      <c r="ESH188" s="117"/>
      <c r="ESI188" s="117"/>
      <c r="ESJ188" s="117"/>
      <c r="ESK188" s="117"/>
      <c r="ESL188" s="117"/>
      <c r="ESM188" s="117"/>
      <c r="ESN188" s="117"/>
      <c r="ESO188" s="117"/>
      <c r="ESP188" s="117"/>
      <c r="ESQ188" s="117"/>
      <c r="ESR188" s="117"/>
      <c r="ESS188" s="117"/>
      <c r="EST188" s="117"/>
      <c r="ESU188" s="117"/>
      <c r="ESV188" s="117"/>
      <c r="ESW188" s="117"/>
      <c r="ESX188" s="117"/>
      <c r="ESY188" s="117"/>
      <c r="ESZ188" s="117"/>
      <c r="ETA188" s="117"/>
      <c r="ETB188" s="117"/>
      <c r="ETC188" s="117"/>
      <c r="ETD188" s="117"/>
      <c r="ETE188" s="117"/>
      <c r="ETF188" s="117"/>
      <c r="ETG188" s="117"/>
      <c r="ETH188" s="117"/>
      <c r="ETI188" s="117"/>
      <c r="ETJ188" s="117"/>
      <c r="ETK188" s="117"/>
      <c r="ETL188" s="117"/>
      <c r="ETM188" s="117"/>
      <c r="ETN188" s="117"/>
      <c r="ETO188" s="117"/>
      <c r="ETP188" s="117"/>
      <c r="ETQ188" s="117"/>
      <c r="ETR188" s="117"/>
      <c r="ETS188" s="117"/>
      <c r="ETT188" s="117"/>
      <c r="ETU188" s="117"/>
      <c r="ETV188" s="117"/>
      <c r="ETW188" s="117"/>
      <c r="ETX188" s="117"/>
      <c r="ETY188" s="117"/>
      <c r="ETZ188" s="117"/>
      <c r="EUA188" s="117"/>
      <c r="EUB188" s="117"/>
      <c r="EUC188" s="117"/>
      <c r="EUD188" s="117"/>
      <c r="EUE188" s="117"/>
      <c r="EUF188" s="117"/>
      <c r="EUG188" s="117"/>
      <c r="EUH188" s="117"/>
      <c r="EUI188" s="117"/>
      <c r="EUJ188" s="117"/>
      <c r="EUK188" s="117"/>
      <c r="EUL188" s="117"/>
      <c r="EUM188" s="117"/>
      <c r="EUN188" s="117"/>
      <c r="EUO188" s="117"/>
      <c r="EUP188" s="117"/>
      <c r="EUQ188" s="117"/>
      <c r="EUR188" s="117"/>
      <c r="EUS188" s="117"/>
      <c r="EUT188" s="117"/>
      <c r="EUU188" s="117"/>
      <c r="EUV188" s="117"/>
      <c r="EUW188" s="117"/>
      <c r="EUX188" s="117"/>
      <c r="EUY188" s="117"/>
      <c r="EUZ188" s="117"/>
      <c r="EVA188" s="117"/>
      <c r="EVB188" s="117"/>
      <c r="EVC188" s="117"/>
      <c r="EVD188" s="117"/>
      <c r="EVE188" s="117"/>
      <c r="EVF188" s="117"/>
      <c r="EVG188" s="117"/>
      <c r="EVH188" s="117"/>
      <c r="EVI188" s="117"/>
      <c r="EVJ188" s="117"/>
      <c r="EVK188" s="117"/>
      <c r="EVL188" s="117"/>
      <c r="EVM188" s="117"/>
      <c r="EVN188" s="117"/>
      <c r="EVO188" s="117"/>
      <c r="EVP188" s="117"/>
      <c r="EVQ188" s="117"/>
      <c r="EVR188" s="117"/>
      <c r="EVS188" s="117"/>
      <c r="EVT188" s="117"/>
      <c r="EVU188" s="117"/>
      <c r="EVV188" s="117"/>
      <c r="EVW188" s="117"/>
      <c r="EVX188" s="117"/>
      <c r="EVY188" s="117"/>
      <c r="EVZ188" s="117"/>
      <c r="EWA188" s="117"/>
      <c r="EWB188" s="117"/>
      <c r="EWC188" s="117"/>
      <c r="EWD188" s="117"/>
      <c r="EWE188" s="117"/>
      <c r="EWF188" s="117"/>
      <c r="EWG188" s="117"/>
      <c r="EWH188" s="117"/>
      <c r="EWI188" s="117"/>
      <c r="EWJ188" s="117"/>
      <c r="EWK188" s="117"/>
      <c r="EWL188" s="117"/>
      <c r="EWM188" s="117"/>
      <c r="EWN188" s="117"/>
      <c r="EWO188" s="117"/>
      <c r="EWP188" s="117"/>
      <c r="EWQ188" s="117"/>
      <c r="EWR188" s="117"/>
      <c r="EWS188" s="117"/>
      <c r="EWT188" s="117"/>
      <c r="EWU188" s="117"/>
      <c r="EWV188" s="117"/>
      <c r="EWW188" s="117"/>
      <c r="EWX188" s="117"/>
      <c r="EWY188" s="117"/>
      <c r="EWZ188" s="117"/>
      <c r="EXA188" s="117"/>
      <c r="EXB188" s="117"/>
      <c r="EXC188" s="117"/>
      <c r="EXD188" s="117"/>
      <c r="EXE188" s="117"/>
      <c r="EXF188" s="117"/>
      <c r="EXG188" s="117"/>
      <c r="EXH188" s="117"/>
      <c r="EXI188" s="117"/>
      <c r="EXJ188" s="117"/>
      <c r="EXK188" s="117"/>
      <c r="EXL188" s="117"/>
      <c r="EXM188" s="117"/>
      <c r="EXN188" s="117"/>
      <c r="EXO188" s="117"/>
      <c r="EXP188" s="117"/>
      <c r="EXQ188" s="117"/>
      <c r="EXR188" s="117"/>
      <c r="EXS188" s="117"/>
      <c r="EXT188" s="117"/>
      <c r="EXU188" s="117"/>
      <c r="EXV188" s="117"/>
      <c r="EXW188" s="117"/>
      <c r="EXX188" s="117"/>
      <c r="EXY188" s="117"/>
      <c r="EXZ188" s="117"/>
      <c r="EYA188" s="117"/>
      <c r="EYB188" s="117"/>
      <c r="EYC188" s="117"/>
      <c r="EYD188" s="117"/>
      <c r="EYE188" s="117"/>
      <c r="EYF188" s="117"/>
      <c r="EYG188" s="117"/>
      <c r="EYH188" s="117"/>
      <c r="EYI188" s="117"/>
      <c r="EYJ188" s="117"/>
      <c r="EYK188" s="117"/>
      <c r="EYL188" s="117"/>
      <c r="EYM188" s="117"/>
      <c r="EYN188" s="117"/>
      <c r="EYO188" s="117"/>
      <c r="EYP188" s="117"/>
      <c r="EYQ188" s="117"/>
      <c r="EYR188" s="117"/>
      <c r="EYS188" s="117"/>
      <c r="EYT188" s="117"/>
      <c r="EYU188" s="117"/>
      <c r="EYV188" s="117"/>
      <c r="EYW188" s="117"/>
      <c r="EYX188" s="117"/>
      <c r="EYY188" s="117"/>
      <c r="EYZ188" s="117"/>
      <c r="EZA188" s="117"/>
      <c r="EZB188" s="117"/>
      <c r="EZC188" s="117"/>
      <c r="EZD188" s="117"/>
      <c r="EZE188" s="117"/>
      <c r="EZF188" s="117"/>
      <c r="EZG188" s="117"/>
      <c r="EZH188" s="117"/>
      <c r="EZI188" s="117"/>
      <c r="EZJ188" s="117"/>
      <c r="EZK188" s="117"/>
      <c r="EZL188" s="117"/>
      <c r="EZM188" s="117"/>
      <c r="EZN188" s="117"/>
      <c r="EZO188" s="117"/>
      <c r="EZP188" s="117"/>
      <c r="EZQ188" s="117"/>
      <c r="EZR188" s="117"/>
      <c r="EZS188" s="117"/>
      <c r="EZT188" s="117"/>
      <c r="EZU188" s="117"/>
      <c r="EZV188" s="117"/>
      <c r="EZW188" s="117"/>
      <c r="EZX188" s="117"/>
      <c r="EZY188" s="117"/>
      <c r="EZZ188" s="117"/>
      <c r="FAA188" s="117"/>
      <c r="FAB188" s="117"/>
      <c r="FAC188" s="117"/>
      <c r="FAD188" s="117"/>
      <c r="FAE188" s="117"/>
      <c r="FAF188" s="117"/>
      <c r="FAG188" s="117"/>
      <c r="FAH188" s="117"/>
      <c r="FAI188" s="117"/>
      <c r="FAJ188" s="117"/>
      <c r="FAK188" s="117"/>
      <c r="FAL188" s="117"/>
      <c r="FAM188" s="117"/>
      <c r="FAN188" s="117"/>
      <c r="FAO188" s="117"/>
      <c r="FAP188" s="117"/>
      <c r="FAQ188" s="117"/>
      <c r="FAR188" s="117"/>
      <c r="FAS188" s="117"/>
      <c r="FAT188" s="117"/>
      <c r="FAU188" s="117"/>
      <c r="FAV188" s="117"/>
      <c r="FAW188" s="117"/>
      <c r="FAX188" s="117"/>
      <c r="FAY188" s="117"/>
      <c r="FAZ188" s="117"/>
      <c r="FBA188" s="117"/>
      <c r="FBB188" s="117"/>
      <c r="FBC188" s="117"/>
      <c r="FBD188" s="117"/>
      <c r="FBE188" s="117"/>
      <c r="FBF188" s="117"/>
      <c r="FBG188" s="117"/>
      <c r="FBH188" s="117"/>
      <c r="FBI188" s="117"/>
      <c r="FBJ188" s="117"/>
      <c r="FBK188" s="117"/>
      <c r="FBL188" s="117"/>
      <c r="FBM188" s="117"/>
      <c r="FBN188" s="117"/>
      <c r="FBO188" s="117"/>
      <c r="FBP188" s="117"/>
      <c r="FBQ188" s="117"/>
      <c r="FBR188" s="117"/>
      <c r="FBS188" s="117"/>
      <c r="FBT188" s="117"/>
      <c r="FBU188" s="117"/>
      <c r="FBV188" s="117"/>
      <c r="FBW188" s="117"/>
      <c r="FBX188" s="117"/>
      <c r="FBY188" s="117"/>
      <c r="FBZ188" s="117"/>
      <c r="FCA188" s="117"/>
      <c r="FCB188" s="117"/>
      <c r="FCC188" s="117"/>
      <c r="FCD188" s="117"/>
      <c r="FCE188" s="117"/>
      <c r="FCF188" s="117"/>
      <c r="FCG188" s="117"/>
      <c r="FCH188" s="117"/>
      <c r="FCI188" s="117"/>
      <c r="FCJ188" s="117"/>
      <c r="FCK188" s="117"/>
      <c r="FCL188" s="117"/>
      <c r="FCM188" s="117"/>
      <c r="FCN188" s="117"/>
      <c r="FCO188" s="117"/>
      <c r="FCP188" s="117"/>
      <c r="FCQ188" s="117"/>
      <c r="FCR188" s="117"/>
      <c r="FCS188" s="117"/>
      <c r="FCT188" s="117"/>
      <c r="FCU188" s="117"/>
      <c r="FCV188" s="117"/>
      <c r="FCW188" s="117"/>
      <c r="FCX188" s="117"/>
      <c r="FCY188" s="117"/>
      <c r="FCZ188" s="117"/>
      <c r="FDA188" s="117"/>
      <c r="FDB188" s="117"/>
      <c r="FDC188" s="117"/>
      <c r="FDD188" s="117"/>
      <c r="FDE188" s="117"/>
      <c r="FDF188" s="117"/>
      <c r="FDG188" s="117"/>
      <c r="FDH188" s="117"/>
      <c r="FDI188" s="117"/>
      <c r="FDJ188" s="117"/>
      <c r="FDK188" s="117"/>
      <c r="FDL188" s="117"/>
      <c r="FDM188" s="117"/>
      <c r="FDN188" s="117"/>
      <c r="FDO188" s="117"/>
      <c r="FDP188" s="117"/>
      <c r="FDQ188" s="117"/>
      <c r="FDR188" s="117"/>
      <c r="FDS188" s="117"/>
      <c r="FDT188" s="117"/>
      <c r="FDU188" s="117"/>
      <c r="FDV188" s="117"/>
      <c r="FDW188" s="117"/>
      <c r="FDX188" s="117"/>
      <c r="FDY188" s="117"/>
      <c r="FDZ188" s="117"/>
      <c r="FEA188" s="117"/>
      <c r="FEB188" s="117"/>
      <c r="FEC188" s="117"/>
      <c r="FED188" s="117"/>
      <c r="FEE188" s="117"/>
      <c r="FEF188" s="117"/>
      <c r="FEG188" s="117"/>
      <c r="FEH188" s="117"/>
      <c r="FEI188" s="117"/>
      <c r="FEJ188" s="117"/>
      <c r="FEK188" s="117"/>
      <c r="FEL188" s="117"/>
      <c r="FEM188" s="117"/>
      <c r="FEN188" s="117"/>
      <c r="FEO188" s="117"/>
      <c r="FEP188" s="117"/>
      <c r="FEQ188" s="117"/>
      <c r="FER188" s="117"/>
      <c r="FES188" s="117"/>
      <c r="FET188" s="117"/>
      <c r="FEU188" s="117"/>
      <c r="FEV188" s="117"/>
      <c r="FEW188" s="117"/>
      <c r="FEX188" s="117"/>
      <c r="FEY188" s="117"/>
      <c r="FEZ188" s="117"/>
      <c r="FFA188" s="117"/>
      <c r="FFB188" s="117"/>
      <c r="FFC188" s="117"/>
      <c r="FFD188" s="117"/>
      <c r="FFE188" s="117"/>
      <c r="FFF188" s="117"/>
      <c r="FFG188" s="117"/>
      <c r="FFH188" s="117"/>
      <c r="FFI188" s="117"/>
      <c r="FFJ188" s="117"/>
      <c r="FFK188" s="117"/>
      <c r="FFL188" s="117"/>
      <c r="FFM188" s="117"/>
      <c r="FFN188" s="117"/>
      <c r="FFO188" s="117"/>
      <c r="FFP188" s="117"/>
      <c r="FFQ188" s="117"/>
      <c r="FFR188" s="117"/>
      <c r="FFS188" s="117"/>
      <c r="FFT188" s="117"/>
      <c r="FFU188" s="117"/>
      <c r="FFV188" s="117"/>
      <c r="FFW188" s="117"/>
      <c r="FFX188" s="117"/>
      <c r="FFY188" s="117"/>
      <c r="FFZ188" s="117"/>
      <c r="FGA188" s="117"/>
      <c r="FGB188" s="117"/>
      <c r="FGC188" s="117"/>
      <c r="FGD188" s="117"/>
      <c r="FGE188" s="117"/>
      <c r="FGF188" s="117"/>
      <c r="FGG188" s="117"/>
      <c r="FGH188" s="117"/>
      <c r="FGI188" s="117"/>
      <c r="FGJ188" s="117"/>
      <c r="FGK188" s="117"/>
      <c r="FGL188" s="117"/>
      <c r="FGM188" s="117"/>
      <c r="FGN188" s="117"/>
      <c r="FGO188" s="117"/>
      <c r="FGP188" s="117"/>
      <c r="FGQ188" s="117"/>
      <c r="FGR188" s="117"/>
      <c r="FGS188" s="117"/>
      <c r="FGT188" s="117"/>
      <c r="FGU188" s="117"/>
      <c r="FGV188" s="117"/>
      <c r="FGW188" s="117"/>
      <c r="FGX188" s="117"/>
      <c r="FGY188" s="117"/>
      <c r="FGZ188" s="117"/>
      <c r="FHA188" s="117"/>
      <c r="FHB188" s="117"/>
      <c r="FHC188" s="117"/>
      <c r="FHD188" s="117"/>
      <c r="FHE188" s="117"/>
      <c r="FHF188" s="117"/>
      <c r="FHG188" s="117"/>
      <c r="FHH188" s="117"/>
      <c r="FHI188" s="117"/>
      <c r="FHJ188" s="117"/>
      <c r="FHK188" s="117"/>
      <c r="FHL188" s="117"/>
      <c r="FHM188" s="117"/>
      <c r="FHN188" s="117"/>
      <c r="FHO188" s="117"/>
      <c r="FHP188" s="117"/>
      <c r="FHQ188" s="117"/>
      <c r="FHR188" s="117"/>
      <c r="FHS188" s="117"/>
      <c r="FHT188" s="117"/>
      <c r="FHU188" s="117"/>
      <c r="FHV188" s="117"/>
      <c r="FHW188" s="117"/>
      <c r="FHX188" s="117"/>
      <c r="FHY188" s="117"/>
      <c r="FHZ188" s="117"/>
      <c r="FIA188" s="117"/>
      <c r="FIB188" s="117"/>
      <c r="FIC188" s="117"/>
      <c r="FID188" s="117"/>
      <c r="FIE188" s="117"/>
      <c r="FIF188" s="117"/>
      <c r="FIG188" s="117"/>
      <c r="FIH188" s="117"/>
      <c r="FII188" s="117"/>
      <c r="FIJ188" s="117"/>
      <c r="FIK188" s="117"/>
      <c r="FIL188" s="117"/>
      <c r="FIM188" s="117"/>
      <c r="FIN188" s="117"/>
      <c r="FIO188" s="117"/>
      <c r="FIP188" s="117"/>
      <c r="FIQ188" s="117"/>
      <c r="FIR188" s="117"/>
      <c r="FIS188" s="117"/>
      <c r="FIT188" s="117"/>
      <c r="FIU188" s="117"/>
      <c r="FIV188" s="117"/>
      <c r="FIW188" s="117"/>
      <c r="FIX188" s="117"/>
      <c r="FIY188" s="117"/>
      <c r="FIZ188" s="117"/>
      <c r="FJA188" s="117"/>
      <c r="FJB188" s="117"/>
      <c r="FJC188" s="117"/>
      <c r="FJD188" s="117"/>
      <c r="FJE188" s="117"/>
      <c r="FJF188" s="117"/>
      <c r="FJG188" s="117"/>
      <c r="FJH188" s="117"/>
      <c r="FJI188" s="117"/>
      <c r="FJJ188" s="117"/>
      <c r="FJK188" s="117"/>
      <c r="FJL188" s="117"/>
      <c r="FJM188" s="117"/>
      <c r="FJN188" s="117"/>
      <c r="FJO188" s="117"/>
      <c r="FJP188" s="117"/>
      <c r="FJQ188" s="117"/>
      <c r="FJR188" s="117"/>
      <c r="FJS188" s="117"/>
      <c r="FJT188" s="117"/>
      <c r="FJU188" s="117"/>
      <c r="FJV188" s="117"/>
      <c r="FJW188" s="117"/>
      <c r="FJX188" s="117"/>
      <c r="FJY188" s="117"/>
      <c r="FJZ188" s="117"/>
      <c r="FKA188" s="117"/>
      <c r="FKB188" s="117"/>
      <c r="FKC188" s="117"/>
      <c r="FKD188" s="117"/>
      <c r="FKE188" s="117"/>
      <c r="FKF188" s="117"/>
      <c r="FKG188" s="117"/>
      <c r="FKH188" s="117"/>
      <c r="FKI188" s="117"/>
      <c r="FKJ188" s="117"/>
      <c r="FKK188" s="117"/>
      <c r="FKL188" s="117"/>
      <c r="FKM188" s="117"/>
      <c r="FKN188" s="117"/>
      <c r="FKO188" s="117"/>
      <c r="FKP188" s="117"/>
      <c r="FKQ188" s="117"/>
      <c r="FKR188" s="117"/>
      <c r="FKS188" s="117"/>
      <c r="FKT188" s="117"/>
      <c r="FKU188" s="117"/>
      <c r="FKV188" s="117"/>
      <c r="FKW188" s="117"/>
      <c r="FKX188" s="117"/>
      <c r="FKY188" s="117"/>
      <c r="FKZ188" s="117"/>
      <c r="FLA188" s="117"/>
      <c r="FLB188" s="117"/>
      <c r="FLC188" s="117"/>
      <c r="FLD188" s="117"/>
      <c r="FLE188" s="117"/>
      <c r="FLF188" s="117"/>
      <c r="FLG188" s="117"/>
      <c r="FLH188" s="117"/>
      <c r="FLI188" s="117"/>
      <c r="FLJ188" s="117"/>
      <c r="FLK188" s="117"/>
      <c r="FLL188" s="117"/>
      <c r="FLM188" s="117"/>
      <c r="FLN188" s="117"/>
      <c r="FLO188" s="117"/>
      <c r="FLP188" s="117"/>
      <c r="FLQ188" s="117"/>
      <c r="FLR188" s="117"/>
      <c r="FLS188" s="117"/>
      <c r="FLT188" s="117"/>
      <c r="FLU188" s="117"/>
      <c r="FLV188" s="117"/>
      <c r="FLW188" s="117"/>
      <c r="FLX188" s="117"/>
      <c r="FLY188" s="117"/>
      <c r="FLZ188" s="117"/>
      <c r="FMA188" s="117"/>
      <c r="FMB188" s="117"/>
      <c r="FMC188" s="117"/>
      <c r="FMD188" s="117"/>
      <c r="FME188" s="117"/>
      <c r="FMF188" s="117"/>
      <c r="FMG188" s="117"/>
      <c r="FMH188" s="117"/>
      <c r="FMI188" s="117"/>
      <c r="FMJ188" s="117"/>
      <c r="FMK188" s="117"/>
      <c r="FML188" s="117"/>
      <c r="FMM188" s="117"/>
      <c r="FMN188" s="117"/>
      <c r="FMO188" s="117"/>
      <c r="FMP188" s="117"/>
      <c r="FMQ188" s="117"/>
      <c r="FMR188" s="117"/>
      <c r="FMS188" s="117"/>
      <c r="FMT188" s="117"/>
      <c r="FMU188" s="117"/>
      <c r="FMV188" s="117"/>
      <c r="FMW188" s="117"/>
      <c r="FMX188" s="117"/>
      <c r="FMY188" s="117"/>
      <c r="FMZ188" s="117"/>
      <c r="FNA188" s="117"/>
      <c r="FNB188" s="117"/>
      <c r="FNC188" s="117"/>
      <c r="FND188" s="117"/>
      <c r="FNE188" s="117"/>
      <c r="FNF188" s="117"/>
      <c r="FNG188" s="117"/>
      <c r="FNH188" s="117"/>
      <c r="FNI188" s="117"/>
      <c r="FNJ188" s="117"/>
      <c r="FNK188" s="117"/>
      <c r="FNL188" s="117"/>
      <c r="FNM188" s="117"/>
      <c r="FNN188" s="117"/>
      <c r="FNO188" s="117"/>
      <c r="FNP188" s="117"/>
      <c r="FNQ188" s="117"/>
      <c r="FNR188" s="117"/>
      <c r="FNS188" s="117"/>
      <c r="FNT188" s="117"/>
      <c r="FNU188" s="117"/>
      <c r="FNV188" s="117"/>
      <c r="FNW188" s="117"/>
      <c r="FNX188" s="117"/>
      <c r="FNY188" s="117"/>
      <c r="FNZ188" s="117"/>
      <c r="FOA188" s="117"/>
      <c r="FOB188" s="117"/>
      <c r="FOC188" s="117"/>
      <c r="FOD188" s="117"/>
      <c r="FOE188" s="117"/>
      <c r="FOF188" s="117"/>
      <c r="FOG188" s="117"/>
      <c r="FOH188" s="117"/>
      <c r="FOI188" s="117"/>
      <c r="FOJ188" s="117"/>
      <c r="FOK188" s="117"/>
      <c r="FOL188" s="117"/>
      <c r="FOM188" s="117"/>
      <c r="FON188" s="117"/>
      <c r="FOO188" s="117"/>
      <c r="FOP188" s="117"/>
      <c r="FOQ188" s="117"/>
      <c r="FOR188" s="117"/>
      <c r="FOS188" s="117"/>
      <c r="FOT188" s="117"/>
      <c r="FOU188" s="117"/>
      <c r="FOV188" s="117"/>
      <c r="FOW188" s="117"/>
      <c r="FOX188" s="117"/>
      <c r="FOY188" s="117"/>
      <c r="FOZ188" s="117"/>
      <c r="FPA188" s="117"/>
      <c r="FPB188" s="117"/>
      <c r="FPC188" s="117"/>
      <c r="FPD188" s="117"/>
      <c r="FPE188" s="117"/>
      <c r="FPF188" s="117"/>
      <c r="FPG188" s="117"/>
      <c r="FPH188" s="117"/>
      <c r="FPI188" s="117"/>
      <c r="FPJ188" s="117"/>
      <c r="FPK188" s="117"/>
      <c r="FPL188" s="117"/>
      <c r="FPM188" s="117"/>
      <c r="FPN188" s="117"/>
      <c r="FPO188" s="117"/>
      <c r="FPP188" s="117"/>
      <c r="FPQ188" s="117"/>
      <c r="FPR188" s="117"/>
      <c r="FPS188" s="117"/>
      <c r="FPT188" s="117"/>
      <c r="FPU188" s="117"/>
      <c r="FPV188" s="117"/>
      <c r="FPW188" s="117"/>
      <c r="FPX188" s="117"/>
      <c r="FPY188" s="117"/>
      <c r="FPZ188" s="117"/>
      <c r="FQA188" s="117"/>
      <c r="FQB188" s="117"/>
      <c r="FQC188" s="117"/>
      <c r="FQD188" s="117"/>
      <c r="FQE188" s="117"/>
      <c r="FQF188" s="117"/>
      <c r="FQG188" s="117"/>
      <c r="FQH188" s="117"/>
      <c r="FQI188" s="117"/>
      <c r="FQJ188" s="117"/>
      <c r="FQK188" s="117"/>
      <c r="FQL188" s="117"/>
      <c r="FQM188" s="117"/>
      <c r="FQN188" s="117"/>
      <c r="FQO188" s="117"/>
      <c r="FQP188" s="117"/>
      <c r="FQQ188" s="117"/>
      <c r="FQR188" s="117"/>
      <c r="FQS188" s="117"/>
      <c r="FQT188" s="117"/>
      <c r="FQU188" s="117"/>
      <c r="FQV188" s="117"/>
      <c r="FQW188" s="117"/>
      <c r="FQX188" s="117"/>
      <c r="FQY188" s="117"/>
      <c r="FQZ188" s="117"/>
      <c r="FRA188" s="117"/>
      <c r="FRB188" s="117"/>
      <c r="FRC188" s="117"/>
      <c r="FRD188" s="117"/>
      <c r="FRE188" s="117"/>
      <c r="FRF188" s="117"/>
      <c r="FRG188" s="117"/>
      <c r="FRH188" s="117"/>
      <c r="FRI188" s="117"/>
      <c r="FRJ188" s="117"/>
      <c r="FRK188" s="117"/>
      <c r="FRL188" s="117"/>
      <c r="FRM188" s="117"/>
      <c r="FRN188" s="117"/>
      <c r="FRO188" s="117"/>
      <c r="FRP188" s="117"/>
      <c r="FRQ188" s="117"/>
      <c r="FRR188" s="117"/>
      <c r="FRS188" s="117"/>
      <c r="FRT188" s="117"/>
      <c r="FRU188" s="117"/>
      <c r="FRV188" s="117"/>
      <c r="FRW188" s="117"/>
      <c r="FRX188" s="117"/>
      <c r="FRY188" s="117"/>
      <c r="FRZ188" s="117"/>
      <c r="FSA188" s="117"/>
      <c r="FSB188" s="117"/>
      <c r="FSC188" s="117"/>
      <c r="FSD188" s="117"/>
      <c r="FSE188" s="117"/>
      <c r="FSF188" s="117"/>
      <c r="FSG188" s="117"/>
      <c r="FSH188" s="117"/>
      <c r="FSI188" s="117"/>
      <c r="FSJ188" s="117"/>
      <c r="FSK188" s="117"/>
      <c r="FSL188" s="117"/>
      <c r="FSM188" s="117"/>
      <c r="FSN188" s="117"/>
      <c r="FSO188" s="117"/>
      <c r="FSP188" s="117"/>
      <c r="FSQ188" s="117"/>
      <c r="FSR188" s="117"/>
      <c r="FSS188" s="117"/>
      <c r="FST188" s="117"/>
      <c r="FSU188" s="117"/>
      <c r="FSV188" s="117"/>
      <c r="FSW188" s="117"/>
      <c r="FSX188" s="117"/>
      <c r="FSY188" s="117"/>
      <c r="FSZ188" s="117"/>
      <c r="FTA188" s="117"/>
      <c r="FTB188" s="117"/>
      <c r="FTC188" s="117"/>
      <c r="FTD188" s="117"/>
      <c r="FTE188" s="117"/>
      <c r="FTF188" s="117"/>
      <c r="FTG188" s="117"/>
      <c r="FTH188" s="117"/>
      <c r="FTI188" s="117"/>
      <c r="FTJ188" s="117"/>
      <c r="FTK188" s="117"/>
      <c r="FTL188" s="117"/>
      <c r="FTM188" s="117"/>
      <c r="FTN188" s="117"/>
      <c r="FTO188" s="117"/>
      <c r="FTP188" s="117"/>
      <c r="FTQ188" s="117"/>
      <c r="FTR188" s="117"/>
      <c r="FTS188" s="117"/>
      <c r="FTT188" s="117"/>
      <c r="FTU188" s="117"/>
      <c r="FTV188" s="117"/>
      <c r="FTW188" s="117"/>
      <c r="FTX188" s="117"/>
      <c r="FTY188" s="117"/>
      <c r="FTZ188" s="117"/>
      <c r="FUA188" s="117"/>
      <c r="FUB188" s="117"/>
      <c r="FUC188" s="117"/>
      <c r="FUD188" s="117"/>
      <c r="FUE188" s="117"/>
      <c r="FUF188" s="117"/>
      <c r="FUG188" s="117"/>
      <c r="FUH188" s="117"/>
      <c r="FUI188" s="117"/>
      <c r="FUJ188" s="117"/>
      <c r="FUK188" s="117"/>
      <c r="FUL188" s="117"/>
      <c r="FUM188" s="117"/>
      <c r="FUN188" s="117"/>
      <c r="FUO188" s="117"/>
      <c r="FUP188" s="117"/>
      <c r="FUQ188" s="117"/>
      <c r="FUR188" s="117"/>
      <c r="FUS188" s="117"/>
      <c r="FUT188" s="117"/>
      <c r="FUU188" s="117"/>
      <c r="FUV188" s="117"/>
      <c r="FUW188" s="117"/>
      <c r="FUX188" s="117"/>
      <c r="FUY188" s="117"/>
      <c r="FUZ188" s="117"/>
      <c r="FVA188" s="117"/>
      <c r="FVB188" s="117"/>
      <c r="FVC188" s="117"/>
      <c r="FVD188" s="117"/>
      <c r="FVE188" s="117"/>
      <c r="FVF188" s="117"/>
      <c r="FVG188" s="117"/>
      <c r="FVH188" s="117"/>
      <c r="FVI188" s="117"/>
      <c r="FVJ188" s="117"/>
      <c r="FVK188" s="117"/>
      <c r="FVL188" s="117"/>
      <c r="FVM188" s="117"/>
      <c r="FVN188" s="117"/>
      <c r="FVO188" s="117"/>
      <c r="FVP188" s="117"/>
      <c r="FVQ188" s="117"/>
      <c r="FVR188" s="117"/>
      <c r="FVS188" s="117"/>
      <c r="FVT188" s="117"/>
      <c r="FVU188" s="117"/>
      <c r="FVV188" s="117"/>
      <c r="FVW188" s="117"/>
      <c r="FVX188" s="117"/>
      <c r="FVY188" s="117"/>
      <c r="FVZ188" s="117"/>
      <c r="FWA188" s="117"/>
      <c r="FWB188" s="117"/>
      <c r="FWC188" s="117"/>
      <c r="FWD188" s="117"/>
      <c r="FWE188" s="117"/>
      <c r="FWF188" s="117"/>
      <c r="FWG188" s="117"/>
      <c r="FWH188" s="117"/>
      <c r="FWI188" s="117"/>
      <c r="FWJ188" s="117"/>
      <c r="FWK188" s="117"/>
      <c r="FWL188" s="117"/>
      <c r="FWM188" s="117"/>
      <c r="FWN188" s="117"/>
      <c r="FWO188" s="117"/>
      <c r="FWP188" s="117"/>
      <c r="FWQ188" s="117"/>
      <c r="FWR188" s="117"/>
      <c r="FWS188" s="117"/>
      <c r="FWT188" s="117"/>
      <c r="FWU188" s="117"/>
      <c r="FWV188" s="117"/>
      <c r="FWW188" s="117"/>
      <c r="FWX188" s="117"/>
      <c r="FWY188" s="117"/>
      <c r="FWZ188" s="117"/>
      <c r="FXA188" s="117"/>
      <c r="FXB188" s="117"/>
      <c r="FXC188" s="117"/>
      <c r="FXD188" s="117"/>
      <c r="FXE188" s="117"/>
      <c r="FXF188" s="117"/>
      <c r="FXG188" s="117"/>
      <c r="FXH188" s="117"/>
      <c r="FXI188" s="117"/>
      <c r="FXJ188" s="117"/>
      <c r="FXK188" s="117"/>
      <c r="FXL188" s="117"/>
      <c r="FXM188" s="117"/>
      <c r="FXN188" s="117"/>
      <c r="FXO188" s="117"/>
      <c r="FXP188" s="117"/>
      <c r="FXQ188" s="117"/>
      <c r="FXR188" s="117"/>
      <c r="FXS188" s="117"/>
      <c r="FXT188" s="117"/>
      <c r="FXU188" s="117"/>
      <c r="FXV188" s="117"/>
      <c r="FXW188" s="117"/>
      <c r="FXX188" s="117"/>
      <c r="FXY188" s="117"/>
      <c r="FXZ188" s="117"/>
      <c r="FYA188" s="117"/>
      <c r="FYB188" s="117"/>
      <c r="FYC188" s="117"/>
      <c r="FYD188" s="117"/>
      <c r="FYE188" s="117"/>
      <c r="FYF188" s="117"/>
      <c r="FYG188" s="117"/>
      <c r="FYH188" s="117"/>
      <c r="FYI188" s="117"/>
      <c r="FYJ188" s="117"/>
      <c r="FYK188" s="117"/>
      <c r="FYL188" s="117"/>
      <c r="FYM188" s="117"/>
      <c r="FYN188" s="117"/>
      <c r="FYO188" s="117"/>
      <c r="FYP188" s="117"/>
      <c r="FYQ188" s="117"/>
      <c r="FYR188" s="117"/>
      <c r="FYS188" s="117"/>
      <c r="FYT188" s="117"/>
      <c r="FYU188" s="117"/>
      <c r="FYV188" s="117"/>
      <c r="FYW188" s="117"/>
      <c r="FYX188" s="117"/>
      <c r="FYY188" s="117"/>
      <c r="FYZ188" s="117"/>
      <c r="FZA188" s="117"/>
      <c r="FZB188" s="117"/>
      <c r="FZC188" s="117"/>
      <c r="FZD188" s="117"/>
      <c r="FZE188" s="117"/>
      <c r="FZF188" s="117"/>
      <c r="FZG188" s="117"/>
      <c r="FZH188" s="117"/>
      <c r="FZI188" s="117"/>
      <c r="FZJ188" s="117"/>
      <c r="FZK188" s="117"/>
      <c r="FZL188" s="117"/>
      <c r="FZM188" s="117"/>
      <c r="FZN188" s="117"/>
      <c r="FZO188" s="117"/>
      <c r="FZP188" s="117"/>
      <c r="FZQ188" s="117"/>
      <c r="FZR188" s="117"/>
      <c r="FZS188" s="117"/>
      <c r="FZT188" s="117"/>
      <c r="FZU188" s="117"/>
      <c r="FZV188" s="117"/>
      <c r="FZW188" s="117"/>
      <c r="FZX188" s="117"/>
      <c r="FZY188" s="117"/>
      <c r="FZZ188" s="117"/>
      <c r="GAA188" s="117"/>
      <c r="GAB188" s="117"/>
      <c r="GAC188" s="117"/>
      <c r="GAD188" s="117"/>
      <c r="GAE188" s="117"/>
      <c r="GAF188" s="117"/>
      <c r="GAG188" s="117"/>
      <c r="GAH188" s="117"/>
      <c r="GAI188" s="117"/>
      <c r="GAJ188" s="117"/>
      <c r="GAK188" s="117"/>
      <c r="GAL188" s="117"/>
      <c r="GAM188" s="117"/>
      <c r="GAN188" s="117"/>
      <c r="GAO188" s="117"/>
      <c r="GAP188" s="117"/>
      <c r="GAQ188" s="117"/>
      <c r="GAR188" s="117"/>
      <c r="GAS188" s="117"/>
      <c r="GAT188" s="117"/>
      <c r="GAU188" s="117"/>
      <c r="GAV188" s="117"/>
      <c r="GAW188" s="117"/>
      <c r="GAX188" s="117"/>
      <c r="GAY188" s="117"/>
      <c r="GAZ188" s="117"/>
      <c r="GBA188" s="117"/>
      <c r="GBB188" s="117"/>
      <c r="GBC188" s="117"/>
      <c r="GBD188" s="117"/>
      <c r="GBE188" s="117"/>
      <c r="GBF188" s="117"/>
      <c r="GBG188" s="117"/>
      <c r="GBH188" s="117"/>
      <c r="GBI188" s="117"/>
      <c r="GBJ188" s="117"/>
      <c r="GBK188" s="117"/>
      <c r="GBL188" s="117"/>
      <c r="GBM188" s="117"/>
      <c r="GBN188" s="117"/>
      <c r="GBO188" s="117"/>
      <c r="GBP188" s="117"/>
      <c r="GBQ188" s="117"/>
      <c r="GBR188" s="117"/>
      <c r="GBS188" s="117"/>
      <c r="GBT188" s="117"/>
      <c r="GBU188" s="117"/>
      <c r="GBV188" s="117"/>
      <c r="GBW188" s="117"/>
      <c r="GBX188" s="117"/>
      <c r="GBY188" s="117"/>
      <c r="GBZ188" s="117"/>
      <c r="GCA188" s="117"/>
      <c r="GCB188" s="117"/>
      <c r="GCC188" s="117"/>
      <c r="GCD188" s="117"/>
      <c r="GCE188" s="117"/>
      <c r="GCF188" s="117"/>
      <c r="GCG188" s="117"/>
      <c r="GCH188" s="117"/>
      <c r="GCI188" s="117"/>
      <c r="GCJ188" s="117"/>
      <c r="GCK188" s="117"/>
      <c r="GCL188" s="117"/>
      <c r="GCM188" s="117"/>
      <c r="GCN188" s="117"/>
      <c r="GCO188" s="117"/>
      <c r="GCP188" s="117"/>
      <c r="GCQ188" s="117"/>
      <c r="GCR188" s="117"/>
      <c r="GCS188" s="117"/>
      <c r="GCT188" s="117"/>
      <c r="GCU188" s="117"/>
      <c r="GCV188" s="117"/>
      <c r="GCW188" s="117"/>
      <c r="GCX188" s="117"/>
      <c r="GCY188" s="117"/>
      <c r="GCZ188" s="117"/>
      <c r="GDA188" s="117"/>
      <c r="GDB188" s="117"/>
      <c r="GDC188" s="117"/>
      <c r="GDD188" s="117"/>
      <c r="GDE188" s="117"/>
      <c r="GDF188" s="117"/>
      <c r="GDG188" s="117"/>
      <c r="GDH188" s="117"/>
      <c r="GDI188" s="117"/>
      <c r="GDJ188" s="117"/>
      <c r="GDK188" s="117"/>
      <c r="GDL188" s="117"/>
      <c r="GDM188" s="117"/>
      <c r="GDN188" s="117"/>
      <c r="GDO188" s="117"/>
      <c r="GDP188" s="117"/>
      <c r="GDQ188" s="117"/>
      <c r="GDR188" s="117"/>
      <c r="GDS188" s="117"/>
      <c r="GDT188" s="117"/>
      <c r="GDU188" s="117"/>
      <c r="GDV188" s="117"/>
      <c r="GDW188" s="117"/>
      <c r="GDX188" s="117"/>
      <c r="GDY188" s="117"/>
      <c r="GDZ188" s="117"/>
      <c r="GEA188" s="117"/>
      <c r="GEB188" s="117"/>
      <c r="GEC188" s="117"/>
      <c r="GED188" s="117"/>
      <c r="GEE188" s="117"/>
      <c r="GEF188" s="117"/>
      <c r="GEG188" s="117"/>
      <c r="GEH188" s="117"/>
      <c r="GEI188" s="117"/>
      <c r="GEJ188" s="117"/>
      <c r="GEK188" s="117"/>
      <c r="GEL188" s="117"/>
      <c r="GEM188" s="117"/>
      <c r="GEN188" s="117"/>
      <c r="GEO188" s="117"/>
      <c r="GEP188" s="117"/>
      <c r="GEQ188" s="117"/>
      <c r="GER188" s="117"/>
      <c r="GES188" s="117"/>
      <c r="GET188" s="117"/>
      <c r="GEU188" s="117"/>
      <c r="GEV188" s="117"/>
      <c r="GEW188" s="117"/>
      <c r="GEX188" s="117"/>
      <c r="GEY188" s="117"/>
      <c r="GEZ188" s="117"/>
      <c r="GFA188" s="117"/>
      <c r="GFB188" s="117"/>
      <c r="GFC188" s="117"/>
      <c r="GFD188" s="117"/>
      <c r="GFE188" s="117"/>
      <c r="GFF188" s="117"/>
      <c r="GFG188" s="117"/>
      <c r="GFH188" s="117"/>
      <c r="GFI188" s="117"/>
      <c r="GFJ188" s="117"/>
      <c r="GFK188" s="117"/>
      <c r="GFL188" s="117"/>
      <c r="GFM188" s="117"/>
      <c r="GFN188" s="117"/>
      <c r="GFO188" s="117"/>
      <c r="GFP188" s="117"/>
      <c r="GFQ188" s="117"/>
      <c r="GFR188" s="117"/>
      <c r="GFS188" s="117"/>
      <c r="GFT188" s="117"/>
      <c r="GFU188" s="117"/>
      <c r="GFV188" s="117"/>
      <c r="GFW188" s="117"/>
      <c r="GFX188" s="117"/>
      <c r="GFY188" s="117"/>
      <c r="GFZ188" s="117"/>
      <c r="GGA188" s="117"/>
      <c r="GGB188" s="117"/>
      <c r="GGC188" s="117"/>
      <c r="GGD188" s="117"/>
      <c r="GGE188" s="117"/>
      <c r="GGF188" s="117"/>
      <c r="GGG188" s="117"/>
      <c r="GGH188" s="117"/>
      <c r="GGI188" s="117"/>
      <c r="GGJ188" s="117"/>
      <c r="GGK188" s="117"/>
      <c r="GGL188" s="117"/>
      <c r="GGM188" s="117"/>
      <c r="GGN188" s="117"/>
      <c r="GGO188" s="117"/>
      <c r="GGP188" s="117"/>
      <c r="GGQ188" s="117"/>
      <c r="GGR188" s="117"/>
      <c r="GGS188" s="117"/>
      <c r="GGT188" s="117"/>
      <c r="GGU188" s="117"/>
      <c r="GGV188" s="117"/>
      <c r="GGW188" s="117"/>
      <c r="GGX188" s="117"/>
      <c r="GGY188" s="117"/>
      <c r="GGZ188" s="117"/>
      <c r="GHA188" s="117"/>
      <c r="GHB188" s="117"/>
      <c r="GHC188" s="117"/>
      <c r="GHD188" s="117"/>
      <c r="GHE188" s="117"/>
      <c r="GHF188" s="117"/>
      <c r="GHG188" s="117"/>
      <c r="GHH188" s="117"/>
      <c r="GHI188" s="117"/>
      <c r="GHJ188" s="117"/>
      <c r="GHK188" s="117"/>
      <c r="GHL188" s="117"/>
      <c r="GHM188" s="117"/>
      <c r="GHN188" s="117"/>
      <c r="GHO188" s="117"/>
      <c r="GHP188" s="117"/>
      <c r="GHQ188" s="117"/>
      <c r="GHR188" s="117"/>
      <c r="GHS188" s="117"/>
      <c r="GHT188" s="117"/>
      <c r="GHU188" s="117"/>
      <c r="GHV188" s="117"/>
      <c r="GHW188" s="117"/>
      <c r="GHX188" s="117"/>
      <c r="GHY188" s="117"/>
      <c r="GHZ188" s="117"/>
      <c r="GIA188" s="117"/>
      <c r="GIB188" s="117"/>
      <c r="GIC188" s="117"/>
      <c r="GID188" s="117"/>
      <c r="GIE188" s="117"/>
      <c r="GIF188" s="117"/>
      <c r="GIG188" s="117"/>
      <c r="GIH188" s="117"/>
      <c r="GII188" s="117"/>
      <c r="GIJ188" s="117"/>
      <c r="GIK188" s="117"/>
      <c r="GIL188" s="117"/>
      <c r="GIM188" s="117"/>
      <c r="GIN188" s="117"/>
      <c r="GIO188" s="117"/>
      <c r="GIP188" s="117"/>
      <c r="GIQ188" s="117"/>
      <c r="GIR188" s="117"/>
      <c r="GIS188" s="117"/>
      <c r="GIT188" s="117"/>
      <c r="GIU188" s="117"/>
      <c r="GIV188" s="117"/>
      <c r="GIW188" s="117"/>
      <c r="GIX188" s="117"/>
      <c r="GIY188" s="117"/>
      <c r="GIZ188" s="117"/>
      <c r="GJA188" s="117"/>
      <c r="GJB188" s="117"/>
      <c r="GJC188" s="117"/>
      <c r="GJD188" s="117"/>
      <c r="GJE188" s="117"/>
      <c r="GJF188" s="117"/>
      <c r="GJG188" s="117"/>
      <c r="GJH188" s="117"/>
      <c r="GJI188" s="117"/>
      <c r="GJJ188" s="117"/>
      <c r="GJK188" s="117"/>
      <c r="GJL188" s="117"/>
      <c r="GJM188" s="117"/>
      <c r="GJN188" s="117"/>
      <c r="GJO188" s="117"/>
      <c r="GJP188" s="117"/>
      <c r="GJQ188" s="117"/>
      <c r="GJR188" s="117"/>
      <c r="GJS188" s="117"/>
      <c r="GJT188" s="117"/>
      <c r="GJU188" s="117"/>
      <c r="GJV188" s="117"/>
      <c r="GJW188" s="117"/>
      <c r="GJX188" s="117"/>
      <c r="GJY188" s="117"/>
      <c r="GJZ188" s="117"/>
      <c r="GKA188" s="117"/>
      <c r="GKB188" s="117"/>
      <c r="GKC188" s="117"/>
      <c r="GKD188" s="117"/>
      <c r="GKE188" s="117"/>
      <c r="GKF188" s="117"/>
      <c r="GKG188" s="117"/>
      <c r="GKH188" s="117"/>
      <c r="GKI188" s="117"/>
      <c r="GKJ188" s="117"/>
      <c r="GKK188" s="117"/>
      <c r="GKL188" s="117"/>
      <c r="GKM188" s="117"/>
      <c r="GKN188" s="117"/>
      <c r="GKO188" s="117"/>
      <c r="GKP188" s="117"/>
      <c r="GKQ188" s="117"/>
      <c r="GKR188" s="117"/>
      <c r="GKS188" s="117"/>
      <c r="GKT188" s="117"/>
      <c r="GKU188" s="117"/>
      <c r="GKV188" s="117"/>
      <c r="GKW188" s="117"/>
      <c r="GKX188" s="117"/>
      <c r="GKY188" s="117"/>
      <c r="GKZ188" s="117"/>
      <c r="GLA188" s="117"/>
      <c r="GLB188" s="117"/>
      <c r="GLC188" s="117"/>
      <c r="GLD188" s="117"/>
      <c r="GLE188" s="117"/>
      <c r="GLF188" s="117"/>
      <c r="GLG188" s="117"/>
      <c r="GLH188" s="117"/>
      <c r="GLI188" s="117"/>
      <c r="GLJ188" s="117"/>
      <c r="GLK188" s="117"/>
      <c r="GLL188" s="117"/>
      <c r="GLM188" s="117"/>
      <c r="GLN188" s="117"/>
      <c r="GLO188" s="117"/>
      <c r="GLP188" s="117"/>
      <c r="GLQ188" s="117"/>
      <c r="GLR188" s="117"/>
      <c r="GLS188" s="117"/>
      <c r="GLT188" s="117"/>
      <c r="GLU188" s="117"/>
      <c r="GLV188" s="117"/>
      <c r="GLW188" s="117"/>
      <c r="GLX188" s="117"/>
      <c r="GLY188" s="117"/>
      <c r="GLZ188" s="117"/>
      <c r="GMA188" s="117"/>
      <c r="GMB188" s="117"/>
      <c r="GMC188" s="117"/>
      <c r="GMD188" s="117"/>
      <c r="GME188" s="117"/>
      <c r="GMF188" s="117"/>
      <c r="GMG188" s="117"/>
      <c r="GMH188" s="117"/>
      <c r="GMI188" s="117"/>
      <c r="GMJ188" s="117"/>
      <c r="GMK188" s="117"/>
      <c r="GML188" s="117"/>
      <c r="GMM188" s="117"/>
      <c r="GMN188" s="117"/>
      <c r="GMO188" s="117"/>
      <c r="GMP188" s="117"/>
      <c r="GMQ188" s="117"/>
      <c r="GMR188" s="117"/>
      <c r="GMS188" s="117"/>
      <c r="GMT188" s="117"/>
      <c r="GMU188" s="117"/>
      <c r="GMV188" s="117"/>
      <c r="GMW188" s="117"/>
      <c r="GMX188" s="117"/>
      <c r="GMY188" s="117"/>
      <c r="GMZ188" s="117"/>
      <c r="GNA188" s="117"/>
      <c r="GNB188" s="117"/>
      <c r="GNC188" s="117"/>
      <c r="GND188" s="117"/>
      <c r="GNE188" s="117"/>
      <c r="GNF188" s="117"/>
      <c r="GNG188" s="117"/>
      <c r="GNH188" s="117"/>
      <c r="GNI188" s="117"/>
      <c r="GNJ188" s="117"/>
      <c r="GNK188" s="117"/>
      <c r="GNL188" s="117"/>
      <c r="GNM188" s="117"/>
      <c r="GNN188" s="117"/>
      <c r="GNO188" s="117"/>
      <c r="GNP188" s="117"/>
      <c r="GNQ188" s="117"/>
      <c r="GNR188" s="117"/>
      <c r="GNS188" s="117"/>
      <c r="GNT188" s="117"/>
      <c r="GNU188" s="117"/>
      <c r="GNV188" s="117"/>
      <c r="GNW188" s="117"/>
      <c r="GNX188" s="117"/>
      <c r="GNY188" s="117"/>
      <c r="GNZ188" s="117"/>
      <c r="GOA188" s="117"/>
      <c r="GOB188" s="117"/>
      <c r="GOC188" s="117"/>
      <c r="GOD188" s="117"/>
      <c r="GOE188" s="117"/>
      <c r="GOF188" s="117"/>
      <c r="GOG188" s="117"/>
      <c r="GOH188" s="117"/>
      <c r="GOI188" s="117"/>
      <c r="GOJ188" s="117"/>
      <c r="GOK188" s="117"/>
      <c r="GOL188" s="117"/>
      <c r="GOM188" s="117"/>
      <c r="GON188" s="117"/>
      <c r="GOO188" s="117"/>
      <c r="GOP188" s="117"/>
      <c r="GOQ188" s="117"/>
      <c r="GOR188" s="117"/>
      <c r="GOS188" s="117"/>
      <c r="GOT188" s="117"/>
      <c r="GOU188" s="117"/>
      <c r="GOV188" s="117"/>
      <c r="GOW188" s="117"/>
      <c r="GOX188" s="117"/>
      <c r="GOY188" s="117"/>
      <c r="GOZ188" s="117"/>
      <c r="GPA188" s="117"/>
      <c r="GPB188" s="117"/>
      <c r="GPC188" s="117"/>
      <c r="GPD188" s="117"/>
      <c r="GPE188" s="117"/>
      <c r="GPF188" s="117"/>
      <c r="GPG188" s="117"/>
      <c r="GPH188" s="117"/>
      <c r="GPI188" s="117"/>
      <c r="GPJ188" s="117"/>
      <c r="GPK188" s="117"/>
      <c r="GPL188" s="117"/>
      <c r="GPM188" s="117"/>
      <c r="GPN188" s="117"/>
      <c r="GPO188" s="117"/>
      <c r="GPP188" s="117"/>
      <c r="GPQ188" s="117"/>
      <c r="GPR188" s="117"/>
      <c r="GPS188" s="117"/>
      <c r="GPT188" s="117"/>
      <c r="GPU188" s="117"/>
      <c r="GPV188" s="117"/>
      <c r="GPW188" s="117"/>
      <c r="GPX188" s="117"/>
      <c r="GPY188" s="117"/>
      <c r="GPZ188" s="117"/>
      <c r="GQA188" s="117"/>
      <c r="GQB188" s="117"/>
      <c r="GQC188" s="117"/>
      <c r="GQD188" s="117"/>
      <c r="GQE188" s="117"/>
      <c r="GQF188" s="117"/>
      <c r="GQG188" s="117"/>
      <c r="GQH188" s="117"/>
      <c r="GQI188" s="117"/>
      <c r="GQJ188" s="117"/>
      <c r="GQK188" s="117"/>
      <c r="GQL188" s="117"/>
      <c r="GQM188" s="117"/>
      <c r="GQN188" s="117"/>
      <c r="GQO188" s="117"/>
      <c r="GQP188" s="117"/>
      <c r="GQQ188" s="117"/>
      <c r="GQR188" s="117"/>
      <c r="GQS188" s="117"/>
      <c r="GQT188" s="117"/>
      <c r="GQU188" s="117"/>
      <c r="GQV188" s="117"/>
      <c r="GQW188" s="117"/>
      <c r="GQX188" s="117"/>
      <c r="GQY188" s="117"/>
      <c r="GQZ188" s="117"/>
      <c r="GRA188" s="117"/>
      <c r="GRB188" s="117"/>
      <c r="GRC188" s="117"/>
      <c r="GRD188" s="117"/>
      <c r="GRE188" s="117"/>
      <c r="GRF188" s="117"/>
      <c r="GRG188" s="117"/>
      <c r="GRH188" s="117"/>
      <c r="GRI188" s="117"/>
      <c r="GRJ188" s="117"/>
      <c r="GRK188" s="117"/>
      <c r="GRL188" s="117"/>
      <c r="GRM188" s="117"/>
      <c r="GRN188" s="117"/>
      <c r="GRO188" s="117"/>
      <c r="GRP188" s="117"/>
      <c r="GRQ188" s="117"/>
      <c r="GRR188" s="117"/>
      <c r="GRS188" s="117"/>
      <c r="GRT188" s="117"/>
      <c r="GRU188" s="117"/>
      <c r="GRV188" s="117"/>
      <c r="GRW188" s="117"/>
      <c r="GRX188" s="117"/>
      <c r="GRY188" s="117"/>
      <c r="GRZ188" s="117"/>
      <c r="GSA188" s="117"/>
      <c r="GSB188" s="117"/>
      <c r="GSC188" s="117"/>
      <c r="GSD188" s="117"/>
      <c r="GSE188" s="117"/>
      <c r="GSF188" s="117"/>
      <c r="GSG188" s="117"/>
      <c r="GSH188" s="117"/>
      <c r="GSI188" s="117"/>
      <c r="GSJ188" s="117"/>
      <c r="GSK188" s="117"/>
      <c r="GSL188" s="117"/>
      <c r="GSM188" s="117"/>
      <c r="GSN188" s="117"/>
      <c r="GSO188" s="117"/>
      <c r="GSP188" s="117"/>
      <c r="GSQ188" s="117"/>
      <c r="GSR188" s="117"/>
      <c r="GSS188" s="117"/>
      <c r="GST188" s="117"/>
      <c r="GSU188" s="117"/>
      <c r="GSV188" s="117"/>
      <c r="GSW188" s="117"/>
      <c r="GSX188" s="117"/>
      <c r="GSY188" s="117"/>
      <c r="GSZ188" s="117"/>
      <c r="GTA188" s="117"/>
      <c r="GTB188" s="117"/>
      <c r="GTC188" s="117"/>
      <c r="GTD188" s="117"/>
      <c r="GTE188" s="117"/>
      <c r="GTF188" s="117"/>
      <c r="GTG188" s="117"/>
      <c r="GTH188" s="117"/>
      <c r="GTI188" s="117"/>
      <c r="GTJ188" s="117"/>
      <c r="GTK188" s="117"/>
      <c r="GTL188" s="117"/>
      <c r="GTM188" s="117"/>
      <c r="GTN188" s="117"/>
      <c r="GTO188" s="117"/>
      <c r="GTP188" s="117"/>
      <c r="GTQ188" s="117"/>
      <c r="GTR188" s="117"/>
      <c r="GTS188" s="117"/>
      <c r="GTT188" s="117"/>
      <c r="GTU188" s="117"/>
      <c r="GTV188" s="117"/>
      <c r="GTW188" s="117"/>
      <c r="GTX188" s="117"/>
      <c r="GTY188" s="117"/>
      <c r="GTZ188" s="117"/>
      <c r="GUA188" s="117"/>
      <c r="GUB188" s="117"/>
      <c r="GUC188" s="117"/>
      <c r="GUD188" s="117"/>
      <c r="GUE188" s="117"/>
      <c r="GUF188" s="117"/>
      <c r="GUG188" s="117"/>
      <c r="GUH188" s="117"/>
      <c r="GUI188" s="117"/>
      <c r="GUJ188" s="117"/>
      <c r="GUK188" s="117"/>
      <c r="GUL188" s="117"/>
      <c r="GUM188" s="117"/>
      <c r="GUN188" s="117"/>
      <c r="GUO188" s="117"/>
      <c r="GUP188" s="117"/>
      <c r="GUQ188" s="117"/>
      <c r="GUR188" s="117"/>
      <c r="GUS188" s="117"/>
      <c r="GUT188" s="117"/>
      <c r="GUU188" s="117"/>
      <c r="GUV188" s="117"/>
      <c r="GUW188" s="117"/>
      <c r="GUX188" s="117"/>
      <c r="GUY188" s="117"/>
      <c r="GUZ188" s="117"/>
      <c r="GVA188" s="117"/>
      <c r="GVB188" s="117"/>
      <c r="GVC188" s="117"/>
      <c r="GVD188" s="117"/>
      <c r="GVE188" s="117"/>
      <c r="GVF188" s="117"/>
      <c r="GVG188" s="117"/>
      <c r="GVH188" s="117"/>
      <c r="GVI188" s="117"/>
      <c r="GVJ188" s="117"/>
      <c r="GVK188" s="117"/>
      <c r="GVL188" s="117"/>
      <c r="GVM188" s="117"/>
      <c r="GVN188" s="117"/>
      <c r="GVO188" s="117"/>
      <c r="GVP188" s="117"/>
      <c r="GVQ188" s="117"/>
      <c r="GVR188" s="117"/>
      <c r="GVS188" s="117"/>
      <c r="GVT188" s="117"/>
      <c r="GVU188" s="117"/>
      <c r="GVV188" s="117"/>
      <c r="GVW188" s="117"/>
      <c r="GVX188" s="117"/>
      <c r="GVY188" s="117"/>
      <c r="GVZ188" s="117"/>
      <c r="GWA188" s="117"/>
      <c r="GWB188" s="117"/>
      <c r="GWC188" s="117"/>
      <c r="GWD188" s="117"/>
      <c r="GWE188" s="117"/>
      <c r="GWF188" s="117"/>
      <c r="GWG188" s="117"/>
      <c r="GWH188" s="117"/>
      <c r="GWI188" s="117"/>
      <c r="GWJ188" s="117"/>
      <c r="GWK188" s="117"/>
      <c r="GWL188" s="117"/>
      <c r="GWM188" s="117"/>
      <c r="GWN188" s="117"/>
      <c r="GWO188" s="117"/>
      <c r="GWP188" s="117"/>
      <c r="GWQ188" s="117"/>
      <c r="GWR188" s="117"/>
      <c r="GWS188" s="117"/>
      <c r="GWT188" s="117"/>
      <c r="GWU188" s="117"/>
      <c r="GWV188" s="117"/>
      <c r="GWW188" s="117"/>
      <c r="GWX188" s="117"/>
      <c r="GWY188" s="117"/>
      <c r="GWZ188" s="117"/>
      <c r="GXA188" s="117"/>
      <c r="GXB188" s="117"/>
      <c r="GXC188" s="117"/>
      <c r="GXD188" s="117"/>
      <c r="GXE188" s="117"/>
      <c r="GXF188" s="117"/>
      <c r="GXG188" s="117"/>
      <c r="GXH188" s="117"/>
      <c r="GXI188" s="117"/>
      <c r="GXJ188" s="117"/>
      <c r="GXK188" s="117"/>
      <c r="GXL188" s="117"/>
      <c r="GXM188" s="117"/>
      <c r="GXN188" s="117"/>
      <c r="GXO188" s="117"/>
      <c r="GXP188" s="117"/>
      <c r="GXQ188" s="117"/>
      <c r="GXR188" s="117"/>
      <c r="GXS188" s="117"/>
      <c r="GXT188" s="117"/>
      <c r="GXU188" s="117"/>
      <c r="GXV188" s="117"/>
      <c r="GXW188" s="117"/>
      <c r="GXX188" s="117"/>
      <c r="GXY188" s="117"/>
      <c r="GXZ188" s="117"/>
      <c r="GYA188" s="117"/>
      <c r="GYB188" s="117"/>
      <c r="GYC188" s="117"/>
      <c r="GYD188" s="117"/>
      <c r="GYE188" s="117"/>
      <c r="GYF188" s="117"/>
      <c r="GYG188" s="117"/>
      <c r="GYH188" s="117"/>
      <c r="GYI188" s="117"/>
      <c r="GYJ188" s="117"/>
      <c r="GYK188" s="117"/>
      <c r="GYL188" s="117"/>
      <c r="GYM188" s="117"/>
      <c r="GYN188" s="117"/>
      <c r="GYO188" s="117"/>
      <c r="GYP188" s="117"/>
      <c r="GYQ188" s="117"/>
      <c r="GYR188" s="117"/>
      <c r="GYS188" s="117"/>
      <c r="GYT188" s="117"/>
      <c r="GYU188" s="117"/>
      <c r="GYV188" s="117"/>
      <c r="GYW188" s="117"/>
      <c r="GYX188" s="117"/>
      <c r="GYY188" s="117"/>
      <c r="GYZ188" s="117"/>
      <c r="GZA188" s="117"/>
      <c r="GZB188" s="117"/>
      <c r="GZC188" s="117"/>
      <c r="GZD188" s="117"/>
      <c r="GZE188" s="117"/>
      <c r="GZF188" s="117"/>
      <c r="GZG188" s="117"/>
      <c r="GZH188" s="117"/>
      <c r="GZI188" s="117"/>
      <c r="GZJ188" s="117"/>
      <c r="GZK188" s="117"/>
      <c r="GZL188" s="117"/>
      <c r="GZM188" s="117"/>
      <c r="GZN188" s="117"/>
      <c r="GZO188" s="117"/>
      <c r="GZP188" s="117"/>
      <c r="GZQ188" s="117"/>
      <c r="GZR188" s="117"/>
      <c r="GZS188" s="117"/>
      <c r="GZT188" s="117"/>
      <c r="GZU188" s="117"/>
      <c r="GZV188" s="117"/>
      <c r="GZW188" s="117"/>
      <c r="GZX188" s="117"/>
      <c r="GZY188" s="117"/>
      <c r="GZZ188" s="117"/>
      <c r="HAA188" s="117"/>
      <c r="HAB188" s="117"/>
      <c r="HAC188" s="117"/>
      <c r="HAD188" s="117"/>
      <c r="HAE188" s="117"/>
      <c r="HAF188" s="117"/>
      <c r="HAG188" s="117"/>
      <c r="HAH188" s="117"/>
      <c r="HAI188" s="117"/>
      <c r="HAJ188" s="117"/>
      <c r="HAK188" s="117"/>
      <c r="HAL188" s="117"/>
      <c r="HAM188" s="117"/>
      <c r="HAN188" s="117"/>
      <c r="HAO188" s="117"/>
      <c r="HAP188" s="117"/>
      <c r="HAQ188" s="117"/>
      <c r="HAR188" s="117"/>
      <c r="HAS188" s="117"/>
      <c r="HAT188" s="117"/>
      <c r="HAU188" s="117"/>
      <c r="HAV188" s="117"/>
      <c r="HAW188" s="117"/>
      <c r="HAX188" s="117"/>
      <c r="HAY188" s="117"/>
      <c r="HAZ188" s="117"/>
      <c r="HBA188" s="117"/>
      <c r="HBB188" s="117"/>
      <c r="HBC188" s="117"/>
      <c r="HBD188" s="117"/>
      <c r="HBE188" s="117"/>
      <c r="HBF188" s="117"/>
      <c r="HBG188" s="117"/>
      <c r="HBH188" s="117"/>
      <c r="HBI188" s="117"/>
      <c r="HBJ188" s="117"/>
      <c r="HBK188" s="117"/>
      <c r="HBL188" s="117"/>
      <c r="HBM188" s="117"/>
      <c r="HBN188" s="117"/>
      <c r="HBO188" s="117"/>
      <c r="HBP188" s="117"/>
      <c r="HBQ188" s="117"/>
      <c r="HBR188" s="117"/>
      <c r="HBS188" s="117"/>
      <c r="HBT188" s="117"/>
      <c r="HBU188" s="117"/>
      <c r="HBV188" s="117"/>
      <c r="HBW188" s="117"/>
      <c r="HBX188" s="117"/>
      <c r="HBY188" s="117"/>
      <c r="HBZ188" s="117"/>
      <c r="HCA188" s="117"/>
      <c r="HCB188" s="117"/>
      <c r="HCC188" s="117"/>
      <c r="HCD188" s="117"/>
      <c r="HCE188" s="117"/>
      <c r="HCF188" s="117"/>
      <c r="HCG188" s="117"/>
      <c r="HCH188" s="117"/>
      <c r="HCI188" s="117"/>
      <c r="HCJ188" s="117"/>
      <c r="HCK188" s="117"/>
      <c r="HCL188" s="117"/>
      <c r="HCM188" s="117"/>
      <c r="HCN188" s="117"/>
      <c r="HCO188" s="117"/>
      <c r="HCP188" s="117"/>
      <c r="HCQ188" s="117"/>
      <c r="HCR188" s="117"/>
      <c r="HCS188" s="117"/>
      <c r="HCT188" s="117"/>
      <c r="HCU188" s="117"/>
      <c r="HCV188" s="117"/>
      <c r="HCW188" s="117"/>
      <c r="HCX188" s="117"/>
      <c r="HCY188" s="117"/>
      <c r="HCZ188" s="117"/>
      <c r="HDA188" s="117"/>
      <c r="HDB188" s="117"/>
      <c r="HDC188" s="117"/>
      <c r="HDD188" s="117"/>
      <c r="HDE188" s="117"/>
      <c r="HDF188" s="117"/>
      <c r="HDG188" s="117"/>
      <c r="HDH188" s="117"/>
      <c r="HDI188" s="117"/>
      <c r="HDJ188" s="117"/>
      <c r="HDK188" s="117"/>
      <c r="HDL188" s="117"/>
      <c r="HDM188" s="117"/>
      <c r="HDN188" s="117"/>
      <c r="HDO188" s="117"/>
      <c r="HDP188" s="117"/>
      <c r="HDQ188" s="117"/>
      <c r="HDR188" s="117"/>
      <c r="HDS188" s="117"/>
      <c r="HDT188" s="117"/>
      <c r="HDU188" s="117"/>
      <c r="HDV188" s="117"/>
      <c r="HDW188" s="117"/>
      <c r="HDX188" s="117"/>
      <c r="HDY188" s="117"/>
      <c r="HDZ188" s="117"/>
      <c r="HEA188" s="117"/>
      <c r="HEB188" s="117"/>
      <c r="HEC188" s="117"/>
      <c r="HED188" s="117"/>
      <c r="HEE188" s="117"/>
      <c r="HEF188" s="117"/>
      <c r="HEG188" s="117"/>
      <c r="HEH188" s="117"/>
      <c r="HEI188" s="117"/>
      <c r="HEJ188" s="117"/>
      <c r="HEK188" s="117"/>
      <c r="HEL188" s="117"/>
      <c r="HEM188" s="117"/>
      <c r="HEN188" s="117"/>
      <c r="HEO188" s="117"/>
      <c r="HEP188" s="117"/>
      <c r="HEQ188" s="117"/>
      <c r="HER188" s="117"/>
      <c r="HES188" s="117"/>
      <c r="HET188" s="117"/>
      <c r="HEU188" s="117"/>
      <c r="HEV188" s="117"/>
      <c r="HEW188" s="117"/>
      <c r="HEX188" s="117"/>
      <c r="HEY188" s="117"/>
      <c r="HEZ188" s="117"/>
      <c r="HFA188" s="117"/>
      <c r="HFB188" s="117"/>
      <c r="HFC188" s="117"/>
      <c r="HFD188" s="117"/>
      <c r="HFE188" s="117"/>
      <c r="HFF188" s="117"/>
      <c r="HFG188" s="117"/>
      <c r="HFH188" s="117"/>
      <c r="HFI188" s="117"/>
      <c r="HFJ188" s="117"/>
      <c r="HFK188" s="117"/>
      <c r="HFL188" s="117"/>
      <c r="HFM188" s="117"/>
      <c r="HFN188" s="117"/>
      <c r="HFO188" s="117"/>
      <c r="HFP188" s="117"/>
      <c r="HFQ188" s="117"/>
      <c r="HFR188" s="117"/>
      <c r="HFS188" s="117"/>
      <c r="HFT188" s="117"/>
      <c r="HFU188" s="117"/>
      <c r="HFV188" s="117"/>
      <c r="HFW188" s="117"/>
      <c r="HFX188" s="117"/>
      <c r="HFY188" s="117"/>
      <c r="HFZ188" s="117"/>
      <c r="HGA188" s="117"/>
      <c r="HGB188" s="117"/>
      <c r="HGC188" s="117"/>
      <c r="HGD188" s="117"/>
      <c r="HGE188" s="117"/>
      <c r="HGF188" s="117"/>
      <c r="HGG188" s="117"/>
      <c r="HGH188" s="117"/>
      <c r="HGI188" s="117"/>
      <c r="HGJ188" s="117"/>
      <c r="HGK188" s="117"/>
      <c r="HGL188" s="117"/>
      <c r="HGM188" s="117"/>
      <c r="HGN188" s="117"/>
      <c r="HGO188" s="117"/>
      <c r="HGP188" s="117"/>
      <c r="HGQ188" s="117"/>
      <c r="HGR188" s="117"/>
      <c r="HGS188" s="117"/>
      <c r="HGT188" s="117"/>
      <c r="HGU188" s="117"/>
      <c r="HGV188" s="117"/>
      <c r="HGW188" s="117"/>
      <c r="HGX188" s="117"/>
      <c r="HGY188" s="117"/>
      <c r="HGZ188" s="117"/>
      <c r="HHA188" s="117"/>
      <c r="HHB188" s="117"/>
      <c r="HHC188" s="117"/>
      <c r="HHD188" s="117"/>
      <c r="HHE188" s="117"/>
      <c r="HHF188" s="117"/>
      <c r="HHG188" s="117"/>
      <c r="HHH188" s="117"/>
      <c r="HHI188" s="117"/>
      <c r="HHJ188" s="117"/>
      <c r="HHK188" s="117"/>
      <c r="HHL188" s="117"/>
      <c r="HHM188" s="117"/>
      <c r="HHN188" s="117"/>
      <c r="HHO188" s="117"/>
      <c r="HHP188" s="117"/>
      <c r="HHQ188" s="117"/>
      <c r="HHR188" s="117"/>
      <c r="HHS188" s="117"/>
      <c r="HHT188" s="117"/>
      <c r="HHU188" s="117"/>
      <c r="HHV188" s="117"/>
      <c r="HHW188" s="117"/>
      <c r="HHX188" s="117"/>
      <c r="HHY188" s="117"/>
      <c r="HHZ188" s="117"/>
      <c r="HIA188" s="117"/>
      <c r="HIB188" s="117"/>
      <c r="HIC188" s="117"/>
      <c r="HID188" s="117"/>
      <c r="HIE188" s="117"/>
      <c r="HIF188" s="117"/>
      <c r="HIG188" s="117"/>
      <c r="HIH188" s="117"/>
      <c r="HII188" s="117"/>
      <c r="HIJ188" s="117"/>
      <c r="HIK188" s="117"/>
      <c r="HIL188" s="117"/>
      <c r="HIM188" s="117"/>
      <c r="HIN188" s="117"/>
      <c r="HIO188" s="117"/>
      <c r="HIP188" s="117"/>
      <c r="HIQ188" s="117"/>
      <c r="HIR188" s="117"/>
      <c r="HIS188" s="117"/>
      <c r="HIT188" s="117"/>
      <c r="HIU188" s="117"/>
      <c r="HIV188" s="117"/>
      <c r="HIW188" s="117"/>
      <c r="HIX188" s="117"/>
      <c r="HIY188" s="117"/>
      <c r="HIZ188" s="117"/>
      <c r="HJA188" s="117"/>
      <c r="HJB188" s="117"/>
      <c r="HJC188" s="117"/>
      <c r="HJD188" s="117"/>
      <c r="HJE188" s="117"/>
      <c r="HJF188" s="117"/>
      <c r="HJG188" s="117"/>
      <c r="HJH188" s="117"/>
      <c r="HJI188" s="117"/>
      <c r="HJJ188" s="117"/>
      <c r="HJK188" s="117"/>
      <c r="HJL188" s="117"/>
      <c r="HJM188" s="117"/>
      <c r="HJN188" s="117"/>
      <c r="HJO188" s="117"/>
      <c r="HJP188" s="117"/>
      <c r="HJQ188" s="117"/>
      <c r="HJR188" s="117"/>
      <c r="HJS188" s="117"/>
      <c r="HJT188" s="117"/>
      <c r="HJU188" s="117"/>
      <c r="HJV188" s="117"/>
      <c r="HJW188" s="117"/>
      <c r="HJX188" s="117"/>
      <c r="HJY188" s="117"/>
      <c r="HJZ188" s="117"/>
      <c r="HKA188" s="117"/>
      <c r="HKB188" s="117"/>
      <c r="HKC188" s="117"/>
      <c r="HKD188" s="117"/>
      <c r="HKE188" s="117"/>
      <c r="HKF188" s="117"/>
      <c r="HKG188" s="117"/>
      <c r="HKH188" s="117"/>
      <c r="HKI188" s="117"/>
      <c r="HKJ188" s="117"/>
      <c r="HKK188" s="117"/>
      <c r="HKL188" s="117"/>
      <c r="HKM188" s="117"/>
      <c r="HKN188" s="117"/>
      <c r="HKO188" s="117"/>
      <c r="HKP188" s="117"/>
      <c r="HKQ188" s="117"/>
      <c r="HKR188" s="117"/>
      <c r="HKS188" s="117"/>
      <c r="HKT188" s="117"/>
      <c r="HKU188" s="117"/>
      <c r="HKV188" s="117"/>
      <c r="HKW188" s="117"/>
      <c r="HKX188" s="117"/>
      <c r="HKY188" s="117"/>
      <c r="HKZ188" s="117"/>
      <c r="HLA188" s="117"/>
      <c r="HLB188" s="117"/>
      <c r="HLC188" s="117"/>
      <c r="HLD188" s="117"/>
      <c r="HLE188" s="117"/>
      <c r="HLF188" s="117"/>
      <c r="HLG188" s="117"/>
      <c r="HLH188" s="117"/>
      <c r="HLI188" s="117"/>
      <c r="HLJ188" s="117"/>
      <c r="HLK188" s="117"/>
      <c r="HLL188" s="117"/>
      <c r="HLM188" s="117"/>
      <c r="HLN188" s="117"/>
      <c r="HLO188" s="117"/>
      <c r="HLP188" s="117"/>
      <c r="HLQ188" s="117"/>
      <c r="HLR188" s="117"/>
      <c r="HLS188" s="117"/>
      <c r="HLT188" s="117"/>
      <c r="HLU188" s="117"/>
      <c r="HLV188" s="117"/>
      <c r="HLW188" s="117"/>
      <c r="HLX188" s="117"/>
      <c r="HLY188" s="117"/>
      <c r="HLZ188" s="117"/>
      <c r="HMA188" s="117"/>
      <c r="HMB188" s="117"/>
      <c r="HMC188" s="117"/>
      <c r="HMD188" s="117"/>
      <c r="HME188" s="117"/>
      <c r="HMF188" s="117"/>
      <c r="HMG188" s="117"/>
      <c r="HMH188" s="117"/>
      <c r="HMI188" s="117"/>
      <c r="HMJ188" s="117"/>
      <c r="HMK188" s="117"/>
      <c r="HML188" s="117"/>
      <c r="HMM188" s="117"/>
      <c r="HMN188" s="117"/>
      <c r="HMO188" s="117"/>
      <c r="HMP188" s="117"/>
      <c r="HMQ188" s="117"/>
      <c r="HMR188" s="117"/>
      <c r="HMS188" s="117"/>
      <c r="HMT188" s="117"/>
      <c r="HMU188" s="117"/>
      <c r="HMV188" s="117"/>
      <c r="HMW188" s="117"/>
      <c r="HMX188" s="117"/>
      <c r="HMY188" s="117"/>
      <c r="HMZ188" s="117"/>
      <c r="HNA188" s="117"/>
      <c r="HNB188" s="117"/>
      <c r="HNC188" s="117"/>
      <c r="HND188" s="117"/>
      <c r="HNE188" s="117"/>
      <c r="HNF188" s="117"/>
      <c r="HNG188" s="117"/>
      <c r="HNH188" s="117"/>
      <c r="HNI188" s="117"/>
      <c r="HNJ188" s="117"/>
      <c r="HNK188" s="117"/>
      <c r="HNL188" s="117"/>
      <c r="HNM188" s="117"/>
      <c r="HNN188" s="117"/>
      <c r="HNO188" s="117"/>
      <c r="HNP188" s="117"/>
      <c r="HNQ188" s="117"/>
      <c r="HNR188" s="117"/>
      <c r="HNS188" s="117"/>
      <c r="HNT188" s="117"/>
      <c r="HNU188" s="117"/>
      <c r="HNV188" s="117"/>
      <c r="HNW188" s="117"/>
      <c r="HNX188" s="117"/>
      <c r="HNY188" s="117"/>
      <c r="HNZ188" s="117"/>
      <c r="HOA188" s="117"/>
      <c r="HOB188" s="117"/>
      <c r="HOC188" s="117"/>
      <c r="HOD188" s="117"/>
      <c r="HOE188" s="117"/>
      <c r="HOF188" s="117"/>
      <c r="HOG188" s="117"/>
      <c r="HOH188" s="117"/>
      <c r="HOI188" s="117"/>
      <c r="HOJ188" s="117"/>
      <c r="HOK188" s="117"/>
      <c r="HOL188" s="117"/>
      <c r="HOM188" s="117"/>
      <c r="HON188" s="117"/>
      <c r="HOO188" s="117"/>
      <c r="HOP188" s="117"/>
      <c r="HOQ188" s="117"/>
      <c r="HOR188" s="117"/>
      <c r="HOS188" s="117"/>
      <c r="HOT188" s="117"/>
      <c r="HOU188" s="117"/>
      <c r="HOV188" s="117"/>
      <c r="HOW188" s="117"/>
      <c r="HOX188" s="117"/>
      <c r="HOY188" s="117"/>
      <c r="HOZ188" s="117"/>
      <c r="HPA188" s="117"/>
      <c r="HPB188" s="117"/>
      <c r="HPC188" s="117"/>
      <c r="HPD188" s="117"/>
      <c r="HPE188" s="117"/>
      <c r="HPF188" s="117"/>
      <c r="HPG188" s="117"/>
      <c r="HPH188" s="117"/>
      <c r="HPI188" s="117"/>
      <c r="HPJ188" s="117"/>
      <c r="HPK188" s="117"/>
      <c r="HPL188" s="117"/>
      <c r="HPM188" s="117"/>
      <c r="HPN188" s="117"/>
      <c r="HPO188" s="117"/>
      <c r="HPP188" s="117"/>
      <c r="HPQ188" s="117"/>
      <c r="HPR188" s="117"/>
      <c r="HPS188" s="117"/>
      <c r="HPT188" s="117"/>
      <c r="HPU188" s="117"/>
      <c r="HPV188" s="117"/>
      <c r="HPW188" s="117"/>
      <c r="HPX188" s="117"/>
      <c r="HPY188" s="117"/>
      <c r="HPZ188" s="117"/>
      <c r="HQA188" s="117"/>
      <c r="HQB188" s="117"/>
      <c r="HQC188" s="117"/>
      <c r="HQD188" s="117"/>
      <c r="HQE188" s="117"/>
      <c r="HQF188" s="117"/>
      <c r="HQG188" s="117"/>
      <c r="HQH188" s="117"/>
      <c r="HQI188" s="117"/>
      <c r="HQJ188" s="117"/>
      <c r="HQK188" s="117"/>
      <c r="HQL188" s="117"/>
      <c r="HQM188" s="117"/>
      <c r="HQN188" s="117"/>
      <c r="HQO188" s="117"/>
      <c r="HQP188" s="117"/>
      <c r="HQQ188" s="117"/>
      <c r="HQR188" s="117"/>
      <c r="HQS188" s="117"/>
      <c r="HQT188" s="117"/>
      <c r="HQU188" s="117"/>
      <c r="HQV188" s="117"/>
      <c r="HQW188" s="117"/>
      <c r="HQX188" s="117"/>
      <c r="HQY188" s="117"/>
      <c r="HQZ188" s="117"/>
      <c r="HRA188" s="117"/>
      <c r="HRB188" s="117"/>
      <c r="HRC188" s="117"/>
      <c r="HRD188" s="117"/>
      <c r="HRE188" s="117"/>
      <c r="HRF188" s="117"/>
      <c r="HRG188" s="117"/>
      <c r="HRH188" s="117"/>
      <c r="HRI188" s="117"/>
      <c r="HRJ188" s="117"/>
      <c r="HRK188" s="117"/>
      <c r="HRL188" s="117"/>
      <c r="HRM188" s="117"/>
      <c r="HRN188" s="117"/>
      <c r="HRO188" s="117"/>
      <c r="HRP188" s="117"/>
      <c r="HRQ188" s="117"/>
      <c r="HRR188" s="117"/>
      <c r="HRS188" s="117"/>
      <c r="HRT188" s="117"/>
      <c r="HRU188" s="117"/>
      <c r="HRV188" s="117"/>
      <c r="HRW188" s="117"/>
      <c r="HRX188" s="117"/>
      <c r="HRY188" s="117"/>
      <c r="HRZ188" s="117"/>
      <c r="HSA188" s="117"/>
      <c r="HSB188" s="117"/>
      <c r="HSC188" s="117"/>
      <c r="HSD188" s="117"/>
      <c r="HSE188" s="117"/>
      <c r="HSF188" s="117"/>
      <c r="HSG188" s="117"/>
      <c r="HSH188" s="117"/>
      <c r="HSI188" s="117"/>
      <c r="HSJ188" s="117"/>
      <c r="HSK188" s="117"/>
      <c r="HSL188" s="117"/>
      <c r="HSM188" s="117"/>
      <c r="HSN188" s="117"/>
      <c r="HSO188" s="117"/>
      <c r="HSP188" s="117"/>
      <c r="HSQ188" s="117"/>
      <c r="HSR188" s="117"/>
      <c r="HSS188" s="117"/>
      <c r="HST188" s="117"/>
      <c r="HSU188" s="117"/>
      <c r="HSV188" s="117"/>
      <c r="HSW188" s="117"/>
      <c r="HSX188" s="117"/>
      <c r="HSY188" s="117"/>
      <c r="HSZ188" s="117"/>
      <c r="HTA188" s="117"/>
      <c r="HTB188" s="117"/>
      <c r="HTC188" s="117"/>
      <c r="HTD188" s="117"/>
      <c r="HTE188" s="117"/>
      <c r="HTF188" s="117"/>
      <c r="HTG188" s="117"/>
      <c r="HTH188" s="117"/>
      <c r="HTI188" s="117"/>
      <c r="HTJ188" s="117"/>
      <c r="HTK188" s="117"/>
      <c r="HTL188" s="117"/>
      <c r="HTM188" s="117"/>
      <c r="HTN188" s="117"/>
      <c r="HTO188" s="117"/>
      <c r="HTP188" s="117"/>
      <c r="HTQ188" s="117"/>
      <c r="HTR188" s="117"/>
      <c r="HTS188" s="117"/>
      <c r="HTT188" s="117"/>
      <c r="HTU188" s="117"/>
      <c r="HTV188" s="117"/>
      <c r="HTW188" s="117"/>
      <c r="HTX188" s="117"/>
      <c r="HTY188" s="117"/>
      <c r="HTZ188" s="117"/>
      <c r="HUA188" s="117"/>
      <c r="HUB188" s="117"/>
      <c r="HUC188" s="117"/>
      <c r="HUD188" s="117"/>
      <c r="HUE188" s="117"/>
      <c r="HUF188" s="117"/>
      <c r="HUG188" s="117"/>
      <c r="HUH188" s="117"/>
      <c r="HUI188" s="117"/>
      <c r="HUJ188" s="117"/>
      <c r="HUK188" s="117"/>
      <c r="HUL188" s="117"/>
      <c r="HUM188" s="117"/>
      <c r="HUN188" s="117"/>
      <c r="HUO188" s="117"/>
      <c r="HUP188" s="117"/>
      <c r="HUQ188" s="117"/>
      <c r="HUR188" s="117"/>
      <c r="HUS188" s="117"/>
      <c r="HUT188" s="117"/>
      <c r="HUU188" s="117"/>
      <c r="HUV188" s="117"/>
      <c r="HUW188" s="117"/>
      <c r="HUX188" s="117"/>
      <c r="HUY188" s="117"/>
      <c r="HUZ188" s="117"/>
      <c r="HVA188" s="117"/>
      <c r="HVB188" s="117"/>
      <c r="HVC188" s="117"/>
      <c r="HVD188" s="117"/>
      <c r="HVE188" s="117"/>
      <c r="HVF188" s="117"/>
      <c r="HVG188" s="117"/>
      <c r="HVH188" s="117"/>
      <c r="HVI188" s="117"/>
      <c r="HVJ188" s="117"/>
      <c r="HVK188" s="117"/>
      <c r="HVL188" s="117"/>
      <c r="HVM188" s="117"/>
      <c r="HVN188" s="117"/>
      <c r="HVO188" s="117"/>
      <c r="HVP188" s="117"/>
      <c r="HVQ188" s="117"/>
      <c r="HVR188" s="117"/>
      <c r="HVS188" s="117"/>
      <c r="HVT188" s="117"/>
      <c r="HVU188" s="117"/>
      <c r="HVV188" s="117"/>
      <c r="HVW188" s="117"/>
      <c r="HVX188" s="117"/>
      <c r="HVY188" s="117"/>
      <c r="HVZ188" s="117"/>
      <c r="HWA188" s="117"/>
      <c r="HWB188" s="117"/>
      <c r="HWC188" s="117"/>
      <c r="HWD188" s="117"/>
      <c r="HWE188" s="117"/>
      <c r="HWF188" s="117"/>
      <c r="HWG188" s="117"/>
      <c r="HWH188" s="117"/>
      <c r="HWI188" s="117"/>
      <c r="HWJ188" s="117"/>
      <c r="HWK188" s="117"/>
      <c r="HWL188" s="117"/>
      <c r="HWM188" s="117"/>
      <c r="HWN188" s="117"/>
      <c r="HWO188" s="117"/>
      <c r="HWP188" s="117"/>
      <c r="HWQ188" s="117"/>
      <c r="HWR188" s="117"/>
      <c r="HWS188" s="117"/>
      <c r="HWT188" s="117"/>
      <c r="HWU188" s="117"/>
      <c r="HWV188" s="117"/>
      <c r="HWW188" s="117"/>
      <c r="HWX188" s="117"/>
      <c r="HWY188" s="117"/>
      <c r="HWZ188" s="117"/>
      <c r="HXA188" s="117"/>
      <c r="HXB188" s="117"/>
      <c r="HXC188" s="117"/>
      <c r="HXD188" s="117"/>
      <c r="HXE188" s="117"/>
      <c r="HXF188" s="117"/>
      <c r="HXG188" s="117"/>
      <c r="HXH188" s="117"/>
      <c r="HXI188" s="117"/>
      <c r="HXJ188" s="117"/>
      <c r="HXK188" s="117"/>
      <c r="HXL188" s="117"/>
      <c r="HXM188" s="117"/>
      <c r="HXN188" s="117"/>
      <c r="HXO188" s="117"/>
      <c r="HXP188" s="117"/>
      <c r="HXQ188" s="117"/>
      <c r="HXR188" s="117"/>
      <c r="HXS188" s="117"/>
      <c r="HXT188" s="117"/>
      <c r="HXU188" s="117"/>
      <c r="HXV188" s="117"/>
      <c r="HXW188" s="117"/>
      <c r="HXX188" s="117"/>
      <c r="HXY188" s="117"/>
      <c r="HXZ188" s="117"/>
      <c r="HYA188" s="117"/>
      <c r="HYB188" s="117"/>
      <c r="HYC188" s="117"/>
      <c r="HYD188" s="117"/>
      <c r="HYE188" s="117"/>
      <c r="HYF188" s="117"/>
      <c r="HYG188" s="117"/>
      <c r="HYH188" s="117"/>
      <c r="HYI188" s="117"/>
      <c r="HYJ188" s="117"/>
      <c r="HYK188" s="117"/>
      <c r="HYL188" s="117"/>
      <c r="HYM188" s="117"/>
      <c r="HYN188" s="117"/>
      <c r="HYO188" s="117"/>
      <c r="HYP188" s="117"/>
      <c r="HYQ188" s="117"/>
      <c r="HYR188" s="117"/>
      <c r="HYS188" s="117"/>
      <c r="HYT188" s="117"/>
      <c r="HYU188" s="117"/>
      <c r="HYV188" s="117"/>
      <c r="HYW188" s="117"/>
      <c r="HYX188" s="117"/>
      <c r="HYY188" s="117"/>
      <c r="HYZ188" s="117"/>
      <c r="HZA188" s="117"/>
      <c r="HZB188" s="117"/>
      <c r="HZC188" s="117"/>
      <c r="HZD188" s="117"/>
      <c r="HZE188" s="117"/>
      <c r="HZF188" s="117"/>
      <c r="HZG188" s="117"/>
      <c r="HZH188" s="117"/>
      <c r="HZI188" s="117"/>
      <c r="HZJ188" s="117"/>
      <c r="HZK188" s="117"/>
      <c r="HZL188" s="117"/>
      <c r="HZM188" s="117"/>
      <c r="HZN188" s="117"/>
      <c r="HZO188" s="117"/>
      <c r="HZP188" s="117"/>
      <c r="HZQ188" s="117"/>
      <c r="HZR188" s="117"/>
      <c r="HZS188" s="117"/>
      <c r="HZT188" s="117"/>
      <c r="HZU188" s="117"/>
      <c r="HZV188" s="117"/>
      <c r="HZW188" s="117"/>
      <c r="HZX188" s="117"/>
      <c r="HZY188" s="117"/>
      <c r="HZZ188" s="117"/>
      <c r="IAA188" s="117"/>
      <c r="IAB188" s="117"/>
      <c r="IAC188" s="117"/>
      <c r="IAD188" s="117"/>
      <c r="IAE188" s="117"/>
      <c r="IAF188" s="117"/>
      <c r="IAG188" s="117"/>
      <c r="IAH188" s="117"/>
      <c r="IAI188" s="117"/>
      <c r="IAJ188" s="117"/>
      <c r="IAK188" s="117"/>
      <c r="IAL188" s="117"/>
      <c r="IAM188" s="117"/>
      <c r="IAN188" s="117"/>
      <c r="IAO188" s="117"/>
      <c r="IAP188" s="117"/>
      <c r="IAQ188" s="117"/>
      <c r="IAR188" s="117"/>
      <c r="IAS188" s="117"/>
      <c r="IAT188" s="117"/>
      <c r="IAU188" s="117"/>
      <c r="IAV188" s="117"/>
      <c r="IAW188" s="117"/>
      <c r="IAX188" s="117"/>
      <c r="IAY188" s="117"/>
      <c r="IAZ188" s="117"/>
      <c r="IBA188" s="117"/>
      <c r="IBB188" s="117"/>
      <c r="IBC188" s="117"/>
      <c r="IBD188" s="117"/>
      <c r="IBE188" s="117"/>
      <c r="IBF188" s="117"/>
      <c r="IBG188" s="117"/>
      <c r="IBH188" s="117"/>
      <c r="IBI188" s="117"/>
      <c r="IBJ188" s="117"/>
      <c r="IBK188" s="117"/>
      <c r="IBL188" s="117"/>
      <c r="IBM188" s="117"/>
      <c r="IBN188" s="117"/>
      <c r="IBO188" s="117"/>
      <c r="IBP188" s="117"/>
      <c r="IBQ188" s="117"/>
      <c r="IBR188" s="117"/>
      <c r="IBS188" s="117"/>
      <c r="IBT188" s="117"/>
      <c r="IBU188" s="117"/>
      <c r="IBV188" s="117"/>
      <c r="IBW188" s="117"/>
      <c r="IBX188" s="117"/>
      <c r="IBY188" s="117"/>
      <c r="IBZ188" s="117"/>
      <c r="ICA188" s="117"/>
      <c r="ICB188" s="117"/>
      <c r="ICC188" s="117"/>
      <c r="ICD188" s="117"/>
      <c r="ICE188" s="117"/>
      <c r="ICF188" s="117"/>
      <c r="ICG188" s="117"/>
      <c r="ICH188" s="117"/>
      <c r="ICI188" s="117"/>
      <c r="ICJ188" s="117"/>
      <c r="ICK188" s="117"/>
      <c r="ICL188" s="117"/>
      <c r="ICM188" s="117"/>
      <c r="ICN188" s="117"/>
      <c r="ICO188" s="117"/>
      <c r="ICP188" s="117"/>
      <c r="ICQ188" s="117"/>
      <c r="ICR188" s="117"/>
      <c r="ICS188" s="117"/>
      <c r="ICT188" s="117"/>
      <c r="ICU188" s="117"/>
      <c r="ICV188" s="117"/>
      <c r="ICW188" s="117"/>
      <c r="ICX188" s="117"/>
      <c r="ICY188" s="117"/>
      <c r="ICZ188" s="117"/>
      <c r="IDA188" s="117"/>
      <c r="IDB188" s="117"/>
      <c r="IDC188" s="117"/>
      <c r="IDD188" s="117"/>
      <c r="IDE188" s="117"/>
      <c r="IDF188" s="117"/>
      <c r="IDG188" s="117"/>
      <c r="IDH188" s="117"/>
      <c r="IDI188" s="117"/>
      <c r="IDJ188" s="117"/>
      <c r="IDK188" s="117"/>
      <c r="IDL188" s="117"/>
      <c r="IDM188" s="117"/>
      <c r="IDN188" s="117"/>
      <c r="IDO188" s="117"/>
      <c r="IDP188" s="117"/>
      <c r="IDQ188" s="117"/>
      <c r="IDR188" s="117"/>
      <c r="IDS188" s="117"/>
      <c r="IDT188" s="117"/>
      <c r="IDU188" s="117"/>
      <c r="IDV188" s="117"/>
      <c r="IDW188" s="117"/>
      <c r="IDX188" s="117"/>
      <c r="IDY188" s="117"/>
      <c r="IDZ188" s="117"/>
      <c r="IEA188" s="117"/>
      <c r="IEB188" s="117"/>
      <c r="IEC188" s="117"/>
      <c r="IED188" s="117"/>
      <c r="IEE188" s="117"/>
      <c r="IEF188" s="117"/>
      <c r="IEG188" s="117"/>
      <c r="IEH188" s="117"/>
      <c r="IEI188" s="117"/>
      <c r="IEJ188" s="117"/>
      <c r="IEK188" s="117"/>
      <c r="IEL188" s="117"/>
      <c r="IEM188" s="117"/>
      <c r="IEN188" s="117"/>
      <c r="IEO188" s="117"/>
      <c r="IEP188" s="117"/>
      <c r="IEQ188" s="117"/>
      <c r="IER188" s="117"/>
      <c r="IES188" s="117"/>
      <c r="IET188" s="117"/>
      <c r="IEU188" s="117"/>
      <c r="IEV188" s="117"/>
      <c r="IEW188" s="117"/>
      <c r="IEX188" s="117"/>
      <c r="IEY188" s="117"/>
      <c r="IEZ188" s="117"/>
      <c r="IFA188" s="117"/>
      <c r="IFB188" s="117"/>
      <c r="IFC188" s="117"/>
      <c r="IFD188" s="117"/>
      <c r="IFE188" s="117"/>
      <c r="IFF188" s="117"/>
      <c r="IFG188" s="117"/>
      <c r="IFH188" s="117"/>
      <c r="IFI188" s="117"/>
      <c r="IFJ188" s="117"/>
      <c r="IFK188" s="117"/>
      <c r="IFL188" s="117"/>
      <c r="IFM188" s="117"/>
      <c r="IFN188" s="117"/>
      <c r="IFO188" s="117"/>
      <c r="IFP188" s="117"/>
      <c r="IFQ188" s="117"/>
      <c r="IFR188" s="117"/>
      <c r="IFS188" s="117"/>
      <c r="IFT188" s="117"/>
      <c r="IFU188" s="117"/>
      <c r="IFV188" s="117"/>
      <c r="IFW188" s="117"/>
      <c r="IFX188" s="117"/>
      <c r="IFY188" s="117"/>
      <c r="IFZ188" s="117"/>
      <c r="IGA188" s="117"/>
      <c r="IGB188" s="117"/>
      <c r="IGC188" s="117"/>
      <c r="IGD188" s="117"/>
      <c r="IGE188" s="117"/>
      <c r="IGF188" s="117"/>
      <c r="IGG188" s="117"/>
      <c r="IGH188" s="117"/>
      <c r="IGI188" s="117"/>
      <c r="IGJ188" s="117"/>
      <c r="IGK188" s="117"/>
      <c r="IGL188" s="117"/>
      <c r="IGM188" s="117"/>
      <c r="IGN188" s="117"/>
      <c r="IGO188" s="117"/>
      <c r="IGP188" s="117"/>
      <c r="IGQ188" s="117"/>
      <c r="IGR188" s="117"/>
      <c r="IGS188" s="117"/>
      <c r="IGT188" s="117"/>
      <c r="IGU188" s="117"/>
      <c r="IGV188" s="117"/>
      <c r="IGW188" s="117"/>
      <c r="IGX188" s="117"/>
      <c r="IGY188" s="117"/>
      <c r="IGZ188" s="117"/>
      <c r="IHA188" s="117"/>
      <c r="IHB188" s="117"/>
      <c r="IHC188" s="117"/>
      <c r="IHD188" s="117"/>
      <c r="IHE188" s="117"/>
      <c r="IHF188" s="117"/>
      <c r="IHG188" s="117"/>
      <c r="IHH188" s="117"/>
      <c r="IHI188" s="117"/>
      <c r="IHJ188" s="117"/>
      <c r="IHK188" s="117"/>
      <c r="IHL188" s="117"/>
      <c r="IHM188" s="117"/>
      <c r="IHN188" s="117"/>
      <c r="IHO188" s="117"/>
      <c r="IHP188" s="117"/>
      <c r="IHQ188" s="117"/>
      <c r="IHR188" s="117"/>
      <c r="IHS188" s="117"/>
      <c r="IHT188" s="117"/>
      <c r="IHU188" s="117"/>
      <c r="IHV188" s="117"/>
      <c r="IHW188" s="117"/>
      <c r="IHX188" s="117"/>
      <c r="IHY188" s="117"/>
      <c r="IHZ188" s="117"/>
      <c r="IIA188" s="117"/>
      <c r="IIB188" s="117"/>
      <c r="IIC188" s="117"/>
      <c r="IID188" s="117"/>
      <c r="IIE188" s="117"/>
      <c r="IIF188" s="117"/>
      <c r="IIG188" s="117"/>
      <c r="IIH188" s="117"/>
      <c r="III188" s="117"/>
      <c r="IIJ188" s="117"/>
      <c r="IIK188" s="117"/>
      <c r="IIL188" s="117"/>
      <c r="IIM188" s="117"/>
      <c r="IIN188" s="117"/>
      <c r="IIO188" s="117"/>
      <c r="IIP188" s="117"/>
      <c r="IIQ188" s="117"/>
      <c r="IIR188" s="117"/>
      <c r="IIS188" s="117"/>
      <c r="IIT188" s="117"/>
      <c r="IIU188" s="117"/>
      <c r="IIV188" s="117"/>
      <c r="IIW188" s="117"/>
      <c r="IIX188" s="117"/>
      <c r="IIY188" s="117"/>
      <c r="IIZ188" s="117"/>
      <c r="IJA188" s="117"/>
      <c r="IJB188" s="117"/>
      <c r="IJC188" s="117"/>
      <c r="IJD188" s="117"/>
      <c r="IJE188" s="117"/>
      <c r="IJF188" s="117"/>
      <c r="IJG188" s="117"/>
      <c r="IJH188" s="117"/>
      <c r="IJI188" s="117"/>
      <c r="IJJ188" s="117"/>
      <c r="IJK188" s="117"/>
      <c r="IJL188" s="117"/>
      <c r="IJM188" s="117"/>
      <c r="IJN188" s="117"/>
      <c r="IJO188" s="117"/>
      <c r="IJP188" s="117"/>
      <c r="IJQ188" s="117"/>
      <c r="IJR188" s="117"/>
      <c r="IJS188" s="117"/>
      <c r="IJT188" s="117"/>
      <c r="IJU188" s="117"/>
      <c r="IJV188" s="117"/>
      <c r="IJW188" s="117"/>
      <c r="IJX188" s="117"/>
      <c r="IJY188" s="117"/>
      <c r="IJZ188" s="117"/>
      <c r="IKA188" s="117"/>
      <c r="IKB188" s="117"/>
      <c r="IKC188" s="117"/>
      <c r="IKD188" s="117"/>
      <c r="IKE188" s="117"/>
      <c r="IKF188" s="117"/>
      <c r="IKG188" s="117"/>
      <c r="IKH188" s="117"/>
      <c r="IKI188" s="117"/>
      <c r="IKJ188" s="117"/>
      <c r="IKK188" s="117"/>
      <c r="IKL188" s="117"/>
      <c r="IKM188" s="117"/>
      <c r="IKN188" s="117"/>
      <c r="IKO188" s="117"/>
      <c r="IKP188" s="117"/>
      <c r="IKQ188" s="117"/>
      <c r="IKR188" s="117"/>
      <c r="IKS188" s="117"/>
      <c r="IKT188" s="117"/>
      <c r="IKU188" s="117"/>
      <c r="IKV188" s="117"/>
      <c r="IKW188" s="117"/>
      <c r="IKX188" s="117"/>
      <c r="IKY188" s="117"/>
      <c r="IKZ188" s="117"/>
      <c r="ILA188" s="117"/>
      <c r="ILB188" s="117"/>
      <c r="ILC188" s="117"/>
      <c r="ILD188" s="117"/>
      <c r="ILE188" s="117"/>
      <c r="ILF188" s="117"/>
      <c r="ILG188" s="117"/>
      <c r="ILH188" s="117"/>
      <c r="ILI188" s="117"/>
      <c r="ILJ188" s="117"/>
      <c r="ILK188" s="117"/>
      <c r="ILL188" s="117"/>
      <c r="ILM188" s="117"/>
      <c r="ILN188" s="117"/>
      <c r="ILO188" s="117"/>
      <c r="ILP188" s="117"/>
      <c r="ILQ188" s="117"/>
      <c r="ILR188" s="117"/>
      <c r="ILS188" s="117"/>
      <c r="ILT188" s="117"/>
      <c r="ILU188" s="117"/>
      <c r="ILV188" s="117"/>
      <c r="ILW188" s="117"/>
      <c r="ILX188" s="117"/>
      <c r="ILY188" s="117"/>
      <c r="ILZ188" s="117"/>
      <c r="IMA188" s="117"/>
      <c r="IMB188" s="117"/>
      <c r="IMC188" s="117"/>
      <c r="IMD188" s="117"/>
      <c r="IME188" s="117"/>
      <c r="IMF188" s="117"/>
      <c r="IMG188" s="117"/>
      <c r="IMH188" s="117"/>
      <c r="IMI188" s="117"/>
      <c r="IMJ188" s="117"/>
      <c r="IMK188" s="117"/>
      <c r="IML188" s="117"/>
      <c r="IMM188" s="117"/>
      <c r="IMN188" s="117"/>
      <c r="IMO188" s="117"/>
      <c r="IMP188" s="117"/>
      <c r="IMQ188" s="117"/>
      <c r="IMR188" s="117"/>
      <c r="IMS188" s="117"/>
      <c r="IMT188" s="117"/>
      <c r="IMU188" s="117"/>
      <c r="IMV188" s="117"/>
      <c r="IMW188" s="117"/>
      <c r="IMX188" s="117"/>
      <c r="IMY188" s="117"/>
      <c r="IMZ188" s="117"/>
      <c r="INA188" s="117"/>
      <c r="INB188" s="117"/>
      <c r="INC188" s="117"/>
      <c r="IND188" s="117"/>
      <c r="INE188" s="117"/>
      <c r="INF188" s="117"/>
      <c r="ING188" s="117"/>
      <c r="INH188" s="117"/>
      <c r="INI188" s="117"/>
      <c r="INJ188" s="117"/>
      <c r="INK188" s="117"/>
      <c r="INL188" s="117"/>
      <c r="INM188" s="117"/>
      <c r="INN188" s="117"/>
      <c r="INO188" s="117"/>
      <c r="INP188" s="117"/>
      <c r="INQ188" s="117"/>
      <c r="INR188" s="117"/>
      <c r="INS188" s="117"/>
      <c r="INT188" s="117"/>
      <c r="INU188" s="117"/>
      <c r="INV188" s="117"/>
      <c r="INW188" s="117"/>
      <c r="INX188" s="117"/>
      <c r="INY188" s="117"/>
      <c r="INZ188" s="117"/>
      <c r="IOA188" s="117"/>
      <c r="IOB188" s="117"/>
      <c r="IOC188" s="117"/>
      <c r="IOD188" s="117"/>
      <c r="IOE188" s="117"/>
      <c r="IOF188" s="117"/>
      <c r="IOG188" s="117"/>
      <c r="IOH188" s="117"/>
      <c r="IOI188" s="117"/>
      <c r="IOJ188" s="117"/>
      <c r="IOK188" s="117"/>
      <c r="IOL188" s="117"/>
      <c r="IOM188" s="117"/>
      <c r="ION188" s="117"/>
      <c r="IOO188" s="117"/>
      <c r="IOP188" s="117"/>
      <c r="IOQ188" s="117"/>
      <c r="IOR188" s="117"/>
      <c r="IOS188" s="117"/>
      <c r="IOT188" s="117"/>
      <c r="IOU188" s="117"/>
      <c r="IOV188" s="117"/>
      <c r="IOW188" s="117"/>
      <c r="IOX188" s="117"/>
      <c r="IOY188" s="117"/>
      <c r="IOZ188" s="117"/>
      <c r="IPA188" s="117"/>
      <c r="IPB188" s="117"/>
      <c r="IPC188" s="117"/>
      <c r="IPD188" s="117"/>
      <c r="IPE188" s="117"/>
      <c r="IPF188" s="117"/>
      <c r="IPG188" s="117"/>
      <c r="IPH188" s="117"/>
      <c r="IPI188" s="117"/>
      <c r="IPJ188" s="117"/>
      <c r="IPK188" s="117"/>
      <c r="IPL188" s="117"/>
      <c r="IPM188" s="117"/>
      <c r="IPN188" s="117"/>
      <c r="IPO188" s="117"/>
      <c r="IPP188" s="117"/>
      <c r="IPQ188" s="117"/>
      <c r="IPR188" s="117"/>
      <c r="IPS188" s="117"/>
      <c r="IPT188" s="117"/>
      <c r="IPU188" s="117"/>
      <c r="IPV188" s="117"/>
      <c r="IPW188" s="117"/>
      <c r="IPX188" s="117"/>
      <c r="IPY188" s="117"/>
      <c r="IPZ188" s="117"/>
      <c r="IQA188" s="117"/>
      <c r="IQB188" s="117"/>
      <c r="IQC188" s="117"/>
      <c r="IQD188" s="117"/>
      <c r="IQE188" s="117"/>
      <c r="IQF188" s="117"/>
      <c r="IQG188" s="117"/>
      <c r="IQH188" s="117"/>
      <c r="IQI188" s="117"/>
      <c r="IQJ188" s="117"/>
      <c r="IQK188" s="117"/>
      <c r="IQL188" s="117"/>
      <c r="IQM188" s="117"/>
      <c r="IQN188" s="117"/>
      <c r="IQO188" s="117"/>
      <c r="IQP188" s="117"/>
      <c r="IQQ188" s="117"/>
      <c r="IQR188" s="117"/>
      <c r="IQS188" s="117"/>
      <c r="IQT188" s="117"/>
      <c r="IQU188" s="117"/>
      <c r="IQV188" s="117"/>
      <c r="IQW188" s="117"/>
      <c r="IQX188" s="117"/>
      <c r="IQY188" s="117"/>
      <c r="IQZ188" s="117"/>
      <c r="IRA188" s="117"/>
      <c r="IRB188" s="117"/>
      <c r="IRC188" s="117"/>
      <c r="IRD188" s="117"/>
      <c r="IRE188" s="117"/>
      <c r="IRF188" s="117"/>
      <c r="IRG188" s="117"/>
      <c r="IRH188" s="117"/>
      <c r="IRI188" s="117"/>
      <c r="IRJ188" s="117"/>
      <c r="IRK188" s="117"/>
      <c r="IRL188" s="117"/>
      <c r="IRM188" s="117"/>
      <c r="IRN188" s="117"/>
      <c r="IRO188" s="117"/>
      <c r="IRP188" s="117"/>
      <c r="IRQ188" s="117"/>
      <c r="IRR188" s="117"/>
      <c r="IRS188" s="117"/>
      <c r="IRT188" s="117"/>
      <c r="IRU188" s="117"/>
      <c r="IRV188" s="117"/>
      <c r="IRW188" s="117"/>
      <c r="IRX188" s="117"/>
      <c r="IRY188" s="117"/>
      <c r="IRZ188" s="117"/>
      <c r="ISA188" s="117"/>
      <c r="ISB188" s="117"/>
      <c r="ISC188" s="117"/>
      <c r="ISD188" s="117"/>
      <c r="ISE188" s="117"/>
      <c r="ISF188" s="117"/>
      <c r="ISG188" s="117"/>
      <c r="ISH188" s="117"/>
      <c r="ISI188" s="117"/>
      <c r="ISJ188" s="117"/>
      <c r="ISK188" s="117"/>
      <c r="ISL188" s="117"/>
      <c r="ISM188" s="117"/>
      <c r="ISN188" s="117"/>
      <c r="ISO188" s="117"/>
      <c r="ISP188" s="117"/>
      <c r="ISQ188" s="117"/>
      <c r="ISR188" s="117"/>
      <c r="ISS188" s="117"/>
      <c r="IST188" s="117"/>
      <c r="ISU188" s="117"/>
      <c r="ISV188" s="117"/>
      <c r="ISW188" s="117"/>
      <c r="ISX188" s="117"/>
      <c r="ISY188" s="117"/>
      <c r="ISZ188" s="117"/>
      <c r="ITA188" s="117"/>
      <c r="ITB188" s="117"/>
      <c r="ITC188" s="117"/>
      <c r="ITD188" s="117"/>
      <c r="ITE188" s="117"/>
      <c r="ITF188" s="117"/>
      <c r="ITG188" s="117"/>
      <c r="ITH188" s="117"/>
      <c r="ITI188" s="117"/>
      <c r="ITJ188" s="117"/>
      <c r="ITK188" s="117"/>
      <c r="ITL188" s="117"/>
      <c r="ITM188" s="117"/>
      <c r="ITN188" s="117"/>
      <c r="ITO188" s="117"/>
      <c r="ITP188" s="117"/>
      <c r="ITQ188" s="117"/>
      <c r="ITR188" s="117"/>
      <c r="ITS188" s="117"/>
      <c r="ITT188" s="117"/>
      <c r="ITU188" s="117"/>
      <c r="ITV188" s="117"/>
      <c r="ITW188" s="117"/>
      <c r="ITX188" s="117"/>
      <c r="ITY188" s="117"/>
      <c r="ITZ188" s="117"/>
      <c r="IUA188" s="117"/>
      <c r="IUB188" s="117"/>
      <c r="IUC188" s="117"/>
      <c r="IUD188" s="117"/>
      <c r="IUE188" s="117"/>
      <c r="IUF188" s="117"/>
      <c r="IUG188" s="117"/>
      <c r="IUH188" s="117"/>
      <c r="IUI188" s="117"/>
      <c r="IUJ188" s="117"/>
      <c r="IUK188" s="117"/>
      <c r="IUL188" s="117"/>
      <c r="IUM188" s="117"/>
      <c r="IUN188" s="117"/>
      <c r="IUO188" s="117"/>
      <c r="IUP188" s="117"/>
      <c r="IUQ188" s="117"/>
      <c r="IUR188" s="117"/>
      <c r="IUS188" s="117"/>
      <c r="IUT188" s="117"/>
      <c r="IUU188" s="117"/>
      <c r="IUV188" s="117"/>
      <c r="IUW188" s="117"/>
      <c r="IUX188" s="117"/>
      <c r="IUY188" s="117"/>
      <c r="IUZ188" s="117"/>
      <c r="IVA188" s="117"/>
      <c r="IVB188" s="117"/>
      <c r="IVC188" s="117"/>
      <c r="IVD188" s="117"/>
      <c r="IVE188" s="117"/>
      <c r="IVF188" s="117"/>
      <c r="IVG188" s="117"/>
      <c r="IVH188" s="117"/>
      <c r="IVI188" s="117"/>
      <c r="IVJ188" s="117"/>
      <c r="IVK188" s="117"/>
      <c r="IVL188" s="117"/>
      <c r="IVM188" s="117"/>
      <c r="IVN188" s="117"/>
      <c r="IVO188" s="117"/>
      <c r="IVP188" s="117"/>
      <c r="IVQ188" s="117"/>
      <c r="IVR188" s="117"/>
      <c r="IVS188" s="117"/>
      <c r="IVT188" s="117"/>
      <c r="IVU188" s="117"/>
      <c r="IVV188" s="117"/>
      <c r="IVW188" s="117"/>
      <c r="IVX188" s="117"/>
      <c r="IVY188" s="117"/>
      <c r="IVZ188" s="117"/>
      <c r="IWA188" s="117"/>
      <c r="IWB188" s="117"/>
      <c r="IWC188" s="117"/>
      <c r="IWD188" s="117"/>
      <c r="IWE188" s="117"/>
      <c r="IWF188" s="117"/>
      <c r="IWG188" s="117"/>
      <c r="IWH188" s="117"/>
      <c r="IWI188" s="117"/>
      <c r="IWJ188" s="117"/>
      <c r="IWK188" s="117"/>
      <c r="IWL188" s="117"/>
      <c r="IWM188" s="117"/>
      <c r="IWN188" s="117"/>
      <c r="IWO188" s="117"/>
      <c r="IWP188" s="117"/>
      <c r="IWQ188" s="117"/>
      <c r="IWR188" s="117"/>
      <c r="IWS188" s="117"/>
      <c r="IWT188" s="117"/>
      <c r="IWU188" s="117"/>
      <c r="IWV188" s="117"/>
      <c r="IWW188" s="117"/>
      <c r="IWX188" s="117"/>
      <c r="IWY188" s="117"/>
      <c r="IWZ188" s="117"/>
      <c r="IXA188" s="117"/>
      <c r="IXB188" s="117"/>
      <c r="IXC188" s="117"/>
      <c r="IXD188" s="117"/>
      <c r="IXE188" s="117"/>
      <c r="IXF188" s="117"/>
      <c r="IXG188" s="117"/>
      <c r="IXH188" s="117"/>
      <c r="IXI188" s="117"/>
      <c r="IXJ188" s="117"/>
      <c r="IXK188" s="117"/>
      <c r="IXL188" s="117"/>
      <c r="IXM188" s="117"/>
      <c r="IXN188" s="117"/>
      <c r="IXO188" s="117"/>
      <c r="IXP188" s="117"/>
      <c r="IXQ188" s="117"/>
      <c r="IXR188" s="117"/>
      <c r="IXS188" s="117"/>
      <c r="IXT188" s="117"/>
      <c r="IXU188" s="117"/>
      <c r="IXV188" s="117"/>
      <c r="IXW188" s="117"/>
      <c r="IXX188" s="117"/>
      <c r="IXY188" s="117"/>
      <c r="IXZ188" s="117"/>
      <c r="IYA188" s="117"/>
      <c r="IYB188" s="117"/>
      <c r="IYC188" s="117"/>
      <c r="IYD188" s="117"/>
      <c r="IYE188" s="117"/>
      <c r="IYF188" s="117"/>
      <c r="IYG188" s="117"/>
      <c r="IYH188" s="117"/>
      <c r="IYI188" s="117"/>
      <c r="IYJ188" s="117"/>
      <c r="IYK188" s="117"/>
      <c r="IYL188" s="117"/>
      <c r="IYM188" s="117"/>
      <c r="IYN188" s="117"/>
      <c r="IYO188" s="117"/>
      <c r="IYP188" s="117"/>
      <c r="IYQ188" s="117"/>
      <c r="IYR188" s="117"/>
      <c r="IYS188" s="117"/>
      <c r="IYT188" s="117"/>
      <c r="IYU188" s="117"/>
      <c r="IYV188" s="117"/>
      <c r="IYW188" s="117"/>
      <c r="IYX188" s="117"/>
      <c r="IYY188" s="117"/>
      <c r="IYZ188" s="117"/>
      <c r="IZA188" s="117"/>
      <c r="IZB188" s="117"/>
      <c r="IZC188" s="117"/>
      <c r="IZD188" s="117"/>
      <c r="IZE188" s="117"/>
      <c r="IZF188" s="117"/>
      <c r="IZG188" s="117"/>
      <c r="IZH188" s="117"/>
      <c r="IZI188" s="117"/>
      <c r="IZJ188" s="117"/>
      <c r="IZK188" s="117"/>
      <c r="IZL188" s="117"/>
      <c r="IZM188" s="117"/>
      <c r="IZN188" s="117"/>
      <c r="IZO188" s="117"/>
      <c r="IZP188" s="117"/>
      <c r="IZQ188" s="117"/>
      <c r="IZR188" s="117"/>
      <c r="IZS188" s="117"/>
      <c r="IZT188" s="117"/>
      <c r="IZU188" s="117"/>
      <c r="IZV188" s="117"/>
      <c r="IZW188" s="117"/>
      <c r="IZX188" s="117"/>
      <c r="IZY188" s="117"/>
      <c r="IZZ188" s="117"/>
      <c r="JAA188" s="117"/>
      <c r="JAB188" s="117"/>
      <c r="JAC188" s="117"/>
      <c r="JAD188" s="117"/>
      <c r="JAE188" s="117"/>
      <c r="JAF188" s="117"/>
      <c r="JAG188" s="117"/>
      <c r="JAH188" s="117"/>
      <c r="JAI188" s="117"/>
      <c r="JAJ188" s="117"/>
      <c r="JAK188" s="117"/>
      <c r="JAL188" s="117"/>
      <c r="JAM188" s="117"/>
      <c r="JAN188" s="117"/>
      <c r="JAO188" s="117"/>
      <c r="JAP188" s="117"/>
      <c r="JAQ188" s="117"/>
      <c r="JAR188" s="117"/>
      <c r="JAS188" s="117"/>
      <c r="JAT188" s="117"/>
      <c r="JAU188" s="117"/>
      <c r="JAV188" s="117"/>
      <c r="JAW188" s="117"/>
      <c r="JAX188" s="117"/>
      <c r="JAY188" s="117"/>
      <c r="JAZ188" s="117"/>
      <c r="JBA188" s="117"/>
      <c r="JBB188" s="117"/>
      <c r="JBC188" s="117"/>
      <c r="JBD188" s="117"/>
      <c r="JBE188" s="117"/>
      <c r="JBF188" s="117"/>
      <c r="JBG188" s="117"/>
      <c r="JBH188" s="117"/>
      <c r="JBI188" s="117"/>
      <c r="JBJ188" s="117"/>
      <c r="JBK188" s="117"/>
      <c r="JBL188" s="117"/>
      <c r="JBM188" s="117"/>
      <c r="JBN188" s="117"/>
      <c r="JBO188" s="117"/>
      <c r="JBP188" s="117"/>
      <c r="JBQ188" s="117"/>
      <c r="JBR188" s="117"/>
      <c r="JBS188" s="117"/>
      <c r="JBT188" s="117"/>
      <c r="JBU188" s="117"/>
      <c r="JBV188" s="117"/>
      <c r="JBW188" s="117"/>
      <c r="JBX188" s="117"/>
      <c r="JBY188" s="117"/>
      <c r="JBZ188" s="117"/>
      <c r="JCA188" s="117"/>
      <c r="JCB188" s="117"/>
      <c r="JCC188" s="117"/>
      <c r="JCD188" s="117"/>
      <c r="JCE188" s="117"/>
      <c r="JCF188" s="117"/>
      <c r="JCG188" s="117"/>
      <c r="JCH188" s="117"/>
      <c r="JCI188" s="117"/>
      <c r="JCJ188" s="117"/>
      <c r="JCK188" s="117"/>
      <c r="JCL188" s="117"/>
      <c r="JCM188" s="117"/>
      <c r="JCN188" s="117"/>
      <c r="JCO188" s="117"/>
      <c r="JCP188" s="117"/>
      <c r="JCQ188" s="117"/>
      <c r="JCR188" s="117"/>
      <c r="JCS188" s="117"/>
      <c r="JCT188" s="117"/>
      <c r="JCU188" s="117"/>
      <c r="JCV188" s="117"/>
      <c r="JCW188" s="117"/>
      <c r="JCX188" s="117"/>
      <c r="JCY188" s="117"/>
      <c r="JCZ188" s="117"/>
      <c r="JDA188" s="117"/>
      <c r="JDB188" s="117"/>
      <c r="JDC188" s="117"/>
      <c r="JDD188" s="117"/>
      <c r="JDE188" s="117"/>
      <c r="JDF188" s="117"/>
      <c r="JDG188" s="117"/>
      <c r="JDH188" s="117"/>
      <c r="JDI188" s="117"/>
      <c r="JDJ188" s="117"/>
      <c r="JDK188" s="117"/>
      <c r="JDL188" s="117"/>
      <c r="JDM188" s="117"/>
      <c r="JDN188" s="117"/>
      <c r="JDO188" s="117"/>
      <c r="JDP188" s="117"/>
      <c r="JDQ188" s="117"/>
      <c r="JDR188" s="117"/>
      <c r="JDS188" s="117"/>
      <c r="JDT188" s="117"/>
      <c r="JDU188" s="117"/>
      <c r="JDV188" s="117"/>
      <c r="JDW188" s="117"/>
      <c r="JDX188" s="117"/>
      <c r="JDY188" s="117"/>
      <c r="JDZ188" s="117"/>
      <c r="JEA188" s="117"/>
      <c r="JEB188" s="117"/>
      <c r="JEC188" s="117"/>
      <c r="JED188" s="117"/>
      <c r="JEE188" s="117"/>
      <c r="JEF188" s="117"/>
      <c r="JEG188" s="117"/>
      <c r="JEH188" s="117"/>
      <c r="JEI188" s="117"/>
      <c r="JEJ188" s="117"/>
      <c r="JEK188" s="117"/>
      <c r="JEL188" s="117"/>
      <c r="JEM188" s="117"/>
      <c r="JEN188" s="117"/>
      <c r="JEO188" s="117"/>
      <c r="JEP188" s="117"/>
      <c r="JEQ188" s="117"/>
      <c r="JER188" s="117"/>
      <c r="JES188" s="117"/>
      <c r="JET188" s="117"/>
      <c r="JEU188" s="117"/>
      <c r="JEV188" s="117"/>
      <c r="JEW188" s="117"/>
      <c r="JEX188" s="117"/>
      <c r="JEY188" s="117"/>
      <c r="JEZ188" s="117"/>
      <c r="JFA188" s="117"/>
      <c r="JFB188" s="117"/>
      <c r="JFC188" s="117"/>
      <c r="JFD188" s="117"/>
      <c r="JFE188" s="117"/>
      <c r="JFF188" s="117"/>
      <c r="JFG188" s="117"/>
      <c r="JFH188" s="117"/>
      <c r="JFI188" s="117"/>
      <c r="JFJ188" s="117"/>
      <c r="JFK188" s="117"/>
      <c r="JFL188" s="117"/>
      <c r="JFM188" s="117"/>
      <c r="JFN188" s="117"/>
      <c r="JFO188" s="117"/>
      <c r="JFP188" s="117"/>
      <c r="JFQ188" s="117"/>
      <c r="JFR188" s="117"/>
      <c r="JFS188" s="117"/>
      <c r="JFT188" s="117"/>
      <c r="JFU188" s="117"/>
      <c r="JFV188" s="117"/>
      <c r="JFW188" s="117"/>
      <c r="JFX188" s="117"/>
      <c r="JFY188" s="117"/>
      <c r="JFZ188" s="117"/>
      <c r="JGA188" s="117"/>
      <c r="JGB188" s="117"/>
      <c r="JGC188" s="117"/>
      <c r="JGD188" s="117"/>
      <c r="JGE188" s="117"/>
      <c r="JGF188" s="117"/>
      <c r="JGG188" s="117"/>
      <c r="JGH188" s="117"/>
      <c r="JGI188" s="117"/>
      <c r="JGJ188" s="117"/>
      <c r="JGK188" s="117"/>
      <c r="JGL188" s="117"/>
      <c r="JGM188" s="117"/>
      <c r="JGN188" s="117"/>
      <c r="JGO188" s="117"/>
      <c r="JGP188" s="117"/>
      <c r="JGQ188" s="117"/>
      <c r="JGR188" s="117"/>
      <c r="JGS188" s="117"/>
      <c r="JGT188" s="117"/>
      <c r="JGU188" s="117"/>
      <c r="JGV188" s="117"/>
      <c r="JGW188" s="117"/>
      <c r="JGX188" s="117"/>
      <c r="JGY188" s="117"/>
      <c r="JGZ188" s="117"/>
      <c r="JHA188" s="117"/>
      <c r="JHB188" s="117"/>
      <c r="JHC188" s="117"/>
      <c r="JHD188" s="117"/>
      <c r="JHE188" s="117"/>
      <c r="JHF188" s="117"/>
      <c r="JHG188" s="117"/>
      <c r="JHH188" s="117"/>
      <c r="JHI188" s="117"/>
      <c r="JHJ188" s="117"/>
      <c r="JHK188" s="117"/>
      <c r="JHL188" s="117"/>
      <c r="JHM188" s="117"/>
      <c r="JHN188" s="117"/>
      <c r="JHO188" s="117"/>
      <c r="JHP188" s="117"/>
      <c r="JHQ188" s="117"/>
      <c r="JHR188" s="117"/>
      <c r="JHS188" s="117"/>
      <c r="JHT188" s="117"/>
      <c r="JHU188" s="117"/>
      <c r="JHV188" s="117"/>
      <c r="JHW188" s="117"/>
      <c r="JHX188" s="117"/>
      <c r="JHY188" s="117"/>
      <c r="JHZ188" s="117"/>
      <c r="JIA188" s="117"/>
      <c r="JIB188" s="117"/>
      <c r="JIC188" s="117"/>
      <c r="JID188" s="117"/>
      <c r="JIE188" s="117"/>
      <c r="JIF188" s="117"/>
      <c r="JIG188" s="117"/>
      <c r="JIH188" s="117"/>
      <c r="JII188" s="117"/>
      <c r="JIJ188" s="117"/>
      <c r="JIK188" s="117"/>
      <c r="JIL188" s="117"/>
      <c r="JIM188" s="117"/>
      <c r="JIN188" s="117"/>
      <c r="JIO188" s="117"/>
      <c r="JIP188" s="117"/>
      <c r="JIQ188" s="117"/>
      <c r="JIR188" s="117"/>
      <c r="JIS188" s="117"/>
      <c r="JIT188" s="117"/>
      <c r="JIU188" s="117"/>
      <c r="JIV188" s="117"/>
      <c r="JIW188" s="117"/>
      <c r="JIX188" s="117"/>
      <c r="JIY188" s="117"/>
      <c r="JIZ188" s="117"/>
      <c r="JJA188" s="117"/>
      <c r="JJB188" s="117"/>
      <c r="JJC188" s="117"/>
      <c r="JJD188" s="117"/>
      <c r="JJE188" s="117"/>
      <c r="JJF188" s="117"/>
      <c r="JJG188" s="117"/>
      <c r="JJH188" s="117"/>
      <c r="JJI188" s="117"/>
      <c r="JJJ188" s="117"/>
      <c r="JJK188" s="117"/>
      <c r="JJL188" s="117"/>
      <c r="JJM188" s="117"/>
      <c r="JJN188" s="117"/>
      <c r="JJO188" s="117"/>
      <c r="JJP188" s="117"/>
      <c r="JJQ188" s="117"/>
      <c r="JJR188" s="117"/>
      <c r="JJS188" s="117"/>
      <c r="JJT188" s="117"/>
      <c r="JJU188" s="117"/>
      <c r="JJV188" s="117"/>
      <c r="JJW188" s="117"/>
      <c r="JJX188" s="117"/>
      <c r="JJY188" s="117"/>
      <c r="JJZ188" s="117"/>
      <c r="JKA188" s="117"/>
      <c r="JKB188" s="117"/>
      <c r="JKC188" s="117"/>
      <c r="JKD188" s="117"/>
      <c r="JKE188" s="117"/>
      <c r="JKF188" s="117"/>
      <c r="JKG188" s="117"/>
      <c r="JKH188" s="117"/>
      <c r="JKI188" s="117"/>
      <c r="JKJ188" s="117"/>
      <c r="JKK188" s="117"/>
      <c r="JKL188" s="117"/>
      <c r="JKM188" s="117"/>
      <c r="JKN188" s="117"/>
      <c r="JKO188" s="117"/>
      <c r="JKP188" s="117"/>
      <c r="JKQ188" s="117"/>
      <c r="JKR188" s="117"/>
      <c r="JKS188" s="117"/>
      <c r="JKT188" s="117"/>
      <c r="JKU188" s="117"/>
      <c r="JKV188" s="117"/>
      <c r="JKW188" s="117"/>
      <c r="JKX188" s="117"/>
      <c r="JKY188" s="117"/>
      <c r="JKZ188" s="117"/>
      <c r="JLA188" s="117"/>
      <c r="JLB188" s="117"/>
      <c r="JLC188" s="117"/>
      <c r="JLD188" s="117"/>
      <c r="JLE188" s="117"/>
      <c r="JLF188" s="117"/>
      <c r="JLG188" s="117"/>
      <c r="JLH188" s="117"/>
      <c r="JLI188" s="117"/>
      <c r="JLJ188" s="117"/>
      <c r="JLK188" s="117"/>
      <c r="JLL188" s="117"/>
      <c r="JLM188" s="117"/>
      <c r="JLN188" s="117"/>
      <c r="JLO188" s="117"/>
      <c r="JLP188" s="117"/>
      <c r="JLQ188" s="117"/>
      <c r="JLR188" s="117"/>
      <c r="JLS188" s="117"/>
      <c r="JLT188" s="117"/>
      <c r="JLU188" s="117"/>
      <c r="JLV188" s="117"/>
      <c r="JLW188" s="117"/>
      <c r="JLX188" s="117"/>
      <c r="JLY188" s="117"/>
      <c r="JLZ188" s="117"/>
      <c r="JMA188" s="117"/>
      <c r="JMB188" s="117"/>
      <c r="JMC188" s="117"/>
      <c r="JMD188" s="117"/>
      <c r="JME188" s="117"/>
      <c r="JMF188" s="117"/>
      <c r="JMG188" s="117"/>
      <c r="JMH188" s="117"/>
      <c r="JMI188" s="117"/>
      <c r="JMJ188" s="117"/>
      <c r="JMK188" s="117"/>
      <c r="JML188" s="117"/>
      <c r="JMM188" s="117"/>
      <c r="JMN188" s="117"/>
      <c r="JMO188" s="117"/>
      <c r="JMP188" s="117"/>
      <c r="JMQ188" s="117"/>
      <c r="JMR188" s="117"/>
      <c r="JMS188" s="117"/>
      <c r="JMT188" s="117"/>
      <c r="JMU188" s="117"/>
      <c r="JMV188" s="117"/>
      <c r="JMW188" s="117"/>
      <c r="JMX188" s="117"/>
      <c r="JMY188" s="117"/>
      <c r="JMZ188" s="117"/>
      <c r="JNA188" s="117"/>
      <c r="JNB188" s="117"/>
      <c r="JNC188" s="117"/>
      <c r="JND188" s="117"/>
      <c r="JNE188" s="117"/>
      <c r="JNF188" s="117"/>
      <c r="JNG188" s="117"/>
      <c r="JNH188" s="117"/>
      <c r="JNI188" s="117"/>
      <c r="JNJ188" s="117"/>
      <c r="JNK188" s="117"/>
      <c r="JNL188" s="117"/>
      <c r="JNM188" s="117"/>
      <c r="JNN188" s="117"/>
      <c r="JNO188" s="117"/>
      <c r="JNP188" s="117"/>
      <c r="JNQ188" s="117"/>
      <c r="JNR188" s="117"/>
      <c r="JNS188" s="117"/>
      <c r="JNT188" s="117"/>
      <c r="JNU188" s="117"/>
      <c r="JNV188" s="117"/>
      <c r="JNW188" s="117"/>
      <c r="JNX188" s="117"/>
      <c r="JNY188" s="117"/>
      <c r="JNZ188" s="117"/>
      <c r="JOA188" s="117"/>
      <c r="JOB188" s="117"/>
      <c r="JOC188" s="117"/>
      <c r="JOD188" s="117"/>
      <c r="JOE188" s="117"/>
      <c r="JOF188" s="117"/>
      <c r="JOG188" s="117"/>
      <c r="JOH188" s="117"/>
      <c r="JOI188" s="117"/>
      <c r="JOJ188" s="117"/>
      <c r="JOK188" s="117"/>
      <c r="JOL188" s="117"/>
      <c r="JOM188" s="117"/>
      <c r="JON188" s="117"/>
      <c r="JOO188" s="117"/>
      <c r="JOP188" s="117"/>
      <c r="JOQ188" s="117"/>
      <c r="JOR188" s="117"/>
      <c r="JOS188" s="117"/>
      <c r="JOT188" s="117"/>
      <c r="JOU188" s="117"/>
      <c r="JOV188" s="117"/>
      <c r="JOW188" s="117"/>
      <c r="JOX188" s="117"/>
      <c r="JOY188" s="117"/>
      <c r="JOZ188" s="117"/>
      <c r="JPA188" s="117"/>
      <c r="JPB188" s="117"/>
      <c r="JPC188" s="117"/>
      <c r="JPD188" s="117"/>
      <c r="JPE188" s="117"/>
      <c r="JPF188" s="117"/>
      <c r="JPG188" s="117"/>
      <c r="JPH188" s="117"/>
      <c r="JPI188" s="117"/>
      <c r="JPJ188" s="117"/>
      <c r="JPK188" s="117"/>
      <c r="JPL188" s="117"/>
      <c r="JPM188" s="117"/>
      <c r="JPN188" s="117"/>
      <c r="JPO188" s="117"/>
      <c r="JPP188" s="117"/>
      <c r="JPQ188" s="117"/>
      <c r="JPR188" s="117"/>
      <c r="JPS188" s="117"/>
      <c r="JPT188" s="117"/>
      <c r="JPU188" s="117"/>
      <c r="JPV188" s="117"/>
      <c r="JPW188" s="117"/>
      <c r="JPX188" s="117"/>
      <c r="JPY188" s="117"/>
      <c r="JPZ188" s="117"/>
      <c r="JQA188" s="117"/>
      <c r="JQB188" s="117"/>
      <c r="JQC188" s="117"/>
      <c r="JQD188" s="117"/>
      <c r="JQE188" s="117"/>
      <c r="JQF188" s="117"/>
      <c r="JQG188" s="117"/>
      <c r="JQH188" s="117"/>
      <c r="JQI188" s="117"/>
      <c r="JQJ188" s="117"/>
      <c r="JQK188" s="117"/>
      <c r="JQL188" s="117"/>
      <c r="JQM188" s="117"/>
      <c r="JQN188" s="117"/>
      <c r="JQO188" s="117"/>
      <c r="JQP188" s="117"/>
      <c r="JQQ188" s="117"/>
      <c r="JQR188" s="117"/>
      <c r="JQS188" s="117"/>
      <c r="JQT188" s="117"/>
      <c r="JQU188" s="117"/>
      <c r="JQV188" s="117"/>
      <c r="JQW188" s="117"/>
      <c r="JQX188" s="117"/>
      <c r="JQY188" s="117"/>
      <c r="JQZ188" s="117"/>
      <c r="JRA188" s="117"/>
      <c r="JRB188" s="117"/>
      <c r="JRC188" s="117"/>
      <c r="JRD188" s="117"/>
      <c r="JRE188" s="117"/>
      <c r="JRF188" s="117"/>
      <c r="JRG188" s="117"/>
      <c r="JRH188" s="117"/>
      <c r="JRI188" s="117"/>
      <c r="JRJ188" s="117"/>
      <c r="JRK188" s="117"/>
      <c r="JRL188" s="117"/>
      <c r="JRM188" s="117"/>
      <c r="JRN188" s="117"/>
      <c r="JRO188" s="117"/>
      <c r="JRP188" s="117"/>
      <c r="JRQ188" s="117"/>
      <c r="JRR188" s="117"/>
      <c r="JRS188" s="117"/>
      <c r="JRT188" s="117"/>
      <c r="JRU188" s="117"/>
      <c r="JRV188" s="117"/>
      <c r="JRW188" s="117"/>
      <c r="JRX188" s="117"/>
      <c r="JRY188" s="117"/>
      <c r="JRZ188" s="117"/>
      <c r="JSA188" s="117"/>
      <c r="JSB188" s="117"/>
      <c r="JSC188" s="117"/>
      <c r="JSD188" s="117"/>
      <c r="JSE188" s="117"/>
      <c r="JSF188" s="117"/>
      <c r="JSG188" s="117"/>
      <c r="JSH188" s="117"/>
      <c r="JSI188" s="117"/>
      <c r="JSJ188" s="117"/>
      <c r="JSK188" s="117"/>
      <c r="JSL188" s="117"/>
      <c r="JSM188" s="117"/>
      <c r="JSN188" s="117"/>
      <c r="JSO188" s="117"/>
      <c r="JSP188" s="117"/>
      <c r="JSQ188" s="117"/>
      <c r="JSR188" s="117"/>
      <c r="JSS188" s="117"/>
      <c r="JST188" s="117"/>
      <c r="JSU188" s="117"/>
      <c r="JSV188" s="117"/>
      <c r="JSW188" s="117"/>
      <c r="JSX188" s="117"/>
      <c r="JSY188" s="117"/>
      <c r="JSZ188" s="117"/>
      <c r="JTA188" s="117"/>
      <c r="JTB188" s="117"/>
      <c r="JTC188" s="117"/>
      <c r="JTD188" s="117"/>
      <c r="JTE188" s="117"/>
      <c r="JTF188" s="117"/>
      <c r="JTG188" s="117"/>
      <c r="JTH188" s="117"/>
      <c r="JTI188" s="117"/>
      <c r="JTJ188" s="117"/>
      <c r="JTK188" s="117"/>
      <c r="JTL188" s="117"/>
      <c r="JTM188" s="117"/>
      <c r="JTN188" s="117"/>
      <c r="JTO188" s="117"/>
      <c r="JTP188" s="117"/>
      <c r="JTQ188" s="117"/>
      <c r="JTR188" s="117"/>
      <c r="JTS188" s="117"/>
      <c r="JTT188" s="117"/>
      <c r="JTU188" s="117"/>
      <c r="JTV188" s="117"/>
      <c r="JTW188" s="117"/>
      <c r="JTX188" s="117"/>
      <c r="JTY188" s="117"/>
      <c r="JTZ188" s="117"/>
      <c r="JUA188" s="117"/>
      <c r="JUB188" s="117"/>
      <c r="JUC188" s="117"/>
      <c r="JUD188" s="117"/>
      <c r="JUE188" s="117"/>
      <c r="JUF188" s="117"/>
      <c r="JUG188" s="117"/>
      <c r="JUH188" s="117"/>
      <c r="JUI188" s="117"/>
      <c r="JUJ188" s="117"/>
      <c r="JUK188" s="117"/>
      <c r="JUL188" s="117"/>
      <c r="JUM188" s="117"/>
      <c r="JUN188" s="117"/>
      <c r="JUO188" s="117"/>
      <c r="JUP188" s="117"/>
      <c r="JUQ188" s="117"/>
      <c r="JUR188" s="117"/>
      <c r="JUS188" s="117"/>
      <c r="JUT188" s="117"/>
      <c r="JUU188" s="117"/>
      <c r="JUV188" s="117"/>
      <c r="JUW188" s="117"/>
      <c r="JUX188" s="117"/>
      <c r="JUY188" s="117"/>
      <c r="JUZ188" s="117"/>
      <c r="JVA188" s="117"/>
      <c r="JVB188" s="117"/>
      <c r="JVC188" s="117"/>
      <c r="JVD188" s="117"/>
      <c r="JVE188" s="117"/>
      <c r="JVF188" s="117"/>
      <c r="JVG188" s="117"/>
      <c r="JVH188" s="117"/>
      <c r="JVI188" s="117"/>
      <c r="JVJ188" s="117"/>
      <c r="JVK188" s="117"/>
      <c r="JVL188" s="117"/>
      <c r="JVM188" s="117"/>
      <c r="JVN188" s="117"/>
      <c r="JVO188" s="117"/>
      <c r="JVP188" s="117"/>
      <c r="JVQ188" s="117"/>
      <c r="JVR188" s="117"/>
      <c r="JVS188" s="117"/>
      <c r="JVT188" s="117"/>
      <c r="JVU188" s="117"/>
      <c r="JVV188" s="117"/>
      <c r="JVW188" s="117"/>
      <c r="JVX188" s="117"/>
      <c r="JVY188" s="117"/>
      <c r="JVZ188" s="117"/>
      <c r="JWA188" s="117"/>
      <c r="JWB188" s="117"/>
      <c r="JWC188" s="117"/>
      <c r="JWD188" s="117"/>
      <c r="JWE188" s="117"/>
      <c r="JWF188" s="117"/>
      <c r="JWG188" s="117"/>
      <c r="JWH188" s="117"/>
      <c r="JWI188" s="117"/>
      <c r="JWJ188" s="117"/>
      <c r="JWK188" s="117"/>
      <c r="JWL188" s="117"/>
      <c r="JWM188" s="117"/>
      <c r="JWN188" s="117"/>
      <c r="JWO188" s="117"/>
      <c r="JWP188" s="117"/>
      <c r="JWQ188" s="117"/>
      <c r="JWR188" s="117"/>
      <c r="JWS188" s="117"/>
      <c r="JWT188" s="117"/>
      <c r="JWU188" s="117"/>
      <c r="JWV188" s="117"/>
      <c r="JWW188" s="117"/>
      <c r="JWX188" s="117"/>
      <c r="JWY188" s="117"/>
      <c r="JWZ188" s="117"/>
      <c r="JXA188" s="117"/>
      <c r="JXB188" s="117"/>
      <c r="JXC188" s="117"/>
      <c r="JXD188" s="117"/>
      <c r="JXE188" s="117"/>
      <c r="JXF188" s="117"/>
      <c r="JXG188" s="117"/>
      <c r="JXH188" s="117"/>
      <c r="JXI188" s="117"/>
      <c r="JXJ188" s="117"/>
      <c r="JXK188" s="117"/>
      <c r="JXL188" s="117"/>
      <c r="JXM188" s="117"/>
      <c r="JXN188" s="117"/>
      <c r="JXO188" s="117"/>
      <c r="JXP188" s="117"/>
      <c r="JXQ188" s="117"/>
      <c r="JXR188" s="117"/>
      <c r="JXS188" s="117"/>
      <c r="JXT188" s="117"/>
      <c r="JXU188" s="117"/>
      <c r="JXV188" s="117"/>
      <c r="JXW188" s="117"/>
      <c r="JXX188" s="117"/>
      <c r="JXY188" s="117"/>
      <c r="JXZ188" s="117"/>
      <c r="JYA188" s="117"/>
      <c r="JYB188" s="117"/>
      <c r="JYC188" s="117"/>
      <c r="JYD188" s="117"/>
      <c r="JYE188" s="117"/>
      <c r="JYF188" s="117"/>
      <c r="JYG188" s="117"/>
      <c r="JYH188" s="117"/>
      <c r="JYI188" s="117"/>
      <c r="JYJ188" s="117"/>
      <c r="JYK188" s="117"/>
      <c r="JYL188" s="117"/>
      <c r="JYM188" s="117"/>
      <c r="JYN188" s="117"/>
      <c r="JYO188" s="117"/>
      <c r="JYP188" s="117"/>
      <c r="JYQ188" s="117"/>
      <c r="JYR188" s="117"/>
      <c r="JYS188" s="117"/>
      <c r="JYT188" s="117"/>
      <c r="JYU188" s="117"/>
      <c r="JYV188" s="117"/>
      <c r="JYW188" s="117"/>
      <c r="JYX188" s="117"/>
      <c r="JYY188" s="117"/>
      <c r="JYZ188" s="117"/>
      <c r="JZA188" s="117"/>
      <c r="JZB188" s="117"/>
      <c r="JZC188" s="117"/>
      <c r="JZD188" s="117"/>
      <c r="JZE188" s="117"/>
      <c r="JZF188" s="117"/>
      <c r="JZG188" s="117"/>
      <c r="JZH188" s="117"/>
      <c r="JZI188" s="117"/>
      <c r="JZJ188" s="117"/>
      <c r="JZK188" s="117"/>
      <c r="JZL188" s="117"/>
      <c r="JZM188" s="117"/>
      <c r="JZN188" s="117"/>
      <c r="JZO188" s="117"/>
      <c r="JZP188" s="117"/>
      <c r="JZQ188" s="117"/>
      <c r="JZR188" s="117"/>
      <c r="JZS188" s="117"/>
      <c r="JZT188" s="117"/>
      <c r="JZU188" s="117"/>
      <c r="JZV188" s="117"/>
      <c r="JZW188" s="117"/>
      <c r="JZX188" s="117"/>
      <c r="JZY188" s="117"/>
      <c r="JZZ188" s="117"/>
      <c r="KAA188" s="117"/>
      <c r="KAB188" s="117"/>
      <c r="KAC188" s="117"/>
      <c r="KAD188" s="117"/>
      <c r="KAE188" s="117"/>
      <c r="KAF188" s="117"/>
      <c r="KAG188" s="117"/>
      <c r="KAH188" s="117"/>
      <c r="KAI188" s="117"/>
      <c r="KAJ188" s="117"/>
      <c r="KAK188" s="117"/>
      <c r="KAL188" s="117"/>
      <c r="KAM188" s="117"/>
      <c r="KAN188" s="117"/>
      <c r="KAO188" s="117"/>
      <c r="KAP188" s="117"/>
      <c r="KAQ188" s="117"/>
      <c r="KAR188" s="117"/>
      <c r="KAS188" s="117"/>
      <c r="KAT188" s="117"/>
      <c r="KAU188" s="117"/>
      <c r="KAV188" s="117"/>
      <c r="KAW188" s="117"/>
      <c r="KAX188" s="117"/>
      <c r="KAY188" s="117"/>
      <c r="KAZ188" s="117"/>
      <c r="KBA188" s="117"/>
      <c r="KBB188" s="117"/>
      <c r="KBC188" s="117"/>
      <c r="KBD188" s="117"/>
      <c r="KBE188" s="117"/>
      <c r="KBF188" s="117"/>
      <c r="KBG188" s="117"/>
      <c r="KBH188" s="117"/>
      <c r="KBI188" s="117"/>
      <c r="KBJ188" s="117"/>
      <c r="KBK188" s="117"/>
      <c r="KBL188" s="117"/>
      <c r="KBM188" s="117"/>
      <c r="KBN188" s="117"/>
      <c r="KBO188" s="117"/>
      <c r="KBP188" s="117"/>
      <c r="KBQ188" s="117"/>
      <c r="KBR188" s="117"/>
      <c r="KBS188" s="117"/>
      <c r="KBT188" s="117"/>
      <c r="KBU188" s="117"/>
      <c r="KBV188" s="117"/>
      <c r="KBW188" s="117"/>
      <c r="KBX188" s="117"/>
      <c r="KBY188" s="117"/>
      <c r="KBZ188" s="117"/>
      <c r="KCA188" s="117"/>
      <c r="KCB188" s="117"/>
      <c r="KCC188" s="117"/>
      <c r="KCD188" s="117"/>
      <c r="KCE188" s="117"/>
      <c r="KCF188" s="117"/>
      <c r="KCG188" s="117"/>
      <c r="KCH188" s="117"/>
      <c r="KCI188" s="117"/>
      <c r="KCJ188" s="117"/>
      <c r="KCK188" s="117"/>
      <c r="KCL188" s="117"/>
      <c r="KCM188" s="117"/>
      <c r="KCN188" s="117"/>
      <c r="KCO188" s="117"/>
      <c r="KCP188" s="117"/>
      <c r="KCQ188" s="117"/>
      <c r="KCR188" s="117"/>
      <c r="KCS188" s="117"/>
      <c r="KCT188" s="117"/>
      <c r="KCU188" s="117"/>
      <c r="KCV188" s="117"/>
      <c r="KCW188" s="117"/>
      <c r="KCX188" s="117"/>
      <c r="KCY188" s="117"/>
      <c r="KCZ188" s="117"/>
      <c r="KDA188" s="117"/>
      <c r="KDB188" s="117"/>
      <c r="KDC188" s="117"/>
      <c r="KDD188" s="117"/>
      <c r="KDE188" s="117"/>
      <c r="KDF188" s="117"/>
      <c r="KDG188" s="117"/>
      <c r="KDH188" s="117"/>
      <c r="KDI188" s="117"/>
      <c r="KDJ188" s="117"/>
      <c r="KDK188" s="117"/>
      <c r="KDL188" s="117"/>
      <c r="KDM188" s="117"/>
      <c r="KDN188" s="117"/>
      <c r="KDO188" s="117"/>
      <c r="KDP188" s="117"/>
      <c r="KDQ188" s="117"/>
      <c r="KDR188" s="117"/>
      <c r="KDS188" s="117"/>
      <c r="KDT188" s="117"/>
      <c r="KDU188" s="117"/>
      <c r="KDV188" s="117"/>
      <c r="KDW188" s="117"/>
      <c r="KDX188" s="117"/>
      <c r="KDY188" s="117"/>
      <c r="KDZ188" s="117"/>
      <c r="KEA188" s="117"/>
      <c r="KEB188" s="117"/>
      <c r="KEC188" s="117"/>
      <c r="KED188" s="117"/>
      <c r="KEE188" s="117"/>
      <c r="KEF188" s="117"/>
      <c r="KEG188" s="117"/>
      <c r="KEH188" s="117"/>
      <c r="KEI188" s="117"/>
      <c r="KEJ188" s="117"/>
      <c r="KEK188" s="117"/>
      <c r="KEL188" s="117"/>
      <c r="KEM188" s="117"/>
      <c r="KEN188" s="117"/>
      <c r="KEO188" s="117"/>
      <c r="KEP188" s="117"/>
      <c r="KEQ188" s="117"/>
      <c r="KER188" s="117"/>
      <c r="KES188" s="117"/>
      <c r="KET188" s="117"/>
      <c r="KEU188" s="117"/>
      <c r="KEV188" s="117"/>
      <c r="KEW188" s="117"/>
      <c r="KEX188" s="117"/>
      <c r="KEY188" s="117"/>
      <c r="KEZ188" s="117"/>
      <c r="KFA188" s="117"/>
      <c r="KFB188" s="117"/>
      <c r="KFC188" s="117"/>
      <c r="KFD188" s="117"/>
      <c r="KFE188" s="117"/>
      <c r="KFF188" s="117"/>
      <c r="KFG188" s="117"/>
      <c r="KFH188" s="117"/>
      <c r="KFI188" s="117"/>
      <c r="KFJ188" s="117"/>
      <c r="KFK188" s="117"/>
      <c r="KFL188" s="117"/>
      <c r="KFM188" s="117"/>
      <c r="KFN188" s="117"/>
      <c r="KFO188" s="117"/>
      <c r="KFP188" s="117"/>
      <c r="KFQ188" s="117"/>
      <c r="KFR188" s="117"/>
      <c r="KFS188" s="117"/>
      <c r="KFT188" s="117"/>
      <c r="KFU188" s="117"/>
      <c r="KFV188" s="117"/>
      <c r="KFW188" s="117"/>
      <c r="KFX188" s="117"/>
      <c r="KFY188" s="117"/>
      <c r="KFZ188" s="117"/>
      <c r="KGA188" s="117"/>
      <c r="KGB188" s="117"/>
      <c r="KGC188" s="117"/>
      <c r="KGD188" s="117"/>
      <c r="KGE188" s="117"/>
      <c r="KGF188" s="117"/>
      <c r="KGG188" s="117"/>
      <c r="KGH188" s="117"/>
      <c r="KGI188" s="117"/>
      <c r="KGJ188" s="117"/>
      <c r="KGK188" s="117"/>
      <c r="KGL188" s="117"/>
      <c r="KGM188" s="117"/>
      <c r="KGN188" s="117"/>
      <c r="KGO188" s="117"/>
      <c r="KGP188" s="117"/>
      <c r="KGQ188" s="117"/>
      <c r="KGR188" s="117"/>
      <c r="KGS188" s="117"/>
      <c r="KGT188" s="117"/>
      <c r="KGU188" s="117"/>
      <c r="KGV188" s="117"/>
      <c r="KGW188" s="117"/>
      <c r="KGX188" s="117"/>
      <c r="KGY188" s="117"/>
      <c r="KGZ188" s="117"/>
      <c r="KHA188" s="117"/>
      <c r="KHB188" s="117"/>
      <c r="KHC188" s="117"/>
      <c r="KHD188" s="117"/>
      <c r="KHE188" s="117"/>
      <c r="KHF188" s="117"/>
      <c r="KHG188" s="117"/>
      <c r="KHH188" s="117"/>
      <c r="KHI188" s="117"/>
      <c r="KHJ188" s="117"/>
      <c r="KHK188" s="117"/>
      <c r="KHL188" s="117"/>
      <c r="KHM188" s="117"/>
      <c r="KHN188" s="117"/>
      <c r="KHO188" s="117"/>
      <c r="KHP188" s="117"/>
      <c r="KHQ188" s="117"/>
      <c r="KHR188" s="117"/>
      <c r="KHS188" s="117"/>
      <c r="KHT188" s="117"/>
      <c r="KHU188" s="117"/>
      <c r="KHV188" s="117"/>
      <c r="KHW188" s="117"/>
      <c r="KHX188" s="117"/>
      <c r="KHY188" s="117"/>
      <c r="KHZ188" s="117"/>
      <c r="KIA188" s="117"/>
      <c r="KIB188" s="117"/>
      <c r="KIC188" s="117"/>
      <c r="KID188" s="117"/>
      <c r="KIE188" s="117"/>
      <c r="KIF188" s="117"/>
      <c r="KIG188" s="117"/>
      <c r="KIH188" s="117"/>
      <c r="KII188" s="117"/>
      <c r="KIJ188" s="117"/>
      <c r="KIK188" s="117"/>
      <c r="KIL188" s="117"/>
      <c r="KIM188" s="117"/>
      <c r="KIN188" s="117"/>
      <c r="KIO188" s="117"/>
      <c r="KIP188" s="117"/>
      <c r="KIQ188" s="117"/>
      <c r="KIR188" s="117"/>
      <c r="KIS188" s="117"/>
      <c r="KIT188" s="117"/>
      <c r="KIU188" s="117"/>
      <c r="KIV188" s="117"/>
      <c r="KIW188" s="117"/>
      <c r="KIX188" s="117"/>
      <c r="KIY188" s="117"/>
      <c r="KIZ188" s="117"/>
      <c r="KJA188" s="117"/>
      <c r="KJB188" s="117"/>
      <c r="KJC188" s="117"/>
      <c r="KJD188" s="117"/>
      <c r="KJE188" s="117"/>
      <c r="KJF188" s="117"/>
      <c r="KJG188" s="117"/>
      <c r="KJH188" s="117"/>
      <c r="KJI188" s="117"/>
      <c r="KJJ188" s="117"/>
      <c r="KJK188" s="117"/>
      <c r="KJL188" s="117"/>
      <c r="KJM188" s="117"/>
      <c r="KJN188" s="117"/>
      <c r="KJO188" s="117"/>
      <c r="KJP188" s="117"/>
      <c r="KJQ188" s="117"/>
      <c r="KJR188" s="117"/>
      <c r="KJS188" s="117"/>
      <c r="KJT188" s="117"/>
      <c r="KJU188" s="117"/>
      <c r="KJV188" s="117"/>
      <c r="KJW188" s="117"/>
      <c r="KJX188" s="117"/>
      <c r="KJY188" s="117"/>
      <c r="KJZ188" s="117"/>
      <c r="KKA188" s="117"/>
      <c r="KKB188" s="117"/>
      <c r="KKC188" s="117"/>
      <c r="KKD188" s="117"/>
      <c r="KKE188" s="117"/>
      <c r="KKF188" s="117"/>
      <c r="KKG188" s="117"/>
      <c r="KKH188" s="117"/>
      <c r="KKI188" s="117"/>
      <c r="KKJ188" s="117"/>
      <c r="KKK188" s="117"/>
      <c r="KKL188" s="117"/>
      <c r="KKM188" s="117"/>
      <c r="KKN188" s="117"/>
      <c r="KKO188" s="117"/>
      <c r="KKP188" s="117"/>
      <c r="KKQ188" s="117"/>
      <c r="KKR188" s="117"/>
      <c r="KKS188" s="117"/>
      <c r="KKT188" s="117"/>
      <c r="KKU188" s="117"/>
      <c r="KKV188" s="117"/>
      <c r="KKW188" s="117"/>
      <c r="KKX188" s="117"/>
      <c r="KKY188" s="117"/>
      <c r="KKZ188" s="117"/>
      <c r="KLA188" s="117"/>
      <c r="KLB188" s="117"/>
      <c r="KLC188" s="117"/>
      <c r="KLD188" s="117"/>
      <c r="KLE188" s="117"/>
      <c r="KLF188" s="117"/>
      <c r="KLG188" s="117"/>
      <c r="KLH188" s="117"/>
      <c r="KLI188" s="117"/>
      <c r="KLJ188" s="117"/>
      <c r="KLK188" s="117"/>
      <c r="KLL188" s="117"/>
      <c r="KLM188" s="117"/>
      <c r="KLN188" s="117"/>
      <c r="KLO188" s="117"/>
      <c r="KLP188" s="117"/>
      <c r="KLQ188" s="117"/>
      <c r="KLR188" s="117"/>
      <c r="KLS188" s="117"/>
      <c r="KLT188" s="117"/>
      <c r="KLU188" s="117"/>
      <c r="KLV188" s="117"/>
      <c r="KLW188" s="117"/>
      <c r="KLX188" s="117"/>
      <c r="KLY188" s="117"/>
      <c r="KLZ188" s="117"/>
      <c r="KMA188" s="117"/>
      <c r="KMB188" s="117"/>
      <c r="KMC188" s="117"/>
      <c r="KMD188" s="117"/>
      <c r="KME188" s="117"/>
      <c r="KMF188" s="117"/>
      <c r="KMG188" s="117"/>
      <c r="KMH188" s="117"/>
      <c r="KMI188" s="117"/>
      <c r="KMJ188" s="117"/>
      <c r="KMK188" s="117"/>
      <c r="KML188" s="117"/>
      <c r="KMM188" s="117"/>
      <c r="KMN188" s="117"/>
      <c r="KMO188" s="117"/>
      <c r="KMP188" s="117"/>
      <c r="KMQ188" s="117"/>
      <c r="KMR188" s="117"/>
      <c r="KMS188" s="117"/>
      <c r="KMT188" s="117"/>
      <c r="KMU188" s="117"/>
      <c r="KMV188" s="117"/>
      <c r="KMW188" s="117"/>
      <c r="KMX188" s="117"/>
      <c r="KMY188" s="117"/>
      <c r="KMZ188" s="117"/>
      <c r="KNA188" s="117"/>
      <c r="KNB188" s="117"/>
      <c r="KNC188" s="117"/>
      <c r="KND188" s="117"/>
      <c r="KNE188" s="117"/>
      <c r="KNF188" s="117"/>
      <c r="KNG188" s="117"/>
      <c r="KNH188" s="117"/>
      <c r="KNI188" s="117"/>
      <c r="KNJ188" s="117"/>
      <c r="KNK188" s="117"/>
      <c r="KNL188" s="117"/>
      <c r="KNM188" s="117"/>
      <c r="KNN188" s="117"/>
      <c r="KNO188" s="117"/>
      <c r="KNP188" s="117"/>
      <c r="KNQ188" s="117"/>
      <c r="KNR188" s="117"/>
      <c r="KNS188" s="117"/>
      <c r="KNT188" s="117"/>
      <c r="KNU188" s="117"/>
      <c r="KNV188" s="117"/>
      <c r="KNW188" s="117"/>
      <c r="KNX188" s="117"/>
      <c r="KNY188" s="117"/>
      <c r="KNZ188" s="117"/>
      <c r="KOA188" s="117"/>
      <c r="KOB188" s="117"/>
      <c r="KOC188" s="117"/>
      <c r="KOD188" s="117"/>
      <c r="KOE188" s="117"/>
      <c r="KOF188" s="117"/>
      <c r="KOG188" s="117"/>
      <c r="KOH188" s="117"/>
      <c r="KOI188" s="117"/>
      <c r="KOJ188" s="117"/>
      <c r="KOK188" s="117"/>
      <c r="KOL188" s="117"/>
      <c r="KOM188" s="117"/>
      <c r="KON188" s="117"/>
      <c r="KOO188" s="117"/>
      <c r="KOP188" s="117"/>
      <c r="KOQ188" s="117"/>
      <c r="KOR188" s="117"/>
      <c r="KOS188" s="117"/>
      <c r="KOT188" s="117"/>
      <c r="KOU188" s="117"/>
      <c r="KOV188" s="117"/>
      <c r="KOW188" s="117"/>
      <c r="KOX188" s="117"/>
      <c r="KOY188" s="117"/>
      <c r="KOZ188" s="117"/>
      <c r="KPA188" s="117"/>
      <c r="KPB188" s="117"/>
      <c r="KPC188" s="117"/>
      <c r="KPD188" s="117"/>
      <c r="KPE188" s="117"/>
      <c r="KPF188" s="117"/>
      <c r="KPG188" s="117"/>
      <c r="KPH188" s="117"/>
      <c r="KPI188" s="117"/>
      <c r="KPJ188" s="117"/>
      <c r="KPK188" s="117"/>
      <c r="KPL188" s="117"/>
      <c r="KPM188" s="117"/>
      <c r="KPN188" s="117"/>
      <c r="KPO188" s="117"/>
      <c r="KPP188" s="117"/>
      <c r="KPQ188" s="117"/>
      <c r="KPR188" s="117"/>
      <c r="KPS188" s="117"/>
      <c r="KPT188" s="117"/>
      <c r="KPU188" s="117"/>
      <c r="KPV188" s="117"/>
      <c r="KPW188" s="117"/>
      <c r="KPX188" s="117"/>
      <c r="KPY188" s="117"/>
      <c r="KPZ188" s="117"/>
      <c r="KQA188" s="117"/>
      <c r="KQB188" s="117"/>
      <c r="KQC188" s="117"/>
      <c r="KQD188" s="117"/>
      <c r="KQE188" s="117"/>
      <c r="KQF188" s="117"/>
      <c r="KQG188" s="117"/>
      <c r="KQH188" s="117"/>
      <c r="KQI188" s="117"/>
      <c r="KQJ188" s="117"/>
      <c r="KQK188" s="117"/>
      <c r="KQL188" s="117"/>
      <c r="KQM188" s="117"/>
      <c r="KQN188" s="117"/>
      <c r="KQO188" s="117"/>
      <c r="KQP188" s="117"/>
      <c r="KQQ188" s="117"/>
      <c r="KQR188" s="117"/>
      <c r="KQS188" s="117"/>
      <c r="KQT188" s="117"/>
      <c r="KQU188" s="117"/>
      <c r="KQV188" s="117"/>
      <c r="KQW188" s="117"/>
      <c r="KQX188" s="117"/>
      <c r="KQY188" s="117"/>
      <c r="KQZ188" s="117"/>
      <c r="KRA188" s="117"/>
      <c r="KRB188" s="117"/>
      <c r="KRC188" s="117"/>
      <c r="KRD188" s="117"/>
      <c r="KRE188" s="117"/>
      <c r="KRF188" s="117"/>
      <c r="KRG188" s="117"/>
      <c r="KRH188" s="117"/>
      <c r="KRI188" s="117"/>
      <c r="KRJ188" s="117"/>
      <c r="KRK188" s="117"/>
      <c r="KRL188" s="117"/>
      <c r="KRM188" s="117"/>
      <c r="KRN188" s="117"/>
      <c r="KRO188" s="117"/>
      <c r="KRP188" s="117"/>
      <c r="KRQ188" s="117"/>
      <c r="KRR188" s="117"/>
      <c r="KRS188" s="117"/>
      <c r="KRT188" s="117"/>
      <c r="KRU188" s="117"/>
      <c r="KRV188" s="117"/>
      <c r="KRW188" s="117"/>
      <c r="KRX188" s="117"/>
      <c r="KRY188" s="117"/>
      <c r="KRZ188" s="117"/>
      <c r="KSA188" s="117"/>
      <c r="KSB188" s="117"/>
      <c r="KSC188" s="117"/>
      <c r="KSD188" s="117"/>
      <c r="KSE188" s="117"/>
      <c r="KSF188" s="117"/>
      <c r="KSG188" s="117"/>
      <c r="KSH188" s="117"/>
      <c r="KSI188" s="117"/>
      <c r="KSJ188" s="117"/>
      <c r="KSK188" s="117"/>
      <c r="KSL188" s="117"/>
      <c r="KSM188" s="117"/>
      <c r="KSN188" s="117"/>
      <c r="KSO188" s="117"/>
      <c r="KSP188" s="117"/>
      <c r="KSQ188" s="117"/>
      <c r="KSR188" s="117"/>
      <c r="KSS188" s="117"/>
      <c r="KST188" s="117"/>
      <c r="KSU188" s="117"/>
      <c r="KSV188" s="117"/>
      <c r="KSW188" s="117"/>
      <c r="KSX188" s="117"/>
      <c r="KSY188" s="117"/>
      <c r="KSZ188" s="117"/>
      <c r="KTA188" s="117"/>
      <c r="KTB188" s="117"/>
      <c r="KTC188" s="117"/>
      <c r="KTD188" s="117"/>
      <c r="KTE188" s="117"/>
      <c r="KTF188" s="117"/>
      <c r="KTG188" s="117"/>
      <c r="KTH188" s="117"/>
      <c r="KTI188" s="117"/>
      <c r="KTJ188" s="117"/>
      <c r="KTK188" s="117"/>
      <c r="KTL188" s="117"/>
      <c r="KTM188" s="117"/>
      <c r="KTN188" s="117"/>
      <c r="KTO188" s="117"/>
      <c r="KTP188" s="117"/>
      <c r="KTQ188" s="117"/>
      <c r="KTR188" s="117"/>
      <c r="KTS188" s="117"/>
      <c r="KTT188" s="117"/>
      <c r="KTU188" s="117"/>
      <c r="KTV188" s="117"/>
      <c r="KTW188" s="117"/>
      <c r="KTX188" s="117"/>
      <c r="KTY188" s="117"/>
      <c r="KTZ188" s="117"/>
      <c r="KUA188" s="117"/>
      <c r="KUB188" s="117"/>
      <c r="KUC188" s="117"/>
      <c r="KUD188" s="117"/>
      <c r="KUE188" s="117"/>
      <c r="KUF188" s="117"/>
      <c r="KUG188" s="117"/>
      <c r="KUH188" s="117"/>
      <c r="KUI188" s="117"/>
      <c r="KUJ188" s="117"/>
      <c r="KUK188" s="117"/>
      <c r="KUL188" s="117"/>
      <c r="KUM188" s="117"/>
      <c r="KUN188" s="117"/>
      <c r="KUO188" s="117"/>
      <c r="KUP188" s="117"/>
      <c r="KUQ188" s="117"/>
      <c r="KUR188" s="117"/>
      <c r="KUS188" s="117"/>
      <c r="KUT188" s="117"/>
      <c r="KUU188" s="117"/>
      <c r="KUV188" s="117"/>
      <c r="KUW188" s="117"/>
      <c r="KUX188" s="117"/>
      <c r="KUY188" s="117"/>
      <c r="KUZ188" s="117"/>
      <c r="KVA188" s="117"/>
      <c r="KVB188" s="117"/>
      <c r="KVC188" s="117"/>
      <c r="KVD188" s="117"/>
      <c r="KVE188" s="117"/>
      <c r="KVF188" s="117"/>
      <c r="KVG188" s="117"/>
      <c r="KVH188" s="117"/>
      <c r="KVI188" s="117"/>
      <c r="KVJ188" s="117"/>
      <c r="KVK188" s="117"/>
      <c r="KVL188" s="117"/>
      <c r="KVM188" s="117"/>
      <c r="KVN188" s="117"/>
      <c r="KVO188" s="117"/>
      <c r="KVP188" s="117"/>
      <c r="KVQ188" s="117"/>
      <c r="KVR188" s="117"/>
      <c r="KVS188" s="117"/>
      <c r="KVT188" s="117"/>
      <c r="KVU188" s="117"/>
      <c r="KVV188" s="117"/>
      <c r="KVW188" s="117"/>
      <c r="KVX188" s="117"/>
      <c r="KVY188" s="117"/>
      <c r="KVZ188" s="117"/>
      <c r="KWA188" s="117"/>
      <c r="KWB188" s="117"/>
      <c r="KWC188" s="117"/>
      <c r="KWD188" s="117"/>
      <c r="KWE188" s="117"/>
      <c r="KWF188" s="117"/>
      <c r="KWG188" s="117"/>
      <c r="KWH188" s="117"/>
      <c r="KWI188" s="117"/>
      <c r="KWJ188" s="117"/>
      <c r="KWK188" s="117"/>
      <c r="KWL188" s="117"/>
      <c r="KWM188" s="117"/>
      <c r="KWN188" s="117"/>
      <c r="KWO188" s="117"/>
      <c r="KWP188" s="117"/>
      <c r="KWQ188" s="117"/>
      <c r="KWR188" s="117"/>
      <c r="KWS188" s="117"/>
      <c r="KWT188" s="117"/>
      <c r="KWU188" s="117"/>
      <c r="KWV188" s="117"/>
      <c r="KWW188" s="117"/>
      <c r="KWX188" s="117"/>
      <c r="KWY188" s="117"/>
      <c r="KWZ188" s="117"/>
      <c r="KXA188" s="117"/>
      <c r="KXB188" s="117"/>
      <c r="KXC188" s="117"/>
      <c r="KXD188" s="117"/>
      <c r="KXE188" s="117"/>
      <c r="KXF188" s="117"/>
      <c r="KXG188" s="117"/>
      <c r="KXH188" s="117"/>
      <c r="KXI188" s="117"/>
      <c r="KXJ188" s="117"/>
      <c r="KXK188" s="117"/>
      <c r="KXL188" s="117"/>
      <c r="KXM188" s="117"/>
      <c r="KXN188" s="117"/>
      <c r="KXO188" s="117"/>
      <c r="KXP188" s="117"/>
      <c r="KXQ188" s="117"/>
      <c r="KXR188" s="117"/>
      <c r="KXS188" s="117"/>
      <c r="KXT188" s="117"/>
      <c r="KXU188" s="117"/>
      <c r="KXV188" s="117"/>
      <c r="KXW188" s="117"/>
      <c r="KXX188" s="117"/>
      <c r="KXY188" s="117"/>
      <c r="KXZ188" s="117"/>
      <c r="KYA188" s="117"/>
      <c r="KYB188" s="117"/>
      <c r="KYC188" s="117"/>
      <c r="KYD188" s="117"/>
      <c r="KYE188" s="117"/>
      <c r="KYF188" s="117"/>
      <c r="KYG188" s="117"/>
      <c r="KYH188" s="117"/>
      <c r="KYI188" s="117"/>
      <c r="KYJ188" s="117"/>
      <c r="KYK188" s="117"/>
      <c r="KYL188" s="117"/>
      <c r="KYM188" s="117"/>
      <c r="KYN188" s="117"/>
      <c r="KYO188" s="117"/>
      <c r="KYP188" s="117"/>
      <c r="KYQ188" s="117"/>
      <c r="KYR188" s="117"/>
      <c r="KYS188" s="117"/>
      <c r="KYT188" s="117"/>
      <c r="KYU188" s="117"/>
      <c r="KYV188" s="117"/>
      <c r="KYW188" s="117"/>
      <c r="KYX188" s="117"/>
      <c r="KYY188" s="117"/>
      <c r="KYZ188" s="117"/>
      <c r="KZA188" s="117"/>
      <c r="KZB188" s="117"/>
      <c r="KZC188" s="117"/>
      <c r="KZD188" s="117"/>
      <c r="KZE188" s="117"/>
      <c r="KZF188" s="117"/>
      <c r="KZG188" s="117"/>
      <c r="KZH188" s="117"/>
      <c r="KZI188" s="117"/>
      <c r="KZJ188" s="117"/>
      <c r="KZK188" s="117"/>
      <c r="KZL188" s="117"/>
      <c r="KZM188" s="117"/>
      <c r="KZN188" s="117"/>
      <c r="KZO188" s="117"/>
      <c r="KZP188" s="117"/>
      <c r="KZQ188" s="117"/>
      <c r="KZR188" s="117"/>
      <c r="KZS188" s="117"/>
      <c r="KZT188" s="117"/>
      <c r="KZU188" s="117"/>
      <c r="KZV188" s="117"/>
      <c r="KZW188" s="117"/>
      <c r="KZX188" s="117"/>
      <c r="KZY188" s="117"/>
      <c r="KZZ188" s="117"/>
      <c r="LAA188" s="117"/>
      <c r="LAB188" s="117"/>
      <c r="LAC188" s="117"/>
      <c r="LAD188" s="117"/>
      <c r="LAE188" s="117"/>
      <c r="LAF188" s="117"/>
      <c r="LAG188" s="117"/>
      <c r="LAH188" s="117"/>
      <c r="LAI188" s="117"/>
      <c r="LAJ188" s="117"/>
      <c r="LAK188" s="117"/>
      <c r="LAL188" s="117"/>
      <c r="LAM188" s="117"/>
      <c r="LAN188" s="117"/>
      <c r="LAO188" s="117"/>
      <c r="LAP188" s="117"/>
      <c r="LAQ188" s="117"/>
      <c r="LAR188" s="117"/>
      <c r="LAS188" s="117"/>
      <c r="LAT188" s="117"/>
      <c r="LAU188" s="117"/>
      <c r="LAV188" s="117"/>
      <c r="LAW188" s="117"/>
      <c r="LAX188" s="117"/>
      <c r="LAY188" s="117"/>
      <c r="LAZ188" s="117"/>
      <c r="LBA188" s="117"/>
      <c r="LBB188" s="117"/>
      <c r="LBC188" s="117"/>
      <c r="LBD188" s="117"/>
      <c r="LBE188" s="117"/>
      <c r="LBF188" s="117"/>
      <c r="LBG188" s="117"/>
      <c r="LBH188" s="117"/>
      <c r="LBI188" s="117"/>
      <c r="LBJ188" s="117"/>
      <c r="LBK188" s="117"/>
      <c r="LBL188" s="117"/>
      <c r="LBM188" s="117"/>
      <c r="LBN188" s="117"/>
      <c r="LBO188" s="117"/>
      <c r="LBP188" s="117"/>
      <c r="LBQ188" s="117"/>
      <c r="LBR188" s="117"/>
      <c r="LBS188" s="117"/>
      <c r="LBT188" s="117"/>
      <c r="LBU188" s="117"/>
      <c r="LBV188" s="117"/>
      <c r="LBW188" s="117"/>
      <c r="LBX188" s="117"/>
      <c r="LBY188" s="117"/>
      <c r="LBZ188" s="117"/>
      <c r="LCA188" s="117"/>
      <c r="LCB188" s="117"/>
      <c r="LCC188" s="117"/>
      <c r="LCD188" s="117"/>
      <c r="LCE188" s="117"/>
      <c r="LCF188" s="117"/>
      <c r="LCG188" s="117"/>
      <c r="LCH188" s="117"/>
      <c r="LCI188" s="117"/>
      <c r="LCJ188" s="117"/>
      <c r="LCK188" s="117"/>
      <c r="LCL188" s="117"/>
      <c r="LCM188" s="117"/>
      <c r="LCN188" s="117"/>
      <c r="LCO188" s="117"/>
      <c r="LCP188" s="117"/>
      <c r="LCQ188" s="117"/>
      <c r="LCR188" s="117"/>
      <c r="LCS188" s="117"/>
      <c r="LCT188" s="117"/>
      <c r="LCU188" s="117"/>
      <c r="LCV188" s="117"/>
      <c r="LCW188" s="117"/>
      <c r="LCX188" s="117"/>
      <c r="LCY188" s="117"/>
      <c r="LCZ188" s="117"/>
      <c r="LDA188" s="117"/>
      <c r="LDB188" s="117"/>
      <c r="LDC188" s="117"/>
      <c r="LDD188" s="117"/>
      <c r="LDE188" s="117"/>
      <c r="LDF188" s="117"/>
      <c r="LDG188" s="117"/>
      <c r="LDH188" s="117"/>
      <c r="LDI188" s="117"/>
      <c r="LDJ188" s="117"/>
      <c r="LDK188" s="117"/>
      <c r="LDL188" s="117"/>
      <c r="LDM188" s="117"/>
      <c r="LDN188" s="117"/>
      <c r="LDO188" s="117"/>
      <c r="LDP188" s="117"/>
      <c r="LDQ188" s="117"/>
      <c r="LDR188" s="117"/>
      <c r="LDS188" s="117"/>
      <c r="LDT188" s="117"/>
      <c r="LDU188" s="117"/>
      <c r="LDV188" s="117"/>
      <c r="LDW188" s="117"/>
      <c r="LDX188" s="117"/>
      <c r="LDY188" s="117"/>
      <c r="LDZ188" s="117"/>
      <c r="LEA188" s="117"/>
      <c r="LEB188" s="117"/>
      <c r="LEC188" s="117"/>
      <c r="LED188" s="117"/>
      <c r="LEE188" s="117"/>
      <c r="LEF188" s="117"/>
      <c r="LEG188" s="117"/>
      <c r="LEH188" s="117"/>
      <c r="LEI188" s="117"/>
      <c r="LEJ188" s="117"/>
      <c r="LEK188" s="117"/>
      <c r="LEL188" s="117"/>
      <c r="LEM188" s="117"/>
      <c r="LEN188" s="117"/>
      <c r="LEO188" s="117"/>
      <c r="LEP188" s="117"/>
      <c r="LEQ188" s="117"/>
      <c r="LER188" s="117"/>
      <c r="LES188" s="117"/>
      <c r="LET188" s="117"/>
      <c r="LEU188" s="117"/>
      <c r="LEV188" s="117"/>
      <c r="LEW188" s="117"/>
      <c r="LEX188" s="117"/>
      <c r="LEY188" s="117"/>
      <c r="LEZ188" s="117"/>
      <c r="LFA188" s="117"/>
      <c r="LFB188" s="117"/>
      <c r="LFC188" s="117"/>
      <c r="LFD188" s="117"/>
      <c r="LFE188" s="117"/>
      <c r="LFF188" s="117"/>
      <c r="LFG188" s="117"/>
      <c r="LFH188" s="117"/>
      <c r="LFI188" s="117"/>
      <c r="LFJ188" s="117"/>
      <c r="LFK188" s="117"/>
      <c r="LFL188" s="117"/>
      <c r="LFM188" s="117"/>
      <c r="LFN188" s="117"/>
      <c r="LFO188" s="117"/>
      <c r="LFP188" s="117"/>
      <c r="LFQ188" s="117"/>
      <c r="LFR188" s="117"/>
      <c r="LFS188" s="117"/>
      <c r="LFT188" s="117"/>
      <c r="LFU188" s="117"/>
      <c r="LFV188" s="117"/>
      <c r="LFW188" s="117"/>
      <c r="LFX188" s="117"/>
      <c r="LFY188" s="117"/>
      <c r="LFZ188" s="117"/>
      <c r="LGA188" s="117"/>
      <c r="LGB188" s="117"/>
      <c r="LGC188" s="117"/>
      <c r="LGD188" s="117"/>
      <c r="LGE188" s="117"/>
      <c r="LGF188" s="117"/>
      <c r="LGG188" s="117"/>
      <c r="LGH188" s="117"/>
      <c r="LGI188" s="117"/>
      <c r="LGJ188" s="117"/>
      <c r="LGK188" s="117"/>
      <c r="LGL188" s="117"/>
      <c r="LGM188" s="117"/>
      <c r="LGN188" s="117"/>
      <c r="LGO188" s="117"/>
      <c r="LGP188" s="117"/>
      <c r="LGQ188" s="117"/>
      <c r="LGR188" s="117"/>
      <c r="LGS188" s="117"/>
      <c r="LGT188" s="117"/>
      <c r="LGU188" s="117"/>
      <c r="LGV188" s="117"/>
      <c r="LGW188" s="117"/>
      <c r="LGX188" s="117"/>
      <c r="LGY188" s="117"/>
      <c r="LGZ188" s="117"/>
      <c r="LHA188" s="117"/>
      <c r="LHB188" s="117"/>
      <c r="LHC188" s="117"/>
      <c r="LHD188" s="117"/>
      <c r="LHE188" s="117"/>
      <c r="LHF188" s="117"/>
      <c r="LHG188" s="117"/>
      <c r="LHH188" s="117"/>
      <c r="LHI188" s="117"/>
      <c r="LHJ188" s="117"/>
      <c r="LHK188" s="117"/>
      <c r="LHL188" s="117"/>
      <c r="LHM188" s="117"/>
      <c r="LHN188" s="117"/>
      <c r="LHO188" s="117"/>
      <c r="LHP188" s="117"/>
      <c r="LHQ188" s="117"/>
      <c r="LHR188" s="117"/>
      <c r="LHS188" s="117"/>
      <c r="LHT188" s="117"/>
      <c r="LHU188" s="117"/>
      <c r="LHV188" s="117"/>
      <c r="LHW188" s="117"/>
      <c r="LHX188" s="117"/>
      <c r="LHY188" s="117"/>
      <c r="LHZ188" s="117"/>
      <c r="LIA188" s="117"/>
      <c r="LIB188" s="117"/>
      <c r="LIC188" s="117"/>
      <c r="LID188" s="117"/>
      <c r="LIE188" s="117"/>
      <c r="LIF188" s="117"/>
      <c r="LIG188" s="117"/>
      <c r="LIH188" s="117"/>
      <c r="LII188" s="117"/>
      <c r="LIJ188" s="117"/>
      <c r="LIK188" s="117"/>
      <c r="LIL188" s="117"/>
      <c r="LIM188" s="117"/>
      <c r="LIN188" s="117"/>
      <c r="LIO188" s="117"/>
      <c r="LIP188" s="117"/>
      <c r="LIQ188" s="117"/>
      <c r="LIR188" s="117"/>
      <c r="LIS188" s="117"/>
      <c r="LIT188" s="117"/>
      <c r="LIU188" s="117"/>
      <c r="LIV188" s="117"/>
      <c r="LIW188" s="117"/>
      <c r="LIX188" s="117"/>
      <c r="LIY188" s="117"/>
      <c r="LIZ188" s="117"/>
      <c r="LJA188" s="117"/>
      <c r="LJB188" s="117"/>
      <c r="LJC188" s="117"/>
      <c r="LJD188" s="117"/>
      <c r="LJE188" s="117"/>
      <c r="LJF188" s="117"/>
      <c r="LJG188" s="117"/>
      <c r="LJH188" s="117"/>
      <c r="LJI188" s="117"/>
      <c r="LJJ188" s="117"/>
      <c r="LJK188" s="117"/>
      <c r="LJL188" s="117"/>
      <c r="LJM188" s="117"/>
      <c r="LJN188" s="117"/>
      <c r="LJO188" s="117"/>
      <c r="LJP188" s="117"/>
      <c r="LJQ188" s="117"/>
      <c r="LJR188" s="117"/>
      <c r="LJS188" s="117"/>
      <c r="LJT188" s="117"/>
      <c r="LJU188" s="117"/>
      <c r="LJV188" s="117"/>
      <c r="LJW188" s="117"/>
      <c r="LJX188" s="117"/>
      <c r="LJY188" s="117"/>
      <c r="LJZ188" s="117"/>
      <c r="LKA188" s="117"/>
      <c r="LKB188" s="117"/>
      <c r="LKC188" s="117"/>
      <c r="LKD188" s="117"/>
      <c r="LKE188" s="117"/>
      <c r="LKF188" s="117"/>
      <c r="LKG188" s="117"/>
      <c r="LKH188" s="117"/>
      <c r="LKI188" s="117"/>
      <c r="LKJ188" s="117"/>
      <c r="LKK188" s="117"/>
      <c r="LKL188" s="117"/>
      <c r="LKM188" s="117"/>
      <c r="LKN188" s="117"/>
      <c r="LKO188" s="117"/>
      <c r="LKP188" s="117"/>
      <c r="LKQ188" s="117"/>
      <c r="LKR188" s="117"/>
      <c r="LKS188" s="117"/>
      <c r="LKT188" s="117"/>
      <c r="LKU188" s="117"/>
      <c r="LKV188" s="117"/>
      <c r="LKW188" s="117"/>
      <c r="LKX188" s="117"/>
      <c r="LKY188" s="117"/>
      <c r="LKZ188" s="117"/>
      <c r="LLA188" s="117"/>
      <c r="LLB188" s="117"/>
      <c r="LLC188" s="117"/>
      <c r="LLD188" s="117"/>
      <c r="LLE188" s="117"/>
      <c r="LLF188" s="117"/>
      <c r="LLG188" s="117"/>
      <c r="LLH188" s="117"/>
      <c r="LLI188" s="117"/>
      <c r="LLJ188" s="117"/>
      <c r="LLK188" s="117"/>
      <c r="LLL188" s="117"/>
      <c r="LLM188" s="117"/>
      <c r="LLN188" s="117"/>
      <c r="LLO188" s="117"/>
      <c r="LLP188" s="117"/>
      <c r="LLQ188" s="117"/>
      <c r="LLR188" s="117"/>
      <c r="LLS188" s="117"/>
      <c r="LLT188" s="117"/>
      <c r="LLU188" s="117"/>
      <c r="LLV188" s="117"/>
      <c r="LLW188" s="117"/>
      <c r="LLX188" s="117"/>
      <c r="LLY188" s="117"/>
      <c r="LLZ188" s="117"/>
      <c r="LMA188" s="117"/>
      <c r="LMB188" s="117"/>
      <c r="LMC188" s="117"/>
      <c r="LMD188" s="117"/>
      <c r="LME188" s="117"/>
      <c r="LMF188" s="117"/>
      <c r="LMG188" s="117"/>
      <c r="LMH188" s="117"/>
      <c r="LMI188" s="117"/>
      <c r="LMJ188" s="117"/>
      <c r="LMK188" s="117"/>
      <c r="LML188" s="117"/>
      <c r="LMM188" s="117"/>
      <c r="LMN188" s="117"/>
      <c r="LMO188" s="117"/>
      <c r="LMP188" s="117"/>
      <c r="LMQ188" s="117"/>
      <c r="LMR188" s="117"/>
      <c r="LMS188" s="117"/>
      <c r="LMT188" s="117"/>
      <c r="LMU188" s="117"/>
      <c r="LMV188" s="117"/>
      <c r="LMW188" s="117"/>
      <c r="LMX188" s="117"/>
      <c r="LMY188" s="117"/>
      <c r="LMZ188" s="117"/>
      <c r="LNA188" s="117"/>
      <c r="LNB188" s="117"/>
      <c r="LNC188" s="117"/>
      <c r="LND188" s="117"/>
      <c r="LNE188" s="117"/>
      <c r="LNF188" s="117"/>
      <c r="LNG188" s="117"/>
      <c r="LNH188" s="117"/>
      <c r="LNI188" s="117"/>
      <c r="LNJ188" s="117"/>
      <c r="LNK188" s="117"/>
      <c r="LNL188" s="117"/>
      <c r="LNM188" s="117"/>
      <c r="LNN188" s="117"/>
      <c r="LNO188" s="117"/>
      <c r="LNP188" s="117"/>
      <c r="LNQ188" s="117"/>
      <c r="LNR188" s="117"/>
      <c r="LNS188" s="117"/>
      <c r="LNT188" s="117"/>
      <c r="LNU188" s="117"/>
      <c r="LNV188" s="117"/>
      <c r="LNW188" s="117"/>
      <c r="LNX188" s="117"/>
      <c r="LNY188" s="117"/>
      <c r="LNZ188" s="117"/>
      <c r="LOA188" s="117"/>
      <c r="LOB188" s="117"/>
      <c r="LOC188" s="117"/>
      <c r="LOD188" s="117"/>
      <c r="LOE188" s="117"/>
      <c r="LOF188" s="117"/>
      <c r="LOG188" s="117"/>
      <c r="LOH188" s="117"/>
      <c r="LOI188" s="117"/>
      <c r="LOJ188" s="117"/>
      <c r="LOK188" s="117"/>
      <c r="LOL188" s="117"/>
      <c r="LOM188" s="117"/>
      <c r="LON188" s="117"/>
      <c r="LOO188" s="117"/>
      <c r="LOP188" s="117"/>
      <c r="LOQ188" s="117"/>
      <c r="LOR188" s="117"/>
      <c r="LOS188" s="117"/>
      <c r="LOT188" s="117"/>
      <c r="LOU188" s="117"/>
      <c r="LOV188" s="117"/>
      <c r="LOW188" s="117"/>
      <c r="LOX188" s="117"/>
      <c r="LOY188" s="117"/>
      <c r="LOZ188" s="117"/>
      <c r="LPA188" s="117"/>
      <c r="LPB188" s="117"/>
      <c r="LPC188" s="117"/>
      <c r="LPD188" s="117"/>
      <c r="LPE188" s="117"/>
      <c r="LPF188" s="117"/>
      <c r="LPG188" s="117"/>
      <c r="LPH188" s="117"/>
      <c r="LPI188" s="117"/>
      <c r="LPJ188" s="117"/>
      <c r="LPK188" s="117"/>
      <c r="LPL188" s="117"/>
      <c r="LPM188" s="117"/>
      <c r="LPN188" s="117"/>
      <c r="LPO188" s="117"/>
      <c r="LPP188" s="117"/>
      <c r="LPQ188" s="117"/>
      <c r="LPR188" s="117"/>
      <c r="LPS188" s="117"/>
      <c r="LPT188" s="117"/>
      <c r="LPU188" s="117"/>
      <c r="LPV188" s="117"/>
      <c r="LPW188" s="117"/>
      <c r="LPX188" s="117"/>
      <c r="LPY188" s="117"/>
      <c r="LPZ188" s="117"/>
      <c r="LQA188" s="117"/>
      <c r="LQB188" s="117"/>
      <c r="LQC188" s="117"/>
      <c r="LQD188" s="117"/>
      <c r="LQE188" s="117"/>
      <c r="LQF188" s="117"/>
      <c r="LQG188" s="117"/>
      <c r="LQH188" s="117"/>
      <c r="LQI188" s="117"/>
      <c r="LQJ188" s="117"/>
      <c r="LQK188" s="117"/>
      <c r="LQL188" s="117"/>
      <c r="LQM188" s="117"/>
      <c r="LQN188" s="117"/>
      <c r="LQO188" s="117"/>
      <c r="LQP188" s="117"/>
      <c r="LQQ188" s="117"/>
      <c r="LQR188" s="117"/>
      <c r="LQS188" s="117"/>
      <c r="LQT188" s="117"/>
      <c r="LQU188" s="117"/>
      <c r="LQV188" s="117"/>
      <c r="LQW188" s="117"/>
      <c r="LQX188" s="117"/>
      <c r="LQY188" s="117"/>
      <c r="LQZ188" s="117"/>
      <c r="LRA188" s="117"/>
      <c r="LRB188" s="117"/>
      <c r="LRC188" s="117"/>
      <c r="LRD188" s="117"/>
      <c r="LRE188" s="117"/>
      <c r="LRF188" s="117"/>
      <c r="LRG188" s="117"/>
      <c r="LRH188" s="117"/>
      <c r="LRI188" s="117"/>
      <c r="LRJ188" s="117"/>
      <c r="LRK188" s="117"/>
      <c r="LRL188" s="117"/>
      <c r="LRM188" s="117"/>
      <c r="LRN188" s="117"/>
      <c r="LRO188" s="117"/>
      <c r="LRP188" s="117"/>
      <c r="LRQ188" s="117"/>
      <c r="LRR188" s="117"/>
      <c r="LRS188" s="117"/>
      <c r="LRT188" s="117"/>
      <c r="LRU188" s="117"/>
      <c r="LRV188" s="117"/>
      <c r="LRW188" s="117"/>
      <c r="LRX188" s="117"/>
      <c r="LRY188" s="117"/>
      <c r="LRZ188" s="117"/>
      <c r="LSA188" s="117"/>
      <c r="LSB188" s="117"/>
      <c r="LSC188" s="117"/>
      <c r="LSD188" s="117"/>
      <c r="LSE188" s="117"/>
      <c r="LSF188" s="117"/>
      <c r="LSG188" s="117"/>
      <c r="LSH188" s="117"/>
      <c r="LSI188" s="117"/>
      <c r="LSJ188" s="117"/>
      <c r="LSK188" s="117"/>
      <c r="LSL188" s="117"/>
      <c r="LSM188" s="117"/>
      <c r="LSN188" s="117"/>
      <c r="LSO188" s="117"/>
      <c r="LSP188" s="117"/>
      <c r="LSQ188" s="117"/>
      <c r="LSR188" s="117"/>
      <c r="LSS188" s="117"/>
      <c r="LST188" s="117"/>
      <c r="LSU188" s="117"/>
      <c r="LSV188" s="117"/>
      <c r="LSW188" s="117"/>
      <c r="LSX188" s="117"/>
      <c r="LSY188" s="117"/>
      <c r="LSZ188" s="117"/>
      <c r="LTA188" s="117"/>
      <c r="LTB188" s="117"/>
      <c r="LTC188" s="117"/>
      <c r="LTD188" s="117"/>
      <c r="LTE188" s="117"/>
      <c r="LTF188" s="117"/>
      <c r="LTG188" s="117"/>
      <c r="LTH188" s="117"/>
      <c r="LTI188" s="117"/>
      <c r="LTJ188" s="117"/>
      <c r="LTK188" s="117"/>
      <c r="LTL188" s="117"/>
      <c r="LTM188" s="117"/>
      <c r="LTN188" s="117"/>
      <c r="LTO188" s="117"/>
      <c r="LTP188" s="117"/>
      <c r="LTQ188" s="117"/>
      <c r="LTR188" s="117"/>
      <c r="LTS188" s="117"/>
      <c r="LTT188" s="117"/>
      <c r="LTU188" s="117"/>
      <c r="LTV188" s="117"/>
      <c r="LTW188" s="117"/>
      <c r="LTX188" s="117"/>
      <c r="LTY188" s="117"/>
      <c r="LTZ188" s="117"/>
      <c r="LUA188" s="117"/>
      <c r="LUB188" s="117"/>
      <c r="LUC188" s="117"/>
      <c r="LUD188" s="117"/>
      <c r="LUE188" s="117"/>
      <c r="LUF188" s="117"/>
      <c r="LUG188" s="117"/>
      <c r="LUH188" s="117"/>
      <c r="LUI188" s="117"/>
      <c r="LUJ188" s="117"/>
      <c r="LUK188" s="117"/>
      <c r="LUL188" s="117"/>
      <c r="LUM188" s="117"/>
      <c r="LUN188" s="117"/>
      <c r="LUO188" s="117"/>
      <c r="LUP188" s="117"/>
      <c r="LUQ188" s="117"/>
      <c r="LUR188" s="117"/>
      <c r="LUS188" s="117"/>
      <c r="LUT188" s="117"/>
      <c r="LUU188" s="117"/>
      <c r="LUV188" s="117"/>
      <c r="LUW188" s="117"/>
      <c r="LUX188" s="117"/>
      <c r="LUY188" s="117"/>
      <c r="LUZ188" s="117"/>
      <c r="LVA188" s="117"/>
      <c r="LVB188" s="117"/>
      <c r="LVC188" s="117"/>
      <c r="LVD188" s="117"/>
      <c r="LVE188" s="117"/>
      <c r="LVF188" s="117"/>
      <c r="LVG188" s="117"/>
      <c r="LVH188" s="117"/>
      <c r="LVI188" s="117"/>
      <c r="LVJ188" s="117"/>
      <c r="LVK188" s="117"/>
      <c r="LVL188" s="117"/>
      <c r="LVM188" s="117"/>
      <c r="LVN188" s="117"/>
      <c r="LVO188" s="117"/>
      <c r="LVP188" s="117"/>
      <c r="LVQ188" s="117"/>
      <c r="LVR188" s="117"/>
      <c r="LVS188" s="117"/>
      <c r="LVT188" s="117"/>
      <c r="LVU188" s="117"/>
      <c r="LVV188" s="117"/>
      <c r="LVW188" s="117"/>
      <c r="LVX188" s="117"/>
      <c r="LVY188" s="117"/>
      <c r="LVZ188" s="117"/>
      <c r="LWA188" s="117"/>
      <c r="LWB188" s="117"/>
      <c r="LWC188" s="117"/>
      <c r="LWD188" s="117"/>
      <c r="LWE188" s="117"/>
      <c r="LWF188" s="117"/>
      <c r="LWG188" s="117"/>
      <c r="LWH188" s="117"/>
      <c r="LWI188" s="117"/>
      <c r="LWJ188" s="117"/>
      <c r="LWK188" s="117"/>
      <c r="LWL188" s="117"/>
      <c r="LWM188" s="117"/>
      <c r="LWN188" s="117"/>
      <c r="LWO188" s="117"/>
      <c r="LWP188" s="117"/>
      <c r="LWQ188" s="117"/>
      <c r="LWR188" s="117"/>
      <c r="LWS188" s="117"/>
      <c r="LWT188" s="117"/>
      <c r="LWU188" s="117"/>
      <c r="LWV188" s="117"/>
      <c r="LWW188" s="117"/>
      <c r="LWX188" s="117"/>
      <c r="LWY188" s="117"/>
      <c r="LWZ188" s="117"/>
      <c r="LXA188" s="117"/>
      <c r="LXB188" s="117"/>
      <c r="LXC188" s="117"/>
      <c r="LXD188" s="117"/>
      <c r="LXE188" s="117"/>
      <c r="LXF188" s="117"/>
      <c r="LXG188" s="117"/>
      <c r="LXH188" s="117"/>
      <c r="LXI188" s="117"/>
      <c r="LXJ188" s="117"/>
      <c r="LXK188" s="117"/>
      <c r="LXL188" s="117"/>
      <c r="LXM188" s="117"/>
      <c r="LXN188" s="117"/>
      <c r="LXO188" s="117"/>
      <c r="LXP188" s="117"/>
      <c r="LXQ188" s="117"/>
      <c r="LXR188" s="117"/>
      <c r="LXS188" s="117"/>
      <c r="LXT188" s="117"/>
      <c r="LXU188" s="117"/>
      <c r="LXV188" s="117"/>
      <c r="LXW188" s="117"/>
      <c r="LXX188" s="117"/>
      <c r="LXY188" s="117"/>
      <c r="LXZ188" s="117"/>
      <c r="LYA188" s="117"/>
      <c r="LYB188" s="117"/>
      <c r="LYC188" s="117"/>
      <c r="LYD188" s="117"/>
      <c r="LYE188" s="117"/>
      <c r="LYF188" s="117"/>
      <c r="LYG188" s="117"/>
      <c r="LYH188" s="117"/>
      <c r="LYI188" s="117"/>
      <c r="LYJ188" s="117"/>
      <c r="LYK188" s="117"/>
      <c r="LYL188" s="117"/>
      <c r="LYM188" s="117"/>
      <c r="LYN188" s="117"/>
      <c r="LYO188" s="117"/>
      <c r="LYP188" s="117"/>
      <c r="LYQ188" s="117"/>
      <c r="LYR188" s="117"/>
      <c r="LYS188" s="117"/>
      <c r="LYT188" s="117"/>
      <c r="LYU188" s="117"/>
      <c r="LYV188" s="117"/>
      <c r="LYW188" s="117"/>
      <c r="LYX188" s="117"/>
      <c r="LYY188" s="117"/>
      <c r="LYZ188" s="117"/>
      <c r="LZA188" s="117"/>
      <c r="LZB188" s="117"/>
      <c r="LZC188" s="117"/>
      <c r="LZD188" s="117"/>
      <c r="LZE188" s="117"/>
      <c r="LZF188" s="117"/>
      <c r="LZG188" s="117"/>
      <c r="LZH188" s="117"/>
      <c r="LZI188" s="117"/>
      <c r="LZJ188" s="117"/>
      <c r="LZK188" s="117"/>
      <c r="LZL188" s="117"/>
      <c r="LZM188" s="117"/>
      <c r="LZN188" s="117"/>
      <c r="LZO188" s="117"/>
      <c r="LZP188" s="117"/>
      <c r="LZQ188" s="117"/>
      <c r="LZR188" s="117"/>
      <c r="LZS188" s="117"/>
      <c r="LZT188" s="117"/>
      <c r="LZU188" s="117"/>
      <c r="LZV188" s="117"/>
      <c r="LZW188" s="117"/>
      <c r="LZX188" s="117"/>
      <c r="LZY188" s="117"/>
      <c r="LZZ188" s="117"/>
      <c r="MAA188" s="117"/>
      <c r="MAB188" s="117"/>
      <c r="MAC188" s="117"/>
      <c r="MAD188" s="117"/>
      <c r="MAE188" s="117"/>
      <c r="MAF188" s="117"/>
      <c r="MAG188" s="117"/>
      <c r="MAH188" s="117"/>
      <c r="MAI188" s="117"/>
      <c r="MAJ188" s="117"/>
      <c r="MAK188" s="117"/>
      <c r="MAL188" s="117"/>
      <c r="MAM188" s="117"/>
      <c r="MAN188" s="117"/>
      <c r="MAO188" s="117"/>
      <c r="MAP188" s="117"/>
      <c r="MAQ188" s="117"/>
      <c r="MAR188" s="117"/>
      <c r="MAS188" s="117"/>
      <c r="MAT188" s="117"/>
      <c r="MAU188" s="117"/>
      <c r="MAV188" s="117"/>
      <c r="MAW188" s="117"/>
      <c r="MAX188" s="117"/>
      <c r="MAY188" s="117"/>
      <c r="MAZ188" s="117"/>
      <c r="MBA188" s="117"/>
      <c r="MBB188" s="117"/>
      <c r="MBC188" s="117"/>
      <c r="MBD188" s="117"/>
      <c r="MBE188" s="117"/>
      <c r="MBF188" s="117"/>
      <c r="MBG188" s="117"/>
      <c r="MBH188" s="117"/>
      <c r="MBI188" s="117"/>
      <c r="MBJ188" s="117"/>
      <c r="MBK188" s="117"/>
      <c r="MBL188" s="117"/>
      <c r="MBM188" s="117"/>
      <c r="MBN188" s="117"/>
      <c r="MBO188" s="117"/>
      <c r="MBP188" s="117"/>
      <c r="MBQ188" s="117"/>
      <c r="MBR188" s="117"/>
      <c r="MBS188" s="117"/>
      <c r="MBT188" s="117"/>
      <c r="MBU188" s="117"/>
      <c r="MBV188" s="117"/>
      <c r="MBW188" s="117"/>
      <c r="MBX188" s="117"/>
      <c r="MBY188" s="117"/>
      <c r="MBZ188" s="117"/>
      <c r="MCA188" s="117"/>
      <c r="MCB188" s="117"/>
      <c r="MCC188" s="117"/>
      <c r="MCD188" s="117"/>
      <c r="MCE188" s="117"/>
      <c r="MCF188" s="117"/>
      <c r="MCG188" s="117"/>
      <c r="MCH188" s="117"/>
      <c r="MCI188" s="117"/>
      <c r="MCJ188" s="117"/>
      <c r="MCK188" s="117"/>
      <c r="MCL188" s="117"/>
      <c r="MCM188" s="117"/>
      <c r="MCN188" s="117"/>
      <c r="MCO188" s="117"/>
      <c r="MCP188" s="117"/>
      <c r="MCQ188" s="117"/>
      <c r="MCR188" s="117"/>
      <c r="MCS188" s="117"/>
      <c r="MCT188" s="117"/>
      <c r="MCU188" s="117"/>
      <c r="MCV188" s="117"/>
      <c r="MCW188" s="117"/>
      <c r="MCX188" s="117"/>
      <c r="MCY188" s="117"/>
      <c r="MCZ188" s="117"/>
      <c r="MDA188" s="117"/>
      <c r="MDB188" s="117"/>
      <c r="MDC188" s="117"/>
      <c r="MDD188" s="117"/>
      <c r="MDE188" s="117"/>
      <c r="MDF188" s="117"/>
      <c r="MDG188" s="117"/>
      <c r="MDH188" s="117"/>
      <c r="MDI188" s="117"/>
      <c r="MDJ188" s="117"/>
      <c r="MDK188" s="117"/>
      <c r="MDL188" s="117"/>
      <c r="MDM188" s="117"/>
      <c r="MDN188" s="117"/>
      <c r="MDO188" s="117"/>
      <c r="MDP188" s="117"/>
      <c r="MDQ188" s="117"/>
      <c r="MDR188" s="117"/>
      <c r="MDS188" s="117"/>
      <c r="MDT188" s="117"/>
      <c r="MDU188" s="117"/>
      <c r="MDV188" s="117"/>
      <c r="MDW188" s="117"/>
      <c r="MDX188" s="117"/>
      <c r="MDY188" s="117"/>
      <c r="MDZ188" s="117"/>
      <c r="MEA188" s="117"/>
      <c r="MEB188" s="117"/>
      <c r="MEC188" s="117"/>
      <c r="MED188" s="117"/>
      <c r="MEE188" s="117"/>
      <c r="MEF188" s="117"/>
      <c r="MEG188" s="117"/>
      <c r="MEH188" s="117"/>
      <c r="MEI188" s="117"/>
      <c r="MEJ188" s="117"/>
      <c r="MEK188" s="117"/>
      <c r="MEL188" s="117"/>
      <c r="MEM188" s="117"/>
      <c r="MEN188" s="117"/>
      <c r="MEO188" s="117"/>
      <c r="MEP188" s="117"/>
      <c r="MEQ188" s="117"/>
      <c r="MER188" s="117"/>
      <c r="MES188" s="117"/>
      <c r="MET188" s="117"/>
      <c r="MEU188" s="117"/>
      <c r="MEV188" s="117"/>
      <c r="MEW188" s="117"/>
      <c r="MEX188" s="117"/>
      <c r="MEY188" s="117"/>
      <c r="MEZ188" s="117"/>
      <c r="MFA188" s="117"/>
      <c r="MFB188" s="117"/>
      <c r="MFC188" s="117"/>
      <c r="MFD188" s="117"/>
      <c r="MFE188" s="117"/>
      <c r="MFF188" s="117"/>
      <c r="MFG188" s="117"/>
      <c r="MFH188" s="117"/>
      <c r="MFI188" s="117"/>
      <c r="MFJ188" s="117"/>
      <c r="MFK188" s="117"/>
      <c r="MFL188" s="117"/>
      <c r="MFM188" s="117"/>
      <c r="MFN188" s="117"/>
      <c r="MFO188" s="117"/>
      <c r="MFP188" s="117"/>
      <c r="MFQ188" s="117"/>
      <c r="MFR188" s="117"/>
      <c r="MFS188" s="117"/>
      <c r="MFT188" s="117"/>
      <c r="MFU188" s="117"/>
      <c r="MFV188" s="117"/>
      <c r="MFW188" s="117"/>
      <c r="MFX188" s="117"/>
      <c r="MFY188" s="117"/>
      <c r="MFZ188" s="117"/>
      <c r="MGA188" s="117"/>
      <c r="MGB188" s="117"/>
      <c r="MGC188" s="117"/>
      <c r="MGD188" s="117"/>
      <c r="MGE188" s="117"/>
      <c r="MGF188" s="117"/>
      <c r="MGG188" s="117"/>
      <c r="MGH188" s="117"/>
      <c r="MGI188" s="117"/>
      <c r="MGJ188" s="117"/>
      <c r="MGK188" s="117"/>
      <c r="MGL188" s="117"/>
      <c r="MGM188" s="117"/>
      <c r="MGN188" s="117"/>
      <c r="MGO188" s="117"/>
      <c r="MGP188" s="117"/>
      <c r="MGQ188" s="117"/>
      <c r="MGR188" s="117"/>
      <c r="MGS188" s="117"/>
      <c r="MGT188" s="117"/>
      <c r="MGU188" s="117"/>
      <c r="MGV188" s="117"/>
      <c r="MGW188" s="117"/>
      <c r="MGX188" s="117"/>
      <c r="MGY188" s="117"/>
      <c r="MGZ188" s="117"/>
      <c r="MHA188" s="117"/>
      <c r="MHB188" s="117"/>
      <c r="MHC188" s="117"/>
      <c r="MHD188" s="117"/>
      <c r="MHE188" s="117"/>
      <c r="MHF188" s="117"/>
      <c r="MHG188" s="117"/>
      <c r="MHH188" s="117"/>
      <c r="MHI188" s="117"/>
      <c r="MHJ188" s="117"/>
      <c r="MHK188" s="117"/>
      <c r="MHL188" s="117"/>
      <c r="MHM188" s="117"/>
      <c r="MHN188" s="117"/>
      <c r="MHO188" s="117"/>
      <c r="MHP188" s="117"/>
      <c r="MHQ188" s="117"/>
      <c r="MHR188" s="117"/>
      <c r="MHS188" s="117"/>
      <c r="MHT188" s="117"/>
      <c r="MHU188" s="117"/>
      <c r="MHV188" s="117"/>
      <c r="MHW188" s="117"/>
      <c r="MHX188" s="117"/>
      <c r="MHY188" s="117"/>
      <c r="MHZ188" s="117"/>
      <c r="MIA188" s="117"/>
      <c r="MIB188" s="117"/>
      <c r="MIC188" s="117"/>
      <c r="MID188" s="117"/>
      <c r="MIE188" s="117"/>
      <c r="MIF188" s="117"/>
      <c r="MIG188" s="117"/>
      <c r="MIH188" s="117"/>
      <c r="MII188" s="117"/>
      <c r="MIJ188" s="117"/>
      <c r="MIK188" s="117"/>
      <c r="MIL188" s="117"/>
      <c r="MIM188" s="117"/>
      <c r="MIN188" s="117"/>
      <c r="MIO188" s="117"/>
      <c r="MIP188" s="117"/>
      <c r="MIQ188" s="117"/>
      <c r="MIR188" s="117"/>
      <c r="MIS188" s="117"/>
      <c r="MIT188" s="117"/>
      <c r="MIU188" s="117"/>
      <c r="MIV188" s="117"/>
      <c r="MIW188" s="117"/>
      <c r="MIX188" s="117"/>
      <c r="MIY188" s="117"/>
      <c r="MIZ188" s="117"/>
      <c r="MJA188" s="117"/>
      <c r="MJB188" s="117"/>
      <c r="MJC188" s="117"/>
      <c r="MJD188" s="117"/>
      <c r="MJE188" s="117"/>
      <c r="MJF188" s="117"/>
      <c r="MJG188" s="117"/>
      <c r="MJH188" s="117"/>
      <c r="MJI188" s="117"/>
      <c r="MJJ188" s="117"/>
      <c r="MJK188" s="117"/>
      <c r="MJL188" s="117"/>
      <c r="MJM188" s="117"/>
      <c r="MJN188" s="117"/>
      <c r="MJO188" s="117"/>
      <c r="MJP188" s="117"/>
      <c r="MJQ188" s="117"/>
      <c r="MJR188" s="117"/>
      <c r="MJS188" s="117"/>
      <c r="MJT188" s="117"/>
      <c r="MJU188" s="117"/>
      <c r="MJV188" s="117"/>
      <c r="MJW188" s="117"/>
      <c r="MJX188" s="117"/>
      <c r="MJY188" s="117"/>
      <c r="MJZ188" s="117"/>
      <c r="MKA188" s="117"/>
      <c r="MKB188" s="117"/>
      <c r="MKC188" s="117"/>
      <c r="MKD188" s="117"/>
      <c r="MKE188" s="117"/>
      <c r="MKF188" s="117"/>
      <c r="MKG188" s="117"/>
      <c r="MKH188" s="117"/>
      <c r="MKI188" s="117"/>
      <c r="MKJ188" s="117"/>
      <c r="MKK188" s="117"/>
      <c r="MKL188" s="117"/>
      <c r="MKM188" s="117"/>
      <c r="MKN188" s="117"/>
      <c r="MKO188" s="117"/>
      <c r="MKP188" s="117"/>
      <c r="MKQ188" s="117"/>
      <c r="MKR188" s="117"/>
      <c r="MKS188" s="117"/>
      <c r="MKT188" s="117"/>
      <c r="MKU188" s="117"/>
      <c r="MKV188" s="117"/>
      <c r="MKW188" s="117"/>
      <c r="MKX188" s="117"/>
      <c r="MKY188" s="117"/>
      <c r="MKZ188" s="117"/>
      <c r="MLA188" s="117"/>
      <c r="MLB188" s="117"/>
      <c r="MLC188" s="117"/>
      <c r="MLD188" s="117"/>
      <c r="MLE188" s="117"/>
      <c r="MLF188" s="117"/>
      <c r="MLG188" s="117"/>
      <c r="MLH188" s="117"/>
      <c r="MLI188" s="117"/>
      <c r="MLJ188" s="117"/>
      <c r="MLK188" s="117"/>
      <c r="MLL188" s="117"/>
      <c r="MLM188" s="117"/>
      <c r="MLN188" s="117"/>
      <c r="MLO188" s="117"/>
      <c r="MLP188" s="117"/>
      <c r="MLQ188" s="117"/>
      <c r="MLR188" s="117"/>
      <c r="MLS188" s="117"/>
      <c r="MLT188" s="117"/>
      <c r="MLU188" s="117"/>
      <c r="MLV188" s="117"/>
      <c r="MLW188" s="117"/>
      <c r="MLX188" s="117"/>
      <c r="MLY188" s="117"/>
      <c r="MLZ188" s="117"/>
      <c r="MMA188" s="117"/>
      <c r="MMB188" s="117"/>
      <c r="MMC188" s="117"/>
      <c r="MMD188" s="117"/>
      <c r="MME188" s="117"/>
      <c r="MMF188" s="117"/>
      <c r="MMG188" s="117"/>
      <c r="MMH188" s="117"/>
      <c r="MMI188" s="117"/>
      <c r="MMJ188" s="117"/>
      <c r="MMK188" s="117"/>
      <c r="MML188" s="117"/>
      <c r="MMM188" s="117"/>
      <c r="MMN188" s="117"/>
      <c r="MMO188" s="117"/>
      <c r="MMP188" s="117"/>
      <c r="MMQ188" s="117"/>
      <c r="MMR188" s="117"/>
      <c r="MMS188" s="117"/>
      <c r="MMT188" s="117"/>
      <c r="MMU188" s="117"/>
      <c r="MMV188" s="117"/>
      <c r="MMW188" s="117"/>
      <c r="MMX188" s="117"/>
      <c r="MMY188" s="117"/>
      <c r="MMZ188" s="117"/>
      <c r="MNA188" s="117"/>
      <c r="MNB188" s="117"/>
      <c r="MNC188" s="117"/>
      <c r="MND188" s="117"/>
      <c r="MNE188" s="117"/>
      <c r="MNF188" s="117"/>
      <c r="MNG188" s="117"/>
      <c r="MNH188" s="117"/>
      <c r="MNI188" s="117"/>
      <c r="MNJ188" s="117"/>
      <c r="MNK188" s="117"/>
      <c r="MNL188" s="117"/>
      <c r="MNM188" s="117"/>
      <c r="MNN188" s="117"/>
      <c r="MNO188" s="117"/>
      <c r="MNP188" s="117"/>
      <c r="MNQ188" s="117"/>
      <c r="MNR188" s="117"/>
      <c r="MNS188" s="117"/>
      <c r="MNT188" s="117"/>
      <c r="MNU188" s="117"/>
      <c r="MNV188" s="117"/>
      <c r="MNW188" s="117"/>
      <c r="MNX188" s="117"/>
      <c r="MNY188" s="117"/>
      <c r="MNZ188" s="117"/>
      <c r="MOA188" s="117"/>
      <c r="MOB188" s="117"/>
      <c r="MOC188" s="117"/>
      <c r="MOD188" s="117"/>
      <c r="MOE188" s="117"/>
      <c r="MOF188" s="117"/>
      <c r="MOG188" s="117"/>
      <c r="MOH188" s="117"/>
      <c r="MOI188" s="117"/>
      <c r="MOJ188" s="117"/>
      <c r="MOK188" s="117"/>
      <c r="MOL188" s="117"/>
      <c r="MOM188" s="117"/>
      <c r="MON188" s="117"/>
      <c r="MOO188" s="117"/>
      <c r="MOP188" s="117"/>
      <c r="MOQ188" s="117"/>
      <c r="MOR188" s="117"/>
      <c r="MOS188" s="117"/>
      <c r="MOT188" s="117"/>
      <c r="MOU188" s="117"/>
      <c r="MOV188" s="117"/>
      <c r="MOW188" s="117"/>
      <c r="MOX188" s="117"/>
      <c r="MOY188" s="117"/>
      <c r="MOZ188" s="117"/>
      <c r="MPA188" s="117"/>
      <c r="MPB188" s="117"/>
      <c r="MPC188" s="117"/>
      <c r="MPD188" s="117"/>
      <c r="MPE188" s="117"/>
      <c r="MPF188" s="117"/>
      <c r="MPG188" s="117"/>
      <c r="MPH188" s="117"/>
      <c r="MPI188" s="117"/>
      <c r="MPJ188" s="117"/>
      <c r="MPK188" s="117"/>
      <c r="MPL188" s="117"/>
      <c r="MPM188" s="117"/>
      <c r="MPN188" s="117"/>
      <c r="MPO188" s="117"/>
      <c r="MPP188" s="117"/>
      <c r="MPQ188" s="117"/>
      <c r="MPR188" s="117"/>
      <c r="MPS188" s="117"/>
      <c r="MPT188" s="117"/>
      <c r="MPU188" s="117"/>
      <c r="MPV188" s="117"/>
      <c r="MPW188" s="117"/>
      <c r="MPX188" s="117"/>
      <c r="MPY188" s="117"/>
      <c r="MPZ188" s="117"/>
      <c r="MQA188" s="117"/>
      <c r="MQB188" s="117"/>
      <c r="MQC188" s="117"/>
      <c r="MQD188" s="117"/>
      <c r="MQE188" s="117"/>
      <c r="MQF188" s="117"/>
      <c r="MQG188" s="117"/>
      <c r="MQH188" s="117"/>
      <c r="MQI188" s="117"/>
      <c r="MQJ188" s="117"/>
      <c r="MQK188" s="117"/>
      <c r="MQL188" s="117"/>
      <c r="MQM188" s="117"/>
      <c r="MQN188" s="117"/>
      <c r="MQO188" s="117"/>
      <c r="MQP188" s="117"/>
      <c r="MQQ188" s="117"/>
      <c r="MQR188" s="117"/>
      <c r="MQS188" s="117"/>
      <c r="MQT188" s="117"/>
      <c r="MQU188" s="117"/>
      <c r="MQV188" s="117"/>
      <c r="MQW188" s="117"/>
      <c r="MQX188" s="117"/>
      <c r="MQY188" s="117"/>
      <c r="MQZ188" s="117"/>
      <c r="MRA188" s="117"/>
      <c r="MRB188" s="117"/>
      <c r="MRC188" s="117"/>
      <c r="MRD188" s="117"/>
      <c r="MRE188" s="117"/>
      <c r="MRF188" s="117"/>
      <c r="MRG188" s="117"/>
      <c r="MRH188" s="117"/>
      <c r="MRI188" s="117"/>
      <c r="MRJ188" s="117"/>
      <c r="MRK188" s="117"/>
      <c r="MRL188" s="117"/>
      <c r="MRM188" s="117"/>
      <c r="MRN188" s="117"/>
      <c r="MRO188" s="117"/>
      <c r="MRP188" s="117"/>
      <c r="MRQ188" s="117"/>
      <c r="MRR188" s="117"/>
      <c r="MRS188" s="117"/>
      <c r="MRT188" s="117"/>
      <c r="MRU188" s="117"/>
      <c r="MRV188" s="117"/>
      <c r="MRW188" s="117"/>
      <c r="MRX188" s="117"/>
      <c r="MRY188" s="117"/>
      <c r="MRZ188" s="117"/>
      <c r="MSA188" s="117"/>
      <c r="MSB188" s="117"/>
      <c r="MSC188" s="117"/>
      <c r="MSD188" s="117"/>
      <c r="MSE188" s="117"/>
      <c r="MSF188" s="117"/>
      <c r="MSG188" s="117"/>
      <c r="MSH188" s="117"/>
      <c r="MSI188" s="117"/>
      <c r="MSJ188" s="117"/>
      <c r="MSK188" s="117"/>
      <c r="MSL188" s="117"/>
      <c r="MSM188" s="117"/>
      <c r="MSN188" s="117"/>
      <c r="MSO188" s="117"/>
      <c r="MSP188" s="117"/>
      <c r="MSQ188" s="117"/>
      <c r="MSR188" s="117"/>
      <c r="MSS188" s="117"/>
      <c r="MST188" s="117"/>
      <c r="MSU188" s="117"/>
      <c r="MSV188" s="117"/>
      <c r="MSW188" s="117"/>
      <c r="MSX188" s="117"/>
      <c r="MSY188" s="117"/>
      <c r="MSZ188" s="117"/>
      <c r="MTA188" s="117"/>
      <c r="MTB188" s="117"/>
      <c r="MTC188" s="117"/>
      <c r="MTD188" s="117"/>
      <c r="MTE188" s="117"/>
      <c r="MTF188" s="117"/>
      <c r="MTG188" s="117"/>
      <c r="MTH188" s="117"/>
      <c r="MTI188" s="117"/>
      <c r="MTJ188" s="117"/>
      <c r="MTK188" s="117"/>
      <c r="MTL188" s="117"/>
      <c r="MTM188" s="117"/>
      <c r="MTN188" s="117"/>
      <c r="MTO188" s="117"/>
      <c r="MTP188" s="117"/>
      <c r="MTQ188" s="117"/>
      <c r="MTR188" s="117"/>
      <c r="MTS188" s="117"/>
      <c r="MTT188" s="117"/>
      <c r="MTU188" s="117"/>
      <c r="MTV188" s="117"/>
      <c r="MTW188" s="117"/>
      <c r="MTX188" s="117"/>
      <c r="MTY188" s="117"/>
      <c r="MTZ188" s="117"/>
      <c r="MUA188" s="117"/>
      <c r="MUB188" s="117"/>
      <c r="MUC188" s="117"/>
      <c r="MUD188" s="117"/>
      <c r="MUE188" s="117"/>
      <c r="MUF188" s="117"/>
      <c r="MUG188" s="117"/>
      <c r="MUH188" s="117"/>
      <c r="MUI188" s="117"/>
      <c r="MUJ188" s="117"/>
      <c r="MUK188" s="117"/>
      <c r="MUL188" s="117"/>
      <c r="MUM188" s="117"/>
      <c r="MUN188" s="117"/>
      <c r="MUO188" s="117"/>
      <c r="MUP188" s="117"/>
      <c r="MUQ188" s="117"/>
      <c r="MUR188" s="117"/>
      <c r="MUS188" s="117"/>
      <c r="MUT188" s="117"/>
      <c r="MUU188" s="117"/>
      <c r="MUV188" s="117"/>
      <c r="MUW188" s="117"/>
      <c r="MUX188" s="117"/>
      <c r="MUY188" s="117"/>
      <c r="MUZ188" s="117"/>
      <c r="MVA188" s="117"/>
      <c r="MVB188" s="117"/>
      <c r="MVC188" s="117"/>
      <c r="MVD188" s="117"/>
      <c r="MVE188" s="117"/>
      <c r="MVF188" s="117"/>
      <c r="MVG188" s="117"/>
      <c r="MVH188" s="117"/>
      <c r="MVI188" s="117"/>
      <c r="MVJ188" s="117"/>
      <c r="MVK188" s="117"/>
      <c r="MVL188" s="117"/>
      <c r="MVM188" s="117"/>
      <c r="MVN188" s="117"/>
      <c r="MVO188" s="117"/>
      <c r="MVP188" s="117"/>
      <c r="MVQ188" s="117"/>
      <c r="MVR188" s="117"/>
      <c r="MVS188" s="117"/>
      <c r="MVT188" s="117"/>
      <c r="MVU188" s="117"/>
      <c r="MVV188" s="117"/>
      <c r="MVW188" s="117"/>
      <c r="MVX188" s="117"/>
      <c r="MVY188" s="117"/>
      <c r="MVZ188" s="117"/>
      <c r="MWA188" s="117"/>
      <c r="MWB188" s="117"/>
      <c r="MWC188" s="117"/>
      <c r="MWD188" s="117"/>
      <c r="MWE188" s="117"/>
      <c r="MWF188" s="117"/>
      <c r="MWG188" s="117"/>
      <c r="MWH188" s="117"/>
      <c r="MWI188" s="117"/>
      <c r="MWJ188" s="117"/>
      <c r="MWK188" s="117"/>
      <c r="MWL188" s="117"/>
      <c r="MWM188" s="117"/>
      <c r="MWN188" s="117"/>
      <c r="MWO188" s="117"/>
      <c r="MWP188" s="117"/>
      <c r="MWQ188" s="117"/>
      <c r="MWR188" s="117"/>
      <c r="MWS188" s="117"/>
      <c r="MWT188" s="117"/>
      <c r="MWU188" s="117"/>
      <c r="MWV188" s="117"/>
      <c r="MWW188" s="117"/>
      <c r="MWX188" s="117"/>
      <c r="MWY188" s="117"/>
      <c r="MWZ188" s="117"/>
      <c r="MXA188" s="117"/>
      <c r="MXB188" s="117"/>
      <c r="MXC188" s="117"/>
      <c r="MXD188" s="117"/>
      <c r="MXE188" s="117"/>
      <c r="MXF188" s="117"/>
      <c r="MXG188" s="117"/>
      <c r="MXH188" s="117"/>
      <c r="MXI188" s="117"/>
      <c r="MXJ188" s="117"/>
      <c r="MXK188" s="117"/>
      <c r="MXL188" s="117"/>
      <c r="MXM188" s="117"/>
      <c r="MXN188" s="117"/>
      <c r="MXO188" s="117"/>
      <c r="MXP188" s="117"/>
      <c r="MXQ188" s="117"/>
      <c r="MXR188" s="117"/>
      <c r="MXS188" s="117"/>
      <c r="MXT188" s="117"/>
      <c r="MXU188" s="117"/>
      <c r="MXV188" s="117"/>
      <c r="MXW188" s="117"/>
      <c r="MXX188" s="117"/>
      <c r="MXY188" s="117"/>
      <c r="MXZ188" s="117"/>
      <c r="MYA188" s="117"/>
      <c r="MYB188" s="117"/>
      <c r="MYC188" s="117"/>
      <c r="MYD188" s="117"/>
      <c r="MYE188" s="117"/>
      <c r="MYF188" s="117"/>
      <c r="MYG188" s="117"/>
      <c r="MYH188" s="117"/>
      <c r="MYI188" s="117"/>
      <c r="MYJ188" s="117"/>
      <c r="MYK188" s="117"/>
      <c r="MYL188" s="117"/>
      <c r="MYM188" s="117"/>
      <c r="MYN188" s="117"/>
      <c r="MYO188" s="117"/>
      <c r="MYP188" s="117"/>
      <c r="MYQ188" s="117"/>
      <c r="MYR188" s="117"/>
      <c r="MYS188" s="117"/>
      <c r="MYT188" s="117"/>
      <c r="MYU188" s="117"/>
      <c r="MYV188" s="117"/>
      <c r="MYW188" s="117"/>
      <c r="MYX188" s="117"/>
      <c r="MYY188" s="117"/>
      <c r="MYZ188" s="117"/>
      <c r="MZA188" s="117"/>
      <c r="MZB188" s="117"/>
      <c r="MZC188" s="117"/>
      <c r="MZD188" s="117"/>
      <c r="MZE188" s="117"/>
      <c r="MZF188" s="117"/>
      <c r="MZG188" s="117"/>
      <c r="MZH188" s="117"/>
      <c r="MZI188" s="117"/>
      <c r="MZJ188" s="117"/>
      <c r="MZK188" s="117"/>
      <c r="MZL188" s="117"/>
      <c r="MZM188" s="117"/>
      <c r="MZN188" s="117"/>
      <c r="MZO188" s="117"/>
      <c r="MZP188" s="117"/>
      <c r="MZQ188" s="117"/>
      <c r="MZR188" s="117"/>
      <c r="MZS188" s="117"/>
      <c r="MZT188" s="117"/>
      <c r="MZU188" s="117"/>
      <c r="MZV188" s="117"/>
      <c r="MZW188" s="117"/>
      <c r="MZX188" s="117"/>
      <c r="MZY188" s="117"/>
      <c r="MZZ188" s="117"/>
      <c r="NAA188" s="117"/>
      <c r="NAB188" s="117"/>
      <c r="NAC188" s="117"/>
      <c r="NAD188" s="117"/>
      <c r="NAE188" s="117"/>
      <c r="NAF188" s="117"/>
      <c r="NAG188" s="117"/>
      <c r="NAH188" s="117"/>
      <c r="NAI188" s="117"/>
      <c r="NAJ188" s="117"/>
      <c r="NAK188" s="117"/>
      <c r="NAL188" s="117"/>
      <c r="NAM188" s="117"/>
      <c r="NAN188" s="117"/>
      <c r="NAO188" s="117"/>
      <c r="NAP188" s="117"/>
      <c r="NAQ188" s="117"/>
      <c r="NAR188" s="117"/>
      <c r="NAS188" s="117"/>
      <c r="NAT188" s="117"/>
      <c r="NAU188" s="117"/>
      <c r="NAV188" s="117"/>
      <c r="NAW188" s="117"/>
      <c r="NAX188" s="117"/>
      <c r="NAY188" s="117"/>
      <c r="NAZ188" s="117"/>
      <c r="NBA188" s="117"/>
      <c r="NBB188" s="117"/>
      <c r="NBC188" s="117"/>
      <c r="NBD188" s="117"/>
      <c r="NBE188" s="117"/>
      <c r="NBF188" s="117"/>
      <c r="NBG188" s="117"/>
      <c r="NBH188" s="117"/>
      <c r="NBI188" s="117"/>
      <c r="NBJ188" s="117"/>
      <c r="NBK188" s="117"/>
      <c r="NBL188" s="117"/>
      <c r="NBM188" s="117"/>
      <c r="NBN188" s="117"/>
      <c r="NBO188" s="117"/>
      <c r="NBP188" s="117"/>
      <c r="NBQ188" s="117"/>
      <c r="NBR188" s="117"/>
      <c r="NBS188" s="117"/>
      <c r="NBT188" s="117"/>
      <c r="NBU188" s="117"/>
      <c r="NBV188" s="117"/>
      <c r="NBW188" s="117"/>
      <c r="NBX188" s="117"/>
      <c r="NBY188" s="117"/>
      <c r="NBZ188" s="117"/>
      <c r="NCA188" s="117"/>
      <c r="NCB188" s="117"/>
      <c r="NCC188" s="117"/>
      <c r="NCD188" s="117"/>
      <c r="NCE188" s="117"/>
      <c r="NCF188" s="117"/>
      <c r="NCG188" s="117"/>
      <c r="NCH188" s="117"/>
      <c r="NCI188" s="117"/>
      <c r="NCJ188" s="117"/>
      <c r="NCK188" s="117"/>
      <c r="NCL188" s="117"/>
      <c r="NCM188" s="117"/>
      <c r="NCN188" s="117"/>
      <c r="NCO188" s="117"/>
      <c r="NCP188" s="117"/>
      <c r="NCQ188" s="117"/>
      <c r="NCR188" s="117"/>
      <c r="NCS188" s="117"/>
      <c r="NCT188" s="117"/>
      <c r="NCU188" s="117"/>
      <c r="NCV188" s="117"/>
      <c r="NCW188" s="117"/>
      <c r="NCX188" s="117"/>
      <c r="NCY188" s="117"/>
      <c r="NCZ188" s="117"/>
      <c r="NDA188" s="117"/>
      <c r="NDB188" s="117"/>
      <c r="NDC188" s="117"/>
      <c r="NDD188" s="117"/>
      <c r="NDE188" s="117"/>
      <c r="NDF188" s="117"/>
      <c r="NDG188" s="117"/>
      <c r="NDH188" s="117"/>
      <c r="NDI188" s="117"/>
      <c r="NDJ188" s="117"/>
      <c r="NDK188" s="117"/>
      <c r="NDL188" s="117"/>
      <c r="NDM188" s="117"/>
      <c r="NDN188" s="117"/>
      <c r="NDO188" s="117"/>
      <c r="NDP188" s="117"/>
      <c r="NDQ188" s="117"/>
      <c r="NDR188" s="117"/>
      <c r="NDS188" s="117"/>
      <c r="NDT188" s="117"/>
      <c r="NDU188" s="117"/>
      <c r="NDV188" s="117"/>
      <c r="NDW188" s="117"/>
      <c r="NDX188" s="117"/>
      <c r="NDY188" s="117"/>
      <c r="NDZ188" s="117"/>
      <c r="NEA188" s="117"/>
      <c r="NEB188" s="117"/>
      <c r="NEC188" s="117"/>
      <c r="NED188" s="117"/>
      <c r="NEE188" s="117"/>
      <c r="NEF188" s="117"/>
      <c r="NEG188" s="117"/>
      <c r="NEH188" s="117"/>
      <c r="NEI188" s="117"/>
      <c r="NEJ188" s="117"/>
      <c r="NEK188" s="117"/>
      <c r="NEL188" s="117"/>
      <c r="NEM188" s="117"/>
      <c r="NEN188" s="117"/>
      <c r="NEO188" s="117"/>
      <c r="NEP188" s="117"/>
      <c r="NEQ188" s="117"/>
      <c r="NER188" s="117"/>
      <c r="NES188" s="117"/>
      <c r="NET188" s="117"/>
      <c r="NEU188" s="117"/>
      <c r="NEV188" s="117"/>
      <c r="NEW188" s="117"/>
      <c r="NEX188" s="117"/>
      <c r="NEY188" s="117"/>
      <c r="NEZ188" s="117"/>
      <c r="NFA188" s="117"/>
      <c r="NFB188" s="117"/>
      <c r="NFC188" s="117"/>
      <c r="NFD188" s="117"/>
      <c r="NFE188" s="117"/>
      <c r="NFF188" s="117"/>
      <c r="NFG188" s="117"/>
      <c r="NFH188" s="117"/>
      <c r="NFI188" s="117"/>
      <c r="NFJ188" s="117"/>
      <c r="NFK188" s="117"/>
      <c r="NFL188" s="117"/>
      <c r="NFM188" s="117"/>
      <c r="NFN188" s="117"/>
      <c r="NFO188" s="117"/>
      <c r="NFP188" s="117"/>
      <c r="NFQ188" s="117"/>
      <c r="NFR188" s="117"/>
      <c r="NFS188" s="117"/>
      <c r="NFT188" s="117"/>
      <c r="NFU188" s="117"/>
      <c r="NFV188" s="117"/>
      <c r="NFW188" s="117"/>
      <c r="NFX188" s="117"/>
      <c r="NFY188" s="117"/>
      <c r="NFZ188" s="117"/>
      <c r="NGA188" s="117"/>
      <c r="NGB188" s="117"/>
      <c r="NGC188" s="117"/>
      <c r="NGD188" s="117"/>
      <c r="NGE188" s="117"/>
      <c r="NGF188" s="117"/>
      <c r="NGG188" s="117"/>
      <c r="NGH188" s="117"/>
      <c r="NGI188" s="117"/>
      <c r="NGJ188" s="117"/>
      <c r="NGK188" s="117"/>
      <c r="NGL188" s="117"/>
      <c r="NGM188" s="117"/>
      <c r="NGN188" s="117"/>
      <c r="NGO188" s="117"/>
      <c r="NGP188" s="117"/>
      <c r="NGQ188" s="117"/>
      <c r="NGR188" s="117"/>
      <c r="NGS188" s="117"/>
      <c r="NGT188" s="117"/>
      <c r="NGU188" s="117"/>
      <c r="NGV188" s="117"/>
      <c r="NGW188" s="117"/>
      <c r="NGX188" s="117"/>
      <c r="NGY188" s="117"/>
      <c r="NGZ188" s="117"/>
      <c r="NHA188" s="117"/>
      <c r="NHB188" s="117"/>
      <c r="NHC188" s="117"/>
      <c r="NHD188" s="117"/>
      <c r="NHE188" s="117"/>
      <c r="NHF188" s="117"/>
      <c r="NHG188" s="117"/>
      <c r="NHH188" s="117"/>
      <c r="NHI188" s="117"/>
      <c r="NHJ188" s="117"/>
      <c r="NHK188" s="117"/>
      <c r="NHL188" s="117"/>
      <c r="NHM188" s="117"/>
      <c r="NHN188" s="117"/>
      <c r="NHO188" s="117"/>
      <c r="NHP188" s="117"/>
      <c r="NHQ188" s="117"/>
      <c r="NHR188" s="117"/>
      <c r="NHS188" s="117"/>
      <c r="NHT188" s="117"/>
      <c r="NHU188" s="117"/>
      <c r="NHV188" s="117"/>
      <c r="NHW188" s="117"/>
      <c r="NHX188" s="117"/>
      <c r="NHY188" s="117"/>
      <c r="NHZ188" s="117"/>
      <c r="NIA188" s="117"/>
      <c r="NIB188" s="117"/>
      <c r="NIC188" s="117"/>
      <c r="NID188" s="117"/>
      <c r="NIE188" s="117"/>
      <c r="NIF188" s="117"/>
      <c r="NIG188" s="117"/>
      <c r="NIH188" s="117"/>
      <c r="NII188" s="117"/>
      <c r="NIJ188" s="117"/>
      <c r="NIK188" s="117"/>
      <c r="NIL188" s="117"/>
      <c r="NIM188" s="117"/>
      <c r="NIN188" s="117"/>
      <c r="NIO188" s="117"/>
      <c r="NIP188" s="117"/>
      <c r="NIQ188" s="117"/>
      <c r="NIR188" s="117"/>
      <c r="NIS188" s="117"/>
      <c r="NIT188" s="117"/>
      <c r="NIU188" s="117"/>
      <c r="NIV188" s="117"/>
      <c r="NIW188" s="117"/>
      <c r="NIX188" s="117"/>
      <c r="NIY188" s="117"/>
      <c r="NIZ188" s="117"/>
      <c r="NJA188" s="117"/>
      <c r="NJB188" s="117"/>
      <c r="NJC188" s="117"/>
      <c r="NJD188" s="117"/>
      <c r="NJE188" s="117"/>
      <c r="NJF188" s="117"/>
      <c r="NJG188" s="117"/>
      <c r="NJH188" s="117"/>
      <c r="NJI188" s="117"/>
      <c r="NJJ188" s="117"/>
      <c r="NJK188" s="117"/>
      <c r="NJL188" s="117"/>
      <c r="NJM188" s="117"/>
      <c r="NJN188" s="117"/>
      <c r="NJO188" s="117"/>
      <c r="NJP188" s="117"/>
      <c r="NJQ188" s="117"/>
      <c r="NJR188" s="117"/>
      <c r="NJS188" s="117"/>
      <c r="NJT188" s="117"/>
      <c r="NJU188" s="117"/>
      <c r="NJV188" s="117"/>
      <c r="NJW188" s="117"/>
      <c r="NJX188" s="117"/>
      <c r="NJY188" s="117"/>
      <c r="NJZ188" s="117"/>
      <c r="NKA188" s="117"/>
      <c r="NKB188" s="117"/>
      <c r="NKC188" s="117"/>
      <c r="NKD188" s="117"/>
      <c r="NKE188" s="117"/>
      <c r="NKF188" s="117"/>
      <c r="NKG188" s="117"/>
      <c r="NKH188" s="117"/>
      <c r="NKI188" s="117"/>
      <c r="NKJ188" s="117"/>
      <c r="NKK188" s="117"/>
      <c r="NKL188" s="117"/>
      <c r="NKM188" s="117"/>
      <c r="NKN188" s="117"/>
      <c r="NKO188" s="117"/>
      <c r="NKP188" s="117"/>
      <c r="NKQ188" s="117"/>
      <c r="NKR188" s="117"/>
      <c r="NKS188" s="117"/>
      <c r="NKT188" s="117"/>
      <c r="NKU188" s="117"/>
      <c r="NKV188" s="117"/>
      <c r="NKW188" s="117"/>
      <c r="NKX188" s="117"/>
      <c r="NKY188" s="117"/>
      <c r="NKZ188" s="117"/>
      <c r="NLA188" s="117"/>
      <c r="NLB188" s="117"/>
      <c r="NLC188" s="117"/>
      <c r="NLD188" s="117"/>
      <c r="NLE188" s="117"/>
      <c r="NLF188" s="117"/>
      <c r="NLG188" s="117"/>
      <c r="NLH188" s="117"/>
      <c r="NLI188" s="117"/>
      <c r="NLJ188" s="117"/>
      <c r="NLK188" s="117"/>
      <c r="NLL188" s="117"/>
      <c r="NLM188" s="117"/>
      <c r="NLN188" s="117"/>
      <c r="NLO188" s="117"/>
      <c r="NLP188" s="117"/>
      <c r="NLQ188" s="117"/>
      <c r="NLR188" s="117"/>
      <c r="NLS188" s="117"/>
      <c r="NLT188" s="117"/>
      <c r="NLU188" s="117"/>
      <c r="NLV188" s="117"/>
      <c r="NLW188" s="117"/>
      <c r="NLX188" s="117"/>
      <c r="NLY188" s="117"/>
      <c r="NLZ188" s="117"/>
      <c r="NMA188" s="117"/>
      <c r="NMB188" s="117"/>
      <c r="NMC188" s="117"/>
      <c r="NMD188" s="117"/>
      <c r="NME188" s="117"/>
      <c r="NMF188" s="117"/>
      <c r="NMG188" s="117"/>
      <c r="NMH188" s="117"/>
      <c r="NMI188" s="117"/>
      <c r="NMJ188" s="117"/>
      <c r="NMK188" s="117"/>
      <c r="NML188" s="117"/>
      <c r="NMM188" s="117"/>
      <c r="NMN188" s="117"/>
      <c r="NMO188" s="117"/>
      <c r="NMP188" s="117"/>
      <c r="NMQ188" s="117"/>
      <c r="NMR188" s="117"/>
      <c r="NMS188" s="117"/>
      <c r="NMT188" s="117"/>
      <c r="NMU188" s="117"/>
      <c r="NMV188" s="117"/>
      <c r="NMW188" s="117"/>
      <c r="NMX188" s="117"/>
      <c r="NMY188" s="117"/>
      <c r="NMZ188" s="117"/>
      <c r="NNA188" s="117"/>
      <c r="NNB188" s="117"/>
      <c r="NNC188" s="117"/>
      <c r="NND188" s="117"/>
      <c r="NNE188" s="117"/>
      <c r="NNF188" s="117"/>
      <c r="NNG188" s="117"/>
      <c r="NNH188" s="117"/>
      <c r="NNI188" s="117"/>
      <c r="NNJ188" s="117"/>
      <c r="NNK188" s="117"/>
      <c r="NNL188" s="117"/>
      <c r="NNM188" s="117"/>
      <c r="NNN188" s="117"/>
      <c r="NNO188" s="117"/>
      <c r="NNP188" s="117"/>
      <c r="NNQ188" s="117"/>
      <c r="NNR188" s="117"/>
      <c r="NNS188" s="117"/>
      <c r="NNT188" s="117"/>
      <c r="NNU188" s="117"/>
      <c r="NNV188" s="117"/>
      <c r="NNW188" s="117"/>
      <c r="NNX188" s="117"/>
      <c r="NNY188" s="117"/>
      <c r="NNZ188" s="117"/>
      <c r="NOA188" s="117"/>
      <c r="NOB188" s="117"/>
      <c r="NOC188" s="117"/>
      <c r="NOD188" s="117"/>
      <c r="NOE188" s="117"/>
      <c r="NOF188" s="117"/>
      <c r="NOG188" s="117"/>
      <c r="NOH188" s="117"/>
      <c r="NOI188" s="117"/>
      <c r="NOJ188" s="117"/>
      <c r="NOK188" s="117"/>
      <c r="NOL188" s="117"/>
      <c r="NOM188" s="117"/>
      <c r="NON188" s="117"/>
      <c r="NOO188" s="117"/>
      <c r="NOP188" s="117"/>
      <c r="NOQ188" s="117"/>
      <c r="NOR188" s="117"/>
      <c r="NOS188" s="117"/>
      <c r="NOT188" s="117"/>
      <c r="NOU188" s="117"/>
      <c r="NOV188" s="117"/>
      <c r="NOW188" s="117"/>
      <c r="NOX188" s="117"/>
      <c r="NOY188" s="117"/>
      <c r="NOZ188" s="117"/>
      <c r="NPA188" s="117"/>
      <c r="NPB188" s="117"/>
      <c r="NPC188" s="117"/>
      <c r="NPD188" s="117"/>
      <c r="NPE188" s="117"/>
      <c r="NPF188" s="117"/>
      <c r="NPG188" s="117"/>
      <c r="NPH188" s="117"/>
      <c r="NPI188" s="117"/>
      <c r="NPJ188" s="117"/>
      <c r="NPK188" s="117"/>
      <c r="NPL188" s="117"/>
      <c r="NPM188" s="117"/>
      <c r="NPN188" s="117"/>
      <c r="NPO188" s="117"/>
      <c r="NPP188" s="117"/>
      <c r="NPQ188" s="117"/>
      <c r="NPR188" s="117"/>
      <c r="NPS188" s="117"/>
      <c r="NPT188" s="117"/>
      <c r="NPU188" s="117"/>
      <c r="NPV188" s="117"/>
      <c r="NPW188" s="117"/>
      <c r="NPX188" s="117"/>
      <c r="NPY188" s="117"/>
      <c r="NPZ188" s="117"/>
      <c r="NQA188" s="117"/>
      <c r="NQB188" s="117"/>
      <c r="NQC188" s="117"/>
      <c r="NQD188" s="117"/>
      <c r="NQE188" s="117"/>
      <c r="NQF188" s="117"/>
      <c r="NQG188" s="117"/>
      <c r="NQH188" s="117"/>
      <c r="NQI188" s="117"/>
      <c r="NQJ188" s="117"/>
      <c r="NQK188" s="117"/>
      <c r="NQL188" s="117"/>
      <c r="NQM188" s="117"/>
      <c r="NQN188" s="117"/>
      <c r="NQO188" s="117"/>
      <c r="NQP188" s="117"/>
      <c r="NQQ188" s="117"/>
      <c r="NQR188" s="117"/>
      <c r="NQS188" s="117"/>
      <c r="NQT188" s="117"/>
      <c r="NQU188" s="117"/>
      <c r="NQV188" s="117"/>
      <c r="NQW188" s="117"/>
      <c r="NQX188" s="117"/>
      <c r="NQY188" s="117"/>
      <c r="NQZ188" s="117"/>
      <c r="NRA188" s="117"/>
      <c r="NRB188" s="117"/>
      <c r="NRC188" s="117"/>
      <c r="NRD188" s="117"/>
      <c r="NRE188" s="117"/>
      <c r="NRF188" s="117"/>
      <c r="NRG188" s="117"/>
      <c r="NRH188" s="117"/>
      <c r="NRI188" s="117"/>
      <c r="NRJ188" s="117"/>
      <c r="NRK188" s="117"/>
      <c r="NRL188" s="117"/>
      <c r="NRM188" s="117"/>
      <c r="NRN188" s="117"/>
      <c r="NRO188" s="117"/>
      <c r="NRP188" s="117"/>
      <c r="NRQ188" s="117"/>
      <c r="NRR188" s="117"/>
      <c r="NRS188" s="117"/>
      <c r="NRT188" s="117"/>
      <c r="NRU188" s="117"/>
      <c r="NRV188" s="117"/>
      <c r="NRW188" s="117"/>
      <c r="NRX188" s="117"/>
      <c r="NRY188" s="117"/>
      <c r="NRZ188" s="117"/>
      <c r="NSA188" s="117"/>
      <c r="NSB188" s="117"/>
      <c r="NSC188" s="117"/>
      <c r="NSD188" s="117"/>
      <c r="NSE188" s="117"/>
      <c r="NSF188" s="117"/>
      <c r="NSG188" s="117"/>
      <c r="NSH188" s="117"/>
      <c r="NSI188" s="117"/>
      <c r="NSJ188" s="117"/>
      <c r="NSK188" s="117"/>
      <c r="NSL188" s="117"/>
      <c r="NSM188" s="117"/>
      <c r="NSN188" s="117"/>
      <c r="NSO188" s="117"/>
      <c r="NSP188" s="117"/>
      <c r="NSQ188" s="117"/>
      <c r="NSR188" s="117"/>
      <c r="NSS188" s="117"/>
      <c r="NST188" s="117"/>
      <c r="NSU188" s="117"/>
      <c r="NSV188" s="117"/>
      <c r="NSW188" s="117"/>
      <c r="NSX188" s="117"/>
      <c r="NSY188" s="117"/>
      <c r="NSZ188" s="117"/>
      <c r="NTA188" s="117"/>
      <c r="NTB188" s="117"/>
      <c r="NTC188" s="117"/>
      <c r="NTD188" s="117"/>
      <c r="NTE188" s="117"/>
      <c r="NTF188" s="117"/>
      <c r="NTG188" s="117"/>
      <c r="NTH188" s="117"/>
      <c r="NTI188" s="117"/>
      <c r="NTJ188" s="117"/>
      <c r="NTK188" s="117"/>
      <c r="NTL188" s="117"/>
      <c r="NTM188" s="117"/>
      <c r="NTN188" s="117"/>
      <c r="NTO188" s="117"/>
      <c r="NTP188" s="117"/>
      <c r="NTQ188" s="117"/>
      <c r="NTR188" s="117"/>
      <c r="NTS188" s="117"/>
      <c r="NTT188" s="117"/>
      <c r="NTU188" s="117"/>
      <c r="NTV188" s="117"/>
      <c r="NTW188" s="117"/>
      <c r="NTX188" s="117"/>
      <c r="NTY188" s="117"/>
      <c r="NTZ188" s="117"/>
      <c r="NUA188" s="117"/>
      <c r="NUB188" s="117"/>
      <c r="NUC188" s="117"/>
      <c r="NUD188" s="117"/>
      <c r="NUE188" s="117"/>
      <c r="NUF188" s="117"/>
      <c r="NUG188" s="117"/>
      <c r="NUH188" s="117"/>
      <c r="NUI188" s="117"/>
      <c r="NUJ188" s="117"/>
      <c r="NUK188" s="117"/>
      <c r="NUL188" s="117"/>
      <c r="NUM188" s="117"/>
      <c r="NUN188" s="117"/>
      <c r="NUO188" s="117"/>
      <c r="NUP188" s="117"/>
      <c r="NUQ188" s="117"/>
      <c r="NUR188" s="117"/>
      <c r="NUS188" s="117"/>
      <c r="NUT188" s="117"/>
      <c r="NUU188" s="117"/>
      <c r="NUV188" s="117"/>
      <c r="NUW188" s="117"/>
      <c r="NUX188" s="117"/>
      <c r="NUY188" s="117"/>
      <c r="NUZ188" s="117"/>
      <c r="NVA188" s="117"/>
      <c r="NVB188" s="117"/>
      <c r="NVC188" s="117"/>
      <c r="NVD188" s="117"/>
      <c r="NVE188" s="117"/>
      <c r="NVF188" s="117"/>
      <c r="NVG188" s="117"/>
      <c r="NVH188" s="117"/>
      <c r="NVI188" s="117"/>
      <c r="NVJ188" s="117"/>
      <c r="NVK188" s="117"/>
      <c r="NVL188" s="117"/>
      <c r="NVM188" s="117"/>
      <c r="NVN188" s="117"/>
      <c r="NVO188" s="117"/>
      <c r="NVP188" s="117"/>
      <c r="NVQ188" s="117"/>
      <c r="NVR188" s="117"/>
      <c r="NVS188" s="117"/>
      <c r="NVT188" s="117"/>
      <c r="NVU188" s="117"/>
      <c r="NVV188" s="117"/>
      <c r="NVW188" s="117"/>
      <c r="NVX188" s="117"/>
      <c r="NVY188" s="117"/>
      <c r="NVZ188" s="117"/>
      <c r="NWA188" s="117"/>
      <c r="NWB188" s="117"/>
      <c r="NWC188" s="117"/>
      <c r="NWD188" s="117"/>
      <c r="NWE188" s="117"/>
      <c r="NWF188" s="117"/>
      <c r="NWG188" s="117"/>
      <c r="NWH188" s="117"/>
      <c r="NWI188" s="117"/>
      <c r="NWJ188" s="117"/>
      <c r="NWK188" s="117"/>
      <c r="NWL188" s="117"/>
      <c r="NWM188" s="117"/>
      <c r="NWN188" s="117"/>
      <c r="NWO188" s="117"/>
      <c r="NWP188" s="117"/>
      <c r="NWQ188" s="117"/>
      <c r="NWR188" s="117"/>
      <c r="NWS188" s="117"/>
      <c r="NWT188" s="117"/>
      <c r="NWU188" s="117"/>
      <c r="NWV188" s="117"/>
      <c r="NWW188" s="117"/>
      <c r="NWX188" s="117"/>
      <c r="NWY188" s="117"/>
      <c r="NWZ188" s="117"/>
      <c r="NXA188" s="117"/>
      <c r="NXB188" s="117"/>
      <c r="NXC188" s="117"/>
      <c r="NXD188" s="117"/>
      <c r="NXE188" s="117"/>
      <c r="NXF188" s="117"/>
      <c r="NXG188" s="117"/>
      <c r="NXH188" s="117"/>
      <c r="NXI188" s="117"/>
      <c r="NXJ188" s="117"/>
      <c r="NXK188" s="117"/>
      <c r="NXL188" s="117"/>
      <c r="NXM188" s="117"/>
      <c r="NXN188" s="117"/>
      <c r="NXO188" s="117"/>
      <c r="NXP188" s="117"/>
      <c r="NXQ188" s="117"/>
      <c r="NXR188" s="117"/>
      <c r="NXS188" s="117"/>
      <c r="NXT188" s="117"/>
      <c r="NXU188" s="117"/>
      <c r="NXV188" s="117"/>
      <c r="NXW188" s="117"/>
      <c r="NXX188" s="117"/>
      <c r="NXY188" s="117"/>
      <c r="NXZ188" s="117"/>
      <c r="NYA188" s="117"/>
      <c r="NYB188" s="117"/>
      <c r="NYC188" s="117"/>
      <c r="NYD188" s="117"/>
      <c r="NYE188" s="117"/>
      <c r="NYF188" s="117"/>
      <c r="NYG188" s="117"/>
      <c r="NYH188" s="117"/>
      <c r="NYI188" s="117"/>
      <c r="NYJ188" s="117"/>
      <c r="NYK188" s="117"/>
      <c r="NYL188" s="117"/>
      <c r="NYM188" s="117"/>
      <c r="NYN188" s="117"/>
      <c r="NYO188" s="117"/>
      <c r="NYP188" s="117"/>
      <c r="NYQ188" s="117"/>
      <c r="NYR188" s="117"/>
      <c r="NYS188" s="117"/>
      <c r="NYT188" s="117"/>
      <c r="NYU188" s="117"/>
      <c r="NYV188" s="117"/>
      <c r="NYW188" s="117"/>
      <c r="NYX188" s="117"/>
      <c r="NYY188" s="117"/>
      <c r="NYZ188" s="117"/>
      <c r="NZA188" s="117"/>
      <c r="NZB188" s="117"/>
      <c r="NZC188" s="117"/>
      <c r="NZD188" s="117"/>
      <c r="NZE188" s="117"/>
      <c r="NZF188" s="117"/>
      <c r="NZG188" s="117"/>
      <c r="NZH188" s="117"/>
      <c r="NZI188" s="117"/>
      <c r="NZJ188" s="117"/>
      <c r="NZK188" s="117"/>
      <c r="NZL188" s="117"/>
      <c r="NZM188" s="117"/>
      <c r="NZN188" s="117"/>
      <c r="NZO188" s="117"/>
      <c r="NZP188" s="117"/>
      <c r="NZQ188" s="117"/>
      <c r="NZR188" s="117"/>
      <c r="NZS188" s="117"/>
      <c r="NZT188" s="117"/>
      <c r="NZU188" s="117"/>
      <c r="NZV188" s="117"/>
      <c r="NZW188" s="117"/>
      <c r="NZX188" s="117"/>
      <c r="NZY188" s="117"/>
      <c r="NZZ188" s="117"/>
      <c r="OAA188" s="117"/>
      <c r="OAB188" s="117"/>
      <c r="OAC188" s="117"/>
      <c r="OAD188" s="117"/>
      <c r="OAE188" s="117"/>
      <c r="OAF188" s="117"/>
      <c r="OAG188" s="117"/>
      <c r="OAH188" s="117"/>
      <c r="OAI188" s="117"/>
      <c r="OAJ188" s="117"/>
      <c r="OAK188" s="117"/>
      <c r="OAL188" s="117"/>
      <c r="OAM188" s="117"/>
      <c r="OAN188" s="117"/>
      <c r="OAO188" s="117"/>
      <c r="OAP188" s="117"/>
      <c r="OAQ188" s="117"/>
      <c r="OAR188" s="117"/>
      <c r="OAS188" s="117"/>
      <c r="OAT188" s="117"/>
      <c r="OAU188" s="117"/>
      <c r="OAV188" s="117"/>
      <c r="OAW188" s="117"/>
      <c r="OAX188" s="117"/>
      <c r="OAY188" s="117"/>
      <c r="OAZ188" s="117"/>
      <c r="OBA188" s="117"/>
      <c r="OBB188" s="117"/>
      <c r="OBC188" s="117"/>
      <c r="OBD188" s="117"/>
      <c r="OBE188" s="117"/>
      <c r="OBF188" s="117"/>
      <c r="OBG188" s="117"/>
      <c r="OBH188" s="117"/>
      <c r="OBI188" s="117"/>
      <c r="OBJ188" s="117"/>
      <c r="OBK188" s="117"/>
      <c r="OBL188" s="117"/>
      <c r="OBM188" s="117"/>
      <c r="OBN188" s="117"/>
      <c r="OBO188" s="117"/>
      <c r="OBP188" s="117"/>
      <c r="OBQ188" s="117"/>
      <c r="OBR188" s="117"/>
      <c r="OBS188" s="117"/>
      <c r="OBT188" s="117"/>
      <c r="OBU188" s="117"/>
      <c r="OBV188" s="117"/>
      <c r="OBW188" s="117"/>
      <c r="OBX188" s="117"/>
      <c r="OBY188" s="117"/>
      <c r="OBZ188" s="117"/>
      <c r="OCA188" s="117"/>
      <c r="OCB188" s="117"/>
      <c r="OCC188" s="117"/>
      <c r="OCD188" s="117"/>
      <c r="OCE188" s="117"/>
      <c r="OCF188" s="117"/>
      <c r="OCG188" s="117"/>
      <c r="OCH188" s="117"/>
      <c r="OCI188" s="117"/>
      <c r="OCJ188" s="117"/>
      <c r="OCK188" s="117"/>
      <c r="OCL188" s="117"/>
      <c r="OCM188" s="117"/>
      <c r="OCN188" s="117"/>
      <c r="OCO188" s="117"/>
      <c r="OCP188" s="117"/>
      <c r="OCQ188" s="117"/>
      <c r="OCR188" s="117"/>
      <c r="OCS188" s="117"/>
      <c r="OCT188" s="117"/>
      <c r="OCU188" s="117"/>
      <c r="OCV188" s="117"/>
      <c r="OCW188" s="117"/>
      <c r="OCX188" s="117"/>
      <c r="OCY188" s="117"/>
      <c r="OCZ188" s="117"/>
      <c r="ODA188" s="117"/>
      <c r="ODB188" s="117"/>
      <c r="ODC188" s="117"/>
      <c r="ODD188" s="117"/>
      <c r="ODE188" s="117"/>
      <c r="ODF188" s="117"/>
      <c r="ODG188" s="117"/>
      <c r="ODH188" s="117"/>
      <c r="ODI188" s="117"/>
      <c r="ODJ188" s="117"/>
      <c r="ODK188" s="117"/>
      <c r="ODL188" s="117"/>
      <c r="ODM188" s="117"/>
      <c r="ODN188" s="117"/>
      <c r="ODO188" s="117"/>
      <c r="ODP188" s="117"/>
      <c r="ODQ188" s="117"/>
      <c r="ODR188" s="117"/>
      <c r="ODS188" s="117"/>
      <c r="ODT188" s="117"/>
      <c r="ODU188" s="117"/>
      <c r="ODV188" s="117"/>
      <c r="ODW188" s="117"/>
      <c r="ODX188" s="117"/>
      <c r="ODY188" s="117"/>
      <c r="ODZ188" s="117"/>
      <c r="OEA188" s="117"/>
      <c r="OEB188" s="117"/>
      <c r="OEC188" s="117"/>
      <c r="OED188" s="117"/>
      <c r="OEE188" s="117"/>
      <c r="OEF188" s="117"/>
      <c r="OEG188" s="117"/>
      <c r="OEH188" s="117"/>
      <c r="OEI188" s="117"/>
      <c r="OEJ188" s="117"/>
      <c r="OEK188" s="117"/>
      <c r="OEL188" s="117"/>
      <c r="OEM188" s="117"/>
      <c r="OEN188" s="117"/>
      <c r="OEO188" s="117"/>
      <c r="OEP188" s="117"/>
      <c r="OEQ188" s="117"/>
      <c r="OER188" s="117"/>
      <c r="OES188" s="117"/>
      <c r="OET188" s="117"/>
      <c r="OEU188" s="117"/>
      <c r="OEV188" s="117"/>
      <c r="OEW188" s="117"/>
      <c r="OEX188" s="117"/>
      <c r="OEY188" s="117"/>
      <c r="OEZ188" s="117"/>
      <c r="OFA188" s="117"/>
      <c r="OFB188" s="117"/>
      <c r="OFC188" s="117"/>
      <c r="OFD188" s="117"/>
      <c r="OFE188" s="117"/>
      <c r="OFF188" s="117"/>
      <c r="OFG188" s="117"/>
      <c r="OFH188" s="117"/>
      <c r="OFI188" s="117"/>
      <c r="OFJ188" s="117"/>
      <c r="OFK188" s="117"/>
      <c r="OFL188" s="117"/>
      <c r="OFM188" s="117"/>
      <c r="OFN188" s="117"/>
      <c r="OFO188" s="117"/>
      <c r="OFP188" s="117"/>
      <c r="OFQ188" s="117"/>
      <c r="OFR188" s="117"/>
      <c r="OFS188" s="117"/>
      <c r="OFT188" s="117"/>
      <c r="OFU188" s="117"/>
      <c r="OFV188" s="117"/>
      <c r="OFW188" s="117"/>
      <c r="OFX188" s="117"/>
      <c r="OFY188" s="117"/>
      <c r="OFZ188" s="117"/>
      <c r="OGA188" s="117"/>
      <c r="OGB188" s="117"/>
      <c r="OGC188" s="117"/>
      <c r="OGD188" s="117"/>
      <c r="OGE188" s="117"/>
      <c r="OGF188" s="117"/>
      <c r="OGG188" s="117"/>
      <c r="OGH188" s="117"/>
      <c r="OGI188" s="117"/>
      <c r="OGJ188" s="117"/>
      <c r="OGK188" s="117"/>
      <c r="OGL188" s="117"/>
      <c r="OGM188" s="117"/>
      <c r="OGN188" s="117"/>
      <c r="OGO188" s="117"/>
      <c r="OGP188" s="117"/>
      <c r="OGQ188" s="117"/>
      <c r="OGR188" s="117"/>
      <c r="OGS188" s="117"/>
      <c r="OGT188" s="117"/>
      <c r="OGU188" s="117"/>
      <c r="OGV188" s="117"/>
      <c r="OGW188" s="117"/>
      <c r="OGX188" s="117"/>
      <c r="OGY188" s="117"/>
      <c r="OGZ188" s="117"/>
      <c r="OHA188" s="117"/>
      <c r="OHB188" s="117"/>
      <c r="OHC188" s="117"/>
      <c r="OHD188" s="117"/>
      <c r="OHE188" s="117"/>
      <c r="OHF188" s="117"/>
      <c r="OHG188" s="117"/>
      <c r="OHH188" s="117"/>
      <c r="OHI188" s="117"/>
      <c r="OHJ188" s="117"/>
      <c r="OHK188" s="117"/>
      <c r="OHL188" s="117"/>
      <c r="OHM188" s="117"/>
      <c r="OHN188" s="117"/>
      <c r="OHO188" s="117"/>
      <c r="OHP188" s="117"/>
      <c r="OHQ188" s="117"/>
      <c r="OHR188" s="117"/>
      <c r="OHS188" s="117"/>
      <c r="OHT188" s="117"/>
      <c r="OHU188" s="117"/>
      <c r="OHV188" s="117"/>
      <c r="OHW188" s="117"/>
      <c r="OHX188" s="117"/>
      <c r="OHY188" s="117"/>
      <c r="OHZ188" s="117"/>
      <c r="OIA188" s="117"/>
      <c r="OIB188" s="117"/>
      <c r="OIC188" s="117"/>
      <c r="OID188" s="117"/>
      <c r="OIE188" s="117"/>
      <c r="OIF188" s="117"/>
      <c r="OIG188" s="117"/>
      <c r="OIH188" s="117"/>
      <c r="OII188" s="117"/>
      <c r="OIJ188" s="117"/>
      <c r="OIK188" s="117"/>
      <c r="OIL188" s="117"/>
      <c r="OIM188" s="117"/>
      <c r="OIN188" s="117"/>
      <c r="OIO188" s="117"/>
      <c r="OIP188" s="117"/>
      <c r="OIQ188" s="117"/>
      <c r="OIR188" s="117"/>
      <c r="OIS188" s="117"/>
      <c r="OIT188" s="117"/>
      <c r="OIU188" s="117"/>
      <c r="OIV188" s="117"/>
      <c r="OIW188" s="117"/>
      <c r="OIX188" s="117"/>
      <c r="OIY188" s="117"/>
      <c r="OIZ188" s="117"/>
      <c r="OJA188" s="117"/>
      <c r="OJB188" s="117"/>
      <c r="OJC188" s="117"/>
      <c r="OJD188" s="117"/>
      <c r="OJE188" s="117"/>
      <c r="OJF188" s="117"/>
      <c r="OJG188" s="117"/>
      <c r="OJH188" s="117"/>
      <c r="OJI188" s="117"/>
      <c r="OJJ188" s="117"/>
      <c r="OJK188" s="117"/>
      <c r="OJL188" s="117"/>
      <c r="OJM188" s="117"/>
      <c r="OJN188" s="117"/>
      <c r="OJO188" s="117"/>
      <c r="OJP188" s="117"/>
      <c r="OJQ188" s="117"/>
      <c r="OJR188" s="117"/>
      <c r="OJS188" s="117"/>
      <c r="OJT188" s="117"/>
      <c r="OJU188" s="117"/>
      <c r="OJV188" s="117"/>
      <c r="OJW188" s="117"/>
      <c r="OJX188" s="117"/>
      <c r="OJY188" s="117"/>
      <c r="OJZ188" s="117"/>
      <c r="OKA188" s="117"/>
      <c r="OKB188" s="117"/>
      <c r="OKC188" s="117"/>
      <c r="OKD188" s="117"/>
      <c r="OKE188" s="117"/>
      <c r="OKF188" s="117"/>
      <c r="OKG188" s="117"/>
      <c r="OKH188" s="117"/>
      <c r="OKI188" s="117"/>
      <c r="OKJ188" s="117"/>
      <c r="OKK188" s="117"/>
      <c r="OKL188" s="117"/>
      <c r="OKM188" s="117"/>
      <c r="OKN188" s="117"/>
      <c r="OKO188" s="117"/>
      <c r="OKP188" s="117"/>
      <c r="OKQ188" s="117"/>
      <c r="OKR188" s="117"/>
      <c r="OKS188" s="117"/>
      <c r="OKT188" s="117"/>
      <c r="OKU188" s="117"/>
      <c r="OKV188" s="117"/>
      <c r="OKW188" s="117"/>
      <c r="OKX188" s="117"/>
      <c r="OKY188" s="117"/>
      <c r="OKZ188" s="117"/>
      <c r="OLA188" s="117"/>
      <c r="OLB188" s="117"/>
      <c r="OLC188" s="117"/>
      <c r="OLD188" s="117"/>
      <c r="OLE188" s="117"/>
      <c r="OLF188" s="117"/>
      <c r="OLG188" s="117"/>
      <c r="OLH188" s="117"/>
      <c r="OLI188" s="117"/>
      <c r="OLJ188" s="117"/>
      <c r="OLK188" s="117"/>
      <c r="OLL188" s="117"/>
      <c r="OLM188" s="117"/>
      <c r="OLN188" s="117"/>
      <c r="OLO188" s="117"/>
      <c r="OLP188" s="117"/>
      <c r="OLQ188" s="117"/>
      <c r="OLR188" s="117"/>
      <c r="OLS188" s="117"/>
      <c r="OLT188" s="117"/>
      <c r="OLU188" s="117"/>
      <c r="OLV188" s="117"/>
      <c r="OLW188" s="117"/>
      <c r="OLX188" s="117"/>
      <c r="OLY188" s="117"/>
      <c r="OLZ188" s="117"/>
      <c r="OMA188" s="117"/>
      <c r="OMB188" s="117"/>
      <c r="OMC188" s="117"/>
      <c r="OMD188" s="117"/>
      <c r="OME188" s="117"/>
      <c r="OMF188" s="117"/>
      <c r="OMG188" s="117"/>
      <c r="OMH188" s="117"/>
      <c r="OMI188" s="117"/>
      <c r="OMJ188" s="117"/>
      <c r="OMK188" s="117"/>
      <c r="OML188" s="117"/>
      <c r="OMM188" s="117"/>
      <c r="OMN188" s="117"/>
      <c r="OMO188" s="117"/>
      <c r="OMP188" s="117"/>
      <c r="OMQ188" s="117"/>
      <c r="OMR188" s="117"/>
      <c r="OMS188" s="117"/>
      <c r="OMT188" s="117"/>
      <c r="OMU188" s="117"/>
      <c r="OMV188" s="117"/>
      <c r="OMW188" s="117"/>
      <c r="OMX188" s="117"/>
      <c r="OMY188" s="117"/>
      <c r="OMZ188" s="117"/>
      <c r="ONA188" s="117"/>
      <c r="ONB188" s="117"/>
      <c r="ONC188" s="117"/>
      <c r="OND188" s="117"/>
      <c r="ONE188" s="117"/>
      <c r="ONF188" s="117"/>
      <c r="ONG188" s="117"/>
      <c r="ONH188" s="117"/>
      <c r="ONI188" s="117"/>
      <c r="ONJ188" s="117"/>
      <c r="ONK188" s="117"/>
      <c r="ONL188" s="117"/>
      <c r="ONM188" s="117"/>
      <c r="ONN188" s="117"/>
      <c r="ONO188" s="117"/>
      <c r="ONP188" s="117"/>
      <c r="ONQ188" s="117"/>
      <c r="ONR188" s="117"/>
      <c r="ONS188" s="117"/>
      <c r="ONT188" s="117"/>
      <c r="ONU188" s="117"/>
      <c r="ONV188" s="117"/>
      <c r="ONW188" s="117"/>
      <c r="ONX188" s="117"/>
      <c r="ONY188" s="117"/>
      <c r="ONZ188" s="117"/>
      <c r="OOA188" s="117"/>
      <c r="OOB188" s="117"/>
      <c r="OOC188" s="117"/>
      <c r="OOD188" s="117"/>
      <c r="OOE188" s="117"/>
      <c r="OOF188" s="117"/>
      <c r="OOG188" s="117"/>
      <c r="OOH188" s="117"/>
      <c r="OOI188" s="117"/>
      <c r="OOJ188" s="117"/>
      <c r="OOK188" s="117"/>
      <c r="OOL188" s="117"/>
      <c r="OOM188" s="117"/>
      <c r="OON188" s="117"/>
      <c r="OOO188" s="117"/>
      <c r="OOP188" s="117"/>
      <c r="OOQ188" s="117"/>
      <c r="OOR188" s="117"/>
      <c r="OOS188" s="117"/>
      <c r="OOT188" s="117"/>
      <c r="OOU188" s="117"/>
      <c r="OOV188" s="117"/>
      <c r="OOW188" s="117"/>
      <c r="OOX188" s="117"/>
      <c r="OOY188" s="117"/>
      <c r="OOZ188" s="117"/>
      <c r="OPA188" s="117"/>
      <c r="OPB188" s="117"/>
      <c r="OPC188" s="117"/>
      <c r="OPD188" s="117"/>
      <c r="OPE188" s="117"/>
      <c r="OPF188" s="117"/>
      <c r="OPG188" s="117"/>
      <c r="OPH188" s="117"/>
      <c r="OPI188" s="117"/>
      <c r="OPJ188" s="117"/>
      <c r="OPK188" s="117"/>
      <c r="OPL188" s="117"/>
      <c r="OPM188" s="117"/>
      <c r="OPN188" s="117"/>
      <c r="OPO188" s="117"/>
      <c r="OPP188" s="117"/>
      <c r="OPQ188" s="117"/>
      <c r="OPR188" s="117"/>
      <c r="OPS188" s="117"/>
      <c r="OPT188" s="117"/>
      <c r="OPU188" s="117"/>
      <c r="OPV188" s="117"/>
      <c r="OPW188" s="117"/>
      <c r="OPX188" s="117"/>
      <c r="OPY188" s="117"/>
      <c r="OPZ188" s="117"/>
      <c r="OQA188" s="117"/>
      <c r="OQB188" s="117"/>
      <c r="OQC188" s="117"/>
      <c r="OQD188" s="117"/>
      <c r="OQE188" s="117"/>
      <c r="OQF188" s="117"/>
      <c r="OQG188" s="117"/>
      <c r="OQH188" s="117"/>
      <c r="OQI188" s="117"/>
      <c r="OQJ188" s="117"/>
      <c r="OQK188" s="117"/>
      <c r="OQL188" s="117"/>
      <c r="OQM188" s="117"/>
      <c r="OQN188" s="117"/>
      <c r="OQO188" s="117"/>
      <c r="OQP188" s="117"/>
      <c r="OQQ188" s="117"/>
      <c r="OQR188" s="117"/>
      <c r="OQS188" s="117"/>
      <c r="OQT188" s="117"/>
      <c r="OQU188" s="117"/>
      <c r="OQV188" s="117"/>
      <c r="OQW188" s="117"/>
      <c r="OQX188" s="117"/>
      <c r="OQY188" s="117"/>
      <c r="OQZ188" s="117"/>
      <c r="ORA188" s="117"/>
      <c r="ORB188" s="117"/>
      <c r="ORC188" s="117"/>
      <c r="ORD188" s="117"/>
      <c r="ORE188" s="117"/>
      <c r="ORF188" s="117"/>
      <c r="ORG188" s="117"/>
      <c r="ORH188" s="117"/>
      <c r="ORI188" s="117"/>
      <c r="ORJ188" s="117"/>
      <c r="ORK188" s="117"/>
      <c r="ORL188" s="117"/>
      <c r="ORM188" s="117"/>
      <c r="ORN188" s="117"/>
      <c r="ORO188" s="117"/>
      <c r="ORP188" s="117"/>
      <c r="ORQ188" s="117"/>
      <c r="ORR188" s="117"/>
      <c r="ORS188" s="117"/>
      <c r="ORT188" s="117"/>
      <c r="ORU188" s="117"/>
      <c r="ORV188" s="117"/>
      <c r="ORW188" s="117"/>
      <c r="ORX188" s="117"/>
      <c r="ORY188" s="117"/>
      <c r="ORZ188" s="117"/>
      <c r="OSA188" s="117"/>
      <c r="OSB188" s="117"/>
      <c r="OSC188" s="117"/>
      <c r="OSD188" s="117"/>
      <c r="OSE188" s="117"/>
      <c r="OSF188" s="117"/>
      <c r="OSG188" s="117"/>
      <c r="OSH188" s="117"/>
      <c r="OSI188" s="117"/>
      <c r="OSJ188" s="117"/>
      <c r="OSK188" s="117"/>
      <c r="OSL188" s="117"/>
      <c r="OSM188" s="117"/>
      <c r="OSN188" s="117"/>
      <c r="OSO188" s="117"/>
      <c r="OSP188" s="117"/>
      <c r="OSQ188" s="117"/>
      <c r="OSR188" s="117"/>
      <c r="OSS188" s="117"/>
      <c r="OST188" s="117"/>
      <c r="OSU188" s="117"/>
      <c r="OSV188" s="117"/>
      <c r="OSW188" s="117"/>
      <c r="OSX188" s="117"/>
      <c r="OSY188" s="117"/>
      <c r="OSZ188" s="117"/>
      <c r="OTA188" s="117"/>
      <c r="OTB188" s="117"/>
      <c r="OTC188" s="117"/>
      <c r="OTD188" s="117"/>
      <c r="OTE188" s="117"/>
      <c r="OTF188" s="117"/>
      <c r="OTG188" s="117"/>
      <c r="OTH188" s="117"/>
      <c r="OTI188" s="117"/>
      <c r="OTJ188" s="117"/>
      <c r="OTK188" s="117"/>
      <c r="OTL188" s="117"/>
      <c r="OTM188" s="117"/>
      <c r="OTN188" s="117"/>
      <c r="OTO188" s="117"/>
      <c r="OTP188" s="117"/>
      <c r="OTQ188" s="117"/>
      <c r="OTR188" s="117"/>
      <c r="OTS188" s="117"/>
      <c r="OTT188" s="117"/>
      <c r="OTU188" s="117"/>
      <c r="OTV188" s="117"/>
      <c r="OTW188" s="117"/>
      <c r="OTX188" s="117"/>
      <c r="OTY188" s="117"/>
      <c r="OTZ188" s="117"/>
      <c r="OUA188" s="117"/>
      <c r="OUB188" s="117"/>
      <c r="OUC188" s="117"/>
      <c r="OUD188" s="117"/>
      <c r="OUE188" s="117"/>
      <c r="OUF188" s="117"/>
      <c r="OUG188" s="117"/>
      <c r="OUH188" s="117"/>
      <c r="OUI188" s="117"/>
      <c r="OUJ188" s="117"/>
      <c r="OUK188" s="117"/>
      <c r="OUL188" s="117"/>
      <c r="OUM188" s="117"/>
      <c r="OUN188" s="117"/>
      <c r="OUO188" s="117"/>
      <c r="OUP188" s="117"/>
      <c r="OUQ188" s="117"/>
      <c r="OUR188" s="117"/>
      <c r="OUS188" s="117"/>
      <c r="OUT188" s="117"/>
      <c r="OUU188" s="117"/>
      <c r="OUV188" s="117"/>
      <c r="OUW188" s="117"/>
      <c r="OUX188" s="117"/>
      <c r="OUY188" s="117"/>
      <c r="OUZ188" s="117"/>
      <c r="OVA188" s="117"/>
      <c r="OVB188" s="117"/>
      <c r="OVC188" s="117"/>
      <c r="OVD188" s="117"/>
      <c r="OVE188" s="117"/>
      <c r="OVF188" s="117"/>
      <c r="OVG188" s="117"/>
      <c r="OVH188" s="117"/>
      <c r="OVI188" s="117"/>
      <c r="OVJ188" s="117"/>
      <c r="OVK188" s="117"/>
      <c r="OVL188" s="117"/>
      <c r="OVM188" s="117"/>
      <c r="OVN188" s="117"/>
      <c r="OVO188" s="117"/>
      <c r="OVP188" s="117"/>
      <c r="OVQ188" s="117"/>
      <c r="OVR188" s="117"/>
      <c r="OVS188" s="117"/>
      <c r="OVT188" s="117"/>
      <c r="OVU188" s="117"/>
      <c r="OVV188" s="117"/>
      <c r="OVW188" s="117"/>
      <c r="OVX188" s="117"/>
      <c r="OVY188" s="117"/>
      <c r="OVZ188" s="117"/>
      <c r="OWA188" s="117"/>
      <c r="OWB188" s="117"/>
      <c r="OWC188" s="117"/>
      <c r="OWD188" s="117"/>
      <c r="OWE188" s="117"/>
      <c r="OWF188" s="117"/>
      <c r="OWG188" s="117"/>
      <c r="OWH188" s="117"/>
      <c r="OWI188" s="117"/>
      <c r="OWJ188" s="117"/>
      <c r="OWK188" s="117"/>
      <c r="OWL188" s="117"/>
      <c r="OWM188" s="117"/>
      <c r="OWN188" s="117"/>
      <c r="OWO188" s="117"/>
      <c r="OWP188" s="117"/>
      <c r="OWQ188" s="117"/>
      <c r="OWR188" s="117"/>
      <c r="OWS188" s="117"/>
      <c r="OWT188" s="117"/>
      <c r="OWU188" s="117"/>
      <c r="OWV188" s="117"/>
      <c r="OWW188" s="117"/>
      <c r="OWX188" s="117"/>
      <c r="OWY188" s="117"/>
      <c r="OWZ188" s="117"/>
      <c r="OXA188" s="117"/>
      <c r="OXB188" s="117"/>
      <c r="OXC188" s="117"/>
      <c r="OXD188" s="117"/>
      <c r="OXE188" s="117"/>
      <c r="OXF188" s="117"/>
      <c r="OXG188" s="117"/>
      <c r="OXH188" s="117"/>
      <c r="OXI188" s="117"/>
      <c r="OXJ188" s="117"/>
      <c r="OXK188" s="117"/>
      <c r="OXL188" s="117"/>
      <c r="OXM188" s="117"/>
      <c r="OXN188" s="117"/>
      <c r="OXO188" s="117"/>
      <c r="OXP188" s="117"/>
      <c r="OXQ188" s="117"/>
      <c r="OXR188" s="117"/>
      <c r="OXS188" s="117"/>
      <c r="OXT188" s="117"/>
      <c r="OXU188" s="117"/>
      <c r="OXV188" s="117"/>
      <c r="OXW188" s="117"/>
      <c r="OXX188" s="117"/>
      <c r="OXY188" s="117"/>
      <c r="OXZ188" s="117"/>
      <c r="OYA188" s="117"/>
      <c r="OYB188" s="117"/>
      <c r="OYC188" s="117"/>
      <c r="OYD188" s="117"/>
      <c r="OYE188" s="117"/>
      <c r="OYF188" s="117"/>
      <c r="OYG188" s="117"/>
      <c r="OYH188" s="117"/>
      <c r="OYI188" s="117"/>
      <c r="OYJ188" s="117"/>
      <c r="OYK188" s="117"/>
      <c r="OYL188" s="117"/>
      <c r="OYM188" s="117"/>
      <c r="OYN188" s="117"/>
      <c r="OYO188" s="117"/>
      <c r="OYP188" s="117"/>
      <c r="OYQ188" s="117"/>
      <c r="OYR188" s="117"/>
      <c r="OYS188" s="117"/>
      <c r="OYT188" s="117"/>
      <c r="OYU188" s="117"/>
      <c r="OYV188" s="117"/>
      <c r="OYW188" s="117"/>
      <c r="OYX188" s="117"/>
      <c r="OYY188" s="117"/>
      <c r="OYZ188" s="117"/>
      <c r="OZA188" s="117"/>
      <c r="OZB188" s="117"/>
      <c r="OZC188" s="117"/>
      <c r="OZD188" s="117"/>
      <c r="OZE188" s="117"/>
      <c r="OZF188" s="117"/>
      <c r="OZG188" s="117"/>
      <c r="OZH188" s="117"/>
      <c r="OZI188" s="117"/>
      <c r="OZJ188" s="117"/>
      <c r="OZK188" s="117"/>
      <c r="OZL188" s="117"/>
      <c r="OZM188" s="117"/>
      <c r="OZN188" s="117"/>
      <c r="OZO188" s="117"/>
      <c r="OZP188" s="117"/>
      <c r="OZQ188" s="117"/>
      <c r="OZR188" s="117"/>
      <c r="OZS188" s="117"/>
      <c r="OZT188" s="117"/>
      <c r="OZU188" s="117"/>
      <c r="OZV188" s="117"/>
      <c r="OZW188" s="117"/>
      <c r="OZX188" s="117"/>
      <c r="OZY188" s="117"/>
      <c r="OZZ188" s="117"/>
      <c r="PAA188" s="117"/>
      <c r="PAB188" s="117"/>
      <c r="PAC188" s="117"/>
      <c r="PAD188" s="117"/>
      <c r="PAE188" s="117"/>
      <c r="PAF188" s="117"/>
      <c r="PAG188" s="117"/>
      <c r="PAH188" s="117"/>
      <c r="PAI188" s="117"/>
      <c r="PAJ188" s="117"/>
      <c r="PAK188" s="117"/>
      <c r="PAL188" s="117"/>
      <c r="PAM188" s="117"/>
      <c r="PAN188" s="117"/>
      <c r="PAO188" s="117"/>
      <c r="PAP188" s="117"/>
      <c r="PAQ188" s="117"/>
      <c r="PAR188" s="117"/>
      <c r="PAS188" s="117"/>
      <c r="PAT188" s="117"/>
      <c r="PAU188" s="117"/>
      <c r="PAV188" s="117"/>
      <c r="PAW188" s="117"/>
      <c r="PAX188" s="117"/>
      <c r="PAY188" s="117"/>
      <c r="PAZ188" s="117"/>
      <c r="PBA188" s="117"/>
      <c r="PBB188" s="117"/>
      <c r="PBC188" s="117"/>
      <c r="PBD188" s="117"/>
      <c r="PBE188" s="117"/>
      <c r="PBF188" s="117"/>
      <c r="PBG188" s="117"/>
      <c r="PBH188" s="117"/>
      <c r="PBI188" s="117"/>
      <c r="PBJ188" s="117"/>
      <c r="PBK188" s="117"/>
      <c r="PBL188" s="117"/>
      <c r="PBM188" s="117"/>
      <c r="PBN188" s="117"/>
      <c r="PBO188" s="117"/>
      <c r="PBP188" s="117"/>
      <c r="PBQ188" s="117"/>
      <c r="PBR188" s="117"/>
      <c r="PBS188" s="117"/>
      <c r="PBT188" s="117"/>
      <c r="PBU188" s="117"/>
      <c r="PBV188" s="117"/>
      <c r="PBW188" s="117"/>
      <c r="PBX188" s="117"/>
      <c r="PBY188" s="117"/>
      <c r="PBZ188" s="117"/>
      <c r="PCA188" s="117"/>
      <c r="PCB188" s="117"/>
      <c r="PCC188" s="117"/>
      <c r="PCD188" s="117"/>
      <c r="PCE188" s="117"/>
      <c r="PCF188" s="117"/>
      <c r="PCG188" s="117"/>
      <c r="PCH188" s="117"/>
      <c r="PCI188" s="117"/>
      <c r="PCJ188" s="117"/>
      <c r="PCK188" s="117"/>
      <c r="PCL188" s="117"/>
      <c r="PCM188" s="117"/>
      <c r="PCN188" s="117"/>
      <c r="PCO188" s="117"/>
      <c r="PCP188" s="117"/>
      <c r="PCQ188" s="117"/>
      <c r="PCR188" s="117"/>
      <c r="PCS188" s="117"/>
      <c r="PCT188" s="117"/>
      <c r="PCU188" s="117"/>
      <c r="PCV188" s="117"/>
      <c r="PCW188" s="117"/>
      <c r="PCX188" s="117"/>
      <c r="PCY188" s="117"/>
      <c r="PCZ188" s="117"/>
      <c r="PDA188" s="117"/>
      <c r="PDB188" s="117"/>
      <c r="PDC188" s="117"/>
      <c r="PDD188" s="117"/>
      <c r="PDE188" s="117"/>
      <c r="PDF188" s="117"/>
      <c r="PDG188" s="117"/>
      <c r="PDH188" s="117"/>
      <c r="PDI188" s="117"/>
      <c r="PDJ188" s="117"/>
      <c r="PDK188" s="117"/>
      <c r="PDL188" s="117"/>
      <c r="PDM188" s="117"/>
      <c r="PDN188" s="117"/>
      <c r="PDO188" s="117"/>
      <c r="PDP188" s="117"/>
      <c r="PDQ188" s="117"/>
      <c r="PDR188" s="117"/>
      <c r="PDS188" s="117"/>
      <c r="PDT188" s="117"/>
      <c r="PDU188" s="117"/>
      <c r="PDV188" s="117"/>
      <c r="PDW188" s="117"/>
      <c r="PDX188" s="117"/>
      <c r="PDY188" s="117"/>
      <c r="PDZ188" s="117"/>
      <c r="PEA188" s="117"/>
      <c r="PEB188" s="117"/>
      <c r="PEC188" s="117"/>
      <c r="PED188" s="117"/>
      <c r="PEE188" s="117"/>
      <c r="PEF188" s="117"/>
      <c r="PEG188" s="117"/>
      <c r="PEH188" s="117"/>
      <c r="PEI188" s="117"/>
      <c r="PEJ188" s="117"/>
      <c r="PEK188" s="117"/>
      <c r="PEL188" s="117"/>
      <c r="PEM188" s="117"/>
      <c r="PEN188" s="117"/>
      <c r="PEO188" s="117"/>
      <c r="PEP188" s="117"/>
      <c r="PEQ188" s="117"/>
      <c r="PER188" s="117"/>
      <c r="PES188" s="117"/>
      <c r="PET188" s="117"/>
      <c r="PEU188" s="117"/>
      <c r="PEV188" s="117"/>
      <c r="PEW188" s="117"/>
      <c r="PEX188" s="117"/>
      <c r="PEY188" s="117"/>
      <c r="PEZ188" s="117"/>
      <c r="PFA188" s="117"/>
      <c r="PFB188" s="117"/>
      <c r="PFC188" s="117"/>
      <c r="PFD188" s="117"/>
      <c r="PFE188" s="117"/>
      <c r="PFF188" s="117"/>
      <c r="PFG188" s="117"/>
      <c r="PFH188" s="117"/>
      <c r="PFI188" s="117"/>
      <c r="PFJ188" s="117"/>
      <c r="PFK188" s="117"/>
      <c r="PFL188" s="117"/>
      <c r="PFM188" s="117"/>
      <c r="PFN188" s="117"/>
      <c r="PFO188" s="117"/>
      <c r="PFP188" s="117"/>
      <c r="PFQ188" s="117"/>
      <c r="PFR188" s="117"/>
      <c r="PFS188" s="117"/>
      <c r="PFT188" s="117"/>
      <c r="PFU188" s="117"/>
      <c r="PFV188" s="117"/>
      <c r="PFW188" s="117"/>
      <c r="PFX188" s="117"/>
      <c r="PFY188" s="117"/>
      <c r="PFZ188" s="117"/>
      <c r="PGA188" s="117"/>
      <c r="PGB188" s="117"/>
      <c r="PGC188" s="117"/>
      <c r="PGD188" s="117"/>
      <c r="PGE188" s="117"/>
      <c r="PGF188" s="117"/>
      <c r="PGG188" s="117"/>
      <c r="PGH188" s="117"/>
      <c r="PGI188" s="117"/>
      <c r="PGJ188" s="117"/>
      <c r="PGK188" s="117"/>
      <c r="PGL188" s="117"/>
      <c r="PGM188" s="117"/>
      <c r="PGN188" s="117"/>
      <c r="PGO188" s="117"/>
      <c r="PGP188" s="117"/>
      <c r="PGQ188" s="117"/>
      <c r="PGR188" s="117"/>
      <c r="PGS188" s="117"/>
      <c r="PGT188" s="117"/>
      <c r="PGU188" s="117"/>
      <c r="PGV188" s="117"/>
      <c r="PGW188" s="117"/>
      <c r="PGX188" s="117"/>
      <c r="PGY188" s="117"/>
      <c r="PGZ188" s="117"/>
      <c r="PHA188" s="117"/>
      <c r="PHB188" s="117"/>
      <c r="PHC188" s="117"/>
      <c r="PHD188" s="117"/>
      <c r="PHE188" s="117"/>
      <c r="PHF188" s="117"/>
      <c r="PHG188" s="117"/>
      <c r="PHH188" s="117"/>
      <c r="PHI188" s="117"/>
      <c r="PHJ188" s="117"/>
      <c r="PHK188" s="117"/>
      <c r="PHL188" s="117"/>
      <c r="PHM188" s="117"/>
      <c r="PHN188" s="117"/>
      <c r="PHO188" s="117"/>
      <c r="PHP188" s="117"/>
      <c r="PHQ188" s="117"/>
      <c r="PHR188" s="117"/>
      <c r="PHS188" s="117"/>
      <c r="PHT188" s="117"/>
      <c r="PHU188" s="117"/>
      <c r="PHV188" s="117"/>
      <c r="PHW188" s="117"/>
      <c r="PHX188" s="117"/>
      <c r="PHY188" s="117"/>
      <c r="PHZ188" s="117"/>
      <c r="PIA188" s="117"/>
      <c r="PIB188" s="117"/>
      <c r="PIC188" s="117"/>
      <c r="PID188" s="117"/>
      <c r="PIE188" s="117"/>
      <c r="PIF188" s="117"/>
      <c r="PIG188" s="117"/>
      <c r="PIH188" s="117"/>
      <c r="PII188" s="117"/>
      <c r="PIJ188" s="117"/>
      <c r="PIK188" s="117"/>
      <c r="PIL188" s="117"/>
      <c r="PIM188" s="117"/>
      <c r="PIN188" s="117"/>
      <c r="PIO188" s="117"/>
      <c r="PIP188" s="117"/>
      <c r="PIQ188" s="117"/>
      <c r="PIR188" s="117"/>
      <c r="PIS188" s="117"/>
      <c r="PIT188" s="117"/>
      <c r="PIU188" s="117"/>
      <c r="PIV188" s="117"/>
      <c r="PIW188" s="117"/>
      <c r="PIX188" s="117"/>
      <c r="PIY188" s="117"/>
      <c r="PIZ188" s="117"/>
      <c r="PJA188" s="117"/>
      <c r="PJB188" s="117"/>
      <c r="PJC188" s="117"/>
      <c r="PJD188" s="117"/>
      <c r="PJE188" s="117"/>
      <c r="PJF188" s="117"/>
      <c r="PJG188" s="117"/>
      <c r="PJH188" s="117"/>
      <c r="PJI188" s="117"/>
      <c r="PJJ188" s="117"/>
      <c r="PJK188" s="117"/>
      <c r="PJL188" s="117"/>
      <c r="PJM188" s="117"/>
      <c r="PJN188" s="117"/>
      <c r="PJO188" s="117"/>
      <c r="PJP188" s="117"/>
      <c r="PJQ188" s="117"/>
      <c r="PJR188" s="117"/>
      <c r="PJS188" s="117"/>
      <c r="PJT188" s="117"/>
      <c r="PJU188" s="117"/>
      <c r="PJV188" s="117"/>
      <c r="PJW188" s="117"/>
      <c r="PJX188" s="117"/>
      <c r="PJY188" s="117"/>
      <c r="PJZ188" s="117"/>
      <c r="PKA188" s="117"/>
      <c r="PKB188" s="117"/>
      <c r="PKC188" s="117"/>
      <c r="PKD188" s="117"/>
      <c r="PKE188" s="117"/>
      <c r="PKF188" s="117"/>
      <c r="PKG188" s="117"/>
      <c r="PKH188" s="117"/>
      <c r="PKI188" s="117"/>
      <c r="PKJ188" s="117"/>
      <c r="PKK188" s="117"/>
      <c r="PKL188" s="117"/>
      <c r="PKM188" s="117"/>
      <c r="PKN188" s="117"/>
      <c r="PKO188" s="117"/>
      <c r="PKP188" s="117"/>
      <c r="PKQ188" s="117"/>
      <c r="PKR188" s="117"/>
      <c r="PKS188" s="117"/>
      <c r="PKT188" s="117"/>
      <c r="PKU188" s="117"/>
      <c r="PKV188" s="117"/>
      <c r="PKW188" s="117"/>
      <c r="PKX188" s="117"/>
      <c r="PKY188" s="117"/>
      <c r="PKZ188" s="117"/>
      <c r="PLA188" s="117"/>
      <c r="PLB188" s="117"/>
      <c r="PLC188" s="117"/>
      <c r="PLD188" s="117"/>
      <c r="PLE188" s="117"/>
      <c r="PLF188" s="117"/>
      <c r="PLG188" s="117"/>
      <c r="PLH188" s="117"/>
      <c r="PLI188" s="117"/>
      <c r="PLJ188" s="117"/>
      <c r="PLK188" s="117"/>
      <c r="PLL188" s="117"/>
      <c r="PLM188" s="117"/>
      <c r="PLN188" s="117"/>
      <c r="PLO188" s="117"/>
      <c r="PLP188" s="117"/>
      <c r="PLQ188" s="117"/>
      <c r="PLR188" s="117"/>
      <c r="PLS188" s="117"/>
      <c r="PLT188" s="117"/>
      <c r="PLU188" s="117"/>
      <c r="PLV188" s="117"/>
      <c r="PLW188" s="117"/>
      <c r="PLX188" s="117"/>
      <c r="PLY188" s="117"/>
      <c r="PLZ188" s="117"/>
      <c r="PMA188" s="117"/>
      <c r="PMB188" s="117"/>
      <c r="PMC188" s="117"/>
      <c r="PMD188" s="117"/>
      <c r="PME188" s="117"/>
      <c r="PMF188" s="117"/>
      <c r="PMG188" s="117"/>
      <c r="PMH188" s="117"/>
      <c r="PMI188" s="117"/>
      <c r="PMJ188" s="117"/>
      <c r="PMK188" s="117"/>
      <c r="PML188" s="117"/>
      <c r="PMM188" s="117"/>
      <c r="PMN188" s="117"/>
      <c r="PMO188" s="117"/>
      <c r="PMP188" s="117"/>
      <c r="PMQ188" s="117"/>
      <c r="PMR188" s="117"/>
      <c r="PMS188" s="117"/>
      <c r="PMT188" s="117"/>
      <c r="PMU188" s="117"/>
      <c r="PMV188" s="117"/>
      <c r="PMW188" s="117"/>
      <c r="PMX188" s="117"/>
      <c r="PMY188" s="117"/>
      <c r="PMZ188" s="117"/>
      <c r="PNA188" s="117"/>
      <c r="PNB188" s="117"/>
      <c r="PNC188" s="117"/>
      <c r="PND188" s="117"/>
      <c r="PNE188" s="117"/>
      <c r="PNF188" s="117"/>
      <c r="PNG188" s="117"/>
      <c r="PNH188" s="117"/>
      <c r="PNI188" s="117"/>
      <c r="PNJ188" s="117"/>
      <c r="PNK188" s="117"/>
      <c r="PNL188" s="117"/>
      <c r="PNM188" s="117"/>
      <c r="PNN188" s="117"/>
      <c r="PNO188" s="117"/>
      <c r="PNP188" s="117"/>
      <c r="PNQ188" s="117"/>
      <c r="PNR188" s="117"/>
      <c r="PNS188" s="117"/>
      <c r="PNT188" s="117"/>
      <c r="PNU188" s="117"/>
      <c r="PNV188" s="117"/>
      <c r="PNW188" s="117"/>
      <c r="PNX188" s="117"/>
      <c r="PNY188" s="117"/>
      <c r="PNZ188" s="117"/>
      <c r="POA188" s="117"/>
      <c r="POB188" s="117"/>
      <c r="POC188" s="117"/>
      <c r="POD188" s="117"/>
      <c r="POE188" s="117"/>
      <c r="POF188" s="117"/>
      <c r="POG188" s="117"/>
      <c r="POH188" s="117"/>
      <c r="POI188" s="117"/>
      <c r="POJ188" s="117"/>
      <c r="POK188" s="117"/>
      <c r="POL188" s="117"/>
      <c r="POM188" s="117"/>
      <c r="PON188" s="117"/>
      <c r="POO188" s="117"/>
      <c r="POP188" s="117"/>
      <c r="POQ188" s="117"/>
      <c r="POR188" s="117"/>
      <c r="POS188" s="117"/>
      <c r="POT188" s="117"/>
      <c r="POU188" s="117"/>
      <c r="POV188" s="117"/>
      <c r="POW188" s="117"/>
      <c r="POX188" s="117"/>
      <c r="POY188" s="117"/>
      <c r="POZ188" s="117"/>
      <c r="PPA188" s="117"/>
      <c r="PPB188" s="117"/>
      <c r="PPC188" s="117"/>
      <c r="PPD188" s="117"/>
      <c r="PPE188" s="117"/>
      <c r="PPF188" s="117"/>
      <c r="PPG188" s="117"/>
      <c r="PPH188" s="117"/>
      <c r="PPI188" s="117"/>
      <c r="PPJ188" s="117"/>
      <c r="PPK188" s="117"/>
      <c r="PPL188" s="117"/>
      <c r="PPM188" s="117"/>
      <c r="PPN188" s="117"/>
      <c r="PPO188" s="117"/>
      <c r="PPP188" s="117"/>
      <c r="PPQ188" s="117"/>
      <c r="PPR188" s="117"/>
      <c r="PPS188" s="117"/>
      <c r="PPT188" s="117"/>
      <c r="PPU188" s="117"/>
      <c r="PPV188" s="117"/>
      <c r="PPW188" s="117"/>
      <c r="PPX188" s="117"/>
      <c r="PPY188" s="117"/>
      <c r="PPZ188" s="117"/>
      <c r="PQA188" s="117"/>
      <c r="PQB188" s="117"/>
      <c r="PQC188" s="117"/>
      <c r="PQD188" s="117"/>
      <c r="PQE188" s="117"/>
      <c r="PQF188" s="117"/>
      <c r="PQG188" s="117"/>
      <c r="PQH188" s="117"/>
      <c r="PQI188" s="117"/>
      <c r="PQJ188" s="117"/>
      <c r="PQK188" s="117"/>
      <c r="PQL188" s="117"/>
      <c r="PQM188" s="117"/>
      <c r="PQN188" s="117"/>
      <c r="PQO188" s="117"/>
      <c r="PQP188" s="117"/>
      <c r="PQQ188" s="117"/>
      <c r="PQR188" s="117"/>
      <c r="PQS188" s="117"/>
      <c r="PQT188" s="117"/>
      <c r="PQU188" s="117"/>
      <c r="PQV188" s="117"/>
      <c r="PQW188" s="117"/>
      <c r="PQX188" s="117"/>
      <c r="PQY188" s="117"/>
      <c r="PQZ188" s="117"/>
      <c r="PRA188" s="117"/>
      <c r="PRB188" s="117"/>
      <c r="PRC188" s="117"/>
      <c r="PRD188" s="117"/>
      <c r="PRE188" s="117"/>
      <c r="PRF188" s="117"/>
      <c r="PRG188" s="117"/>
      <c r="PRH188" s="117"/>
      <c r="PRI188" s="117"/>
      <c r="PRJ188" s="117"/>
      <c r="PRK188" s="117"/>
      <c r="PRL188" s="117"/>
      <c r="PRM188" s="117"/>
      <c r="PRN188" s="117"/>
      <c r="PRO188" s="117"/>
      <c r="PRP188" s="117"/>
      <c r="PRQ188" s="117"/>
      <c r="PRR188" s="117"/>
      <c r="PRS188" s="117"/>
      <c r="PRT188" s="117"/>
      <c r="PRU188" s="117"/>
      <c r="PRV188" s="117"/>
      <c r="PRW188" s="117"/>
      <c r="PRX188" s="117"/>
      <c r="PRY188" s="117"/>
      <c r="PRZ188" s="117"/>
      <c r="PSA188" s="117"/>
      <c r="PSB188" s="117"/>
      <c r="PSC188" s="117"/>
      <c r="PSD188" s="117"/>
      <c r="PSE188" s="117"/>
      <c r="PSF188" s="117"/>
      <c r="PSG188" s="117"/>
      <c r="PSH188" s="117"/>
      <c r="PSI188" s="117"/>
      <c r="PSJ188" s="117"/>
      <c r="PSK188" s="117"/>
      <c r="PSL188" s="117"/>
      <c r="PSM188" s="117"/>
      <c r="PSN188" s="117"/>
      <c r="PSO188" s="117"/>
      <c r="PSP188" s="117"/>
      <c r="PSQ188" s="117"/>
      <c r="PSR188" s="117"/>
      <c r="PSS188" s="117"/>
      <c r="PST188" s="117"/>
      <c r="PSU188" s="117"/>
      <c r="PSV188" s="117"/>
      <c r="PSW188" s="117"/>
      <c r="PSX188" s="117"/>
      <c r="PSY188" s="117"/>
      <c r="PSZ188" s="117"/>
      <c r="PTA188" s="117"/>
      <c r="PTB188" s="117"/>
      <c r="PTC188" s="117"/>
      <c r="PTD188" s="117"/>
      <c r="PTE188" s="117"/>
      <c r="PTF188" s="117"/>
      <c r="PTG188" s="117"/>
      <c r="PTH188" s="117"/>
      <c r="PTI188" s="117"/>
      <c r="PTJ188" s="117"/>
      <c r="PTK188" s="117"/>
      <c r="PTL188" s="117"/>
      <c r="PTM188" s="117"/>
      <c r="PTN188" s="117"/>
      <c r="PTO188" s="117"/>
      <c r="PTP188" s="117"/>
      <c r="PTQ188" s="117"/>
      <c r="PTR188" s="117"/>
      <c r="PTS188" s="117"/>
      <c r="PTT188" s="117"/>
      <c r="PTU188" s="117"/>
      <c r="PTV188" s="117"/>
      <c r="PTW188" s="117"/>
      <c r="PTX188" s="117"/>
      <c r="PTY188" s="117"/>
      <c r="PTZ188" s="117"/>
      <c r="PUA188" s="117"/>
      <c r="PUB188" s="117"/>
      <c r="PUC188" s="117"/>
      <c r="PUD188" s="117"/>
      <c r="PUE188" s="117"/>
      <c r="PUF188" s="117"/>
      <c r="PUG188" s="117"/>
      <c r="PUH188" s="117"/>
      <c r="PUI188" s="117"/>
      <c r="PUJ188" s="117"/>
      <c r="PUK188" s="117"/>
      <c r="PUL188" s="117"/>
      <c r="PUM188" s="117"/>
      <c r="PUN188" s="117"/>
      <c r="PUO188" s="117"/>
      <c r="PUP188" s="117"/>
      <c r="PUQ188" s="117"/>
      <c r="PUR188" s="117"/>
      <c r="PUS188" s="117"/>
      <c r="PUT188" s="117"/>
      <c r="PUU188" s="117"/>
      <c r="PUV188" s="117"/>
      <c r="PUW188" s="117"/>
      <c r="PUX188" s="117"/>
      <c r="PUY188" s="117"/>
      <c r="PUZ188" s="117"/>
      <c r="PVA188" s="117"/>
      <c r="PVB188" s="117"/>
      <c r="PVC188" s="117"/>
      <c r="PVD188" s="117"/>
      <c r="PVE188" s="117"/>
      <c r="PVF188" s="117"/>
      <c r="PVG188" s="117"/>
      <c r="PVH188" s="117"/>
      <c r="PVI188" s="117"/>
      <c r="PVJ188" s="117"/>
      <c r="PVK188" s="117"/>
      <c r="PVL188" s="117"/>
      <c r="PVM188" s="117"/>
      <c r="PVN188" s="117"/>
      <c r="PVO188" s="117"/>
      <c r="PVP188" s="117"/>
      <c r="PVQ188" s="117"/>
      <c r="PVR188" s="117"/>
      <c r="PVS188" s="117"/>
      <c r="PVT188" s="117"/>
      <c r="PVU188" s="117"/>
      <c r="PVV188" s="117"/>
      <c r="PVW188" s="117"/>
      <c r="PVX188" s="117"/>
      <c r="PVY188" s="117"/>
      <c r="PVZ188" s="117"/>
      <c r="PWA188" s="117"/>
      <c r="PWB188" s="117"/>
      <c r="PWC188" s="117"/>
      <c r="PWD188" s="117"/>
      <c r="PWE188" s="117"/>
      <c r="PWF188" s="117"/>
      <c r="PWG188" s="117"/>
      <c r="PWH188" s="117"/>
      <c r="PWI188" s="117"/>
      <c r="PWJ188" s="117"/>
      <c r="PWK188" s="117"/>
      <c r="PWL188" s="117"/>
      <c r="PWM188" s="117"/>
      <c r="PWN188" s="117"/>
      <c r="PWO188" s="117"/>
      <c r="PWP188" s="117"/>
      <c r="PWQ188" s="117"/>
      <c r="PWR188" s="117"/>
      <c r="PWS188" s="117"/>
      <c r="PWT188" s="117"/>
      <c r="PWU188" s="117"/>
      <c r="PWV188" s="117"/>
      <c r="PWW188" s="117"/>
      <c r="PWX188" s="117"/>
      <c r="PWY188" s="117"/>
      <c r="PWZ188" s="117"/>
      <c r="PXA188" s="117"/>
      <c r="PXB188" s="117"/>
      <c r="PXC188" s="117"/>
      <c r="PXD188" s="117"/>
      <c r="PXE188" s="117"/>
      <c r="PXF188" s="117"/>
      <c r="PXG188" s="117"/>
      <c r="PXH188" s="117"/>
      <c r="PXI188" s="117"/>
      <c r="PXJ188" s="117"/>
      <c r="PXK188" s="117"/>
      <c r="PXL188" s="117"/>
      <c r="PXM188" s="117"/>
      <c r="PXN188" s="117"/>
      <c r="PXO188" s="117"/>
      <c r="PXP188" s="117"/>
      <c r="PXQ188" s="117"/>
      <c r="PXR188" s="117"/>
      <c r="PXS188" s="117"/>
      <c r="PXT188" s="117"/>
      <c r="PXU188" s="117"/>
      <c r="PXV188" s="117"/>
      <c r="PXW188" s="117"/>
      <c r="PXX188" s="117"/>
      <c r="PXY188" s="117"/>
      <c r="PXZ188" s="117"/>
      <c r="PYA188" s="117"/>
      <c r="PYB188" s="117"/>
      <c r="PYC188" s="117"/>
      <c r="PYD188" s="117"/>
      <c r="PYE188" s="117"/>
      <c r="PYF188" s="117"/>
      <c r="PYG188" s="117"/>
      <c r="PYH188" s="117"/>
      <c r="PYI188" s="117"/>
      <c r="PYJ188" s="117"/>
      <c r="PYK188" s="117"/>
      <c r="PYL188" s="117"/>
      <c r="PYM188" s="117"/>
      <c r="PYN188" s="117"/>
      <c r="PYO188" s="117"/>
      <c r="PYP188" s="117"/>
      <c r="PYQ188" s="117"/>
      <c r="PYR188" s="117"/>
      <c r="PYS188" s="117"/>
      <c r="PYT188" s="117"/>
      <c r="PYU188" s="117"/>
      <c r="PYV188" s="117"/>
      <c r="PYW188" s="117"/>
      <c r="PYX188" s="117"/>
      <c r="PYY188" s="117"/>
      <c r="PYZ188" s="117"/>
      <c r="PZA188" s="117"/>
      <c r="PZB188" s="117"/>
      <c r="PZC188" s="117"/>
      <c r="PZD188" s="117"/>
      <c r="PZE188" s="117"/>
      <c r="PZF188" s="117"/>
      <c r="PZG188" s="117"/>
      <c r="PZH188" s="117"/>
      <c r="PZI188" s="117"/>
      <c r="PZJ188" s="117"/>
      <c r="PZK188" s="117"/>
      <c r="PZL188" s="117"/>
      <c r="PZM188" s="117"/>
      <c r="PZN188" s="117"/>
      <c r="PZO188" s="117"/>
      <c r="PZP188" s="117"/>
      <c r="PZQ188" s="117"/>
      <c r="PZR188" s="117"/>
      <c r="PZS188" s="117"/>
      <c r="PZT188" s="117"/>
      <c r="PZU188" s="117"/>
      <c r="PZV188" s="117"/>
      <c r="PZW188" s="117"/>
      <c r="PZX188" s="117"/>
      <c r="PZY188" s="117"/>
      <c r="PZZ188" s="117"/>
      <c r="QAA188" s="117"/>
      <c r="QAB188" s="117"/>
      <c r="QAC188" s="117"/>
      <c r="QAD188" s="117"/>
      <c r="QAE188" s="117"/>
      <c r="QAF188" s="117"/>
      <c r="QAG188" s="117"/>
      <c r="QAH188" s="117"/>
      <c r="QAI188" s="117"/>
      <c r="QAJ188" s="117"/>
      <c r="QAK188" s="117"/>
      <c r="QAL188" s="117"/>
      <c r="QAM188" s="117"/>
      <c r="QAN188" s="117"/>
      <c r="QAO188" s="117"/>
      <c r="QAP188" s="117"/>
      <c r="QAQ188" s="117"/>
      <c r="QAR188" s="117"/>
      <c r="QAS188" s="117"/>
      <c r="QAT188" s="117"/>
      <c r="QAU188" s="117"/>
      <c r="QAV188" s="117"/>
      <c r="QAW188" s="117"/>
      <c r="QAX188" s="117"/>
      <c r="QAY188" s="117"/>
      <c r="QAZ188" s="117"/>
      <c r="QBA188" s="117"/>
      <c r="QBB188" s="117"/>
      <c r="QBC188" s="117"/>
      <c r="QBD188" s="117"/>
      <c r="QBE188" s="117"/>
      <c r="QBF188" s="117"/>
      <c r="QBG188" s="117"/>
      <c r="QBH188" s="117"/>
      <c r="QBI188" s="117"/>
      <c r="QBJ188" s="117"/>
      <c r="QBK188" s="117"/>
      <c r="QBL188" s="117"/>
      <c r="QBM188" s="117"/>
      <c r="QBN188" s="117"/>
      <c r="QBO188" s="117"/>
      <c r="QBP188" s="117"/>
      <c r="QBQ188" s="117"/>
      <c r="QBR188" s="117"/>
      <c r="QBS188" s="117"/>
      <c r="QBT188" s="117"/>
      <c r="QBU188" s="117"/>
      <c r="QBV188" s="117"/>
      <c r="QBW188" s="117"/>
      <c r="QBX188" s="117"/>
      <c r="QBY188" s="117"/>
      <c r="QBZ188" s="117"/>
      <c r="QCA188" s="117"/>
      <c r="QCB188" s="117"/>
      <c r="QCC188" s="117"/>
      <c r="QCD188" s="117"/>
      <c r="QCE188" s="117"/>
      <c r="QCF188" s="117"/>
      <c r="QCG188" s="117"/>
      <c r="QCH188" s="117"/>
      <c r="QCI188" s="117"/>
      <c r="QCJ188" s="117"/>
      <c r="QCK188" s="117"/>
      <c r="QCL188" s="117"/>
      <c r="QCM188" s="117"/>
      <c r="QCN188" s="117"/>
      <c r="QCO188" s="117"/>
      <c r="QCP188" s="117"/>
      <c r="QCQ188" s="117"/>
      <c r="QCR188" s="117"/>
      <c r="QCS188" s="117"/>
      <c r="QCT188" s="117"/>
      <c r="QCU188" s="117"/>
      <c r="QCV188" s="117"/>
      <c r="QCW188" s="117"/>
      <c r="QCX188" s="117"/>
      <c r="QCY188" s="117"/>
      <c r="QCZ188" s="117"/>
      <c r="QDA188" s="117"/>
      <c r="QDB188" s="117"/>
      <c r="QDC188" s="117"/>
      <c r="QDD188" s="117"/>
      <c r="QDE188" s="117"/>
      <c r="QDF188" s="117"/>
      <c r="QDG188" s="117"/>
      <c r="QDH188" s="117"/>
      <c r="QDI188" s="117"/>
      <c r="QDJ188" s="117"/>
      <c r="QDK188" s="117"/>
      <c r="QDL188" s="117"/>
      <c r="QDM188" s="117"/>
      <c r="QDN188" s="117"/>
      <c r="QDO188" s="117"/>
      <c r="QDP188" s="117"/>
      <c r="QDQ188" s="117"/>
      <c r="QDR188" s="117"/>
      <c r="QDS188" s="117"/>
      <c r="QDT188" s="117"/>
      <c r="QDU188" s="117"/>
      <c r="QDV188" s="117"/>
      <c r="QDW188" s="117"/>
      <c r="QDX188" s="117"/>
      <c r="QDY188" s="117"/>
      <c r="QDZ188" s="117"/>
      <c r="QEA188" s="117"/>
      <c r="QEB188" s="117"/>
      <c r="QEC188" s="117"/>
      <c r="QED188" s="117"/>
      <c r="QEE188" s="117"/>
      <c r="QEF188" s="117"/>
      <c r="QEG188" s="117"/>
      <c r="QEH188" s="117"/>
      <c r="QEI188" s="117"/>
      <c r="QEJ188" s="117"/>
      <c r="QEK188" s="117"/>
      <c r="QEL188" s="117"/>
      <c r="QEM188" s="117"/>
      <c r="QEN188" s="117"/>
      <c r="QEO188" s="117"/>
      <c r="QEP188" s="117"/>
      <c r="QEQ188" s="117"/>
      <c r="QER188" s="117"/>
      <c r="QES188" s="117"/>
      <c r="QET188" s="117"/>
      <c r="QEU188" s="117"/>
      <c r="QEV188" s="117"/>
      <c r="QEW188" s="117"/>
      <c r="QEX188" s="117"/>
      <c r="QEY188" s="117"/>
      <c r="QEZ188" s="117"/>
      <c r="QFA188" s="117"/>
      <c r="QFB188" s="117"/>
      <c r="QFC188" s="117"/>
      <c r="QFD188" s="117"/>
      <c r="QFE188" s="117"/>
      <c r="QFF188" s="117"/>
      <c r="QFG188" s="117"/>
      <c r="QFH188" s="117"/>
      <c r="QFI188" s="117"/>
      <c r="QFJ188" s="117"/>
      <c r="QFK188" s="117"/>
      <c r="QFL188" s="117"/>
      <c r="QFM188" s="117"/>
      <c r="QFN188" s="117"/>
      <c r="QFO188" s="117"/>
      <c r="QFP188" s="117"/>
      <c r="QFQ188" s="117"/>
      <c r="QFR188" s="117"/>
      <c r="QFS188" s="117"/>
      <c r="QFT188" s="117"/>
      <c r="QFU188" s="117"/>
      <c r="QFV188" s="117"/>
      <c r="QFW188" s="117"/>
      <c r="QFX188" s="117"/>
      <c r="QFY188" s="117"/>
      <c r="QFZ188" s="117"/>
      <c r="QGA188" s="117"/>
      <c r="QGB188" s="117"/>
      <c r="QGC188" s="117"/>
      <c r="QGD188" s="117"/>
      <c r="QGE188" s="117"/>
      <c r="QGF188" s="117"/>
      <c r="QGG188" s="117"/>
      <c r="QGH188" s="117"/>
      <c r="QGI188" s="117"/>
      <c r="QGJ188" s="117"/>
      <c r="QGK188" s="117"/>
      <c r="QGL188" s="117"/>
      <c r="QGM188" s="117"/>
      <c r="QGN188" s="117"/>
      <c r="QGO188" s="117"/>
      <c r="QGP188" s="117"/>
      <c r="QGQ188" s="117"/>
      <c r="QGR188" s="117"/>
      <c r="QGS188" s="117"/>
      <c r="QGT188" s="117"/>
      <c r="QGU188" s="117"/>
      <c r="QGV188" s="117"/>
      <c r="QGW188" s="117"/>
      <c r="QGX188" s="117"/>
      <c r="QGY188" s="117"/>
      <c r="QGZ188" s="117"/>
      <c r="QHA188" s="117"/>
      <c r="QHB188" s="117"/>
      <c r="QHC188" s="117"/>
      <c r="QHD188" s="117"/>
      <c r="QHE188" s="117"/>
      <c r="QHF188" s="117"/>
      <c r="QHG188" s="117"/>
      <c r="QHH188" s="117"/>
      <c r="QHI188" s="117"/>
      <c r="QHJ188" s="117"/>
      <c r="QHK188" s="117"/>
      <c r="QHL188" s="117"/>
      <c r="QHM188" s="117"/>
      <c r="QHN188" s="117"/>
      <c r="QHO188" s="117"/>
      <c r="QHP188" s="117"/>
      <c r="QHQ188" s="117"/>
      <c r="QHR188" s="117"/>
      <c r="QHS188" s="117"/>
      <c r="QHT188" s="117"/>
      <c r="QHU188" s="117"/>
      <c r="QHV188" s="117"/>
      <c r="QHW188" s="117"/>
      <c r="QHX188" s="117"/>
      <c r="QHY188" s="117"/>
      <c r="QHZ188" s="117"/>
      <c r="QIA188" s="117"/>
      <c r="QIB188" s="117"/>
      <c r="QIC188" s="117"/>
      <c r="QID188" s="117"/>
      <c r="QIE188" s="117"/>
      <c r="QIF188" s="117"/>
      <c r="QIG188" s="117"/>
      <c r="QIH188" s="117"/>
      <c r="QII188" s="117"/>
      <c r="QIJ188" s="117"/>
      <c r="QIK188" s="117"/>
      <c r="QIL188" s="117"/>
      <c r="QIM188" s="117"/>
      <c r="QIN188" s="117"/>
      <c r="QIO188" s="117"/>
      <c r="QIP188" s="117"/>
      <c r="QIQ188" s="117"/>
      <c r="QIR188" s="117"/>
      <c r="QIS188" s="117"/>
      <c r="QIT188" s="117"/>
      <c r="QIU188" s="117"/>
      <c r="QIV188" s="117"/>
      <c r="QIW188" s="117"/>
      <c r="QIX188" s="117"/>
      <c r="QIY188" s="117"/>
      <c r="QIZ188" s="117"/>
      <c r="QJA188" s="117"/>
      <c r="QJB188" s="117"/>
      <c r="QJC188" s="117"/>
      <c r="QJD188" s="117"/>
      <c r="QJE188" s="117"/>
      <c r="QJF188" s="117"/>
      <c r="QJG188" s="117"/>
      <c r="QJH188" s="117"/>
      <c r="QJI188" s="117"/>
      <c r="QJJ188" s="117"/>
      <c r="QJK188" s="117"/>
      <c r="QJL188" s="117"/>
      <c r="QJM188" s="117"/>
      <c r="QJN188" s="117"/>
      <c r="QJO188" s="117"/>
      <c r="QJP188" s="117"/>
      <c r="QJQ188" s="117"/>
      <c r="QJR188" s="117"/>
      <c r="QJS188" s="117"/>
      <c r="QJT188" s="117"/>
      <c r="QJU188" s="117"/>
      <c r="QJV188" s="117"/>
      <c r="QJW188" s="117"/>
      <c r="QJX188" s="117"/>
      <c r="QJY188" s="117"/>
      <c r="QJZ188" s="117"/>
      <c r="QKA188" s="117"/>
      <c r="QKB188" s="117"/>
      <c r="QKC188" s="117"/>
      <c r="QKD188" s="117"/>
      <c r="QKE188" s="117"/>
      <c r="QKF188" s="117"/>
      <c r="QKG188" s="117"/>
      <c r="QKH188" s="117"/>
      <c r="QKI188" s="117"/>
      <c r="QKJ188" s="117"/>
      <c r="QKK188" s="117"/>
      <c r="QKL188" s="117"/>
      <c r="QKM188" s="117"/>
      <c r="QKN188" s="117"/>
      <c r="QKO188" s="117"/>
      <c r="QKP188" s="117"/>
      <c r="QKQ188" s="117"/>
      <c r="QKR188" s="117"/>
      <c r="QKS188" s="117"/>
      <c r="QKT188" s="117"/>
      <c r="QKU188" s="117"/>
      <c r="QKV188" s="117"/>
      <c r="QKW188" s="117"/>
      <c r="QKX188" s="117"/>
      <c r="QKY188" s="117"/>
      <c r="QKZ188" s="117"/>
      <c r="QLA188" s="117"/>
      <c r="QLB188" s="117"/>
      <c r="QLC188" s="117"/>
      <c r="QLD188" s="117"/>
      <c r="QLE188" s="117"/>
      <c r="QLF188" s="117"/>
      <c r="QLG188" s="117"/>
      <c r="QLH188" s="117"/>
      <c r="QLI188" s="117"/>
      <c r="QLJ188" s="117"/>
      <c r="QLK188" s="117"/>
      <c r="QLL188" s="117"/>
      <c r="QLM188" s="117"/>
      <c r="QLN188" s="117"/>
      <c r="QLO188" s="117"/>
      <c r="QLP188" s="117"/>
      <c r="QLQ188" s="117"/>
      <c r="QLR188" s="117"/>
      <c r="QLS188" s="117"/>
      <c r="QLT188" s="117"/>
      <c r="QLU188" s="117"/>
      <c r="QLV188" s="117"/>
      <c r="QLW188" s="117"/>
      <c r="QLX188" s="117"/>
      <c r="QLY188" s="117"/>
      <c r="QLZ188" s="117"/>
      <c r="QMA188" s="117"/>
      <c r="QMB188" s="117"/>
      <c r="QMC188" s="117"/>
      <c r="QMD188" s="117"/>
      <c r="QME188" s="117"/>
      <c r="QMF188" s="117"/>
      <c r="QMG188" s="117"/>
      <c r="QMH188" s="117"/>
      <c r="QMI188" s="117"/>
      <c r="QMJ188" s="117"/>
      <c r="QMK188" s="117"/>
      <c r="QML188" s="117"/>
      <c r="QMM188" s="117"/>
      <c r="QMN188" s="117"/>
      <c r="QMO188" s="117"/>
      <c r="QMP188" s="117"/>
      <c r="QMQ188" s="117"/>
      <c r="QMR188" s="117"/>
      <c r="QMS188" s="117"/>
      <c r="QMT188" s="117"/>
      <c r="QMU188" s="117"/>
      <c r="QMV188" s="117"/>
      <c r="QMW188" s="117"/>
      <c r="QMX188" s="117"/>
      <c r="QMY188" s="117"/>
      <c r="QMZ188" s="117"/>
      <c r="QNA188" s="117"/>
      <c r="QNB188" s="117"/>
      <c r="QNC188" s="117"/>
      <c r="QND188" s="117"/>
      <c r="QNE188" s="117"/>
      <c r="QNF188" s="117"/>
      <c r="QNG188" s="117"/>
      <c r="QNH188" s="117"/>
      <c r="QNI188" s="117"/>
      <c r="QNJ188" s="117"/>
      <c r="QNK188" s="117"/>
      <c r="QNL188" s="117"/>
      <c r="QNM188" s="117"/>
      <c r="QNN188" s="117"/>
      <c r="QNO188" s="117"/>
      <c r="QNP188" s="117"/>
      <c r="QNQ188" s="117"/>
      <c r="QNR188" s="117"/>
      <c r="QNS188" s="117"/>
      <c r="QNT188" s="117"/>
      <c r="QNU188" s="117"/>
      <c r="QNV188" s="117"/>
      <c r="QNW188" s="117"/>
      <c r="QNX188" s="117"/>
      <c r="QNY188" s="117"/>
      <c r="QNZ188" s="117"/>
      <c r="QOA188" s="117"/>
      <c r="QOB188" s="117"/>
      <c r="QOC188" s="117"/>
      <c r="QOD188" s="117"/>
      <c r="QOE188" s="117"/>
      <c r="QOF188" s="117"/>
      <c r="QOG188" s="117"/>
      <c r="QOH188" s="117"/>
      <c r="QOI188" s="117"/>
      <c r="QOJ188" s="117"/>
      <c r="QOK188" s="117"/>
      <c r="QOL188" s="117"/>
      <c r="QOM188" s="117"/>
      <c r="QON188" s="117"/>
      <c r="QOO188" s="117"/>
      <c r="QOP188" s="117"/>
      <c r="QOQ188" s="117"/>
      <c r="QOR188" s="117"/>
      <c r="QOS188" s="117"/>
      <c r="QOT188" s="117"/>
      <c r="QOU188" s="117"/>
      <c r="QOV188" s="117"/>
      <c r="QOW188" s="117"/>
      <c r="QOX188" s="117"/>
      <c r="QOY188" s="117"/>
      <c r="QOZ188" s="117"/>
      <c r="QPA188" s="117"/>
      <c r="QPB188" s="117"/>
      <c r="QPC188" s="117"/>
      <c r="QPD188" s="117"/>
      <c r="QPE188" s="117"/>
      <c r="QPF188" s="117"/>
      <c r="QPG188" s="117"/>
      <c r="QPH188" s="117"/>
      <c r="QPI188" s="117"/>
      <c r="QPJ188" s="117"/>
      <c r="QPK188" s="117"/>
      <c r="QPL188" s="117"/>
      <c r="QPM188" s="117"/>
      <c r="QPN188" s="117"/>
      <c r="QPO188" s="117"/>
      <c r="QPP188" s="117"/>
      <c r="QPQ188" s="117"/>
      <c r="QPR188" s="117"/>
      <c r="QPS188" s="117"/>
      <c r="QPT188" s="117"/>
      <c r="QPU188" s="117"/>
      <c r="QPV188" s="117"/>
      <c r="QPW188" s="117"/>
      <c r="QPX188" s="117"/>
      <c r="QPY188" s="117"/>
      <c r="QPZ188" s="117"/>
      <c r="QQA188" s="117"/>
      <c r="QQB188" s="117"/>
      <c r="QQC188" s="117"/>
      <c r="QQD188" s="117"/>
      <c r="QQE188" s="117"/>
      <c r="QQF188" s="117"/>
      <c r="QQG188" s="117"/>
      <c r="QQH188" s="117"/>
      <c r="QQI188" s="117"/>
      <c r="QQJ188" s="117"/>
      <c r="QQK188" s="117"/>
      <c r="QQL188" s="117"/>
      <c r="QQM188" s="117"/>
      <c r="QQN188" s="117"/>
      <c r="QQO188" s="117"/>
      <c r="QQP188" s="117"/>
      <c r="QQQ188" s="117"/>
      <c r="QQR188" s="117"/>
      <c r="QQS188" s="117"/>
      <c r="QQT188" s="117"/>
      <c r="QQU188" s="117"/>
      <c r="QQV188" s="117"/>
      <c r="QQW188" s="117"/>
      <c r="QQX188" s="117"/>
      <c r="QQY188" s="117"/>
      <c r="QQZ188" s="117"/>
      <c r="QRA188" s="117"/>
      <c r="QRB188" s="117"/>
      <c r="QRC188" s="117"/>
      <c r="QRD188" s="117"/>
      <c r="QRE188" s="117"/>
      <c r="QRF188" s="117"/>
      <c r="QRG188" s="117"/>
      <c r="QRH188" s="117"/>
      <c r="QRI188" s="117"/>
      <c r="QRJ188" s="117"/>
      <c r="QRK188" s="117"/>
      <c r="QRL188" s="117"/>
      <c r="QRM188" s="117"/>
      <c r="QRN188" s="117"/>
      <c r="QRO188" s="117"/>
      <c r="QRP188" s="117"/>
      <c r="QRQ188" s="117"/>
      <c r="QRR188" s="117"/>
      <c r="QRS188" s="117"/>
      <c r="QRT188" s="117"/>
      <c r="QRU188" s="117"/>
      <c r="QRV188" s="117"/>
      <c r="QRW188" s="117"/>
      <c r="QRX188" s="117"/>
      <c r="QRY188" s="117"/>
      <c r="QRZ188" s="117"/>
      <c r="QSA188" s="117"/>
      <c r="QSB188" s="117"/>
      <c r="QSC188" s="117"/>
      <c r="QSD188" s="117"/>
      <c r="QSE188" s="117"/>
      <c r="QSF188" s="117"/>
      <c r="QSG188" s="117"/>
      <c r="QSH188" s="117"/>
      <c r="QSI188" s="117"/>
      <c r="QSJ188" s="117"/>
      <c r="QSK188" s="117"/>
      <c r="QSL188" s="117"/>
      <c r="QSM188" s="117"/>
      <c r="QSN188" s="117"/>
      <c r="QSO188" s="117"/>
      <c r="QSP188" s="117"/>
      <c r="QSQ188" s="117"/>
      <c r="QSR188" s="117"/>
      <c r="QSS188" s="117"/>
      <c r="QST188" s="117"/>
      <c r="QSU188" s="117"/>
      <c r="QSV188" s="117"/>
      <c r="QSW188" s="117"/>
      <c r="QSX188" s="117"/>
      <c r="QSY188" s="117"/>
      <c r="QSZ188" s="117"/>
      <c r="QTA188" s="117"/>
      <c r="QTB188" s="117"/>
      <c r="QTC188" s="117"/>
      <c r="QTD188" s="117"/>
      <c r="QTE188" s="117"/>
      <c r="QTF188" s="117"/>
      <c r="QTG188" s="117"/>
      <c r="QTH188" s="117"/>
      <c r="QTI188" s="117"/>
      <c r="QTJ188" s="117"/>
      <c r="QTK188" s="117"/>
      <c r="QTL188" s="117"/>
      <c r="QTM188" s="117"/>
      <c r="QTN188" s="117"/>
      <c r="QTO188" s="117"/>
      <c r="QTP188" s="117"/>
      <c r="QTQ188" s="117"/>
      <c r="QTR188" s="117"/>
      <c r="QTS188" s="117"/>
      <c r="QTT188" s="117"/>
      <c r="QTU188" s="117"/>
      <c r="QTV188" s="117"/>
      <c r="QTW188" s="117"/>
      <c r="QTX188" s="117"/>
      <c r="QTY188" s="117"/>
      <c r="QTZ188" s="117"/>
      <c r="QUA188" s="117"/>
      <c r="QUB188" s="117"/>
      <c r="QUC188" s="117"/>
      <c r="QUD188" s="117"/>
      <c r="QUE188" s="117"/>
      <c r="QUF188" s="117"/>
      <c r="QUG188" s="117"/>
      <c r="QUH188" s="117"/>
      <c r="QUI188" s="117"/>
      <c r="QUJ188" s="117"/>
      <c r="QUK188" s="117"/>
      <c r="QUL188" s="117"/>
      <c r="QUM188" s="117"/>
      <c r="QUN188" s="117"/>
      <c r="QUO188" s="117"/>
      <c r="QUP188" s="117"/>
      <c r="QUQ188" s="117"/>
      <c r="QUR188" s="117"/>
      <c r="QUS188" s="117"/>
      <c r="QUT188" s="117"/>
      <c r="QUU188" s="117"/>
      <c r="QUV188" s="117"/>
      <c r="QUW188" s="117"/>
      <c r="QUX188" s="117"/>
      <c r="QUY188" s="117"/>
      <c r="QUZ188" s="117"/>
      <c r="QVA188" s="117"/>
      <c r="QVB188" s="117"/>
      <c r="QVC188" s="117"/>
      <c r="QVD188" s="117"/>
      <c r="QVE188" s="117"/>
      <c r="QVF188" s="117"/>
      <c r="QVG188" s="117"/>
      <c r="QVH188" s="117"/>
      <c r="QVI188" s="117"/>
      <c r="QVJ188" s="117"/>
      <c r="QVK188" s="117"/>
      <c r="QVL188" s="117"/>
      <c r="QVM188" s="117"/>
      <c r="QVN188" s="117"/>
      <c r="QVO188" s="117"/>
      <c r="QVP188" s="117"/>
      <c r="QVQ188" s="117"/>
      <c r="QVR188" s="117"/>
      <c r="QVS188" s="117"/>
      <c r="QVT188" s="117"/>
      <c r="QVU188" s="117"/>
      <c r="QVV188" s="117"/>
      <c r="QVW188" s="117"/>
      <c r="QVX188" s="117"/>
      <c r="QVY188" s="117"/>
      <c r="QVZ188" s="117"/>
      <c r="QWA188" s="117"/>
      <c r="QWB188" s="117"/>
      <c r="QWC188" s="117"/>
      <c r="QWD188" s="117"/>
      <c r="QWE188" s="117"/>
      <c r="QWF188" s="117"/>
      <c r="QWG188" s="117"/>
      <c r="QWH188" s="117"/>
      <c r="QWI188" s="117"/>
      <c r="QWJ188" s="117"/>
      <c r="QWK188" s="117"/>
      <c r="QWL188" s="117"/>
      <c r="QWM188" s="117"/>
      <c r="QWN188" s="117"/>
      <c r="QWO188" s="117"/>
      <c r="QWP188" s="117"/>
      <c r="QWQ188" s="117"/>
      <c r="QWR188" s="117"/>
      <c r="QWS188" s="117"/>
      <c r="QWT188" s="117"/>
      <c r="QWU188" s="117"/>
      <c r="QWV188" s="117"/>
      <c r="QWW188" s="117"/>
      <c r="QWX188" s="117"/>
      <c r="QWY188" s="117"/>
      <c r="QWZ188" s="117"/>
      <c r="QXA188" s="117"/>
      <c r="QXB188" s="117"/>
      <c r="QXC188" s="117"/>
      <c r="QXD188" s="117"/>
      <c r="QXE188" s="117"/>
      <c r="QXF188" s="117"/>
      <c r="QXG188" s="117"/>
      <c r="QXH188" s="117"/>
      <c r="QXI188" s="117"/>
      <c r="QXJ188" s="117"/>
      <c r="QXK188" s="117"/>
      <c r="QXL188" s="117"/>
      <c r="QXM188" s="117"/>
      <c r="QXN188" s="117"/>
      <c r="QXO188" s="117"/>
      <c r="QXP188" s="117"/>
      <c r="QXQ188" s="117"/>
      <c r="QXR188" s="117"/>
      <c r="QXS188" s="117"/>
      <c r="QXT188" s="117"/>
      <c r="QXU188" s="117"/>
      <c r="QXV188" s="117"/>
      <c r="QXW188" s="117"/>
      <c r="QXX188" s="117"/>
      <c r="QXY188" s="117"/>
      <c r="QXZ188" s="117"/>
      <c r="QYA188" s="117"/>
      <c r="QYB188" s="117"/>
      <c r="QYC188" s="117"/>
      <c r="QYD188" s="117"/>
      <c r="QYE188" s="117"/>
      <c r="QYF188" s="117"/>
      <c r="QYG188" s="117"/>
      <c r="QYH188" s="117"/>
      <c r="QYI188" s="117"/>
      <c r="QYJ188" s="117"/>
      <c r="QYK188" s="117"/>
      <c r="QYL188" s="117"/>
      <c r="QYM188" s="117"/>
      <c r="QYN188" s="117"/>
      <c r="QYO188" s="117"/>
      <c r="QYP188" s="117"/>
      <c r="QYQ188" s="117"/>
      <c r="QYR188" s="117"/>
      <c r="QYS188" s="117"/>
      <c r="QYT188" s="117"/>
      <c r="QYU188" s="117"/>
      <c r="QYV188" s="117"/>
      <c r="QYW188" s="117"/>
      <c r="QYX188" s="117"/>
      <c r="QYY188" s="117"/>
      <c r="QYZ188" s="117"/>
      <c r="QZA188" s="117"/>
      <c r="QZB188" s="117"/>
      <c r="QZC188" s="117"/>
      <c r="QZD188" s="117"/>
      <c r="QZE188" s="117"/>
      <c r="QZF188" s="117"/>
      <c r="QZG188" s="117"/>
      <c r="QZH188" s="117"/>
      <c r="QZI188" s="117"/>
      <c r="QZJ188" s="117"/>
      <c r="QZK188" s="117"/>
      <c r="QZL188" s="117"/>
      <c r="QZM188" s="117"/>
      <c r="QZN188" s="117"/>
      <c r="QZO188" s="117"/>
      <c r="QZP188" s="117"/>
      <c r="QZQ188" s="117"/>
      <c r="QZR188" s="117"/>
      <c r="QZS188" s="117"/>
      <c r="QZT188" s="117"/>
      <c r="QZU188" s="117"/>
      <c r="QZV188" s="117"/>
      <c r="QZW188" s="117"/>
      <c r="QZX188" s="117"/>
      <c r="QZY188" s="117"/>
      <c r="QZZ188" s="117"/>
      <c r="RAA188" s="117"/>
      <c r="RAB188" s="117"/>
      <c r="RAC188" s="117"/>
      <c r="RAD188" s="117"/>
      <c r="RAE188" s="117"/>
      <c r="RAF188" s="117"/>
      <c r="RAG188" s="117"/>
      <c r="RAH188" s="117"/>
      <c r="RAI188" s="117"/>
      <c r="RAJ188" s="117"/>
      <c r="RAK188" s="117"/>
      <c r="RAL188" s="117"/>
      <c r="RAM188" s="117"/>
      <c r="RAN188" s="117"/>
      <c r="RAO188" s="117"/>
      <c r="RAP188" s="117"/>
      <c r="RAQ188" s="117"/>
      <c r="RAR188" s="117"/>
      <c r="RAS188" s="117"/>
      <c r="RAT188" s="117"/>
      <c r="RAU188" s="117"/>
      <c r="RAV188" s="117"/>
      <c r="RAW188" s="117"/>
      <c r="RAX188" s="117"/>
      <c r="RAY188" s="117"/>
      <c r="RAZ188" s="117"/>
      <c r="RBA188" s="117"/>
      <c r="RBB188" s="117"/>
      <c r="RBC188" s="117"/>
      <c r="RBD188" s="117"/>
      <c r="RBE188" s="117"/>
      <c r="RBF188" s="117"/>
      <c r="RBG188" s="117"/>
      <c r="RBH188" s="117"/>
      <c r="RBI188" s="117"/>
      <c r="RBJ188" s="117"/>
      <c r="RBK188" s="117"/>
      <c r="RBL188" s="117"/>
      <c r="RBM188" s="117"/>
      <c r="RBN188" s="117"/>
      <c r="RBO188" s="117"/>
      <c r="RBP188" s="117"/>
      <c r="RBQ188" s="117"/>
      <c r="RBR188" s="117"/>
      <c r="RBS188" s="117"/>
      <c r="RBT188" s="117"/>
      <c r="RBU188" s="117"/>
      <c r="RBV188" s="117"/>
      <c r="RBW188" s="117"/>
      <c r="RBX188" s="117"/>
      <c r="RBY188" s="117"/>
      <c r="RBZ188" s="117"/>
      <c r="RCA188" s="117"/>
      <c r="RCB188" s="117"/>
      <c r="RCC188" s="117"/>
      <c r="RCD188" s="117"/>
      <c r="RCE188" s="117"/>
      <c r="RCF188" s="117"/>
      <c r="RCG188" s="117"/>
      <c r="RCH188" s="117"/>
      <c r="RCI188" s="117"/>
      <c r="RCJ188" s="117"/>
      <c r="RCK188" s="117"/>
      <c r="RCL188" s="117"/>
      <c r="RCM188" s="117"/>
      <c r="RCN188" s="117"/>
      <c r="RCO188" s="117"/>
      <c r="RCP188" s="117"/>
      <c r="RCQ188" s="117"/>
      <c r="RCR188" s="117"/>
      <c r="RCS188" s="117"/>
      <c r="RCT188" s="117"/>
      <c r="RCU188" s="117"/>
      <c r="RCV188" s="117"/>
      <c r="RCW188" s="117"/>
      <c r="RCX188" s="117"/>
      <c r="RCY188" s="117"/>
      <c r="RCZ188" s="117"/>
      <c r="RDA188" s="117"/>
      <c r="RDB188" s="117"/>
      <c r="RDC188" s="117"/>
      <c r="RDD188" s="117"/>
      <c r="RDE188" s="117"/>
      <c r="RDF188" s="117"/>
      <c r="RDG188" s="117"/>
      <c r="RDH188" s="117"/>
      <c r="RDI188" s="117"/>
      <c r="RDJ188" s="117"/>
      <c r="RDK188" s="117"/>
      <c r="RDL188" s="117"/>
      <c r="RDM188" s="117"/>
      <c r="RDN188" s="117"/>
      <c r="RDO188" s="117"/>
      <c r="RDP188" s="117"/>
      <c r="RDQ188" s="117"/>
      <c r="RDR188" s="117"/>
      <c r="RDS188" s="117"/>
      <c r="RDT188" s="117"/>
      <c r="RDU188" s="117"/>
      <c r="RDV188" s="117"/>
      <c r="RDW188" s="117"/>
      <c r="RDX188" s="117"/>
      <c r="RDY188" s="117"/>
      <c r="RDZ188" s="117"/>
      <c r="REA188" s="117"/>
      <c r="REB188" s="117"/>
      <c r="REC188" s="117"/>
      <c r="RED188" s="117"/>
      <c r="REE188" s="117"/>
      <c r="REF188" s="117"/>
      <c r="REG188" s="117"/>
      <c r="REH188" s="117"/>
      <c r="REI188" s="117"/>
      <c r="REJ188" s="117"/>
      <c r="REK188" s="117"/>
      <c r="REL188" s="117"/>
      <c r="REM188" s="117"/>
      <c r="REN188" s="117"/>
      <c r="REO188" s="117"/>
      <c r="REP188" s="117"/>
      <c r="REQ188" s="117"/>
      <c r="RER188" s="117"/>
      <c r="RES188" s="117"/>
      <c r="RET188" s="117"/>
      <c r="REU188" s="117"/>
      <c r="REV188" s="117"/>
      <c r="REW188" s="117"/>
      <c r="REX188" s="117"/>
      <c r="REY188" s="117"/>
      <c r="REZ188" s="117"/>
      <c r="RFA188" s="117"/>
      <c r="RFB188" s="117"/>
      <c r="RFC188" s="117"/>
      <c r="RFD188" s="117"/>
      <c r="RFE188" s="117"/>
      <c r="RFF188" s="117"/>
      <c r="RFG188" s="117"/>
      <c r="RFH188" s="117"/>
      <c r="RFI188" s="117"/>
      <c r="RFJ188" s="117"/>
      <c r="RFK188" s="117"/>
      <c r="RFL188" s="117"/>
      <c r="RFM188" s="117"/>
      <c r="RFN188" s="117"/>
      <c r="RFO188" s="117"/>
      <c r="RFP188" s="117"/>
      <c r="RFQ188" s="117"/>
      <c r="RFR188" s="117"/>
      <c r="RFS188" s="117"/>
      <c r="RFT188" s="117"/>
      <c r="RFU188" s="117"/>
      <c r="RFV188" s="117"/>
      <c r="RFW188" s="117"/>
      <c r="RFX188" s="117"/>
      <c r="RFY188" s="117"/>
      <c r="RFZ188" s="117"/>
      <c r="RGA188" s="117"/>
      <c r="RGB188" s="117"/>
      <c r="RGC188" s="117"/>
      <c r="RGD188" s="117"/>
      <c r="RGE188" s="117"/>
      <c r="RGF188" s="117"/>
      <c r="RGG188" s="117"/>
      <c r="RGH188" s="117"/>
      <c r="RGI188" s="117"/>
      <c r="RGJ188" s="117"/>
      <c r="RGK188" s="117"/>
      <c r="RGL188" s="117"/>
      <c r="RGM188" s="117"/>
      <c r="RGN188" s="117"/>
      <c r="RGO188" s="117"/>
      <c r="RGP188" s="117"/>
      <c r="RGQ188" s="117"/>
      <c r="RGR188" s="117"/>
      <c r="RGS188" s="117"/>
      <c r="RGT188" s="117"/>
      <c r="RGU188" s="117"/>
      <c r="RGV188" s="117"/>
      <c r="RGW188" s="117"/>
      <c r="RGX188" s="117"/>
      <c r="RGY188" s="117"/>
      <c r="RGZ188" s="117"/>
      <c r="RHA188" s="117"/>
      <c r="RHB188" s="117"/>
      <c r="RHC188" s="117"/>
      <c r="RHD188" s="117"/>
      <c r="RHE188" s="117"/>
      <c r="RHF188" s="117"/>
      <c r="RHG188" s="117"/>
      <c r="RHH188" s="117"/>
      <c r="RHI188" s="117"/>
      <c r="RHJ188" s="117"/>
      <c r="RHK188" s="117"/>
      <c r="RHL188" s="117"/>
      <c r="RHM188" s="117"/>
      <c r="RHN188" s="117"/>
      <c r="RHO188" s="117"/>
      <c r="RHP188" s="117"/>
      <c r="RHQ188" s="117"/>
      <c r="RHR188" s="117"/>
      <c r="RHS188" s="117"/>
      <c r="RHT188" s="117"/>
      <c r="RHU188" s="117"/>
      <c r="RHV188" s="117"/>
      <c r="RHW188" s="117"/>
      <c r="RHX188" s="117"/>
      <c r="RHY188" s="117"/>
      <c r="RHZ188" s="117"/>
      <c r="RIA188" s="117"/>
      <c r="RIB188" s="117"/>
      <c r="RIC188" s="117"/>
      <c r="RID188" s="117"/>
      <c r="RIE188" s="117"/>
      <c r="RIF188" s="117"/>
      <c r="RIG188" s="117"/>
      <c r="RIH188" s="117"/>
      <c r="RII188" s="117"/>
      <c r="RIJ188" s="117"/>
      <c r="RIK188" s="117"/>
      <c r="RIL188" s="117"/>
      <c r="RIM188" s="117"/>
      <c r="RIN188" s="117"/>
      <c r="RIO188" s="117"/>
      <c r="RIP188" s="117"/>
      <c r="RIQ188" s="117"/>
      <c r="RIR188" s="117"/>
      <c r="RIS188" s="117"/>
      <c r="RIT188" s="117"/>
      <c r="RIU188" s="117"/>
      <c r="RIV188" s="117"/>
      <c r="RIW188" s="117"/>
      <c r="RIX188" s="117"/>
      <c r="RIY188" s="117"/>
      <c r="RIZ188" s="117"/>
      <c r="RJA188" s="117"/>
      <c r="RJB188" s="117"/>
      <c r="RJC188" s="117"/>
      <c r="RJD188" s="117"/>
      <c r="RJE188" s="117"/>
      <c r="RJF188" s="117"/>
      <c r="RJG188" s="117"/>
      <c r="RJH188" s="117"/>
      <c r="RJI188" s="117"/>
      <c r="RJJ188" s="117"/>
      <c r="RJK188" s="117"/>
      <c r="RJL188" s="117"/>
      <c r="RJM188" s="117"/>
      <c r="RJN188" s="117"/>
      <c r="RJO188" s="117"/>
      <c r="RJP188" s="117"/>
      <c r="RJQ188" s="117"/>
      <c r="RJR188" s="117"/>
      <c r="RJS188" s="117"/>
      <c r="RJT188" s="117"/>
      <c r="RJU188" s="117"/>
      <c r="RJV188" s="117"/>
      <c r="RJW188" s="117"/>
      <c r="RJX188" s="117"/>
      <c r="RJY188" s="117"/>
      <c r="RJZ188" s="117"/>
      <c r="RKA188" s="117"/>
      <c r="RKB188" s="117"/>
      <c r="RKC188" s="117"/>
      <c r="RKD188" s="117"/>
      <c r="RKE188" s="117"/>
      <c r="RKF188" s="117"/>
      <c r="RKG188" s="117"/>
      <c r="RKH188" s="117"/>
      <c r="RKI188" s="117"/>
      <c r="RKJ188" s="117"/>
      <c r="RKK188" s="117"/>
      <c r="RKL188" s="117"/>
      <c r="RKM188" s="117"/>
      <c r="RKN188" s="117"/>
      <c r="RKO188" s="117"/>
      <c r="RKP188" s="117"/>
      <c r="RKQ188" s="117"/>
      <c r="RKR188" s="117"/>
      <c r="RKS188" s="117"/>
      <c r="RKT188" s="117"/>
      <c r="RKU188" s="117"/>
      <c r="RKV188" s="117"/>
      <c r="RKW188" s="117"/>
      <c r="RKX188" s="117"/>
      <c r="RKY188" s="117"/>
      <c r="RKZ188" s="117"/>
      <c r="RLA188" s="117"/>
      <c r="RLB188" s="117"/>
      <c r="RLC188" s="117"/>
      <c r="RLD188" s="117"/>
      <c r="RLE188" s="117"/>
      <c r="RLF188" s="117"/>
      <c r="RLG188" s="117"/>
      <c r="RLH188" s="117"/>
      <c r="RLI188" s="117"/>
      <c r="RLJ188" s="117"/>
      <c r="RLK188" s="117"/>
      <c r="RLL188" s="117"/>
      <c r="RLM188" s="117"/>
      <c r="RLN188" s="117"/>
      <c r="RLO188" s="117"/>
      <c r="RLP188" s="117"/>
      <c r="RLQ188" s="117"/>
      <c r="RLR188" s="117"/>
      <c r="RLS188" s="117"/>
      <c r="RLT188" s="117"/>
      <c r="RLU188" s="117"/>
      <c r="RLV188" s="117"/>
      <c r="RLW188" s="117"/>
      <c r="RLX188" s="117"/>
      <c r="RLY188" s="117"/>
      <c r="RLZ188" s="117"/>
      <c r="RMA188" s="117"/>
      <c r="RMB188" s="117"/>
      <c r="RMC188" s="117"/>
      <c r="RMD188" s="117"/>
      <c r="RME188" s="117"/>
      <c r="RMF188" s="117"/>
      <c r="RMG188" s="117"/>
      <c r="RMH188" s="117"/>
      <c r="RMI188" s="117"/>
      <c r="RMJ188" s="117"/>
      <c r="RMK188" s="117"/>
      <c r="RML188" s="117"/>
      <c r="RMM188" s="117"/>
      <c r="RMN188" s="117"/>
      <c r="RMO188" s="117"/>
      <c r="RMP188" s="117"/>
      <c r="RMQ188" s="117"/>
      <c r="RMR188" s="117"/>
      <c r="RMS188" s="117"/>
      <c r="RMT188" s="117"/>
      <c r="RMU188" s="117"/>
      <c r="RMV188" s="117"/>
      <c r="RMW188" s="117"/>
      <c r="RMX188" s="117"/>
      <c r="RMY188" s="117"/>
      <c r="RMZ188" s="117"/>
      <c r="RNA188" s="117"/>
      <c r="RNB188" s="117"/>
      <c r="RNC188" s="117"/>
      <c r="RND188" s="117"/>
      <c r="RNE188" s="117"/>
      <c r="RNF188" s="117"/>
      <c r="RNG188" s="117"/>
      <c r="RNH188" s="117"/>
      <c r="RNI188" s="117"/>
      <c r="RNJ188" s="117"/>
      <c r="RNK188" s="117"/>
      <c r="RNL188" s="117"/>
      <c r="RNM188" s="117"/>
      <c r="RNN188" s="117"/>
      <c r="RNO188" s="117"/>
      <c r="RNP188" s="117"/>
      <c r="RNQ188" s="117"/>
      <c r="RNR188" s="117"/>
      <c r="RNS188" s="117"/>
      <c r="RNT188" s="117"/>
      <c r="RNU188" s="117"/>
      <c r="RNV188" s="117"/>
      <c r="RNW188" s="117"/>
      <c r="RNX188" s="117"/>
      <c r="RNY188" s="117"/>
      <c r="RNZ188" s="117"/>
      <c r="ROA188" s="117"/>
      <c r="ROB188" s="117"/>
      <c r="ROC188" s="117"/>
      <c r="ROD188" s="117"/>
      <c r="ROE188" s="117"/>
      <c r="ROF188" s="117"/>
      <c r="ROG188" s="117"/>
      <c r="ROH188" s="117"/>
      <c r="ROI188" s="117"/>
      <c r="ROJ188" s="117"/>
      <c r="ROK188" s="117"/>
      <c r="ROL188" s="117"/>
      <c r="ROM188" s="117"/>
      <c r="RON188" s="117"/>
      <c r="ROO188" s="117"/>
      <c r="ROP188" s="117"/>
      <c r="ROQ188" s="117"/>
      <c r="ROR188" s="117"/>
      <c r="ROS188" s="117"/>
      <c r="ROT188" s="117"/>
      <c r="ROU188" s="117"/>
      <c r="ROV188" s="117"/>
      <c r="ROW188" s="117"/>
      <c r="ROX188" s="117"/>
      <c r="ROY188" s="117"/>
      <c r="ROZ188" s="117"/>
      <c r="RPA188" s="117"/>
      <c r="RPB188" s="117"/>
      <c r="RPC188" s="117"/>
      <c r="RPD188" s="117"/>
      <c r="RPE188" s="117"/>
      <c r="RPF188" s="117"/>
      <c r="RPG188" s="117"/>
      <c r="RPH188" s="117"/>
      <c r="RPI188" s="117"/>
      <c r="RPJ188" s="117"/>
      <c r="RPK188" s="117"/>
      <c r="RPL188" s="117"/>
      <c r="RPM188" s="117"/>
      <c r="RPN188" s="117"/>
      <c r="RPO188" s="117"/>
      <c r="RPP188" s="117"/>
      <c r="RPQ188" s="117"/>
      <c r="RPR188" s="117"/>
      <c r="RPS188" s="117"/>
      <c r="RPT188" s="117"/>
      <c r="RPU188" s="117"/>
      <c r="RPV188" s="117"/>
      <c r="RPW188" s="117"/>
      <c r="RPX188" s="117"/>
      <c r="RPY188" s="117"/>
      <c r="RPZ188" s="117"/>
      <c r="RQA188" s="117"/>
      <c r="RQB188" s="117"/>
      <c r="RQC188" s="117"/>
      <c r="RQD188" s="117"/>
      <c r="RQE188" s="117"/>
      <c r="RQF188" s="117"/>
      <c r="RQG188" s="117"/>
      <c r="RQH188" s="117"/>
      <c r="RQI188" s="117"/>
      <c r="RQJ188" s="117"/>
      <c r="RQK188" s="117"/>
      <c r="RQL188" s="117"/>
      <c r="RQM188" s="117"/>
      <c r="RQN188" s="117"/>
      <c r="RQO188" s="117"/>
      <c r="RQP188" s="117"/>
      <c r="RQQ188" s="117"/>
      <c r="RQR188" s="117"/>
      <c r="RQS188" s="117"/>
      <c r="RQT188" s="117"/>
      <c r="RQU188" s="117"/>
      <c r="RQV188" s="117"/>
      <c r="RQW188" s="117"/>
      <c r="RQX188" s="117"/>
      <c r="RQY188" s="117"/>
      <c r="RQZ188" s="117"/>
      <c r="RRA188" s="117"/>
      <c r="RRB188" s="117"/>
      <c r="RRC188" s="117"/>
      <c r="RRD188" s="117"/>
      <c r="RRE188" s="117"/>
      <c r="RRF188" s="117"/>
      <c r="RRG188" s="117"/>
      <c r="RRH188" s="117"/>
      <c r="RRI188" s="117"/>
      <c r="RRJ188" s="117"/>
      <c r="RRK188" s="117"/>
      <c r="RRL188" s="117"/>
      <c r="RRM188" s="117"/>
      <c r="RRN188" s="117"/>
      <c r="RRO188" s="117"/>
      <c r="RRP188" s="117"/>
      <c r="RRQ188" s="117"/>
      <c r="RRR188" s="117"/>
      <c r="RRS188" s="117"/>
      <c r="RRT188" s="117"/>
      <c r="RRU188" s="117"/>
      <c r="RRV188" s="117"/>
      <c r="RRW188" s="117"/>
      <c r="RRX188" s="117"/>
      <c r="RRY188" s="117"/>
      <c r="RRZ188" s="117"/>
      <c r="RSA188" s="117"/>
      <c r="RSB188" s="117"/>
      <c r="RSC188" s="117"/>
      <c r="RSD188" s="117"/>
      <c r="RSE188" s="117"/>
      <c r="RSF188" s="117"/>
      <c r="RSG188" s="117"/>
      <c r="RSH188" s="117"/>
      <c r="RSI188" s="117"/>
      <c r="RSJ188" s="117"/>
      <c r="RSK188" s="117"/>
      <c r="RSL188" s="117"/>
      <c r="RSM188" s="117"/>
      <c r="RSN188" s="117"/>
      <c r="RSO188" s="117"/>
      <c r="RSP188" s="117"/>
      <c r="RSQ188" s="117"/>
      <c r="RSR188" s="117"/>
      <c r="RSS188" s="117"/>
      <c r="RST188" s="117"/>
      <c r="RSU188" s="117"/>
      <c r="RSV188" s="117"/>
      <c r="RSW188" s="117"/>
      <c r="RSX188" s="117"/>
      <c r="RSY188" s="117"/>
      <c r="RSZ188" s="117"/>
      <c r="RTA188" s="117"/>
      <c r="RTB188" s="117"/>
      <c r="RTC188" s="117"/>
      <c r="RTD188" s="117"/>
      <c r="RTE188" s="117"/>
      <c r="RTF188" s="117"/>
      <c r="RTG188" s="117"/>
      <c r="RTH188" s="117"/>
      <c r="RTI188" s="117"/>
      <c r="RTJ188" s="117"/>
      <c r="RTK188" s="117"/>
      <c r="RTL188" s="117"/>
      <c r="RTM188" s="117"/>
      <c r="RTN188" s="117"/>
      <c r="RTO188" s="117"/>
      <c r="RTP188" s="117"/>
      <c r="RTQ188" s="117"/>
      <c r="RTR188" s="117"/>
      <c r="RTS188" s="117"/>
      <c r="RTT188" s="117"/>
      <c r="RTU188" s="117"/>
      <c r="RTV188" s="117"/>
      <c r="RTW188" s="117"/>
      <c r="RTX188" s="117"/>
      <c r="RTY188" s="117"/>
      <c r="RTZ188" s="117"/>
      <c r="RUA188" s="117"/>
      <c r="RUB188" s="117"/>
      <c r="RUC188" s="117"/>
      <c r="RUD188" s="117"/>
      <c r="RUE188" s="117"/>
      <c r="RUF188" s="117"/>
      <c r="RUG188" s="117"/>
      <c r="RUH188" s="117"/>
      <c r="RUI188" s="117"/>
      <c r="RUJ188" s="117"/>
      <c r="RUK188" s="117"/>
      <c r="RUL188" s="117"/>
      <c r="RUM188" s="117"/>
      <c r="RUN188" s="117"/>
      <c r="RUO188" s="117"/>
      <c r="RUP188" s="117"/>
      <c r="RUQ188" s="117"/>
      <c r="RUR188" s="117"/>
      <c r="RUS188" s="117"/>
      <c r="RUT188" s="117"/>
      <c r="RUU188" s="117"/>
      <c r="RUV188" s="117"/>
      <c r="RUW188" s="117"/>
      <c r="RUX188" s="117"/>
      <c r="RUY188" s="117"/>
      <c r="RUZ188" s="117"/>
      <c r="RVA188" s="117"/>
      <c r="RVB188" s="117"/>
      <c r="RVC188" s="117"/>
      <c r="RVD188" s="117"/>
      <c r="RVE188" s="117"/>
      <c r="RVF188" s="117"/>
      <c r="RVG188" s="117"/>
      <c r="RVH188" s="117"/>
      <c r="RVI188" s="117"/>
      <c r="RVJ188" s="117"/>
      <c r="RVK188" s="117"/>
      <c r="RVL188" s="117"/>
      <c r="RVM188" s="117"/>
      <c r="RVN188" s="117"/>
      <c r="RVO188" s="117"/>
      <c r="RVP188" s="117"/>
      <c r="RVQ188" s="117"/>
      <c r="RVR188" s="117"/>
      <c r="RVS188" s="117"/>
      <c r="RVT188" s="117"/>
      <c r="RVU188" s="117"/>
      <c r="RVV188" s="117"/>
      <c r="RVW188" s="117"/>
      <c r="RVX188" s="117"/>
      <c r="RVY188" s="117"/>
      <c r="RVZ188" s="117"/>
      <c r="RWA188" s="117"/>
      <c r="RWB188" s="117"/>
      <c r="RWC188" s="117"/>
      <c r="RWD188" s="117"/>
      <c r="RWE188" s="117"/>
      <c r="RWF188" s="117"/>
      <c r="RWG188" s="117"/>
      <c r="RWH188" s="117"/>
      <c r="RWI188" s="117"/>
      <c r="RWJ188" s="117"/>
      <c r="RWK188" s="117"/>
      <c r="RWL188" s="117"/>
      <c r="RWM188" s="117"/>
      <c r="RWN188" s="117"/>
      <c r="RWO188" s="117"/>
      <c r="RWP188" s="117"/>
      <c r="RWQ188" s="117"/>
      <c r="RWR188" s="117"/>
      <c r="RWS188" s="117"/>
      <c r="RWT188" s="117"/>
      <c r="RWU188" s="117"/>
      <c r="RWV188" s="117"/>
      <c r="RWW188" s="117"/>
      <c r="RWX188" s="117"/>
      <c r="RWY188" s="117"/>
      <c r="RWZ188" s="117"/>
      <c r="RXA188" s="117"/>
      <c r="RXB188" s="117"/>
      <c r="RXC188" s="117"/>
      <c r="RXD188" s="117"/>
      <c r="RXE188" s="117"/>
      <c r="RXF188" s="117"/>
      <c r="RXG188" s="117"/>
      <c r="RXH188" s="117"/>
      <c r="RXI188" s="117"/>
      <c r="RXJ188" s="117"/>
      <c r="RXK188" s="117"/>
      <c r="RXL188" s="117"/>
      <c r="RXM188" s="117"/>
      <c r="RXN188" s="117"/>
      <c r="RXO188" s="117"/>
      <c r="RXP188" s="117"/>
      <c r="RXQ188" s="117"/>
      <c r="RXR188" s="117"/>
      <c r="RXS188" s="117"/>
      <c r="RXT188" s="117"/>
      <c r="RXU188" s="117"/>
      <c r="RXV188" s="117"/>
      <c r="RXW188" s="117"/>
      <c r="RXX188" s="117"/>
      <c r="RXY188" s="117"/>
      <c r="RXZ188" s="117"/>
      <c r="RYA188" s="117"/>
      <c r="RYB188" s="117"/>
      <c r="RYC188" s="117"/>
      <c r="RYD188" s="117"/>
      <c r="RYE188" s="117"/>
      <c r="RYF188" s="117"/>
      <c r="RYG188" s="117"/>
      <c r="RYH188" s="117"/>
      <c r="RYI188" s="117"/>
      <c r="RYJ188" s="117"/>
      <c r="RYK188" s="117"/>
      <c r="RYL188" s="117"/>
      <c r="RYM188" s="117"/>
      <c r="RYN188" s="117"/>
      <c r="RYO188" s="117"/>
      <c r="RYP188" s="117"/>
      <c r="RYQ188" s="117"/>
      <c r="RYR188" s="117"/>
      <c r="RYS188" s="117"/>
      <c r="RYT188" s="117"/>
      <c r="RYU188" s="117"/>
      <c r="RYV188" s="117"/>
      <c r="RYW188" s="117"/>
      <c r="RYX188" s="117"/>
      <c r="RYY188" s="117"/>
      <c r="RYZ188" s="117"/>
      <c r="RZA188" s="117"/>
      <c r="RZB188" s="117"/>
      <c r="RZC188" s="117"/>
      <c r="RZD188" s="117"/>
      <c r="RZE188" s="117"/>
      <c r="RZF188" s="117"/>
      <c r="RZG188" s="117"/>
      <c r="RZH188" s="117"/>
      <c r="RZI188" s="117"/>
      <c r="RZJ188" s="117"/>
      <c r="RZK188" s="117"/>
      <c r="RZL188" s="117"/>
      <c r="RZM188" s="117"/>
      <c r="RZN188" s="117"/>
      <c r="RZO188" s="117"/>
      <c r="RZP188" s="117"/>
      <c r="RZQ188" s="117"/>
      <c r="RZR188" s="117"/>
      <c r="RZS188" s="117"/>
      <c r="RZT188" s="117"/>
      <c r="RZU188" s="117"/>
      <c r="RZV188" s="117"/>
      <c r="RZW188" s="117"/>
      <c r="RZX188" s="117"/>
      <c r="RZY188" s="117"/>
      <c r="RZZ188" s="117"/>
      <c r="SAA188" s="117"/>
      <c r="SAB188" s="117"/>
      <c r="SAC188" s="117"/>
      <c r="SAD188" s="117"/>
      <c r="SAE188" s="117"/>
      <c r="SAF188" s="117"/>
      <c r="SAG188" s="117"/>
      <c r="SAH188" s="117"/>
      <c r="SAI188" s="117"/>
      <c r="SAJ188" s="117"/>
      <c r="SAK188" s="117"/>
      <c r="SAL188" s="117"/>
      <c r="SAM188" s="117"/>
      <c r="SAN188" s="117"/>
      <c r="SAO188" s="117"/>
      <c r="SAP188" s="117"/>
      <c r="SAQ188" s="117"/>
      <c r="SAR188" s="117"/>
      <c r="SAS188" s="117"/>
      <c r="SAT188" s="117"/>
      <c r="SAU188" s="117"/>
      <c r="SAV188" s="117"/>
      <c r="SAW188" s="117"/>
      <c r="SAX188" s="117"/>
      <c r="SAY188" s="117"/>
      <c r="SAZ188" s="117"/>
      <c r="SBA188" s="117"/>
      <c r="SBB188" s="117"/>
      <c r="SBC188" s="117"/>
      <c r="SBD188" s="117"/>
      <c r="SBE188" s="117"/>
      <c r="SBF188" s="117"/>
      <c r="SBG188" s="117"/>
      <c r="SBH188" s="117"/>
      <c r="SBI188" s="117"/>
      <c r="SBJ188" s="117"/>
      <c r="SBK188" s="117"/>
      <c r="SBL188" s="117"/>
      <c r="SBM188" s="117"/>
      <c r="SBN188" s="117"/>
      <c r="SBO188" s="117"/>
      <c r="SBP188" s="117"/>
      <c r="SBQ188" s="117"/>
      <c r="SBR188" s="117"/>
      <c r="SBS188" s="117"/>
      <c r="SBT188" s="117"/>
      <c r="SBU188" s="117"/>
      <c r="SBV188" s="117"/>
      <c r="SBW188" s="117"/>
      <c r="SBX188" s="117"/>
      <c r="SBY188" s="117"/>
      <c r="SBZ188" s="117"/>
      <c r="SCA188" s="117"/>
      <c r="SCB188" s="117"/>
      <c r="SCC188" s="117"/>
      <c r="SCD188" s="117"/>
      <c r="SCE188" s="117"/>
      <c r="SCF188" s="117"/>
      <c r="SCG188" s="117"/>
      <c r="SCH188" s="117"/>
      <c r="SCI188" s="117"/>
      <c r="SCJ188" s="117"/>
      <c r="SCK188" s="117"/>
      <c r="SCL188" s="117"/>
      <c r="SCM188" s="117"/>
      <c r="SCN188" s="117"/>
      <c r="SCO188" s="117"/>
      <c r="SCP188" s="117"/>
      <c r="SCQ188" s="117"/>
      <c r="SCR188" s="117"/>
      <c r="SCS188" s="117"/>
      <c r="SCT188" s="117"/>
      <c r="SCU188" s="117"/>
      <c r="SCV188" s="117"/>
      <c r="SCW188" s="117"/>
      <c r="SCX188" s="117"/>
      <c r="SCY188" s="117"/>
      <c r="SCZ188" s="117"/>
      <c r="SDA188" s="117"/>
      <c r="SDB188" s="117"/>
      <c r="SDC188" s="117"/>
      <c r="SDD188" s="117"/>
      <c r="SDE188" s="117"/>
      <c r="SDF188" s="117"/>
      <c r="SDG188" s="117"/>
      <c r="SDH188" s="117"/>
      <c r="SDI188" s="117"/>
      <c r="SDJ188" s="117"/>
      <c r="SDK188" s="117"/>
      <c r="SDL188" s="117"/>
      <c r="SDM188" s="117"/>
      <c r="SDN188" s="117"/>
      <c r="SDO188" s="117"/>
      <c r="SDP188" s="117"/>
      <c r="SDQ188" s="117"/>
      <c r="SDR188" s="117"/>
      <c r="SDS188" s="117"/>
      <c r="SDT188" s="117"/>
      <c r="SDU188" s="117"/>
      <c r="SDV188" s="117"/>
      <c r="SDW188" s="117"/>
      <c r="SDX188" s="117"/>
      <c r="SDY188" s="117"/>
      <c r="SDZ188" s="117"/>
      <c r="SEA188" s="117"/>
      <c r="SEB188" s="117"/>
      <c r="SEC188" s="117"/>
      <c r="SED188" s="117"/>
      <c r="SEE188" s="117"/>
      <c r="SEF188" s="117"/>
      <c r="SEG188" s="117"/>
      <c r="SEH188" s="117"/>
      <c r="SEI188" s="117"/>
      <c r="SEJ188" s="117"/>
      <c r="SEK188" s="117"/>
      <c r="SEL188" s="117"/>
      <c r="SEM188" s="117"/>
      <c r="SEN188" s="117"/>
      <c r="SEO188" s="117"/>
      <c r="SEP188" s="117"/>
      <c r="SEQ188" s="117"/>
      <c r="SER188" s="117"/>
      <c r="SES188" s="117"/>
      <c r="SET188" s="117"/>
      <c r="SEU188" s="117"/>
      <c r="SEV188" s="117"/>
      <c r="SEW188" s="117"/>
      <c r="SEX188" s="117"/>
      <c r="SEY188" s="117"/>
      <c r="SEZ188" s="117"/>
      <c r="SFA188" s="117"/>
      <c r="SFB188" s="117"/>
      <c r="SFC188" s="117"/>
      <c r="SFD188" s="117"/>
      <c r="SFE188" s="117"/>
      <c r="SFF188" s="117"/>
      <c r="SFG188" s="117"/>
      <c r="SFH188" s="117"/>
      <c r="SFI188" s="117"/>
      <c r="SFJ188" s="117"/>
      <c r="SFK188" s="117"/>
      <c r="SFL188" s="117"/>
      <c r="SFM188" s="117"/>
      <c r="SFN188" s="117"/>
      <c r="SFO188" s="117"/>
      <c r="SFP188" s="117"/>
      <c r="SFQ188" s="117"/>
      <c r="SFR188" s="117"/>
      <c r="SFS188" s="117"/>
      <c r="SFT188" s="117"/>
      <c r="SFU188" s="117"/>
      <c r="SFV188" s="117"/>
      <c r="SFW188" s="117"/>
      <c r="SFX188" s="117"/>
      <c r="SFY188" s="117"/>
      <c r="SFZ188" s="117"/>
      <c r="SGA188" s="117"/>
      <c r="SGB188" s="117"/>
      <c r="SGC188" s="117"/>
      <c r="SGD188" s="117"/>
      <c r="SGE188" s="117"/>
      <c r="SGF188" s="117"/>
      <c r="SGG188" s="117"/>
      <c r="SGH188" s="117"/>
      <c r="SGI188" s="117"/>
      <c r="SGJ188" s="117"/>
      <c r="SGK188" s="117"/>
      <c r="SGL188" s="117"/>
      <c r="SGM188" s="117"/>
      <c r="SGN188" s="117"/>
      <c r="SGO188" s="117"/>
      <c r="SGP188" s="117"/>
      <c r="SGQ188" s="117"/>
      <c r="SGR188" s="117"/>
      <c r="SGS188" s="117"/>
      <c r="SGT188" s="117"/>
      <c r="SGU188" s="117"/>
      <c r="SGV188" s="117"/>
      <c r="SGW188" s="117"/>
      <c r="SGX188" s="117"/>
      <c r="SGY188" s="117"/>
      <c r="SGZ188" s="117"/>
      <c r="SHA188" s="117"/>
      <c r="SHB188" s="117"/>
      <c r="SHC188" s="117"/>
      <c r="SHD188" s="117"/>
      <c r="SHE188" s="117"/>
      <c r="SHF188" s="117"/>
      <c r="SHG188" s="117"/>
      <c r="SHH188" s="117"/>
      <c r="SHI188" s="117"/>
      <c r="SHJ188" s="117"/>
      <c r="SHK188" s="117"/>
      <c r="SHL188" s="117"/>
      <c r="SHM188" s="117"/>
      <c r="SHN188" s="117"/>
      <c r="SHO188" s="117"/>
      <c r="SHP188" s="117"/>
      <c r="SHQ188" s="117"/>
      <c r="SHR188" s="117"/>
      <c r="SHS188" s="117"/>
      <c r="SHT188" s="117"/>
      <c r="SHU188" s="117"/>
      <c r="SHV188" s="117"/>
      <c r="SHW188" s="117"/>
      <c r="SHX188" s="117"/>
      <c r="SHY188" s="117"/>
      <c r="SHZ188" s="117"/>
      <c r="SIA188" s="117"/>
      <c r="SIB188" s="117"/>
      <c r="SIC188" s="117"/>
      <c r="SID188" s="117"/>
      <c r="SIE188" s="117"/>
      <c r="SIF188" s="117"/>
      <c r="SIG188" s="117"/>
      <c r="SIH188" s="117"/>
      <c r="SII188" s="117"/>
      <c r="SIJ188" s="117"/>
      <c r="SIK188" s="117"/>
      <c r="SIL188" s="117"/>
      <c r="SIM188" s="117"/>
      <c r="SIN188" s="117"/>
      <c r="SIO188" s="117"/>
      <c r="SIP188" s="117"/>
      <c r="SIQ188" s="117"/>
      <c r="SIR188" s="117"/>
      <c r="SIS188" s="117"/>
      <c r="SIT188" s="117"/>
      <c r="SIU188" s="117"/>
      <c r="SIV188" s="117"/>
      <c r="SIW188" s="117"/>
      <c r="SIX188" s="117"/>
      <c r="SIY188" s="117"/>
      <c r="SIZ188" s="117"/>
      <c r="SJA188" s="117"/>
      <c r="SJB188" s="117"/>
      <c r="SJC188" s="117"/>
      <c r="SJD188" s="117"/>
      <c r="SJE188" s="117"/>
      <c r="SJF188" s="117"/>
      <c r="SJG188" s="117"/>
      <c r="SJH188" s="117"/>
      <c r="SJI188" s="117"/>
      <c r="SJJ188" s="117"/>
      <c r="SJK188" s="117"/>
      <c r="SJL188" s="117"/>
      <c r="SJM188" s="117"/>
      <c r="SJN188" s="117"/>
      <c r="SJO188" s="117"/>
      <c r="SJP188" s="117"/>
      <c r="SJQ188" s="117"/>
      <c r="SJR188" s="117"/>
      <c r="SJS188" s="117"/>
      <c r="SJT188" s="117"/>
      <c r="SJU188" s="117"/>
      <c r="SJV188" s="117"/>
      <c r="SJW188" s="117"/>
      <c r="SJX188" s="117"/>
      <c r="SJY188" s="117"/>
      <c r="SJZ188" s="117"/>
      <c r="SKA188" s="117"/>
      <c r="SKB188" s="117"/>
      <c r="SKC188" s="117"/>
      <c r="SKD188" s="117"/>
      <c r="SKE188" s="117"/>
      <c r="SKF188" s="117"/>
      <c r="SKG188" s="117"/>
      <c r="SKH188" s="117"/>
      <c r="SKI188" s="117"/>
      <c r="SKJ188" s="117"/>
      <c r="SKK188" s="117"/>
      <c r="SKL188" s="117"/>
      <c r="SKM188" s="117"/>
      <c r="SKN188" s="117"/>
      <c r="SKO188" s="117"/>
      <c r="SKP188" s="117"/>
      <c r="SKQ188" s="117"/>
      <c r="SKR188" s="117"/>
      <c r="SKS188" s="117"/>
      <c r="SKT188" s="117"/>
      <c r="SKU188" s="117"/>
      <c r="SKV188" s="117"/>
      <c r="SKW188" s="117"/>
      <c r="SKX188" s="117"/>
      <c r="SKY188" s="117"/>
      <c r="SKZ188" s="117"/>
      <c r="SLA188" s="117"/>
      <c r="SLB188" s="117"/>
      <c r="SLC188" s="117"/>
      <c r="SLD188" s="117"/>
      <c r="SLE188" s="117"/>
      <c r="SLF188" s="117"/>
      <c r="SLG188" s="117"/>
      <c r="SLH188" s="117"/>
      <c r="SLI188" s="117"/>
      <c r="SLJ188" s="117"/>
      <c r="SLK188" s="117"/>
      <c r="SLL188" s="117"/>
      <c r="SLM188" s="117"/>
      <c r="SLN188" s="117"/>
      <c r="SLO188" s="117"/>
      <c r="SLP188" s="117"/>
      <c r="SLQ188" s="117"/>
      <c r="SLR188" s="117"/>
      <c r="SLS188" s="117"/>
      <c r="SLT188" s="117"/>
      <c r="SLU188" s="117"/>
      <c r="SLV188" s="117"/>
      <c r="SLW188" s="117"/>
      <c r="SLX188" s="117"/>
      <c r="SLY188" s="117"/>
      <c r="SLZ188" s="117"/>
      <c r="SMA188" s="117"/>
      <c r="SMB188" s="117"/>
      <c r="SMC188" s="117"/>
      <c r="SMD188" s="117"/>
      <c r="SME188" s="117"/>
      <c r="SMF188" s="117"/>
      <c r="SMG188" s="117"/>
      <c r="SMH188" s="117"/>
      <c r="SMI188" s="117"/>
      <c r="SMJ188" s="117"/>
      <c r="SMK188" s="117"/>
      <c r="SML188" s="117"/>
      <c r="SMM188" s="117"/>
      <c r="SMN188" s="117"/>
      <c r="SMO188" s="117"/>
      <c r="SMP188" s="117"/>
      <c r="SMQ188" s="117"/>
      <c r="SMR188" s="117"/>
      <c r="SMS188" s="117"/>
      <c r="SMT188" s="117"/>
      <c r="SMU188" s="117"/>
      <c r="SMV188" s="117"/>
      <c r="SMW188" s="117"/>
      <c r="SMX188" s="117"/>
      <c r="SMY188" s="117"/>
      <c r="SMZ188" s="117"/>
      <c r="SNA188" s="117"/>
      <c r="SNB188" s="117"/>
      <c r="SNC188" s="117"/>
      <c r="SND188" s="117"/>
      <c r="SNE188" s="117"/>
      <c r="SNF188" s="117"/>
      <c r="SNG188" s="117"/>
      <c r="SNH188" s="117"/>
      <c r="SNI188" s="117"/>
      <c r="SNJ188" s="117"/>
      <c r="SNK188" s="117"/>
      <c r="SNL188" s="117"/>
      <c r="SNM188" s="117"/>
      <c r="SNN188" s="117"/>
      <c r="SNO188" s="117"/>
      <c r="SNP188" s="117"/>
      <c r="SNQ188" s="117"/>
      <c r="SNR188" s="117"/>
      <c r="SNS188" s="117"/>
      <c r="SNT188" s="117"/>
      <c r="SNU188" s="117"/>
      <c r="SNV188" s="117"/>
      <c r="SNW188" s="117"/>
      <c r="SNX188" s="117"/>
      <c r="SNY188" s="117"/>
      <c r="SNZ188" s="117"/>
      <c r="SOA188" s="117"/>
      <c r="SOB188" s="117"/>
      <c r="SOC188" s="117"/>
      <c r="SOD188" s="117"/>
      <c r="SOE188" s="117"/>
      <c r="SOF188" s="117"/>
      <c r="SOG188" s="117"/>
      <c r="SOH188" s="117"/>
      <c r="SOI188" s="117"/>
      <c r="SOJ188" s="117"/>
      <c r="SOK188" s="117"/>
      <c r="SOL188" s="117"/>
      <c r="SOM188" s="117"/>
      <c r="SON188" s="117"/>
      <c r="SOO188" s="117"/>
      <c r="SOP188" s="117"/>
      <c r="SOQ188" s="117"/>
      <c r="SOR188" s="117"/>
      <c r="SOS188" s="117"/>
      <c r="SOT188" s="117"/>
      <c r="SOU188" s="117"/>
      <c r="SOV188" s="117"/>
      <c r="SOW188" s="117"/>
      <c r="SOX188" s="117"/>
      <c r="SOY188" s="117"/>
      <c r="SOZ188" s="117"/>
      <c r="SPA188" s="117"/>
      <c r="SPB188" s="117"/>
      <c r="SPC188" s="117"/>
      <c r="SPD188" s="117"/>
      <c r="SPE188" s="117"/>
      <c r="SPF188" s="117"/>
      <c r="SPG188" s="117"/>
      <c r="SPH188" s="117"/>
      <c r="SPI188" s="117"/>
      <c r="SPJ188" s="117"/>
      <c r="SPK188" s="117"/>
      <c r="SPL188" s="117"/>
      <c r="SPM188" s="117"/>
      <c r="SPN188" s="117"/>
      <c r="SPO188" s="117"/>
      <c r="SPP188" s="117"/>
      <c r="SPQ188" s="117"/>
      <c r="SPR188" s="117"/>
      <c r="SPS188" s="117"/>
      <c r="SPT188" s="117"/>
      <c r="SPU188" s="117"/>
      <c r="SPV188" s="117"/>
      <c r="SPW188" s="117"/>
      <c r="SPX188" s="117"/>
      <c r="SPY188" s="117"/>
      <c r="SPZ188" s="117"/>
      <c r="SQA188" s="117"/>
      <c r="SQB188" s="117"/>
      <c r="SQC188" s="117"/>
      <c r="SQD188" s="117"/>
      <c r="SQE188" s="117"/>
      <c r="SQF188" s="117"/>
      <c r="SQG188" s="117"/>
      <c r="SQH188" s="117"/>
      <c r="SQI188" s="117"/>
      <c r="SQJ188" s="117"/>
      <c r="SQK188" s="117"/>
      <c r="SQL188" s="117"/>
      <c r="SQM188" s="117"/>
      <c r="SQN188" s="117"/>
      <c r="SQO188" s="117"/>
      <c r="SQP188" s="117"/>
      <c r="SQQ188" s="117"/>
      <c r="SQR188" s="117"/>
      <c r="SQS188" s="117"/>
      <c r="SQT188" s="117"/>
      <c r="SQU188" s="117"/>
      <c r="SQV188" s="117"/>
      <c r="SQW188" s="117"/>
      <c r="SQX188" s="117"/>
      <c r="SQY188" s="117"/>
      <c r="SQZ188" s="117"/>
      <c r="SRA188" s="117"/>
      <c r="SRB188" s="117"/>
      <c r="SRC188" s="117"/>
      <c r="SRD188" s="117"/>
      <c r="SRE188" s="117"/>
      <c r="SRF188" s="117"/>
      <c r="SRG188" s="117"/>
      <c r="SRH188" s="117"/>
      <c r="SRI188" s="117"/>
      <c r="SRJ188" s="117"/>
      <c r="SRK188" s="117"/>
      <c r="SRL188" s="117"/>
      <c r="SRM188" s="117"/>
      <c r="SRN188" s="117"/>
      <c r="SRO188" s="117"/>
      <c r="SRP188" s="117"/>
      <c r="SRQ188" s="117"/>
      <c r="SRR188" s="117"/>
      <c r="SRS188" s="117"/>
      <c r="SRT188" s="117"/>
      <c r="SRU188" s="117"/>
      <c r="SRV188" s="117"/>
      <c r="SRW188" s="117"/>
      <c r="SRX188" s="117"/>
      <c r="SRY188" s="117"/>
      <c r="SRZ188" s="117"/>
      <c r="SSA188" s="117"/>
      <c r="SSB188" s="117"/>
      <c r="SSC188" s="117"/>
      <c r="SSD188" s="117"/>
      <c r="SSE188" s="117"/>
      <c r="SSF188" s="117"/>
      <c r="SSG188" s="117"/>
      <c r="SSH188" s="117"/>
      <c r="SSI188" s="117"/>
      <c r="SSJ188" s="117"/>
      <c r="SSK188" s="117"/>
      <c r="SSL188" s="117"/>
      <c r="SSM188" s="117"/>
      <c r="SSN188" s="117"/>
      <c r="SSO188" s="117"/>
      <c r="SSP188" s="117"/>
      <c r="SSQ188" s="117"/>
      <c r="SSR188" s="117"/>
      <c r="SSS188" s="117"/>
      <c r="SST188" s="117"/>
      <c r="SSU188" s="117"/>
      <c r="SSV188" s="117"/>
      <c r="SSW188" s="117"/>
      <c r="SSX188" s="117"/>
      <c r="SSY188" s="117"/>
      <c r="SSZ188" s="117"/>
      <c r="STA188" s="117"/>
      <c r="STB188" s="117"/>
      <c r="STC188" s="117"/>
      <c r="STD188" s="117"/>
      <c r="STE188" s="117"/>
      <c r="STF188" s="117"/>
      <c r="STG188" s="117"/>
      <c r="STH188" s="117"/>
      <c r="STI188" s="117"/>
      <c r="STJ188" s="117"/>
      <c r="STK188" s="117"/>
      <c r="STL188" s="117"/>
      <c r="STM188" s="117"/>
      <c r="STN188" s="117"/>
      <c r="STO188" s="117"/>
      <c r="STP188" s="117"/>
      <c r="STQ188" s="117"/>
      <c r="STR188" s="117"/>
      <c r="STS188" s="117"/>
      <c r="STT188" s="117"/>
      <c r="STU188" s="117"/>
      <c r="STV188" s="117"/>
      <c r="STW188" s="117"/>
      <c r="STX188" s="117"/>
      <c r="STY188" s="117"/>
      <c r="STZ188" s="117"/>
      <c r="SUA188" s="117"/>
      <c r="SUB188" s="117"/>
      <c r="SUC188" s="117"/>
      <c r="SUD188" s="117"/>
      <c r="SUE188" s="117"/>
      <c r="SUF188" s="117"/>
      <c r="SUG188" s="117"/>
      <c r="SUH188" s="117"/>
      <c r="SUI188" s="117"/>
      <c r="SUJ188" s="117"/>
      <c r="SUK188" s="117"/>
      <c r="SUL188" s="117"/>
      <c r="SUM188" s="117"/>
      <c r="SUN188" s="117"/>
      <c r="SUO188" s="117"/>
      <c r="SUP188" s="117"/>
      <c r="SUQ188" s="117"/>
      <c r="SUR188" s="117"/>
      <c r="SUS188" s="117"/>
      <c r="SUT188" s="117"/>
      <c r="SUU188" s="117"/>
      <c r="SUV188" s="117"/>
      <c r="SUW188" s="117"/>
      <c r="SUX188" s="117"/>
      <c r="SUY188" s="117"/>
      <c r="SUZ188" s="117"/>
      <c r="SVA188" s="117"/>
      <c r="SVB188" s="117"/>
      <c r="SVC188" s="117"/>
      <c r="SVD188" s="117"/>
      <c r="SVE188" s="117"/>
      <c r="SVF188" s="117"/>
      <c r="SVG188" s="117"/>
      <c r="SVH188" s="117"/>
      <c r="SVI188" s="117"/>
      <c r="SVJ188" s="117"/>
      <c r="SVK188" s="117"/>
      <c r="SVL188" s="117"/>
      <c r="SVM188" s="117"/>
      <c r="SVN188" s="117"/>
      <c r="SVO188" s="117"/>
      <c r="SVP188" s="117"/>
      <c r="SVQ188" s="117"/>
      <c r="SVR188" s="117"/>
      <c r="SVS188" s="117"/>
      <c r="SVT188" s="117"/>
      <c r="SVU188" s="117"/>
      <c r="SVV188" s="117"/>
      <c r="SVW188" s="117"/>
      <c r="SVX188" s="117"/>
      <c r="SVY188" s="117"/>
      <c r="SVZ188" s="117"/>
      <c r="SWA188" s="117"/>
      <c r="SWB188" s="117"/>
      <c r="SWC188" s="117"/>
      <c r="SWD188" s="117"/>
      <c r="SWE188" s="117"/>
      <c r="SWF188" s="117"/>
      <c r="SWG188" s="117"/>
      <c r="SWH188" s="117"/>
      <c r="SWI188" s="117"/>
      <c r="SWJ188" s="117"/>
      <c r="SWK188" s="117"/>
      <c r="SWL188" s="117"/>
      <c r="SWM188" s="117"/>
      <c r="SWN188" s="117"/>
      <c r="SWO188" s="117"/>
      <c r="SWP188" s="117"/>
      <c r="SWQ188" s="117"/>
      <c r="SWR188" s="117"/>
      <c r="SWS188" s="117"/>
      <c r="SWT188" s="117"/>
      <c r="SWU188" s="117"/>
      <c r="SWV188" s="117"/>
      <c r="SWW188" s="117"/>
      <c r="SWX188" s="117"/>
      <c r="SWY188" s="117"/>
      <c r="SWZ188" s="117"/>
      <c r="SXA188" s="117"/>
      <c r="SXB188" s="117"/>
      <c r="SXC188" s="117"/>
      <c r="SXD188" s="117"/>
      <c r="SXE188" s="117"/>
      <c r="SXF188" s="117"/>
      <c r="SXG188" s="117"/>
      <c r="SXH188" s="117"/>
      <c r="SXI188" s="117"/>
      <c r="SXJ188" s="117"/>
      <c r="SXK188" s="117"/>
      <c r="SXL188" s="117"/>
      <c r="SXM188" s="117"/>
      <c r="SXN188" s="117"/>
      <c r="SXO188" s="117"/>
      <c r="SXP188" s="117"/>
      <c r="SXQ188" s="117"/>
      <c r="SXR188" s="117"/>
      <c r="SXS188" s="117"/>
      <c r="SXT188" s="117"/>
      <c r="SXU188" s="117"/>
      <c r="SXV188" s="117"/>
      <c r="SXW188" s="117"/>
      <c r="SXX188" s="117"/>
      <c r="SXY188" s="117"/>
      <c r="SXZ188" s="117"/>
      <c r="SYA188" s="117"/>
      <c r="SYB188" s="117"/>
      <c r="SYC188" s="117"/>
      <c r="SYD188" s="117"/>
      <c r="SYE188" s="117"/>
      <c r="SYF188" s="117"/>
      <c r="SYG188" s="117"/>
      <c r="SYH188" s="117"/>
      <c r="SYI188" s="117"/>
      <c r="SYJ188" s="117"/>
      <c r="SYK188" s="117"/>
      <c r="SYL188" s="117"/>
      <c r="SYM188" s="117"/>
      <c r="SYN188" s="117"/>
      <c r="SYO188" s="117"/>
      <c r="SYP188" s="117"/>
      <c r="SYQ188" s="117"/>
      <c r="SYR188" s="117"/>
      <c r="SYS188" s="117"/>
      <c r="SYT188" s="117"/>
      <c r="SYU188" s="117"/>
      <c r="SYV188" s="117"/>
      <c r="SYW188" s="117"/>
      <c r="SYX188" s="117"/>
      <c r="SYY188" s="117"/>
      <c r="SYZ188" s="117"/>
      <c r="SZA188" s="117"/>
      <c r="SZB188" s="117"/>
      <c r="SZC188" s="117"/>
      <c r="SZD188" s="117"/>
      <c r="SZE188" s="117"/>
      <c r="SZF188" s="117"/>
      <c r="SZG188" s="117"/>
      <c r="SZH188" s="117"/>
      <c r="SZI188" s="117"/>
      <c r="SZJ188" s="117"/>
      <c r="SZK188" s="117"/>
      <c r="SZL188" s="117"/>
      <c r="SZM188" s="117"/>
      <c r="SZN188" s="117"/>
      <c r="SZO188" s="117"/>
      <c r="SZP188" s="117"/>
      <c r="SZQ188" s="117"/>
      <c r="SZR188" s="117"/>
      <c r="SZS188" s="117"/>
      <c r="SZT188" s="117"/>
      <c r="SZU188" s="117"/>
      <c r="SZV188" s="117"/>
      <c r="SZW188" s="117"/>
      <c r="SZX188" s="117"/>
      <c r="SZY188" s="117"/>
      <c r="SZZ188" s="117"/>
      <c r="TAA188" s="117"/>
      <c r="TAB188" s="117"/>
      <c r="TAC188" s="117"/>
      <c r="TAD188" s="117"/>
      <c r="TAE188" s="117"/>
      <c r="TAF188" s="117"/>
      <c r="TAG188" s="117"/>
      <c r="TAH188" s="117"/>
      <c r="TAI188" s="117"/>
      <c r="TAJ188" s="117"/>
      <c r="TAK188" s="117"/>
      <c r="TAL188" s="117"/>
      <c r="TAM188" s="117"/>
      <c r="TAN188" s="117"/>
      <c r="TAO188" s="117"/>
      <c r="TAP188" s="117"/>
      <c r="TAQ188" s="117"/>
      <c r="TAR188" s="117"/>
      <c r="TAS188" s="117"/>
      <c r="TAT188" s="117"/>
      <c r="TAU188" s="117"/>
      <c r="TAV188" s="117"/>
      <c r="TAW188" s="117"/>
      <c r="TAX188" s="117"/>
      <c r="TAY188" s="117"/>
      <c r="TAZ188" s="117"/>
      <c r="TBA188" s="117"/>
      <c r="TBB188" s="117"/>
      <c r="TBC188" s="117"/>
      <c r="TBD188" s="117"/>
      <c r="TBE188" s="117"/>
      <c r="TBF188" s="117"/>
      <c r="TBG188" s="117"/>
      <c r="TBH188" s="117"/>
      <c r="TBI188" s="117"/>
      <c r="TBJ188" s="117"/>
      <c r="TBK188" s="117"/>
      <c r="TBL188" s="117"/>
      <c r="TBM188" s="117"/>
      <c r="TBN188" s="117"/>
      <c r="TBO188" s="117"/>
      <c r="TBP188" s="117"/>
      <c r="TBQ188" s="117"/>
      <c r="TBR188" s="117"/>
      <c r="TBS188" s="117"/>
      <c r="TBT188" s="117"/>
      <c r="TBU188" s="117"/>
      <c r="TBV188" s="117"/>
      <c r="TBW188" s="117"/>
      <c r="TBX188" s="117"/>
      <c r="TBY188" s="117"/>
      <c r="TBZ188" s="117"/>
      <c r="TCA188" s="117"/>
      <c r="TCB188" s="117"/>
      <c r="TCC188" s="117"/>
      <c r="TCD188" s="117"/>
      <c r="TCE188" s="117"/>
      <c r="TCF188" s="117"/>
      <c r="TCG188" s="117"/>
      <c r="TCH188" s="117"/>
      <c r="TCI188" s="117"/>
      <c r="TCJ188" s="117"/>
      <c r="TCK188" s="117"/>
      <c r="TCL188" s="117"/>
      <c r="TCM188" s="117"/>
      <c r="TCN188" s="117"/>
      <c r="TCO188" s="117"/>
      <c r="TCP188" s="117"/>
      <c r="TCQ188" s="117"/>
      <c r="TCR188" s="117"/>
      <c r="TCS188" s="117"/>
      <c r="TCT188" s="117"/>
      <c r="TCU188" s="117"/>
      <c r="TCV188" s="117"/>
      <c r="TCW188" s="117"/>
      <c r="TCX188" s="117"/>
      <c r="TCY188" s="117"/>
      <c r="TCZ188" s="117"/>
      <c r="TDA188" s="117"/>
      <c r="TDB188" s="117"/>
      <c r="TDC188" s="117"/>
      <c r="TDD188" s="117"/>
      <c r="TDE188" s="117"/>
      <c r="TDF188" s="117"/>
      <c r="TDG188" s="117"/>
      <c r="TDH188" s="117"/>
      <c r="TDI188" s="117"/>
      <c r="TDJ188" s="117"/>
      <c r="TDK188" s="117"/>
      <c r="TDL188" s="117"/>
      <c r="TDM188" s="117"/>
      <c r="TDN188" s="117"/>
      <c r="TDO188" s="117"/>
      <c r="TDP188" s="117"/>
      <c r="TDQ188" s="117"/>
      <c r="TDR188" s="117"/>
      <c r="TDS188" s="117"/>
      <c r="TDT188" s="117"/>
      <c r="TDU188" s="117"/>
      <c r="TDV188" s="117"/>
      <c r="TDW188" s="117"/>
      <c r="TDX188" s="117"/>
      <c r="TDY188" s="117"/>
      <c r="TDZ188" s="117"/>
      <c r="TEA188" s="117"/>
      <c r="TEB188" s="117"/>
      <c r="TEC188" s="117"/>
      <c r="TED188" s="117"/>
      <c r="TEE188" s="117"/>
      <c r="TEF188" s="117"/>
      <c r="TEG188" s="117"/>
      <c r="TEH188" s="117"/>
      <c r="TEI188" s="117"/>
      <c r="TEJ188" s="117"/>
      <c r="TEK188" s="117"/>
      <c r="TEL188" s="117"/>
      <c r="TEM188" s="117"/>
      <c r="TEN188" s="117"/>
      <c r="TEO188" s="117"/>
      <c r="TEP188" s="117"/>
      <c r="TEQ188" s="117"/>
      <c r="TER188" s="117"/>
      <c r="TES188" s="117"/>
      <c r="TET188" s="117"/>
      <c r="TEU188" s="117"/>
      <c r="TEV188" s="117"/>
      <c r="TEW188" s="117"/>
      <c r="TEX188" s="117"/>
      <c r="TEY188" s="117"/>
      <c r="TEZ188" s="117"/>
      <c r="TFA188" s="117"/>
      <c r="TFB188" s="117"/>
      <c r="TFC188" s="117"/>
      <c r="TFD188" s="117"/>
      <c r="TFE188" s="117"/>
      <c r="TFF188" s="117"/>
      <c r="TFG188" s="117"/>
      <c r="TFH188" s="117"/>
      <c r="TFI188" s="117"/>
      <c r="TFJ188" s="117"/>
      <c r="TFK188" s="117"/>
      <c r="TFL188" s="117"/>
      <c r="TFM188" s="117"/>
      <c r="TFN188" s="117"/>
      <c r="TFO188" s="117"/>
      <c r="TFP188" s="117"/>
      <c r="TFQ188" s="117"/>
      <c r="TFR188" s="117"/>
      <c r="TFS188" s="117"/>
      <c r="TFT188" s="117"/>
      <c r="TFU188" s="117"/>
      <c r="TFV188" s="117"/>
      <c r="TFW188" s="117"/>
      <c r="TFX188" s="117"/>
      <c r="TFY188" s="117"/>
      <c r="TFZ188" s="117"/>
      <c r="TGA188" s="117"/>
      <c r="TGB188" s="117"/>
      <c r="TGC188" s="117"/>
      <c r="TGD188" s="117"/>
      <c r="TGE188" s="117"/>
      <c r="TGF188" s="117"/>
      <c r="TGG188" s="117"/>
      <c r="TGH188" s="117"/>
      <c r="TGI188" s="117"/>
      <c r="TGJ188" s="117"/>
      <c r="TGK188" s="117"/>
      <c r="TGL188" s="117"/>
      <c r="TGM188" s="117"/>
      <c r="TGN188" s="117"/>
      <c r="TGO188" s="117"/>
      <c r="TGP188" s="117"/>
      <c r="TGQ188" s="117"/>
      <c r="TGR188" s="117"/>
      <c r="TGS188" s="117"/>
      <c r="TGT188" s="117"/>
      <c r="TGU188" s="117"/>
      <c r="TGV188" s="117"/>
      <c r="TGW188" s="117"/>
      <c r="TGX188" s="117"/>
      <c r="TGY188" s="117"/>
      <c r="TGZ188" s="117"/>
      <c r="THA188" s="117"/>
      <c r="THB188" s="117"/>
      <c r="THC188" s="117"/>
      <c r="THD188" s="117"/>
      <c r="THE188" s="117"/>
      <c r="THF188" s="117"/>
      <c r="THG188" s="117"/>
      <c r="THH188" s="117"/>
      <c r="THI188" s="117"/>
      <c r="THJ188" s="117"/>
      <c r="THK188" s="117"/>
      <c r="THL188" s="117"/>
      <c r="THM188" s="117"/>
      <c r="THN188" s="117"/>
      <c r="THO188" s="117"/>
      <c r="THP188" s="117"/>
      <c r="THQ188" s="117"/>
      <c r="THR188" s="117"/>
      <c r="THS188" s="117"/>
      <c r="THT188" s="117"/>
      <c r="THU188" s="117"/>
      <c r="THV188" s="117"/>
      <c r="THW188" s="117"/>
      <c r="THX188" s="117"/>
      <c r="THY188" s="117"/>
      <c r="THZ188" s="117"/>
      <c r="TIA188" s="117"/>
      <c r="TIB188" s="117"/>
      <c r="TIC188" s="117"/>
      <c r="TID188" s="117"/>
      <c r="TIE188" s="117"/>
      <c r="TIF188" s="117"/>
      <c r="TIG188" s="117"/>
      <c r="TIH188" s="117"/>
      <c r="TII188" s="117"/>
      <c r="TIJ188" s="117"/>
      <c r="TIK188" s="117"/>
      <c r="TIL188" s="117"/>
      <c r="TIM188" s="117"/>
      <c r="TIN188" s="117"/>
      <c r="TIO188" s="117"/>
      <c r="TIP188" s="117"/>
      <c r="TIQ188" s="117"/>
      <c r="TIR188" s="117"/>
      <c r="TIS188" s="117"/>
      <c r="TIT188" s="117"/>
      <c r="TIU188" s="117"/>
      <c r="TIV188" s="117"/>
      <c r="TIW188" s="117"/>
      <c r="TIX188" s="117"/>
      <c r="TIY188" s="117"/>
      <c r="TIZ188" s="117"/>
      <c r="TJA188" s="117"/>
      <c r="TJB188" s="117"/>
      <c r="TJC188" s="117"/>
      <c r="TJD188" s="117"/>
      <c r="TJE188" s="117"/>
      <c r="TJF188" s="117"/>
      <c r="TJG188" s="117"/>
      <c r="TJH188" s="117"/>
      <c r="TJI188" s="117"/>
      <c r="TJJ188" s="117"/>
      <c r="TJK188" s="117"/>
      <c r="TJL188" s="117"/>
      <c r="TJM188" s="117"/>
      <c r="TJN188" s="117"/>
      <c r="TJO188" s="117"/>
      <c r="TJP188" s="117"/>
      <c r="TJQ188" s="117"/>
      <c r="TJR188" s="117"/>
      <c r="TJS188" s="117"/>
      <c r="TJT188" s="117"/>
      <c r="TJU188" s="117"/>
      <c r="TJV188" s="117"/>
      <c r="TJW188" s="117"/>
      <c r="TJX188" s="117"/>
      <c r="TJY188" s="117"/>
      <c r="TJZ188" s="117"/>
      <c r="TKA188" s="117"/>
      <c r="TKB188" s="117"/>
      <c r="TKC188" s="117"/>
      <c r="TKD188" s="117"/>
      <c r="TKE188" s="117"/>
      <c r="TKF188" s="117"/>
      <c r="TKG188" s="117"/>
      <c r="TKH188" s="117"/>
      <c r="TKI188" s="117"/>
      <c r="TKJ188" s="117"/>
      <c r="TKK188" s="117"/>
      <c r="TKL188" s="117"/>
      <c r="TKM188" s="117"/>
      <c r="TKN188" s="117"/>
      <c r="TKO188" s="117"/>
      <c r="TKP188" s="117"/>
      <c r="TKQ188" s="117"/>
      <c r="TKR188" s="117"/>
      <c r="TKS188" s="117"/>
      <c r="TKT188" s="117"/>
      <c r="TKU188" s="117"/>
      <c r="TKV188" s="117"/>
      <c r="TKW188" s="117"/>
      <c r="TKX188" s="117"/>
      <c r="TKY188" s="117"/>
      <c r="TKZ188" s="117"/>
      <c r="TLA188" s="117"/>
      <c r="TLB188" s="117"/>
      <c r="TLC188" s="117"/>
      <c r="TLD188" s="117"/>
      <c r="TLE188" s="117"/>
      <c r="TLF188" s="117"/>
      <c r="TLG188" s="117"/>
      <c r="TLH188" s="117"/>
      <c r="TLI188" s="117"/>
      <c r="TLJ188" s="117"/>
      <c r="TLK188" s="117"/>
      <c r="TLL188" s="117"/>
      <c r="TLM188" s="117"/>
      <c r="TLN188" s="117"/>
      <c r="TLO188" s="117"/>
      <c r="TLP188" s="117"/>
      <c r="TLQ188" s="117"/>
      <c r="TLR188" s="117"/>
      <c r="TLS188" s="117"/>
      <c r="TLT188" s="117"/>
      <c r="TLU188" s="117"/>
      <c r="TLV188" s="117"/>
      <c r="TLW188" s="117"/>
      <c r="TLX188" s="117"/>
      <c r="TLY188" s="117"/>
      <c r="TLZ188" s="117"/>
      <c r="TMA188" s="117"/>
      <c r="TMB188" s="117"/>
      <c r="TMC188" s="117"/>
      <c r="TMD188" s="117"/>
      <c r="TME188" s="117"/>
      <c r="TMF188" s="117"/>
      <c r="TMG188" s="117"/>
      <c r="TMH188" s="117"/>
      <c r="TMI188" s="117"/>
      <c r="TMJ188" s="117"/>
      <c r="TMK188" s="117"/>
      <c r="TML188" s="117"/>
      <c r="TMM188" s="117"/>
      <c r="TMN188" s="117"/>
      <c r="TMO188" s="117"/>
      <c r="TMP188" s="117"/>
      <c r="TMQ188" s="117"/>
      <c r="TMR188" s="117"/>
      <c r="TMS188" s="117"/>
      <c r="TMT188" s="117"/>
      <c r="TMU188" s="117"/>
      <c r="TMV188" s="117"/>
      <c r="TMW188" s="117"/>
      <c r="TMX188" s="117"/>
      <c r="TMY188" s="117"/>
      <c r="TMZ188" s="117"/>
      <c r="TNA188" s="117"/>
      <c r="TNB188" s="117"/>
      <c r="TNC188" s="117"/>
      <c r="TND188" s="117"/>
      <c r="TNE188" s="117"/>
      <c r="TNF188" s="117"/>
      <c r="TNG188" s="117"/>
      <c r="TNH188" s="117"/>
      <c r="TNI188" s="117"/>
      <c r="TNJ188" s="117"/>
      <c r="TNK188" s="117"/>
      <c r="TNL188" s="117"/>
      <c r="TNM188" s="117"/>
      <c r="TNN188" s="117"/>
      <c r="TNO188" s="117"/>
      <c r="TNP188" s="117"/>
      <c r="TNQ188" s="117"/>
      <c r="TNR188" s="117"/>
      <c r="TNS188" s="117"/>
      <c r="TNT188" s="117"/>
      <c r="TNU188" s="117"/>
      <c r="TNV188" s="117"/>
      <c r="TNW188" s="117"/>
      <c r="TNX188" s="117"/>
      <c r="TNY188" s="117"/>
      <c r="TNZ188" s="117"/>
      <c r="TOA188" s="117"/>
      <c r="TOB188" s="117"/>
      <c r="TOC188" s="117"/>
      <c r="TOD188" s="117"/>
      <c r="TOE188" s="117"/>
      <c r="TOF188" s="117"/>
      <c r="TOG188" s="117"/>
      <c r="TOH188" s="117"/>
      <c r="TOI188" s="117"/>
      <c r="TOJ188" s="117"/>
      <c r="TOK188" s="117"/>
      <c r="TOL188" s="117"/>
      <c r="TOM188" s="117"/>
      <c r="TON188" s="117"/>
      <c r="TOO188" s="117"/>
      <c r="TOP188" s="117"/>
      <c r="TOQ188" s="117"/>
      <c r="TOR188" s="117"/>
      <c r="TOS188" s="117"/>
      <c r="TOT188" s="117"/>
      <c r="TOU188" s="117"/>
      <c r="TOV188" s="117"/>
      <c r="TOW188" s="117"/>
      <c r="TOX188" s="117"/>
      <c r="TOY188" s="117"/>
      <c r="TOZ188" s="117"/>
      <c r="TPA188" s="117"/>
      <c r="TPB188" s="117"/>
      <c r="TPC188" s="117"/>
      <c r="TPD188" s="117"/>
      <c r="TPE188" s="117"/>
      <c r="TPF188" s="117"/>
      <c r="TPG188" s="117"/>
      <c r="TPH188" s="117"/>
      <c r="TPI188" s="117"/>
      <c r="TPJ188" s="117"/>
      <c r="TPK188" s="117"/>
      <c r="TPL188" s="117"/>
      <c r="TPM188" s="117"/>
      <c r="TPN188" s="117"/>
      <c r="TPO188" s="117"/>
      <c r="TPP188" s="117"/>
      <c r="TPQ188" s="117"/>
      <c r="TPR188" s="117"/>
      <c r="TPS188" s="117"/>
      <c r="TPT188" s="117"/>
      <c r="TPU188" s="117"/>
      <c r="TPV188" s="117"/>
      <c r="TPW188" s="117"/>
      <c r="TPX188" s="117"/>
      <c r="TPY188" s="117"/>
      <c r="TPZ188" s="117"/>
      <c r="TQA188" s="117"/>
      <c r="TQB188" s="117"/>
      <c r="TQC188" s="117"/>
      <c r="TQD188" s="117"/>
      <c r="TQE188" s="117"/>
      <c r="TQF188" s="117"/>
      <c r="TQG188" s="117"/>
      <c r="TQH188" s="117"/>
      <c r="TQI188" s="117"/>
      <c r="TQJ188" s="117"/>
      <c r="TQK188" s="117"/>
      <c r="TQL188" s="117"/>
      <c r="TQM188" s="117"/>
      <c r="TQN188" s="117"/>
      <c r="TQO188" s="117"/>
      <c r="TQP188" s="117"/>
      <c r="TQQ188" s="117"/>
      <c r="TQR188" s="117"/>
      <c r="TQS188" s="117"/>
      <c r="TQT188" s="117"/>
      <c r="TQU188" s="117"/>
      <c r="TQV188" s="117"/>
      <c r="TQW188" s="117"/>
      <c r="TQX188" s="117"/>
      <c r="TQY188" s="117"/>
      <c r="TQZ188" s="117"/>
      <c r="TRA188" s="117"/>
      <c r="TRB188" s="117"/>
      <c r="TRC188" s="117"/>
      <c r="TRD188" s="117"/>
      <c r="TRE188" s="117"/>
      <c r="TRF188" s="117"/>
      <c r="TRG188" s="117"/>
      <c r="TRH188" s="117"/>
      <c r="TRI188" s="117"/>
      <c r="TRJ188" s="117"/>
      <c r="TRK188" s="117"/>
      <c r="TRL188" s="117"/>
      <c r="TRM188" s="117"/>
      <c r="TRN188" s="117"/>
      <c r="TRO188" s="117"/>
      <c r="TRP188" s="117"/>
      <c r="TRQ188" s="117"/>
      <c r="TRR188" s="117"/>
      <c r="TRS188" s="117"/>
      <c r="TRT188" s="117"/>
      <c r="TRU188" s="117"/>
      <c r="TRV188" s="117"/>
      <c r="TRW188" s="117"/>
      <c r="TRX188" s="117"/>
      <c r="TRY188" s="117"/>
      <c r="TRZ188" s="117"/>
      <c r="TSA188" s="117"/>
      <c r="TSB188" s="117"/>
      <c r="TSC188" s="117"/>
      <c r="TSD188" s="117"/>
      <c r="TSE188" s="117"/>
      <c r="TSF188" s="117"/>
      <c r="TSG188" s="117"/>
      <c r="TSH188" s="117"/>
      <c r="TSI188" s="117"/>
      <c r="TSJ188" s="117"/>
      <c r="TSK188" s="117"/>
      <c r="TSL188" s="117"/>
      <c r="TSM188" s="117"/>
      <c r="TSN188" s="117"/>
      <c r="TSO188" s="117"/>
      <c r="TSP188" s="117"/>
      <c r="TSQ188" s="117"/>
      <c r="TSR188" s="117"/>
      <c r="TSS188" s="117"/>
      <c r="TST188" s="117"/>
      <c r="TSU188" s="117"/>
      <c r="TSV188" s="117"/>
      <c r="TSW188" s="117"/>
      <c r="TSX188" s="117"/>
      <c r="TSY188" s="117"/>
      <c r="TSZ188" s="117"/>
      <c r="TTA188" s="117"/>
      <c r="TTB188" s="117"/>
      <c r="TTC188" s="117"/>
      <c r="TTD188" s="117"/>
      <c r="TTE188" s="117"/>
      <c r="TTF188" s="117"/>
      <c r="TTG188" s="117"/>
      <c r="TTH188" s="117"/>
      <c r="TTI188" s="117"/>
      <c r="TTJ188" s="117"/>
      <c r="TTK188" s="117"/>
      <c r="TTL188" s="117"/>
      <c r="TTM188" s="117"/>
      <c r="TTN188" s="117"/>
      <c r="TTO188" s="117"/>
      <c r="TTP188" s="117"/>
      <c r="TTQ188" s="117"/>
      <c r="TTR188" s="117"/>
      <c r="TTS188" s="117"/>
      <c r="TTT188" s="117"/>
      <c r="TTU188" s="117"/>
      <c r="TTV188" s="117"/>
      <c r="TTW188" s="117"/>
      <c r="TTX188" s="117"/>
      <c r="TTY188" s="117"/>
      <c r="TTZ188" s="117"/>
      <c r="TUA188" s="117"/>
      <c r="TUB188" s="117"/>
      <c r="TUC188" s="117"/>
      <c r="TUD188" s="117"/>
      <c r="TUE188" s="117"/>
      <c r="TUF188" s="117"/>
      <c r="TUG188" s="117"/>
      <c r="TUH188" s="117"/>
      <c r="TUI188" s="117"/>
      <c r="TUJ188" s="117"/>
      <c r="TUK188" s="117"/>
      <c r="TUL188" s="117"/>
      <c r="TUM188" s="117"/>
      <c r="TUN188" s="117"/>
      <c r="TUO188" s="117"/>
      <c r="TUP188" s="117"/>
      <c r="TUQ188" s="117"/>
      <c r="TUR188" s="117"/>
      <c r="TUS188" s="117"/>
      <c r="TUT188" s="117"/>
      <c r="TUU188" s="117"/>
      <c r="TUV188" s="117"/>
      <c r="TUW188" s="117"/>
      <c r="TUX188" s="117"/>
      <c r="TUY188" s="117"/>
      <c r="TUZ188" s="117"/>
      <c r="TVA188" s="117"/>
      <c r="TVB188" s="117"/>
      <c r="TVC188" s="117"/>
      <c r="TVD188" s="117"/>
      <c r="TVE188" s="117"/>
      <c r="TVF188" s="117"/>
      <c r="TVG188" s="117"/>
      <c r="TVH188" s="117"/>
      <c r="TVI188" s="117"/>
      <c r="TVJ188" s="117"/>
      <c r="TVK188" s="117"/>
      <c r="TVL188" s="117"/>
      <c r="TVM188" s="117"/>
      <c r="TVN188" s="117"/>
      <c r="TVO188" s="117"/>
      <c r="TVP188" s="117"/>
      <c r="TVQ188" s="117"/>
      <c r="TVR188" s="117"/>
      <c r="TVS188" s="117"/>
      <c r="TVT188" s="117"/>
      <c r="TVU188" s="117"/>
      <c r="TVV188" s="117"/>
      <c r="TVW188" s="117"/>
      <c r="TVX188" s="117"/>
      <c r="TVY188" s="117"/>
      <c r="TVZ188" s="117"/>
      <c r="TWA188" s="117"/>
      <c r="TWB188" s="117"/>
      <c r="TWC188" s="117"/>
      <c r="TWD188" s="117"/>
      <c r="TWE188" s="117"/>
      <c r="TWF188" s="117"/>
      <c r="TWG188" s="117"/>
      <c r="TWH188" s="117"/>
      <c r="TWI188" s="117"/>
      <c r="TWJ188" s="117"/>
      <c r="TWK188" s="117"/>
      <c r="TWL188" s="117"/>
      <c r="TWM188" s="117"/>
      <c r="TWN188" s="117"/>
      <c r="TWO188" s="117"/>
      <c r="TWP188" s="117"/>
      <c r="TWQ188" s="117"/>
      <c r="TWR188" s="117"/>
      <c r="TWS188" s="117"/>
      <c r="TWT188" s="117"/>
      <c r="TWU188" s="117"/>
      <c r="TWV188" s="117"/>
      <c r="TWW188" s="117"/>
      <c r="TWX188" s="117"/>
      <c r="TWY188" s="117"/>
      <c r="TWZ188" s="117"/>
      <c r="TXA188" s="117"/>
      <c r="TXB188" s="117"/>
      <c r="TXC188" s="117"/>
      <c r="TXD188" s="117"/>
      <c r="TXE188" s="117"/>
      <c r="TXF188" s="117"/>
      <c r="TXG188" s="117"/>
      <c r="TXH188" s="117"/>
      <c r="TXI188" s="117"/>
      <c r="TXJ188" s="117"/>
      <c r="TXK188" s="117"/>
      <c r="TXL188" s="117"/>
      <c r="TXM188" s="117"/>
      <c r="TXN188" s="117"/>
      <c r="TXO188" s="117"/>
      <c r="TXP188" s="117"/>
      <c r="TXQ188" s="117"/>
      <c r="TXR188" s="117"/>
      <c r="TXS188" s="117"/>
      <c r="TXT188" s="117"/>
      <c r="TXU188" s="117"/>
      <c r="TXV188" s="117"/>
      <c r="TXW188" s="117"/>
      <c r="TXX188" s="117"/>
      <c r="TXY188" s="117"/>
      <c r="TXZ188" s="117"/>
      <c r="TYA188" s="117"/>
      <c r="TYB188" s="117"/>
      <c r="TYC188" s="117"/>
      <c r="TYD188" s="117"/>
      <c r="TYE188" s="117"/>
      <c r="TYF188" s="117"/>
      <c r="TYG188" s="117"/>
      <c r="TYH188" s="117"/>
      <c r="TYI188" s="117"/>
      <c r="TYJ188" s="117"/>
      <c r="TYK188" s="117"/>
      <c r="TYL188" s="117"/>
      <c r="TYM188" s="117"/>
      <c r="TYN188" s="117"/>
      <c r="TYO188" s="117"/>
      <c r="TYP188" s="117"/>
      <c r="TYQ188" s="117"/>
      <c r="TYR188" s="117"/>
      <c r="TYS188" s="117"/>
      <c r="TYT188" s="117"/>
      <c r="TYU188" s="117"/>
      <c r="TYV188" s="117"/>
      <c r="TYW188" s="117"/>
      <c r="TYX188" s="117"/>
      <c r="TYY188" s="117"/>
      <c r="TYZ188" s="117"/>
      <c r="TZA188" s="117"/>
      <c r="TZB188" s="117"/>
      <c r="TZC188" s="117"/>
      <c r="TZD188" s="117"/>
      <c r="TZE188" s="117"/>
      <c r="TZF188" s="117"/>
      <c r="TZG188" s="117"/>
      <c r="TZH188" s="117"/>
      <c r="TZI188" s="117"/>
      <c r="TZJ188" s="117"/>
      <c r="TZK188" s="117"/>
      <c r="TZL188" s="117"/>
      <c r="TZM188" s="117"/>
      <c r="TZN188" s="117"/>
      <c r="TZO188" s="117"/>
      <c r="TZP188" s="117"/>
      <c r="TZQ188" s="117"/>
      <c r="TZR188" s="117"/>
      <c r="TZS188" s="117"/>
      <c r="TZT188" s="117"/>
      <c r="TZU188" s="117"/>
      <c r="TZV188" s="117"/>
      <c r="TZW188" s="117"/>
      <c r="TZX188" s="117"/>
      <c r="TZY188" s="117"/>
      <c r="TZZ188" s="117"/>
      <c r="UAA188" s="117"/>
      <c r="UAB188" s="117"/>
      <c r="UAC188" s="117"/>
      <c r="UAD188" s="117"/>
      <c r="UAE188" s="117"/>
      <c r="UAF188" s="117"/>
      <c r="UAG188" s="117"/>
      <c r="UAH188" s="117"/>
      <c r="UAI188" s="117"/>
      <c r="UAJ188" s="117"/>
      <c r="UAK188" s="117"/>
      <c r="UAL188" s="117"/>
      <c r="UAM188" s="117"/>
      <c r="UAN188" s="117"/>
      <c r="UAO188" s="117"/>
      <c r="UAP188" s="117"/>
      <c r="UAQ188" s="117"/>
      <c r="UAR188" s="117"/>
      <c r="UAS188" s="117"/>
      <c r="UAT188" s="117"/>
      <c r="UAU188" s="117"/>
      <c r="UAV188" s="117"/>
      <c r="UAW188" s="117"/>
      <c r="UAX188" s="117"/>
      <c r="UAY188" s="117"/>
      <c r="UAZ188" s="117"/>
      <c r="UBA188" s="117"/>
      <c r="UBB188" s="117"/>
      <c r="UBC188" s="117"/>
      <c r="UBD188" s="117"/>
      <c r="UBE188" s="117"/>
      <c r="UBF188" s="117"/>
      <c r="UBG188" s="117"/>
      <c r="UBH188" s="117"/>
      <c r="UBI188" s="117"/>
      <c r="UBJ188" s="117"/>
      <c r="UBK188" s="117"/>
      <c r="UBL188" s="117"/>
      <c r="UBM188" s="117"/>
      <c r="UBN188" s="117"/>
      <c r="UBO188" s="117"/>
      <c r="UBP188" s="117"/>
      <c r="UBQ188" s="117"/>
      <c r="UBR188" s="117"/>
      <c r="UBS188" s="117"/>
      <c r="UBT188" s="117"/>
      <c r="UBU188" s="117"/>
      <c r="UBV188" s="117"/>
      <c r="UBW188" s="117"/>
      <c r="UBX188" s="117"/>
      <c r="UBY188" s="117"/>
      <c r="UBZ188" s="117"/>
      <c r="UCA188" s="117"/>
      <c r="UCB188" s="117"/>
      <c r="UCC188" s="117"/>
      <c r="UCD188" s="117"/>
      <c r="UCE188" s="117"/>
      <c r="UCF188" s="117"/>
      <c r="UCG188" s="117"/>
      <c r="UCH188" s="117"/>
      <c r="UCI188" s="117"/>
      <c r="UCJ188" s="117"/>
      <c r="UCK188" s="117"/>
      <c r="UCL188" s="117"/>
      <c r="UCM188" s="117"/>
      <c r="UCN188" s="117"/>
      <c r="UCO188" s="117"/>
      <c r="UCP188" s="117"/>
      <c r="UCQ188" s="117"/>
      <c r="UCR188" s="117"/>
      <c r="UCS188" s="117"/>
      <c r="UCT188" s="117"/>
      <c r="UCU188" s="117"/>
      <c r="UCV188" s="117"/>
      <c r="UCW188" s="117"/>
      <c r="UCX188" s="117"/>
      <c r="UCY188" s="117"/>
      <c r="UCZ188" s="117"/>
      <c r="UDA188" s="117"/>
      <c r="UDB188" s="117"/>
      <c r="UDC188" s="117"/>
      <c r="UDD188" s="117"/>
      <c r="UDE188" s="117"/>
      <c r="UDF188" s="117"/>
      <c r="UDG188" s="117"/>
      <c r="UDH188" s="117"/>
      <c r="UDI188" s="117"/>
      <c r="UDJ188" s="117"/>
      <c r="UDK188" s="117"/>
      <c r="UDL188" s="117"/>
      <c r="UDM188" s="117"/>
      <c r="UDN188" s="117"/>
      <c r="UDO188" s="117"/>
      <c r="UDP188" s="117"/>
      <c r="UDQ188" s="117"/>
      <c r="UDR188" s="117"/>
      <c r="UDS188" s="117"/>
      <c r="UDT188" s="117"/>
      <c r="UDU188" s="117"/>
      <c r="UDV188" s="117"/>
      <c r="UDW188" s="117"/>
      <c r="UDX188" s="117"/>
      <c r="UDY188" s="117"/>
      <c r="UDZ188" s="117"/>
      <c r="UEA188" s="117"/>
      <c r="UEB188" s="117"/>
      <c r="UEC188" s="117"/>
      <c r="UED188" s="117"/>
      <c r="UEE188" s="117"/>
      <c r="UEF188" s="117"/>
      <c r="UEG188" s="117"/>
      <c r="UEH188" s="117"/>
      <c r="UEI188" s="117"/>
      <c r="UEJ188" s="117"/>
      <c r="UEK188" s="117"/>
      <c r="UEL188" s="117"/>
      <c r="UEM188" s="117"/>
      <c r="UEN188" s="117"/>
      <c r="UEO188" s="117"/>
      <c r="UEP188" s="117"/>
      <c r="UEQ188" s="117"/>
      <c r="UER188" s="117"/>
      <c r="UES188" s="117"/>
      <c r="UET188" s="117"/>
      <c r="UEU188" s="117"/>
      <c r="UEV188" s="117"/>
      <c r="UEW188" s="117"/>
      <c r="UEX188" s="117"/>
      <c r="UEY188" s="117"/>
      <c r="UEZ188" s="117"/>
      <c r="UFA188" s="117"/>
      <c r="UFB188" s="117"/>
      <c r="UFC188" s="117"/>
      <c r="UFD188" s="117"/>
      <c r="UFE188" s="117"/>
      <c r="UFF188" s="117"/>
      <c r="UFG188" s="117"/>
      <c r="UFH188" s="117"/>
      <c r="UFI188" s="117"/>
      <c r="UFJ188" s="117"/>
      <c r="UFK188" s="117"/>
      <c r="UFL188" s="117"/>
      <c r="UFM188" s="117"/>
      <c r="UFN188" s="117"/>
      <c r="UFO188" s="117"/>
      <c r="UFP188" s="117"/>
      <c r="UFQ188" s="117"/>
      <c r="UFR188" s="117"/>
      <c r="UFS188" s="117"/>
      <c r="UFT188" s="117"/>
      <c r="UFU188" s="117"/>
      <c r="UFV188" s="117"/>
      <c r="UFW188" s="117"/>
      <c r="UFX188" s="117"/>
      <c r="UFY188" s="117"/>
      <c r="UFZ188" s="117"/>
      <c r="UGA188" s="117"/>
      <c r="UGB188" s="117"/>
      <c r="UGC188" s="117"/>
      <c r="UGD188" s="117"/>
      <c r="UGE188" s="117"/>
      <c r="UGF188" s="117"/>
      <c r="UGG188" s="117"/>
      <c r="UGH188" s="117"/>
      <c r="UGI188" s="117"/>
      <c r="UGJ188" s="117"/>
      <c r="UGK188" s="117"/>
      <c r="UGL188" s="117"/>
      <c r="UGM188" s="117"/>
      <c r="UGN188" s="117"/>
      <c r="UGO188" s="117"/>
      <c r="UGP188" s="117"/>
      <c r="UGQ188" s="117"/>
      <c r="UGR188" s="117"/>
      <c r="UGS188" s="117"/>
      <c r="UGT188" s="117"/>
      <c r="UGU188" s="117"/>
      <c r="UGV188" s="117"/>
      <c r="UGW188" s="117"/>
      <c r="UGX188" s="117"/>
      <c r="UGY188" s="117"/>
      <c r="UGZ188" s="117"/>
      <c r="UHA188" s="117"/>
      <c r="UHB188" s="117"/>
      <c r="UHC188" s="117"/>
      <c r="UHD188" s="117"/>
      <c r="UHE188" s="117"/>
      <c r="UHF188" s="117"/>
      <c r="UHG188" s="117"/>
      <c r="UHH188" s="117"/>
      <c r="UHI188" s="117"/>
      <c r="UHJ188" s="117"/>
      <c r="UHK188" s="117"/>
      <c r="UHL188" s="117"/>
      <c r="UHM188" s="117"/>
      <c r="UHN188" s="117"/>
      <c r="UHO188" s="117"/>
      <c r="UHP188" s="117"/>
      <c r="UHQ188" s="117"/>
      <c r="UHR188" s="117"/>
      <c r="UHS188" s="117"/>
      <c r="UHT188" s="117"/>
      <c r="UHU188" s="117"/>
      <c r="UHV188" s="117"/>
      <c r="UHW188" s="117"/>
      <c r="UHX188" s="117"/>
      <c r="UHY188" s="117"/>
      <c r="UHZ188" s="117"/>
      <c r="UIA188" s="117"/>
      <c r="UIB188" s="117"/>
      <c r="UIC188" s="117"/>
      <c r="UID188" s="117"/>
      <c r="UIE188" s="117"/>
      <c r="UIF188" s="117"/>
      <c r="UIG188" s="117"/>
      <c r="UIH188" s="117"/>
      <c r="UII188" s="117"/>
      <c r="UIJ188" s="117"/>
      <c r="UIK188" s="117"/>
      <c r="UIL188" s="117"/>
      <c r="UIM188" s="117"/>
      <c r="UIN188" s="117"/>
      <c r="UIO188" s="117"/>
      <c r="UIP188" s="117"/>
      <c r="UIQ188" s="117"/>
      <c r="UIR188" s="117"/>
      <c r="UIS188" s="117"/>
      <c r="UIT188" s="117"/>
      <c r="UIU188" s="117"/>
      <c r="UIV188" s="117"/>
      <c r="UIW188" s="117"/>
      <c r="UIX188" s="117"/>
      <c r="UIY188" s="117"/>
      <c r="UIZ188" s="117"/>
      <c r="UJA188" s="117"/>
      <c r="UJB188" s="117"/>
      <c r="UJC188" s="117"/>
      <c r="UJD188" s="117"/>
      <c r="UJE188" s="117"/>
      <c r="UJF188" s="117"/>
      <c r="UJG188" s="117"/>
      <c r="UJH188" s="117"/>
      <c r="UJI188" s="117"/>
      <c r="UJJ188" s="117"/>
      <c r="UJK188" s="117"/>
      <c r="UJL188" s="117"/>
      <c r="UJM188" s="117"/>
      <c r="UJN188" s="117"/>
      <c r="UJO188" s="117"/>
      <c r="UJP188" s="117"/>
      <c r="UJQ188" s="117"/>
      <c r="UJR188" s="117"/>
      <c r="UJS188" s="117"/>
      <c r="UJT188" s="117"/>
      <c r="UJU188" s="117"/>
      <c r="UJV188" s="117"/>
      <c r="UJW188" s="117"/>
      <c r="UJX188" s="117"/>
      <c r="UJY188" s="117"/>
      <c r="UJZ188" s="117"/>
      <c r="UKA188" s="117"/>
      <c r="UKB188" s="117"/>
      <c r="UKC188" s="117"/>
      <c r="UKD188" s="117"/>
      <c r="UKE188" s="117"/>
      <c r="UKF188" s="117"/>
      <c r="UKG188" s="117"/>
      <c r="UKH188" s="117"/>
      <c r="UKI188" s="117"/>
      <c r="UKJ188" s="117"/>
      <c r="UKK188" s="117"/>
      <c r="UKL188" s="117"/>
      <c r="UKM188" s="117"/>
      <c r="UKN188" s="117"/>
      <c r="UKO188" s="117"/>
      <c r="UKP188" s="117"/>
      <c r="UKQ188" s="117"/>
      <c r="UKR188" s="117"/>
      <c r="UKS188" s="117"/>
      <c r="UKT188" s="117"/>
      <c r="UKU188" s="117"/>
      <c r="UKV188" s="117"/>
      <c r="UKW188" s="117"/>
      <c r="UKX188" s="117"/>
      <c r="UKY188" s="117"/>
      <c r="UKZ188" s="117"/>
      <c r="ULA188" s="117"/>
      <c r="ULB188" s="117"/>
      <c r="ULC188" s="117"/>
      <c r="ULD188" s="117"/>
      <c r="ULE188" s="117"/>
      <c r="ULF188" s="117"/>
      <c r="ULG188" s="117"/>
      <c r="ULH188" s="117"/>
      <c r="ULI188" s="117"/>
      <c r="ULJ188" s="117"/>
      <c r="ULK188" s="117"/>
      <c r="ULL188" s="117"/>
      <c r="ULM188" s="117"/>
      <c r="ULN188" s="117"/>
      <c r="ULO188" s="117"/>
      <c r="ULP188" s="117"/>
      <c r="ULQ188" s="117"/>
      <c r="ULR188" s="117"/>
      <c r="ULS188" s="117"/>
      <c r="ULT188" s="117"/>
      <c r="ULU188" s="117"/>
      <c r="ULV188" s="117"/>
      <c r="ULW188" s="117"/>
      <c r="ULX188" s="117"/>
      <c r="ULY188" s="117"/>
      <c r="ULZ188" s="117"/>
      <c r="UMA188" s="117"/>
      <c r="UMB188" s="117"/>
      <c r="UMC188" s="117"/>
      <c r="UMD188" s="117"/>
      <c r="UME188" s="117"/>
      <c r="UMF188" s="117"/>
      <c r="UMG188" s="117"/>
      <c r="UMH188" s="117"/>
      <c r="UMI188" s="117"/>
      <c r="UMJ188" s="117"/>
      <c r="UMK188" s="117"/>
      <c r="UML188" s="117"/>
      <c r="UMM188" s="117"/>
      <c r="UMN188" s="117"/>
      <c r="UMO188" s="117"/>
      <c r="UMP188" s="117"/>
      <c r="UMQ188" s="117"/>
      <c r="UMR188" s="117"/>
      <c r="UMS188" s="117"/>
      <c r="UMT188" s="117"/>
      <c r="UMU188" s="117"/>
      <c r="UMV188" s="117"/>
      <c r="UMW188" s="117"/>
      <c r="UMX188" s="117"/>
      <c r="UMY188" s="117"/>
      <c r="UMZ188" s="117"/>
      <c r="UNA188" s="117"/>
      <c r="UNB188" s="117"/>
      <c r="UNC188" s="117"/>
      <c r="UND188" s="117"/>
      <c r="UNE188" s="117"/>
      <c r="UNF188" s="117"/>
      <c r="UNG188" s="117"/>
      <c r="UNH188" s="117"/>
      <c r="UNI188" s="117"/>
      <c r="UNJ188" s="117"/>
      <c r="UNK188" s="117"/>
      <c r="UNL188" s="117"/>
      <c r="UNM188" s="117"/>
      <c r="UNN188" s="117"/>
      <c r="UNO188" s="117"/>
      <c r="UNP188" s="117"/>
      <c r="UNQ188" s="117"/>
      <c r="UNR188" s="117"/>
      <c r="UNS188" s="117"/>
      <c r="UNT188" s="117"/>
      <c r="UNU188" s="117"/>
      <c r="UNV188" s="117"/>
      <c r="UNW188" s="117"/>
      <c r="UNX188" s="117"/>
      <c r="UNY188" s="117"/>
      <c r="UNZ188" s="117"/>
      <c r="UOA188" s="117"/>
      <c r="UOB188" s="117"/>
      <c r="UOC188" s="117"/>
      <c r="UOD188" s="117"/>
      <c r="UOE188" s="117"/>
      <c r="UOF188" s="117"/>
      <c r="UOG188" s="117"/>
      <c r="UOH188" s="117"/>
      <c r="UOI188" s="117"/>
      <c r="UOJ188" s="117"/>
      <c r="UOK188" s="117"/>
      <c r="UOL188" s="117"/>
      <c r="UOM188" s="117"/>
      <c r="UON188" s="117"/>
      <c r="UOO188" s="117"/>
      <c r="UOP188" s="117"/>
      <c r="UOQ188" s="117"/>
      <c r="UOR188" s="117"/>
      <c r="UOS188" s="117"/>
      <c r="UOT188" s="117"/>
      <c r="UOU188" s="117"/>
      <c r="UOV188" s="117"/>
      <c r="UOW188" s="117"/>
      <c r="UOX188" s="117"/>
      <c r="UOY188" s="117"/>
      <c r="UOZ188" s="117"/>
      <c r="UPA188" s="117"/>
      <c r="UPB188" s="117"/>
      <c r="UPC188" s="117"/>
      <c r="UPD188" s="117"/>
      <c r="UPE188" s="117"/>
      <c r="UPF188" s="117"/>
      <c r="UPG188" s="117"/>
      <c r="UPH188" s="117"/>
      <c r="UPI188" s="117"/>
      <c r="UPJ188" s="117"/>
      <c r="UPK188" s="117"/>
      <c r="UPL188" s="117"/>
      <c r="UPM188" s="117"/>
      <c r="UPN188" s="117"/>
      <c r="UPO188" s="117"/>
      <c r="UPP188" s="117"/>
      <c r="UPQ188" s="117"/>
      <c r="UPR188" s="117"/>
      <c r="UPS188" s="117"/>
      <c r="UPT188" s="117"/>
      <c r="UPU188" s="117"/>
      <c r="UPV188" s="117"/>
      <c r="UPW188" s="117"/>
      <c r="UPX188" s="117"/>
      <c r="UPY188" s="117"/>
      <c r="UPZ188" s="117"/>
      <c r="UQA188" s="117"/>
      <c r="UQB188" s="117"/>
      <c r="UQC188" s="117"/>
      <c r="UQD188" s="117"/>
      <c r="UQE188" s="117"/>
      <c r="UQF188" s="117"/>
      <c r="UQG188" s="117"/>
      <c r="UQH188" s="117"/>
      <c r="UQI188" s="117"/>
      <c r="UQJ188" s="117"/>
      <c r="UQK188" s="117"/>
      <c r="UQL188" s="117"/>
      <c r="UQM188" s="117"/>
      <c r="UQN188" s="117"/>
      <c r="UQO188" s="117"/>
      <c r="UQP188" s="117"/>
      <c r="UQQ188" s="117"/>
      <c r="UQR188" s="117"/>
      <c r="UQS188" s="117"/>
      <c r="UQT188" s="117"/>
      <c r="UQU188" s="117"/>
      <c r="UQV188" s="117"/>
      <c r="UQW188" s="117"/>
      <c r="UQX188" s="117"/>
      <c r="UQY188" s="117"/>
      <c r="UQZ188" s="117"/>
      <c r="URA188" s="117"/>
      <c r="URB188" s="117"/>
      <c r="URC188" s="117"/>
      <c r="URD188" s="117"/>
      <c r="URE188" s="117"/>
      <c r="URF188" s="117"/>
      <c r="URG188" s="117"/>
      <c r="URH188" s="117"/>
      <c r="URI188" s="117"/>
      <c r="URJ188" s="117"/>
      <c r="URK188" s="117"/>
      <c r="URL188" s="117"/>
      <c r="URM188" s="117"/>
      <c r="URN188" s="117"/>
      <c r="URO188" s="117"/>
      <c r="URP188" s="117"/>
      <c r="URQ188" s="117"/>
      <c r="URR188" s="117"/>
      <c r="URS188" s="117"/>
      <c r="URT188" s="117"/>
      <c r="URU188" s="117"/>
      <c r="URV188" s="117"/>
      <c r="URW188" s="117"/>
      <c r="URX188" s="117"/>
      <c r="URY188" s="117"/>
      <c r="URZ188" s="117"/>
      <c r="USA188" s="117"/>
      <c r="USB188" s="117"/>
      <c r="USC188" s="117"/>
      <c r="USD188" s="117"/>
      <c r="USE188" s="117"/>
      <c r="USF188" s="117"/>
      <c r="USG188" s="117"/>
      <c r="USH188" s="117"/>
      <c r="USI188" s="117"/>
      <c r="USJ188" s="117"/>
      <c r="USK188" s="117"/>
      <c r="USL188" s="117"/>
      <c r="USM188" s="117"/>
      <c r="USN188" s="117"/>
      <c r="USO188" s="117"/>
      <c r="USP188" s="117"/>
      <c r="USQ188" s="117"/>
      <c r="USR188" s="117"/>
      <c r="USS188" s="117"/>
      <c r="UST188" s="117"/>
      <c r="USU188" s="117"/>
      <c r="USV188" s="117"/>
      <c r="USW188" s="117"/>
      <c r="USX188" s="117"/>
      <c r="USY188" s="117"/>
      <c r="USZ188" s="117"/>
      <c r="UTA188" s="117"/>
      <c r="UTB188" s="117"/>
      <c r="UTC188" s="117"/>
      <c r="UTD188" s="117"/>
      <c r="UTE188" s="117"/>
      <c r="UTF188" s="117"/>
      <c r="UTG188" s="117"/>
      <c r="UTH188" s="117"/>
      <c r="UTI188" s="117"/>
      <c r="UTJ188" s="117"/>
      <c r="UTK188" s="117"/>
      <c r="UTL188" s="117"/>
      <c r="UTM188" s="117"/>
      <c r="UTN188" s="117"/>
      <c r="UTO188" s="117"/>
      <c r="UTP188" s="117"/>
      <c r="UTQ188" s="117"/>
      <c r="UTR188" s="117"/>
      <c r="UTS188" s="117"/>
      <c r="UTT188" s="117"/>
      <c r="UTU188" s="117"/>
      <c r="UTV188" s="117"/>
      <c r="UTW188" s="117"/>
      <c r="UTX188" s="117"/>
      <c r="UTY188" s="117"/>
      <c r="UTZ188" s="117"/>
      <c r="UUA188" s="117"/>
      <c r="UUB188" s="117"/>
      <c r="UUC188" s="117"/>
      <c r="UUD188" s="117"/>
      <c r="UUE188" s="117"/>
      <c r="UUF188" s="117"/>
      <c r="UUG188" s="117"/>
      <c r="UUH188" s="117"/>
      <c r="UUI188" s="117"/>
      <c r="UUJ188" s="117"/>
      <c r="UUK188" s="117"/>
      <c r="UUL188" s="117"/>
      <c r="UUM188" s="117"/>
      <c r="UUN188" s="117"/>
      <c r="UUO188" s="117"/>
      <c r="UUP188" s="117"/>
      <c r="UUQ188" s="117"/>
      <c r="UUR188" s="117"/>
      <c r="UUS188" s="117"/>
      <c r="UUT188" s="117"/>
      <c r="UUU188" s="117"/>
      <c r="UUV188" s="117"/>
      <c r="UUW188" s="117"/>
      <c r="UUX188" s="117"/>
      <c r="UUY188" s="117"/>
      <c r="UUZ188" s="117"/>
      <c r="UVA188" s="117"/>
      <c r="UVB188" s="117"/>
      <c r="UVC188" s="117"/>
      <c r="UVD188" s="117"/>
      <c r="UVE188" s="117"/>
      <c r="UVF188" s="117"/>
      <c r="UVG188" s="117"/>
      <c r="UVH188" s="117"/>
      <c r="UVI188" s="117"/>
      <c r="UVJ188" s="117"/>
      <c r="UVK188" s="117"/>
      <c r="UVL188" s="117"/>
      <c r="UVM188" s="117"/>
      <c r="UVN188" s="117"/>
      <c r="UVO188" s="117"/>
      <c r="UVP188" s="117"/>
      <c r="UVQ188" s="117"/>
      <c r="UVR188" s="117"/>
      <c r="UVS188" s="117"/>
      <c r="UVT188" s="117"/>
      <c r="UVU188" s="117"/>
      <c r="UVV188" s="117"/>
      <c r="UVW188" s="117"/>
      <c r="UVX188" s="117"/>
      <c r="UVY188" s="117"/>
      <c r="UVZ188" s="117"/>
      <c r="UWA188" s="117"/>
      <c r="UWB188" s="117"/>
      <c r="UWC188" s="117"/>
      <c r="UWD188" s="117"/>
      <c r="UWE188" s="117"/>
      <c r="UWF188" s="117"/>
      <c r="UWG188" s="117"/>
      <c r="UWH188" s="117"/>
      <c r="UWI188" s="117"/>
      <c r="UWJ188" s="117"/>
      <c r="UWK188" s="117"/>
      <c r="UWL188" s="117"/>
      <c r="UWM188" s="117"/>
      <c r="UWN188" s="117"/>
      <c r="UWO188" s="117"/>
      <c r="UWP188" s="117"/>
      <c r="UWQ188" s="117"/>
      <c r="UWR188" s="117"/>
      <c r="UWS188" s="117"/>
      <c r="UWT188" s="117"/>
      <c r="UWU188" s="117"/>
      <c r="UWV188" s="117"/>
      <c r="UWW188" s="117"/>
      <c r="UWX188" s="117"/>
      <c r="UWY188" s="117"/>
      <c r="UWZ188" s="117"/>
      <c r="UXA188" s="117"/>
      <c r="UXB188" s="117"/>
      <c r="UXC188" s="117"/>
      <c r="UXD188" s="117"/>
      <c r="UXE188" s="117"/>
      <c r="UXF188" s="117"/>
      <c r="UXG188" s="117"/>
      <c r="UXH188" s="117"/>
      <c r="UXI188" s="117"/>
      <c r="UXJ188" s="117"/>
      <c r="UXK188" s="117"/>
      <c r="UXL188" s="117"/>
      <c r="UXM188" s="117"/>
      <c r="UXN188" s="117"/>
      <c r="UXO188" s="117"/>
      <c r="UXP188" s="117"/>
      <c r="UXQ188" s="117"/>
      <c r="UXR188" s="117"/>
      <c r="UXS188" s="117"/>
      <c r="UXT188" s="117"/>
      <c r="UXU188" s="117"/>
      <c r="UXV188" s="117"/>
      <c r="UXW188" s="117"/>
      <c r="UXX188" s="117"/>
      <c r="UXY188" s="117"/>
      <c r="UXZ188" s="117"/>
      <c r="UYA188" s="117"/>
      <c r="UYB188" s="117"/>
      <c r="UYC188" s="117"/>
      <c r="UYD188" s="117"/>
      <c r="UYE188" s="117"/>
      <c r="UYF188" s="117"/>
      <c r="UYG188" s="117"/>
      <c r="UYH188" s="117"/>
      <c r="UYI188" s="117"/>
      <c r="UYJ188" s="117"/>
      <c r="UYK188" s="117"/>
      <c r="UYL188" s="117"/>
      <c r="UYM188" s="117"/>
      <c r="UYN188" s="117"/>
      <c r="UYO188" s="117"/>
      <c r="UYP188" s="117"/>
      <c r="UYQ188" s="117"/>
      <c r="UYR188" s="117"/>
      <c r="UYS188" s="117"/>
      <c r="UYT188" s="117"/>
      <c r="UYU188" s="117"/>
      <c r="UYV188" s="117"/>
      <c r="UYW188" s="117"/>
      <c r="UYX188" s="117"/>
      <c r="UYY188" s="117"/>
      <c r="UYZ188" s="117"/>
      <c r="UZA188" s="117"/>
      <c r="UZB188" s="117"/>
      <c r="UZC188" s="117"/>
      <c r="UZD188" s="117"/>
      <c r="UZE188" s="117"/>
      <c r="UZF188" s="117"/>
      <c r="UZG188" s="117"/>
      <c r="UZH188" s="117"/>
      <c r="UZI188" s="117"/>
      <c r="UZJ188" s="117"/>
      <c r="UZK188" s="117"/>
      <c r="UZL188" s="117"/>
      <c r="UZM188" s="117"/>
      <c r="UZN188" s="117"/>
      <c r="UZO188" s="117"/>
      <c r="UZP188" s="117"/>
      <c r="UZQ188" s="117"/>
      <c r="UZR188" s="117"/>
      <c r="UZS188" s="117"/>
      <c r="UZT188" s="117"/>
      <c r="UZU188" s="117"/>
      <c r="UZV188" s="117"/>
      <c r="UZW188" s="117"/>
      <c r="UZX188" s="117"/>
      <c r="UZY188" s="117"/>
      <c r="UZZ188" s="117"/>
      <c r="VAA188" s="117"/>
      <c r="VAB188" s="117"/>
      <c r="VAC188" s="117"/>
      <c r="VAD188" s="117"/>
      <c r="VAE188" s="117"/>
      <c r="VAF188" s="117"/>
      <c r="VAG188" s="117"/>
      <c r="VAH188" s="117"/>
      <c r="VAI188" s="117"/>
      <c r="VAJ188" s="117"/>
      <c r="VAK188" s="117"/>
      <c r="VAL188" s="117"/>
      <c r="VAM188" s="117"/>
      <c r="VAN188" s="117"/>
      <c r="VAO188" s="117"/>
      <c r="VAP188" s="117"/>
      <c r="VAQ188" s="117"/>
      <c r="VAR188" s="117"/>
      <c r="VAS188" s="117"/>
      <c r="VAT188" s="117"/>
      <c r="VAU188" s="117"/>
      <c r="VAV188" s="117"/>
      <c r="VAW188" s="117"/>
      <c r="VAX188" s="117"/>
      <c r="VAY188" s="117"/>
      <c r="VAZ188" s="117"/>
      <c r="VBA188" s="117"/>
      <c r="VBB188" s="117"/>
      <c r="VBC188" s="117"/>
      <c r="VBD188" s="117"/>
      <c r="VBE188" s="117"/>
      <c r="VBF188" s="117"/>
      <c r="VBG188" s="117"/>
      <c r="VBH188" s="117"/>
      <c r="VBI188" s="117"/>
      <c r="VBJ188" s="117"/>
      <c r="VBK188" s="117"/>
      <c r="VBL188" s="117"/>
      <c r="VBM188" s="117"/>
      <c r="VBN188" s="117"/>
      <c r="VBO188" s="117"/>
      <c r="VBP188" s="117"/>
      <c r="VBQ188" s="117"/>
      <c r="VBR188" s="117"/>
      <c r="VBS188" s="117"/>
      <c r="VBT188" s="117"/>
      <c r="VBU188" s="117"/>
      <c r="VBV188" s="117"/>
      <c r="VBW188" s="117"/>
      <c r="VBX188" s="117"/>
      <c r="VBY188" s="117"/>
      <c r="VBZ188" s="117"/>
      <c r="VCA188" s="117"/>
      <c r="VCB188" s="117"/>
      <c r="VCC188" s="117"/>
      <c r="VCD188" s="117"/>
      <c r="VCE188" s="117"/>
      <c r="VCF188" s="117"/>
      <c r="VCG188" s="117"/>
      <c r="VCH188" s="117"/>
      <c r="VCI188" s="117"/>
      <c r="VCJ188" s="117"/>
      <c r="VCK188" s="117"/>
      <c r="VCL188" s="117"/>
      <c r="VCM188" s="117"/>
      <c r="VCN188" s="117"/>
      <c r="VCO188" s="117"/>
      <c r="VCP188" s="117"/>
      <c r="VCQ188" s="117"/>
      <c r="VCR188" s="117"/>
      <c r="VCS188" s="117"/>
      <c r="VCT188" s="117"/>
      <c r="VCU188" s="117"/>
      <c r="VCV188" s="117"/>
      <c r="VCW188" s="117"/>
      <c r="VCX188" s="117"/>
      <c r="VCY188" s="117"/>
      <c r="VCZ188" s="117"/>
      <c r="VDA188" s="117"/>
      <c r="VDB188" s="117"/>
      <c r="VDC188" s="117"/>
      <c r="VDD188" s="117"/>
      <c r="VDE188" s="117"/>
      <c r="VDF188" s="117"/>
      <c r="VDG188" s="117"/>
      <c r="VDH188" s="117"/>
      <c r="VDI188" s="117"/>
      <c r="VDJ188" s="117"/>
      <c r="VDK188" s="117"/>
      <c r="VDL188" s="117"/>
      <c r="VDM188" s="117"/>
      <c r="VDN188" s="117"/>
      <c r="VDO188" s="117"/>
      <c r="VDP188" s="117"/>
      <c r="VDQ188" s="117"/>
      <c r="VDR188" s="117"/>
      <c r="VDS188" s="117"/>
      <c r="VDT188" s="117"/>
      <c r="VDU188" s="117"/>
      <c r="VDV188" s="117"/>
      <c r="VDW188" s="117"/>
      <c r="VDX188" s="117"/>
      <c r="VDY188" s="117"/>
      <c r="VDZ188" s="117"/>
      <c r="VEA188" s="117"/>
      <c r="VEB188" s="117"/>
      <c r="VEC188" s="117"/>
      <c r="VED188" s="117"/>
      <c r="VEE188" s="117"/>
      <c r="VEF188" s="117"/>
      <c r="VEG188" s="117"/>
      <c r="VEH188" s="117"/>
      <c r="VEI188" s="117"/>
      <c r="VEJ188" s="117"/>
      <c r="VEK188" s="117"/>
      <c r="VEL188" s="117"/>
      <c r="VEM188" s="117"/>
      <c r="VEN188" s="117"/>
      <c r="VEO188" s="117"/>
      <c r="VEP188" s="117"/>
      <c r="VEQ188" s="117"/>
      <c r="VER188" s="117"/>
      <c r="VES188" s="117"/>
      <c r="VET188" s="117"/>
      <c r="VEU188" s="117"/>
      <c r="VEV188" s="117"/>
      <c r="VEW188" s="117"/>
      <c r="VEX188" s="117"/>
      <c r="VEY188" s="117"/>
      <c r="VEZ188" s="117"/>
      <c r="VFA188" s="117"/>
      <c r="VFB188" s="117"/>
      <c r="VFC188" s="117"/>
      <c r="VFD188" s="117"/>
      <c r="VFE188" s="117"/>
      <c r="VFF188" s="117"/>
      <c r="VFG188" s="117"/>
      <c r="VFH188" s="117"/>
      <c r="VFI188" s="117"/>
      <c r="VFJ188" s="117"/>
      <c r="VFK188" s="117"/>
      <c r="VFL188" s="117"/>
      <c r="VFM188" s="117"/>
      <c r="VFN188" s="117"/>
      <c r="VFO188" s="117"/>
      <c r="VFP188" s="117"/>
      <c r="VFQ188" s="117"/>
      <c r="VFR188" s="117"/>
      <c r="VFS188" s="117"/>
      <c r="VFT188" s="117"/>
      <c r="VFU188" s="117"/>
      <c r="VFV188" s="117"/>
      <c r="VFW188" s="117"/>
      <c r="VFX188" s="117"/>
      <c r="VFY188" s="117"/>
      <c r="VFZ188" s="117"/>
      <c r="VGA188" s="117"/>
      <c r="VGB188" s="117"/>
      <c r="VGC188" s="117"/>
      <c r="VGD188" s="117"/>
      <c r="VGE188" s="117"/>
      <c r="VGF188" s="117"/>
      <c r="VGG188" s="117"/>
      <c r="VGH188" s="117"/>
      <c r="VGI188" s="117"/>
      <c r="VGJ188" s="117"/>
      <c r="VGK188" s="117"/>
      <c r="VGL188" s="117"/>
      <c r="VGM188" s="117"/>
      <c r="VGN188" s="117"/>
      <c r="VGO188" s="117"/>
      <c r="VGP188" s="117"/>
      <c r="VGQ188" s="117"/>
      <c r="VGR188" s="117"/>
      <c r="VGS188" s="117"/>
      <c r="VGT188" s="117"/>
      <c r="VGU188" s="117"/>
      <c r="VGV188" s="117"/>
      <c r="VGW188" s="117"/>
      <c r="VGX188" s="117"/>
      <c r="VGY188" s="117"/>
      <c r="VGZ188" s="117"/>
      <c r="VHA188" s="117"/>
      <c r="VHB188" s="117"/>
      <c r="VHC188" s="117"/>
      <c r="VHD188" s="117"/>
      <c r="VHE188" s="117"/>
      <c r="VHF188" s="117"/>
      <c r="VHG188" s="117"/>
      <c r="VHH188" s="117"/>
      <c r="VHI188" s="117"/>
      <c r="VHJ188" s="117"/>
      <c r="VHK188" s="117"/>
      <c r="VHL188" s="117"/>
      <c r="VHM188" s="117"/>
      <c r="VHN188" s="117"/>
      <c r="VHO188" s="117"/>
      <c r="VHP188" s="117"/>
      <c r="VHQ188" s="117"/>
      <c r="VHR188" s="117"/>
      <c r="VHS188" s="117"/>
      <c r="VHT188" s="117"/>
      <c r="VHU188" s="117"/>
      <c r="VHV188" s="117"/>
      <c r="VHW188" s="117"/>
      <c r="VHX188" s="117"/>
      <c r="VHY188" s="117"/>
      <c r="VHZ188" s="117"/>
      <c r="VIA188" s="117"/>
      <c r="VIB188" s="117"/>
      <c r="VIC188" s="117"/>
      <c r="VID188" s="117"/>
      <c r="VIE188" s="117"/>
      <c r="VIF188" s="117"/>
      <c r="VIG188" s="117"/>
      <c r="VIH188" s="117"/>
      <c r="VII188" s="117"/>
      <c r="VIJ188" s="117"/>
      <c r="VIK188" s="117"/>
      <c r="VIL188" s="117"/>
      <c r="VIM188" s="117"/>
      <c r="VIN188" s="117"/>
      <c r="VIO188" s="117"/>
      <c r="VIP188" s="117"/>
      <c r="VIQ188" s="117"/>
      <c r="VIR188" s="117"/>
      <c r="VIS188" s="117"/>
      <c r="VIT188" s="117"/>
      <c r="VIU188" s="117"/>
      <c r="VIV188" s="117"/>
      <c r="VIW188" s="117"/>
      <c r="VIX188" s="117"/>
      <c r="VIY188" s="117"/>
      <c r="VIZ188" s="117"/>
      <c r="VJA188" s="117"/>
      <c r="VJB188" s="117"/>
      <c r="VJC188" s="117"/>
      <c r="VJD188" s="117"/>
      <c r="VJE188" s="117"/>
      <c r="VJF188" s="117"/>
      <c r="VJG188" s="117"/>
      <c r="VJH188" s="117"/>
      <c r="VJI188" s="117"/>
      <c r="VJJ188" s="117"/>
      <c r="VJK188" s="117"/>
      <c r="VJL188" s="117"/>
      <c r="VJM188" s="117"/>
      <c r="VJN188" s="117"/>
      <c r="VJO188" s="117"/>
      <c r="VJP188" s="117"/>
      <c r="VJQ188" s="117"/>
      <c r="VJR188" s="117"/>
      <c r="VJS188" s="117"/>
      <c r="VJT188" s="117"/>
      <c r="VJU188" s="117"/>
      <c r="VJV188" s="117"/>
      <c r="VJW188" s="117"/>
      <c r="VJX188" s="117"/>
      <c r="VJY188" s="117"/>
      <c r="VJZ188" s="117"/>
      <c r="VKA188" s="117"/>
      <c r="VKB188" s="117"/>
      <c r="VKC188" s="117"/>
      <c r="VKD188" s="117"/>
      <c r="VKE188" s="117"/>
      <c r="VKF188" s="117"/>
      <c r="VKG188" s="117"/>
      <c r="VKH188" s="117"/>
      <c r="VKI188" s="117"/>
      <c r="VKJ188" s="117"/>
      <c r="VKK188" s="117"/>
      <c r="VKL188" s="117"/>
      <c r="VKM188" s="117"/>
      <c r="VKN188" s="117"/>
      <c r="VKO188" s="117"/>
      <c r="VKP188" s="117"/>
      <c r="VKQ188" s="117"/>
      <c r="VKR188" s="117"/>
      <c r="VKS188" s="117"/>
      <c r="VKT188" s="117"/>
      <c r="VKU188" s="117"/>
      <c r="VKV188" s="117"/>
      <c r="VKW188" s="117"/>
      <c r="VKX188" s="117"/>
      <c r="VKY188" s="117"/>
      <c r="VKZ188" s="117"/>
      <c r="VLA188" s="117"/>
      <c r="VLB188" s="117"/>
      <c r="VLC188" s="117"/>
      <c r="VLD188" s="117"/>
      <c r="VLE188" s="117"/>
      <c r="VLF188" s="117"/>
      <c r="VLG188" s="117"/>
      <c r="VLH188" s="117"/>
      <c r="VLI188" s="117"/>
      <c r="VLJ188" s="117"/>
      <c r="VLK188" s="117"/>
      <c r="VLL188" s="117"/>
      <c r="VLM188" s="117"/>
      <c r="VLN188" s="117"/>
      <c r="VLO188" s="117"/>
      <c r="VLP188" s="117"/>
      <c r="VLQ188" s="117"/>
      <c r="VLR188" s="117"/>
      <c r="VLS188" s="117"/>
      <c r="VLT188" s="117"/>
      <c r="VLU188" s="117"/>
      <c r="VLV188" s="117"/>
      <c r="VLW188" s="117"/>
      <c r="VLX188" s="117"/>
      <c r="VLY188" s="117"/>
      <c r="VLZ188" s="117"/>
      <c r="VMA188" s="117"/>
      <c r="VMB188" s="117"/>
      <c r="VMC188" s="117"/>
      <c r="VMD188" s="117"/>
      <c r="VME188" s="117"/>
      <c r="VMF188" s="117"/>
      <c r="VMG188" s="117"/>
      <c r="VMH188" s="117"/>
      <c r="VMI188" s="117"/>
      <c r="VMJ188" s="117"/>
      <c r="VMK188" s="117"/>
      <c r="VML188" s="117"/>
      <c r="VMM188" s="117"/>
      <c r="VMN188" s="117"/>
      <c r="VMO188" s="117"/>
      <c r="VMP188" s="117"/>
      <c r="VMQ188" s="117"/>
      <c r="VMR188" s="117"/>
      <c r="VMS188" s="117"/>
      <c r="VMT188" s="117"/>
      <c r="VMU188" s="117"/>
      <c r="VMV188" s="117"/>
      <c r="VMW188" s="117"/>
      <c r="VMX188" s="117"/>
      <c r="VMY188" s="117"/>
      <c r="VMZ188" s="117"/>
      <c r="VNA188" s="117"/>
      <c r="VNB188" s="117"/>
      <c r="VNC188" s="117"/>
      <c r="VND188" s="117"/>
      <c r="VNE188" s="117"/>
      <c r="VNF188" s="117"/>
      <c r="VNG188" s="117"/>
      <c r="VNH188" s="117"/>
      <c r="VNI188" s="117"/>
      <c r="VNJ188" s="117"/>
      <c r="VNK188" s="117"/>
      <c r="VNL188" s="117"/>
      <c r="VNM188" s="117"/>
      <c r="VNN188" s="117"/>
      <c r="VNO188" s="117"/>
      <c r="VNP188" s="117"/>
      <c r="VNQ188" s="117"/>
      <c r="VNR188" s="117"/>
      <c r="VNS188" s="117"/>
      <c r="VNT188" s="117"/>
      <c r="VNU188" s="117"/>
      <c r="VNV188" s="117"/>
      <c r="VNW188" s="117"/>
      <c r="VNX188" s="117"/>
      <c r="VNY188" s="117"/>
      <c r="VNZ188" s="117"/>
      <c r="VOA188" s="117"/>
      <c r="VOB188" s="117"/>
      <c r="VOC188" s="117"/>
      <c r="VOD188" s="117"/>
      <c r="VOE188" s="117"/>
      <c r="VOF188" s="117"/>
      <c r="VOG188" s="117"/>
      <c r="VOH188" s="117"/>
      <c r="VOI188" s="117"/>
      <c r="VOJ188" s="117"/>
      <c r="VOK188" s="117"/>
      <c r="VOL188" s="117"/>
      <c r="VOM188" s="117"/>
      <c r="VON188" s="117"/>
      <c r="VOO188" s="117"/>
      <c r="VOP188" s="117"/>
      <c r="VOQ188" s="117"/>
      <c r="VOR188" s="117"/>
      <c r="VOS188" s="117"/>
      <c r="VOT188" s="117"/>
      <c r="VOU188" s="117"/>
      <c r="VOV188" s="117"/>
      <c r="VOW188" s="117"/>
      <c r="VOX188" s="117"/>
      <c r="VOY188" s="117"/>
      <c r="VOZ188" s="117"/>
      <c r="VPA188" s="117"/>
      <c r="VPB188" s="117"/>
      <c r="VPC188" s="117"/>
      <c r="VPD188" s="117"/>
      <c r="VPE188" s="117"/>
      <c r="VPF188" s="117"/>
      <c r="VPG188" s="117"/>
      <c r="VPH188" s="117"/>
      <c r="VPI188" s="117"/>
      <c r="VPJ188" s="117"/>
      <c r="VPK188" s="117"/>
      <c r="VPL188" s="117"/>
      <c r="VPM188" s="117"/>
      <c r="VPN188" s="117"/>
      <c r="VPO188" s="117"/>
      <c r="VPP188" s="117"/>
      <c r="VPQ188" s="117"/>
      <c r="VPR188" s="117"/>
      <c r="VPS188" s="117"/>
      <c r="VPT188" s="117"/>
      <c r="VPU188" s="117"/>
      <c r="VPV188" s="117"/>
      <c r="VPW188" s="117"/>
      <c r="VPX188" s="117"/>
      <c r="VPY188" s="117"/>
      <c r="VPZ188" s="117"/>
      <c r="VQA188" s="117"/>
      <c r="VQB188" s="117"/>
      <c r="VQC188" s="117"/>
      <c r="VQD188" s="117"/>
      <c r="VQE188" s="117"/>
      <c r="VQF188" s="117"/>
      <c r="VQG188" s="117"/>
      <c r="VQH188" s="117"/>
      <c r="VQI188" s="117"/>
      <c r="VQJ188" s="117"/>
      <c r="VQK188" s="117"/>
      <c r="VQL188" s="117"/>
      <c r="VQM188" s="117"/>
      <c r="VQN188" s="117"/>
      <c r="VQO188" s="117"/>
      <c r="VQP188" s="117"/>
      <c r="VQQ188" s="117"/>
      <c r="VQR188" s="117"/>
      <c r="VQS188" s="117"/>
      <c r="VQT188" s="117"/>
      <c r="VQU188" s="117"/>
      <c r="VQV188" s="117"/>
      <c r="VQW188" s="117"/>
      <c r="VQX188" s="117"/>
      <c r="VQY188" s="117"/>
      <c r="VQZ188" s="117"/>
      <c r="VRA188" s="117"/>
      <c r="VRB188" s="117"/>
      <c r="VRC188" s="117"/>
      <c r="VRD188" s="117"/>
      <c r="VRE188" s="117"/>
      <c r="VRF188" s="117"/>
      <c r="VRG188" s="117"/>
      <c r="VRH188" s="117"/>
      <c r="VRI188" s="117"/>
      <c r="VRJ188" s="117"/>
      <c r="VRK188" s="117"/>
      <c r="VRL188" s="117"/>
      <c r="VRM188" s="117"/>
      <c r="VRN188" s="117"/>
      <c r="VRO188" s="117"/>
      <c r="VRP188" s="117"/>
      <c r="VRQ188" s="117"/>
      <c r="VRR188" s="117"/>
      <c r="VRS188" s="117"/>
      <c r="VRT188" s="117"/>
      <c r="VRU188" s="117"/>
      <c r="VRV188" s="117"/>
      <c r="VRW188" s="117"/>
      <c r="VRX188" s="117"/>
      <c r="VRY188" s="117"/>
      <c r="VRZ188" s="117"/>
      <c r="VSA188" s="117"/>
      <c r="VSB188" s="117"/>
      <c r="VSC188" s="117"/>
      <c r="VSD188" s="117"/>
      <c r="VSE188" s="117"/>
      <c r="VSF188" s="117"/>
      <c r="VSG188" s="117"/>
      <c r="VSH188" s="117"/>
      <c r="VSI188" s="117"/>
      <c r="VSJ188" s="117"/>
      <c r="VSK188" s="117"/>
      <c r="VSL188" s="117"/>
      <c r="VSM188" s="117"/>
      <c r="VSN188" s="117"/>
      <c r="VSO188" s="117"/>
      <c r="VSP188" s="117"/>
      <c r="VSQ188" s="117"/>
      <c r="VSR188" s="117"/>
      <c r="VSS188" s="117"/>
      <c r="VST188" s="117"/>
      <c r="VSU188" s="117"/>
      <c r="VSV188" s="117"/>
      <c r="VSW188" s="117"/>
      <c r="VSX188" s="117"/>
      <c r="VSY188" s="117"/>
      <c r="VSZ188" s="117"/>
      <c r="VTA188" s="117"/>
      <c r="VTB188" s="117"/>
      <c r="VTC188" s="117"/>
      <c r="VTD188" s="117"/>
      <c r="VTE188" s="117"/>
      <c r="VTF188" s="117"/>
      <c r="VTG188" s="117"/>
      <c r="VTH188" s="117"/>
      <c r="VTI188" s="117"/>
      <c r="VTJ188" s="117"/>
      <c r="VTK188" s="117"/>
      <c r="VTL188" s="117"/>
      <c r="VTM188" s="117"/>
      <c r="VTN188" s="117"/>
      <c r="VTO188" s="117"/>
      <c r="VTP188" s="117"/>
      <c r="VTQ188" s="117"/>
      <c r="VTR188" s="117"/>
      <c r="VTS188" s="117"/>
      <c r="VTT188" s="117"/>
      <c r="VTU188" s="117"/>
      <c r="VTV188" s="117"/>
      <c r="VTW188" s="117"/>
      <c r="VTX188" s="117"/>
      <c r="VTY188" s="117"/>
      <c r="VTZ188" s="117"/>
      <c r="VUA188" s="117"/>
      <c r="VUB188" s="117"/>
      <c r="VUC188" s="117"/>
      <c r="VUD188" s="117"/>
      <c r="VUE188" s="117"/>
      <c r="VUF188" s="117"/>
      <c r="VUG188" s="117"/>
      <c r="VUH188" s="117"/>
      <c r="VUI188" s="117"/>
      <c r="VUJ188" s="117"/>
      <c r="VUK188" s="117"/>
      <c r="VUL188" s="117"/>
      <c r="VUM188" s="117"/>
      <c r="VUN188" s="117"/>
      <c r="VUO188" s="117"/>
      <c r="VUP188" s="117"/>
      <c r="VUQ188" s="117"/>
      <c r="VUR188" s="117"/>
      <c r="VUS188" s="117"/>
      <c r="VUT188" s="117"/>
      <c r="VUU188" s="117"/>
      <c r="VUV188" s="117"/>
      <c r="VUW188" s="117"/>
      <c r="VUX188" s="117"/>
      <c r="VUY188" s="117"/>
      <c r="VUZ188" s="117"/>
      <c r="VVA188" s="117"/>
      <c r="VVB188" s="117"/>
      <c r="VVC188" s="117"/>
      <c r="VVD188" s="117"/>
      <c r="VVE188" s="117"/>
      <c r="VVF188" s="117"/>
      <c r="VVG188" s="117"/>
      <c r="VVH188" s="117"/>
      <c r="VVI188" s="117"/>
      <c r="VVJ188" s="117"/>
      <c r="VVK188" s="117"/>
      <c r="VVL188" s="117"/>
      <c r="VVM188" s="117"/>
      <c r="VVN188" s="117"/>
      <c r="VVO188" s="117"/>
      <c r="VVP188" s="117"/>
      <c r="VVQ188" s="117"/>
      <c r="VVR188" s="117"/>
      <c r="VVS188" s="117"/>
      <c r="VVT188" s="117"/>
      <c r="VVU188" s="117"/>
      <c r="VVV188" s="117"/>
      <c r="VVW188" s="117"/>
      <c r="VVX188" s="117"/>
      <c r="VVY188" s="117"/>
      <c r="VVZ188" s="117"/>
      <c r="VWA188" s="117"/>
      <c r="VWB188" s="117"/>
      <c r="VWC188" s="117"/>
      <c r="VWD188" s="117"/>
      <c r="VWE188" s="117"/>
      <c r="VWF188" s="117"/>
      <c r="VWG188" s="117"/>
      <c r="VWH188" s="117"/>
      <c r="VWI188" s="117"/>
      <c r="VWJ188" s="117"/>
      <c r="VWK188" s="117"/>
      <c r="VWL188" s="117"/>
      <c r="VWM188" s="117"/>
      <c r="VWN188" s="117"/>
      <c r="VWO188" s="117"/>
      <c r="VWP188" s="117"/>
      <c r="VWQ188" s="117"/>
      <c r="VWR188" s="117"/>
      <c r="VWS188" s="117"/>
      <c r="VWT188" s="117"/>
      <c r="VWU188" s="117"/>
      <c r="VWV188" s="117"/>
      <c r="VWW188" s="117"/>
      <c r="VWX188" s="117"/>
      <c r="VWY188" s="117"/>
      <c r="VWZ188" s="117"/>
      <c r="VXA188" s="117"/>
      <c r="VXB188" s="117"/>
      <c r="VXC188" s="117"/>
      <c r="VXD188" s="117"/>
      <c r="VXE188" s="117"/>
      <c r="VXF188" s="117"/>
      <c r="VXG188" s="117"/>
      <c r="VXH188" s="117"/>
      <c r="VXI188" s="117"/>
      <c r="VXJ188" s="117"/>
      <c r="VXK188" s="117"/>
      <c r="VXL188" s="117"/>
      <c r="VXM188" s="117"/>
      <c r="VXN188" s="117"/>
      <c r="VXO188" s="117"/>
      <c r="VXP188" s="117"/>
      <c r="VXQ188" s="117"/>
      <c r="VXR188" s="117"/>
      <c r="VXS188" s="117"/>
      <c r="VXT188" s="117"/>
      <c r="VXU188" s="117"/>
      <c r="VXV188" s="117"/>
      <c r="VXW188" s="117"/>
      <c r="VXX188" s="117"/>
      <c r="VXY188" s="117"/>
      <c r="VXZ188" s="117"/>
      <c r="VYA188" s="117"/>
      <c r="VYB188" s="117"/>
      <c r="VYC188" s="117"/>
      <c r="VYD188" s="117"/>
      <c r="VYE188" s="117"/>
      <c r="VYF188" s="117"/>
      <c r="VYG188" s="117"/>
      <c r="VYH188" s="117"/>
      <c r="VYI188" s="117"/>
      <c r="VYJ188" s="117"/>
      <c r="VYK188" s="117"/>
      <c r="VYL188" s="117"/>
      <c r="VYM188" s="117"/>
      <c r="VYN188" s="117"/>
      <c r="VYO188" s="117"/>
      <c r="VYP188" s="117"/>
      <c r="VYQ188" s="117"/>
      <c r="VYR188" s="117"/>
      <c r="VYS188" s="117"/>
      <c r="VYT188" s="117"/>
      <c r="VYU188" s="117"/>
      <c r="VYV188" s="117"/>
      <c r="VYW188" s="117"/>
      <c r="VYX188" s="117"/>
      <c r="VYY188" s="117"/>
      <c r="VYZ188" s="117"/>
      <c r="VZA188" s="117"/>
      <c r="VZB188" s="117"/>
      <c r="VZC188" s="117"/>
      <c r="VZD188" s="117"/>
      <c r="VZE188" s="117"/>
      <c r="VZF188" s="117"/>
      <c r="VZG188" s="117"/>
      <c r="VZH188" s="117"/>
      <c r="VZI188" s="117"/>
      <c r="VZJ188" s="117"/>
      <c r="VZK188" s="117"/>
      <c r="VZL188" s="117"/>
      <c r="VZM188" s="117"/>
      <c r="VZN188" s="117"/>
      <c r="VZO188" s="117"/>
      <c r="VZP188" s="117"/>
      <c r="VZQ188" s="117"/>
      <c r="VZR188" s="117"/>
      <c r="VZS188" s="117"/>
      <c r="VZT188" s="117"/>
      <c r="VZU188" s="117"/>
      <c r="VZV188" s="117"/>
      <c r="VZW188" s="117"/>
      <c r="VZX188" s="117"/>
      <c r="VZY188" s="117"/>
      <c r="VZZ188" s="117"/>
      <c r="WAA188" s="117"/>
      <c r="WAB188" s="117"/>
      <c r="WAC188" s="117"/>
      <c r="WAD188" s="117"/>
      <c r="WAE188" s="117"/>
      <c r="WAF188" s="117"/>
      <c r="WAG188" s="117"/>
      <c r="WAH188" s="117"/>
      <c r="WAI188" s="117"/>
      <c r="WAJ188" s="117"/>
      <c r="WAK188" s="117"/>
      <c r="WAL188" s="117"/>
      <c r="WAM188" s="117"/>
      <c r="WAN188" s="117"/>
      <c r="WAO188" s="117"/>
      <c r="WAP188" s="117"/>
      <c r="WAQ188" s="117"/>
      <c r="WAR188" s="117"/>
      <c r="WAS188" s="117"/>
      <c r="WAT188" s="117"/>
      <c r="WAU188" s="117"/>
      <c r="WAV188" s="117"/>
      <c r="WAW188" s="117"/>
      <c r="WAX188" s="117"/>
      <c r="WAY188" s="117"/>
      <c r="WAZ188" s="117"/>
      <c r="WBA188" s="117"/>
      <c r="WBB188" s="117"/>
      <c r="WBC188" s="117"/>
      <c r="WBD188" s="117"/>
      <c r="WBE188" s="117"/>
      <c r="WBF188" s="117"/>
      <c r="WBG188" s="117"/>
      <c r="WBH188" s="117"/>
      <c r="WBI188" s="117"/>
      <c r="WBJ188" s="117"/>
      <c r="WBK188" s="117"/>
      <c r="WBL188" s="117"/>
      <c r="WBM188" s="117"/>
      <c r="WBN188" s="117"/>
      <c r="WBO188" s="117"/>
      <c r="WBP188" s="117"/>
      <c r="WBQ188" s="117"/>
      <c r="WBR188" s="117"/>
      <c r="WBS188" s="117"/>
      <c r="WBT188" s="117"/>
      <c r="WBU188" s="117"/>
      <c r="WBV188" s="117"/>
      <c r="WBW188" s="117"/>
      <c r="WBX188" s="117"/>
      <c r="WBY188" s="117"/>
      <c r="WBZ188" s="117"/>
      <c r="WCA188" s="117"/>
      <c r="WCB188" s="117"/>
      <c r="WCC188" s="117"/>
      <c r="WCD188" s="117"/>
      <c r="WCE188" s="117"/>
      <c r="WCF188" s="117"/>
      <c r="WCG188" s="117"/>
      <c r="WCH188" s="117"/>
      <c r="WCI188" s="117"/>
      <c r="WCJ188" s="117"/>
      <c r="WCK188" s="117"/>
      <c r="WCL188" s="117"/>
      <c r="WCM188" s="117"/>
      <c r="WCN188" s="117"/>
      <c r="WCO188" s="117"/>
      <c r="WCP188" s="117"/>
      <c r="WCQ188" s="117"/>
      <c r="WCR188" s="117"/>
      <c r="WCS188" s="117"/>
      <c r="WCT188" s="117"/>
      <c r="WCU188" s="117"/>
      <c r="WCV188" s="117"/>
      <c r="WCW188" s="117"/>
      <c r="WCX188" s="117"/>
      <c r="WCY188" s="117"/>
      <c r="WCZ188" s="117"/>
      <c r="WDA188" s="117"/>
      <c r="WDB188" s="117"/>
      <c r="WDC188" s="117"/>
      <c r="WDD188" s="117"/>
      <c r="WDE188" s="117"/>
      <c r="WDF188" s="117"/>
      <c r="WDG188" s="117"/>
      <c r="WDH188" s="117"/>
      <c r="WDI188" s="117"/>
      <c r="WDJ188" s="117"/>
      <c r="WDK188" s="117"/>
      <c r="WDL188" s="117"/>
      <c r="WDM188" s="117"/>
      <c r="WDN188" s="117"/>
      <c r="WDO188" s="117"/>
      <c r="WDP188" s="117"/>
      <c r="WDQ188" s="117"/>
      <c r="WDR188" s="117"/>
      <c r="WDS188" s="117"/>
      <c r="WDT188" s="117"/>
      <c r="WDU188" s="117"/>
      <c r="WDV188" s="117"/>
      <c r="WDW188" s="117"/>
      <c r="WDX188" s="117"/>
      <c r="WDY188" s="117"/>
      <c r="WDZ188" s="117"/>
      <c r="WEA188" s="117"/>
      <c r="WEB188" s="117"/>
      <c r="WEC188" s="117"/>
      <c r="WED188" s="117"/>
      <c r="WEE188" s="117"/>
      <c r="WEF188" s="117"/>
      <c r="WEG188" s="117"/>
      <c r="WEH188" s="117"/>
      <c r="WEI188" s="117"/>
      <c r="WEJ188" s="117"/>
      <c r="WEK188" s="117"/>
      <c r="WEL188" s="117"/>
      <c r="WEM188" s="117"/>
      <c r="WEN188" s="117"/>
      <c r="WEO188" s="117"/>
      <c r="WEP188" s="117"/>
      <c r="WEQ188" s="117"/>
      <c r="WER188" s="117"/>
      <c r="WES188" s="117"/>
      <c r="WET188" s="117"/>
      <c r="WEU188" s="117"/>
      <c r="WEV188" s="117"/>
      <c r="WEW188" s="117"/>
      <c r="WEX188" s="117"/>
      <c r="WEY188" s="117"/>
      <c r="WEZ188" s="117"/>
      <c r="WFA188" s="117"/>
      <c r="WFB188" s="117"/>
      <c r="WFC188" s="117"/>
      <c r="WFD188" s="117"/>
      <c r="WFE188" s="117"/>
      <c r="WFF188" s="117"/>
      <c r="WFG188" s="117"/>
      <c r="WFH188" s="117"/>
      <c r="WFI188" s="117"/>
      <c r="WFJ188" s="117"/>
      <c r="WFK188" s="117"/>
      <c r="WFL188" s="117"/>
      <c r="WFM188" s="117"/>
      <c r="WFN188" s="117"/>
      <c r="WFO188" s="117"/>
      <c r="WFP188" s="117"/>
      <c r="WFQ188" s="117"/>
      <c r="WFR188" s="117"/>
      <c r="WFS188" s="117"/>
      <c r="WFT188" s="117"/>
      <c r="WFU188" s="117"/>
      <c r="WFV188" s="117"/>
      <c r="WFW188" s="117"/>
      <c r="WFX188" s="117"/>
      <c r="WFY188" s="117"/>
      <c r="WFZ188" s="117"/>
      <c r="WGA188" s="117"/>
      <c r="WGB188" s="117"/>
      <c r="WGC188" s="117"/>
      <c r="WGD188" s="117"/>
      <c r="WGE188" s="117"/>
      <c r="WGF188" s="117"/>
      <c r="WGG188" s="117"/>
      <c r="WGH188" s="117"/>
      <c r="WGI188" s="117"/>
      <c r="WGJ188" s="117"/>
      <c r="WGK188" s="117"/>
      <c r="WGL188" s="117"/>
      <c r="WGM188" s="117"/>
      <c r="WGN188" s="117"/>
      <c r="WGO188" s="117"/>
      <c r="WGP188" s="117"/>
      <c r="WGQ188" s="117"/>
      <c r="WGR188" s="117"/>
      <c r="WGS188" s="117"/>
      <c r="WGT188" s="117"/>
      <c r="WGU188" s="117"/>
      <c r="WGV188" s="117"/>
      <c r="WGW188" s="117"/>
      <c r="WGX188" s="117"/>
      <c r="WGY188" s="117"/>
      <c r="WGZ188" s="117"/>
      <c r="WHA188" s="117"/>
      <c r="WHB188" s="117"/>
      <c r="WHC188" s="117"/>
      <c r="WHD188" s="117"/>
      <c r="WHE188" s="117"/>
      <c r="WHF188" s="117"/>
      <c r="WHG188" s="117"/>
      <c r="WHH188" s="117"/>
      <c r="WHI188" s="117"/>
      <c r="WHJ188" s="117"/>
      <c r="WHK188" s="117"/>
      <c r="WHL188" s="117"/>
      <c r="WHM188" s="117"/>
      <c r="WHN188" s="117"/>
      <c r="WHO188" s="117"/>
      <c r="WHP188" s="117"/>
      <c r="WHQ188" s="117"/>
      <c r="WHR188" s="117"/>
      <c r="WHS188" s="117"/>
      <c r="WHT188" s="117"/>
      <c r="WHU188" s="117"/>
      <c r="WHV188" s="117"/>
      <c r="WHW188" s="117"/>
      <c r="WHX188" s="117"/>
      <c r="WHY188" s="117"/>
      <c r="WHZ188" s="117"/>
      <c r="WIA188" s="117"/>
      <c r="WIB188" s="117"/>
      <c r="WIC188" s="117"/>
      <c r="WID188" s="117"/>
      <c r="WIE188" s="117"/>
      <c r="WIF188" s="117"/>
      <c r="WIG188" s="117"/>
      <c r="WIH188" s="117"/>
      <c r="WII188" s="117"/>
      <c r="WIJ188" s="117"/>
      <c r="WIK188" s="117"/>
      <c r="WIL188" s="117"/>
      <c r="WIM188" s="117"/>
      <c r="WIN188" s="117"/>
      <c r="WIO188" s="117"/>
      <c r="WIP188" s="117"/>
      <c r="WIQ188" s="117"/>
      <c r="WIR188" s="117"/>
      <c r="WIS188" s="117"/>
      <c r="WIT188" s="117"/>
      <c r="WIU188" s="117"/>
      <c r="WIV188" s="117"/>
      <c r="WIW188" s="117"/>
      <c r="WIX188" s="117"/>
      <c r="WIY188" s="117"/>
      <c r="WIZ188" s="117"/>
      <c r="WJA188" s="117"/>
      <c r="WJB188" s="117"/>
      <c r="WJC188" s="117"/>
      <c r="WJD188" s="117"/>
      <c r="WJE188" s="117"/>
      <c r="WJF188" s="117"/>
      <c r="WJG188" s="117"/>
      <c r="WJH188" s="117"/>
      <c r="WJI188" s="117"/>
      <c r="WJJ188" s="117"/>
      <c r="WJK188" s="117"/>
      <c r="WJL188" s="117"/>
      <c r="WJM188" s="117"/>
      <c r="WJN188" s="117"/>
      <c r="WJO188" s="117"/>
      <c r="WJP188" s="117"/>
      <c r="WJQ188" s="117"/>
      <c r="WJR188" s="117"/>
      <c r="WJS188" s="117"/>
      <c r="WJT188" s="117"/>
      <c r="WJU188" s="117"/>
      <c r="WJV188" s="117"/>
      <c r="WJW188" s="117"/>
      <c r="WJX188" s="117"/>
      <c r="WJY188" s="117"/>
      <c r="WJZ188" s="117"/>
      <c r="WKA188" s="117"/>
      <c r="WKB188" s="117"/>
      <c r="WKC188" s="117"/>
      <c r="WKD188" s="117"/>
      <c r="WKE188" s="117"/>
      <c r="WKF188" s="117"/>
      <c r="WKG188" s="117"/>
      <c r="WKH188" s="117"/>
      <c r="WKI188" s="117"/>
      <c r="WKJ188" s="117"/>
      <c r="WKK188" s="117"/>
      <c r="WKL188" s="117"/>
      <c r="WKM188" s="117"/>
      <c r="WKN188" s="117"/>
      <c r="WKO188" s="117"/>
      <c r="WKP188" s="117"/>
      <c r="WKQ188" s="117"/>
      <c r="WKR188" s="117"/>
      <c r="WKS188" s="117"/>
      <c r="WKT188" s="117"/>
      <c r="WKU188" s="117"/>
      <c r="WKV188" s="117"/>
      <c r="WKW188" s="117"/>
      <c r="WKX188" s="117"/>
      <c r="WKY188" s="117"/>
      <c r="WKZ188" s="117"/>
      <c r="WLA188" s="117"/>
      <c r="WLB188" s="117"/>
      <c r="WLC188" s="117"/>
      <c r="WLD188" s="117"/>
      <c r="WLE188" s="117"/>
      <c r="WLF188" s="117"/>
      <c r="WLG188" s="117"/>
      <c r="WLH188" s="117"/>
      <c r="WLI188" s="117"/>
      <c r="WLJ188" s="117"/>
      <c r="WLK188" s="117"/>
      <c r="WLL188" s="117"/>
      <c r="WLM188" s="117"/>
      <c r="WLN188" s="117"/>
      <c r="WLO188" s="117"/>
      <c r="WLP188" s="117"/>
      <c r="WLQ188" s="117"/>
      <c r="WLR188" s="117"/>
      <c r="WLS188" s="117"/>
      <c r="WLT188" s="117"/>
      <c r="WLU188" s="117"/>
      <c r="WLV188" s="117"/>
      <c r="WLW188" s="117"/>
      <c r="WLX188" s="117"/>
      <c r="WLY188" s="117"/>
      <c r="WLZ188" s="117"/>
      <c r="WMA188" s="117"/>
      <c r="WMB188" s="117"/>
      <c r="WMC188" s="117"/>
      <c r="WMD188" s="117"/>
      <c r="WME188" s="117"/>
      <c r="WMF188" s="117"/>
      <c r="WMG188" s="117"/>
      <c r="WMH188" s="117"/>
      <c r="WMI188" s="117"/>
      <c r="WMJ188" s="117"/>
      <c r="WMK188" s="117"/>
      <c r="WML188" s="117"/>
      <c r="WMM188" s="117"/>
      <c r="WMN188" s="117"/>
      <c r="WMO188" s="117"/>
      <c r="WMP188" s="117"/>
      <c r="WMQ188" s="117"/>
      <c r="WMR188" s="117"/>
      <c r="WMS188" s="117"/>
      <c r="WMT188" s="117"/>
      <c r="WMU188" s="117"/>
      <c r="WMV188" s="117"/>
      <c r="WMW188" s="117"/>
      <c r="WMX188" s="117"/>
      <c r="WMY188" s="117"/>
      <c r="WMZ188" s="117"/>
      <c r="WNA188" s="117"/>
      <c r="WNB188" s="117"/>
      <c r="WNC188" s="117"/>
      <c r="WND188" s="117"/>
      <c r="WNE188" s="117"/>
      <c r="WNF188" s="117"/>
      <c r="WNG188" s="117"/>
      <c r="WNH188" s="117"/>
      <c r="WNI188" s="117"/>
      <c r="WNJ188" s="117"/>
      <c r="WNK188" s="117"/>
      <c r="WNL188" s="117"/>
      <c r="WNM188" s="117"/>
      <c r="WNN188" s="117"/>
      <c r="WNO188" s="117"/>
      <c r="WNP188" s="117"/>
      <c r="WNQ188" s="117"/>
      <c r="WNR188" s="117"/>
      <c r="WNS188" s="117"/>
      <c r="WNT188" s="117"/>
      <c r="WNU188" s="117"/>
      <c r="WNV188" s="117"/>
      <c r="WNW188" s="117"/>
      <c r="WNX188" s="117"/>
      <c r="WNY188" s="117"/>
      <c r="WNZ188" s="117"/>
      <c r="WOA188" s="117"/>
      <c r="WOB188" s="117"/>
      <c r="WOC188" s="117"/>
      <c r="WOD188" s="117"/>
      <c r="WOE188" s="117"/>
      <c r="WOF188" s="117"/>
      <c r="WOG188" s="117"/>
      <c r="WOH188" s="117"/>
      <c r="WOI188" s="117"/>
      <c r="WOJ188" s="117"/>
      <c r="WOK188" s="117"/>
      <c r="WOL188" s="117"/>
      <c r="WOM188" s="117"/>
      <c r="WON188" s="117"/>
      <c r="WOO188" s="117"/>
      <c r="WOP188" s="117"/>
      <c r="WOQ188" s="117"/>
      <c r="WOR188" s="117"/>
      <c r="WOS188" s="117"/>
      <c r="WOT188" s="117"/>
      <c r="WOU188" s="117"/>
      <c r="WOV188" s="117"/>
      <c r="WOW188" s="117"/>
      <c r="WOX188" s="117"/>
      <c r="WOY188" s="117"/>
      <c r="WOZ188" s="117"/>
      <c r="WPA188" s="117"/>
      <c r="WPB188" s="117"/>
      <c r="WPC188" s="117"/>
      <c r="WPD188" s="117"/>
      <c r="WPE188" s="117"/>
      <c r="WPF188" s="117"/>
      <c r="WPG188" s="117"/>
      <c r="WPH188" s="117"/>
      <c r="WPI188" s="117"/>
      <c r="WPJ188" s="117"/>
      <c r="WPK188" s="117"/>
      <c r="WPL188" s="117"/>
      <c r="WPM188" s="117"/>
      <c r="WPN188" s="117"/>
      <c r="WPO188" s="117"/>
      <c r="WPP188" s="117"/>
      <c r="WPQ188" s="117"/>
      <c r="WPR188" s="117"/>
      <c r="WPS188" s="117"/>
      <c r="WPT188" s="117"/>
      <c r="WPU188" s="117"/>
      <c r="WPV188" s="117"/>
      <c r="WPW188" s="117"/>
      <c r="WPX188" s="117"/>
      <c r="WPY188" s="117"/>
      <c r="WPZ188" s="117"/>
      <c r="WQA188" s="117"/>
      <c r="WQB188" s="117"/>
      <c r="WQC188" s="117"/>
      <c r="WQD188" s="117"/>
      <c r="WQE188" s="117"/>
      <c r="WQF188" s="117"/>
      <c r="WQG188" s="117"/>
      <c r="WQH188" s="117"/>
      <c r="WQI188" s="117"/>
      <c r="WQJ188" s="117"/>
      <c r="WQK188" s="117"/>
      <c r="WQL188" s="117"/>
      <c r="WQM188" s="117"/>
      <c r="WQN188" s="117"/>
      <c r="WQO188" s="117"/>
      <c r="WQP188" s="117"/>
      <c r="WQQ188" s="117"/>
      <c r="WQR188" s="117"/>
      <c r="WQS188" s="117"/>
      <c r="WQT188" s="117"/>
      <c r="WQU188" s="117"/>
      <c r="WQV188" s="117"/>
      <c r="WQW188" s="117"/>
      <c r="WQX188" s="117"/>
      <c r="WQY188" s="117"/>
      <c r="WQZ188" s="117"/>
      <c r="WRA188" s="117"/>
      <c r="WRB188" s="117"/>
      <c r="WRC188" s="117"/>
      <c r="WRD188" s="117"/>
      <c r="WRE188" s="117"/>
      <c r="WRF188" s="117"/>
      <c r="WRG188" s="117"/>
      <c r="WRH188" s="117"/>
      <c r="WRI188" s="117"/>
      <c r="WRJ188" s="117"/>
      <c r="WRK188" s="117"/>
      <c r="WRL188" s="117"/>
      <c r="WRM188" s="117"/>
      <c r="WRN188" s="117"/>
      <c r="WRO188" s="117"/>
      <c r="WRP188" s="117"/>
      <c r="WRQ188" s="117"/>
      <c r="WRR188" s="117"/>
      <c r="WRS188" s="117"/>
      <c r="WRT188" s="117"/>
      <c r="WRU188" s="117"/>
      <c r="WRV188" s="117"/>
      <c r="WRW188" s="117"/>
      <c r="WRX188" s="117"/>
      <c r="WRY188" s="117"/>
      <c r="WRZ188" s="117"/>
      <c r="WSA188" s="117"/>
      <c r="WSB188" s="117"/>
      <c r="WSC188" s="117"/>
      <c r="WSD188" s="117"/>
      <c r="WSE188" s="117"/>
      <c r="WSF188" s="117"/>
      <c r="WSG188" s="117"/>
      <c r="WSH188" s="117"/>
      <c r="WSI188" s="117"/>
      <c r="WSJ188" s="117"/>
      <c r="WSK188" s="117"/>
      <c r="WSL188" s="117"/>
      <c r="WSM188" s="117"/>
      <c r="WSN188" s="117"/>
      <c r="WSO188" s="117"/>
      <c r="WSP188" s="117"/>
      <c r="WSQ188" s="117"/>
      <c r="WSR188" s="117"/>
      <c r="WSS188" s="117"/>
      <c r="WST188" s="117"/>
      <c r="WSU188" s="117"/>
      <c r="WSV188" s="117"/>
      <c r="WSW188" s="117"/>
      <c r="WSX188" s="117"/>
      <c r="WSY188" s="117"/>
      <c r="WSZ188" s="117"/>
      <c r="WTA188" s="117"/>
      <c r="WTB188" s="117"/>
      <c r="WTC188" s="117"/>
      <c r="WTD188" s="117"/>
      <c r="WTE188" s="117"/>
      <c r="WTF188" s="117"/>
      <c r="WTG188" s="117"/>
      <c r="WTH188" s="117"/>
      <c r="WTI188" s="117"/>
      <c r="WTJ188" s="117"/>
      <c r="WTK188" s="117"/>
      <c r="WTL188" s="117"/>
      <c r="WTM188" s="117"/>
      <c r="WTN188" s="117"/>
      <c r="WTO188" s="117"/>
      <c r="WTP188" s="117"/>
      <c r="WTQ188" s="117"/>
      <c r="WTR188" s="117"/>
      <c r="WTS188" s="117"/>
      <c r="WTT188" s="117"/>
      <c r="WTU188" s="117"/>
      <c r="WTV188" s="117"/>
      <c r="WTW188" s="117"/>
      <c r="WTX188" s="117"/>
      <c r="WTY188" s="117"/>
      <c r="WTZ188" s="117"/>
      <c r="WUA188" s="117"/>
      <c r="WUB188" s="117"/>
      <c r="WUC188" s="117"/>
      <c r="WUD188" s="117"/>
      <c r="WUE188" s="117"/>
      <c r="WUF188" s="117"/>
      <c r="WUG188" s="117"/>
      <c r="WUH188" s="117"/>
      <c r="WUI188" s="117"/>
      <c r="WUJ188" s="117"/>
      <c r="WUK188" s="117"/>
      <c r="WUL188" s="117"/>
      <c r="WUM188" s="117"/>
      <c r="WUN188" s="117"/>
      <c r="WUO188" s="117"/>
      <c r="WUP188" s="117"/>
      <c r="WUQ188" s="117"/>
      <c r="WUR188" s="117"/>
      <c r="WUS188" s="117"/>
      <c r="WUT188" s="117"/>
      <c r="WUU188" s="117"/>
      <c r="WUV188" s="117"/>
      <c r="WUW188" s="117"/>
      <c r="WUX188" s="117"/>
      <c r="WUY188" s="117"/>
      <c r="WUZ188" s="117"/>
      <c r="WVA188" s="117"/>
      <c r="WVB188" s="117"/>
      <c r="WVC188" s="117"/>
      <c r="WVD188" s="117"/>
      <c r="WVE188" s="117"/>
      <c r="WVF188" s="117"/>
      <c r="WVG188" s="117"/>
      <c r="WVH188" s="117"/>
      <c r="WVI188" s="117"/>
      <c r="WVJ188" s="117"/>
      <c r="WVK188" s="117"/>
      <c r="WVL188" s="117"/>
      <c r="WVM188" s="117"/>
      <c r="WVN188" s="117"/>
      <c r="WVO188" s="117"/>
      <c r="WVP188" s="117"/>
      <c r="WVQ188" s="117"/>
      <c r="WVR188" s="117"/>
      <c r="WVS188" s="117"/>
      <c r="WVT188" s="117"/>
      <c r="WVU188" s="117"/>
      <c r="WVV188" s="117"/>
      <c r="WVW188" s="117"/>
      <c r="WVX188" s="117"/>
      <c r="WVY188" s="117"/>
      <c r="WVZ188" s="117"/>
      <c r="WWA188" s="117"/>
      <c r="WWB188" s="117"/>
      <c r="WWC188" s="117"/>
      <c r="WWD188" s="117"/>
      <c r="WWE188" s="117"/>
      <c r="WWF188" s="117"/>
      <c r="WWG188" s="117"/>
      <c r="WWH188" s="117"/>
      <c r="WWI188" s="117"/>
      <c r="WWJ188" s="117"/>
      <c r="WWK188" s="117"/>
      <c r="WWL188" s="117"/>
      <c r="WWM188" s="117"/>
      <c r="WWN188" s="117"/>
      <c r="WWO188" s="117"/>
      <c r="WWP188" s="117"/>
      <c r="WWQ188" s="117"/>
      <c r="WWR188" s="117"/>
      <c r="WWS188" s="117"/>
      <c r="WWT188" s="117"/>
      <c r="WWU188" s="117"/>
      <c r="WWV188" s="117"/>
      <c r="WWW188" s="117"/>
      <c r="WWX188" s="117"/>
      <c r="WWY188" s="117"/>
      <c r="WWZ188" s="117"/>
      <c r="WXA188" s="117"/>
      <c r="WXB188" s="117"/>
      <c r="WXC188" s="117"/>
      <c r="WXD188" s="117"/>
      <c r="WXE188" s="117"/>
      <c r="WXF188" s="117"/>
      <c r="WXG188" s="117"/>
      <c r="WXH188" s="117"/>
      <c r="WXI188" s="117"/>
      <c r="WXJ188" s="117"/>
      <c r="WXK188" s="117"/>
      <c r="WXL188" s="117"/>
      <c r="WXM188" s="117"/>
      <c r="WXN188" s="117"/>
      <c r="WXO188" s="117"/>
      <c r="WXP188" s="117"/>
      <c r="WXQ188" s="117"/>
      <c r="WXR188" s="117"/>
      <c r="WXS188" s="117"/>
      <c r="WXT188" s="117"/>
      <c r="WXU188" s="117"/>
      <c r="WXV188" s="117"/>
      <c r="WXW188" s="117"/>
      <c r="WXX188" s="117"/>
      <c r="WXY188" s="117"/>
      <c r="WXZ188" s="117"/>
      <c r="WYA188" s="117"/>
      <c r="WYB188" s="117"/>
      <c r="WYC188" s="117"/>
      <c r="WYD188" s="117"/>
      <c r="WYE188" s="117"/>
      <c r="WYF188" s="117"/>
      <c r="WYG188" s="117"/>
      <c r="WYH188" s="117"/>
      <c r="WYI188" s="117"/>
      <c r="WYJ188" s="117"/>
      <c r="WYK188" s="117"/>
      <c r="WYL188" s="117"/>
      <c r="WYM188" s="117"/>
      <c r="WYN188" s="117"/>
      <c r="WYO188" s="117"/>
      <c r="WYP188" s="117"/>
      <c r="WYQ188" s="117"/>
      <c r="WYR188" s="117"/>
      <c r="WYS188" s="117"/>
      <c r="WYT188" s="117"/>
      <c r="WYU188" s="117"/>
      <c r="WYV188" s="117"/>
      <c r="WYW188" s="117"/>
      <c r="WYX188" s="117"/>
      <c r="WYY188" s="117"/>
      <c r="WYZ188" s="117"/>
      <c r="WZA188" s="117"/>
      <c r="WZB188" s="117"/>
      <c r="WZC188" s="117"/>
      <c r="WZD188" s="117"/>
      <c r="WZE188" s="117"/>
      <c r="WZF188" s="117"/>
      <c r="WZG188" s="117"/>
      <c r="WZH188" s="117"/>
      <c r="WZI188" s="117"/>
      <c r="WZJ188" s="117"/>
      <c r="WZK188" s="117"/>
      <c r="WZL188" s="117"/>
      <c r="WZM188" s="117"/>
      <c r="WZN188" s="117"/>
      <c r="WZO188" s="117"/>
      <c r="WZP188" s="117"/>
      <c r="WZQ188" s="117"/>
      <c r="WZR188" s="117"/>
      <c r="WZS188" s="117"/>
      <c r="WZT188" s="117"/>
      <c r="WZU188" s="117"/>
      <c r="WZV188" s="117"/>
      <c r="WZW188" s="117"/>
      <c r="WZX188" s="117"/>
      <c r="WZY188" s="117"/>
      <c r="WZZ188" s="117"/>
      <c r="XAA188" s="117"/>
      <c r="XAB188" s="117"/>
      <c r="XAC188" s="117"/>
      <c r="XAD188" s="117"/>
      <c r="XAE188" s="117"/>
      <c r="XAF188" s="117"/>
      <c r="XAG188" s="117"/>
      <c r="XAH188" s="117"/>
      <c r="XAI188" s="117"/>
      <c r="XAJ188" s="117"/>
      <c r="XAK188" s="117"/>
      <c r="XAL188" s="117"/>
      <c r="XAM188" s="117"/>
      <c r="XAN188" s="117"/>
      <c r="XAO188" s="117"/>
      <c r="XAP188" s="117"/>
      <c r="XAQ188" s="117"/>
      <c r="XAR188" s="117"/>
      <c r="XAS188" s="117"/>
      <c r="XAT188" s="117"/>
      <c r="XAU188" s="117"/>
      <c r="XAV188" s="117"/>
      <c r="XAW188" s="117"/>
      <c r="XAX188" s="117"/>
      <c r="XAY188" s="117"/>
      <c r="XAZ188" s="117"/>
      <c r="XBA188" s="117"/>
      <c r="XBB188" s="117"/>
      <c r="XBC188" s="117"/>
      <c r="XBD188" s="117"/>
      <c r="XBE188" s="117"/>
      <c r="XBF188" s="117"/>
      <c r="XBG188" s="117"/>
      <c r="XBH188" s="117"/>
      <c r="XBI188" s="117"/>
      <c r="XBJ188" s="117"/>
      <c r="XBK188" s="117"/>
      <c r="XBL188" s="117"/>
      <c r="XBM188" s="117"/>
      <c r="XBN188" s="117"/>
      <c r="XBO188" s="117"/>
      <c r="XBP188" s="117"/>
      <c r="XBQ188" s="117"/>
      <c r="XBR188" s="117"/>
      <c r="XBS188" s="117"/>
      <c r="XBT188" s="117"/>
      <c r="XBU188" s="117"/>
      <c r="XBV188" s="117"/>
      <c r="XBW188" s="117"/>
      <c r="XBX188" s="117"/>
      <c r="XBY188" s="117"/>
      <c r="XBZ188" s="117"/>
      <c r="XCA188" s="117"/>
      <c r="XCB188" s="117"/>
      <c r="XCC188" s="117"/>
      <c r="XCD188" s="117"/>
      <c r="XCE188" s="117"/>
      <c r="XCF188" s="117"/>
      <c r="XCG188" s="117"/>
      <c r="XCH188" s="117"/>
      <c r="XCI188" s="117"/>
      <c r="XCJ188" s="117"/>
      <c r="XCK188" s="117"/>
      <c r="XCL188" s="117"/>
      <c r="XCM188" s="117"/>
      <c r="XCN188" s="117"/>
      <c r="XCO188" s="117"/>
      <c r="XCP188" s="117"/>
      <c r="XCQ188" s="117"/>
      <c r="XCR188" s="117"/>
      <c r="XCS188" s="117"/>
      <c r="XCT188" s="117"/>
      <c r="XCU188" s="117"/>
      <c r="XCV188" s="117"/>
      <c r="XCW188" s="117"/>
      <c r="XCX188" s="117"/>
      <c r="XCY188" s="117"/>
      <c r="XCZ188" s="117"/>
      <c r="XDA188" s="117"/>
      <c r="XDB188" s="117"/>
      <c r="XDC188" s="117"/>
      <c r="XDD188" s="117"/>
      <c r="XDE188" s="117"/>
      <c r="XDF188" s="117"/>
      <c r="XDG188" s="117"/>
      <c r="XDH188" s="117"/>
      <c r="XDI188" s="117"/>
      <c r="XDJ188" s="117"/>
      <c r="XDK188" s="117"/>
      <c r="XDL188" s="117"/>
      <c r="XDM188" s="117"/>
      <c r="XDN188" s="117"/>
      <c r="XDO188" s="117"/>
      <c r="XDP188" s="117"/>
      <c r="XDQ188" s="117"/>
      <c r="XDR188" s="117"/>
      <c r="XDS188" s="117"/>
      <c r="XDT188" s="117"/>
      <c r="XDU188" s="117"/>
      <c r="XDV188" s="117"/>
      <c r="XDW188" s="117"/>
      <c r="XDX188" s="117"/>
    </row>
    <row r="189" spans="1:16352" x14ac:dyDescent="0.3">
      <c r="A189" s="115" t="s">
        <v>62</v>
      </c>
      <c r="B189" s="115"/>
      <c r="C189" s="115"/>
      <c r="D189" s="72" t="s">
        <v>212</v>
      </c>
      <c r="E189" s="73">
        <f t="shared" ref="E189:AK189" si="0">COUNTIFS(E2:E186,"National")</f>
        <v>0</v>
      </c>
      <c r="F189" s="73">
        <f t="shared" si="0"/>
        <v>0</v>
      </c>
      <c r="G189" s="73">
        <f t="shared" si="0"/>
        <v>0</v>
      </c>
      <c r="H189" s="73">
        <f t="shared" si="0"/>
        <v>2</v>
      </c>
      <c r="I189" s="73">
        <f t="shared" si="0"/>
        <v>0</v>
      </c>
      <c r="J189" s="73">
        <f t="shared" si="0"/>
        <v>2</v>
      </c>
      <c r="K189" s="73">
        <f t="shared" si="0"/>
        <v>0</v>
      </c>
      <c r="L189" s="73">
        <f t="shared" si="0"/>
        <v>3</v>
      </c>
      <c r="M189" s="73">
        <f t="shared" si="0"/>
        <v>0</v>
      </c>
      <c r="N189" s="73">
        <f t="shared" si="0"/>
        <v>2</v>
      </c>
      <c r="O189" s="73">
        <f t="shared" si="0"/>
        <v>2</v>
      </c>
      <c r="P189" s="73">
        <f t="shared" si="0"/>
        <v>0</v>
      </c>
      <c r="Q189" s="73">
        <f t="shared" si="0"/>
        <v>2</v>
      </c>
      <c r="R189" s="73">
        <f t="shared" si="0"/>
        <v>0</v>
      </c>
      <c r="S189" s="73">
        <f t="shared" si="0"/>
        <v>2</v>
      </c>
      <c r="T189" s="73">
        <f t="shared" si="0"/>
        <v>2</v>
      </c>
      <c r="U189" s="73">
        <f t="shared" si="0"/>
        <v>0</v>
      </c>
      <c r="V189" s="73">
        <f t="shared" si="0"/>
        <v>2</v>
      </c>
      <c r="W189" s="73">
        <f t="shared" si="0"/>
        <v>2</v>
      </c>
      <c r="X189" s="73">
        <f t="shared" si="0"/>
        <v>2</v>
      </c>
      <c r="Y189" s="73">
        <f t="shared" si="0"/>
        <v>2</v>
      </c>
      <c r="Z189" s="73">
        <f t="shared" si="0"/>
        <v>0</v>
      </c>
      <c r="AA189" s="73">
        <f t="shared" si="0"/>
        <v>2</v>
      </c>
      <c r="AB189" s="73">
        <f t="shared" si="0"/>
        <v>0</v>
      </c>
      <c r="AC189" s="73">
        <f t="shared" si="0"/>
        <v>0</v>
      </c>
      <c r="AD189" s="73">
        <f t="shared" si="0"/>
        <v>2</v>
      </c>
      <c r="AE189" s="73">
        <f t="shared" si="0"/>
        <v>3</v>
      </c>
      <c r="AF189" s="73">
        <f t="shared" si="0"/>
        <v>2</v>
      </c>
      <c r="AG189" s="73">
        <f t="shared" si="0"/>
        <v>3</v>
      </c>
      <c r="AH189" s="73">
        <f t="shared" si="0"/>
        <v>0</v>
      </c>
      <c r="AI189" s="73">
        <f t="shared" si="0"/>
        <v>3</v>
      </c>
      <c r="AJ189" s="73">
        <f t="shared" si="0"/>
        <v>2</v>
      </c>
      <c r="AK189" s="73">
        <f t="shared" si="0"/>
        <v>0</v>
      </c>
    </row>
    <row r="190" spans="1:16352" s="25" customFormat="1" ht="14.5" customHeight="1" x14ac:dyDescent="0.3">
      <c r="A190" s="115"/>
      <c r="B190" s="115"/>
      <c r="C190" s="115"/>
      <c r="D190" s="72" t="s">
        <v>213</v>
      </c>
      <c r="E190" s="73">
        <f t="shared" ref="E190:AK190" si="1">COUNTIFS(E3:E189,"Regional")</f>
        <v>0</v>
      </c>
      <c r="F190" s="73">
        <f t="shared" si="1"/>
        <v>0</v>
      </c>
      <c r="G190" s="73">
        <f t="shared" si="1"/>
        <v>0</v>
      </c>
      <c r="H190" s="73">
        <f t="shared" si="1"/>
        <v>18</v>
      </c>
      <c r="I190" s="73">
        <f t="shared" si="1"/>
        <v>0</v>
      </c>
      <c r="J190" s="73">
        <f t="shared" si="1"/>
        <v>12</v>
      </c>
      <c r="K190" s="73">
        <f t="shared" si="1"/>
        <v>0</v>
      </c>
      <c r="L190" s="73">
        <f t="shared" si="1"/>
        <v>19</v>
      </c>
      <c r="M190" s="73">
        <f t="shared" si="1"/>
        <v>0</v>
      </c>
      <c r="N190" s="73">
        <f t="shared" si="1"/>
        <v>38</v>
      </c>
      <c r="O190" s="73">
        <f t="shared" si="1"/>
        <v>58</v>
      </c>
      <c r="P190" s="73">
        <f t="shared" si="1"/>
        <v>0</v>
      </c>
      <c r="Q190" s="73">
        <f t="shared" si="1"/>
        <v>30</v>
      </c>
      <c r="R190" s="73">
        <f t="shared" si="1"/>
        <v>0</v>
      </c>
      <c r="S190" s="73">
        <f t="shared" si="1"/>
        <v>16</v>
      </c>
      <c r="T190" s="73">
        <f t="shared" si="1"/>
        <v>19</v>
      </c>
      <c r="U190" s="73">
        <f t="shared" si="1"/>
        <v>0</v>
      </c>
      <c r="V190" s="73">
        <f t="shared" si="1"/>
        <v>24</v>
      </c>
      <c r="W190" s="73">
        <f t="shared" si="1"/>
        <v>19</v>
      </c>
      <c r="X190" s="73">
        <f t="shared" si="1"/>
        <v>11</v>
      </c>
      <c r="Y190" s="73">
        <f t="shared" si="1"/>
        <v>20</v>
      </c>
      <c r="Z190" s="73">
        <f t="shared" si="1"/>
        <v>0</v>
      </c>
      <c r="AA190" s="73">
        <f t="shared" si="1"/>
        <v>30</v>
      </c>
      <c r="AB190" s="73">
        <f t="shared" si="1"/>
        <v>0</v>
      </c>
      <c r="AC190" s="73">
        <f t="shared" si="1"/>
        <v>0</v>
      </c>
      <c r="AD190" s="73">
        <f t="shared" si="1"/>
        <v>35</v>
      </c>
      <c r="AE190" s="73">
        <f t="shared" si="1"/>
        <v>13</v>
      </c>
      <c r="AF190" s="73">
        <f t="shared" si="1"/>
        <v>30</v>
      </c>
      <c r="AG190" s="73">
        <f t="shared" si="1"/>
        <v>15</v>
      </c>
      <c r="AH190" s="73">
        <f t="shared" si="1"/>
        <v>0</v>
      </c>
      <c r="AI190" s="73">
        <f t="shared" si="1"/>
        <v>12</v>
      </c>
      <c r="AJ190" s="73">
        <f t="shared" si="1"/>
        <v>18</v>
      </c>
      <c r="AK190" s="73">
        <f t="shared" si="1"/>
        <v>0</v>
      </c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  <c r="ANK190" s="3"/>
      <c r="ANL190" s="3"/>
      <c r="ANM190" s="3"/>
      <c r="ANN190" s="3"/>
      <c r="ANO190" s="3"/>
      <c r="ANP190" s="3"/>
      <c r="ANQ190" s="3"/>
      <c r="ANR190" s="3"/>
      <c r="ANS190" s="3"/>
      <c r="ANT190" s="3"/>
      <c r="ANU190" s="3"/>
      <c r="ANV190" s="3"/>
      <c r="ANW190" s="3"/>
      <c r="ANX190" s="3"/>
      <c r="ANY190" s="3"/>
      <c r="ANZ190" s="3"/>
      <c r="AOA190" s="3"/>
      <c r="AOB190" s="3"/>
      <c r="AOC190" s="3"/>
      <c r="AOD190" s="3"/>
      <c r="AOE190" s="3"/>
      <c r="AOF190" s="3"/>
      <c r="AOG190" s="3"/>
      <c r="AOH190" s="3"/>
      <c r="AOI190" s="3"/>
      <c r="AOJ190" s="3"/>
      <c r="AOK190" s="3"/>
      <c r="AOL190" s="3"/>
      <c r="AOM190" s="3"/>
      <c r="AON190" s="3"/>
      <c r="AOO190" s="3"/>
      <c r="AOP190" s="3"/>
      <c r="AOQ190" s="3"/>
      <c r="AOR190" s="3"/>
      <c r="AOS190" s="3"/>
      <c r="AOT190" s="3"/>
      <c r="AOU190" s="3"/>
      <c r="AOV190" s="3"/>
      <c r="AOW190" s="3"/>
      <c r="AOX190" s="3"/>
      <c r="AOY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  <c r="BCX190" s="3"/>
      <c r="BCY190" s="3"/>
      <c r="BCZ190" s="3"/>
      <c r="BDA190" s="3"/>
      <c r="BDB190" s="3"/>
      <c r="BDC190" s="3"/>
      <c r="BDD190" s="3"/>
      <c r="BDE190" s="3"/>
      <c r="BDF190" s="3"/>
      <c r="BDG190" s="3"/>
      <c r="BDH190" s="3"/>
      <c r="BDI190" s="3"/>
      <c r="BDJ190" s="3"/>
      <c r="BDK190" s="3"/>
      <c r="BDL190" s="3"/>
      <c r="BDM190" s="3"/>
      <c r="BDN190" s="3"/>
      <c r="BDO190" s="3"/>
      <c r="BDP190" s="3"/>
      <c r="BDQ190" s="3"/>
      <c r="BDR190" s="3"/>
      <c r="BDS190" s="3"/>
      <c r="BDT190" s="3"/>
      <c r="BDU190" s="3"/>
      <c r="BDV190" s="3"/>
      <c r="BDW190" s="3"/>
      <c r="BDX190" s="3"/>
      <c r="BDY190" s="3"/>
      <c r="BDZ190" s="3"/>
      <c r="BEA190" s="3"/>
      <c r="BEB190" s="3"/>
      <c r="BEC190" s="3"/>
      <c r="BED190" s="3"/>
      <c r="BEE190" s="3"/>
      <c r="BEF190" s="3"/>
      <c r="BEG190" s="3"/>
      <c r="BEH190" s="3"/>
      <c r="BEI190" s="3"/>
      <c r="BEJ190" s="3"/>
      <c r="BEK190" s="3"/>
      <c r="BEL190" s="3"/>
      <c r="BEM190" s="3"/>
      <c r="BEN190" s="3"/>
      <c r="BEO190" s="3"/>
      <c r="BEP190" s="3"/>
      <c r="BEQ190" s="3"/>
      <c r="BER190" s="3"/>
      <c r="BES190" s="3"/>
      <c r="BET190" s="3"/>
      <c r="BEU190" s="3"/>
      <c r="BEV190" s="3"/>
      <c r="BEW190" s="3"/>
      <c r="BEX190" s="3"/>
      <c r="BEY190" s="3"/>
      <c r="BEZ190" s="3"/>
      <c r="BFA190" s="3"/>
      <c r="BFB190" s="3"/>
      <c r="BFC190" s="3"/>
      <c r="BFD190" s="3"/>
      <c r="BFE190" s="3"/>
      <c r="BFF190" s="3"/>
      <c r="BFG190" s="3"/>
      <c r="BFH190" s="3"/>
      <c r="BFI190" s="3"/>
      <c r="BFJ190" s="3"/>
      <c r="BFK190" s="3"/>
      <c r="BFL190" s="3"/>
      <c r="BFM190" s="3"/>
      <c r="BFN190" s="3"/>
      <c r="BFO190" s="3"/>
      <c r="BFP190" s="3"/>
      <c r="BFQ190" s="3"/>
      <c r="BFR190" s="3"/>
      <c r="BFS190" s="3"/>
      <c r="BFT190" s="3"/>
      <c r="BFU190" s="3"/>
      <c r="BFV190" s="3"/>
      <c r="BFW190" s="3"/>
      <c r="BFX190" s="3"/>
      <c r="BFY190" s="3"/>
      <c r="BFZ190" s="3"/>
      <c r="BGA190" s="3"/>
      <c r="BGB190" s="3"/>
      <c r="BGC190" s="3"/>
      <c r="BGD190" s="3"/>
      <c r="BGE190" s="3"/>
      <c r="BGF190" s="3"/>
      <c r="BGG190" s="3"/>
      <c r="BGH190" s="3"/>
      <c r="BGI190" s="3"/>
      <c r="BGJ190" s="3"/>
      <c r="BGK190" s="3"/>
      <c r="BGL190" s="3"/>
      <c r="BGM190" s="3"/>
      <c r="BGN190" s="3"/>
      <c r="BGO190" s="3"/>
      <c r="BGP190" s="3"/>
      <c r="BGQ190" s="3"/>
      <c r="BGR190" s="3"/>
      <c r="BGS190" s="3"/>
      <c r="BGT190" s="3"/>
      <c r="BGU190" s="3"/>
      <c r="BGV190" s="3"/>
      <c r="BGW190" s="3"/>
      <c r="BGX190" s="3"/>
      <c r="BGY190" s="3"/>
      <c r="BGZ190" s="3"/>
      <c r="BHA190" s="3"/>
      <c r="BHB190" s="3"/>
      <c r="BHC190" s="3"/>
      <c r="BHD190" s="3"/>
      <c r="BHE190" s="3"/>
      <c r="BHF190" s="3"/>
      <c r="BHG190" s="3"/>
      <c r="BHH190" s="3"/>
      <c r="BHI190" s="3"/>
      <c r="BHJ190" s="3"/>
      <c r="BHK190" s="3"/>
      <c r="BHL190" s="3"/>
      <c r="BHM190" s="3"/>
      <c r="BHN190" s="3"/>
      <c r="BHO190" s="3"/>
      <c r="BHP190" s="3"/>
      <c r="BHQ190" s="3"/>
      <c r="BHR190" s="3"/>
      <c r="BHS190" s="3"/>
      <c r="BHT190" s="3"/>
      <c r="BHU190" s="3"/>
      <c r="BHV190" s="3"/>
      <c r="BHW190" s="3"/>
      <c r="BHX190" s="3"/>
      <c r="BHY190" s="3"/>
      <c r="BHZ190" s="3"/>
      <c r="BIA190" s="3"/>
      <c r="BIB190" s="3"/>
      <c r="BIC190" s="3"/>
      <c r="BID190" s="3"/>
      <c r="BIE190" s="3"/>
      <c r="BIF190" s="3"/>
      <c r="BIG190" s="3"/>
      <c r="BIH190" s="3"/>
      <c r="BII190" s="3"/>
      <c r="BIJ190" s="3"/>
      <c r="BIK190" s="3"/>
      <c r="BIL190" s="3"/>
      <c r="BIM190" s="3"/>
      <c r="BIN190" s="3"/>
      <c r="BIO190" s="3"/>
      <c r="BIP190" s="3"/>
      <c r="BIQ190" s="3"/>
      <c r="BIR190" s="3"/>
      <c r="BIS190" s="3"/>
      <c r="BIT190" s="3"/>
      <c r="BIU190" s="3"/>
      <c r="BIV190" s="3"/>
      <c r="BIW190" s="3"/>
      <c r="BIX190" s="3"/>
      <c r="BIY190" s="3"/>
      <c r="BIZ190" s="3"/>
      <c r="BJA190" s="3"/>
      <c r="BJB190" s="3"/>
      <c r="BJC190" s="3"/>
      <c r="BJD190" s="3"/>
      <c r="BJE190" s="3"/>
      <c r="BJF190" s="3"/>
      <c r="BJG190" s="3"/>
      <c r="BJH190" s="3"/>
      <c r="BJI190" s="3"/>
      <c r="BJJ190" s="3"/>
      <c r="BJK190" s="3"/>
      <c r="BJL190" s="3"/>
      <c r="BJM190" s="3"/>
      <c r="BJN190" s="3"/>
      <c r="BJO190" s="3"/>
      <c r="BJP190" s="3"/>
      <c r="BJQ190" s="3"/>
      <c r="BJR190" s="3"/>
      <c r="BJS190" s="3"/>
      <c r="BJT190" s="3"/>
      <c r="BJU190" s="3"/>
      <c r="BJV190" s="3"/>
      <c r="BJW190" s="3"/>
      <c r="BJX190" s="3"/>
      <c r="BJY190" s="3"/>
      <c r="BJZ190" s="3"/>
      <c r="BKA190" s="3"/>
      <c r="BKB190" s="3"/>
      <c r="BKC190" s="3"/>
      <c r="BKD190" s="3"/>
      <c r="BKE190" s="3"/>
      <c r="BKF190" s="3"/>
      <c r="BKG190" s="3"/>
      <c r="BKH190" s="3"/>
      <c r="BKI190" s="3"/>
      <c r="BKJ190" s="3"/>
      <c r="BKK190" s="3"/>
      <c r="BKL190" s="3"/>
      <c r="BKM190" s="3"/>
      <c r="BKN190" s="3"/>
      <c r="BKO190" s="3"/>
      <c r="BKP190" s="3"/>
      <c r="BKQ190" s="3"/>
      <c r="BKR190" s="3"/>
      <c r="BKS190" s="3"/>
      <c r="BKT190" s="3"/>
      <c r="BKU190" s="3"/>
      <c r="BKV190" s="3"/>
      <c r="BKW190" s="3"/>
      <c r="BKX190" s="3"/>
      <c r="BKY190" s="3"/>
      <c r="BKZ190" s="3"/>
      <c r="BLA190" s="3"/>
      <c r="BLB190" s="3"/>
      <c r="BLC190" s="3"/>
      <c r="BLD190" s="3"/>
      <c r="BLE190" s="3"/>
      <c r="BLF190" s="3"/>
      <c r="BLG190" s="3"/>
      <c r="BLH190" s="3"/>
      <c r="BLI190" s="3"/>
      <c r="BLJ190" s="3"/>
      <c r="BLK190" s="3"/>
      <c r="BLL190" s="3"/>
      <c r="BLM190" s="3"/>
      <c r="BLN190" s="3"/>
      <c r="BLO190" s="3"/>
      <c r="BLP190" s="3"/>
      <c r="BLQ190" s="3"/>
      <c r="BLR190" s="3"/>
      <c r="BLS190" s="3"/>
      <c r="BLT190" s="3"/>
      <c r="BLU190" s="3"/>
      <c r="BLV190" s="3"/>
      <c r="BLW190" s="3"/>
      <c r="BLX190" s="3"/>
      <c r="BLY190" s="3"/>
      <c r="BLZ190" s="3"/>
      <c r="BMA190" s="3"/>
      <c r="BMB190" s="3"/>
      <c r="BMC190" s="3"/>
      <c r="BMD190" s="3"/>
      <c r="BME190" s="3"/>
      <c r="BMF190" s="3"/>
      <c r="BMG190" s="3"/>
      <c r="BMH190" s="3"/>
      <c r="BMI190" s="3"/>
      <c r="BMJ190" s="3"/>
      <c r="BMK190" s="3"/>
      <c r="BML190" s="3"/>
      <c r="BMM190" s="3"/>
      <c r="BMN190" s="3"/>
      <c r="BMO190" s="3"/>
      <c r="BMP190" s="3"/>
      <c r="BMQ190" s="3"/>
      <c r="BMR190" s="3"/>
      <c r="BMS190" s="3"/>
      <c r="BMT190" s="3"/>
      <c r="BMU190" s="3"/>
      <c r="BMV190" s="3"/>
      <c r="BMW190" s="3"/>
      <c r="BMX190" s="3"/>
      <c r="BMY190" s="3"/>
      <c r="BMZ190" s="3"/>
      <c r="BNA190" s="3"/>
      <c r="BNB190" s="3"/>
      <c r="BNC190" s="3"/>
      <c r="BND190" s="3"/>
      <c r="BNE190" s="3"/>
      <c r="BNF190" s="3"/>
      <c r="BNG190" s="3"/>
      <c r="BNH190" s="3"/>
      <c r="BNI190" s="3"/>
      <c r="BNJ190" s="3"/>
      <c r="BNK190" s="3"/>
      <c r="BNL190" s="3"/>
      <c r="BNM190" s="3"/>
      <c r="BNN190" s="3"/>
      <c r="BNO190" s="3"/>
      <c r="BNP190" s="3"/>
      <c r="BNQ190" s="3"/>
      <c r="BNR190" s="3"/>
      <c r="BNS190" s="3"/>
      <c r="BNT190" s="3"/>
      <c r="BNU190" s="3"/>
      <c r="BNV190" s="3"/>
      <c r="BNW190" s="3"/>
      <c r="BNX190" s="3"/>
      <c r="BNY190" s="3"/>
      <c r="BNZ190" s="3"/>
      <c r="BOA190" s="3"/>
      <c r="BOB190" s="3"/>
      <c r="BOC190" s="3"/>
      <c r="BOD190" s="3"/>
      <c r="BOE190" s="3"/>
      <c r="BOF190" s="3"/>
      <c r="BOG190" s="3"/>
      <c r="BOH190" s="3"/>
      <c r="BOI190" s="3"/>
      <c r="BOJ190" s="3"/>
      <c r="BOK190" s="3"/>
      <c r="BOL190" s="3"/>
      <c r="BOM190" s="3"/>
      <c r="BON190" s="3"/>
      <c r="BOO190" s="3"/>
      <c r="BOP190" s="3"/>
      <c r="BOQ190" s="3"/>
      <c r="BOR190" s="3"/>
      <c r="BOS190" s="3"/>
      <c r="BOT190" s="3"/>
      <c r="BOU190" s="3"/>
      <c r="BOV190" s="3"/>
      <c r="BOW190" s="3"/>
      <c r="BOX190" s="3"/>
      <c r="BOY190" s="3"/>
      <c r="BOZ190" s="3"/>
      <c r="BPA190" s="3"/>
      <c r="BPB190" s="3"/>
      <c r="BPC190" s="3"/>
      <c r="BPD190" s="3"/>
      <c r="BPE190" s="3"/>
      <c r="BPF190" s="3"/>
      <c r="BPG190" s="3"/>
      <c r="BPH190" s="3"/>
      <c r="BPI190" s="3"/>
      <c r="BPJ190" s="3"/>
      <c r="BPK190" s="3"/>
      <c r="BPL190" s="3"/>
      <c r="BPM190" s="3"/>
      <c r="BPN190" s="3"/>
      <c r="BPO190" s="3"/>
      <c r="BPP190" s="3"/>
      <c r="BPQ190" s="3"/>
      <c r="BPR190" s="3"/>
      <c r="BPS190" s="3"/>
      <c r="BPT190" s="3"/>
      <c r="BPU190" s="3"/>
      <c r="BPV190" s="3"/>
      <c r="BPW190" s="3"/>
      <c r="BPX190" s="3"/>
      <c r="BPY190" s="3"/>
      <c r="BPZ190" s="3"/>
      <c r="BQA190" s="3"/>
      <c r="BQB190" s="3"/>
      <c r="BQC190" s="3"/>
      <c r="BQD190" s="3"/>
      <c r="BQE190" s="3"/>
      <c r="BQF190" s="3"/>
      <c r="BQG190" s="3"/>
      <c r="BQH190" s="3"/>
      <c r="BQI190" s="3"/>
      <c r="BQJ190" s="3"/>
      <c r="BQK190" s="3"/>
      <c r="BQL190" s="3"/>
      <c r="BQM190" s="3"/>
      <c r="BQN190" s="3"/>
      <c r="BQO190" s="3"/>
      <c r="BQP190" s="3"/>
      <c r="BQQ190" s="3"/>
      <c r="BQR190" s="3"/>
      <c r="BQS190" s="3"/>
      <c r="BQT190" s="3"/>
      <c r="BQU190" s="3"/>
      <c r="BQV190" s="3"/>
      <c r="BQW190" s="3"/>
      <c r="BQX190" s="3"/>
      <c r="BQY190" s="3"/>
      <c r="BQZ190" s="3"/>
      <c r="BRA190" s="3"/>
      <c r="BRB190" s="3"/>
      <c r="BRC190" s="3"/>
      <c r="BRD190" s="3"/>
      <c r="BRE190" s="3"/>
      <c r="BRF190" s="3"/>
      <c r="BRG190" s="3"/>
      <c r="BRH190" s="3"/>
      <c r="BRI190" s="3"/>
      <c r="BRJ190" s="3"/>
      <c r="BRK190" s="3"/>
      <c r="BRL190" s="3"/>
      <c r="BRM190" s="3"/>
      <c r="BRN190" s="3"/>
      <c r="BRO190" s="3"/>
      <c r="BRP190" s="3"/>
      <c r="BRQ190" s="3"/>
      <c r="BRR190" s="3"/>
      <c r="BRS190" s="3"/>
      <c r="BRT190" s="3"/>
      <c r="BRU190" s="3"/>
      <c r="BRV190" s="3"/>
      <c r="BRW190" s="3"/>
      <c r="BRX190" s="3"/>
      <c r="BRY190" s="3"/>
      <c r="BRZ190" s="3"/>
      <c r="BSA190" s="3"/>
      <c r="BSB190" s="3"/>
      <c r="BSC190" s="3"/>
      <c r="BSD190" s="3"/>
      <c r="BSE190" s="3"/>
      <c r="BSF190" s="3"/>
      <c r="BSG190" s="3"/>
      <c r="BSH190" s="3"/>
      <c r="BSI190" s="3"/>
      <c r="BSJ190" s="3"/>
      <c r="BSK190" s="3"/>
      <c r="BSL190" s="3"/>
      <c r="BSM190" s="3"/>
      <c r="BSN190" s="3"/>
      <c r="BSO190" s="3"/>
      <c r="BSP190" s="3"/>
      <c r="BSQ190" s="3"/>
      <c r="BSR190" s="3"/>
      <c r="BSS190" s="3"/>
      <c r="BST190" s="3"/>
      <c r="BSU190" s="3"/>
      <c r="BSV190" s="3"/>
      <c r="BSW190" s="3"/>
      <c r="BSX190" s="3"/>
      <c r="BSY190" s="3"/>
      <c r="BSZ190" s="3"/>
      <c r="BTA190" s="3"/>
      <c r="BTB190" s="3"/>
      <c r="BTC190" s="3"/>
      <c r="BTD190" s="3"/>
      <c r="BTE190" s="3"/>
      <c r="BTF190" s="3"/>
      <c r="BTG190" s="3"/>
      <c r="BTH190" s="3"/>
      <c r="BTI190" s="3"/>
      <c r="BTJ190" s="3"/>
      <c r="BTK190" s="3"/>
      <c r="BTL190" s="3"/>
      <c r="BTM190" s="3"/>
      <c r="BTN190" s="3"/>
      <c r="BTO190" s="3"/>
      <c r="BTP190" s="3"/>
      <c r="BTQ190" s="3"/>
      <c r="BTR190" s="3"/>
      <c r="BTS190" s="3"/>
      <c r="BTT190" s="3"/>
      <c r="BTU190" s="3"/>
      <c r="BTV190" s="3"/>
      <c r="BTW190" s="3"/>
      <c r="BTX190" s="3"/>
      <c r="BTY190" s="3"/>
      <c r="BTZ190" s="3"/>
      <c r="BUA190" s="3"/>
      <c r="BUB190" s="3"/>
      <c r="BUC190" s="3"/>
      <c r="BUD190" s="3"/>
      <c r="BUE190" s="3"/>
      <c r="BUF190" s="3"/>
      <c r="BUG190" s="3"/>
      <c r="BUH190" s="3"/>
      <c r="BUI190" s="3"/>
      <c r="BUJ190" s="3"/>
      <c r="BUK190" s="3"/>
      <c r="BUL190" s="3"/>
      <c r="BUM190" s="3"/>
      <c r="BUN190" s="3"/>
      <c r="BUO190" s="3"/>
      <c r="BUP190" s="3"/>
      <c r="BUQ190" s="3"/>
      <c r="BUR190" s="3"/>
      <c r="BUS190" s="3"/>
      <c r="BUT190" s="3"/>
      <c r="BUU190" s="3"/>
      <c r="BUV190" s="3"/>
      <c r="BUW190" s="3"/>
      <c r="BUX190" s="3"/>
      <c r="BUY190" s="3"/>
      <c r="BUZ190" s="3"/>
      <c r="BVA190" s="3"/>
      <c r="BVB190" s="3"/>
      <c r="BVC190" s="3"/>
      <c r="BVD190" s="3"/>
      <c r="BVE190" s="3"/>
      <c r="BVF190" s="3"/>
      <c r="BVG190" s="3"/>
      <c r="BVH190" s="3"/>
      <c r="BVI190" s="3"/>
      <c r="BVJ190" s="3"/>
      <c r="BVK190" s="3"/>
      <c r="BVL190" s="3"/>
      <c r="BVM190" s="3"/>
      <c r="BVN190" s="3"/>
      <c r="BVO190" s="3"/>
      <c r="BVP190" s="3"/>
      <c r="BVQ190" s="3"/>
      <c r="BVR190" s="3"/>
      <c r="BVS190" s="3"/>
      <c r="BVT190" s="3"/>
      <c r="BVU190" s="3"/>
      <c r="BVV190" s="3"/>
      <c r="BVW190" s="3"/>
      <c r="BVX190" s="3"/>
      <c r="BVY190" s="3"/>
      <c r="BVZ190" s="3"/>
      <c r="BWA190" s="3"/>
      <c r="BWB190" s="3"/>
      <c r="BWC190" s="3"/>
      <c r="BWD190" s="3"/>
      <c r="BWE190" s="3"/>
      <c r="BWF190" s="3"/>
      <c r="BWG190" s="3"/>
      <c r="BWH190" s="3"/>
      <c r="BWI190" s="3"/>
      <c r="BWJ190" s="3"/>
      <c r="BWK190" s="3"/>
      <c r="BWL190" s="3"/>
      <c r="BWM190" s="3"/>
      <c r="BWN190" s="3"/>
      <c r="BWO190" s="3"/>
      <c r="BWP190" s="3"/>
      <c r="BWQ190" s="3"/>
      <c r="BWR190" s="3"/>
      <c r="BWS190" s="3"/>
      <c r="BWT190" s="3"/>
      <c r="BWU190" s="3"/>
      <c r="BWV190" s="3"/>
      <c r="BWW190" s="3"/>
      <c r="BWX190" s="3"/>
      <c r="BWY190" s="3"/>
      <c r="BWZ190" s="3"/>
      <c r="BXA190" s="3"/>
      <c r="BXB190" s="3"/>
      <c r="BXC190" s="3"/>
      <c r="BXD190" s="3"/>
      <c r="BXE190" s="3"/>
      <c r="BXF190" s="3"/>
      <c r="BXG190" s="3"/>
      <c r="BXH190" s="3"/>
      <c r="BXI190" s="3"/>
      <c r="BXJ190" s="3"/>
      <c r="BXK190" s="3"/>
      <c r="BXL190" s="3"/>
      <c r="BXM190" s="3"/>
      <c r="BXN190" s="3"/>
      <c r="BXO190" s="3"/>
      <c r="BXP190" s="3"/>
      <c r="BXQ190" s="3"/>
      <c r="BXR190" s="3"/>
      <c r="BXS190" s="3"/>
      <c r="BXT190" s="3"/>
      <c r="BXU190" s="3"/>
      <c r="BXV190" s="3"/>
      <c r="BXW190" s="3"/>
      <c r="BXX190" s="3"/>
      <c r="BXY190" s="3"/>
      <c r="BXZ190" s="3"/>
      <c r="BYA190" s="3"/>
      <c r="BYB190" s="3"/>
      <c r="BYC190" s="3"/>
      <c r="BYD190" s="3"/>
      <c r="BYE190" s="3"/>
      <c r="BYF190" s="3"/>
      <c r="BYG190" s="3"/>
      <c r="BYH190" s="3"/>
      <c r="BYI190" s="3"/>
      <c r="BYJ190" s="3"/>
      <c r="BYK190" s="3"/>
      <c r="BYL190" s="3"/>
      <c r="BYM190" s="3"/>
      <c r="BYN190" s="3"/>
      <c r="BYO190" s="3"/>
      <c r="BYP190" s="3"/>
      <c r="BYQ190" s="3"/>
      <c r="BYR190" s="3"/>
      <c r="BYS190" s="3"/>
      <c r="BYT190" s="3"/>
      <c r="BYU190" s="3"/>
      <c r="BYV190" s="3"/>
      <c r="BYW190" s="3"/>
      <c r="BYX190" s="3"/>
      <c r="BYY190" s="3"/>
      <c r="BYZ190" s="3"/>
      <c r="BZA190" s="3"/>
      <c r="BZB190" s="3"/>
      <c r="BZC190" s="3"/>
      <c r="BZD190" s="3"/>
      <c r="BZE190" s="3"/>
      <c r="BZF190" s="3"/>
      <c r="BZG190" s="3"/>
      <c r="BZH190" s="3"/>
      <c r="BZI190" s="3"/>
      <c r="BZJ190" s="3"/>
      <c r="BZK190" s="3"/>
      <c r="BZL190" s="3"/>
      <c r="BZM190" s="3"/>
      <c r="BZN190" s="3"/>
      <c r="BZO190" s="3"/>
      <c r="BZP190" s="3"/>
      <c r="BZQ190" s="3"/>
      <c r="BZR190" s="3"/>
      <c r="BZS190" s="3"/>
      <c r="BZT190" s="3"/>
      <c r="BZU190" s="3"/>
      <c r="BZV190" s="3"/>
      <c r="BZW190" s="3"/>
      <c r="BZX190" s="3"/>
      <c r="BZY190" s="3"/>
      <c r="BZZ190" s="3"/>
      <c r="CAA190" s="3"/>
      <c r="CAB190" s="3"/>
      <c r="CAC190" s="3"/>
      <c r="CAD190" s="3"/>
      <c r="CAE190" s="3"/>
      <c r="CAF190" s="3"/>
      <c r="CAG190" s="3"/>
      <c r="CAH190" s="3"/>
      <c r="CAI190" s="3"/>
      <c r="CAJ190" s="3"/>
      <c r="CAK190" s="3"/>
      <c r="CAL190" s="3"/>
      <c r="CAM190" s="3"/>
      <c r="CAN190" s="3"/>
      <c r="CAO190" s="3"/>
      <c r="CAP190" s="3"/>
      <c r="CAQ190" s="3"/>
      <c r="CAR190" s="3"/>
      <c r="CAS190" s="3"/>
      <c r="CAT190" s="3"/>
      <c r="CAU190" s="3"/>
      <c r="CAV190" s="3"/>
      <c r="CAW190" s="3"/>
      <c r="CAX190" s="3"/>
      <c r="CAY190" s="3"/>
      <c r="CAZ190" s="3"/>
      <c r="CBA190" s="3"/>
      <c r="CBB190" s="3"/>
      <c r="CBC190" s="3"/>
      <c r="CBD190" s="3"/>
      <c r="CBE190" s="3"/>
      <c r="CBF190" s="3"/>
      <c r="CBG190" s="3"/>
      <c r="CBH190" s="3"/>
      <c r="CBI190" s="3"/>
      <c r="CBJ190" s="3"/>
      <c r="CBK190" s="3"/>
      <c r="CBL190" s="3"/>
      <c r="CBM190" s="3"/>
      <c r="CBN190" s="3"/>
      <c r="CBO190" s="3"/>
      <c r="CBP190" s="3"/>
      <c r="CBQ190" s="3"/>
      <c r="CBR190" s="3"/>
      <c r="CBS190" s="3"/>
      <c r="CBT190" s="3"/>
      <c r="CBU190" s="3"/>
      <c r="CBV190" s="3"/>
      <c r="CBW190" s="3"/>
      <c r="CBX190" s="3"/>
      <c r="CBY190" s="3"/>
      <c r="CBZ190" s="3"/>
      <c r="CCA190" s="3"/>
      <c r="CCB190" s="3"/>
      <c r="CCC190" s="3"/>
      <c r="CCD190" s="3"/>
      <c r="CCE190" s="3"/>
      <c r="CCF190" s="3"/>
      <c r="CCG190" s="3"/>
      <c r="CCH190" s="3"/>
      <c r="CCI190" s="3"/>
      <c r="CCJ190" s="3"/>
      <c r="CCK190" s="3"/>
      <c r="CCL190" s="3"/>
      <c r="CCM190" s="3"/>
      <c r="CCN190" s="3"/>
      <c r="CCO190" s="3"/>
      <c r="CCP190" s="3"/>
      <c r="CCQ190" s="3"/>
      <c r="CCR190" s="3"/>
      <c r="CCS190" s="3"/>
      <c r="CCT190" s="3"/>
      <c r="CCU190" s="3"/>
      <c r="CCV190" s="3"/>
      <c r="CCW190" s="3"/>
      <c r="CCX190" s="3"/>
      <c r="CCY190" s="3"/>
      <c r="CCZ190" s="3"/>
      <c r="CDA190" s="3"/>
      <c r="CDB190" s="3"/>
      <c r="CDC190" s="3"/>
      <c r="CDD190" s="3"/>
      <c r="CDE190" s="3"/>
      <c r="CDF190" s="3"/>
      <c r="CDG190" s="3"/>
      <c r="CDH190" s="3"/>
      <c r="CDI190" s="3"/>
      <c r="CDJ190" s="3"/>
      <c r="CDK190" s="3"/>
      <c r="CDL190" s="3"/>
      <c r="CDM190" s="3"/>
      <c r="CDN190" s="3"/>
      <c r="CDO190" s="3"/>
      <c r="CDP190" s="3"/>
      <c r="CDQ190" s="3"/>
      <c r="CDR190" s="3"/>
      <c r="CDS190" s="3"/>
      <c r="CDT190" s="3"/>
      <c r="CDU190" s="3"/>
      <c r="CDV190" s="3"/>
      <c r="CDW190" s="3"/>
      <c r="CDX190" s="3"/>
      <c r="CDY190" s="3"/>
      <c r="CDZ190" s="3"/>
      <c r="CEA190" s="3"/>
      <c r="CEB190" s="3"/>
      <c r="CEC190" s="3"/>
      <c r="CED190" s="3"/>
      <c r="CEE190" s="3"/>
      <c r="CEF190" s="3"/>
      <c r="CEG190" s="3"/>
      <c r="CEH190" s="3"/>
      <c r="CEI190" s="3"/>
      <c r="CEJ190" s="3"/>
      <c r="CEK190" s="3"/>
      <c r="CEL190" s="3"/>
      <c r="CEM190" s="3"/>
      <c r="CEN190" s="3"/>
      <c r="CEO190" s="3"/>
      <c r="CEP190" s="3"/>
      <c r="CEQ190" s="3"/>
      <c r="CER190" s="3"/>
      <c r="CES190" s="3"/>
      <c r="CET190" s="3"/>
      <c r="CEU190" s="3"/>
      <c r="CEV190" s="3"/>
      <c r="CEW190" s="3"/>
      <c r="CEX190" s="3"/>
      <c r="CEY190" s="3"/>
      <c r="CEZ190" s="3"/>
      <c r="CFA190" s="3"/>
      <c r="CFB190" s="3"/>
      <c r="CFC190" s="3"/>
      <c r="CFD190" s="3"/>
      <c r="CFE190" s="3"/>
      <c r="CFF190" s="3"/>
      <c r="CFG190" s="3"/>
      <c r="CFH190" s="3"/>
      <c r="CFI190" s="3"/>
      <c r="CFJ190" s="3"/>
      <c r="CFK190" s="3"/>
      <c r="CFL190" s="3"/>
      <c r="CFM190" s="3"/>
      <c r="CFN190" s="3"/>
      <c r="CFO190" s="3"/>
      <c r="CFP190" s="3"/>
      <c r="CFQ190" s="3"/>
      <c r="CFR190" s="3"/>
      <c r="CFS190" s="3"/>
      <c r="CFT190" s="3"/>
      <c r="CFU190" s="3"/>
      <c r="CFV190" s="3"/>
      <c r="CFW190" s="3"/>
      <c r="CFX190" s="3"/>
      <c r="CFY190" s="3"/>
      <c r="CFZ190" s="3"/>
      <c r="CGA190" s="3"/>
      <c r="CGB190" s="3"/>
      <c r="CGC190" s="3"/>
      <c r="CGD190" s="3"/>
      <c r="CGE190" s="3"/>
      <c r="CGF190" s="3"/>
      <c r="CGG190" s="3"/>
      <c r="CGH190" s="3"/>
      <c r="CGI190" s="3"/>
      <c r="CGJ190" s="3"/>
      <c r="CGK190" s="3"/>
      <c r="CGL190" s="3"/>
      <c r="CGM190" s="3"/>
      <c r="CGN190" s="3"/>
      <c r="CGO190" s="3"/>
      <c r="CGP190" s="3"/>
      <c r="CGQ190" s="3"/>
      <c r="CGR190" s="3"/>
      <c r="CGS190" s="3"/>
      <c r="CGT190" s="3"/>
      <c r="CGU190" s="3"/>
      <c r="CGV190" s="3"/>
      <c r="CGW190" s="3"/>
      <c r="CGX190" s="3"/>
      <c r="CGY190" s="3"/>
      <c r="CGZ190" s="3"/>
      <c r="CHA190" s="3"/>
      <c r="CHB190" s="3"/>
      <c r="CHC190" s="3"/>
      <c r="CHD190" s="3"/>
      <c r="CHE190" s="3"/>
      <c r="CHF190" s="3"/>
      <c r="CHG190" s="3"/>
      <c r="CHH190" s="3"/>
      <c r="CHI190" s="3"/>
      <c r="CHJ190" s="3"/>
      <c r="CHK190" s="3"/>
      <c r="CHL190" s="3"/>
      <c r="CHM190" s="3"/>
      <c r="CHN190" s="3"/>
      <c r="CHO190" s="3"/>
      <c r="CHP190" s="3"/>
      <c r="CHQ190" s="3"/>
      <c r="CHR190" s="3"/>
      <c r="CHS190" s="3"/>
      <c r="CHT190" s="3"/>
      <c r="CHU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N190" s="3"/>
      <c r="CIO190" s="3"/>
      <c r="CIP190" s="3"/>
      <c r="CIQ190" s="3"/>
      <c r="CIR190" s="3"/>
      <c r="CIS190" s="3"/>
      <c r="CIT190" s="3"/>
      <c r="CIU190" s="3"/>
      <c r="CIV190" s="3"/>
      <c r="CIW190" s="3"/>
      <c r="CIX190" s="3"/>
      <c r="CIY190" s="3"/>
      <c r="CIZ190" s="3"/>
      <c r="CJA190" s="3"/>
      <c r="CJB190" s="3"/>
      <c r="CJC190" s="3"/>
      <c r="CJD190" s="3"/>
      <c r="CJE190" s="3"/>
      <c r="CJF190" s="3"/>
      <c r="CJG190" s="3"/>
      <c r="CJH190" s="3"/>
      <c r="CJI190" s="3"/>
      <c r="CJJ190" s="3"/>
      <c r="CJK190" s="3"/>
      <c r="CJL190" s="3"/>
      <c r="CJM190" s="3"/>
      <c r="CJN190" s="3"/>
      <c r="CJO190" s="3"/>
      <c r="CJP190" s="3"/>
      <c r="CJQ190" s="3"/>
      <c r="CJR190" s="3"/>
      <c r="CJS190" s="3"/>
      <c r="CJT190" s="3"/>
      <c r="CJU190" s="3"/>
      <c r="CJV190" s="3"/>
      <c r="CJW190" s="3"/>
      <c r="CJX190" s="3"/>
      <c r="CJY190" s="3"/>
      <c r="CJZ190" s="3"/>
      <c r="CKA190" s="3"/>
      <c r="CKB190" s="3"/>
      <c r="CKC190" s="3"/>
      <c r="CKD190" s="3"/>
      <c r="CKE190" s="3"/>
      <c r="CKF190" s="3"/>
      <c r="CKG190" s="3"/>
      <c r="CKH190" s="3"/>
      <c r="CKI190" s="3"/>
      <c r="CKJ190" s="3"/>
      <c r="CKK190" s="3"/>
      <c r="CKL190" s="3"/>
      <c r="CKM190" s="3"/>
      <c r="CKN190" s="3"/>
      <c r="CKO190" s="3"/>
      <c r="CKP190" s="3"/>
      <c r="CKQ190" s="3"/>
      <c r="CKR190" s="3"/>
      <c r="CKS190" s="3"/>
      <c r="CKT190" s="3"/>
      <c r="CKU190" s="3"/>
      <c r="CKV190" s="3"/>
      <c r="CKW190" s="3"/>
      <c r="CKX190" s="3"/>
      <c r="CKY190" s="3"/>
      <c r="CKZ190" s="3"/>
      <c r="CLA190" s="3"/>
      <c r="CLB190" s="3"/>
      <c r="CLC190" s="3"/>
      <c r="CLD190" s="3"/>
      <c r="CLE190" s="3"/>
      <c r="CLF190" s="3"/>
      <c r="CLG190" s="3"/>
      <c r="CLH190" s="3"/>
      <c r="CLI190" s="3"/>
      <c r="CLJ190" s="3"/>
      <c r="CLK190" s="3"/>
      <c r="CLL190" s="3"/>
      <c r="CLM190" s="3"/>
      <c r="CLN190" s="3"/>
      <c r="CLO190" s="3"/>
      <c r="CLP190" s="3"/>
      <c r="CLQ190" s="3"/>
      <c r="CLR190" s="3"/>
      <c r="CLS190" s="3"/>
      <c r="CLT190" s="3"/>
      <c r="CLU190" s="3"/>
      <c r="CLV190" s="3"/>
      <c r="CLW190" s="3"/>
      <c r="CLX190" s="3"/>
      <c r="CLY190" s="3"/>
      <c r="CLZ190" s="3"/>
      <c r="CMA190" s="3"/>
      <c r="CMB190" s="3"/>
      <c r="CMC190" s="3"/>
      <c r="CMD190" s="3"/>
      <c r="CME190" s="3"/>
      <c r="CMF190" s="3"/>
      <c r="CMG190" s="3"/>
      <c r="CMH190" s="3"/>
      <c r="CMI190" s="3"/>
      <c r="CMJ190" s="3"/>
      <c r="CMK190" s="3"/>
      <c r="CML190" s="3"/>
      <c r="CMM190" s="3"/>
      <c r="CMN190" s="3"/>
      <c r="CMO190" s="3"/>
      <c r="CMP190" s="3"/>
      <c r="CMQ190" s="3"/>
      <c r="CMR190" s="3"/>
      <c r="CMS190" s="3"/>
      <c r="CMT190" s="3"/>
      <c r="CMU190" s="3"/>
      <c r="CMV190" s="3"/>
      <c r="CMW190" s="3"/>
      <c r="CMX190" s="3"/>
      <c r="CMY190" s="3"/>
      <c r="CMZ190" s="3"/>
      <c r="CNA190" s="3"/>
      <c r="CNB190" s="3"/>
      <c r="CNC190" s="3"/>
      <c r="CND190" s="3"/>
      <c r="CNE190" s="3"/>
      <c r="CNF190" s="3"/>
      <c r="CNG190" s="3"/>
      <c r="CNH190" s="3"/>
      <c r="CNI190" s="3"/>
      <c r="CNJ190" s="3"/>
      <c r="CNK190" s="3"/>
      <c r="CNL190" s="3"/>
      <c r="CNM190" s="3"/>
      <c r="CNN190" s="3"/>
      <c r="CNO190" s="3"/>
      <c r="CNP190" s="3"/>
      <c r="CNQ190" s="3"/>
      <c r="CNR190" s="3"/>
      <c r="CNS190" s="3"/>
      <c r="CNT190" s="3"/>
      <c r="CNU190" s="3"/>
      <c r="CNV190" s="3"/>
      <c r="CNW190" s="3"/>
      <c r="CNX190" s="3"/>
      <c r="CNY190" s="3"/>
      <c r="CNZ190" s="3"/>
      <c r="COA190" s="3"/>
      <c r="COB190" s="3"/>
      <c r="COC190" s="3"/>
      <c r="COD190" s="3"/>
      <c r="COE190" s="3"/>
      <c r="COF190" s="3"/>
      <c r="COG190" s="3"/>
      <c r="COH190" s="3"/>
      <c r="COI190" s="3"/>
      <c r="COJ190" s="3"/>
      <c r="COK190" s="3"/>
      <c r="COL190" s="3"/>
      <c r="COM190" s="3"/>
      <c r="CON190" s="3"/>
      <c r="COO190" s="3"/>
      <c r="COP190" s="3"/>
      <c r="COQ190" s="3"/>
      <c r="COR190" s="3"/>
      <c r="COS190" s="3"/>
      <c r="COT190" s="3"/>
      <c r="COU190" s="3"/>
      <c r="COV190" s="3"/>
      <c r="COW190" s="3"/>
      <c r="COX190" s="3"/>
      <c r="COY190" s="3"/>
      <c r="COZ190" s="3"/>
      <c r="CPA190" s="3"/>
      <c r="CPB190" s="3"/>
      <c r="CPC190" s="3"/>
      <c r="CPD190" s="3"/>
      <c r="CPE190" s="3"/>
      <c r="CPF190" s="3"/>
      <c r="CPG190" s="3"/>
      <c r="CPH190" s="3"/>
      <c r="CPI190" s="3"/>
      <c r="CPJ190" s="3"/>
      <c r="CPK190" s="3"/>
      <c r="CPL190" s="3"/>
      <c r="CPM190" s="3"/>
      <c r="CPN190" s="3"/>
      <c r="CPO190" s="3"/>
      <c r="CPP190" s="3"/>
      <c r="CPQ190" s="3"/>
      <c r="CPR190" s="3"/>
      <c r="CPS190" s="3"/>
      <c r="CPT190" s="3"/>
      <c r="CPU190" s="3"/>
      <c r="CPV190" s="3"/>
      <c r="CPW190" s="3"/>
      <c r="CPX190" s="3"/>
      <c r="CPY190" s="3"/>
      <c r="CPZ190" s="3"/>
      <c r="CQA190" s="3"/>
      <c r="CQB190" s="3"/>
      <c r="CQC190" s="3"/>
      <c r="CQD190" s="3"/>
      <c r="CQE190" s="3"/>
      <c r="CQF190" s="3"/>
      <c r="CQG190" s="3"/>
      <c r="CQH190" s="3"/>
      <c r="CQI190" s="3"/>
      <c r="CQJ190" s="3"/>
      <c r="CQK190" s="3"/>
      <c r="CQL190" s="3"/>
      <c r="CQM190" s="3"/>
      <c r="CQN190" s="3"/>
      <c r="CQO190" s="3"/>
      <c r="CQP190" s="3"/>
      <c r="CQQ190" s="3"/>
      <c r="CQR190" s="3"/>
      <c r="CQS190" s="3"/>
      <c r="CQT190" s="3"/>
      <c r="CQU190" s="3"/>
      <c r="CQV190" s="3"/>
      <c r="CQW190" s="3"/>
      <c r="CQX190" s="3"/>
      <c r="CQY190" s="3"/>
      <c r="CQZ190" s="3"/>
      <c r="CRA190" s="3"/>
      <c r="CRB190" s="3"/>
      <c r="CRC190" s="3"/>
      <c r="CRD190" s="3"/>
      <c r="CRE190" s="3"/>
      <c r="CRF190" s="3"/>
      <c r="CRG190" s="3"/>
      <c r="CRH190" s="3"/>
      <c r="CRI190" s="3"/>
      <c r="CRJ190" s="3"/>
      <c r="CRK190" s="3"/>
      <c r="CRL190" s="3"/>
      <c r="CRM190" s="3"/>
      <c r="CRN190" s="3"/>
      <c r="CRO190" s="3"/>
      <c r="CRP190" s="3"/>
      <c r="CRQ190" s="3"/>
      <c r="CRR190" s="3"/>
      <c r="CRS190" s="3"/>
      <c r="CRT190" s="3"/>
      <c r="CRU190" s="3"/>
      <c r="CRV190" s="3"/>
      <c r="CRW190" s="3"/>
      <c r="CRX190" s="3"/>
      <c r="CRY190" s="3"/>
      <c r="CRZ190" s="3"/>
      <c r="CSA190" s="3"/>
      <c r="CSB190" s="3"/>
      <c r="CSC190" s="3"/>
      <c r="CSD190" s="3"/>
      <c r="CSE190" s="3"/>
      <c r="CSF190" s="3"/>
      <c r="CSG190" s="3"/>
      <c r="CSH190" s="3"/>
      <c r="CSI190" s="3"/>
      <c r="CSJ190" s="3"/>
      <c r="CSK190" s="3"/>
      <c r="CSL190" s="3"/>
      <c r="CSM190" s="3"/>
      <c r="CSN190" s="3"/>
      <c r="CSO190" s="3"/>
      <c r="CSP190" s="3"/>
      <c r="CSQ190" s="3"/>
      <c r="CSR190" s="3"/>
      <c r="CSS190" s="3"/>
      <c r="CST190" s="3"/>
      <c r="CSU190" s="3"/>
      <c r="CSV190" s="3"/>
      <c r="CSW190" s="3"/>
      <c r="CSX190" s="3"/>
      <c r="CSY190" s="3"/>
      <c r="CSZ190" s="3"/>
      <c r="CTA190" s="3"/>
      <c r="CTB190" s="3"/>
      <c r="CTC190" s="3"/>
      <c r="CTD190" s="3"/>
      <c r="CTE190" s="3"/>
      <c r="CTF190" s="3"/>
      <c r="CTG190" s="3"/>
      <c r="CTH190" s="3"/>
      <c r="CTI190" s="3"/>
      <c r="CTJ190" s="3"/>
      <c r="CTK190" s="3"/>
      <c r="CTL190" s="3"/>
      <c r="CTM190" s="3"/>
      <c r="CTN190" s="3"/>
      <c r="CTO190" s="3"/>
      <c r="CTP190" s="3"/>
      <c r="CTQ190" s="3"/>
      <c r="CTR190" s="3"/>
      <c r="CTS190" s="3"/>
      <c r="CTT190" s="3"/>
      <c r="CTU190" s="3"/>
      <c r="CTV190" s="3"/>
      <c r="CTW190" s="3"/>
      <c r="CTX190" s="3"/>
      <c r="CTY190" s="3"/>
      <c r="CTZ190" s="3"/>
      <c r="CUA190" s="3"/>
      <c r="CUB190" s="3"/>
      <c r="CUC190" s="3"/>
      <c r="CUD190" s="3"/>
      <c r="CUE190" s="3"/>
      <c r="CUF190" s="3"/>
      <c r="CUG190" s="3"/>
      <c r="CUH190" s="3"/>
      <c r="CUI190" s="3"/>
      <c r="CUJ190" s="3"/>
      <c r="CUK190" s="3"/>
      <c r="CUL190" s="3"/>
      <c r="CUM190" s="3"/>
      <c r="CUN190" s="3"/>
      <c r="CUO190" s="3"/>
      <c r="CUP190" s="3"/>
      <c r="CUQ190" s="3"/>
      <c r="CUR190" s="3"/>
      <c r="CUS190" s="3"/>
      <c r="CUT190" s="3"/>
      <c r="CUU190" s="3"/>
      <c r="CUV190" s="3"/>
      <c r="CUW190" s="3"/>
      <c r="CUX190" s="3"/>
      <c r="CUY190" s="3"/>
      <c r="CUZ190" s="3"/>
      <c r="CVA190" s="3"/>
      <c r="CVB190" s="3"/>
      <c r="CVC190" s="3"/>
      <c r="CVD190" s="3"/>
      <c r="CVE190" s="3"/>
      <c r="CVF190" s="3"/>
      <c r="CVG190" s="3"/>
      <c r="CVH190" s="3"/>
      <c r="CVI190" s="3"/>
      <c r="CVJ190" s="3"/>
      <c r="CVK190" s="3"/>
      <c r="CVL190" s="3"/>
      <c r="CVM190" s="3"/>
      <c r="CVN190" s="3"/>
      <c r="CVO190" s="3"/>
      <c r="CVP190" s="3"/>
      <c r="CVQ190" s="3"/>
      <c r="CVR190" s="3"/>
      <c r="CVS190" s="3"/>
      <c r="CVT190" s="3"/>
      <c r="CVU190" s="3"/>
      <c r="CVV190" s="3"/>
      <c r="CVW190" s="3"/>
      <c r="CVX190" s="3"/>
      <c r="CVY190" s="3"/>
      <c r="CVZ190" s="3"/>
      <c r="CWA190" s="3"/>
      <c r="CWB190" s="3"/>
      <c r="CWC190" s="3"/>
      <c r="CWD190" s="3"/>
      <c r="CWE190" s="3"/>
      <c r="CWF190" s="3"/>
      <c r="CWG190" s="3"/>
      <c r="CWH190" s="3"/>
      <c r="CWI190" s="3"/>
      <c r="CWJ190" s="3"/>
      <c r="CWK190" s="3"/>
      <c r="CWL190" s="3"/>
      <c r="CWM190" s="3"/>
      <c r="CWN190" s="3"/>
      <c r="CWO190" s="3"/>
      <c r="CWP190" s="3"/>
      <c r="CWQ190" s="3"/>
      <c r="CWR190" s="3"/>
      <c r="CWS190" s="3"/>
      <c r="CWT190" s="3"/>
      <c r="CWU190" s="3"/>
      <c r="CWV190" s="3"/>
      <c r="CWW190" s="3"/>
      <c r="CWX190" s="3"/>
      <c r="CWY190" s="3"/>
      <c r="CWZ190" s="3"/>
      <c r="CXA190" s="3"/>
      <c r="CXB190" s="3"/>
      <c r="CXC190" s="3"/>
      <c r="CXD190" s="3"/>
      <c r="CXE190" s="3"/>
      <c r="CXF190" s="3"/>
      <c r="CXG190" s="3"/>
      <c r="CXH190" s="3"/>
      <c r="CXI190" s="3"/>
      <c r="CXJ190" s="3"/>
      <c r="CXK190" s="3"/>
      <c r="CXL190" s="3"/>
      <c r="CXM190" s="3"/>
      <c r="CXN190" s="3"/>
      <c r="CXO190" s="3"/>
      <c r="CXP190" s="3"/>
      <c r="CXQ190" s="3"/>
      <c r="CXR190" s="3"/>
      <c r="CXS190" s="3"/>
      <c r="CXT190" s="3"/>
      <c r="CXU190" s="3"/>
      <c r="CXV190" s="3"/>
      <c r="CXW190" s="3"/>
      <c r="CXX190" s="3"/>
      <c r="CXY190" s="3"/>
      <c r="CXZ190" s="3"/>
      <c r="CYA190" s="3"/>
      <c r="CYB190" s="3"/>
      <c r="CYC190" s="3"/>
      <c r="CYD190" s="3"/>
      <c r="CYE190" s="3"/>
      <c r="CYF190" s="3"/>
      <c r="CYG190" s="3"/>
      <c r="CYH190" s="3"/>
      <c r="CYI190" s="3"/>
      <c r="CYJ190" s="3"/>
      <c r="CYK190" s="3"/>
      <c r="CYL190" s="3"/>
      <c r="CYM190" s="3"/>
      <c r="CYN190" s="3"/>
      <c r="CYO190" s="3"/>
      <c r="CYP190" s="3"/>
      <c r="CYQ190" s="3"/>
      <c r="CYR190" s="3"/>
      <c r="CYS190" s="3"/>
      <c r="CYT190" s="3"/>
      <c r="CYU190" s="3"/>
      <c r="CYV190" s="3"/>
      <c r="CYW190" s="3"/>
      <c r="CYX190" s="3"/>
      <c r="CYY190" s="3"/>
      <c r="CYZ190" s="3"/>
      <c r="CZA190" s="3"/>
      <c r="CZB190" s="3"/>
      <c r="CZC190" s="3"/>
      <c r="CZD190" s="3"/>
      <c r="CZE190" s="3"/>
      <c r="CZF190" s="3"/>
      <c r="CZG190" s="3"/>
      <c r="CZH190" s="3"/>
      <c r="CZI190" s="3"/>
      <c r="CZJ190" s="3"/>
      <c r="CZK190" s="3"/>
      <c r="CZL190" s="3"/>
      <c r="CZM190" s="3"/>
      <c r="CZN190" s="3"/>
      <c r="CZO190" s="3"/>
      <c r="CZP190" s="3"/>
      <c r="CZQ190" s="3"/>
      <c r="CZR190" s="3"/>
      <c r="CZS190" s="3"/>
      <c r="CZT190" s="3"/>
      <c r="CZU190" s="3"/>
      <c r="CZV190" s="3"/>
      <c r="CZW190" s="3"/>
      <c r="CZX190" s="3"/>
      <c r="CZY190" s="3"/>
      <c r="CZZ190" s="3"/>
      <c r="DAA190" s="3"/>
      <c r="DAB190" s="3"/>
      <c r="DAC190" s="3"/>
      <c r="DAD190" s="3"/>
      <c r="DAE190" s="3"/>
      <c r="DAF190" s="3"/>
      <c r="DAG190" s="3"/>
      <c r="DAH190" s="3"/>
      <c r="DAI190" s="3"/>
      <c r="DAJ190" s="3"/>
      <c r="DAK190" s="3"/>
      <c r="DAL190" s="3"/>
      <c r="DAM190" s="3"/>
      <c r="DAN190" s="3"/>
      <c r="DAO190" s="3"/>
      <c r="DAP190" s="3"/>
      <c r="DAQ190" s="3"/>
      <c r="DAR190" s="3"/>
      <c r="DAS190" s="3"/>
      <c r="DAT190" s="3"/>
      <c r="DAU190" s="3"/>
      <c r="DAV190" s="3"/>
      <c r="DAW190" s="3"/>
      <c r="DAX190" s="3"/>
      <c r="DAY190" s="3"/>
      <c r="DAZ190" s="3"/>
      <c r="DBA190" s="3"/>
      <c r="DBB190" s="3"/>
      <c r="DBC190" s="3"/>
      <c r="DBD190" s="3"/>
      <c r="DBE190" s="3"/>
      <c r="DBF190" s="3"/>
      <c r="DBG190" s="3"/>
      <c r="DBH190" s="3"/>
      <c r="DBI190" s="3"/>
      <c r="DBJ190" s="3"/>
      <c r="DBK190" s="3"/>
      <c r="DBL190" s="3"/>
      <c r="DBM190" s="3"/>
      <c r="DBN190" s="3"/>
      <c r="DBO190" s="3"/>
      <c r="DBP190" s="3"/>
      <c r="DBQ190" s="3"/>
      <c r="DBR190" s="3"/>
      <c r="DBS190" s="3"/>
      <c r="DBT190" s="3"/>
      <c r="DBU190" s="3"/>
      <c r="DBV190" s="3"/>
      <c r="DBW190" s="3"/>
      <c r="DBX190" s="3"/>
      <c r="DBY190" s="3"/>
      <c r="DBZ190" s="3"/>
      <c r="DCA190" s="3"/>
      <c r="DCB190" s="3"/>
      <c r="DCC190" s="3"/>
      <c r="DCD190" s="3"/>
      <c r="DCE190" s="3"/>
      <c r="DCF190" s="3"/>
      <c r="DCG190" s="3"/>
      <c r="DCH190" s="3"/>
      <c r="DCI190" s="3"/>
      <c r="DCJ190" s="3"/>
      <c r="DCK190" s="3"/>
      <c r="DCL190" s="3"/>
      <c r="DCM190" s="3"/>
      <c r="DCN190" s="3"/>
      <c r="DCO190" s="3"/>
      <c r="DCP190" s="3"/>
      <c r="DCQ190" s="3"/>
      <c r="DCR190" s="3"/>
      <c r="DCS190" s="3"/>
      <c r="DCT190" s="3"/>
      <c r="DCU190" s="3"/>
      <c r="DCV190" s="3"/>
      <c r="DCW190" s="3"/>
      <c r="DCX190" s="3"/>
      <c r="DCY190" s="3"/>
      <c r="DCZ190" s="3"/>
      <c r="DDA190" s="3"/>
      <c r="DDB190" s="3"/>
      <c r="DDC190" s="3"/>
      <c r="DDD190" s="3"/>
      <c r="DDE190" s="3"/>
      <c r="DDF190" s="3"/>
      <c r="DDG190" s="3"/>
      <c r="DDH190" s="3"/>
      <c r="DDI190" s="3"/>
      <c r="DDJ190" s="3"/>
      <c r="DDK190" s="3"/>
      <c r="DDL190" s="3"/>
      <c r="DDM190" s="3"/>
      <c r="DDN190" s="3"/>
      <c r="DDO190" s="3"/>
      <c r="DDP190" s="3"/>
      <c r="DDQ190" s="3"/>
      <c r="DDR190" s="3"/>
      <c r="DDS190" s="3"/>
      <c r="DDT190" s="3"/>
      <c r="DDU190" s="3"/>
      <c r="DDV190" s="3"/>
      <c r="DDW190" s="3"/>
      <c r="DDX190" s="3"/>
      <c r="DDY190" s="3"/>
      <c r="DDZ190" s="3"/>
      <c r="DEA190" s="3"/>
      <c r="DEB190" s="3"/>
      <c r="DEC190" s="3"/>
      <c r="DED190" s="3"/>
      <c r="DEE190" s="3"/>
      <c r="DEF190" s="3"/>
      <c r="DEG190" s="3"/>
      <c r="DEH190" s="3"/>
      <c r="DEI190" s="3"/>
      <c r="DEJ190" s="3"/>
      <c r="DEK190" s="3"/>
      <c r="DEL190" s="3"/>
      <c r="DEM190" s="3"/>
      <c r="DEN190" s="3"/>
      <c r="DEO190" s="3"/>
      <c r="DEP190" s="3"/>
      <c r="DEQ190" s="3"/>
      <c r="DER190" s="3"/>
      <c r="DES190" s="3"/>
      <c r="DET190" s="3"/>
      <c r="DEU190" s="3"/>
      <c r="DEV190" s="3"/>
      <c r="DEW190" s="3"/>
      <c r="DEX190" s="3"/>
      <c r="DEY190" s="3"/>
      <c r="DEZ190" s="3"/>
      <c r="DFA190" s="3"/>
      <c r="DFB190" s="3"/>
      <c r="DFC190" s="3"/>
      <c r="DFD190" s="3"/>
      <c r="DFE190" s="3"/>
      <c r="DFF190" s="3"/>
      <c r="DFG190" s="3"/>
      <c r="DFH190" s="3"/>
      <c r="DFI190" s="3"/>
      <c r="DFJ190" s="3"/>
      <c r="DFK190" s="3"/>
      <c r="DFL190" s="3"/>
      <c r="DFM190" s="3"/>
      <c r="DFN190" s="3"/>
      <c r="DFO190" s="3"/>
      <c r="DFP190" s="3"/>
      <c r="DFQ190" s="3"/>
      <c r="DFR190" s="3"/>
      <c r="DFS190" s="3"/>
      <c r="DFT190" s="3"/>
      <c r="DFU190" s="3"/>
      <c r="DFV190" s="3"/>
      <c r="DFW190" s="3"/>
      <c r="DFX190" s="3"/>
      <c r="DFY190" s="3"/>
      <c r="DFZ190" s="3"/>
      <c r="DGA190" s="3"/>
      <c r="DGB190" s="3"/>
      <c r="DGC190" s="3"/>
      <c r="DGD190" s="3"/>
      <c r="DGE190" s="3"/>
      <c r="DGF190" s="3"/>
      <c r="DGG190" s="3"/>
      <c r="DGH190" s="3"/>
      <c r="DGI190" s="3"/>
      <c r="DGJ190" s="3"/>
      <c r="DGK190" s="3"/>
      <c r="DGL190" s="3"/>
      <c r="DGM190" s="3"/>
      <c r="DGN190" s="3"/>
      <c r="DGO190" s="3"/>
      <c r="DGP190" s="3"/>
      <c r="DGQ190" s="3"/>
      <c r="DGR190" s="3"/>
      <c r="DGS190" s="3"/>
      <c r="DGT190" s="3"/>
      <c r="DGU190" s="3"/>
      <c r="DGV190" s="3"/>
      <c r="DGW190" s="3"/>
      <c r="DGX190" s="3"/>
      <c r="DGY190" s="3"/>
      <c r="DGZ190" s="3"/>
      <c r="DHA190" s="3"/>
      <c r="DHB190" s="3"/>
      <c r="DHC190" s="3"/>
      <c r="DHD190" s="3"/>
      <c r="DHE190" s="3"/>
      <c r="DHF190" s="3"/>
      <c r="DHG190" s="3"/>
      <c r="DHH190" s="3"/>
      <c r="DHI190" s="3"/>
      <c r="DHJ190" s="3"/>
      <c r="DHK190" s="3"/>
      <c r="DHL190" s="3"/>
      <c r="DHM190" s="3"/>
      <c r="DHN190" s="3"/>
      <c r="DHO190" s="3"/>
      <c r="DHP190" s="3"/>
      <c r="DHQ190" s="3"/>
      <c r="DHR190" s="3"/>
      <c r="DHS190" s="3"/>
      <c r="DHT190" s="3"/>
      <c r="DHU190" s="3"/>
      <c r="DHV190" s="3"/>
      <c r="DHW190" s="3"/>
      <c r="DHX190" s="3"/>
      <c r="DHY190" s="3"/>
      <c r="DHZ190" s="3"/>
      <c r="DIA190" s="3"/>
      <c r="DIB190" s="3"/>
      <c r="DIC190" s="3"/>
      <c r="DID190" s="3"/>
      <c r="DIE190" s="3"/>
      <c r="DIF190" s="3"/>
      <c r="DIG190" s="3"/>
      <c r="DIH190" s="3"/>
      <c r="DII190" s="3"/>
      <c r="DIJ190" s="3"/>
      <c r="DIK190" s="3"/>
      <c r="DIL190" s="3"/>
      <c r="DIM190" s="3"/>
      <c r="DIN190" s="3"/>
      <c r="DIO190" s="3"/>
      <c r="DIP190" s="3"/>
      <c r="DIQ190" s="3"/>
      <c r="DIR190" s="3"/>
      <c r="DIS190" s="3"/>
      <c r="DIT190" s="3"/>
      <c r="DIU190" s="3"/>
      <c r="DIV190" s="3"/>
      <c r="DIW190" s="3"/>
      <c r="DIX190" s="3"/>
      <c r="DIY190" s="3"/>
      <c r="DIZ190" s="3"/>
      <c r="DJA190" s="3"/>
      <c r="DJB190" s="3"/>
      <c r="DJC190" s="3"/>
      <c r="DJD190" s="3"/>
      <c r="DJE190" s="3"/>
      <c r="DJF190" s="3"/>
      <c r="DJG190" s="3"/>
      <c r="DJH190" s="3"/>
      <c r="DJI190" s="3"/>
      <c r="DJJ190" s="3"/>
      <c r="DJK190" s="3"/>
      <c r="DJL190" s="3"/>
      <c r="DJM190" s="3"/>
      <c r="DJN190" s="3"/>
      <c r="DJO190" s="3"/>
      <c r="DJP190" s="3"/>
      <c r="DJQ190" s="3"/>
      <c r="DJR190" s="3"/>
      <c r="DJS190" s="3"/>
      <c r="DJT190" s="3"/>
      <c r="DJU190" s="3"/>
      <c r="DJV190" s="3"/>
      <c r="DJW190" s="3"/>
      <c r="DJX190" s="3"/>
      <c r="DJY190" s="3"/>
      <c r="DJZ190" s="3"/>
      <c r="DKA190" s="3"/>
      <c r="DKB190" s="3"/>
      <c r="DKC190" s="3"/>
      <c r="DKD190" s="3"/>
      <c r="DKE190" s="3"/>
      <c r="DKF190" s="3"/>
      <c r="DKG190" s="3"/>
      <c r="DKH190" s="3"/>
      <c r="DKI190" s="3"/>
      <c r="DKJ190" s="3"/>
      <c r="DKK190" s="3"/>
      <c r="DKL190" s="3"/>
      <c r="DKM190" s="3"/>
      <c r="DKN190" s="3"/>
      <c r="DKO190" s="3"/>
      <c r="DKP190" s="3"/>
      <c r="DKQ190" s="3"/>
      <c r="DKR190" s="3"/>
      <c r="DKS190" s="3"/>
      <c r="DKT190" s="3"/>
      <c r="DKU190" s="3"/>
      <c r="DKV190" s="3"/>
      <c r="DKW190" s="3"/>
      <c r="DKX190" s="3"/>
      <c r="DKY190" s="3"/>
      <c r="DKZ190" s="3"/>
      <c r="DLA190" s="3"/>
      <c r="DLB190" s="3"/>
      <c r="DLC190" s="3"/>
      <c r="DLD190" s="3"/>
      <c r="DLE190" s="3"/>
      <c r="DLF190" s="3"/>
      <c r="DLG190" s="3"/>
      <c r="DLH190" s="3"/>
      <c r="DLI190" s="3"/>
      <c r="DLJ190" s="3"/>
      <c r="DLK190" s="3"/>
      <c r="DLL190" s="3"/>
      <c r="DLM190" s="3"/>
      <c r="DLN190" s="3"/>
      <c r="DLO190" s="3"/>
      <c r="DLP190" s="3"/>
      <c r="DLQ190" s="3"/>
      <c r="DLR190" s="3"/>
      <c r="DLS190" s="3"/>
      <c r="DLT190" s="3"/>
      <c r="DLU190" s="3"/>
      <c r="DLV190" s="3"/>
      <c r="DLW190" s="3"/>
      <c r="DLX190" s="3"/>
      <c r="DLY190" s="3"/>
      <c r="DLZ190" s="3"/>
      <c r="DMA190" s="3"/>
      <c r="DMB190" s="3"/>
      <c r="DMC190" s="3"/>
      <c r="DMD190" s="3"/>
      <c r="DME190" s="3"/>
      <c r="DMF190" s="3"/>
      <c r="DMG190" s="3"/>
      <c r="DMH190" s="3"/>
      <c r="DMI190" s="3"/>
      <c r="DMJ190" s="3"/>
      <c r="DMK190" s="3"/>
      <c r="DML190" s="3"/>
      <c r="DMM190" s="3"/>
      <c r="DMN190" s="3"/>
      <c r="DMO190" s="3"/>
      <c r="DMP190" s="3"/>
      <c r="DMQ190" s="3"/>
      <c r="DMR190" s="3"/>
      <c r="DMS190" s="3"/>
      <c r="DMT190" s="3"/>
      <c r="DMU190" s="3"/>
      <c r="DMV190" s="3"/>
      <c r="DMW190" s="3"/>
      <c r="DMX190" s="3"/>
      <c r="DMY190" s="3"/>
      <c r="DMZ190" s="3"/>
      <c r="DNA190" s="3"/>
      <c r="DNB190" s="3"/>
      <c r="DNC190" s="3"/>
      <c r="DND190" s="3"/>
      <c r="DNE190" s="3"/>
      <c r="DNF190" s="3"/>
      <c r="DNG190" s="3"/>
      <c r="DNH190" s="3"/>
      <c r="DNI190" s="3"/>
      <c r="DNJ190" s="3"/>
      <c r="DNK190" s="3"/>
      <c r="DNL190" s="3"/>
      <c r="DNM190" s="3"/>
      <c r="DNN190" s="3"/>
      <c r="DNO190" s="3"/>
      <c r="DNP190" s="3"/>
      <c r="DNQ190" s="3"/>
      <c r="DNR190" s="3"/>
      <c r="DNS190" s="3"/>
      <c r="DNT190" s="3"/>
      <c r="DNU190" s="3"/>
      <c r="DNV190" s="3"/>
      <c r="DNW190" s="3"/>
      <c r="DNX190" s="3"/>
      <c r="DNY190" s="3"/>
      <c r="DNZ190" s="3"/>
      <c r="DOA190" s="3"/>
      <c r="DOB190" s="3"/>
      <c r="DOC190" s="3"/>
      <c r="DOD190" s="3"/>
      <c r="DOE190" s="3"/>
      <c r="DOF190" s="3"/>
      <c r="DOG190" s="3"/>
      <c r="DOH190" s="3"/>
      <c r="DOI190" s="3"/>
      <c r="DOJ190" s="3"/>
      <c r="DOK190" s="3"/>
      <c r="DOL190" s="3"/>
      <c r="DOM190" s="3"/>
      <c r="DON190" s="3"/>
      <c r="DOO190" s="3"/>
      <c r="DOP190" s="3"/>
      <c r="DOQ190" s="3"/>
      <c r="DOR190" s="3"/>
      <c r="DOS190" s="3"/>
      <c r="DOT190" s="3"/>
      <c r="DOU190" s="3"/>
      <c r="DOV190" s="3"/>
      <c r="DOW190" s="3"/>
      <c r="DOX190" s="3"/>
      <c r="DOY190" s="3"/>
      <c r="DOZ190" s="3"/>
      <c r="DPA190" s="3"/>
      <c r="DPB190" s="3"/>
      <c r="DPC190" s="3"/>
      <c r="DPD190" s="3"/>
      <c r="DPE190" s="3"/>
      <c r="DPF190" s="3"/>
      <c r="DPG190" s="3"/>
      <c r="DPH190" s="3"/>
      <c r="DPI190" s="3"/>
      <c r="DPJ190" s="3"/>
      <c r="DPK190" s="3"/>
      <c r="DPL190" s="3"/>
      <c r="DPM190" s="3"/>
      <c r="DPN190" s="3"/>
      <c r="DPO190" s="3"/>
      <c r="DPP190" s="3"/>
      <c r="DPQ190" s="3"/>
      <c r="DPR190" s="3"/>
      <c r="DPS190" s="3"/>
      <c r="DPT190" s="3"/>
      <c r="DPU190" s="3"/>
      <c r="DPV190" s="3"/>
      <c r="DPW190" s="3"/>
      <c r="DPX190" s="3"/>
      <c r="DPY190" s="3"/>
      <c r="DPZ190" s="3"/>
      <c r="DQA190" s="3"/>
      <c r="DQB190" s="3"/>
      <c r="DQC190" s="3"/>
      <c r="DQD190" s="3"/>
      <c r="DQE190" s="3"/>
      <c r="DQF190" s="3"/>
      <c r="DQG190" s="3"/>
      <c r="DQH190" s="3"/>
      <c r="DQI190" s="3"/>
      <c r="DQJ190" s="3"/>
      <c r="DQK190" s="3"/>
      <c r="DQL190" s="3"/>
      <c r="DQM190" s="3"/>
      <c r="DQN190" s="3"/>
      <c r="DQO190" s="3"/>
      <c r="DQP190" s="3"/>
      <c r="DQQ190" s="3"/>
      <c r="DQR190" s="3"/>
      <c r="DQS190" s="3"/>
      <c r="DQT190" s="3"/>
      <c r="DQU190" s="3"/>
      <c r="DQV190" s="3"/>
      <c r="DQW190" s="3"/>
      <c r="DQX190" s="3"/>
      <c r="DQY190" s="3"/>
      <c r="DQZ190" s="3"/>
      <c r="DRA190" s="3"/>
      <c r="DRB190" s="3"/>
      <c r="DRC190" s="3"/>
      <c r="DRD190" s="3"/>
      <c r="DRE190" s="3"/>
      <c r="DRF190" s="3"/>
      <c r="DRG190" s="3"/>
      <c r="DRH190" s="3"/>
      <c r="DRI190" s="3"/>
      <c r="DRJ190" s="3"/>
      <c r="DRK190" s="3"/>
      <c r="DRL190" s="3"/>
      <c r="DRM190" s="3"/>
      <c r="DRN190" s="3"/>
      <c r="DRO190" s="3"/>
      <c r="DRP190" s="3"/>
      <c r="DRQ190" s="3"/>
      <c r="DRR190" s="3"/>
      <c r="DRS190" s="3"/>
      <c r="DRT190" s="3"/>
      <c r="DRU190" s="3"/>
      <c r="DRV190" s="3"/>
      <c r="DRW190" s="3"/>
      <c r="DRX190" s="3"/>
      <c r="DRY190" s="3"/>
      <c r="DRZ190" s="3"/>
      <c r="DSA190" s="3"/>
      <c r="DSB190" s="3"/>
      <c r="DSC190" s="3"/>
      <c r="DSD190" s="3"/>
      <c r="DSE190" s="3"/>
      <c r="DSF190" s="3"/>
      <c r="DSG190" s="3"/>
      <c r="DSH190" s="3"/>
      <c r="DSI190" s="3"/>
      <c r="DSJ190" s="3"/>
      <c r="DSK190" s="3"/>
      <c r="DSL190" s="3"/>
      <c r="DSM190" s="3"/>
      <c r="DSN190" s="3"/>
      <c r="DSO190" s="3"/>
      <c r="DSP190" s="3"/>
      <c r="DSQ190" s="3"/>
      <c r="DSR190" s="3"/>
      <c r="DSS190" s="3"/>
      <c r="DST190" s="3"/>
      <c r="DSU190" s="3"/>
      <c r="DSV190" s="3"/>
      <c r="DSW190" s="3"/>
      <c r="DSX190" s="3"/>
      <c r="DSY190" s="3"/>
      <c r="DSZ190" s="3"/>
      <c r="DTA190" s="3"/>
      <c r="DTB190" s="3"/>
      <c r="DTC190" s="3"/>
      <c r="DTD190" s="3"/>
      <c r="DTE190" s="3"/>
      <c r="DTF190" s="3"/>
      <c r="DTG190" s="3"/>
      <c r="DTH190" s="3"/>
      <c r="DTI190" s="3"/>
      <c r="DTJ190" s="3"/>
      <c r="DTK190" s="3"/>
      <c r="DTL190" s="3"/>
      <c r="DTM190" s="3"/>
      <c r="DTN190" s="3"/>
      <c r="DTO190" s="3"/>
      <c r="DTP190" s="3"/>
      <c r="DTQ190" s="3"/>
      <c r="DTR190" s="3"/>
      <c r="DTS190" s="3"/>
      <c r="DTT190" s="3"/>
      <c r="DTU190" s="3"/>
      <c r="DTV190" s="3"/>
      <c r="DTW190" s="3"/>
      <c r="DTX190" s="3"/>
      <c r="DTY190" s="3"/>
      <c r="DTZ190" s="3"/>
      <c r="DUA190" s="3"/>
      <c r="DUB190" s="3"/>
      <c r="DUC190" s="3"/>
      <c r="DUD190" s="3"/>
      <c r="DUE190" s="3"/>
      <c r="DUF190" s="3"/>
      <c r="DUG190" s="3"/>
      <c r="DUH190" s="3"/>
      <c r="DUI190" s="3"/>
      <c r="DUJ190" s="3"/>
      <c r="DUK190" s="3"/>
      <c r="DUL190" s="3"/>
      <c r="DUM190" s="3"/>
      <c r="DUN190" s="3"/>
      <c r="DUO190" s="3"/>
      <c r="DUP190" s="3"/>
      <c r="DUQ190" s="3"/>
      <c r="DUR190" s="3"/>
      <c r="DUS190" s="3"/>
      <c r="DUT190" s="3"/>
      <c r="DUU190" s="3"/>
      <c r="DUV190" s="3"/>
      <c r="DUW190" s="3"/>
      <c r="DUX190" s="3"/>
      <c r="DUY190" s="3"/>
      <c r="DUZ190" s="3"/>
      <c r="DVA190" s="3"/>
      <c r="DVB190" s="3"/>
      <c r="DVC190" s="3"/>
      <c r="DVD190" s="3"/>
      <c r="DVE190" s="3"/>
      <c r="DVF190" s="3"/>
      <c r="DVG190" s="3"/>
      <c r="DVH190" s="3"/>
      <c r="DVI190" s="3"/>
      <c r="DVJ190" s="3"/>
      <c r="DVK190" s="3"/>
      <c r="DVL190" s="3"/>
      <c r="DVM190" s="3"/>
      <c r="DVN190" s="3"/>
      <c r="DVO190" s="3"/>
      <c r="DVP190" s="3"/>
      <c r="DVQ190" s="3"/>
      <c r="DVR190" s="3"/>
      <c r="DVS190" s="3"/>
      <c r="DVT190" s="3"/>
      <c r="DVU190" s="3"/>
      <c r="DVV190" s="3"/>
      <c r="DVW190" s="3"/>
      <c r="DVX190" s="3"/>
      <c r="DVY190" s="3"/>
      <c r="DVZ190" s="3"/>
      <c r="DWA190" s="3"/>
      <c r="DWB190" s="3"/>
      <c r="DWC190" s="3"/>
      <c r="DWD190" s="3"/>
      <c r="DWE190" s="3"/>
      <c r="DWF190" s="3"/>
      <c r="DWG190" s="3"/>
      <c r="DWH190" s="3"/>
      <c r="DWI190" s="3"/>
      <c r="DWJ190" s="3"/>
      <c r="DWK190" s="3"/>
      <c r="DWL190" s="3"/>
      <c r="DWM190" s="3"/>
      <c r="DWN190" s="3"/>
      <c r="DWO190" s="3"/>
      <c r="DWP190" s="3"/>
      <c r="DWQ190" s="3"/>
      <c r="DWR190" s="3"/>
      <c r="DWS190" s="3"/>
      <c r="DWT190" s="3"/>
      <c r="DWU190" s="3"/>
      <c r="DWV190" s="3"/>
      <c r="DWW190" s="3"/>
      <c r="DWX190" s="3"/>
      <c r="DWY190" s="3"/>
      <c r="DWZ190" s="3"/>
      <c r="DXA190" s="3"/>
      <c r="DXB190" s="3"/>
      <c r="DXC190" s="3"/>
      <c r="DXD190" s="3"/>
      <c r="DXE190" s="3"/>
      <c r="DXF190" s="3"/>
      <c r="DXG190" s="3"/>
      <c r="DXH190" s="3"/>
      <c r="DXI190" s="3"/>
      <c r="DXJ190" s="3"/>
      <c r="DXK190" s="3"/>
      <c r="DXL190" s="3"/>
      <c r="DXM190" s="3"/>
      <c r="DXN190" s="3"/>
      <c r="DXO190" s="3"/>
      <c r="DXP190" s="3"/>
      <c r="DXQ190" s="3"/>
      <c r="DXR190" s="3"/>
      <c r="DXS190" s="3"/>
      <c r="DXT190" s="3"/>
      <c r="DXU190" s="3"/>
      <c r="DXV190" s="3"/>
      <c r="DXW190" s="3"/>
      <c r="DXX190" s="3"/>
      <c r="DXY190" s="3"/>
      <c r="DXZ190" s="3"/>
      <c r="DYA190" s="3"/>
      <c r="DYB190" s="3"/>
      <c r="DYC190" s="3"/>
      <c r="DYD190" s="3"/>
      <c r="DYE190" s="3"/>
      <c r="DYF190" s="3"/>
      <c r="DYG190" s="3"/>
      <c r="DYH190" s="3"/>
      <c r="DYI190" s="3"/>
      <c r="DYJ190" s="3"/>
      <c r="DYK190" s="3"/>
      <c r="DYL190" s="3"/>
      <c r="DYM190" s="3"/>
      <c r="DYN190" s="3"/>
      <c r="DYO190" s="3"/>
      <c r="DYP190" s="3"/>
      <c r="DYQ190" s="3"/>
      <c r="DYR190" s="3"/>
      <c r="DYS190" s="3"/>
      <c r="DYT190" s="3"/>
      <c r="DYU190" s="3"/>
      <c r="DYV190" s="3"/>
      <c r="DYW190" s="3"/>
      <c r="DYX190" s="3"/>
      <c r="DYY190" s="3"/>
      <c r="DYZ190" s="3"/>
      <c r="DZA190" s="3"/>
      <c r="DZB190" s="3"/>
      <c r="DZC190" s="3"/>
      <c r="DZD190" s="3"/>
      <c r="DZE190" s="3"/>
      <c r="DZF190" s="3"/>
      <c r="DZG190" s="3"/>
      <c r="DZH190" s="3"/>
      <c r="DZI190" s="3"/>
      <c r="DZJ190" s="3"/>
      <c r="DZK190" s="3"/>
      <c r="DZL190" s="3"/>
      <c r="DZM190" s="3"/>
      <c r="DZN190" s="3"/>
      <c r="DZO190" s="3"/>
      <c r="DZP190" s="3"/>
      <c r="DZQ190" s="3"/>
      <c r="DZR190" s="3"/>
      <c r="DZS190" s="3"/>
      <c r="DZT190" s="3"/>
      <c r="DZU190" s="3"/>
      <c r="DZV190" s="3"/>
      <c r="DZW190" s="3"/>
      <c r="DZX190" s="3"/>
      <c r="DZY190" s="3"/>
      <c r="DZZ190" s="3"/>
      <c r="EAA190" s="3"/>
      <c r="EAB190" s="3"/>
      <c r="EAC190" s="3"/>
      <c r="EAD190" s="3"/>
      <c r="EAE190" s="3"/>
      <c r="EAF190" s="3"/>
      <c r="EAG190" s="3"/>
      <c r="EAH190" s="3"/>
      <c r="EAI190" s="3"/>
      <c r="EAJ190" s="3"/>
      <c r="EAK190" s="3"/>
      <c r="EAL190" s="3"/>
      <c r="EAM190" s="3"/>
      <c r="EAN190" s="3"/>
      <c r="EAO190" s="3"/>
      <c r="EAP190" s="3"/>
      <c r="EAQ190" s="3"/>
      <c r="EAR190" s="3"/>
      <c r="EAS190" s="3"/>
      <c r="EAT190" s="3"/>
      <c r="EAU190" s="3"/>
      <c r="EAV190" s="3"/>
      <c r="EAW190" s="3"/>
      <c r="EAX190" s="3"/>
      <c r="EAY190" s="3"/>
      <c r="EAZ190" s="3"/>
      <c r="EBA190" s="3"/>
      <c r="EBB190" s="3"/>
      <c r="EBC190" s="3"/>
      <c r="EBD190" s="3"/>
      <c r="EBE190" s="3"/>
      <c r="EBF190" s="3"/>
      <c r="EBG190" s="3"/>
      <c r="EBH190" s="3"/>
      <c r="EBI190" s="3"/>
      <c r="EBJ190" s="3"/>
      <c r="EBK190" s="3"/>
      <c r="EBL190" s="3"/>
      <c r="EBM190" s="3"/>
      <c r="EBN190" s="3"/>
      <c r="EBO190" s="3"/>
      <c r="EBP190" s="3"/>
      <c r="EBQ190" s="3"/>
      <c r="EBR190" s="3"/>
      <c r="EBS190" s="3"/>
      <c r="EBT190" s="3"/>
      <c r="EBU190" s="3"/>
      <c r="EBV190" s="3"/>
      <c r="EBW190" s="3"/>
      <c r="EBX190" s="3"/>
      <c r="EBY190" s="3"/>
      <c r="EBZ190" s="3"/>
      <c r="ECA190" s="3"/>
      <c r="ECB190" s="3"/>
      <c r="ECC190" s="3"/>
      <c r="ECD190" s="3"/>
      <c r="ECE190" s="3"/>
      <c r="ECF190" s="3"/>
      <c r="ECG190" s="3"/>
      <c r="ECH190" s="3"/>
      <c r="ECI190" s="3"/>
      <c r="ECJ190" s="3"/>
      <c r="ECK190" s="3"/>
      <c r="ECL190" s="3"/>
      <c r="ECM190" s="3"/>
      <c r="ECN190" s="3"/>
      <c r="ECO190" s="3"/>
      <c r="ECP190" s="3"/>
      <c r="ECQ190" s="3"/>
      <c r="ECR190" s="3"/>
      <c r="ECS190" s="3"/>
      <c r="ECT190" s="3"/>
      <c r="ECU190" s="3"/>
      <c r="ECV190" s="3"/>
      <c r="ECW190" s="3"/>
      <c r="ECX190" s="3"/>
      <c r="ECY190" s="3"/>
      <c r="ECZ190" s="3"/>
      <c r="EDA190" s="3"/>
      <c r="EDB190" s="3"/>
      <c r="EDC190" s="3"/>
      <c r="EDD190" s="3"/>
      <c r="EDE190" s="3"/>
      <c r="EDF190" s="3"/>
      <c r="EDG190" s="3"/>
      <c r="EDH190" s="3"/>
      <c r="EDI190" s="3"/>
      <c r="EDJ190" s="3"/>
      <c r="EDK190" s="3"/>
      <c r="EDL190" s="3"/>
      <c r="EDM190" s="3"/>
      <c r="EDN190" s="3"/>
      <c r="EDO190" s="3"/>
      <c r="EDP190" s="3"/>
      <c r="EDQ190" s="3"/>
      <c r="EDR190" s="3"/>
      <c r="EDS190" s="3"/>
      <c r="EDT190" s="3"/>
      <c r="EDU190" s="3"/>
      <c r="EDV190" s="3"/>
      <c r="EDW190" s="3"/>
      <c r="EDX190" s="3"/>
      <c r="EDY190" s="3"/>
      <c r="EDZ190" s="3"/>
      <c r="EEA190" s="3"/>
      <c r="EEB190" s="3"/>
      <c r="EEC190" s="3"/>
      <c r="EED190" s="3"/>
      <c r="EEE190" s="3"/>
      <c r="EEF190" s="3"/>
      <c r="EEG190" s="3"/>
      <c r="EEH190" s="3"/>
      <c r="EEI190" s="3"/>
      <c r="EEJ190" s="3"/>
      <c r="EEK190" s="3"/>
      <c r="EEL190" s="3"/>
      <c r="EEM190" s="3"/>
      <c r="EEN190" s="3"/>
      <c r="EEO190" s="3"/>
      <c r="EEP190" s="3"/>
      <c r="EEQ190" s="3"/>
      <c r="EER190" s="3"/>
      <c r="EES190" s="3"/>
      <c r="EET190" s="3"/>
      <c r="EEU190" s="3"/>
      <c r="EEV190" s="3"/>
      <c r="EEW190" s="3"/>
      <c r="EEX190" s="3"/>
      <c r="EEY190" s="3"/>
      <c r="EEZ190" s="3"/>
      <c r="EFA190" s="3"/>
      <c r="EFB190" s="3"/>
      <c r="EFC190" s="3"/>
      <c r="EFD190" s="3"/>
      <c r="EFE190" s="3"/>
      <c r="EFF190" s="3"/>
      <c r="EFG190" s="3"/>
      <c r="EFH190" s="3"/>
      <c r="EFI190" s="3"/>
      <c r="EFJ190" s="3"/>
      <c r="EFK190" s="3"/>
      <c r="EFL190" s="3"/>
      <c r="EFM190" s="3"/>
      <c r="EFN190" s="3"/>
      <c r="EFO190" s="3"/>
      <c r="EFP190" s="3"/>
      <c r="EFQ190" s="3"/>
      <c r="EFR190" s="3"/>
      <c r="EFS190" s="3"/>
      <c r="EFT190" s="3"/>
      <c r="EFU190" s="3"/>
      <c r="EFV190" s="3"/>
      <c r="EFW190" s="3"/>
      <c r="EFX190" s="3"/>
      <c r="EFY190" s="3"/>
      <c r="EFZ190" s="3"/>
      <c r="EGA190" s="3"/>
      <c r="EGB190" s="3"/>
      <c r="EGC190" s="3"/>
      <c r="EGD190" s="3"/>
      <c r="EGE190" s="3"/>
      <c r="EGF190" s="3"/>
      <c r="EGG190" s="3"/>
      <c r="EGH190" s="3"/>
      <c r="EGI190" s="3"/>
      <c r="EGJ190" s="3"/>
      <c r="EGK190" s="3"/>
      <c r="EGL190" s="3"/>
      <c r="EGM190" s="3"/>
      <c r="EGN190" s="3"/>
      <c r="EGO190" s="3"/>
      <c r="EGP190" s="3"/>
      <c r="EGQ190" s="3"/>
      <c r="EGR190" s="3"/>
      <c r="EGS190" s="3"/>
      <c r="EGT190" s="3"/>
      <c r="EGU190" s="3"/>
      <c r="EGV190" s="3"/>
      <c r="EGW190" s="3"/>
      <c r="EGX190" s="3"/>
      <c r="EGY190" s="3"/>
      <c r="EGZ190" s="3"/>
      <c r="EHA190" s="3"/>
      <c r="EHB190" s="3"/>
      <c r="EHC190" s="3"/>
      <c r="EHD190" s="3"/>
      <c r="EHE190" s="3"/>
      <c r="EHF190" s="3"/>
      <c r="EHG190" s="3"/>
      <c r="EHH190" s="3"/>
      <c r="EHI190" s="3"/>
      <c r="EHJ190" s="3"/>
      <c r="EHK190" s="3"/>
      <c r="EHL190" s="3"/>
      <c r="EHM190" s="3"/>
      <c r="EHN190" s="3"/>
      <c r="EHO190" s="3"/>
      <c r="EHP190" s="3"/>
      <c r="EHQ190" s="3"/>
      <c r="EHR190" s="3"/>
      <c r="EHS190" s="3"/>
      <c r="EHT190" s="3"/>
      <c r="EHU190" s="3"/>
      <c r="EHV190" s="3"/>
      <c r="EHW190" s="3"/>
      <c r="EHX190" s="3"/>
      <c r="EHY190" s="3"/>
      <c r="EHZ190" s="3"/>
      <c r="EIA190" s="3"/>
      <c r="EIB190" s="3"/>
      <c r="EIC190" s="3"/>
      <c r="EID190" s="3"/>
      <c r="EIE190" s="3"/>
      <c r="EIF190" s="3"/>
      <c r="EIG190" s="3"/>
      <c r="EIH190" s="3"/>
      <c r="EII190" s="3"/>
      <c r="EIJ190" s="3"/>
      <c r="EIK190" s="3"/>
      <c r="EIL190" s="3"/>
      <c r="EIM190" s="3"/>
      <c r="EIN190" s="3"/>
      <c r="EIO190" s="3"/>
      <c r="EIP190" s="3"/>
      <c r="EIQ190" s="3"/>
      <c r="EIR190" s="3"/>
      <c r="EIS190" s="3"/>
      <c r="EIT190" s="3"/>
      <c r="EIU190" s="3"/>
      <c r="EIV190" s="3"/>
      <c r="EIW190" s="3"/>
      <c r="EIX190" s="3"/>
      <c r="EIY190" s="3"/>
      <c r="EIZ190" s="3"/>
      <c r="EJA190" s="3"/>
      <c r="EJB190" s="3"/>
      <c r="EJC190" s="3"/>
      <c r="EJD190" s="3"/>
      <c r="EJE190" s="3"/>
      <c r="EJF190" s="3"/>
      <c r="EJG190" s="3"/>
      <c r="EJH190" s="3"/>
      <c r="EJI190" s="3"/>
      <c r="EJJ190" s="3"/>
      <c r="EJK190" s="3"/>
      <c r="EJL190" s="3"/>
      <c r="EJM190" s="3"/>
      <c r="EJN190" s="3"/>
      <c r="EJO190" s="3"/>
      <c r="EJP190" s="3"/>
      <c r="EJQ190" s="3"/>
      <c r="EJR190" s="3"/>
      <c r="EJS190" s="3"/>
      <c r="EJT190" s="3"/>
      <c r="EJU190" s="3"/>
      <c r="EJV190" s="3"/>
      <c r="EJW190" s="3"/>
      <c r="EJX190" s="3"/>
      <c r="EJY190" s="3"/>
      <c r="EJZ190" s="3"/>
      <c r="EKA190" s="3"/>
      <c r="EKB190" s="3"/>
      <c r="EKC190" s="3"/>
      <c r="EKD190" s="3"/>
      <c r="EKE190" s="3"/>
      <c r="EKF190" s="3"/>
      <c r="EKG190" s="3"/>
      <c r="EKH190" s="3"/>
      <c r="EKI190" s="3"/>
      <c r="EKJ190" s="3"/>
      <c r="EKK190" s="3"/>
      <c r="EKL190" s="3"/>
      <c r="EKM190" s="3"/>
      <c r="EKN190" s="3"/>
      <c r="EKO190" s="3"/>
      <c r="EKP190" s="3"/>
      <c r="EKQ190" s="3"/>
      <c r="EKR190" s="3"/>
      <c r="EKS190" s="3"/>
      <c r="EKT190" s="3"/>
      <c r="EKU190" s="3"/>
      <c r="EKV190" s="3"/>
      <c r="EKW190" s="3"/>
      <c r="EKX190" s="3"/>
      <c r="EKY190" s="3"/>
      <c r="EKZ190" s="3"/>
      <c r="ELA190" s="3"/>
      <c r="ELB190" s="3"/>
      <c r="ELC190" s="3"/>
      <c r="ELD190" s="3"/>
      <c r="ELE190" s="3"/>
      <c r="ELF190" s="3"/>
      <c r="ELG190" s="3"/>
      <c r="ELH190" s="3"/>
      <c r="ELI190" s="3"/>
      <c r="ELJ190" s="3"/>
      <c r="ELK190" s="3"/>
      <c r="ELL190" s="3"/>
      <c r="ELM190" s="3"/>
      <c r="ELN190" s="3"/>
      <c r="ELO190" s="3"/>
      <c r="ELP190" s="3"/>
      <c r="ELQ190" s="3"/>
      <c r="ELR190" s="3"/>
      <c r="ELS190" s="3"/>
      <c r="ELT190" s="3"/>
      <c r="ELU190" s="3"/>
      <c r="ELV190" s="3"/>
      <c r="ELW190" s="3"/>
      <c r="ELX190" s="3"/>
      <c r="ELY190" s="3"/>
      <c r="ELZ190" s="3"/>
      <c r="EMA190" s="3"/>
      <c r="EMB190" s="3"/>
      <c r="EMC190" s="3"/>
      <c r="EMD190" s="3"/>
      <c r="EME190" s="3"/>
      <c r="EMF190" s="3"/>
      <c r="EMG190" s="3"/>
      <c r="EMH190" s="3"/>
      <c r="EMI190" s="3"/>
      <c r="EMJ190" s="3"/>
      <c r="EMK190" s="3"/>
      <c r="EML190" s="3"/>
      <c r="EMM190" s="3"/>
      <c r="EMN190" s="3"/>
      <c r="EMO190" s="3"/>
      <c r="EMP190" s="3"/>
      <c r="EMQ190" s="3"/>
      <c r="EMR190" s="3"/>
      <c r="EMS190" s="3"/>
      <c r="EMT190" s="3"/>
      <c r="EMU190" s="3"/>
      <c r="EMV190" s="3"/>
      <c r="EMW190" s="3"/>
      <c r="EMX190" s="3"/>
      <c r="EMY190" s="3"/>
      <c r="EMZ190" s="3"/>
      <c r="ENA190" s="3"/>
      <c r="ENB190" s="3"/>
      <c r="ENC190" s="3"/>
      <c r="END190" s="3"/>
      <c r="ENE190" s="3"/>
      <c r="ENF190" s="3"/>
      <c r="ENG190" s="3"/>
      <c r="ENH190" s="3"/>
      <c r="ENI190" s="3"/>
      <c r="ENJ190" s="3"/>
      <c r="ENK190" s="3"/>
      <c r="ENL190" s="3"/>
      <c r="ENM190" s="3"/>
      <c r="ENN190" s="3"/>
      <c r="ENO190" s="3"/>
      <c r="ENP190" s="3"/>
      <c r="ENQ190" s="3"/>
      <c r="ENR190" s="3"/>
      <c r="ENS190" s="3"/>
      <c r="ENT190" s="3"/>
      <c r="ENU190" s="3"/>
      <c r="ENV190" s="3"/>
      <c r="ENW190" s="3"/>
      <c r="ENX190" s="3"/>
      <c r="ENY190" s="3"/>
      <c r="ENZ190" s="3"/>
      <c r="EOA190" s="3"/>
      <c r="EOB190" s="3"/>
      <c r="EOC190" s="3"/>
      <c r="EOD190" s="3"/>
      <c r="EOE190" s="3"/>
      <c r="EOF190" s="3"/>
      <c r="EOG190" s="3"/>
      <c r="EOH190" s="3"/>
      <c r="EOI190" s="3"/>
      <c r="EOJ190" s="3"/>
      <c r="EOK190" s="3"/>
      <c r="EOL190" s="3"/>
      <c r="EOM190" s="3"/>
      <c r="EON190" s="3"/>
      <c r="EOO190" s="3"/>
      <c r="EOP190" s="3"/>
      <c r="EOQ190" s="3"/>
      <c r="EOR190" s="3"/>
      <c r="EOS190" s="3"/>
      <c r="EOT190" s="3"/>
      <c r="EOU190" s="3"/>
      <c r="EOV190" s="3"/>
      <c r="EOW190" s="3"/>
      <c r="EOX190" s="3"/>
      <c r="EOY190" s="3"/>
      <c r="EOZ190" s="3"/>
      <c r="EPA190" s="3"/>
      <c r="EPB190" s="3"/>
      <c r="EPC190" s="3"/>
      <c r="EPD190" s="3"/>
      <c r="EPE190" s="3"/>
      <c r="EPF190" s="3"/>
      <c r="EPG190" s="3"/>
      <c r="EPH190" s="3"/>
      <c r="EPI190" s="3"/>
      <c r="EPJ190" s="3"/>
      <c r="EPK190" s="3"/>
      <c r="EPL190" s="3"/>
      <c r="EPM190" s="3"/>
      <c r="EPN190" s="3"/>
      <c r="EPO190" s="3"/>
      <c r="EPP190" s="3"/>
      <c r="EPQ190" s="3"/>
      <c r="EPR190" s="3"/>
      <c r="EPS190" s="3"/>
      <c r="EPT190" s="3"/>
      <c r="EPU190" s="3"/>
      <c r="EPV190" s="3"/>
      <c r="EPW190" s="3"/>
      <c r="EPX190" s="3"/>
      <c r="EPY190" s="3"/>
      <c r="EPZ190" s="3"/>
      <c r="EQA190" s="3"/>
      <c r="EQB190" s="3"/>
      <c r="EQC190" s="3"/>
      <c r="EQD190" s="3"/>
      <c r="EQE190" s="3"/>
      <c r="EQF190" s="3"/>
      <c r="EQG190" s="3"/>
      <c r="EQH190" s="3"/>
      <c r="EQI190" s="3"/>
      <c r="EQJ190" s="3"/>
      <c r="EQK190" s="3"/>
      <c r="EQL190" s="3"/>
      <c r="EQM190" s="3"/>
      <c r="EQN190" s="3"/>
      <c r="EQO190" s="3"/>
      <c r="EQP190" s="3"/>
      <c r="EQQ190" s="3"/>
      <c r="EQR190" s="3"/>
      <c r="EQS190" s="3"/>
      <c r="EQT190" s="3"/>
      <c r="EQU190" s="3"/>
      <c r="EQV190" s="3"/>
      <c r="EQW190" s="3"/>
      <c r="EQX190" s="3"/>
      <c r="EQY190" s="3"/>
      <c r="EQZ190" s="3"/>
      <c r="ERA190" s="3"/>
      <c r="ERB190" s="3"/>
      <c r="ERC190" s="3"/>
      <c r="ERD190" s="3"/>
      <c r="ERE190" s="3"/>
      <c r="ERF190" s="3"/>
      <c r="ERG190" s="3"/>
      <c r="ERH190" s="3"/>
      <c r="ERI190" s="3"/>
      <c r="ERJ190" s="3"/>
      <c r="ERK190" s="3"/>
      <c r="ERL190" s="3"/>
      <c r="ERM190" s="3"/>
      <c r="ERN190" s="3"/>
      <c r="ERO190" s="3"/>
      <c r="ERP190" s="3"/>
      <c r="ERQ190" s="3"/>
      <c r="ERR190" s="3"/>
      <c r="ERS190" s="3"/>
      <c r="ERT190" s="3"/>
      <c r="ERU190" s="3"/>
      <c r="ERV190" s="3"/>
      <c r="ERW190" s="3"/>
      <c r="ERX190" s="3"/>
      <c r="ERY190" s="3"/>
      <c r="ERZ190" s="3"/>
      <c r="ESA190" s="3"/>
      <c r="ESB190" s="3"/>
      <c r="ESC190" s="3"/>
      <c r="ESD190" s="3"/>
      <c r="ESE190" s="3"/>
      <c r="ESF190" s="3"/>
      <c r="ESG190" s="3"/>
      <c r="ESH190" s="3"/>
      <c r="ESI190" s="3"/>
      <c r="ESJ190" s="3"/>
      <c r="ESK190" s="3"/>
      <c r="ESL190" s="3"/>
      <c r="ESM190" s="3"/>
      <c r="ESN190" s="3"/>
      <c r="ESO190" s="3"/>
      <c r="ESP190" s="3"/>
      <c r="ESQ190" s="3"/>
      <c r="ESR190" s="3"/>
      <c r="ESS190" s="3"/>
      <c r="EST190" s="3"/>
      <c r="ESU190" s="3"/>
      <c r="ESV190" s="3"/>
      <c r="ESW190" s="3"/>
      <c r="ESX190" s="3"/>
      <c r="ESY190" s="3"/>
      <c r="ESZ190" s="3"/>
      <c r="ETA190" s="3"/>
      <c r="ETB190" s="3"/>
      <c r="ETC190" s="3"/>
      <c r="ETD190" s="3"/>
      <c r="ETE190" s="3"/>
      <c r="ETF190" s="3"/>
      <c r="ETG190" s="3"/>
      <c r="ETH190" s="3"/>
      <c r="ETI190" s="3"/>
      <c r="ETJ190" s="3"/>
      <c r="ETK190" s="3"/>
      <c r="ETL190" s="3"/>
      <c r="ETM190" s="3"/>
      <c r="ETN190" s="3"/>
      <c r="ETO190" s="3"/>
      <c r="ETP190" s="3"/>
      <c r="ETQ190" s="3"/>
      <c r="ETR190" s="3"/>
      <c r="ETS190" s="3"/>
      <c r="ETT190" s="3"/>
      <c r="ETU190" s="3"/>
      <c r="ETV190" s="3"/>
      <c r="ETW190" s="3"/>
      <c r="ETX190" s="3"/>
      <c r="ETY190" s="3"/>
      <c r="ETZ190" s="3"/>
      <c r="EUA190" s="3"/>
      <c r="EUB190" s="3"/>
      <c r="EUC190" s="3"/>
      <c r="EUD190" s="3"/>
      <c r="EUE190" s="3"/>
      <c r="EUF190" s="3"/>
      <c r="EUG190" s="3"/>
      <c r="EUH190" s="3"/>
      <c r="EUI190" s="3"/>
      <c r="EUJ190" s="3"/>
      <c r="EUK190" s="3"/>
      <c r="EUL190" s="3"/>
      <c r="EUM190" s="3"/>
      <c r="EUN190" s="3"/>
      <c r="EUO190" s="3"/>
      <c r="EUP190" s="3"/>
      <c r="EUQ190" s="3"/>
      <c r="EUR190" s="3"/>
      <c r="EUS190" s="3"/>
      <c r="EUT190" s="3"/>
      <c r="EUU190" s="3"/>
      <c r="EUV190" s="3"/>
      <c r="EUW190" s="3"/>
      <c r="EUX190" s="3"/>
      <c r="EUY190" s="3"/>
      <c r="EUZ190" s="3"/>
      <c r="EVA190" s="3"/>
      <c r="EVB190" s="3"/>
      <c r="EVC190" s="3"/>
      <c r="EVD190" s="3"/>
      <c r="EVE190" s="3"/>
      <c r="EVF190" s="3"/>
      <c r="EVG190" s="3"/>
      <c r="EVH190" s="3"/>
      <c r="EVI190" s="3"/>
      <c r="EVJ190" s="3"/>
      <c r="EVK190" s="3"/>
      <c r="EVL190" s="3"/>
      <c r="EVM190" s="3"/>
      <c r="EVN190" s="3"/>
      <c r="EVO190" s="3"/>
      <c r="EVP190" s="3"/>
      <c r="EVQ190" s="3"/>
      <c r="EVR190" s="3"/>
      <c r="EVS190" s="3"/>
      <c r="EVT190" s="3"/>
      <c r="EVU190" s="3"/>
      <c r="EVV190" s="3"/>
      <c r="EVW190" s="3"/>
      <c r="EVX190" s="3"/>
      <c r="EVY190" s="3"/>
      <c r="EVZ190" s="3"/>
      <c r="EWA190" s="3"/>
      <c r="EWB190" s="3"/>
      <c r="EWC190" s="3"/>
      <c r="EWD190" s="3"/>
      <c r="EWE190" s="3"/>
      <c r="EWF190" s="3"/>
      <c r="EWG190" s="3"/>
      <c r="EWH190" s="3"/>
      <c r="EWI190" s="3"/>
      <c r="EWJ190" s="3"/>
      <c r="EWK190" s="3"/>
      <c r="EWL190" s="3"/>
      <c r="EWM190" s="3"/>
      <c r="EWN190" s="3"/>
      <c r="EWO190" s="3"/>
      <c r="EWP190" s="3"/>
      <c r="EWQ190" s="3"/>
      <c r="EWR190" s="3"/>
      <c r="EWS190" s="3"/>
      <c r="EWT190" s="3"/>
      <c r="EWU190" s="3"/>
      <c r="EWV190" s="3"/>
      <c r="EWW190" s="3"/>
      <c r="EWX190" s="3"/>
      <c r="EWY190" s="3"/>
      <c r="EWZ190" s="3"/>
      <c r="EXA190" s="3"/>
      <c r="EXB190" s="3"/>
      <c r="EXC190" s="3"/>
      <c r="EXD190" s="3"/>
      <c r="EXE190" s="3"/>
      <c r="EXF190" s="3"/>
      <c r="EXG190" s="3"/>
      <c r="EXH190" s="3"/>
      <c r="EXI190" s="3"/>
      <c r="EXJ190" s="3"/>
      <c r="EXK190" s="3"/>
      <c r="EXL190" s="3"/>
      <c r="EXM190" s="3"/>
      <c r="EXN190" s="3"/>
      <c r="EXO190" s="3"/>
      <c r="EXP190" s="3"/>
      <c r="EXQ190" s="3"/>
      <c r="EXR190" s="3"/>
      <c r="EXS190" s="3"/>
      <c r="EXT190" s="3"/>
      <c r="EXU190" s="3"/>
      <c r="EXV190" s="3"/>
      <c r="EXW190" s="3"/>
      <c r="EXX190" s="3"/>
      <c r="EXY190" s="3"/>
      <c r="EXZ190" s="3"/>
      <c r="EYA190" s="3"/>
      <c r="EYB190" s="3"/>
      <c r="EYC190" s="3"/>
      <c r="EYD190" s="3"/>
      <c r="EYE190" s="3"/>
      <c r="EYF190" s="3"/>
      <c r="EYG190" s="3"/>
      <c r="EYH190" s="3"/>
      <c r="EYI190" s="3"/>
      <c r="EYJ190" s="3"/>
      <c r="EYK190" s="3"/>
      <c r="EYL190" s="3"/>
      <c r="EYM190" s="3"/>
      <c r="EYN190" s="3"/>
      <c r="EYO190" s="3"/>
      <c r="EYP190" s="3"/>
      <c r="EYQ190" s="3"/>
      <c r="EYR190" s="3"/>
      <c r="EYS190" s="3"/>
      <c r="EYT190" s="3"/>
      <c r="EYU190" s="3"/>
      <c r="EYV190" s="3"/>
      <c r="EYW190" s="3"/>
      <c r="EYX190" s="3"/>
      <c r="EYY190" s="3"/>
      <c r="EYZ190" s="3"/>
      <c r="EZA190" s="3"/>
      <c r="EZB190" s="3"/>
      <c r="EZC190" s="3"/>
      <c r="EZD190" s="3"/>
      <c r="EZE190" s="3"/>
      <c r="EZF190" s="3"/>
      <c r="EZG190" s="3"/>
      <c r="EZH190" s="3"/>
      <c r="EZI190" s="3"/>
      <c r="EZJ190" s="3"/>
      <c r="EZK190" s="3"/>
      <c r="EZL190" s="3"/>
      <c r="EZM190" s="3"/>
      <c r="EZN190" s="3"/>
      <c r="EZO190" s="3"/>
      <c r="EZP190" s="3"/>
      <c r="EZQ190" s="3"/>
      <c r="EZR190" s="3"/>
      <c r="EZS190" s="3"/>
      <c r="EZT190" s="3"/>
      <c r="EZU190" s="3"/>
      <c r="EZV190" s="3"/>
      <c r="EZW190" s="3"/>
      <c r="EZX190" s="3"/>
      <c r="EZY190" s="3"/>
      <c r="EZZ190" s="3"/>
      <c r="FAA190" s="3"/>
      <c r="FAB190" s="3"/>
      <c r="FAC190" s="3"/>
      <c r="FAD190" s="3"/>
      <c r="FAE190" s="3"/>
      <c r="FAF190" s="3"/>
      <c r="FAG190" s="3"/>
      <c r="FAH190" s="3"/>
      <c r="FAI190" s="3"/>
      <c r="FAJ190" s="3"/>
      <c r="FAK190" s="3"/>
      <c r="FAL190" s="3"/>
      <c r="FAM190" s="3"/>
      <c r="FAN190" s="3"/>
      <c r="FAO190" s="3"/>
      <c r="FAP190" s="3"/>
      <c r="FAQ190" s="3"/>
      <c r="FAR190" s="3"/>
      <c r="FAS190" s="3"/>
      <c r="FAT190" s="3"/>
      <c r="FAU190" s="3"/>
      <c r="FAV190" s="3"/>
      <c r="FAW190" s="3"/>
      <c r="FAX190" s="3"/>
      <c r="FAY190" s="3"/>
      <c r="FAZ190" s="3"/>
      <c r="FBA190" s="3"/>
      <c r="FBB190" s="3"/>
      <c r="FBC190" s="3"/>
      <c r="FBD190" s="3"/>
      <c r="FBE190" s="3"/>
      <c r="FBF190" s="3"/>
      <c r="FBG190" s="3"/>
      <c r="FBH190" s="3"/>
      <c r="FBI190" s="3"/>
      <c r="FBJ190" s="3"/>
      <c r="FBK190" s="3"/>
      <c r="FBL190" s="3"/>
      <c r="FBM190" s="3"/>
      <c r="FBN190" s="3"/>
      <c r="FBO190" s="3"/>
      <c r="FBP190" s="3"/>
      <c r="FBQ190" s="3"/>
      <c r="FBR190" s="3"/>
      <c r="FBS190" s="3"/>
      <c r="FBT190" s="3"/>
      <c r="FBU190" s="3"/>
      <c r="FBV190" s="3"/>
      <c r="FBW190" s="3"/>
      <c r="FBX190" s="3"/>
      <c r="FBY190" s="3"/>
      <c r="FBZ190" s="3"/>
      <c r="FCA190" s="3"/>
      <c r="FCB190" s="3"/>
      <c r="FCC190" s="3"/>
      <c r="FCD190" s="3"/>
      <c r="FCE190" s="3"/>
      <c r="FCF190" s="3"/>
      <c r="FCG190" s="3"/>
      <c r="FCH190" s="3"/>
      <c r="FCI190" s="3"/>
      <c r="FCJ190" s="3"/>
      <c r="FCK190" s="3"/>
      <c r="FCL190" s="3"/>
      <c r="FCM190" s="3"/>
      <c r="FCN190" s="3"/>
      <c r="FCO190" s="3"/>
      <c r="FCP190" s="3"/>
      <c r="FCQ190" s="3"/>
      <c r="FCR190" s="3"/>
      <c r="FCS190" s="3"/>
      <c r="FCT190" s="3"/>
      <c r="FCU190" s="3"/>
      <c r="FCV190" s="3"/>
      <c r="FCW190" s="3"/>
      <c r="FCX190" s="3"/>
      <c r="FCY190" s="3"/>
      <c r="FCZ190" s="3"/>
      <c r="FDA190" s="3"/>
      <c r="FDB190" s="3"/>
      <c r="FDC190" s="3"/>
      <c r="FDD190" s="3"/>
      <c r="FDE190" s="3"/>
      <c r="FDF190" s="3"/>
      <c r="FDG190" s="3"/>
      <c r="FDH190" s="3"/>
      <c r="FDI190" s="3"/>
      <c r="FDJ190" s="3"/>
      <c r="FDK190" s="3"/>
      <c r="FDL190" s="3"/>
      <c r="FDM190" s="3"/>
      <c r="FDN190" s="3"/>
      <c r="FDO190" s="3"/>
      <c r="FDP190" s="3"/>
      <c r="FDQ190" s="3"/>
      <c r="FDR190" s="3"/>
      <c r="FDS190" s="3"/>
      <c r="FDT190" s="3"/>
      <c r="FDU190" s="3"/>
      <c r="FDV190" s="3"/>
      <c r="FDW190" s="3"/>
      <c r="FDX190" s="3"/>
      <c r="FDY190" s="3"/>
      <c r="FDZ190" s="3"/>
      <c r="FEA190" s="3"/>
      <c r="FEB190" s="3"/>
      <c r="FEC190" s="3"/>
      <c r="FED190" s="3"/>
      <c r="FEE190" s="3"/>
      <c r="FEF190" s="3"/>
      <c r="FEG190" s="3"/>
      <c r="FEH190" s="3"/>
      <c r="FEI190" s="3"/>
      <c r="FEJ190" s="3"/>
      <c r="FEK190" s="3"/>
      <c r="FEL190" s="3"/>
      <c r="FEM190" s="3"/>
      <c r="FEN190" s="3"/>
      <c r="FEO190" s="3"/>
      <c r="FEP190" s="3"/>
      <c r="FEQ190" s="3"/>
      <c r="FER190" s="3"/>
      <c r="FES190" s="3"/>
      <c r="FET190" s="3"/>
      <c r="FEU190" s="3"/>
      <c r="FEV190" s="3"/>
      <c r="FEW190" s="3"/>
      <c r="FEX190" s="3"/>
      <c r="FEY190" s="3"/>
      <c r="FEZ190" s="3"/>
      <c r="FFA190" s="3"/>
      <c r="FFB190" s="3"/>
      <c r="FFC190" s="3"/>
      <c r="FFD190" s="3"/>
      <c r="FFE190" s="3"/>
      <c r="FFF190" s="3"/>
      <c r="FFG190" s="3"/>
      <c r="FFH190" s="3"/>
      <c r="FFI190" s="3"/>
      <c r="FFJ190" s="3"/>
      <c r="FFK190" s="3"/>
      <c r="FFL190" s="3"/>
      <c r="FFM190" s="3"/>
      <c r="FFN190" s="3"/>
      <c r="FFO190" s="3"/>
      <c r="FFP190" s="3"/>
      <c r="FFQ190" s="3"/>
      <c r="FFR190" s="3"/>
      <c r="FFS190" s="3"/>
      <c r="FFT190" s="3"/>
      <c r="FFU190" s="3"/>
      <c r="FFV190" s="3"/>
      <c r="FFW190" s="3"/>
      <c r="FFX190" s="3"/>
      <c r="FFY190" s="3"/>
      <c r="FFZ190" s="3"/>
      <c r="FGA190" s="3"/>
      <c r="FGB190" s="3"/>
      <c r="FGC190" s="3"/>
      <c r="FGD190" s="3"/>
      <c r="FGE190" s="3"/>
      <c r="FGF190" s="3"/>
      <c r="FGG190" s="3"/>
      <c r="FGH190" s="3"/>
      <c r="FGI190" s="3"/>
      <c r="FGJ190" s="3"/>
      <c r="FGK190" s="3"/>
      <c r="FGL190" s="3"/>
      <c r="FGM190" s="3"/>
      <c r="FGN190" s="3"/>
      <c r="FGO190" s="3"/>
      <c r="FGP190" s="3"/>
      <c r="FGQ190" s="3"/>
      <c r="FGR190" s="3"/>
      <c r="FGS190" s="3"/>
      <c r="FGT190" s="3"/>
      <c r="FGU190" s="3"/>
      <c r="FGV190" s="3"/>
      <c r="FGW190" s="3"/>
      <c r="FGX190" s="3"/>
      <c r="FGY190" s="3"/>
      <c r="FGZ190" s="3"/>
      <c r="FHA190" s="3"/>
      <c r="FHB190" s="3"/>
      <c r="FHC190" s="3"/>
      <c r="FHD190" s="3"/>
      <c r="FHE190" s="3"/>
      <c r="FHF190" s="3"/>
      <c r="FHG190" s="3"/>
      <c r="FHH190" s="3"/>
      <c r="FHI190" s="3"/>
      <c r="FHJ190" s="3"/>
      <c r="FHK190" s="3"/>
      <c r="FHL190" s="3"/>
      <c r="FHM190" s="3"/>
      <c r="FHN190" s="3"/>
      <c r="FHO190" s="3"/>
      <c r="FHP190" s="3"/>
      <c r="FHQ190" s="3"/>
      <c r="FHR190" s="3"/>
      <c r="FHS190" s="3"/>
      <c r="FHT190" s="3"/>
      <c r="FHU190" s="3"/>
      <c r="FHV190" s="3"/>
      <c r="FHW190" s="3"/>
      <c r="FHX190" s="3"/>
      <c r="FHY190" s="3"/>
      <c r="FHZ190" s="3"/>
      <c r="FIA190" s="3"/>
      <c r="FIB190" s="3"/>
      <c r="FIC190" s="3"/>
      <c r="FID190" s="3"/>
      <c r="FIE190" s="3"/>
      <c r="FIF190" s="3"/>
      <c r="FIG190" s="3"/>
      <c r="FIH190" s="3"/>
      <c r="FII190" s="3"/>
      <c r="FIJ190" s="3"/>
      <c r="FIK190" s="3"/>
      <c r="FIL190" s="3"/>
      <c r="FIM190" s="3"/>
      <c r="FIN190" s="3"/>
      <c r="FIO190" s="3"/>
      <c r="FIP190" s="3"/>
      <c r="FIQ190" s="3"/>
      <c r="FIR190" s="3"/>
      <c r="FIS190" s="3"/>
      <c r="FIT190" s="3"/>
      <c r="FIU190" s="3"/>
      <c r="FIV190" s="3"/>
      <c r="FIW190" s="3"/>
      <c r="FIX190" s="3"/>
      <c r="FIY190" s="3"/>
      <c r="FIZ190" s="3"/>
      <c r="FJA190" s="3"/>
      <c r="FJB190" s="3"/>
      <c r="FJC190" s="3"/>
      <c r="FJD190" s="3"/>
      <c r="FJE190" s="3"/>
      <c r="FJF190" s="3"/>
      <c r="FJG190" s="3"/>
      <c r="FJH190" s="3"/>
      <c r="FJI190" s="3"/>
      <c r="FJJ190" s="3"/>
      <c r="FJK190" s="3"/>
      <c r="FJL190" s="3"/>
      <c r="FJM190" s="3"/>
      <c r="FJN190" s="3"/>
      <c r="FJO190" s="3"/>
      <c r="FJP190" s="3"/>
      <c r="FJQ190" s="3"/>
      <c r="FJR190" s="3"/>
      <c r="FJS190" s="3"/>
      <c r="FJT190" s="3"/>
      <c r="FJU190" s="3"/>
      <c r="FJV190" s="3"/>
      <c r="FJW190" s="3"/>
      <c r="FJX190" s="3"/>
      <c r="FJY190" s="3"/>
      <c r="FJZ190" s="3"/>
      <c r="FKA190" s="3"/>
      <c r="FKB190" s="3"/>
      <c r="FKC190" s="3"/>
      <c r="FKD190" s="3"/>
      <c r="FKE190" s="3"/>
      <c r="FKF190" s="3"/>
      <c r="FKG190" s="3"/>
      <c r="FKH190" s="3"/>
      <c r="FKI190" s="3"/>
      <c r="FKJ190" s="3"/>
      <c r="FKK190" s="3"/>
      <c r="FKL190" s="3"/>
      <c r="FKM190" s="3"/>
      <c r="FKN190" s="3"/>
      <c r="FKO190" s="3"/>
      <c r="FKP190" s="3"/>
      <c r="FKQ190" s="3"/>
      <c r="FKR190" s="3"/>
      <c r="FKS190" s="3"/>
      <c r="FKT190" s="3"/>
      <c r="FKU190" s="3"/>
      <c r="FKV190" s="3"/>
      <c r="FKW190" s="3"/>
      <c r="FKX190" s="3"/>
      <c r="FKY190" s="3"/>
      <c r="FKZ190" s="3"/>
      <c r="FLA190" s="3"/>
      <c r="FLB190" s="3"/>
      <c r="FLC190" s="3"/>
      <c r="FLD190" s="3"/>
      <c r="FLE190" s="3"/>
      <c r="FLF190" s="3"/>
      <c r="FLG190" s="3"/>
      <c r="FLH190" s="3"/>
      <c r="FLI190" s="3"/>
      <c r="FLJ190" s="3"/>
      <c r="FLK190" s="3"/>
      <c r="FLL190" s="3"/>
      <c r="FLM190" s="3"/>
      <c r="FLN190" s="3"/>
      <c r="FLO190" s="3"/>
      <c r="FLP190" s="3"/>
      <c r="FLQ190" s="3"/>
      <c r="FLR190" s="3"/>
      <c r="FLS190" s="3"/>
      <c r="FLT190" s="3"/>
      <c r="FLU190" s="3"/>
      <c r="FLV190" s="3"/>
      <c r="FLW190" s="3"/>
      <c r="FLX190" s="3"/>
      <c r="FLY190" s="3"/>
      <c r="FLZ190" s="3"/>
      <c r="FMA190" s="3"/>
      <c r="FMB190" s="3"/>
      <c r="FMC190" s="3"/>
      <c r="FMD190" s="3"/>
      <c r="FME190" s="3"/>
      <c r="FMF190" s="3"/>
      <c r="FMG190" s="3"/>
      <c r="FMH190" s="3"/>
      <c r="FMI190" s="3"/>
      <c r="FMJ190" s="3"/>
      <c r="FMK190" s="3"/>
      <c r="FML190" s="3"/>
      <c r="FMM190" s="3"/>
      <c r="FMN190" s="3"/>
      <c r="FMO190" s="3"/>
      <c r="FMP190" s="3"/>
      <c r="FMQ190" s="3"/>
      <c r="FMR190" s="3"/>
      <c r="FMS190" s="3"/>
      <c r="FMT190" s="3"/>
      <c r="FMU190" s="3"/>
      <c r="FMV190" s="3"/>
      <c r="FMW190" s="3"/>
      <c r="FMX190" s="3"/>
      <c r="FMY190" s="3"/>
      <c r="FMZ190" s="3"/>
      <c r="FNA190" s="3"/>
      <c r="FNB190" s="3"/>
      <c r="FNC190" s="3"/>
      <c r="FND190" s="3"/>
      <c r="FNE190" s="3"/>
      <c r="FNF190" s="3"/>
      <c r="FNG190" s="3"/>
      <c r="FNH190" s="3"/>
      <c r="FNI190" s="3"/>
      <c r="FNJ190" s="3"/>
      <c r="FNK190" s="3"/>
      <c r="FNL190" s="3"/>
      <c r="FNM190" s="3"/>
      <c r="FNN190" s="3"/>
      <c r="FNO190" s="3"/>
      <c r="FNP190" s="3"/>
      <c r="FNQ190" s="3"/>
      <c r="FNR190" s="3"/>
      <c r="FNS190" s="3"/>
      <c r="FNT190" s="3"/>
      <c r="FNU190" s="3"/>
      <c r="FNV190" s="3"/>
      <c r="FNW190" s="3"/>
      <c r="FNX190" s="3"/>
      <c r="FNY190" s="3"/>
      <c r="FNZ190" s="3"/>
      <c r="FOA190" s="3"/>
      <c r="FOB190" s="3"/>
      <c r="FOC190" s="3"/>
      <c r="FOD190" s="3"/>
      <c r="FOE190" s="3"/>
      <c r="FOF190" s="3"/>
      <c r="FOG190" s="3"/>
      <c r="FOH190" s="3"/>
      <c r="FOI190" s="3"/>
      <c r="FOJ190" s="3"/>
      <c r="FOK190" s="3"/>
      <c r="FOL190" s="3"/>
      <c r="FOM190" s="3"/>
      <c r="FON190" s="3"/>
      <c r="FOO190" s="3"/>
      <c r="FOP190" s="3"/>
      <c r="FOQ190" s="3"/>
      <c r="FOR190" s="3"/>
      <c r="FOS190" s="3"/>
      <c r="FOT190" s="3"/>
      <c r="FOU190" s="3"/>
      <c r="FOV190" s="3"/>
      <c r="FOW190" s="3"/>
      <c r="FOX190" s="3"/>
      <c r="FOY190" s="3"/>
      <c r="FOZ190" s="3"/>
      <c r="FPA190" s="3"/>
      <c r="FPB190" s="3"/>
      <c r="FPC190" s="3"/>
      <c r="FPD190" s="3"/>
      <c r="FPE190" s="3"/>
      <c r="FPF190" s="3"/>
      <c r="FPG190" s="3"/>
      <c r="FPH190" s="3"/>
      <c r="FPI190" s="3"/>
      <c r="FPJ190" s="3"/>
      <c r="FPK190" s="3"/>
      <c r="FPL190" s="3"/>
      <c r="FPM190" s="3"/>
      <c r="FPN190" s="3"/>
      <c r="FPO190" s="3"/>
      <c r="FPP190" s="3"/>
      <c r="FPQ190" s="3"/>
      <c r="FPR190" s="3"/>
      <c r="FPS190" s="3"/>
      <c r="FPT190" s="3"/>
      <c r="FPU190" s="3"/>
      <c r="FPV190" s="3"/>
      <c r="FPW190" s="3"/>
      <c r="FPX190" s="3"/>
      <c r="FPY190" s="3"/>
      <c r="FPZ190" s="3"/>
      <c r="FQA190" s="3"/>
      <c r="FQB190" s="3"/>
      <c r="FQC190" s="3"/>
      <c r="FQD190" s="3"/>
      <c r="FQE190" s="3"/>
      <c r="FQF190" s="3"/>
      <c r="FQG190" s="3"/>
      <c r="FQH190" s="3"/>
      <c r="FQI190" s="3"/>
      <c r="FQJ190" s="3"/>
      <c r="FQK190" s="3"/>
      <c r="FQL190" s="3"/>
      <c r="FQM190" s="3"/>
      <c r="FQN190" s="3"/>
      <c r="FQO190" s="3"/>
      <c r="FQP190" s="3"/>
      <c r="FQQ190" s="3"/>
      <c r="FQR190" s="3"/>
      <c r="FQS190" s="3"/>
      <c r="FQT190" s="3"/>
      <c r="FQU190" s="3"/>
      <c r="FQV190" s="3"/>
      <c r="FQW190" s="3"/>
      <c r="FQX190" s="3"/>
      <c r="FQY190" s="3"/>
      <c r="FQZ190" s="3"/>
      <c r="FRA190" s="3"/>
      <c r="FRB190" s="3"/>
      <c r="FRC190" s="3"/>
      <c r="FRD190" s="3"/>
      <c r="FRE190" s="3"/>
      <c r="FRF190" s="3"/>
      <c r="FRG190" s="3"/>
      <c r="FRH190" s="3"/>
      <c r="FRI190" s="3"/>
      <c r="FRJ190" s="3"/>
      <c r="FRK190" s="3"/>
      <c r="FRL190" s="3"/>
      <c r="FRM190" s="3"/>
      <c r="FRN190" s="3"/>
      <c r="FRO190" s="3"/>
      <c r="FRP190" s="3"/>
      <c r="FRQ190" s="3"/>
      <c r="FRR190" s="3"/>
      <c r="FRS190" s="3"/>
      <c r="FRT190" s="3"/>
      <c r="FRU190" s="3"/>
      <c r="FRV190" s="3"/>
      <c r="FRW190" s="3"/>
      <c r="FRX190" s="3"/>
      <c r="FRY190" s="3"/>
      <c r="FRZ190" s="3"/>
      <c r="FSA190" s="3"/>
      <c r="FSB190" s="3"/>
      <c r="FSC190" s="3"/>
      <c r="FSD190" s="3"/>
      <c r="FSE190" s="3"/>
      <c r="FSF190" s="3"/>
      <c r="FSG190" s="3"/>
      <c r="FSH190" s="3"/>
      <c r="FSI190" s="3"/>
      <c r="FSJ190" s="3"/>
      <c r="FSK190" s="3"/>
      <c r="FSL190" s="3"/>
      <c r="FSM190" s="3"/>
      <c r="FSN190" s="3"/>
      <c r="FSO190" s="3"/>
      <c r="FSP190" s="3"/>
      <c r="FSQ190" s="3"/>
      <c r="FSR190" s="3"/>
      <c r="FSS190" s="3"/>
      <c r="FST190" s="3"/>
      <c r="FSU190" s="3"/>
      <c r="FSV190" s="3"/>
      <c r="FSW190" s="3"/>
      <c r="FSX190" s="3"/>
      <c r="FSY190" s="3"/>
      <c r="FSZ190" s="3"/>
      <c r="FTA190" s="3"/>
      <c r="FTB190" s="3"/>
      <c r="FTC190" s="3"/>
      <c r="FTD190" s="3"/>
      <c r="FTE190" s="3"/>
      <c r="FTF190" s="3"/>
      <c r="FTG190" s="3"/>
      <c r="FTH190" s="3"/>
      <c r="FTI190" s="3"/>
      <c r="FTJ190" s="3"/>
      <c r="FTK190" s="3"/>
      <c r="FTL190" s="3"/>
      <c r="FTM190" s="3"/>
      <c r="FTN190" s="3"/>
      <c r="FTO190" s="3"/>
      <c r="FTP190" s="3"/>
      <c r="FTQ190" s="3"/>
      <c r="FTR190" s="3"/>
      <c r="FTS190" s="3"/>
      <c r="FTT190" s="3"/>
      <c r="FTU190" s="3"/>
      <c r="FTV190" s="3"/>
      <c r="FTW190" s="3"/>
      <c r="FTX190" s="3"/>
      <c r="FTY190" s="3"/>
      <c r="FTZ190" s="3"/>
      <c r="FUA190" s="3"/>
      <c r="FUB190" s="3"/>
      <c r="FUC190" s="3"/>
      <c r="FUD190" s="3"/>
      <c r="FUE190" s="3"/>
      <c r="FUF190" s="3"/>
      <c r="FUG190" s="3"/>
      <c r="FUH190" s="3"/>
      <c r="FUI190" s="3"/>
      <c r="FUJ190" s="3"/>
      <c r="FUK190" s="3"/>
      <c r="FUL190" s="3"/>
      <c r="FUM190" s="3"/>
      <c r="FUN190" s="3"/>
      <c r="FUO190" s="3"/>
      <c r="FUP190" s="3"/>
      <c r="FUQ190" s="3"/>
      <c r="FUR190" s="3"/>
      <c r="FUS190" s="3"/>
      <c r="FUT190" s="3"/>
      <c r="FUU190" s="3"/>
      <c r="FUV190" s="3"/>
      <c r="FUW190" s="3"/>
      <c r="FUX190" s="3"/>
      <c r="FUY190" s="3"/>
      <c r="FUZ190" s="3"/>
      <c r="FVA190" s="3"/>
      <c r="FVB190" s="3"/>
      <c r="FVC190" s="3"/>
      <c r="FVD190" s="3"/>
      <c r="FVE190" s="3"/>
      <c r="FVF190" s="3"/>
      <c r="FVG190" s="3"/>
      <c r="FVH190" s="3"/>
      <c r="FVI190" s="3"/>
      <c r="FVJ190" s="3"/>
      <c r="FVK190" s="3"/>
      <c r="FVL190" s="3"/>
      <c r="FVM190" s="3"/>
      <c r="FVN190" s="3"/>
      <c r="FVO190" s="3"/>
      <c r="FVP190" s="3"/>
      <c r="FVQ190" s="3"/>
      <c r="FVR190" s="3"/>
      <c r="FVS190" s="3"/>
      <c r="FVT190" s="3"/>
      <c r="FVU190" s="3"/>
      <c r="FVV190" s="3"/>
      <c r="FVW190" s="3"/>
      <c r="FVX190" s="3"/>
      <c r="FVY190" s="3"/>
      <c r="FVZ190" s="3"/>
      <c r="FWA190" s="3"/>
      <c r="FWB190" s="3"/>
      <c r="FWC190" s="3"/>
      <c r="FWD190" s="3"/>
      <c r="FWE190" s="3"/>
      <c r="FWF190" s="3"/>
      <c r="FWG190" s="3"/>
      <c r="FWH190" s="3"/>
      <c r="FWI190" s="3"/>
      <c r="FWJ190" s="3"/>
      <c r="FWK190" s="3"/>
      <c r="FWL190" s="3"/>
      <c r="FWM190" s="3"/>
      <c r="FWN190" s="3"/>
      <c r="FWO190" s="3"/>
      <c r="FWP190" s="3"/>
      <c r="FWQ190" s="3"/>
      <c r="FWR190" s="3"/>
      <c r="FWS190" s="3"/>
      <c r="FWT190" s="3"/>
      <c r="FWU190" s="3"/>
      <c r="FWV190" s="3"/>
      <c r="FWW190" s="3"/>
      <c r="FWX190" s="3"/>
      <c r="FWY190" s="3"/>
      <c r="FWZ190" s="3"/>
      <c r="FXA190" s="3"/>
      <c r="FXB190" s="3"/>
      <c r="FXC190" s="3"/>
      <c r="FXD190" s="3"/>
      <c r="FXE190" s="3"/>
      <c r="FXF190" s="3"/>
      <c r="FXG190" s="3"/>
      <c r="FXH190" s="3"/>
      <c r="FXI190" s="3"/>
      <c r="FXJ190" s="3"/>
      <c r="FXK190" s="3"/>
      <c r="FXL190" s="3"/>
      <c r="FXM190" s="3"/>
      <c r="FXN190" s="3"/>
      <c r="FXO190" s="3"/>
      <c r="FXP190" s="3"/>
      <c r="FXQ190" s="3"/>
      <c r="FXR190" s="3"/>
      <c r="FXS190" s="3"/>
      <c r="FXT190" s="3"/>
      <c r="FXU190" s="3"/>
      <c r="FXV190" s="3"/>
      <c r="FXW190" s="3"/>
      <c r="FXX190" s="3"/>
      <c r="FXY190" s="3"/>
      <c r="FXZ190" s="3"/>
      <c r="FYA190" s="3"/>
      <c r="FYB190" s="3"/>
      <c r="FYC190" s="3"/>
      <c r="FYD190" s="3"/>
      <c r="FYE190" s="3"/>
      <c r="FYF190" s="3"/>
      <c r="FYG190" s="3"/>
      <c r="FYH190" s="3"/>
      <c r="FYI190" s="3"/>
      <c r="FYJ190" s="3"/>
      <c r="FYK190" s="3"/>
      <c r="FYL190" s="3"/>
      <c r="FYM190" s="3"/>
      <c r="FYN190" s="3"/>
      <c r="FYO190" s="3"/>
      <c r="FYP190" s="3"/>
      <c r="FYQ190" s="3"/>
      <c r="FYR190" s="3"/>
      <c r="FYS190" s="3"/>
      <c r="FYT190" s="3"/>
      <c r="FYU190" s="3"/>
      <c r="FYV190" s="3"/>
      <c r="FYW190" s="3"/>
      <c r="FYX190" s="3"/>
      <c r="FYY190" s="3"/>
      <c r="FYZ190" s="3"/>
      <c r="FZA190" s="3"/>
      <c r="FZB190" s="3"/>
      <c r="FZC190" s="3"/>
      <c r="FZD190" s="3"/>
      <c r="FZE190" s="3"/>
      <c r="FZF190" s="3"/>
      <c r="FZG190" s="3"/>
      <c r="FZH190" s="3"/>
      <c r="FZI190" s="3"/>
      <c r="FZJ190" s="3"/>
      <c r="FZK190" s="3"/>
      <c r="FZL190" s="3"/>
      <c r="FZM190" s="3"/>
      <c r="FZN190" s="3"/>
      <c r="FZO190" s="3"/>
      <c r="FZP190" s="3"/>
      <c r="FZQ190" s="3"/>
      <c r="FZR190" s="3"/>
      <c r="FZS190" s="3"/>
      <c r="FZT190" s="3"/>
      <c r="FZU190" s="3"/>
      <c r="FZV190" s="3"/>
      <c r="FZW190" s="3"/>
      <c r="FZX190" s="3"/>
      <c r="FZY190" s="3"/>
      <c r="FZZ190" s="3"/>
      <c r="GAA190" s="3"/>
      <c r="GAB190" s="3"/>
      <c r="GAC190" s="3"/>
      <c r="GAD190" s="3"/>
      <c r="GAE190" s="3"/>
      <c r="GAF190" s="3"/>
      <c r="GAG190" s="3"/>
      <c r="GAH190" s="3"/>
      <c r="GAI190" s="3"/>
      <c r="GAJ190" s="3"/>
      <c r="GAK190" s="3"/>
      <c r="GAL190" s="3"/>
      <c r="GAM190" s="3"/>
      <c r="GAN190" s="3"/>
      <c r="GAO190" s="3"/>
      <c r="GAP190" s="3"/>
      <c r="GAQ190" s="3"/>
      <c r="GAR190" s="3"/>
      <c r="GAS190" s="3"/>
      <c r="GAT190" s="3"/>
      <c r="GAU190" s="3"/>
      <c r="GAV190" s="3"/>
      <c r="GAW190" s="3"/>
      <c r="GAX190" s="3"/>
      <c r="GAY190" s="3"/>
      <c r="GAZ190" s="3"/>
      <c r="GBA190" s="3"/>
      <c r="GBB190" s="3"/>
      <c r="GBC190" s="3"/>
      <c r="GBD190" s="3"/>
      <c r="GBE190" s="3"/>
      <c r="GBF190" s="3"/>
      <c r="GBG190" s="3"/>
      <c r="GBH190" s="3"/>
      <c r="GBI190" s="3"/>
      <c r="GBJ190" s="3"/>
      <c r="GBK190" s="3"/>
      <c r="GBL190" s="3"/>
      <c r="GBM190" s="3"/>
      <c r="GBN190" s="3"/>
      <c r="GBO190" s="3"/>
      <c r="GBP190" s="3"/>
      <c r="GBQ190" s="3"/>
      <c r="GBR190" s="3"/>
      <c r="GBS190" s="3"/>
      <c r="GBT190" s="3"/>
      <c r="GBU190" s="3"/>
      <c r="GBV190" s="3"/>
      <c r="GBW190" s="3"/>
      <c r="GBX190" s="3"/>
      <c r="GBY190" s="3"/>
      <c r="GBZ190" s="3"/>
      <c r="GCA190" s="3"/>
      <c r="GCB190" s="3"/>
      <c r="GCC190" s="3"/>
      <c r="GCD190" s="3"/>
      <c r="GCE190" s="3"/>
      <c r="GCF190" s="3"/>
      <c r="GCG190" s="3"/>
      <c r="GCH190" s="3"/>
      <c r="GCI190" s="3"/>
      <c r="GCJ190" s="3"/>
      <c r="GCK190" s="3"/>
      <c r="GCL190" s="3"/>
      <c r="GCM190" s="3"/>
      <c r="GCN190" s="3"/>
      <c r="GCO190" s="3"/>
      <c r="GCP190" s="3"/>
      <c r="GCQ190" s="3"/>
      <c r="GCR190" s="3"/>
      <c r="GCS190" s="3"/>
      <c r="GCT190" s="3"/>
      <c r="GCU190" s="3"/>
      <c r="GCV190" s="3"/>
      <c r="GCW190" s="3"/>
      <c r="GCX190" s="3"/>
      <c r="GCY190" s="3"/>
      <c r="GCZ190" s="3"/>
      <c r="GDA190" s="3"/>
      <c r="GDB190" s="3"/>
      <c r="GDC190" s="3"/>
      <c r="GDD190" s="3"/>
      <c r="GDE190" s="3"/>
      <c r="GDF190" s="3"/>
      <c r="GDG190" s="3"/>
      <c r="GDH190" s="3"/>
      <c r="GDI190" s="3"/>
      <c r="GDJ190" s="3"/>
      <c r="GDK190" s="3"/>
      <c r="GDL190" s="3"/>
      <c r="GDM190" s="3"/>
      <c r="GDN190" s="3"/>
      <c r="GDO190" s="3"/>
      <c r="GDP190" s="3"/>
      <c r="GDQ190" s="3"/>
      <c r="GDR190" s="3"/>
      <c r="GDS190" s="3"/>
      <c r="GDT190" s="3"/>
      <c r="GDU190" s="3"/>
      <c r="GDV190" s="3"/>
      <c r="GDW190" s="3"/>
      <c r="GDX190" s="3"/>
      <c r="GDY190" s="3"/>
      <c r="GDZ190" s="3"/>
      <c r="GEA190" s="3"/>
      <c r="GEB190" s="3"/>
      <c r="GEC190" s="3"/>
      <c r="GED190" s="3"/>
      <c r="GEE190" s="3"/>
      <c r="GEF190" s="3"/>
      <c r="GEG190" s="3"/>
      <c r="GEH190" s="3"/>
      <c r="GEI190" s="3"/>
      <c r="GEJ190" s="3"/>
      <c r="GEK190" s="3"/>
      <c r="GEL190" s="3"/>
      <c r="GEM190" s="3"/>
      <c r="GEN190" s="3"/>
      <c r="GEO190" s="3"/>
      <c r="GEP190" s="3"/>
      <c r="GEQ190" s="3"/>
      <c r="GER190" s="3"/>
      <c r="GES190" s="3"/>
      <c r="GET190" s="3"/>
      <c r="GEU190" s="3"/>
      <c r="GEV190" s="3"/>
      <c r="GEW190" s="3"/>
      <c r="GEX190" s="3"/>
      <c r="GEY190" s="3"/>
      <c r="GEZ190" s="3"/>
      <c r="GFA190" s="3"/>
      <c r="GFB190" s="3"/>
      <c r="GFC190" s="3"/>
      <c r="GFD190" s="3"/>
      <c r="GFE190" s="3"/>
      <c r="GFF190" s="3"/>
      <c r="GFG190" s="3"/>
      <c r="GFH190" s="3"/>
      <c r="GFI190" s="3"/>
      <c r="GFJ190" s="3"/>
      <c r="GFK190" s="3"/>
      <c r="GFL190" s="3"/>
      <c r="GFM190" s="3"/>
      <c r="GFN190" s="3"/>
      <c r="GFO190" s="3"/>
      <c r="GFP190" s="3"/>
      <c r="GFQ190" s="3"/>
      <c r="GFR190" s="3"/>
      <c r="GFS190" s="3"/>
      <c r="GFT190" s="3"/>
      <c r="GFU190" s="3"/>
      <c r="GFV190" s="3"/>
      <c r="GFW190" s="3"/>
      <c r="GFX190" s="3"/>
      <c r="GFY190" s="3"/>
      <c r="GFZ190" s="3"/>
      <c r="GGA190" s="3"/>
      <c r="GGB190" s="3"/>
      <c r="GGC190" s="3"/>
      <c r="GGD190" s="3"/>
      <c r="GGE190" s="3"/>
      <c r="GGF190" s="3"/>
      <c r="GGG190" s="3"/>
      <c r="GGH190" s="3"/>
      <c r="GGI190" s="3"/>
      <c r="GGJ190" s="3"/>
      <c r="GGK190" s="3"/>
      <c r="GGL190" s="3"/>
      <c r="GGM190" s="3"/>
      <c r="GGN190" s="3"/>
      <c r="GGO190" s="3"/>
      <c r="GGP190" s="3"/>
      <c r="GGQ190" s="3"/>
      <c r="GGR190" s="3"/>
      <c r="GGS190" s="3"/>
      <c r="GGT190" s="3"/>
      <c r="GGU190" s="3"/>
      <c r="GGV190" s="3"/>
      <c r="GGW190" s="3"/>
      <c r="GGX190" s="3"/>
      <c r="GGY190" s="3"/>
      <c r="GGZ190" s="3"/>
      <c r="GHA190" s="3"/>
      <c r="GHB190" s="3"/>
      <c r="GHC190" s="3"/>
      <c r="GHD190" s="3"/>
      <c r="GHE190" s="3"/>
      <c r="GHF190" s="3"/>
      <c r="GHG190" s="3"/>
      <c r="GHH190" s="3"/>
      <c r="GHI190" s="3"/>
      <c r="GHJ190" s="3"/>
      <c r="GHK190" s="3"/>
      <c r="GHL190" s="3"/>
      <c r="GHM190" s="3"/>
      <c r="GHN190" s="3"/>
      <c r="GHO190" s="3"/>
      <c r="GHP190" s="3"/>
      <c r="GHQ190" s="3"/>
      <c r="GHR190" s="3"/>
      <c r="GHS190" s="3"/>
      <c r="GHT190" s="3"/>
      <c r="GHU190" s="3"/>
      <c r="GHV190" s="3"/>
      <c r="GHW190" s="3"/>
      <c r="GHX190" s="3"/>
      <c r="GHY190" s="3"/>
      <c r="GHZ190" s="3"/>
      <c r="GIA190" s="3"/>
      <c r="GIB190" s="3"/>
      <c r="GIC190" s="3"/>
      <c r="GID190" s="3"/>
      <c r="GIE190" s="3"/>
      <c r="GIF190" s="3"/>
      <c r="GIG190" s="3"/>
      <c r="GIH190" s="3"/>
      <c r="GII190" s="3"/>
      <c r="GIJ190" s="3"/>
      <c r="GIK190" s="3"/>
      <c r="GIL190" s="3"/>
      <c r="GIM190" s="3"/>
      <c r="GIN190" s="3"/>
      <c r="GIO190" s="3"/>
      <c r="GIP190" s="3"/>
      <c r="GIQ190" s="3"/>
      <c r="GIR190" s="3"/>
      <c r="GIS190" s="3"/>
      <c r="GIT190" s="3"/>
      <c r="GIU190" s="3"/>
      <c r="GIV190" s="3"/>
      <c r="GIW190" s="3"/>
      <c r="GIX190" s="3"/>
      <c r="GIY190" s="3"/>
      <c r="GIZ190" s="3"/>
      <c r="GJA190" s="3"/>
      <c r="GJB190" s="3"/>
      <c r="GJC190" s="3"/>
      <c r="GJD190" s="3"/>
      <c r="GJE190" s="3"/>
      <c r="GJF190" s="3"/>
      <c r="GJG190" s="3"/>
      <c r="GJH190" s="3"/>
      <c r="GJI190" s="3"/>
      <c r="GJJ190" s="3"/>
      <c r="GJK190" s="3"/>
      <c r="GJL190" s="3"/>
      <c r="GJM190" s="3"/>
      <c r="GJN190" s="3"/>
      <c r="GJO190" s="3"/>
      <c r="GJP190" s="3"/>
      <c r="GJQ190" s="3"/>
      <c r="GJR190" s="3"/>
      <c r="GJS190" s="3"/>
      <c r="GJT190" s="3"/>
      <c r="GJU190" s="3"/>
      <c r="GJV190" s="3"/>
      <c r="GJW190" s="3"/>
      <c r="GJX190" s="3"/>
      <c r="GJY190" s="3"/>
      <c r="GJZ190" s="3"/>
      <c r="GKA190" s="3"/>
      <c r="GKB190" s="3"/>
      <c r="GKC190" s="3"/>
      <c r="GKD190" s="3"/>
      <c r="GKE190" s="3"/>
      <c r="GKF190" s="3"/>
      <c r="GKG190" s="3"/>
      <c r="GKH190" s="3"/>
      <c r="GKI190" s="3"/>
      <c r="GKJ190" s="3"/>
      <c r="GKK190" s="3"/>
      <c r="GKL190" s="3"/>
      <c r="GKM190" s="3"/>
      <c r="GKN190" s="3"/>
      <c r="GKO190" s="3"/>
      <c r="GKP190" s="3"/>
      <c r="GKQ190" s="3"/>
      <c r="GKR190" s="3"/>
      <c r="GKS190" s="3"/>
      <c r="GKT190" s="3"/>
      <c r="GKU190" s="3"/>
      <c r="GKV190" s="3"/>
      <c r="GKW190" s="3"/>
      <c r="GKX190" s="3"/>
      <c r="GKY190" s="3"/>
      <c r="GKZ190" s="3"/>
      <c r="GLA190" s="3"/>
      <c r="GLB190" s="3"/>
      <c r="GLC190" s="3"/>
      <c r="GLD190" s="3"/>
      <c r="GLE190" s="3"/>
      <c r="GLF190" s="3"/>
      <c r="GLG190" s="3"/>
      <c r="GLH190" s="3"/>
      <c r="GLI190" s="3"/>
      <c r="GLJ190" s="3"/>
      <c r="GLK190" s="3"/>
      <c r="GLL190" s="3"/>
      <c r="GLM190" s="3"/>
      <c r="GLN190" s="3"/>
      <c r="GLO190" s="3"/>
      <c r="GLP190" s="3"/>
      <c r="GLQ190" s="3"/>
      <c r="GLR190" s="3"/>
      <c r="GLS190" s="3"/>
      <c r="GLT190" s="3"/>
      <c r="GLU190" s="3"/>
      <c r="GLV190" s="3"/>
      <c r="GLW190" s="3"/>
      <c r="GLX190" s="3"/>
      <c r="GLY190" s="3"/>
      <c r="GLZ190" s="3"/>
      <c r="GMA190" s="3"/>
      <c r="GMB190" s="3"/>
      <c r="GMC190" s="3"/>
      <c r="GMD190" s="3"/>
      <c r="GME190" s="3"/>
      <c r="GMF190" s="3"/>
      <c r="GMG190" s="3"/>
      <c r="GMH190" s="3"/>
      <c r="GMI190" s="3"/>
      <c r="GMJ190" s="3"/>
      <c r="GMK190" s="3"/>
      <c r="GML190" s="3"/>
      <c r="GMM190" s="3"/>
      <c r="GMN190" s="3"/>
      <c r="GMO190" s="3"/>
      <c r="GMP190" s="3"/>
      <c r="GMQ190" s="3"/>
      <c r="GMR190" s="3"/>
      <c r="GMS190" s="3"/>
      <c r="GMT190" s="3"/>
      <c r="GMU190" s="3"/>
      <c r="GMV190" s="3"/>
      <c r="GMW190" s="3"/>
      <c r="GMX190" s="3"/>
      <c r="GMY190" s="3"/>
      <c r="GMZ190" s="3"/>
      <c r="GNA190" s="3"/>
      <c r="GNB190" s="3"/>
      <c r="GNC190" s="3"/>
      <c r="GND190" s="3"/>
      <c r="GNE190" s="3"/>
      <c r="GNF190" s="3"/>
      <c r="GNG190" s="3"/>
      <c r="GNH190" s="3"/>
      <c r="GNI190" s="3"/>
      <c r="GNJ190" s="3"/>
      <c r="GNK190" s="3"/>
      <c r="GNL190" s="3"/>
      <c r="GNM190" s="3"/>
      <c r="GNN190" s="3"/>
      <c r="GNO190" s="3"/>
      <c r="GNP190" s="3"/>
      <c r="GNQ190" s="3"/>
      <c r="GNR190" s="3"/>
      <c r="GNS190" s="3"/>
      <c r="GNT190" s="3"/>
      <c r="GNU190" s="3"/>
      <c r="GNV190" s="3"/>
      <c r="GNW190" s="3"/>
      <c r="GNX190" s="3"/>
      <c r="GNY190" s="3"/>
      <c r="GNZ190" s="3"/>
      <c r="GOA190" s="3"/>
      <c r="GOB190" s="3"/>
      <c r="GOC190" s="3"/>
      <c r="GOD190" s="3"/>
      <c r="GOE190" s="3"/>
      <c r="GOF190" s="3"/>
      <c r="GOG190" s="3"/>
      <c r="GOH190" s="3"/>
      <c r="GOI190" s="3"/>
      <c r="GOJ190" s="3"/>
      <c r="GOK190" s="3"/>
      <c r="GOL190" s="3"/>
      <c r="GOM190" s="3"/>
      <c r="GON190" s="3"/>
      <c r="GOO190" s="3"/>
      <c r="GOP190" s="3"/>
      <c r="GOQ190" s="3"/>
      <c r="GOR190" s="3"/>
      <c r="GOS190" s="3"/>
      <c r="GOT190" s="3"/>
      <c r="GOU190" s="3"/>
      <c r="GOV190" s="3"/>
      <c r="GOW190" s="3"/>
      <c r="GOX190" s="3"/>
      <c r="GOY190" s="3"/>
      <c r="GOZ190" s="3"/>
      <c r="GPA190" s="3"/>
      <c r="GPB190" s="3"/>
      <c r="GPC190" s="3"/>
      <c r="GPD190" s="3"/>
      <c r="GPE190" s="3"/>
      <c r="GPF190" s="3"/>
      <c r="GPG190" s="3"/>
      <c r="GPH190" s="3"/>
      <c r="GPI190" s="3"/>
      <c r="GPJ190" s="3"/>
      <c r="GPK190" s="3"/>
      <c r="GPL190" s="3"/>
      <c r="GPM190" s="3"/>
      <c r="GPN190" s="3"/>
      <c r="GPO190" s="3"/>
      <c r="GPP190" s="3"/>
      <c r="GPQ190" s="3"/>
      <c r="GPR190" s="3"/>
      <c r="GPS190" s="3"/>
      <c r="GPT190" s="3"/>
      <c r="GPU190" s="3"/>
      <c r="GPV190" s="3"/>
      <c r="GPW190" s="3"/>
      <c r="GPX190" s="3"/>
      <c r="GPY190" s="3"/>
      <c r="GPZ190" s="3"/>
      <c r="GQA190" s="3"/>
      <c r="GQB190" s="3"/>
      <c r="GQC190" s="3"/>
      <c r="GQD190" s="3"/>
      <c r="GQE190" s="3"/>
      <c r="GQF190" s="3"/>
      <c r="GQG190" s="3"/>
      <c r="GQH190" s="3"/>
      <c r="GQI190" s="3"/>
      <c r="GQJ190" s="3"/>
      <c r="GQK190" s="3"/>
      <c r="GQL190" s="3"/>
      <c r="GQM190" s="3"/>
      <c r="GQN190" s="3"/>
      <c r="GQO190" s="3"/>
      <c r="GQP190" s="3"/>
      <c r="GQQ190" s="3"/>
      <c r="GQR190" s="3"/>
      <c r="GQS190" s="3"/>
      <c r="GQT190" s="3"/>
      <c r="GQU190" s="3"/>
      <c r="GQV190" s="3"/>
      <c r="GQW190" s="3"/>
      <c r="GQX190" s="3"/>
      <c r="GQY190" s="3"/>
      <c r="GQZ190" s="3"/>
      <c r="GRA190" s="3"/>
      <c r="GRB190" s="3"/>
      <c r="GRC190" s="3"/>
      <c r="GRD190" s="3"/>
      <c r="GRE190" s="3"/>
      <c r="GRF190" s="3"/>
      <c r="GRG190" s="3"/>
      <c r="GRH190" s="3"/>
      <c r="GRI190" s="3"/>
      <c r="GRJ190" s="3"/>
      <c r="GRK190" s="3"/>
      <c r="GRL190" s="3"/>
      <c r="GRM190" s="3"/>
      <c r="GRN190" s="3"/>
      <c r="GRO190" s="3"/>
      <c r="GRP190" s="3"/>
      <c r="GRQ190" s="3"/>
      <c r="GRR190" s="3"/>
      <c r="GRS190" s="3"/>
      <c r="GRT190" s="3"/>
      <c r="GRU190" s="3"/>
      <c r="GRV190" s="3"/>
      <c r="GRW190" s="3"/>
      <c r="GRX190" s="3"/>
      <c r="GRY190" s="3"/>
      <c r="GRZ190" s="3"/>
      <c r="GSA190" s="3"/>
      <c r="GSB190" s="3"/>
      <c r="GSC190" s="3"/>
      <c r="GSD190" s="3"/>
      <c r="GSE190" s="3"/>
      <c r="GSF190" s="3"/>
      <c r="GSG190" s="3"/>
      <c r="GSH190" s="3"/>
      <c r="GSI190" s="3"/>
      <c r="GSJ190" s="3"/>
      <c r="GSK190" s="3"/>
      <c r="GSL190" s="3"/>
      <c r="GSM190" s="3"/>
      <c r="GSN190" s="3"/>
      <c r="GSO190" s="3"/>
      <c r="GSP190" s="3"/>
      <c r="GSQ190" s="3"/>
      <c r="GSR190" s="3"/>
      <c r="GSS190" s="3"/>
      <c r="GST190" s="3"/>
      <c r="GSU190" s="3"/>
      <c r="GSV190" s="3"/>
      <c r="GSW190" s="3"/>
      <c r="GSX190" s="3"/>
      <c r="GSY190" s="3"/>
      <c r="GSZ190" s="3"/>
      <c r="GTA190" s="3"/>
      <c r="GTB190" s="3"/>
      <c r="GTC190" s="3"/>
      <c r="GTD190" s="3"/>
      <c r="GTE190" s="3"/>
      <c r="GTF190" s="3"/>
      <c r="GTG190" s="3"/>
      <c r="GTH190" s="3"/>
      <c r="GTI190" s="3"/>
      <c r="GTJ190" s="3"/>
      <c r="GTK190" s="3"/>
      <c r="GTL190" s="3"/>
      <c r="GTM190" s="3"/>
      <c r="GTN190" s="3"/>
      <c r="GTO190" s="3"/>
      <c r="GTP190" s="3"/>
      <c r="GTQ190" s="3"/>
      <c r="GTR190" s="3"/>
      <c r="GTS190" s="3"/>
      <c r="GTT190" s="3"/>
      <c r="GTU190" s="3"/>
      <c r="GTV190" s="3"/>
      <c r="GTW190" s="3"/>
      <c r="GTX190" s="3"/>
      <c r="GTY190" s="3"/>
      <c r="GTZ190" s="3"/>
      <c r="GUA190" s="3"/>
      <c r="GUB190" s="3"/>
      <c r="GUC190" s="3"/>
      <c r="GUD190" s="3"/>
      <c r="GUE190" s="3"/>
      <c r="GUF190" s="3"/>
      <c r="GUG190" s="3"/>
      <c r="GUH190" s="3"/>
      <c r="GUI190" s="3"/>
      <c r="GUJ190" s="3"/>
      <c r="GUK190" s="3"/>
      <c r="GUL190" s="3"/>
      <c r="GUM190" s="3"/>
      <c r="GUN190" s="3"/>
      <c r="GUO190" s="3"/>
      <c r="GUP190" s="3"/>
      <c r="GUQ190" s="3"/>
      <c r="GUR190" s="3"/>
      <c r="GUS190" s="3"/>
      <c r="GUT190" s="3"/>
      <c r="GUU190" s="3"/>
      <c r="GUV190" s="3"/>
      <c r="GUW190" s="3"/>
      <c r="GUX190" s="3"/>
      <c r="GUY190" s="3"/>
      <c r="GUZ190" s="3"/>
      <c r="GVA190" s="3"/>
      <c r="GVB190" s="3"/>
      <c r="GVC190" s="3"/>
      <c r="GVD190" s="3"/>
      <c r="GVE190" s="3"/>
      <c r="GVF190" s="3"/>
      <c r="GVG190" s="3"/>
      <c r="GVH190" s="3"/>
      <c r="GVI190" s="3"/>
      <c r="GVJ190" s="3"/>
      <c r="GVK190" s="3"/>
      <c r="GVL190" s="3"/>
      <c r="GVM190" s="3"/>
      <c r="GVN190" s="3"/>
      <c r="GVO190" s="3"/>
      <c r="GVP190" s="3"/>
      <c r="GVQ190" s="3"/>
      <c r="GVR190" s="3"/>
      <c r="GVS190" s="3"/>
      <c r="GVT190" s="3"/>
      <c r="GVU190" s="3"/>
      <c r="GVV190" s="3"/>
      <c r="GVW190" s="3"/>
      <c r="GVX190" s="3"/>
      <c r="GVY190" s="3"/>
      <c r="GVZ190" s="3"/>
      <c r="GWA190" s="3"/>
      <c r="GWB190" s="3"/>
      <c r="GWC190" s="3"/>
      <c r="GWD190" s="3"/>
      <c r="GWE190" s="3"/>
      <c r="GWF190" s="3"/>
      <c r="GWG190" s="3"/>
      <c r="GWH190" s="3"/>
      <c r="GWI190" s="3"/>
      <c r="GWJ190" s="3"/>
      <c r="GWK190" s="3"/>
      <c r="GWL190" s="3"/>
      <c r="GWM190" s="3"/>
      <c r="GWN190" s="3"/>
      <c r="GWO190" s="3"/>
      <c r="GWP190" s="3"/>
      <c r="GWQ190" s="3"/>
      <c r="GWR190" s="3"/>
      <c r="GWS190" s="3"/>
      <c r="GWT190" s="3"/>
      <c r="GWU190" s="3"/>
      <c r="GWV190" s="3"/>
      <c r="GWW190" s="3"/>
      <c r="GWX190" s="3"/>
      <c r="GWY190" s="3"/>
      <c r="GWZ190" s="3"/>
      <c r="GXA190" s="3"/>
      <c r="GXB190" s="3"/>
      <c r="GXC190" s="3"/>
      <c r="GXD190" s="3"/>
      <c r="GXE190" s="3"/>
      <c r="GXF190" s="3"/>
      <c r="GXG190" s="3"/>
      <c r="GXH190" s="3"/>
      <c r="GXI190" s="3"/>
      <c r="GXJ190" s="3"/>
      <c r="GXK190" s="3"/>
      <c r="GXL190" s="3"/>
      <c r="GXM190" s="3"/>
      <c r="GXN190" s="3"/>
      <c r="GXO190" s="3"/>
      <c r="GXP190" s="3"/>
      <c r="GXQ190" s="3"/>
      <c r="GXR190" s="3"/>
      <c r="GXS190" s="3"/>
      <c r="GXT190" s="3"/>
      <c r="GXU190" s="3"/>
      <c r="GXV190" s="3"/>
      <c r="GXW190" s="3"/>
      <c r="GXX190" s="3"/>
      <c r="GXY190" s="3"/>
      <c r="GXZ190" s="3"/>
      <c r="GYA190" s="3"/>
      <c r="GYB190" s="3"/>
      <c r="GYC190" s="3"/>
      <c r="GYD190" s="3"/>
      <c r="GYE190" s="3"/>
      <c r="GYF190" s="3"/>
      <c r="GYG190" s="3"/>
      <c r="GYH190" s="3"/>
      <c r="GYI190" s="3"/>
      <c r="GYJ190" s="3"/>
      <c r="GYK190" s="3"/>
      <c r="GYL190" s="3"/>
      <c r="GYM190" s="3"/>
      <c r="GYN190" s="3"/>
      <c r="GYO190" s="3"/>
      <c r="GYP190" s="3"/>
      <c r="GYQ190" s="3"/>
      <c r="GYR190" s="3"/>
      <c r="GYS190" s="3"/>
      <c r="GYT190" s="3"/>
      <c r="GYU190" s="3"/>
      <c r="GYV190" s="3"/>
      <c r="GYW190" s="3"/>
      <c r="GYX190" s="3"/>
      <c r="GYY190" s="3"/>
      <c r="GYZ190" s="3"/>
      <c r="GZA190" s="3"/>
      <c r="GZB190" s="3"/>
      <c r="GZC190" s="3"/>
      <c r="GZD190" s="3"/>
      <c r="GZE190" s="3"/>
      <c r="GZF190" s="3"/>
      <c r="GZG190" s="3"/>
      <c r="GZH190" s="3"/>
      <c r="GZI190" s="3"/>
      <c r="GZJ190" s="3"/>
      <c r="GZK190" s="3"/>
      <c r="GZL190" s="3"/>
      <c r="GZM190" s="3"/>
      <c r="GZN190" s="3"/>
      <c r="GZO190" s="3"/>
      <c r="GZP190" s="3"/>
      <c r="GZQ190" s="3"/>
      <c r="GZR190" s="3"/>
      <c r="GZS190" s="3"/>
      <c r="GZT190" s="3"/>
      <c r="GZU190" s="3"/>
      <c r="GZV190" s="3"/>
      <c r="GZW190" s="3"/>
      <c r="GZX190" s="3"/>
      <c r="GZY190" s="3"/>
      <c r="GZZ190" s="3"/>
      <c r="HAA190" s="3"/>
      <c r="HAB190" s="3"/>
      <c r="HAC190" s="3"/>
      <c r="HAD190" s="3"/>
      <c r="HAE190" s="3"/>
      <c r="HAF190" s="3"/>
      <c r="HAG190" s="3"/>
      <c r="HAH190" s="3"/>
      <c r="HAI190" s="3"/>
      <c r="HAJ190" s="3"/>
      <c r="HAK190" s="3"/>
      <c r="HAL190" s="3"/>
      <c r="HAM190" s="3"/>
      <c r="HAN190" s="3"/>
      <c r="HAO190" s="3"/>
      <c r="HAP190" s="3"/>
      <c r="HAQ190" s="3"/>
      <c r="HAR190" s="3"/>
      <c r="HAS190" s="3"/>
      <c r="HAT190" s="3"/>
      <c r="HAU190" s="3"/>
      <c r="HAV190" s="3"/>
      <c r="HAW190" s="3"/>
      <c r="HAX190" s="3"/>
      <c r="HAY190" s="3"/>
      <c r="HAZ190" s="3"/>
      <c r="HBA190" s="3"/>
      <c r="HBB190" s="3"/>
      <c r="HBC190" s="3"/>
      <c r="HBD190" s="3"/>
      <c r="HBE190" s="3"/>
      <c r="HBF190" s="3"/>
      <c r="HBG190" s="3"/>
      <c r="HBH190" s="3"/>
      <c r="HBI190" s="3"/>
      <c r="HBJ190" s="3"/>
      <c r="HBK190" s="3"/>
      <c r="HBL190" s="3"/>
      <c r="HBM190" s="3"/>
      <c r="HBN190" s="3"/>
      <c r="HBO190" s="3"/>
      <c r="HBP190" s="3"/>
      <c r="HBQ190" s="3"/>
      <c r="HBR190" s="3"/>
      <c r="HBS190" s="3"/>
      <c r="HBT190" s="3"/>
      <c r="HBU190" s="3"/>
      <c r="HBV190" s="3"/>
      <c r="HBW190" s="3"/>
      <c r="HBX190" s="3"/>
      <c r="HBY190" s="3"/>
      <c r="HBZ190" s="3"/>
      <c r="HCA190" s="3"/>
      <c r="HCB190" s="3"/>
      <c r="HCC190" s="3"/>
      <c r="HCD190" s="3"/>
      <c r="HCE190" s="3"/>
      <c r="HCF190" s="3"/>
      <c r="HCG190" s="3"/>
      <c r="HCH190" s="3"/>
      <c r="HCI190" s="3"/>
      <c r="HCJ190" s="3"/>
      <c r="HCK190" s="3"/>
      <c r="HCL190" s="3"/>
      <c r="HCM190" s="3"/>
      <c r="HCN190" s="3"/>
      <c r="HCO190" s="3"/>
      <c r="HCP190" s="3"/>
      <c r="HCQ190" s="3"/>
      <c r="HCR190" s="3"/>
      <c r="HCS190" s="3"/>
      <c r="HCT190" s="3"/>
      <c r="HCU190" s="3"/>
      <c r="HCV190" s="3"/>
      <c r="HCW190" s="3"/>
      <c r="HCX190" s="3"/>
      <c r="HCY190" s="3"/>
      <c r="HCZ190" s="3"/>
      <c r="HDA190" s="3"/>
      <c r="HDB190" s="3"/>
      <c r="HDC190" s="3"/>
      <c r="HDD190" s="3"/>
      <c r="HDE190" s="3"/>
      <c r="HDF190" s="3"/>
      <c r="HDG190" s="3"/>
      <c r="HDH190" s="3"/>
      <c r="HDI190" s="3"/>
      <c r="HDJ190" s="3"/>
      <c r="HDK190" s="3"/>
      <c r="HDL190" s="3"/>
      <c r="HDM190" s="3"/>
      <c r="HDN190" s="3"/>
      <c r="HDO190" s="3"/>
      <c r="HDP190" s="3"/>
      <c r="HDQ190" s="3"/>
      <c r="HDR190" s="3"/>
      <c r="HDS190" s="3"/>
      <c r="HDT190" s="3"/>
      <c r="HDU190" s="3"/>
      <c r="HDV190" s="3"/>
      <c r="HDW190" s="3"/>
      <c r="HDX190" s="3"/>
      <c r="HDY190" s="3"/>
      <c r="HDZ190" s="3"/>
      <c r="HEA190" s="3"/>
      <c r="HEB190" s="3"/>
      <c r="HEC190" s="3"/>
      <c r="HED190" s="3"/>
      <c r="HEE190" s="3"/>
      <c r="HEF190" s="3"/>
      <c r="HEG190" s="3"/>
      <c r="HEH190" s="3"/>
      <c r="HEI190" s="3"/>
      <c r="HEJ190" s="3"/>
      <c r="HEK190" s="3"/>
      <c r="HEL190" s="3"/>
      <c r="HEM190" s="3"/>
      <c r="HEN190" s="3"/>
      <c r="HEO190" s="3"/>
      <c r="HEP190" s="3"/>
      <c r="HEQ190" s="3"/>
      <c r="HER190" s="3"/>
      <c r="HES190" s="3"/>
      <c r="HET190" s="3"/>
      <c r="HEU190" s="3"/>
      <c r="HEV190" s="3"/>
      <c r="HEW190" s="3"/>
      <c r="HEX190" s="3"/>
      <c r="HEY190" s="3"/>
      <c r="HEZ190" s="3"/>
      <c r="HFA190" s="3"/>
      <c r="HFB190" s="3"/>
      <c r="HFC190" s="3"/>
      <c r="HFD190" s="3"/>
      <c r="HFE190" s="3"/>
      <c r="HFF190" s="3"/>
      <c r="HFG190" s="3"/>
      <c r="HFH190" s="3"/>
      <c r="HFI190" s="3"/>
      <c r="HFJ190" s="3"/>
      <c r="HFK190" s="3"/>
      <c r="HFL190" s="3"/>
      <c r="HFM190" s="3"/>
      <c r="HFN190" s="3"/>
      <c r="HFO190" s="3"/>
      <c r="HFP190" s="3"/>
      <c r="HFQ190" s="3"/>
      <c r="HFR190" s="3"/>
      <c r="HFS190" s="3"/>
      <c r="HFT190" s="3"/>
      <c r="HFU190" s="3"/>
      <c r="HFV190" s="3"/>
      <c r="HFW190" s="3"/>
      <c r="HFX190" s="3"/>
      <c r="HFY190" s="3"/>
      <c r="HFZ190" s="3"/>
      <c r="HGA190" s="3"/>
      <c r="HGB190" s="3"/>
      <c r="HGC190" s="3"/>
      <c r="HGD190" s="3"/>
      <c r="HGE190" s="3"/>
      <c r="HGF190" s="3"/>
      <c r="HGG190" s="3"/>
      <c r="HGH190" s="3"/>
      <c r="HGI190" s="3"/>
      <c r="HGJ190" s="3"/>
      <c r="HGK190" s="3"/>
      <c r="HGL190" s="3"/>
      <c r="HGM190" s="3"/>
      <c r="HGN190" s="3"/>
      <c r="HGO190" s="3"/>
      <c r="HGP190" s="3"/>
      <c r="HGQ190" s="3"/>
      <c r="HGR190" s="3"/>
      <c r="HGS190" s="3"/>
      <c r="HGT190" s="3"/>
      <c r="HGU190" s="3"/>
      <c r="HGV190" s="3"/>
      <c r="HGW190" s="3"/>
      <c r="HGX190" s="3"/>
      <c r="HGY190" s="3"/>
      <c r="HGZ190" s="3"/>
      <c r="HHA190" s="3"/>
      <c r="HHB190" s="3"/>
      <c r="HHC190" s="3"/>
      <c r="HHD190" s="3"/>
      <c r="HHE190" s="3"/>
      <c r="HHF190" s="3"/>
      <c r="HHG190" s="3"/>
      <c r="HHH190" s="3"/>
      <c r="HHI190" s="3"/>
      <c r="HHJ190" s="3"/>
      <c r="HHK190" s="3"/>
      <c r="HHL190" s="3"/>
      <c r="HHM190" s="3"/>
      <c r="HHN190" s="3"/>
      <c r="HHO190" s="3"/>
      <c r="HHP190" s="3"/>
      <c r="HHQ190" s="3"/>
      <c r="HHR190" s="3"/>
      <c r="HHS190" s="3"/>
      <c r="HHT190" s="3"/>
      <c r="HHU190" s="3"/>
      <c r="HHV190" s="3"/>
      <c r="HHW190" s="3"/>
      <c r="HHX190" s="3"/>
      <c r="HHY190" s="3"/>
      <c r="HHZ190" s="3"/>
      <c r="HIA190" s="3"/>
      <c r="HIB190" s="3"/>
      <c r="HIC190" s="3"/>
      <c r="HID190" s="3"/>
      <c r="HIE190" s="3"/>
      <c r="HIF190" s="3"/>
      <c r="HIG190" s="3"/>
      <c r="HIH190" s="3"/>
      <c r="HII190" s="3"/>
      <c r="HIJ190" s="3"/>
      <c r="HIK190" s="3"/>
      <c r="HIL190" s="3"/>
      <c r="HIM190" s="3"/>
      <c r="HIN190" s="3"/>
      <c r="HIO190" s="3"/>
      <c r="HIP190" s="3"/>
      <c r="HIQ190" s="3"/>
      <c r="HIR190" s="3"/>
      <c r="HIS190" s="3"/>
      <c r="HIT190" s="3"/>
      <c r="HIU190" s="3"/>
      <c r="HIV190" s="3"/>
      <c r="HIW190" s="3"/>
      <c r="HIX190" s="3"/>
      <c r="HIY190" s="3"/>
      <c r="HIZ190" s="3"/>
      <c r="HJA190" s="3"/>
      <c r="HJB190" s="3"/>
      <c r="HJC190" s="3"/>
      <c r="HJD190" s="3"/>
      <c r="HJE190" s="3"/>
      <c r="HJF190" s="3"/>
      <c r="HJG190" s="3"/>
      <c r="HJH190" s="3"/>
      <c r="HJI190" s="3"/>
      <c r="HJJ190" s="3"/>
      <c r="HJK190" s="3"/>
      <c r="HJL190" s="3"/>
      <c r="HJM190" s="3"/>
      <c r="HJN190" s="3"/>
      <c r="HJO190" s="3"/>
      <c r="HJP190" s="3"/>
      <c r="HJQ190" s="3"/>
      <c r="HJR190" s="3"/>
      <c r="HJS190" s="3"/>
      <c r="HJT190" s="3"/>
      <c r="HJU190" s="3"/>
      <c r="HJV190" s="3"/>
      <c r="HJW190" s="3"/>
      <c r="HJX190" s="3"/>
      <c r="HJY190" s="3"/>
      <c r="HJZ190" s="3"/>
      <c r="HKA190" s="3"/>
      <c r="HKB190" s="3"/>
      <c r="HKC190" s="3"/>
      <c r="HKD190" s="3"/>
      <c r="HKE190" s="3"/>
      <c r="HKF190" s="3"/>
      <c r="HKG190" s="3"/>
      <c r="HKH190" s="3"/>
      <c r="HKI190" s="3"/>
      <c r="HKJ190" s="3"/>
      <c r="HKK190" s="3"/>
      <c r="HKL190" s="3"/>
      <c r="HKM190" s="3"/>
      <c r="HKN190" s="3"/>
      <c r="HKO190" s="3"/>
      <c r="HKP190" s="3"/>
      <c r="HKQ190" s="3"/>
      <c r="HKR190" s="3"/>
      <c r="HKS190" s="3"/>
      <c r="HKT190" s="3"/>
      <c r="HKU190" s="3"/>
      <c r="HKV190" s="3"/>
      <c r="HKW190" s="3"/>
      <c r="HKX190" s="3"/>
      <c r="HKY190" s="3"/>
      <c r="HKZ190" s="3"/>
      <c r="HLA190" s="3"/>
      <c r="HLB190" s="3"/>
      <c r="HLC190" s="3"/>
      <c r="HLD190" s="3"/>
      <c r="HLE190" s="3"/>
      <c r="HLF190" s="3"/>
      <c r="HLG190" s="3"/>
      <c r="HLH190" s="3"/>
      <c r="HLI190" s="3"/>
      <c r="HLJ190" s="3"/>
      <c r="HLK190" s="3"/>
      <c r="HLL190" s="3"/>
      <c r="HLM190" s="3"/>
      <c r="HLN190" s="3"/>
      <c r="HLO190" s="3"/>
      <c r="HLP190" s="3"/>
      <c r="HLQ190" s="3"/>
      <c r="HLR190" s="3"/>
      <c r="HLS190" s="3"/>
      <c r="HLT190" s="3"/>
      <c r="HLU190" s="3"/>
      <c r="HLV190" s="3"/>
      <c r="HLW190" s="3"/>
      <c r="HLX190" s="3"/>
      <c r="HLY190" s="3"/>
      <c r="HLZ190" s="3"/>
      <c r="HMA190" s="3"/>
      <c r="HMB190" s="3"/>
      <c r="HMC190" s="3"/>
      <c r="HMD190" s="3"/>
      <c r="HME190" s="3"/>
      <c r="HMF190" s="3"/>
      <c r="HMG190" s="3"/>
      <c r="HMH190" s="3"/>
      <c r="HMI190" s="3"/>
      <c r="HMJ190" s="3"/>
      <c r="HMK190" s="3"/>
      <c r="HML190" s="3"/>
      <c r="HMM190" s="3"/>
      <c r="HMN190" s="3"/>
      <c r="HMO190" s="3"/>
      <c r="HMP190" s="3"/>
      <c r="HMQ190" s="3"/>
      <c r="HMR190" s="3"/>
      <c r="HMS190" s="3"/>
      <c r="HMT190" s="3"/>
      <c r="HMU190" s="3"/>
      <c r="HMV190" s="3"/>
      <c r="HMW190" s="3"/>
      <c r="HMX190" s="3"/>
      <c r="HMY190" s="3"/>
      <c r="HMZ190" s="3"/>
      <c r="HNA190" s="3"/>
      <c r="HNB190" s="3"/>
      <c r="HNC190" s="3"/>
      <c r="HND190" s="3"/>
      <c r="HNE190" s="3"/>
      <c r="HNF190" s="3"/>
      <c r="HNG190" s="3"/>
      <c r="HNH190" s="3"/>
      <c r="HNI190" s="3"/>
      <c r="HNJ190" s="3"/>
      <c r="HNK190" s="3"/>
      <c r="HNL190" s="3"/>
      <c r="HNM190" s="3"/>
      <c r="HNN190" s="3"/>
      <c r="HNO190" s="3"/>
      <c r="HNP190" s="3"/>
      <c r="HNQ190" s="3"/>
      <c r="HNR190" s="3"/>
      <c r="HNS190" s="3"/>
      <c r="HNT190" s="3"/>
      <c r="HNU190" s="3"/>
      <c r="HNV190" s="3"/>
      <c r="HNW190" s="3"/>
      <c r="HNX190" s="3"/>
      <c r="HNY190" s="3"/>
      <c r="HNZ190" s="3"/>
      <c r="HOA190" s="3"/>
      <c r="HOB190" s="3"/>
      <c r="HOC190" s="3"/>
      <c r="HOD190" s="3"/>
      <c r="HOE190" s="3"/>
      <c r="HOF190" s="3"/>
      <c r="HOG190" s="3"/>
      <c r="HOH190" s="3"/>
      <c r="HOI190" s="3"/>
      <c r="HOJ190" s="3"/>
      <c r="HOK190" s="3"/>
      <c r="HOL190" s="3"/>
      <c r="HOM190" s="3"/>
      <c r="HON190" s="3"/>
      <c r="HOO190" s="3"/>
      <c r="HOP190" s="3"/>
      <c r="HOQ190" s="3"/>
      <c r="HOR190" s="3"/>
      <c r="HOS190" s="3"/>
      <c r="HOT190" s="3"/>
      <c r="HOU190" s="3"/>
      <c r="HOV190" s="3"/>
      <c r="HOW190" s="3"/>
      <c r="HOX190" s="3"/>
      <c r="HOY190" s="3"/>
      <c r="HOZ190" s="3"/>
      <c r="HPA190" s="3"/>
      <c r="HPB190" s="3"/>
      <c r="HPC190" s="3"/>
      <c r="HPD190" s="3"/>
      <c r="HPE190" s="3"/>
      <c r="HPF190" s="3"/>
      <c r="HPG190" s="3"/>
      <c r="HPH190" s="3"/>
      <c r="HPI190" s="3"/>
      <c r="HPJ190" s="3"/>
      <c r="HPK190" s="3"/>
      <c r="HPL190" s="3"/>
      <c r="HPM190" s="3"/>
      <c r="HPN190" s="3"/>
      <c r="HPO190" s="3"/>
      <c r="HPP190" s="3"/>
      <c r="HPQ190" s="3"/>
      <c r="HPR190" s="3"/>
      <c r="HPS190" s="3"/>
      <c r="HPT190" s="3"/>
      <c r="HPU190" s="3"/>
      <c r="HPV190" s="3"/>
      <c r="HPW190" s="3"/>
      <c r="HPX190" s="3"/>
      <c r="HPY190" s="3"/>
      <c r="HPZ190" s="3"/>
      <c r="HQA190" s="3"/>
      <c r="HQB190" s="3"/>
      <c r="HQC190" s="3"/>
      <c r="HQD190" s="3"/>
      <c r="HQE190" s="3"/>
      <c r="HQF190" s="3"/>
      <c r="HQG190" s="3"/>
      <c r="HQH190" s="3"/>
      <c r="HQI190" s="3"/>
      <c r="HQJ190" s="3"/>
      <c r="HQK190" s="3"/>
      <c r="HQL190" s="3"/>
      <c r="HQM190" s="3"/>
      <c r="HQN190" s="3"/>
      <c r="HQO190" s="3"/>
      <c r="HQP190" s="3"/>
      <c r="HQQ190" s="3"/>
      <c r="HQR190" s="3"/>
      <c r="HQS190" s="3"/>
      <c r="HQT190" s="3"/>
      <c r="HQU190" s="3"/>
      <c r="HQV190" s="3"/>
      <c r="HQW190" s="3"/>
      <c r="HQX190" s="3"/>
      <c r="HQY190" s="3"/>
      <c r="HQZ190" s="3"/>
      <c r="HRA190" s="3"/>
      <c r="HRB190" s="3"/>
      <c r="HRC190" s="3"/>
      <c r="HRD190" s="3"/>
      <c r="HRE190" s="3"/>
      <c r="HRF190" s="3"/>
      <c r="HRG190" s="3"/>
      <c r="HRH190" s="3"/>
      <c r="HRI190" s="3"/>
      <c r="HRJ190" s="3"/>
      <c r="HRK190" s="3"/>
      <c r="HRL190" s="3"/>
      <c r="HRM190" s="3"/>
      <c r="HRN190" s="3"/>
      <c r="HRO190" s="3"/>
      <c r="HRP190" s="3"/>
      <c r="HRQ190" s="3"/>
      <c r="HRR190" s="3"/>
      <c r="HRS190" s="3"/>
      <c r="HRT190" s="3"/>
      <c r="HRU190" s="3"/>
      <c r="HRV190" s="3"/>
      <c r="HRW190" s="3"/>
      <c r="HRX190" s="3"/>
      <c r="HRY190" s="3"/>
      <c r="HRZ190" s="3"/>
      <c r="HSA190" s="3"/>
      <c r="HSB190" s="3"/>
      <c r="HSC190" s="3"/>
      <c r="HSD190" s="3"/>
      <c r="HSE190" s="3"/>
      <c r="HSF190" s="3"/>
      <c r="HSG190" s="3"/>
      <c r="HSH190" s="3"/>
      <c r="HSI190" s="3"/>
      <c r="HSJ190" s="3"/>
      <c r="HSK190" s="3"/>
      <c r="HSL190" s="3"/>
      <c r="HSM190" s="3"/>
      <c r="HSN190" s="3"/>
      <c r="HSO190" s="3"/>
      <c r="HSP190" s="3"/>
      <c r="HSQ190" s="3"/>
      <c r="HSR190" s="3"/>
      <c r="HSS190" s="3"/>
      <c r="HST190" s="3"/>
      <c r="HSU190" s="3"/>
      <c r="HSV190" s="3"/>
      <c r="HSW190" s="3"/>
      <c r="HSX190" s="3"/>
      <c r="HSY190" s="3"/>
      <c r="HSZ190" s="3"/>
      <c r="HTA190" s="3"/>
      <c r="HTB190" s="3"/>
      <c r="HTC190" s="3"/>
      <c r="HTD190" s="3"/>
      <c r="HTE190" s="3"/>
      <c r="HTF190" s="3"/>
      <c r="HTG190" s="3"/>
      <c r="HTH190" s="3"/>
      <c r="HTI190" s="3"/>
      <c r="HTJ190" s="3"/>
      <c r="HTK190" s="3"/>
      <c r="HTL190" s="3"/>
      <c r="HTM190" s="3"/>
      <c r="HTN190" s="3"/>
      <c r="HTO190" s="3"/>
      <c r="HTP190" s="3"/>
      <c r="HTQ190" s="3"/>
      <c r="HTR190" s="3"/>
      <c r="HTS190" s="3"/>
      <c r="HTT190" s="3"/>
      <c r="HTU190" s="3"/>
      <c r="HTV190" s="3"/>
      <c r="HTW190" s="3"/>
      <c r="HTX190" s="3"/>
      <c r="HTY190" s="3"/>
      <c r="HTZ190" s="3"/>
      <c r="HUA190" s="3"/>
      <c r="HUB190" s="3"/>
      <c r="HUC190" s="3"/>
      <c r="HUD190" s="3"/>
      <c r="HUE190" s="3"/>
      <c r="HUF190" s="3"/>
      <c r="HUG190" s="3"/>
      <c r="HUH190" s="3"/>
      <c r="HUI190" s="3"/>
      <c r="HUJ190" s="3"/>
      <c r="HUK190" s="3"/>
      <c r="HUL190" s="3"/>
      <c r="HUM190" s="3"/>
      <c r="HUN190" s="3"/>
      <c r="HUO190" s="3"/>
      <c r="HUP190" s="3"/>
      <c r="HUQ190" s="3"/>
      <c r="HUR190" s="3"/>
      <c r="HUS190" s="3"/>
      <c r="HUT190" s="3"/>
      <c r="HUU190" s="3"/>
      <c r="HUV190" s="3"/>
      <c r="HUW190" s="3"/>
      <c r="HUX190" s="3"/>
      <c r="HUY190" s="3"/>
      <c r="HUZ190" s="3"/>
      <c r="HVA190" s="3"/>
      <c r="HVB190" s="3"/>
      <c r="HVC190" s="3"/>
      <c r="HVD190" s="3"/>
      <c r="HVE190" s="3"/>
      <c r="HVF190" s="3"/>
      <c r="HVG190" s="3"/>
      <c r="HVH190" s="3"/>
      <c r="HVI190" s="3"/>
      <c r="HVJ190" s="3"/>
      <c r="HVK190" s="3"/>
      <c r="HVL190" s="3"/>
      <c r="HVM190" s="3"/>
      <c r="HVN190" s="3"/>
      <c r="HVO190" s="3"/>
      <c r="HVP190" s="3"/>
      <c r="HVQ190" s="3"/>
      <c r="HVR190" s="3"/>
      <c r="HVS190" s="3"/>
      <c r="HVT190" s="3"/>
      <c r="HVU190" s="3"/>
      <c r="HVV190" s="3"/>
      <c r="HVW190" s="3"/>
      <c r="HVX190" s="3"/>
      <c r="HVY190" s="3"/>
      <c r="HVZ190" s="3"/>
      <c r="HWA190" s="3"/>
      <c r="HWB190" s="3"/>
      <c r="HWC190" s="3"/>
      <c r="HWD190" s="3"/>
      <c r="HWE190" s="3"/>
      <c r="HWF190" s="3"/>
      <c r="HWG190" s="3"/>
      <c r="HWH190" s="3"/>
      <c r="HWI190" s="3"/>
      <c r="HWJ190" s="3"/>
      <c r="HWK190" s="3"/>
      <c r="HWL190" s="3"/>
      <c r="HWM190" s="3"/>
      <c r="HWN190" s="3"/>
      <c r="HWO190" s="3"/>
      <c r="HWP190" s="3"/>
      <c r="HWQ190" s="3"/>
      <c r="HWR190" s="3"/>
      <c r="HWS190" s="3"/>
      <c r="HWT190" s="3"/>
      <c r="HWU190" s="3"/>
      <c r="HWV190" s="3"/>
      <c r="HWW190" s="3"/>
      <c r="HWX190" s="3"/>
      <c r="HWY190" s="3"/>
      <c r="HWZ190" s="3"/>
      <c r="HXA190" s="3"/>
      <c r="HXB190" s="3"/>
      <c r="HXC190" s="3"/>
      <c r="HXD190" s="3"/>
      <c r="HXE190" s="3"/>
      <c r="HXF190" s="3"/>
      <c r="HXG190" s="3"/>
      <c r="HXH190" s="3"/>
      <c r="HXI190" s="3"/>
      <c r="HXJ190" s="3"/>
      <c r="HXK190" s="3"/>
      <c r="HXL190" s="3"/>
      <c r="HXM190" s="3"/>
      <c r="HXN190" s="3"/>
      <c r="HXO190" s="3"/>
      <c r="HXP190" s="3"/>
      <c r="HXQ190" s="3"/>
      <c r="HXR190" s="3"/>
      <c r="HXS190" s="3"/>
      <c r="HXT190" s="3"/>
      <c r="HXU190" s="3"/>
      <c r="HXV190" s="3"/>
      <c r="HXW190" s="3"/>
      <c r="HXX190" s="3"/>
      <c r="HXY190" s="3"/>
      <c r="HXZ190" s="3"/>
      <c r="HYA190" s="3"/>
      <c r="HYB190" s="3"/>
      <c r="HYC190" s="3"/>
      <c r="HYD190" s="3"/>
      <c r="HYE190" s="3"/>
      <c r="HYF190" s="3"/>
      <c r="HYG190" s="3"/>
      <c r="HYH190" s="3"/>
      <c r="HYI190" s="3"/>
      <c r="HYJ190" s="3"/>
      <c r="HYK190" s="3"/>
      <c r="HYL190" s="3"/>
      <c r="HYM190" s="3"/>
      <c r="HYN190" s="3"/>
      <c r="HYO190" s="3"/>
      <c r="HYP190" s="3"/>
      <c r="HYQ190" s="3"/>
      <c r="HYR190" s="3"/>
      <c r="HYS190" s="3"/>
      <c r="HYT190" s="3"/>
      <c r="HYU190" s="3"/>
      <c r="HYV190" s="3"/>
      <c r="HYW190" s="3"/>
      <c r="HYX190" s="3"/>
      <c r="HYY190" s="3"/>
      <c r="HYZ190" s="3"/>
      <c r="HZA190" s="3"/>
      <c r="HZB190" s="3"/>
      <c r="HZC190" s="3"/>
      <c r="HZD190" s="3"/>
      <c r="HZE190" s="3"/>
      <c r="HZF190" s="3"/>
      <c r="HZG190" s="3"/>
      <c r="HZH190" s="3"/>
      <c r="HZI190" s="3"/>
      <c r="HZJ190" s="3"/>
      <c r="HZK190" s="3"/>
      <c r="HZL190" s="3"/>
      <c r="HZM190" s="3"/>
      <c r="HZN190" s="3"/>
      <c r="HZO190" s="3"/>
      <c r="HZP190" s="3"/>
      <c r="HZQ190" s="3"/>
      <c r="HZR190" s="3"/>
      <c r="HZS190" s="3"/>
      <c r="HZT190" s="3"/>
      <c r="HZU190" s="3"/>
      <c r="HZV190" s="3"/>
      <c r="HZW190" s="3"/>
      <c r="HZX190" s="3"/>
      <c r="HZY190" s="3"/>
      <c r="HZZ190" s="3"/>
      <c r="IAA190" s="3"/>
      <c r="IAB190" s="3"/>
      <c r="IAC190" s="3"/>
      <c r="IAD190" s="3"/>
      <c r="IAE190" s="3"/>
      <c r="IAF190" s="3"/>
      <c r="IAG190" s="3"/>
      <c r="IAH190" s="3"/>
      <c r="IAI190" s="3"/>
      <c r="IAJ190" s="3"/>
      <c r="IAK190" s="3"/>
      <c r="IAL190" s="3"/>
      <c r="IAM190" s="3"/>
      <c r="IAN190" s="3"/>
      <c r="IAO190" s="3"/>
      <c r="IAP190" s="3"/>
      <c r="IAQ190" s="3"/>
      <c r="IAR190" s="3"/>
      <c r="IAS190" s="3"/>
      <c r="IAT190" s="3"/>
      <c r="IAU190" s="3"/>
      <c r="IAV190" s="3"/>
      <c r="IAW190" s="3"/>
      <c r="IAX190" s="3"/>
      <c r="IAY190" s="3"/>
      <c r="IAZ190" s="3"/>
      <c r="IBA190" s="3"/>
      <c r="IBB190" s="3"/>
      <c r="IBC190" s="3"/>
      <c r="IBD190" s="3"/>
      <c r="IBE190" s="3"/>
      <c r="IBF190" s="3"/>
      <c r="IBG190" s="3"/>
      <c r="IBH190" s="3"/>
      <c r="IBI190" s="3"/>
      <c r="IBJ190" s="3"/>
      <c r="IBK190" s="3"/>
      <c r="IBL190" s="3"/>
      <c r="IBM190" s="3"/>
      <c r="IBN190" s="3"/>
      <c r="IBO190" s="3"/>
      <c r="IBP190" s="3"/>
      <c r="IBQ190" s="3"/>
      <c r="IBR190" s="3"/>
      <c r="IBS190" s="3"/>
      <c r="IBT190" s="3"/>
      <c r="IBU190" s="3"/>
      <c r="IBV190" s="3"/>
      <c r="IBW190" s="3"/>
      <c r="IBX190" s="3"/>
      <c r="IBY190" s="3"/>
      <c r="IBZ190" s="3"/>
      <c r="ICA190" s="3"/>
      <c r="ICB190" s="3"/>
      <c r="ICC190" s="3"/>
      <c r="ICD190" s="3"/>
      <c r="ICE190" s="3"/>
      <c r="ICF190" s="3"/>
      <c r="ICG190" s="3"/>
      <c r="ICH190" s="3"/>
      <c r="ICI190" s="3"/>
      <c r="ICJ190" s="3"/>
      <c r="ICK190" s="3"/>
      <c r="ICL190" s="3"/>
      <c r="ICM190" s="3"/>
      <c r="ICN190" s="3"/>
      <c r="ICO190" s="3"/>
      <c r="ICP190" s="3"/>
      <c r="ICQ190" s="3"/>
      <c r="ICR190" s="3"/>
      <c r="ICS190" s="3"/>
      <c r="ICT190" s="3"/>
      <c r="ICU190" s="3"/>
      <c r="ICV190" s="3"/>
      <c r="ICW190" s="3"/>
      <c r="ICX190" s="3"/>
      <c r="ICY190" s="3"/>
      <c r="ICZ190" s="3"/>
      <c r="IDA190" s="3"/>
      <c r="IDB190" s="3"/>
      <c r="IDC190" s="3"/>
      <c r="IDD190" s="3"/>
      <c r="IDE190" s="3"/>
      <c r="IDF190" s="3"/>
      <c r="IDG190" s="3"/>
      <c r="IDH190" s="3"/>
      <c r="IDI190" s="3"/>
      <c r="IDJ190" s="3"/>
      <c r="IDK190" s="3"/>
      <c r="IDL190" s="3"/>
      <c r="IDM190" s="3"/>
      <c r="IDN190" s="3"/>
      <c r="IDO190" s="3"/>
      <c r="IDP190" s="3"/>
      <c r="IDQ190" s="3"/>
      <c r="IDR190" s="3"/>
      <c r="IDS190" s="3"/>
      <c r="IDT190" s="3"/>
      <c r="IDU190" s="3"/>
      <c r="IDV190" s="3"/>
      <c r="IDW190" s="3"/>
      <c r="IDX190" s="3"/>
      <c r="IDY190" s="3"/>
      <c r="IDZ190" s="3"/>
      <c r="IEA190" s="3"/>
      <c r="IEB190" s="3"/>
      <c r="IEC190" s="3"/>
      <c r="IED190" s="3"/>
      <c r="IEE190" s="3"/>
      <c r="IEF190" s="3"/>
      <c r="IEG190" s="3"/>
      <c r="IEH190" s="3"/>
      <c r="IEI190" s="3"/>
      <c r="IEJ190" s="3"/>
      <c r="IEK190" s="3"/>
      <c r="IEL190" s="3"/>
      <c r="IEM190" s="3"/>
      <c r="IEN190" s="3"/>
      <c r="IEO190" s="3"/>
      <c r="IEP190" s="3"/>
      <c r="IEQ190" s="3"/>
      <c r="IER190" s="3"/>
      <c r="IES190" s="3"/>
      <c r="IET190" s="3"/>
      <c r="IEU190" s="3"/>
      <c r="IEV190" s="3"/>
      <c r="IEW190" s="3"/>
      <c r="IEX190" s="3"/>
      <c r="IEY190" s="3"/>
      <c r="IEZ190" s="3"/>
      <c r="IFA190" s="3"/>
      <c r="IFB190" s="3"/>
      <c r="IFC190" s="3"/>
      <c r="IFD190" s="3"/>
      <c r="IFE190" s="3"/>
      <c r="IFF190" s="3"/>
      <c r="IFG190" s="3"/>
      <c r="IFH190" s="3"/>
      <c r="IFI190" s="3"/>
      <c r="IFJ190" s="3"/>
      <c r="IFK190" s="3"/>
      <c r="IFL190" s="3"/>
      <c r="IFM190" s="3"/>
      <c r="IFN190" s="3"/>
      <c r="IFO190" s="3"/>
      <c r="IFP190" s="3"/>
      <c r="IFQ190" s="3"/>
      <c r="IFR190" s="3"/>
      <c r="IFS190" s="3"/>
      <c r="IFT190" s="3"/>
      <c r="IFU190" s="3"/>
      <c r="IFV190" s="3"/>
      <c r="IFW190" s="3"/>
      <c r="IFX190" s="3"/>
      <c r="IFY190" s="3"/>
      <c r="IFZ190" s="3"/>
      <c r="IGA190" s="3"/>
      <c r="IGB190" s="3"/>
      <c r="IGC190" s="3"/>
      <c r="IGD190" s="3"/>
      <c r="IGE190" s="3"/>
      <c r="IGF190" s="3"/>
      <c r="IGG190" s="3"/>
      <c r="IGH190" s="3"/>
      <c r="IGI190" s="3"/>
      <c r="IGJ190" s="3"/>
      <c r="IGK190" s="3"/>
      <c r="IGL190" s="3"/>
      <c r="IGM190" s="3"/>
      <c r="IGN190" s="3"/>
      <c r="IGO190" s="3"/>
      <c r="IGP190" s="3"/>
      <c r="IGQ190" s="3"/>
      <c r="IGR190" s="3"/>
      <c r="IGS190" s="3"/>
      <c r="IGT190" s="3"/>
      <c r="IGU190" s="3"/>
      <c r="IGV190" s="3"/>
      <c r="IGW190" s="3"/>
      <c r="IGX190" s="3"/>
      <c r="IGY190" s="3"/>
      <c r="IGZ190" s="3"/>
      <c r="IHA190" s="3"/>
      <c r="IHB190" s="3"/>
      <c r="IHC190" s="3"/>
      <c r="IHD190" s="3"/>
      <c r="IHE190" s="3"/>
      <c r="IHF190" s="3"/>
      <c r="IHG190" s="3"/>
      <c r="IHH190" s="3"/>
      <c r="IHI190" s="3"/>
      <c r="IHJ190" s="3"/>
      <c r="IHK190" s="3"/>
      <c r="IHL190" s="3"/>
      <c r="IHM190" s="3"/>
      <c r="IHN190" s="3"/>
      <c r="IHO190" s="3"/>
      <c r="IHP190" s="3"/>
      <c r="IHQ190" s="3"/>
      <c r="IHR190" s="3"/>
      <c r="IHS190" s="3"/>
      <c r="IHT190" s="3"/>
      <c r="IHU190" s="3"/>
      <c r="IHV190" s="3"/>
      <c r="IHW190" s="3"/>
      <c r="IHX190" s="3"/>
      <c r="IHY190" s="3"/>
      <c r="IHZ190" s="3"/>
      <c r="IIA190" s="3"/>
      <c r="IIB190" s="3"/>
      <c r="IIC190" s="3"/>
      <c r="IID190" s="3"/>
      <c r="IIE190" s="3"/>
      <c r="IIF190" s="3"/>
      <c r="IIG190" s="3"/>
      <c r="IIH190" s="3"/>
      <c r="III190" s="3"/>
      <c r="IIJ190" s="3"/>
      <c r="IIK190" s="3"/>
      <c r="IIL190" s="3"/>
      <c r="IIM190" s="3"/>
      <c r="IIN190" s="3"/>
      <c r="IIO190" s="3"/>
      <c r="IIP190" s="3"/>
      <c r="IIQ190" s="3"/>
      <c r="IIR190" s="3"/>
      <c r="IIS190" s="3"/>
      <c r="IIT190" s="3"/>
      <c r="IIU190" s="3"/>
      <c r="IIV190" s="3"/>
      <c r="IIW190" s="3"/>
      <c r="IIX190" s="3"/>
      <c r="IIY190" s="3"/>
      <c r="IIZ190" s="3"/>
      <c r="IJA190" s="3"/>
      <c r="IJB190" s="3"/>
      <c r="IJC190" s="3"/>
      <c r="IJD190" s="3"/>
      <c r="IJE190" s="3"/>
      <c r="IJF190" s="3"/>
      <c r="IJG190" s="3"/>
      <c r="IJH190" s="3"/>
      <c r="IJI190" s="3"/>
      <c r="IJJ190" s="3"/>
      <c r="IJK190" s="3"/>
      <c r="IJL190" s="3"/>
      <c r="IJM190" s="3"/>
      <c r="IJN190" s="3"/>
      <c r="IJO190" s="3"/>
      <c r="IJP190" s="3"/>
      <c r="IJQ190" s="3"/>
      <c r="IJR190" s="3"/>
      <c r="IJS190" s="3"/>
      <c r="IJT190" s="3"/>
      <c r="IJU190" s="3"/>
      <c r="IJV190" s="3"/>
      <c r="IJW190" s="3"/>
      <c r="IJX190" s="3"/>
      <c r="IJY190" s="3"/>
      <c r="IJZ190" s="3"/>
      <c r="IKA190" s="3"/>
      <c r="IKB190" s="3"/>
      <c r="IKC190" s="3"/>
      <c r="IKD190" s="3"/>
      <c r="IKE190" s="3"/>
      <c r="IKF190" s="3"/>
      <c r="IKG190" s="3"/>
      <c r="IKH190" s="3"/>
      <c r="IKI190" s="3"/>
      <c r="IKJ190" s="3"/>
      <c r="IKK190" s="3"/>
      <c r="IKL190" s="3"/>
      <c r="IKM190" s="3"/>
      <c r="IKN190" s="3"/>
      <c r="IKO190" s="3"/>
      <c r="IKP190" s="3"/>
      <c r="IKQ190" s="3"/>
      <c r="IKR190" s="3"/>
      <c r="IKS190" s="3"/>
      <c r="IKT190" s="3"/>
      <c r="IKU190" s="3"/>
      <c r="IKV190" s="3"/>
      <c r="IKW190" s="3"/>
      <c r="IKX190" s="3"/>
      <c r="IKY190" s="3"/>
      <c r="IKZ190" s="3"/>
      <c r="ILA190" s="3"/>
      <c r="ILB190" s="3"/>
      <c r="ILC190" s="3"/>
      <c r="ILD190" s="3"/>
      <c r="ILE190" s="3"/>
      <c r="ILF190" s="3"/>
      <c r="ILG190" s="3"/>
      <c r="ILH190" s="3"/>
      <c r="ILI190" s="3"/>
      <c r="ILJ190" s="3"/>
      <c r="ILK190" s="3"/>
      <c r="ILL190" s="3"/>
      <c r="ILM190" s="3"/>
      <c r="ILN190" s="3"/>
      <c r="ILO190" s="3"/>
      <c r="ILP190" s="3"/>
      <c r="ILQ190" s="3"/>
      <c r="ILR190" s="3"/>
      <c r="ILS190" s="3"/>
      <c r="ILT190" s="3"/>
      <c r="ILU190" s="3"/>
      <c r="ILV190" s="3"/>
      <c r="ILW190" s="3"/>
      <c r="ILX190" s="3"/>
      <c r="ILY190" s="3"/>
      <c r="ILZ190" s="3"/>
      <c r="IMA190" s="3"/>
      <c r="IMB190" s="3"/>
      <c r="IMC190" s="3"/>
      <c r="IMD190" s="3"/>
      <c r="IME190" s="3"/>
      <c r="IMF190" s="3"/>
      <c r="IMG190" s="3"/>
      <c r="IMH190" s="3"/>
      <c r="IMI190" s="3"/>
      <c r="IMJ190" s="3"/>
      <c r="IMK190" s="3"/>
      <c r="IML190" s="3"/>
      <c r="IMM190" s="3"/>
      <c r="IMN190" s="3"/>
      <c r="IMO190" s="3"/>
      <c r="IMP190" s="3"/>
      <c r="IMQ190" s="3"/>
      <c r="IMR190" s="3"/>
      <c r="IMS190" s="3"/>
      <c r="IMT190" s="3"/>
      <c r="IMU190" s="3"/>
      <c r="IMV190" s="3"/>
      <c r="IMW190" s="3"/>
      <c r="IMX190" s="3"/>
      <c r="IMY190" s="3"/>
      <c r="IMZ190" s="3"/>
      <c r="INA190" s="3"/>
      <c r="INB190" s="3"/>
      <c r="INC190" s="3"/>
      <c r="IND190" s="3"/>
      <c r="INE190" s="3"/>
      <c r="INF190" s="3"/>
      <c r="ING190" s="3"/>
      <c r="INH190" s="3"/>
      <c r="INI190" s="3"/>
      <c r="INJ190" s="3"/>
      <c r="INK190" s="3"/>
      <c r="INL190" s="3"/>
      <c r="INM190" s="3"/>
      <c r="INN190" s="3"/>
      <c r="INO190" s="3"/>
      <c r="INP190" s="3"/>
      <c r="INQ190" s="3"/>
      <c r="INR190" s="3"/>
      <c r="INS190" s="3"/>
      <c r="INT190" s="3"/>
      <c r="INU190" s="3"/>
      <c r="INV190" s="3"/>
      <c r="INW190" s="3"/>
      <c r="INX190" s="3"/>
      <c r="INY190" s="3"/>
      <c r="INZ190" s="3"/>
      <c r="IOA190" s="3"/>
      <c r="IOB190" s="3"/>
      <c r="IOC190" s="3"/>
      <c r="IOD190" s="3"/>
      <c r="IOE190" s="3"/>
      <c r="IOF190" s="3"/>
      <c r="IOG190" s="3"/>
      <c r="IOH190" s="3"/>
      <c r="IOI190" s="3"/>
      <c r="IOJ190" s="3"/>
      <c r="IOK190" s="3"/>
      <c r="IOL190" s="3"/>
      <c r="IOM190" s="3"/>
      <c r="ION190" s="3"/>
      <c r="IOO190" s="3"/>
      <c r="IOP190" s="3"/>
      <c r="IOQ190" s="3"/>
      <c r="IOR190" s="3"/>
      <c r="IOS190" s="3"/>
      <c r="IOT190" s="3"/>
      <c r="IOU190" s="3"/>
      <c r="IOV190" s="3"/>
      <c r="IOW190" s="3"/>
      <c r="IOX190" s="3"/>
      <c r="IOY190" s="3"/>
      <c r="IOZ190" s="3"/>
      <c r="IPA190" s="3"/>
      <c r="IPB190" s="3"/>
      <c r="IPC190" s="3"/>
      <c r="IPD190" s="3"/>
      <c r="IPE190" s="3"/>
      <c r="IPF190" s="3"/>
      <c r="IPG190" s="3"/>
      <c r="IPH190" s="3"/>
      <c r="IPI190" s="3"/>
      <c r="IPJ190" s="3"/>
      <c r="IPK190" s="3"/>
      <c r="IPL190" s="3"/>
      <c r="IPM190" s="3"/>
      <c r="IPN190" s="3"/>
      <c r="IPO190" s="3"/>
      <c r="IPP190" s="3"/>
      <c r="IPQ190" s="3"/>
      <c r="IPR190" s="3"/>
      <c r="IPS190" s="3"/>
      <c r="IPT190" s="3"/>
      <c r="IPU190" s="3"/>
      <c r="IPV190" s="3"/>
      <c r="IPW190" s="3"/>
      <c r="IPX190" s="3"/>
      <c r="IPY190" s="3"/>
      <c r="IPZ190" s="3"/>
      <c r="IQA190" s="3"/>
      <c r="IQB190" s="3"/>
      <c r="IQC190" s="3"/>
      <c r="IQD190" s="3"/>
      <c r="IQE190" s="3"/>
      <c r="IQF190" s="3"/>
      <c r="IQG190" s="3"/>
      <c r="IQH190" s="3"/>
      <c r="IQI190" s="3"/>
      <c r="IQJ190" s="3"/>
      <c r="IQK190" s="3"/>
      <c r="IQL190" s="3"/>
      <c r="IQM190" s="3"/>
      <c r="IQN190" s="3"/>
      <c r="IQO190" s="3"/>
      <c r="IQP190" s="3"/>
      <c r="IQQ190" s="3"/>
      <c r="IQR190" s="3"/>
      <c r="IQS190" s="3"/>
      <c r="IQT190" s="3"/>
      <c r="IQU190" s="3"/>
      <c r="IQV190" s="3"/>
      <c r="IQW190" s="3"/>
      <c r="IQX190" s="3"/>
      <c r="IQY190" s="3"/>
      <c r="IQZ190" s="3"/>
      <c r="IRA190" s="3"/>
      <c r="IRB190" s="3"/>
      <c r="IRC190" s="3"/>
      <c r="IRD190" s="3"/>
      <c r="IRE190" s="3"/>
      <c r="IRF190" s="3"/>
      <c r="IRG190" s="3"/>
      <c r="IRH190" s="3"/>
      <c r="IRI190" s="3"/>
      <c r="IRJ190" s="3"/>
      <c r="IRK190" s="3"/>
      <c r="IRL190" s="3"/>
      <c r="IRM190" s="3"/>
      <c r="IRN190" s="3"/>
      <c r="IRO190" s="3"/>
      <c r="IRP190" s="3"/>
      <c r="IRQ190" s="3"/>
      <c r="IRR190" s="3"/>
      <c r="IRS190" s="3"/>
      <c r="IRT190" s="3"/>
      <c r="IRU190" s="3"/>
      <c r="IRV190" s="3"/>
      <c r="IRW190" s="3"/>
      <c r="IRX190" s="3"/>
      <c r="IRY190" s="3"/>
      <c r="IRZ190" s="3"/>
      <c r="ISA190" s="3"/>
      <c r="ISB190" s="3"/>
      <c r="ISC190" s="3"/>
      <c r="ISD190" s="3"/>
      <c r="ISE190" s="3"/>
      <c r="ISF190" s="3"/>
      <c r="ISG190" s="3"/>
      <c r="ISH190" s="3"/>
      <c r="ISI190" s="3"/>
      <c r="ISJ190" s="3"/>
      <c r="ISK190" s="3"/>
      <c r="ISL190" s="3"/>
      <c r="ISM190" s="3"/>
      <c r="ISN190" s="3"/>
      <c r="ISO190" s="3"/>
      <c r="ISP190" s="3"/>
      <c r="ISQ190" s="3"/>
      <c r="ISR190" s="3"/>
      <c r="ISS190" s="3"/>
      <c r="IST190" s="3"/>
      <c r="ISU190" s="3"/>
      <c r="ISV190" s="3"/>
      <c r="ISW190" s="3"/>
      <c r="ISX190" s="3"/>
      <c r="ISY190" s="3"/>
      <c r="ISZ190" s="3"/>
      <c r="ITA190" s="3"/>
      <c r="ITB190" s="3"/>
      <c r="ITC190" s="3"/>
      <c r="ITD190" s="3"/>
      <c r="ITE190" s="3"/>
      <c r="ITF190" s="3"/>
      <c r="ITG190" s="3"/>
      <c r="ITH190" s="3"/>
      <c r="ITI190" s="3"/>
      <c r="ITJ190" s="3"/>
      <c r="ITK190" s="3"/>
      <c r="ITL190" s="3"/>
      <c r="ITM190" s="3"/>
      <c r="ITN190" s="3"/>
      <c r="ITO190" s="3"/>
      <c r="ITP190" s="3"/>
      <c r="ITQ190" s="3"/>
      <c r="ITR190" s="3"/>
      <c r="ITS190" s="3"/>
      <c r="ITT190" s="3"/>
      <c r="ITU190" s="3"/>
      <c r="ITV190" s="3"/>
      <c r="ITW190" s="3"/>
      <c r="ITX190" s="3"/>
      <c r="ITY190" s="3"/>
      <c r="ITZ190" s="3"/>
      <c r="IUA190" s="3"/>
      <c r="IUB190" s="3"/>
      <c r="IUC190" s="3"/>
      <c r="IUD190" s="3"/>
      <c r="IUE190" s="3"/>
      <c r="IUF190" s="3"/>
      <c r="IUG190" s="3"/>
      <c r="IUH190" s="3"/>
      <c r="IUI190" s="3"/>
      <c r="IUJ190" s="3"/>
      <c r="IUK190" s="3"/>
      <c r="IUL190" s="3"/>
      <c r="IUM190" s="3"/>
      <c r="IUN190" s="3"/>
      <c r="IUO190" s="3"/>
      <c r="IUP190" s="3"/>
      <c r="IUQ190" s="3"/>
      <c r="IUR190" s="3"/>
      <c r="IUS190" s="3"/>
      <c r="IUT190" s="3"/>
      <c r="IUU190" s="3"/>
      <c r="IUV190" s="3"/>
      <c r="IUW190" s="3"/>
      <c r="IUX190" s="3"/>
      <c r="IUY190" s="3"/>
      <c r="IUZ190" s="3"/>
      <c r="IVA190" s="3"/>
      <c r="IVB190" s="3"/>
      <c r="IVC190" s="3"/>
      <c r="IVD190" s="3"/>
      <c r="IVE190" s="3"/>
      <c r="IVF190" s="3"/>
      <c r="IVG190" s="3"/>
      <c r="IVH190" s="3"/>
      <c r="IVI190" s="3"/>
      <c r="IVJ190" s="3"/>
      <c r="IVK190" s="3"/>
      <c r="IVL190" s="3"/>
      <c r="IVM190" s="3"/>
      <c r="IVN190" s="3"/>
      <c r="IVO190" s="3"/>
      <c r="IVP190" s="3"/>
      <c r="IVQ190" s="3"/>
      <c r="IVR190" s="3"/>
      <c r="IVS190" s="3"/>
      <c r="IVT190" s="3"/>
      <c r="IVU190" s="3"/>
      <c r="IVV190" s="3"/>
      <c r="IVW190" s="3"/>
      <c r="IVX190" s="3"/>
      <c r="IVY190" s="3"/>
      <c r="IVZ190" s="3"/>
      <c r="IWA190" s="3"/>
      <c r="IWB190" s="3"/>
      <c r="IWC190" s="3"/>
      <c r="IWD190" s="3"/>
      <c r="IWE190" s="3"/>
      <c r="IWF190" s="3"/>
      <c r="IWG190" s="3"/>
      <c r="IWH190" s="3"/>
      <c r="IWI190" s="3"/>
      <c r="IWJ190" s="3"/>
      <c r="IWK190" s="3"/>
      <c r="IWL190" s="3"/>
      <c r="IWM190" s="3"/>
      <c r="IWN190" s="3"/>
      <c r="IWO190" s="3"/>
      <c r="IWP190" s="3"/>
      <c r="IWQ190" s="3"/>
      <c r="IWR190" s="3"/>
      <c r="IWS190" s="3"/>
      <c r="IWT190" s="3"/>
      <c r="IWU190" s="3"/>
      <c r="IWV190" s="3"/>
      <c r="IWW190" s="3"/>
      <c r="IWX190" s="3"/>
      <c r="IWY190" s="3"/>
      <c r="IWZ190" s="3"/>
      <c r="IXA190" s="3"/>
      <c r="IXB190" s="3"/>
      <c r="IXC190" s="3"/>
      <c r="IXD190" s="3"/>
      <c r="IXE190" s="3"/>
      <c r="IXF190" s="3"/>
      <c r="IXG190" s="3"/>
      <c r="IXH190" s="3"/>
      <c r="IXI190" s="3"/>
      <c r="IXJ190" s="3"/>
      <c r="IXK190" s="3"/>
      <c r="IXL190" s="3"/>
      <c r="IXM190" s="3"/>
      <c r="IXN190" s="3"/>
      <c r="IXO190" s="3"/>
      <c r="IXP190" s="3"/>
      <c r="IXQ190" s="3"/>
      <c r="IXR190" s="3"/>
      <c r="IXS190" s="3"/>
      <c r="IXT190" s="3"/>
      <c r="IXU190" s="3"/>
      <c r="IXV190" s="3"/>
      <c r="IXW190" s="3"/>
      <c r="IXX190" s="3"/>
      <c r="IXY190" s="3"/>
      <c r="IXZ190" s="3"/>
      <c r="IYA190" s="3"/>
      <c r="IYB190" s="3"/>
      <c r="IYC190" s="3"/>
      <c r="IYD190" s="3"/>
      <c r="IYE190" s="3"/>
      <c r="IYF190" s="3"/>
      <c r="IYG190" s="3"/>
      <c r="IYH190" s="3"/>
      <c r="IYI190" s="3"/>
      <c r="IYJ190" s="3"/>
      <c r="IYK190" s="3"/>
      <c r="IYL190" s="3"/>
      <c r="IYM190" s="3"/>
      <c r="IYN190" s="3"/>
      <c r="IYO190" s="3"/>
      <c r="IYP190" s="3"/>
      <c r="IYQ190" s="3"/>
      <c r="IYR190" s="3"/>
      <c r="IYS190" s="3"/>
      <c r="IYT190" s="3"/>
      <c r="IYU190" s="3"/>
      <c r="IYV190" s="3"/>
      <c r="IYW190" s="3"/>
      <c r="IYX190" s="3"/>
      <c r="IYY190" s="3"/>
      <c r="IYZ190" s="3"/>
      <c r="IZA190" s="3"/>
      <c r="IZB190" s="3"/>
      <c r="IZC190" s="3"/>
      <c r="IZD190" s="3"/>
      <c r="IZE190" s="3"/>
      <c r="IZF190" s="3"/>
      <c r="IZG190" s="3"/>
      <c r="IZH190" s="3"/>
      <c r="IZI190" s="3"/>
      <c r="IZJ190" s="3"/>
      <c r="IZK190" s="3"/>
      <c r="IZL190" s="3"/>
      <c r="IZM190" s="3"/>
      <c r="IZN190" s="3"/>
      <c r="IZO190" s="3"/>
      <c r="IZP190" s="3"/>
      <c r="IZQ190" s="3"/>
      <c r="IZR190" s="3"/>
      <c r="IZS190" s="3"/>
      <c r="IZT190" s="3"/>
      <c r="IZU190" s="3"/>
      <c r="IZV190" s="3"/>
      <c r="IZW190" s="3"/>
      <c r="IZX190" s="3"/>
      <c r="IZY190" s="3"/>
      <c r="IZZ190" s="3"/>
      <c r="JAA190" s="3"/>
      <c r="JAB190" s="3"/>
      <c r="JAC190" s="3"/>
      <c r="JAD190" s="3"/>
      <c r="JAE190" s="3"/>
      <c r="JAF190" s="3"/>
      <c r="JAG190" s="3"/>
      <c r="JAH190" s="3"/>
      <c r="JAI190" s="3"/>
      <c r="JAJ190" s="3"/>
      <c r="JAK190" s="3"/>
      <c r="JAL190" s="3"/>
      <c r="JAM190" s="3"/>
      <c r="JAN190" s="3"/>
      <c r="JAO190" s="3"/>
      <c r="JAP190" s="3"/>
      <c r="JAQ190" s="3"/>
      <c r="JAR190" s="3"/>
      <c r="JAS190" s="3"/>
      <c r="JAT190" s="3"/>
      <c r="JAU190" s="3"/>
      <c r="JAV190" s="3"/>
      <c r="JAW190" s="3"/>
      <c r="JAX190" s="3"/>
      <c r="JAY190" s="3"/>
      <c r="JAZ190" s="3"/>
      <c r="JBA190" s="3"/>
      <c r="JBB190" s="3"/>
      <c r="JBC190" s="3"/>
      <c r="JBD190" s="3"/>
      <c r="JBE190" s="3"/>
      <c r="JBF190" s="3"/>
      <c r="JBG190" s="3"/>
      <c r="JBH190" s="3"/>
      <c r="JBI190" s="3"/>
      <c r="JBJ190" s="3"/>
      <c r="JBK190" s="3"/>
      <c r="JBL190" s="3"/>
      <c r="JBM190" s="3"/>
      <c r="JBN190" s="3"/>
      <c r="JBO190" s="3"/>
      <c r="JBP190" s="3"/>
      <c r="JBQ190" s="3"/>
      <c r="JBR190" s="3"/>
      <c r="JBS190" s="3"/>
      <c r="JBT190" s="3"/>
      <c r="JBU190" s="3"/>
      <c r="JBV190" s="3"/>
      <c r="JBW190" s="3"/>
      <c r="JBX190" s="3"/>
      <c r="JBY190" s="3"/>
      <c r="JBZ190" s="3"/>
      <c r="JCA190" s="3"/>
      <c r="JCB190" s="3"/>
      <c r="JCC190" s="3"/>
      <c r="JCD190" s="3"/>
      <c r="JCE190" s="3"/>
      <c r="JCF190" s="3"/>
      <c r="JCG190" s="3"/>
      <c r="JCH190" s="3"/>
      <c r="JCI190" s="3"/>
      <c r="JCJ190" s="3"/>
      <c r="JCK190" s="3"/>
      <c r="JCL190" s="3"/>
      <c r="JCM190" s="3"/>
      <c r="JCN190" s="3"/>
      <c r="JCO190" s="3"/>
      <c r="JCP190" s="3"/>
      <c r="JCQ190" s="3"/>
      <c r="JCR190" s="3"/>
      <c r="JCS190" s="3"/>
      <c r="JCT190" s="3"/>
      <c r="JCU190" s="3"/>
      <c r="JCV190" s="3"/>
      <c r="JCW190" s="3"/>
      <c r="JCX190" s="3"/>
      <c r="JCY190" s="3"/>
      <c r="JCZ190" s="3"/>
      <c r="JDA190" s="3"/>
      <c r="JDB190" s="3"/>
      <c r="JDC190" s="3"/>
      <c r="JDD190" s="3"/>
      <c r="JDE190" s="3"/>
      <c r="JDF190" s="3"/>
      <c r="JDG190" s="3"/>
      <c r="JDH190" s="3"/>
      <c r="JDI190" s="3"/>
      <c r="JDJ190" s="3"/>
      <c r="JDK190" s="3"/>
      <c r="JDL190" s="3"/>
      <c r="JDM190" s="3"/>
      <c r="JDN190" s="3"/>
      <c r="JDO190" s="3"/>
      <c r="JDP190" s="3"/>
      <c r="JDQ190" s="3"/>
      <c r="JDR190" s="3"/>
      <c r="JDS190" s="3"/>
      <c r="JDT190" s="3"/>
      <c r="JDU190" s="3"/>
      <c r="JDV190" s="3"/>
      <c r="JDW190" s="3"/>
      <c r="JDX190" s="3"/>
      <c r="JDY190" s="3"/>
      <c r="JDZ190" s="3"/>
      <c r="JEA190" s="3"/>
      <c r="JEB190" s="3"/>
      <c r="JEC190" s="3"/>
      <c r="JED190" s="3"/>
      <c r="JEE190" s="3"/>
      <c r="JEF190" s="3"/>
      <c r="JEG190" s="3"/>
      <c r="JEH190" s="3"/>
      <c r="JEI190" s="3"/>
      <c r="JEJ190" s="3"/>
      <c r="JEK190" s="3"/>
      <c r="JEL190" s="3"/>
      <c r="JEM190" s="3"/>
      <c r="JEN190" s="3"/>
      <c r="JEO190" s="3"/>
      <c r="JEP190" s="3"/>
      <c r="JEQ190" s="3"/>
      <c r="JER190" s="3"/>
      <c r="JES190" s="3"/>
      <c r="JET190" s="3"/>
      <c r="JEU190" s="3"/>
      <c r="JEV190" s="3"/>
      <c r="JEW190" s="3"/>
      <c r="JEX190" s="3"/>
      <c r="JEY190" s="3"/>
      <c r="JEZ190" s="3"/>
      <c r="JFA190" s="3"/>
      <c r="JFB190" s="3"/>
      <c r="JFC190" s="3"/>
      <c r="JFD190" s="3"/>
      <c r="JFE190" s="3"/>
      <c r="JFF190" s="3"/>
      <c r="JFG190" s="3"/>
      <c r="JFH190" s="3"/>
      <c r="JFI190" s="3"/>
      <c r="JFJ190" s="3"/>
      <c r="JFK190" s="3"/>
      <c r="JFL190" s="3"/>
      <c r="JFM190" s="3"/>
      <c r="JFN190" s="3"/>
      <c r="JFO190" s="3"/>
      <c r="JFP190" s="3"/>
      <c r="JFQ190" s="3"/>
      <c r="JFR190" s="3"/>
      <c r="JFS190" s="3"/>
      <c r="JFT190" s="3"/>
      <c r="JFU190" s="3"/>
      <c r="JFV190" s="3"/>
      <c r="JFW190" s="3"/>
      <c r="JFX190" s="3"/>
      <c r="JFY190" s="3"/>
      <c r="JFZ190" s="3"/>
      <c r="JGA190" s="3"/>
      <c r="JGB190" s="3"/>
      <c r="JGC190" s="3"/>
      <c r="JGD190" s="3"/>
      <c r="JGE190" s="3"/>
      <c r="JGF190" s="3"/>
      <c r="JGG190" s="3"/>
      <c r="JGH190" s="3"/>
      <c r="JGI190" s="3"/>
      <c r="JGJ190" s="3"/>
      <c r="JGK190" s="3"/>
      <c r="JGL190" s="3"/>
      <c r="JGM190" s="3"/>
      <c r="JGN190" s="3"/>
      <c r="JGO190" s="3"/>
      <c r="JGP190" s="3"/>
      <c r="JGQ190" s="3"/>
      <c r="JGR190" s="3"/>
      <c r="JGS190" s="3"/>
      <c r="JGT190" s="3"/>
      <c r="JGU190" s="3"/>
      <c r="JGV190" s="3"/>
      <c r="JGW190" s="3"/>
      <c r="JGX190" s="3"/>
      <c r="JGY190" s="3"/>
      <c r="JGZ190" s="3"/>
      <c r="JHA190" s="3"/>
      <c r="JHB190" s="3"/>
      <c r="JHC190" s="3"/>
      <c r="JHD190" s="3"/>
      <c r="JHE190" s="3"/>
      <c r="JHF190" s="3"/>
      <c r="JHG190" s="3"/>
      <c r="JHH190" s="3"/>
      <c r="JHI190" s="3"/>
      <c r="JHJ190" s="3"/>
      <c r="JHK190" s="3"/>
      <c r="JHL190" s="3"/>
      <c r="JHM190" s="3"/>
      <c r="JHN190" s="3"/>
      <c r="JHO190" s="3"/>
      <c r="JHP190" s="3"/>
      <c r="JHQ190" s="3"/>
      <c r="JHR190" s="3"/>
      <c r="JHS190" s="3"/>
      <c r="JHT190" s="3"/>
      <c r="JHU190" s="3"/>
      <c r="JHV190" s="3"/>
      <c r="JHW190" s="3"/>
      <c r="JHX190" s="3"/>
      <c r="JHY190" s="3"/>
      <c r="JHZ190" s="3"/>
      <c r="JIA190" s="3"/>
      <c r="JIB190" s="3"/>
      <c r="JIC190" s="3"/>
      <c r="JID190" s="3"/>
      <c r="JIE190" s="3"/>
      <c r="JIF190" s="3"/>
      <c r="JIG190" s="3"/>
      <c r="JIH190" s="3"/>
      <c r="JII190" s="3"/>
      <c r="JIJ190" s="3"/>
      <c r="JIK190" s="3"/>
      <c r="JIL190" s="3"/>
      <c r="JIM190" s="3"/>
      <c r="JIN190" s="3"/>
      <c r="JIO190" s="3"/>
      <c r="JIP190" s="3"/>
      <c r="JIQ190" s="3"/>
      <c r="JIR190" s="3"/>
      <c r="JIS190" s="3"/>
      <c r="JIT190" s="3"/>
      <c r="JIU190" s="3"/>
      <c r="JIV190" s="3"/>
      <c r="JIW190" s="3"/>
      <c r="JIX190" s="3"/>
      <c r="JIY190" s="3"/>
      <c r="JIZ190" s="3"/>
      <c r="JJA190" s="3"/>
      <c r="JJB190" s="3"/>
      <c r="JJC190" s="3"/>
      <c r="JJD190" s="3"/>
      <c r="JJE190" s="3"/>
      <c r="JJF190" s="3"/>
      <c r="JJG190" s="3"/>
      <c r="JJH190" s="3"/>
      <c r="JJI190" s="3"/>
      <c r="JJJ190" s="3"/>
      <c r="JJK190" s="3"/>
      <c r="JJL190" s="3"/>
      <c r="JJM190" s="3"/>
      <c r="JJN190" s="3"/>
      <c r="JJO190" s="3"/>
      <c r="JJP190" s="3"/>
      <c r="JJQ190" s="3"/>
      <c r="JJR190" s="3"/>
      <c r="JJS190" s="3"/>
      <c r="JJT190" s="3"/>
      <c r="JJU190" s="3"/>
      <c r="JJV190" s="3"/>
      <c r="JJW190" s="3"/>
      <c r="JJX190" s="3"/>
      <c r="JJY190" s="3"/>
      <c r="JJZ190" s="3"/>
      <c r="JKA190" s="3"/>
      <c r="JKB190" s="3"/>
      <c r="JKC190" s="3"/>
      <c r="JKD190" s="3"/>
      <c r="JKE190" s="3"/>
      <c r="JKF190" s="3"/>
      <c r="JKG190" s="3"/>
      <c r="JKH190" s="3"/>
      <c r="JKI190" s="3"/>
      <c r="JKJ190" s="3"/>
      <c r="JKK190" s="3"/>
      <c r="JKL190" s="3"/>
      <c r="JKM190" s="3"/>
      <c r="JKN190" s="3"/>
      <c r="JKO190" s="3"/>
      <c r="JKP190" s="3"/>
      <c r="JKQ190" s="3"/>
      <c r="JKR190" s="3"/>
      <c r="JKS190" s="3"/>
      <c r="JKT190" s="3"/>
      <c r="JKU190" s="3"/>
      <c r="JKV190" s="3"/>
      <c r="JKW190" s="3"/>
      <c r="JKX190" s="3"/>
      <c r="JKY190" s="3"/>
      <c r="JKZ190" s="3"/>
      <c r="JLA190" s="3"/>
      <c r="JLB190" s="3"/>
      <c r="JLC190" s="3"/>
      <c r="JLD190" s="3"/>
      <c r="JLE190" s="3"/>
      <c r="JLF190" s="3"/>
      <c r="JLG190" s="3"/>
      <c r="JLH190" s="3"/>
      <c r="JLI190" s="3"/>
      <c r="JLJ190" s="3"/>
      <c r="JLK190" s="3"/>
      <c r="JLL190" s="3"/>
      <c r="JLM190" s="3"/>
      <c r="JLN190" s="3"/>
      <c r="JLO190" s="3"/>
      <c r="JLP190" s="3"/>
      <c r="JLQ190" s="3"/>
      <c r="JLR190" s="3"/>
      <c r="JLS190" s="3"/>
      <c r="JLT190" s="3"/>
      <c r="JLU190" s="3"/>
      <c r="JLV190" s="3"/>
      <c r="JLW190" s="3"/>
      <c r="JLX190" s="3"/>
      <c r="JLY190" s="3"/>
      <c r="JLZ190" s="3"/>
      <c r="JMA190" s="3"/>
      <c r="JMB190" s="3"/>
      <c r="JMC190" s="3"/>
      <c r="JMD190" s="3"/>
      <c r="JME190" s="3"/>
      <c r="JMF190" s="3"/>
      <c r="JMG190" s="3"/>
      <c r="JMH190" s="3"/>
      <c r="JMI190" s="3"/>
      <c r="JMJ190" s="3"/>
      <c r="JMK190" s="3"/>
      <c r="JML190" s="3"/>
      <c r="JMM190" s="3"/>
      <c r="JMN190" s="3"/>
      <c r="JMO190" s="3"/>
      <c r="JMP190" s="3"/>
      <c r="JMQ190" s="3"/>
      <c r="JMR190" s="3"/>
      <c r="JMS190" s="3"/>
      <c r="JMT190" s="3"/>
      <c r="JMU190" s="3"/>
      <c r="JMV190" s="3"/>
      <c r="JMW190" s="3"/>
      <c r="JMX190" s="3"/>
      <c r="JMY190" s="3"/>
      <c r="JMZ190" s="3"/>
      <c r="JNA190" s="3"/>
      <c r="JNB190" s="3"/>
      <c r="JNC190" s="3"/>
      <c r="JND190" s="3"/>
      <c r="JNE190" s="3"/>
      <c r="JNF190" s="3"/>
      <c r="JNG190" s="3"/>
      <c r="JNH190" s="3"/>
      <c r="JNI190" s="3"/>
      <c r="JNJ190" s="3"/>
      <c r="JNK190" s="3"/>
      <c r="JNL190" s="3"/>
      <c r="JNM190" s="3"/>
      <c r="JNN190" s="3"/>
      <c r="JNO190" s="3"/>
      <c r="JNP190" s="3"/>
      <c r="JNQ190" s="3"/>
      <c r="JNR190" s="3"/>
      <c r="JNS190" s="3"/>
      <c r="JNT190" s="3"/>
      <c r="JNU190" s="3"/>
      <c r="JNV190" s="3"/>
      <c r="JNW190" s="3"/>
      <c r="JNX190" s="3"/>
      <c r="JNY190" s="3"/>
      <c r="JNZ190" s="3"/>
      <c r="JOA190" s="3"/>
      <c r="JOB190" s="3"/>
      <c r="JOC190" s="3"/>
      <c r="JOD190" s="3"/>
      <c r="JOE190" s="3"/>
      <c r="JOF190" s="3"/>
      <c r="JOG190" s="3"/>
      <c r="JOH190" s="3"/>
      <c r="JOI190" s="3"/>
      <c r="JOJ190" s="3"/>
      <c r="JOK190" s="3"/>
      <c r="JOL190" s="3"/>
      <c r="JOM190" s="3"/>
      <c r="JON190" s="3"/>
      <c r="JOO190" s="3"/>
      <c r="JOP190" s="3"/>
      <c r="JOQ190" s="3"/>
      <c r="JOR190" s="3"/>
      <c r="JOS190" s="3"/>
      <c r="JOT190" s="3"/>
      <c r="JOU190" s="3"/>
      <c r="JOV190" s="3"/>
      <c r="JOW190" s="3"/>
      <c r="JOX190" s="3"/>
      <c r="JOY190" s="3"/>
      <c r="JOZ190" s="3"/>
      <c r="JPA190" s="3"/>
      <c r="JPB190" s="3"/>
      <c r="JPC190" s="3"/>
      <c r="JPD190" s="3"/>
      <c r="JPE190" s="3"/>
      <c r="JPF190" s="3"/>
      <c r="JPG190" s="3"/>
      <c r="JPH190" s="3"/>
      <c r="JPI190" s="3"/>
      <c r="JPJ190" s="3"/>
      <c r="JPK190" s="3"/>
      <c r="JPL190" s="3"/>
      <c r="JPM190" s="3"/>
      <c r="JPN190" s="3"/>
      <c r="JPO190" s="3"/>
      <c r="JPP190" s="3"/>
      <c r="JPQ190" s="3"/>
      <c r="JPR190" s="3"/>
      <c r="JPS190" s="3"/>
      <c r="JPT190" s="3"/>
      <c r="JPU190" s="3"/>
      <c r="JPV190" s="3"/>
      <c r="JPW190" s="3"/>
      <c r="JPX190" s="3"/>
      <c r="JPY190" s="3"/>
      <c r="JPZ190" s="3"/>
      <c r="JQA190" s="3"/>
      <c r="JQB190" s="3"/>
      <c r="JQC190" s="3"/>
      <c r="JQD190" s="3"/>
      <c r="JQE190" s="3"/>
      <c r="JQF190" s="3"/>
      <c r="JQG190" s="3"/>
      <c r="JQH190" s="3"/>
      <c r="JQI190" s="3"/>
      <c r="JQJ190" s="3"/>
      <c r="JQK190" s="3"/>
      <c r="JQL190" s="3"/>
      <c r="JQM190" s="3"/>
      <c r="JQN190" s="3"/>
      <c r="JQO190" s="3"/>
      <c r="JQP190" s="3"/>
      <c r="JQQ190" s="3"/>
      <c r="JQR190" s="3"/>
      <c r="JQS190" s="3"/>
      <c r="JQT190" s="3"/>
      <c r="JQU190" s="3"/>
      <c r="JQV190" s="3"/>
      <c r="JQW190" s="3"/>
      <c r="JQX190" s="3"/>
      <c r="JQY190" s="3"/>
      <c r="JQZ190" s="3"/>
      <c r="JRA190" s="3"/>
      <c r="JRB190" s="3"/>
      <c r="JRC190" s="3"/>
      <c r="JRD190" s="3"/>
      <c r="JRE190" s="3"/>
      <c r="JRF190" s="3"/>
      <c r="JRG190" s="3"/>
      <c r="JRH190" s="3"/>
      <c r="JRI190" s="3"/>
      <c r="JRJ190" s="3"/>
      <c r="JRK190" s="3"/>
      <c r="JRL190" s="3"/>
      <c r="JRM190" s="3"/>
      <c r="JRN190" s="3"/>
      <c r="JRO190" s="3"/>
      <c r="JRP190" s="3"/>
      <c r="JRQ190" s="3"/>
      <c r="JRR190" s="3"/>
      <c r="JRS190" s="3"/>
      <c r="JRT190" s="3"/>
      <c r="JRU190" s="3"/>
      <c r="JRV190" s="3"/>
      <c r="JRW190" s="3"/>
      <c r="JRX190" s="3"/>
      <c r="JRY190" s="3"/>
      <c r="JRZ190" s="3"/>
      <c r="JSA190" s="3"/>
      <c r="JSB190" s="3"/>
      <c r="JSC190" s="3"/>
      <c r="JSD190" s="3"/>
      <c r="JSE190" s="3"/>
      <c r="JSF190" s="3"/>
      <c r="JSG190" s="3"/>
      <c r="JSH190" s="3"/>
      <c r="JSI190" s="3"/>
      <c r="JSJ190" s="3"/>
      <c r="JSK190" s="3"/>
      <c r="JSL190" s="3"/>
      <c r="JSM190" s="3"/>
      <c r="JSN190" s="3"/>
      <c r="JSO190" s="3"/>
      <c r="JSP190" s="3"/>
      <c r="JSQ190" s="3"/>
      <c r="JSR190" s="3"/>
      <c r="JSS190" s="3"/>
      <c r="JST190" s="3"/>
      <c r="JSU190" s="3"/>
      <c r="JSV190" s="3"/>
      <c r="JSW190" s="3"/>
      <c r="JSX190" s="3"/>
      <c r="JSY190" s="3"/>
      <c r="JSZ190" s="3"/>
      <c r="JTA190" s="3"/>
      <c r="JTB190" s="3"/>
      <c r="JTC190" s="3"/>
      <c r="JTD190" s="3"/>
      <c r="JTE190" s="3"/>
      <c r="JTF190" s="3"/>
      <c r="JTG190" s="3"/>
      <c r="JTH190" s="3"/>
      <c r="JTI190" s="3"/>
      <c r="JTJ190" s="3"/>
      <c r="JTK190" s="3"/>
      <c r="JTL190" s="3"/>
      <c r="JTM190" s="3"/>
      <c r="JTN190" s="3"/>
      <c r="JTO190" s="3"/>
      <c r="JTP190" s="3"/>
      <c r="JTQ190" s="3"/>
      <c r="JTR190" s="3"/>
      <c r="JTS190" s="3"/>
      <c r="JTT190" s="3"/>
      <c r="JTU190" s="3"/>
      <c r="JTV190" s="3"/>
      <c r="JTW190" s="3"/>
      <c r="JTX190" s="3"/>
      <c r="JTY190" s="3"/>
      <c r="JTZ190" s="3"/>
      <c r="JUA190" s="3"/>
      <c r="JUB190" s="3"/>
      <c r="JUC190" s="3"/>
      <c r="JUD190" s="3"/>
      <c r="JUE190" s="3"/>
      <c r="JUF190" s="3"/>
      <c r="JUG190" s="3"/>
      <c r="JUH190" s="3"/>
      <c r="JUI190" s="3"/>
      <c r="JUJ190" s="3"/>
      <c r="JUK190" s="3"/>
      <c r="JUL190" s="3"/>
      <c r="JUM190" s="3"/>
      <c r="JUN190" s="3"/>
      <c r="JUO190" s="3"/>
      <c r="JUP190" s="3"/>
      <c r="JUQ190" s="3"/>
      <c r="JUR190" s="3"/>
      <c r="JUS190" s="3"/>
      <c r="JUT190" s="3"/>
      <c r="JUU190" s="3"/>
      <c r="JUV190" s="3"/>
      <c r="JUW190" s="3"/>
      <c r="JUX190" s="3"/>
      <c r="JUY190" s="3"/>
      <c r="JUZ190" s="3"/>
      <c r="JVA190" s="3"/>
      <c r="JVB190" s="3"/>
      <c r="JVC190" s="3"/>
      <c r="JVD190" s="3"/>
      <c r="JVE190" s="3"/>
      <c r="JVF190" s="3"/>
      <c r="JVG190" s="3"/>
      <c r="JVH190" s="3"/>
      <c r="JVI190" s="3"/>
      <c r="JVJ190" s="3"/>
      <c r="JVK190" s="3"/>
      <c r="JVL190" s="3"/>
      <c r="JVM190" s="3"/>
      <c r="JVN190" s="3"/>
      <c r="JVO190" s="3"/>
      <c r="JVP190" s="3"/>
      <c r="JVQ190" s="3"/>
      <c r="JVR190" s="3"/>
      <c r="JVS190" s="3"/>
      <c r="JVT190" s="3"/>
      <c r="JVU190" s="3"/>
      <c r="JVV190" s="3"/>
      <c r="JVW190" s="3"/>
      <c r="JVX190" s="3"/>
      <c r="JVY190" s="3"/>
      <c r="JVZ190" s="3"/>
      <c r="JWA190" s="3"/>
      <c r="JWB190" s="3"/>
      <c r="JWC190" s="3"/>
      <c r="JWD190" s="3"/>
      <c r="JWE190" s="3"/>
      <c r="JWF190" s="3"/>
      <c r="JWG190" s="3"/>
      <c r="JWH190" s="3"/>
      <c r="JWI190" s="3"/>
      <c r="JWJ190" s="3"/>
      <c r="JWK190" s="3"/>
      <c r="JWL190" s="3"/>
      <c r="JWM190" s="3"/>
      <c r="JWN190" s="3"/>
      <c r="JWO190" s="3"/>
      <c r="JWP190" s="3"/>
      <c r="JWQ190" s="3"/>
      <c r="JWR190" s="3"/>
      <c r="JWS190" s="3"/>
      <c r="JWT190" s="3"/>
      <c r="JWU190" s="3"/>
      <c r="JWV190" s="3"/>
      <c r="JWW190" s="3"/>
      <c r="JWX190" s="3"/>
      <c r="JWY190" s="3"/>
      <c r="JWZ190" s="3"/>
      <c r="JXA190" s="3"/>
      <c r="JXB190" s="3"/>
      <c r="JXC190" s="3"/>
      <c r="JXD190" s="3"/>
      <c r="JXE190" s="3"/>
      <c r="JXF190" s="3"/>
      <c r="JXG190" s="3"/>
      <c r="JXH190" s="3"/>
      <c r="JXI190" s="3"/>
      <c r="JXJ190" s="3"/>
      <c r="JXK190" s="3"/>
      <c r="JXL190" s="3"/>
      <c r="JXM190" s="3"/>
      <c r="JXN190" s="3"/>
      <c r="JXO190" s="3"/>
      <c r="JXP190" s="3"/>
      <c r="JXQ190" s="3"/>
      <c r="JXR190" s="3"/>
      <c r="JXS190" s="3"/>
      <c r="JXT190" s="3"/>
      <c r="JXU190" s="3"/>
      <c r="JXV190" s="3"/>
      <c r="JXW190" s="3"/>
      <c r="JXX190" s="3"/>
      <c r="JXY190" s="3"/>
      <c r="JXZ190" s="3"/>
      <c r="JYA190" s="3"/>
      <c r="JYB190" s="3"/>
      <c r="JYC190" s="3"/>
      <c r="JYD190" s="3"/>
      <c r="JYE190" s="3"/>
      <c r="JYF190" s="3"/>
      <c r="JYG190" s="3"/>
      <c r="JYH190" s="3"/>
      <c r="JYI190" s="3"/>
      <c r="JYJ190" s="3"/>
      <c r="JYK190" s="3"/>
      <c r="JYL190" s="3"/>
      <c r="JYM190" s="3"/>
      <c r="JYN190" s="3"/>
      <c r="JYO190" s="3"/>
      <c r="JYP190" s="3"/>
      <c r="JYQ190" s="3"/>
      <c r="JYR190" s="3"/>
      <c r="JYS190" s="3"/>
      <c r="JYT190" s="3"/>
      <c r="JYU190" s="3"/>
      <c r="JYV190" s="3"/>
      <c r="JYW190" s="3"/>
      <c r="JYX190" s="3"/>
      <c r="JYY190" s="3"/>
      <c r="JYZ190" s="3"/>
      <c r="JZA190" s="3"/>
      <c r="JZB190" s="3"/>
      <c r="JZC190" s="3"/>
      <c r="JZD190" s="3"/>
      <c r="JZE190" s="3"/>
      <c r="JZF190" s="3"/>
      <c r="JZG190" s="3"/>
      <c r="JZH190" s="3"/>
      <c r="JZI190" s="3"/>
      <c r="JZJ190" s="3"/>
      <c r="JZK190" s="3"/>
      <c r="JZL190" s="3"/>
      <c r="JZM190" s="3"/>
      <c r="JZN190" s="3"/>
      <c r="JZO190" s="3"/>
      <c r="JZP190" s="3"/>
      <c r="JZQ190" s="3"/>
      <c r="JZR190" s="3"/>
      <c r="JZS190" s="3"/>
      <c r="JZT190" s="3"/>
      <c r="JZU190" s="3"/>
      <c r="JZV190" s="3"/>
      <c r="JZW190" s="3"/>
      <c r="JZX190" s="3"/>
      <c r="JZY190" s="3"/>
      <c r="JZZ190" s="3"/>
      <c r="KAA190" s="3"/>
      <c r="KAB190" s="3"/>
      <c r="KAC190" s="3"/>
      <c r="KAD190" s="3"/>
      <c r="KAE190" s="3"/>
      <c r="KAF190" s="3"/>
      <c r="KAG190" s="3"/>
      <c r="KAH190" s="3"/>
      <c r="KAI190" s="3"/>
      <c r="KAJ190" s="3"/>
      <c r="KAK190" s="3"/>
      <c r="KAL190" s="3"/>
      <c r="KAM190" s="3"/>
      <c r="KAN190" s="3"/>
      <c r="KAO190" s="3"/>
      <c r="KAP190" s="3"/>
      <c r="KAQ190" s="3"/>
      <c r="KAR190" s="3"/>
      <c r="KAS190" s="3"/>
      <c r="KAT190" s="3"/>
      <c r="KAU190" s="3"/>
      <c r="KAV190" s="3"/>
      <c r="KAW190" s="3"/>
      <c r="KAX190" s="3"/>
      <c r="KAY190" s="3"/>
      <c r="KAZ190" s="3"/>
      <c r="KBA190" s="3"/>
      <c r="KBB190" s="3"/>
      <c r="KBC190" s="3"/>
      <c r="KBD190" s="3"/>
      <c r="KBE190" s="3"/>
      <c r="KBF190" s="3"/>
      <c r="KBG190" s="3"/>
      <c r="KBH190" s="3"/>
      <c r="KBI190" s="3"/>
      <c r="KBJ190" s="3"/>
      <c r="KBK190" s="3"/>
      <c r="KBL190" s="3"/>
      <c r="KBM190" s="3"/>
      <c r="KBN190" s="3"/>
      <c r="KBO190" s="3"/>
      <c r="KBP190" s="3"/>
      <c r="KBQ190" s="3"/>
      <c r="KBR190" s="3"/>
      <c r="KBS190" s="3"/>
      <c r="KBT190" s="3"/>
      <c r="KBU190" s="3"/>
      <c r="KBV190" s="3"/>
      <c r="KBW190" s="3"/>
      <c r="KBX190" s="3"/>
      <c r="KBY190" s="3"/>
      <c r="KBZ190" s="3"/>
      <c r="KCA190" s="3"/>
      <c r="KCB190" s="3"/>
      <c r="KCC190" s="3"/>
      <c r="KCD190" s="3"/>
      <c r="KCE190" s="3"/>
      <c r="KCF190" s="3"/>
      <c r="KCG190" s="3"/>
      <c r="KCH190" s="3"/>
      <c r="KCI190" s="3"/>
      <c r="KCJ190" s="3"/>
      <c r="KCK190" s="3"/>
      <c r="KCL190" s="3"/>
      <c r="KCM190" s="3"/>
      <c r="KCN190" s="3"/>
      <c r="KCO190" s="3"/>
      <c r="KCP190" s="3"/>
      <c r="KCQ190" s="3"/>
      <c r="KCR190" s="3"/>
      <c r="KCS190" s="3"/>
      <c r="KCT190" s="3"/>
      <c r="KCU190" s="3"/>
      <c r="KCV190" s="3"/>
      <c r="KCW190" s="3"/>
      <c r="KCX190" s="3"/>
      <c r="KCY190" s="3"/>
      <c r="KCZ190" s="3"/>
      <c r="KDA190" s="3"/>
      <c r="KDB190" s="3"/>
      <c r="KDC190" s="3"/>
      <c r="KDD190" s="3"/>
      <c r="KDE190" s="3"/>
      <c r="KDF190" s="3"/>
      <c r="KDG190" s="3"/>
      <c r="KDH190" s="3"/>
      <c r="KDI190" s="3"/>
      <c r="KDJ190" s="3"/>
      <c r="KDK190" s="3"/>
      <c r="KDL190" s="3"/>
      <c r="KDM190" s="3"/>
      <c r="KDN190" s="3"/>
      <c r="KDO190" s="3"/>
      <c r="KDP190" s="3"/>
      <c r="KDQ190" s="3"/>
      <c r="KDR190" s="3"/>
      <c r="KDS190" s="3"/>
      <c r="KDT190" s="3"/>
      <c r="KDU190" s="3"/>
      <c r="KDV190" s="3"/>
      <c r="KDW190" s="3"/>
      <c r="KDX190" s="3"/>
      <c r="KDY190" s="3"/>
      <c r="KDZ190" s="3"/>
      <c r="KEA190" s="3"/>
      <c r="KEB190" s="3"/>
      <c r="KEC190" s="3"/>
      <c r="KED190" s="3"/>
      <c r="KEE190" s="3"/>
      <c r="KEF190" s="3"/>
      <c r="KEG190" s="3"/>
      <c r="KEH190" s="3"/>
      <c r="KEI190" s="3"/>
      <c r="KEJ190" s="3"/>
      <c r="KEK190" s="3"/>
      <c r="KEL190" s="3"/>
      <c r="KEM190" s="3"/>
      <c r="KEN190" s="3"/>
      <c r="KEO190" s="3"/>
      <c r="KEP190" s="3"/>
      <c r="KEQ190" s="3"/>
      <c r="KER190" s="3"/>
      <c r="KES190" s="3"/>
      <c r="KET190" s="3"/>
      <c r="KEU190" s="3"/>
      <c r="KEV190" s="3"/>
      <c r="KEW190" s="3"/>
      <c r="KEX190" s="3"/>
      <c r="KEY190" s="3"/>
      <c r="KEZ190" s="3"/>
      <c r="KFA190" s="3"/>
      <c r="KFB190" s="3"/>
      <c r="KFC190" s="3"/>
      <c r="KFD190" s="3"/>
      <c r="KFE190" s="3"/>
      <c r="KFF190" s="3"/>
      <c r="KFG190" s="3"/>
      <c r="KFH190" s="3"/>
      <c r="KFI190" s="3"/>
      <c r="KFJ190" s="3"/>
      <c r="KFK190" s="3"/>
      <c r="KFL190" s="3"/>
      <c r="KFM190" s="3"/>
      <c r="KFN190" s="3"/>
      <c r="KFO190" s="3"/>
      <c r="KFP190" s="3"/>
      <c r="KFQ190" s="3"/>
      <c r="KFR190" s="3"/>
      <c r="KFS190" s="3"/>
      <c r="KFT190" s="3"/>
      <c r="KFU190" s="3"/>
      <c r="KFV190" s="3"/>
      <c r="KFW190" s="3"/>
      <c r="KFX190" s="3"/>
      <c r="KFY190" s="3"/>
      <c r="KFZ190" s="3"/>
      <c r="KGA190" s="3"/>
      <c r="KGB190" s="3"/>
      <c r="KGC190" s="3"/>
      <c r="KGD190" s="3"/>
      <c r="KGE190" s="3"/>
      <c r="KGF190" s="3"/>
      <c r="KGG190" s="3"/>
      <c r="KGH190" s="3"/>
      <c r="KGI190" s="3"/>
      <c r="KGJ190" s="3"/>
      <c r="KGK190" s="3"/>
      <c r="KGL190" s="3"/>
      <c r="KGM190" s="3"/>
      <c r="KGN190" s="3"/>
      <c r="KGO190" s="3"/>
      <c r="KGP190" s="3"/>
      <c r="KGQ190" s="3"/>
      <c r="KGR190" s="3"/>
      <c r="KGS190" s="3"/>
      <c r="KGT190" s="3"/>
      <c r="KGU190" s="3"/>
      <c r="KGV190" s="3"/>
      <c r="KGW190" s="3"/>
      <c r="KGX190" s="3"/>
      <c r="KGY190" s="3"/>
      <c r="KGZ190" s="3"/>
      <c r="KHA190" s="3"/>
      <c r="KHB190" s="3"/>
      <c r="KHC190" s="3"/>
      <c r="KHD190" s="3"/>
      <c r="KHE190" s="3"/>
      <c r="KHF190" s="3"/>
      <c r="KHG190" s="3"/>
      <c r="KHH190" s="3"/>
      <c r="KHI190" s="3"/>
      <c r="KHJ190" s="3"/>
      <c r="KHK190" s="3"/>
      <c r="KHL190" s="3"/>
      <c r="KHM190" s="3"/>
      <c r="KHN190" s="3"/>
      <c r="KHO190" s="3"/>
      <c r="KHP190" s="3"/>
      <c r="KHQ190" s="3"/>
      <c r="KHR190" s="3"/>
      <c r="KHS190" s="3"/>
      <c r="KHT190" s="3"/>
      <c r="KHU190" s="3"/>
      <c r="KHV190" s="3"/>
      <c r="KHW190" s="3"/>
      <c r="KHX190" s="3"/>
      <c r="KHY190" s="3"/>
      <c r="KHZ190" s="3"/>
      <c r="KIA190" s="3"/>
      <c r="KIB190" s="3"/>
      <c r="KIC190" s="3"/>
      <c r="KID190" s="3"/>
      <c r="KIE190" s="3"/>
      <c r="KIF190" s="3"/>
      <c r="KIG190" s="3"/>
      <c r="KIH190" s="3"/>
      <c r="KII190" s="3"/>
      <c r="KIJ190" s="3"/>
      <c r="KIK190" s="3"/>
      <c r="KIL190" s="3"/>
      <c r="KIM190" s="3"/>
      <c r="KIN190" s="3"/>
      <c r="KIO190" s="3"/>
      <c r="KIP190" s="3"/>
      <c r="KIQ190" s="3"/>
      <c r="KIR190" s="3"/>
      <c r="KIS190" s="3"/>
      <c r="KIT190" s="3"/>
      <c r="KIU190" s="3"/>
      <c r="KIV190" s="3"/>
      <c r="KIW190" s="3"/>
      <c r="KIX190" s="3"/>
      <c r="KIY190" s="3"/>
      <c r="KIZ190" s="3"/>
      <c r="KJA190" s="3"/>
      <c r="KJB190" s="3"/>
      <c r="KJC190" s="3"/>
      <c r="KJD190" s="3"/>
      <c r="KJE190" s="3"/>
      <c r="KJF190" s="3"/>
      <c r="KJG190" s="3"/>
      <c r="KJH190" s="3"/>
      <c r="KJI190" s="3"/>
      <c r="KJJ190" s="3"/>
      <c r="KJK190" s="3"/>
      <c r="KJL190" s="3"/>
      <c r="KJM190" s="3"/>
      <c r="KJN190" s="3"/>
      <c r="KJO190" s="3"/>
      <c r="KJP190" s="3"/>
      <c r="KJQ190" s="3"/>
      <c r="KJR190" s="3"/>
      <c r="KJS190" s="3"/>
      <c r="KJT190" s="3"/>
      <c r="KJU190" s="3"/>
      <c r="KJV190" s="3"/>
      <c r="KJW190" s="3"/>
      <c r="KJX190" s="3"/>
      <c r="KJY190" s="3"/>
      <c r="KJZ190" s="3"/>
      <c r="KKA190" s="3"/>
      <c r="KKB190" s="3"/>
      <c r="KKC190" s="3"/>
      <c r="KKD190" s="3"/>
      <c r="KKE190" s="3"/>
      <c r="KKF190" s="3"/>
      <c r="KKG190" s="3"/>
      <c r="KKH190" s="3"/>
      <c r="KKI190" s="3"/>
      <c r="KKJ190" s="3"/>
      <c r="KKK190" s="3"/>
      <c r="KKL190" s="3"/>
      <c r="KKM190" s="3"/>
      <c r="KKN190" s="3"/>
      <c r="KKO190" s="3"/>
      <c r="KKP190" s="3"/>
      <c r="KKQ190" s="3"/>
      <c r="KKR190" s="3"/>
      <c r="KKS190" s="3"/>
      <c r="KKT190" s="3"/>
      <c r="KKU190" s="3"/>
      <c r="KKV190" s="3"/>
      <c r="KKW190" s="3"/>
      <c r="KKX190" s="3"/>
      <c r="KKY190" s="3"/>
      <c r="KKZ190" s="3"/>
      <c r="KLA190" s="3"/>
      <c r="KLB190" s="3"/>
      <c r="KLC190" s="3"/>
      <c r="KLD190" s="3"/>
      <c r="KLE190" s="3"/>
      <c r="KLF190" s="3"/>
      <c r="KLG190" s="3"/>
      <c r="KLH190" s="3"/>
      <c r="KLI190" s="3"/>
      <c r="KLJ190" s="3"/>
      <c r="KLK190" s="3"/>
      <c r="KLL190" s="3"/>
      <c r="KLM190" s="3"/>
      <c r="KLN190" s="3"/>
      <c r="KLO190" s="3"/>
      <c r="KLP190" s="3"/>
      <c r="KLQ190" s="3"/>
      <c r="KLR190" s="3"/>
      <c r="KLS190" s="3"/>
      <c r="KLT190" s="3"/>
      <c r="KLU190" s="3"/>
      <c r="KLV190" s="3"/>
      <c r="KLW190" s="3"/>
      <c r="KLX190" s="3"/>
      <c r="KLY190" s="3"/>
      <c r="KLZ190" s="3"/>
      <c r="KMA190" s="3"/>
      <c r="KMB190" s="3"/>
      <c r="KMC190" s="3"/>
      <c r="KMD190" s="3"/>
      <c r="KME190" s="3"/>
      <c r="KMF190" s="3"/>
      <c r="KMG190" s="3"/>
      <c r="KMH190" s="3"/>
      <c r="KMI190" s="3"/>
      <c r="KMJ190" s="3"/>
      <c r="KMK190" s="3"/>
      <c r="KML190" s="3"/>
      <c r="KMM190" s="3"/>
      <c r="KMN190" s="3"/>
      <c r="KMO190" s="3"/>
      <c r="KMP190" s="3"/>
      <c r="KMQ190" s="3"/>
      <c r="KMR190" s="3"/>
      <c r="KMS190" s="3"/>
      <c r="KMT190" s="3"/>
      <c r="KMU190" s="3"/>
      <c r="KMV190" s="3"/>
      <c r="KMW190" s="3"/>
      <c r="KMX190" s="3"/>
      <c r="KMY190" s="3"/>
      <c r="KMZ190" s="3"/>
      <c r="KNA190" s="3"/>
      <c r="KNB190" s="3"/>
      <c r="KNC190" s="3"/>
      <c r="KND190" s="3"/>
      <c r="KNE190" s="3"/>
      <c r="KNF190" s="3"/>
      <c r="KNG190" s="3"/>
      <c r="KNH190" s="3"/>
      <c r="KNI190" s="3"/>
      <c r="KNJ190" s="3"/>
      <c r="KNK190" s="3"/>
      <c r="KNL190" s="3"/>
      <c r="KNM190" s="3"/>
      <c r="KNN190" s="3"/>
      <c r="KNO190" s="3"/>
      <c r="KNP190" s="3"/>
      <c r="KNQ190" s="3"/>
      <c r="KNR190" s="3"/>
      <c r="KNS190" s="3"/>
      <c r="KNT190" s="3"/>
      <c r="KNU190" s="3"/>
      <c r="KNV190" s="3"/>
      <c r="KNW190" s="3"/>
      <c r="KNX190" s="3"/>
      <c r="KNY190" s="3"/>
      <c r="KNZ190" s="3"/>
      <c r="KOA190" s="3"/>
      <c r="KOB190" s="3"/>
      <c r="KOC190" s="3"/>
      <c r="KOD190" s="3"/>
      <c r="KOE190" s="3"/>
      <c r="KOF190" s="3"/>
      <c r="KOG190" s="3"/>
      <c r="KOH190" s="3"/>
      <c r="KOI190" s="3"/>
      <c r="KOJ190" s="3"/>
      <c r="KOK190" s="3"/>
      <c r="KOL190" s="3"/>
      <c r="KOM190" s="3"/>
      <c r="KON190" s="3"/>
      <c r="KOO190" s="3"/>
      <c r="KOP190" s="3"/>
      <c r="KOQ190" s="3"/>
      <c r="KOR190" s="3"/>
      <c r="KOS190" s="3"/>
      <c r="KOT190" s="3"/>
      <c r="KOU190" s="3"/>
      <c r="KOV190" s="3"/>
      <c r="KOW190" s="3"/>
      <c r="KOX190" s="3"/>
      <c r="KOY190" s="3"/>
      <c r="KOZ190" s="3"/>
      <c r="KPA190" s="3"/>
      <c r="KPB190" s="3"/>
      <c r="KPC190" s="3"/>
      <c r="KPD190" s="3"/>
      <c r="KPE190" s="3"/>
      <c r="KPF190" s="3"/>
      <c r="KPG190" s="3"/>
      <c r="KPH190" s="3"/>
      <c r="KPI190" s="3"/>
      <c r="KPJ190" s="3"/>
      <c r="KPK190" s="3"/>
      <c r="KPL190" s="3"/>
      <c r="KPM190" s="3"/>
      <c r="KPN190" s="3"/>
      <c r="KPO190" s="3"/>
      <c r="KPP190" s="3"/>
      <c r="KPQ190" s="3"/>
      <c r="KPR190" s="3"/>
      <c r="KPS190" s="3"/>
      <c r="KPT190" s="3"/>
      <c r="KPU190" s="3"/>
      <c r="KPV190" s="3"/>
      <c r="KPW190" s="3"/>
      <c r="KPX190" s="3"/>
      <c r="KPY190" s="3"/>
      <c r="KPZ190" s="3"/>
      <c r="KQA190" s="3"/>
      <c r="KQB190" s="3"/>
      <c r="KQC190" s="3"/>
      <c r="KQD190" s="3"/>
      <c r="KQE190" s="3"/>
      <c r="KQF190" s="3"/>
      <c r="KQG190" s="3"/>
      <c r="KQH190" s="3"/>
      <c r="KQI190" s="3"/>
      <c r="KQJ190" s="3"/>
      <c r="KQK190" s="3"/>
      <c r="KQL190" s="3"/>
      <c r="KQM190" s="3"/>
      <c r="KQN190" s="3"/>
      <c r="KQO190" s="3"/>
      <c r="KQP190" s="3"/>
      <c r="KQQ190" s="3"/>
      <c r="KQR190" s="3"/>
      <c r="KQS190" s="3"/>
      <c r="KQT190" s="3"/>
      <c r="KQU190" s="3"/>
      <c r="KQV190" s="3"/>
      <c r="KQW190" s="3"/>
      <c r="KQX190" s="3"/>
      <c r="KQY190" s="3"/>
      <c r="KQZ190" s="3"/>
      <c r="KRA190" s="3"/>
      <c r="KRB190" s="3"/>
      <c r="KRC190" s="3"/>
      <c r="KRD190" s="3"/>
      <c r="KRE190" s="3"/>
      <c r="KRF190" s="3"/>
      <c r="KRG190" s="3"/>
      <c r="KRH190" s="3"/>
      <c r="KRI190" s="3"/>
      <c r="KRJ190" s="3"/>
      <c r="KRK190" s="3"/>
      <c r="KRL190" s="3"/>
      <c r="KRM190" s="3"/>
      <c r="KRN190" s="3"/>
      <c r="KRO190" s="3"/>
      <c r="KRP190" s="3"/>
      <c r="KRQ190" s="3"/>
      <c r="KRR190" s="3"/>
      <c r="KRS190" s="3"/>
      <c r="KRT190" s="3"/>
      <c r="KRU190" s="3"/>
      <c r="KRV190" s="3"/>
      <c r="KRW190" s="3"/>
      <c r="KRX190" s="3"/>
      <c r="KRY190" s="3"/>
      <c r="KRZ190" s="3"/>
      <c r="KSA190" s="3"/>
      <c r="KSB190" s="3"/>
      <c r="KSC190" s="3"/>
      <c r="KSD190" s="3"/>
      <c r="KSE190" s="3"/>
      <c r="KSF190" s="3"/>
      <c r="KSG190" s="3"/>
      <c r="KSH190" s="3"/>
      <c r="KSI190" s="3"/>
      <c r="KSJ190" s="3"/>
      <c r="KSK190" s="3"/>
      <c r="KSL190" s="3"/>
      <c r="KSM190" s="3"/>
      <c r="KSN190" s="3"/>
      <c r="KSO190" s="3"/>
      <c r="KSP190" s="3"/>
      <c r="KSQ190" s="3"/>
      <c r="KSR190" s="3"/>
      <c r="KSS190" s="3"/>
      <c r="KST190" s="3"/>
      <c r="KSU190" s="3"/>
      <c r="KSV190" s="3"/>
      <c r="KSW190" s="3"/>
      <c r="KSX190" s="3"/>
      <c r="KSY190" s="3"/>
      <c r="KSZ190" s="3"/>
      <c r="KTA190" s="3"/>
      <c r="KTB190" s="3"/>
      <c r="KTC190" s="3"/>
      <c r="KTD190" s="3"/>
      <c r="KTE190" s="3"/>
      <c r="KTF190" s="3"/>
      <c r="KTG190" s="3"/>
      <c r="KTH190" s="3"/>
      <c r="KTI190" s="3"/>
      <c r="KTJ190" s="3"/>
      <c r="KTK190" s="3"/>
      <c r="KTL190" s="3"/>
      <c r="KTM190" s="3"/>
      <c r="KTN190" s="3"/>
      <c r="KTO190" s="3"/>
      <c r="KTP190" s="3"/>
      <c r="KTQ190" s="3"/>
      <c r="KTR190" s="3"/>
      <c r="KTS190" s="3"/>
      <c r="KTT190" s="3"/>
      <c r="KTU190" s="3"/>
      <c r="KTV190" s="3"/>
      <c r="KTW190" s="3"/>
      <c r="KTX190" s="3"/>
      <c r="KTY190" s="3"/>
      <c r="KTZ190" s="3"/>
      <c r="KUA190" s="3"/>
      <c r="KUB190" s="3"/>
      <c r="KUC190" s="3"/>
      <c r="KUD190" s="3"/>
      <c r="KUE190" s="3"/>
      <c r="KUF190" s="3"/>
      <c r="KUG190" s="3"/>
      <c r="KUH190" s="3"/>
      <c r="KUI190" s="3"/>
      <c r="KUJ190" s="3"/>
      <c r="KUK190" s="3"/>
      <c r="KUL190" s="3"/>
      <c r="KUM190" s="3"/>
      <c r="KUN190" s="3"/>
      <c r="KUO190" s="3"/>
      <c r="KUP190" s="3"/>
      <c r="KUQ190" s="3"/>
      <c r="KUR190" s="3"/>
      <c r="KUS190" s="3"/>
      <c r="KUT190" s="3"/>
      <c r="KUU190" s="3"/>
      <c r="KUV190" s="3"/>
      <c r="KUW190" s="3"/>
      <c r="KUX190" s="3"/>
      <c r="KUY190" s="3"/>
      <c r="KUZ190" s="3"/>
      <c r="KVA190" s="3"/>
      <c r="KVB190" s="3"/>
      <c r="KVC190" s="3"/>
      <c r="KVD190" s="3"/>
      <c r="KVE190" s="3"/>
      <c r="KVF190" s="3"/>
      <c r="KVG190" s="3"/>
      <c r="KVH190" s="3"/>
      <c r="KVI190" s="3"/>
      <c r="KVJ190" s="3"/>
      <c r="KVK190" s="3"/>
      <c r="KVL190" s="3"/>
      <c r="KVM190" s="3"/>
      <c r="KVN190" s="3"/>
      <c r="KVO190" s="3"/>
      <c r="KVP190" s="3"/>
      <c r="KVQ190" s="3"/>
      <c r="KVR190" s="3"/>
      <c r="KVS190" s="3"/>
      <c r="KVT190" s="3"/>
      <c r="KVU190" s="3"/>
      <c r="KVV190" s="3"/>
      <c r="KVW190" s="3"/>
      <c r="KVX190" s="3"/>
      <c r="KVY190" s="3"/>
      <c r="KVZ190" s="3"/>
      <c r="KWA190" s="3"/>
      <c r="KWB190" s="3"/>
      <c r="KWC190" s="3"/>
      <c r="KWD190" s="3"/>
      <c r="KWE190" s="3"/>
      <c r="KWF190" s="3"/>
      <c r="KWG190" s="3"/>
      <c r="KWH190" s="3"/>
      <c r="KWI190" s="3"/>
      <c r="KWJ190" s="3"/>
      <c r="KWK190" s="3"/>
      <c r="KWL190" s="3"/>
      <c r="KWM190" s="3"/>
      <c r="KWN190" s="3"/>
      <c r="KWO190" s="3"/>
      <c r="KWP190" s="3"/>
      <c r="KWQ190" s="3"/>
      <c r="KWR190" s="3"/>
      <c r="KWS190" s="3"/>
      <c r="KWT190" s="3"/>
      <c r="KWU190" s="3"/>
      <c r="KWV190" s="3"/>
      <c r="KWW190" s="3"/>
      <c r="KWX190" s="3"/>
      <c r="KWY190" s="3"/>
      <c r="KWZ190" s="3"/>
      <c r="KXA190" s="3"/>
      <c r="KXB190" s="3"/>
      <c r="KXC190" s="3"/>
      <c r="KXD190" s="3"/>
      <c r="KXE190" s="3"/>
      <c r="KXF190" s="3"/>
      <c r="KXG190" s="3"/>
      <c r="KXH190" s="3"/>
      <c r="KXI190" s="3"/>
      <c r="KXJ190" s="3"/>
      <c r="KXK190" s="3"/>
      <c r="KXL190" s="3"/>
      <c r="KXM190" s="3"/>
      <c r="KXN190" s="3"/>
      <c r="KXO190" s="3"/>
      <c r="KXP190" s="3"/>
      <c r="KXQ190" s="3"/>
      <c r="KXR190" s="3"/>
      <c r="KXS190" s="3"/>
      <c r="KXT190" s="3"/>
      <c r="KXU190" s="3"/>
      <c r="KXV190" s="3"/>
      <c r="KXW190" s="3"/>
      <c r="KXX190" s="3"/>
      <c r="KXY190" s="3"/>
      <c r="KXZ190" s="3"/>
      <c r="KYA190" s="3"/>
      <c r="KYB190" s="3"/>
      <c r="KYC190" s="3"/>
      <c r="KYD190" s="3"/>
      <c r="KYE190" s="3"/>
      <c r="KYF190" s="3"/>
      <c r="KYG190" s="3"/>
      <c r="KYH190" s="3"/>
      <c r="KYI190" s="3"/>
      <c r="KYJ190" s="3"/>
      <c r="KYK190" s="3"/>
      <c r="KYL190" s="3"/>
      <c r="KYM190" s="3"/>
      <c r="KYN190" s="3"/>
      <c r="KYO190" s="3"/>
      <c r="KYP190" s="3"/>
      <c r="KYQ190" s="3"/>
      <c r="KYR190" s="3"/>
      <c r="KYS190" s="3"/>
      <c r="KYT190" s="3"/>
      <c r="KYU190" s="3"/>
      <c r="KYV190" s="3"/>
      <c r="KYW190" s="3"/>
      <c r="KYX190" s="3"/>
      <c r="KYY190" s="3"/>
      <c r="KYZ190" s="3"/>
      <c r="KZA190" s="3"/>
      <c r="KZB190" s="3"/>
      <c r="KZC190" s="3"/>
      <c r="KZD190" s="3"/>
      <c r="KZE190" s="3"/>
      <c r="KZF190" s="3"/>
      <c r="KZG190" s="3"/>
      <c r="KZH190" s="3"/>
      <c r="KZI190" s="3"/>
      <c r="KZJ190" s="3"/>
      <c r="KZK190" s="3"/>
      <c r="KZL190" s="3"/>
      <c r="KZM190" s="3"/>
      <c r="KZN190" s="3"/>
      <c r="KZO190" s="3"/>
      <c r="KZP190" s="3"/>
      <c r="KZQ190" s="3"/>
      <c r="KZR190" s="3"/>
      <c r="KZS190" s="3"/>
      <c r="KZT190" s="3"/>
      <c r="KZU190" s="3"/>
      <c r="KZV190" s="3"/>
      <c r="KZW190" s="3"/>
      <c r="KZX190" s="3"/>
      <c r="KZY190" s="3"/>
      <c r="KZZ190" s="3"/>
      <c r="LAA190" s="3"/>
      <c r="LAB190" s="3"/>
      <c r="LAC190" s="3"/>
      <c r="LAD190" s="3"/>
      <c r="LAE190" s="3"/>
      <c r="LAF190" s="3"/>
      <c r="LAG190" s="3"/>
      <c r="LAH190" s="3"/>
      <c r="LAI190" s="3"/>
      <c r="LAJ190" s="3"/>
      <c r="LAK190" s="3"/>
      <c r="LAL190" s="3"/>
      <c r="LAM190" s="3"/>
      <c r="LAN190" s="3"/>
      <c r="LAO190" s="3"/>
      <c r="LAP190" s="3"/>
      <c r="LAQ190" s="3"/>
      <c r="LAR190" s="3"/>
      <c r="LAS190" s="3"/>
      <c r="LAT190" s="3"/>
      <c r="LAU190" s="3"/>
      <c r="LAV190" s="3"/>
      <c r="LAW190" s="3"/>
      <c r="LAX190" s="3"/>
      <c r="LAY190" s="3"/>
      <c r="LAZ190" s="3"/>
      <c r="LBA190" s="3"/>
      <c r="LBB190" s="3"/>
      <c r="LBC190" s="3"/>
      <c r="LBD190" s="3"/>
      <c r="LBE190" s="3"/>
      <c r="LBF190" s="3"/>
      <c r="LBG190" s="3"/>
      <c r="LBH190" s="3"/>
      <c r="LBI190" s="3"/>
      <c r="LBJ190" s="3"/>
      <c r="LBK190" s="3"/>
      <c r="LBL190" s="3"/>
      <c r="LBM190" s="3"/>
      <c r="LBN190" s="3"/>
      <c r="LBO190" s="3"/>
      <c r="LBP190" s="3"/>
      <c r="LBQ190" s="3"/>
      <c r="LBR190" s="3"/>
      <c r="LBS190" s="3"/>
      <c r="LBT190" s="3"/>
      <c r="LBU190" s="3"/>
      <c r="LBV190" s="3"/>
      <c r="LBW190" s="3"/>
      <c r="LBX190" s="3"/>
      <c r="LBY190" s="3"/>
      <c r="LBZ190" s="3"/>
      <c r="LCA190" s="3"/>
      <c r="LCB190" s="3"/>
      <c r="LCC190" s="3"/>
      <c r="LCD190" s="3"/>
      <c r="LCE190" s="3"/>
      <c r="LCF190" s="3"/>
      <c r="LCG190" s="3"/>
      <c r="LCH190" s="3"/>
      <c r="LCI190" s="3"/>
      <c r="LCJ190" s="3"/>
      <c r="LCK190" s="3"/>
      <c r="LCL190" s="3"/>
      <c r="LCM190" s="3"/>
      <c r="LCN190" s="3"/>
      <c r="LCO190" s="3"/>
      <c r="LCP190" s="3"/>
      <c r="LCQ190" s="3"/>
      <c r="LCR190" s="3"/>
      <c r="LCS190" s="3"/>
      <c r="LCT190" s="3"/>
      <c r="LCU190" s="3"/>
      <c r="LCV190" s="3"/>
      <c r="LCW190" s="3"/>
      <c r="LCX190" s="3"/>
      <c r="LCY190" s="3"/>
      <c r="LCZ190" s="3"/>
      <c r="LDA190" s="3"/>
      <c r="LDB190" s="3"/>
      <c r="LDC190" s="3"/>
      <c r="LDD190" s="3"/>
      <c r="LDE190" s="3"/>
      <c r="LDF190" s="3"/>
      <c r="LDG190" s="3"/>
      <c r="LDH190" s="3"/>
      <c r="LDI190" s="3"/>
      <c r="LDJ190" s="3"/>
      <c r="LDK190" s="3"/>
      <c r="LDL190" s="3"/>
      <c r="LDM190" s="3"/>
      <c r="LDN190" s="3"/>
      <c r="LDO190" s="3"/>
      <c r="LDP190" s="3"/>
      <c r="LDQ190" s="3"/>
      <c r="LDR190" s="3"/>
      <c r="LDS190" s="3"/>
      <c r="LDT190" s="3"/>
      <c r="LDU190" s="3"/>
      <c r="LDV190" s="3"/>
      <c r="LDW190" s="3"/>
      <c r="LDX190" s="3"/>
      <c r="LDY190" s="3"/>
      <c r="LDZ190" s="3"/>
      <c r="LEA190" s="3"/>
      <c r="LEB190" s="3"/>
      <c r="LEC190" s="3"/>
      <c r="LED190" s="3"/>
      <c r="LEE190" s="3"/>
      <c r="LEF190" s="3"/>
      <c r="LEG190" s="3"/>
      <c r="LEH190" s="3"/>
      <c r="LEI190" s="3"/>
      <c r="LEJ190" s="3"/>
      <c r="LEK190" s="3"/>
      <c r="LEL190" s="3"/>
      <c r="LEM190" s="3"/>
      <c r="LEN190" s="3"/>
      <c r="LEO190" s="3"/>
      <c r="LEP190" s="3"/>
      <c r="LEQ190" s="3"/>
      <c r="LER190" s="3"/>
      <c r="LES190" s="3"/>
      <c r="LET190" s="3"/>
      <c r="LEU190" s="3"/>
      <c r="LEV190" s="3"/>
      <c r="LEW190" s="3"/>
      <c r="LEX190" s="3"/>
      <c r="LEY190" s="3"/>
      <c r="LEZ190" s="3"/>
      <c r="LFA190" s="3"/>
      <c r="LFB190" s="3"/>
      <c r="LFC190" s="3"/>
      <c r="LFD190" s="3"/>
      <c r="LFE190" s="3"/>
      <c r="LFF190" s="3"/>
      <c r="LFG190" s="3"/>
      <c r="LFH190" s="3"/>
      <c r="LFI190" s="3"/>
      <c r="LFJ190" s="3"/>
      <c r="LFK190" s="3"/>
      <c r="LFL190" s="3"/>
      <c r="LFM190" s="3"/>
      <c r="LFN190" s="3"/>
      <c r="LFO190" s="3"/>
      <c r="LFP190" s="3"/>
      <c r="LFQ190" s="3"/>
      <c r="LFR190" s="3"/>
      <c r="LFS190" s="3"/>
      <c r="LFT190" s="3"/>
      <c r="LFU190" s="3"/>
      <c r="LFV190" s="3"/>
      <c r="LFW190" s="3"/>
      <c r="LFX190" s="3"/>
      <c r="LFY190" s="3"/>
      <c r="LFZ190" s="3"/>
      <c r="LGA190" s="3"/>
      <c r="LGB190" s="3"/>
      <c r="LGC190" s="3"/>
      <c r="LGD190" s="3"/>
      <c r="LGE190" s="3"/>
      <c r="LGF190" s="3"/>
      <c r="LGG190" s="3"/>
      <c r="LGH190" s="3"/>
      <c r="LGI190" s="3"/>
      <c r="LGJ190" s="3"/>
      <c r="LGK190" s="3"/>
      <c r="LGL190" s="3"/>
      <c r="LGM190" s="3"/>
      <c r="LGN190" s="3"/>
      <c r="LGO190" s="3"/>
      <c r="LGP190" s="3"/>
      <c r="LGQ190" s="3"/>
      <c r="LGR190" s="3"/>
      <c r="LGS190" s="3"/>
      <c r="LGT190" s="3"/>
      <c r="LGU190" s="3"/>
      <c r="LGV190" s="3"/>
      <c r="LGW190" s="3"/>
      <c r="LGX190" s="3"/>
      <c r="LGY190" s="3"/>
      <c r="LGZ190" s="3"/>
      <c r="LHA190" s="3"/>
      <c r="LHB190" s="3"/>
      <c r="LHC190" s="3"/>
      <c r="LHD190" s="3"/>
      <c r="LHE190" s="3"/>
      <c r="LHF190" s="3"/>
      <c r="LHG190" s="3"/>
      <c r="LHH190" s="3"/>
      <c r="LHI190" s="3"/>
      <c r="LHJ190" s="3"/>
      <c r="LHK190" s="3"/>
      <c r="LHL190" s="3"/>
      <c r="LHM190" s="3"/>
      <c r="LHN190" s="3"/>
      <c r="LHO190" s="3"/>
      <c r="LHP190" s="3"/>
      <c r="LHQ190" s="3"/>
      <c r="LHR190" s="3"/>
      <c r="LHS190" s="3"/>
      <c r="LHT190" s="3"/>
      <c r="LHU190" s="3"/>
      <c r="LHV190" s="3"/>
      <c r="LHW190" s="3"/>
      <c r="LHX190" s="3"/>
      <c r="LHY190" s="3"/>
      <c r="LHZ190" s="3"/>
      <c r="LIA190" s="3"/>
      <c r="LIB190" s="3"/>
      <c r="LIC190" s="3"/>
      <c r="LID190" s="3"/>
      <c r="LIE190" s="3"/>
      <c r="LIF190" s="3"/>
      <c r="LIG190" s="3"/>
      <c r="LIH190" s="3"/>
      <c r="LII190" s="3"/>
      <c r="LIJ190" s="3"/>
      <c r="LIK190" s="3"/>
      <c r="LIL190" s="3"/>
      <c r="LIM190" s="3"/>
      <c r="LIN190" s="3"/>
      <c r="LIO190" s="3"/>
      <c r="LIP190" s="3"/>
      <c r="LIQ190" s="3"/>
      <c r="LIR190" s="3"/>
      <c r="LIS190" s="3"/>
      <c r="LIT190" s="3"/>
      <c r="LIU190" s="3"/>
      <c r="LIV190" s="3"/>
      <c r="LIW190" s="3"/>
      <c r="LIX190" s="3"/>
      <c r="LIY190" s="3"/>
      <c r="LIZ190" s="3"/>
      <c r="LJA190" s="3"/>
      <c r="LJB190" s="3"/>
      <c r="LJC190" s="3"/>
      <c r="LJD190" s="3"/>
      <c r="LJE190" s="3"/>
      <c r="LJF190" s="3"/>
      <c r="LJG190" s="3"/>
      <c r="LJH190" s="3"/>
      <c r="LJI190" s="3"/>
      <c r="LJJ190" s="3"/>
      <c r="LJK190" s="3"/>
      <c r="LJL190" s="3"/>
      <c r="LJM190" s="3"/>
      <c r="LJN190" s="3"/>
      <c r="LJO190" s="3"/>
      <c r="LJP190" s="3"/>
      <c r="LJQ190" s="3"/>
      <c r="LJR190" s="3"/>
      <c r="LJS190" s="3"/>
      <c r="LJT190" s="3"/>
      <c r="LJU190" s="3"/>
      <c r="LJV190" s="3"/>
      <c r="LJW190" s="3"/>
      <c r="LJX190" s="3"/>
      <c r="LJY190" s="3"/>
      <c r="LJZ190" s="3"/>
      <c r="LKA190" s="3"/>
      <c r="LKB190" s="3"/>
      <c r="LKC190" s="3"/>
      <c r="LKD190" s="3"/>
      <c r="LKE190" s="3"/>
      <c r="LKF190" s="3"/>
      <c r="LKG190" s="3"/>
      <c r="LKH190" s="3"/>
      <c r="LKI190" s="3"/>
      <c r="LKJ190" s="3"/>
      <c r="LKK190" s="3"/>
      <c r="LKL190" s="3"/>
      <c r="LKM190" s="3"/>
      <c r="LKN190" s="3"/>
      <c r="LKO190" s="3"/>
      <c r="LKP190" s="3"/>
      <c r="LKQ190" s="3"/>
      <c r="LKR190" s="3"/>
      <c r="LKS190" s="3"/>
      <c r="LKT190" s="3"/>
      <c r="LKU190" s="3"/>
      <c r="LKV190" s="3"/>
      <c r="LKW190" s="3"/>
      <c r="LKX190" s="3"/>
      <c r="LKY190" s="3"/>
      <c r="LKZ190" s="3"/>
      <c r="LLA190" s="3"/>
      <c r="LLB190" s="3"/>
      <c r="LLC190" s="3"/>
      <c r="LLD190" s="3"/>
      <c r="LLE190" s="3"/>
      <c r="LLF190" s="3"/>
      <c r="LLG190" s="3"/>
      <c r="LLH190" s="3"/>
      <c r="LLI190" s="3"/>
      <c r="LLJ190" s="3"/>
      <c r="LLK190" s="3"/>
      <c r="LLL190" s="3"/>
      <c r="LLM190" s="3"/>
      <c r="LLN190" s="3"/>
      <c r="LLO190" s="3"/>
      <c r="LLP190" s="3"/>
      <c r="LLQ190" s="3"/>
      <c r="LLR190" s="3"/>
      <c r="LLS190" s="3"/>
      <c r="LLT190" s="3"/>
      <c r="LLU190" s="3"/>
      <c r="LLV190" s="3"/>
      <c r="LLW190" s="3"/>
      <c r="LLX190" s="3"/>
      <c r="LLY190" s="3"/>
      <c r="LLZ190" s="3"/>
      <c r="LMA190" s="3"/>
      <c r="LMB190" s="3"/>
      <c r="LMC190" s="3"/>
      <c r="LMD190" s="3"/>
      <c r="LME190" s="3"/>
      <c r="LMF190" s="3"/>
      <c r="LMG190" s="3"/>
      <c r="LMH190" s="3"/>
      <c r="LMI190" s="3"/>
      <c r="LMJ190" s="3"/>
      <c r="LMK190" s="3"/>
      <c r="LML190" s="3"/>
      <c r="LMM190" s="3"/>
      <c r="LMN190" s="3"/>
      <c r="LMO190" s="3"/>
      <c r="LMP190" s="3"/>
      <c r="LMQ190" s="3"/>
      <c r="LMR190" s="3"/>
      <c r="LMS190" s="3"/>
      <c r="LMT190" s="3"/>
      <c r="LMU190" s="3"/>
      <c r="LMV190" s="3"/>
      <c r="LMW190" s="3"/>
      <c r="LMX190" s="3"/>
      <c r="LMY190" s="3"/>
      <c r="LMZ190" s="3"/>
      <c r="LNA190" s="3"/>
      <c r="LNB190" s="3"/>
      <c r="LNC190" s="3"/>
      <c r="LND190" s="3"/>
      <c r="LNE190" s="3"/>
      <c r="LNF190" s="3"/>
      <c r="LNG190" s="3"/>
      <c r="LNH190" s="3"/>
      <c r="LNI190" s="3"/>
      <c r="LNJ190" s="3"/>
      <c r="LNK190" s="3"/>
      <c r="LNL190" s="3"/>
      <c r="LNM190" s="3"/>
      <c r="LNN190" s="3"/>
      <c r="LNO190" s="3"/>
      <c r="LNP190" s="3"/>
      <c r="LNQ190" s="3"/>
      <c r="LNR190" s="3"/>
      <c r="LNS190" s="3"/>
      <c r="LNT190" s="3"/>
      <c r="LNU190" s="3"/>
      <c r="LNV190" s="3"/>
      <c r="LNW190" s="3"/>
      <c r="LNX190" s="3"/>
      <c r="LNY190" s="3"/>
      <c r="LNZ190" s="3"/>
      <c r="LOA190" s="3"/>
      <c r="LOB190" s="3"/>
      <c r="LOC190" s="3"/>
      <c r="LOD190" s="3"/>
      <c r="LOE190" s="3"/>
      <c r="LOF190" s="3"/>
      <c r="LOG190" s="3"/>
      <c r="LOH190" s="3"/>
      <c r="LOI190" s="3"/>
      <c r="LOJ190" s="3"/>
      <c r="LOK190" s="3"/>
      <c r="LOL190" s="3"/>
      <c r="LOM190" s="3"/>
      <c r="LON190" s="3"/>
      <c r="LOO190" s="3"/>
      <c r="LOP190" s="3"/>
      <c r="LOQ190" s="3"/>
      <c r="LOR190" s="3"/>
      <c r="LOS190" s="3"/>
      <c r="LOT190" s="3"/>
      <c r="LOU190" s="3"/>
      <c r="LOV190" s="3"/>
      <c r="LOW190" s="3"/>
      <c r="LOX190" s="3"/>
      <c r="LOY190" s="3"/>
      <c r="LOZ190" s="3"/>
      <c r="LPA190" s="3"/>
      <c r="LPB190" s="3"/>
      <c r="LPC190" s="3"/>
      <c r="LPD190" s="3"/>
      <c r="LPE190" s="3"/>
      <c r="LPF190" s="3"/>
      <c r="LPG190" s="3"/>
      <c r="LPH190" s="3"/>
      <c r="LPI190" s="3"/>
      <c r="LPJ190" s="3"/>
      <c r="LPK190" s="3"/>
      <c r="LPL190" s="3"/>
      <c r="LPM190" s="3"/>
      <c r="LPN190" s="3"/>
      <c r="LPO190" s="3"/>
      <c r="LPP190" s="3"/>
      <c r="LPQ190" s="3"/>
      <c r="LPR190" s="3"/>
      <c r="LPS190" s="3"/>
      <c r="LPT190" s="3"/>
      <c r="LPU190" s="3"/>
      <c r="LPV190" s="3"/>
      <c r="LPW190" s="3"/>
      <c r="LPX190" s="3"/>
      <c r="LPY190" s="3"/>
      <c r="LPZ190" s="3"/>
      <c r="LQA190" s="3"/>
      <c r="LQB190" s="3"/>
      <c r="LQC190" s="3"/>
      <c r="LQD190" s="3"/>
      <c r="LQE190" s="3"/>
      <c r="LQF190" s="3"/>
      <c r="LQG190" s="3"/>
      <c r="LQH190" s="3"/>
      <c r="LQI190" s="3"/>
      <c r="LQJ190" s="3"/>
      <c r="LQK190" s="3"/>
      <c r="LQL190" s="3"/>
      <c r="LQM190" s="3"/>
      <c r="LQN190" s="3"/>
      <c r="LQO190" s="3"/>
      <c r="LQP190" s="3"/>
      <c r="LQQ190" s="3"/>
      <c r="LQR190" s="3"/>
      <c r="LQS190" s="3"/>
      <c r="LQT190" s="3"/>
      <c r="LQU190" s="3"/>
      <c r="LQV190" s="3"/>
      <c r="LQW190" s="3"/>
      <c r="LQX190" s="3"/>
      <c r="LQY190" s="3"/>
      <c r="LQZ190" s="3"/>
      <c r="LRA190" s="3"/>
      <c r="LRB190" s="3"/>
      <c r="LRC190" s="3"/>
      <c r="LRD190" s="3"/>
      <c r="LRE190" s="3"/>
      <c r="LRF190" s="3"/>
      <c r="LRG190" s="3"/>
      <c r="LRH190" s="3"/>
      <c r="LRI190" s="3"/>
      <c r="LRJ190" s="3"/>
      <c r="LRK190" s="3"/>
      <c r="LRL190" s="3"/>
      <c r="LRM190" s="3"/>
      <c r="LRN190" s="3"/>
      <c r="LRO190" s="3"/>
      <c r="LRP190" s="3"/>
      <c r="LRQ190" s="3"/>
      <c r="LRR190" s="3"/>
      <c r="LRS190" s="3"/>
      <c r="LRT190" s="3"/>
      <c r="LRU190" s="3"/>
      <c r="LRV190" s="3"/>
      <c r="LRW190" s="3"/>
      <c r="LRX190" s="3"/>
      <c r="LRY190" s="3"/>
      <c r="LRZ190" s="3"/>
      <c r="LSA190" s="3"/>
      <c r="LSB190" s="3"/>
      <c r="LSC190" s="3"/>
      <c r="LSD190" s="3"/>
      <c r="LSE190" s="3"/>
      <c r="LSF190" s="3"/>
      <c r="LSG190" s="3"/>
      <c r="LSH190" s="3"/>
      <c r="LSI190" s="3"/>
      <c r="LSJ190" s="3"/>
      <c r="LSK190" s="3"/>
      <c r="LSL190" s="3"/>
      <c r="LSM190" s="3"/>
      <c r="LSN190" s="3"/>
      <c r="LSO190" s="3"/>
      <c r="LSP190" s="3"/>
      <c r="LSQ190" s="3"/>
      <c r="LSR190" s="3"/>
      <c r="LSS190" s="3"/>
      <c r="LST190" s="3"/>
      <c r="LSU190" s="3"/>
      <c r="LSV190" s="3"/>
      <c r="LSW190" s="3"/>
      <c r="LSX190" s="3"/>
      <c r="LSY190" s="3"/>
      <c r="LSZ190" s="3"/>
      <c r="LTA190" s="3"/>
      <c r="LTB190" s="3"/>
      <c r="LTC190" s="3"/>
      <c r="LTD190" s="3"/>
      <c r="LTE190" s="3"/>
      <c r="LTF190" s="3"/>
      <c r="LTG190" s="3"/>
      <c r="LTH190" s="3"/>
      <c r="LTI190" s="3"/>
      <c r="LTJ190" s="3"/>
      <c r="LTK190" s="3"/>
      <c r="LTL190" s="3"/>
      <c r="LTM190" s="3"/>
      <c r="LTN190" s="3"/>
      <c r="LTO190" s="3"/>
      <c r="LTP190" s="3"/>
      <c r="LTQ190" s="3"/>
      <c r="LTR190" s="3"/>
      <c r="LTS190" s="3"/>
      <c r="LTT190" s="3"/>
      <c r="LTU190" s="3"/>
      <c r="LTV190" s="3"/>
      <c r="LTW190" s="3"/>
      <c r="LTX190" s="3"/>
      <c r="LTY190" s="3"/>
      <c r="LTZ190" s="3"/>
      <c r="LUA190" s="3"/>
      <c r="LUB190" s="3"/>
      <c r="LUC190" s="3"/>
      <c r="LUD190" s="3"/>
      <c r="LUE190" s="3"/>
      <c r="LUF190" s="3"/>
      <c r="LUG190" s="3"/>
      <c r="LUH190" s="3"/>
      <c r="LUI190" s="3"/>
      <c r="LUJ190" s="3"/>
      <c r="LUK190" s="3"/>
      <c r="LUL190" s="3"/>
      <c r="LUM190" s="3"/>
      <c r="LUN190" s="3"/>
      <c r="LUO190" s="3"/>
      <c r="LUP190" s="3"/>
      <c r="LUQ190" s="3"/>
      <c r="LUR190" s="3"/>
      <c r="LUS190" s="3"/>
      <c r="LUT190" s="3"/>
      <c r="LUU190" s="3"/>
      <c r="LUV190" s="3"/>
      <c r="LUW190" s="3"/>
      <c r="LUX190" s="3"/>
      <c r="LUY190" s="3"/>
      <c r="LUZ190" s="3"/>
      <c r="LVA190" s="3"/>
      <c r="LVB190" s="3"/>
      <c r="LVC190" s="3"/>
      <c r="LVD190" s="3"/>
      <c r="LVE190" s="3"/>
      <c r="LVF190" s="3"/>
      <c r="LVG190" s="3"/>
      <c r="LVH190" s="3"/>
      <c r="LVI190" s="3"/>
      <c r="LVJ190" s="3"/>
      <c r="LVK190" s="3"/>
      <c r="LVL190" s="3"/>
      <c r="LVM190" s="3"/>
      <c r="LVN190" s="3"/>
      <c r="LVO190" s="3"/>
      <c r="LVP190" s="3"/>
      <c r="LVQ190" s="3"/>
      <c r="LVR190" s="3"/>
      <c r="LVS190" s="3"/>
      <c r="LVT190" s="3"/>
      <c r="LVU190" s="3"/>
      <c r="LVV190" s="3"/>
      <c r="LVW190" s="3"/>
      <c r="LVX190" s="3"/>
      <c r="LVY190" s="3"/>
      <c r="LVZ190" s="3"/>
      <c r="LWA190" s="3"/>
      <c r="LWB190" s="3"/>
      <c r="LWC190" s="3"/>
      <c r="LWD190" s="3"/>
      <c r="LWE190" s="3"/>
      <c r="LWF190" s="3"/>
      <c r="LWG190" s="3"/>
      <c r="LWH190" s="3"/>
      <c r="LWI190" s="3"/>
      <c r="LWJ190" s="3"/>
      <c r="LWK190" s="3"/>
      <c r="LWL190" s="3"/>
      <c r="LWM190" s="3"/>
      <c r="LWN190" s="3"/>
      <c r="LWO190" s="3"/>
      <c r="LWP190" s="3"/>
      <c r="LWQ190" s="3"/>
      <c r="LWR190" s="3"/>
      <c r="LWS190" s="3"/>
      <c r="LWT190" s="3"/>
      <c r="LWU190" s="3"/>
      <c r="LWV190" s="3"/>
      <c r="LWW190" s="3"/>
      <c r="LWX190" s="3"/>
      <c r="LWY190" s="3"/>
      <c r="LWZ190" s="3"/>
      <c r="LXA190" s="3"/>
      <c r="LXB190" s="3"/>
      <c r="LXC190" s="3"/>
      <c r="LXD190" s="3"/>
      <c r="LXE190" s="3"/>
      <c r="LXF190" s="3"/>
      <c r="LXG190" s="3"/>
      <c r="LXH190" s="3"/>
      <c r="LXI190" s="3"/>
      <c r="LXJ190" s="3"/>
      <c r="LXK190" s="3"/>
      <c r="LXL190" s="3"/>
      <c r="LXM190" s="3"/>
      <c r="LXN190" s="3"/>
      <c r="LXO190" s="3"/>
      <c r="LXP190" s="3"/>
      <c r="LXQ190" s="3"/>
      <c r="LXR190" s="3"/>
      <c r="LXS190" s="3"/>
      <c r="LXT190" s="3"/>
      <c r="LXU190" s="3"/>
      <c r="LXV190" s="3"/>
      <c r="LXW190" s="3"/>
      <c r="LXX190" s="3"/>
      <c r="LXY190" s="3"/>
      <c r="LXZ190" s="3"/>
      <c r="LYA190" s="3"/>
      <c r="LYB190" s="3"/>
      <c r="LYC190" s="3"/>
      <c r="LYD190" s="3"/>
      <c r="LYE190" s="3"/>
      <c r="LYF190" s="3"/>
      <c r="LYG190" s="3"/>
      <c r="LYH190" s="3"/>
      <c r="LYI190" s="3"/>
      <c r="LYJ190" s="3"/>
      <c r="LYK190" s="3"/>
      <c r="LYL190" s="3"/>
      <c r="LYM190" s="3"/>
      <c r="LYN190" s="3"/>
      <c r="LYO190" s="3"/>
      <c r="LYP190" s="3"/>
      <c r="LYQ190" s="3"/>
      <c r="LYR190" s="3"/>
      <c r="LYS190" s="3"/>
      <c r="LYT190" s="3"/>
      <c r="LYU190" s="3"/>
      <c r="LYV190" s="3"/>
      <c r="LYW190" s="3"/>
      <c r="LYX190" s="3"/>
      <c r="LYY190" s="3"/>
      <c r="LYZ190" s="3"/>
      <c r="LZA190" s="3"/>
      <c r="LZB190" s="3"/>
      <c r="LZC190" s="3"/>
      <c r="LZD190" s="3"/>
      <c r="LZE190" s="3"/>
      <c r="LZF190" s="3"/>
      <c r="LZG190" s="3"/>
      <c r="LZH190" s="3"/>
      <c r="LZI190" s="3"/>
      <c r="LZJ190" s="3"/>
      <c r="LZK190" s="3"/>
      <c r="LZL190" s="3"/>
      <c r="LZM190" s="3"/>
      <c r="LZN190" s="3"/>
      <c r="LZO190" s="3"/>
      <c r="LZP190" s="3"/>
      <c r="LZQ190" s="3"/>
      <c r="LZR190" s="3"/>
      <c r="LZS190" s="3"/>
      <c r="LZT190" s="3"/>
      <c r="LZU190" s="3"/>
      <c r="LZV190" s="3"/>
      <c r="LZW190" s="3"/>
      <c r="LZX190" s="3"/>
      <c r="LZY190" s="3"/>
      <c r="LZZ190" s="3"/>
      <c r="MAA190" s="3"/>
      <c r="MAB190" s="3"/>
      <c r="MAC190" s="3"/>
      <c r="MAD190" s="3"/>
      <c r="MAE190" s="3"/>
      <c r="MAF190" s="3"/>
      <c r="MAG190" s="3"/>
      <c r="MAH190" s="3"/>
      <c r="MAI190" s="3"/>
      <c r="MAJ190" s="3"/>
      <c r="MAK190" s="3"/>
      <c r="MAL190" s="3"/>
      <c r="MAM190" s="3"/>
      <c r="MAN190" s="3"/>
      <c r="MAO190" s="3"/>
      <c r="MAP190" s="3"/>
      <c r="MAQ190" s="3"/>
      <c r="MAR190" s="3"/>
      <c r="MAS190" s="3"/>
      <c r="MAT190" s="3"/>
      <c r="MAU190" s="3"/>
      <c r="MAV190" s="3"/>
      <c r="MAW190" s="3"/>
      <c r="MAX190" s="3"/>
      <c r="MAY190" s="3"/>
      <c r="MAZ190" s="3"/>
      <c r="MBA190" s="3"/>
      <c r="MBB190" s="3"/>
      <c r="MBC190" s="3"/>
      <c r="MBD190" s="3"/>
      <c r="MBE190" s="3"/>
      <c r="MBF190" s="3"/>
      <c r="MBG190" s="3"/>
      <c r="MBH190" s="3"/>
      <c r="MBI190" s="3"/>
      <c r="MBJ190" s="3"/>
      <c r="MBK190" s="3"/>
      <c r="MBL190" s="3"/>
      <c r="MBM190" s="3"/>
      <c r="MBN190" s="3"/>
      <c r="MBO190" s="3"/>
      <c r="MBP190" s="3"/>
      <c r="MBQ190" s="3"/>
      <c r="MBR190" s="3"/>
      <c r="MBS190" s="3"/>
      <c r="MBT190" s="3"/>
      <c r="MBU190" s="3"/>
      <c r="MBV190" s="3"/>
      <c r="MBW190" s="3"/>
      <c r="MBX190" s="3"/>
      <c r="MBY190" s="3"/>
      <c r="MBZ190" s="3"/>
      <c r="MCA190" s="3"/>
      <c r="MCB190" s="3"/>
      <c r="MCC190" s="3"/>
      <c r="MCD190" s="3"/>
      <c r="MCE190" s="3"/>
      <c r="MCF190" s="3"/>
      <c r="MCG190" s="3"/>
      <c r="MCH190" s="3"/>
      <c r="MCI190" s="3"/>
      <c r="MCJ190" s="3"/>
      <c r="MCK190" s="3"/>
      <c r="MCL190" s="3"/>
      <c r="MCM190" s="3"/>
      <c r="MCN190" s="3"/>
      <c r="MCO190" s="3"/>
      <c r="MCP190" s="3"/>
      <c r="MCQ190" s="3"/>
      <c r="MCR190" s="3"/>
      <c r="MCS190" s="3"/>
      <c r="MCT190" s="3"/>
      <c r="MCU190" s="3"/>
      <c r="MCV190" s="3"/>
      <c r="MCW190" s="3"/>
      <c r="MCX190" s="3"/>
      <c r="MCY190" s="3"/>
      <c r="MCZ190" s="3"/>
      <c r="MDA190" s="3"/>
      <c r="MDB190" s="3"/>
      <c r="MDC190" s="3"/>
      <c r="MDD190" s="3"/>
      <c r="MDE190" s="3"/>
      <c r="MDF190" s="3"/>
      <c r="MDG190" s="3"/>
      <c r="MDH190" s="3"/>
      <c r="MDI190" s="3"/>
      <c r="MDJ190" s="3"/>
      <c r="MDK190" s="3"/>
      <c r="MDL190" s="3"/>
      <c r="MDM190" s="3"/>
      <c r="MDN190" s="3"/>
      <c r="MDO190" s="3"/>
      <c r="MDP190" s="3"/>
      <c r="MDQ190" s="3"/>
      <c r="MDR190" s="3"/>
      <c r="MDS190" s="3"/>
      <c r="MDT190" s="3"/>
      <c r="MDU190" s="3"/>
      <c r="MDV190" s="3"/>
      <c r="MDW190" s="3"/>
      <c r="MDX190" s="3"/>
      <c r="MDY190" s="3"/>
      <c r="MDZ190" s="3"/>
      <c r="MEA190" s="3"/>
      <c r="MEB190" s="3"/>
      <c r="MEC190" s="3"/>
      <c r="MED190" s="3"/>
      <c r="MEE190" s="3"/>
      <c r="MEF190" s="3"/>
      <c r="MEG190" s="3"/>
      <c r="MEH190" s="3"/>
      <c r="MEI190" s="3"/>
      <c r="MEJ190" s="3"/>
      <c r="MEK190" s="3"/>
      <c r="MEL190" s="3"/>
      <c r="MEM190" s="3"/>
      <c r="MEN190" s="3"/>
      <c r="MEO190" s="3"/>
      <c r="MEP190" s="3"/>
      <c r="MEQ190" s="3"/>
      <c r="MER190" s="3"/>
      <c r="MES190" s="3"/>
      <c r="MET190" s="3"/>
      <c r="MEU190" s="3"/>
      <c r="MEV190" s="3"/>
      <c r="MEW190" s="3"/>
      <c r="MEX190" s="3"/>
      <c r="MEY190" s="3"/>
      <c r="MEZ190" s="3"/>
      <c r="MFA190" s="3"/>
      <c r="MFB190" s="3"/>
      <c r="MFC190" s="3"/>
      <c r="MFD190" s="3"/>
      <c r="MFE190" s="3"/>
      <c r="MFF190" s="3"/>
      <c r="MFG190" s="3"/>
      <c r="MFH190" s="3"/>
      <c r="MFI190" s="3"/>
      <c r="MFJ190" s="3"/>
      <c r="MFK190" s="3"/>
      <c r="MFL190" s="3"/>
      <c r="MFM190" s="3"/>
      <c r="MFN190" s="3"/>
      <c r="MFO190" s="3"/>
      <c r="MFP190" s="3"/>
      <c r="MFQ190" s="3"/>
      <c r="MFR190" s="3"/>
      <c r="MFS190" s="3"/>
      <c r="MFT190" s="3"/>
      <c r="MFU190" s="3"/>
      <c r="MFV190" s="3"/>
      <c r="MFW190" s="3"/>
      <c r="MFX190" s="3"/>
      <c r="MFY190" s="3"/>
      <c r="MFZ190" s="3"/>
      <c r="MGA190" s="3"/>
      <c r="MGB190" s="3"/>
      <c r="MGC190" s="3"/>
      <c r="MGD190" s="3"/>
      <c r="MGE190" s="3"/>
      <c r="MGF190" s="3"/>
      <c r="MGG190" s="3"/>
      <c r="MGH190" s="3"/>
      <c r="MGI190" s="3"/>
      <c r="MGJ190" s="3"/>
      <c r="MGK190" s="3"/>
      <c r="MGL190" s="3"/>
      <c r="MGM190" s="3"/>
      <c r="MGN190" s="3"/>
      <c r="MGO190" s="3"/>
      <c r="MGP190" s="3"/>
      <c r="MGQ190" s="3"/>
      <c r="MGR190" s="3"/>
      <c r="MGS190" s="3"/>
      <c r="MGT190" s="3"/>
      <c r="MGU190" s="3"/>
      <c r="MGV190" s="3"/>
      <c r="MGW190" s="3"/>
      <c r="MGX190" s="3"/>
      <c r="MGY190" s="3"/>
      <c r="MGZ190" s="3"/>
      <c r="MHA190" s="3"/>
      <c r="MHB190" s="3"/>
      <c r="MHC190" s="3"/>
      <c r="MHD190" s="3"/>
      <c r="MHE190" s="3"/>
      <c r="MHF190" s="3"/>
      <c r="MHG190" s="3"/>
      <c r="MHH190" s="3"/>
      <c r="MHI190" s="3"/>
      <c r="MHJ190" s="3"/>
      <c r="MHK190" s="3"/>
      <c r="MHL190" s="3"/>
      <c r="MHM190" s="3"/>
      <c r="MHN190" s="3"/>
      <c r="MHO190" s="3"/>
      <c r="MHP190" s="3"/>
      <c r="MHQ190" s="3"/>
      <c r="MHR190" s="3"/>
      <c r="MHS190" s="3"/>
      <c r="MHT190" s="3"/>
      <c r="MHU190" s="3"/>
      <c r="MHV190" s="3"/>
      <c r="MHW190" s="3"/>
      <c r="MHX190" s="3"/>
      <c r="MHY190" s="3"/>
      <c r="MHZ190" s="3"/>
      <c r="MIA190" s="3"/>
      <c r="MIB190" s="3"/>
      <c r="MIC190" s="3"/>
      <c r="MID190" s="3"/>
      <c r="MIE190" s="3"/>
      <c r="MIF190" s="3"/>
      <c r="MIG190" s="3"/>
      <c r="MIH190" s="3"/>
      <c r="MII190" s="3"/>
      <c r="MIJ190" s="3"/>
      <c r="MIK190" s="3"/>
      <c r="MIL190" s="3"/>
      <c r="MIM190" s="3"/>
      <c r="MIN190" s="3"/>
      <c r="MIO190" s="3"/>
      <c r="MIP190" s="3"/>
      <c r="MIQ190" s="3"/>
      <c r="MIR190" s="3"/>
      <c r="MIS190" s="3"/>
      <c r="MIT190" s="3"/>
      <c r="MIU190" s="3"/>
      <c r="MIV190" s="3"/>
      <c r="MIW190" s="3"/>
      <c r="MIX190" s="3"/>
      <c r="MIY190" s="3"/>
      <c r="MIZ190" s="3"/>
      <c r="MJA190" s="3"/>
      <c r="MJB190" s="3"/>
      <c r="MJC190" s="3"/>
      <c r="MJD190" s="3"/>
      <c r="MJE190" s="3"/>
      <c r="MJF190" s="3"/>
      <c r="MJG190" s="3"/>
      <c r="MJH190" s="3"/>
      <c r="MJI190" s="3"/>
      <c r="MJJ190" s="3"/>
      <c r="MJK190" s="3"/>
      <c r="MJL190" s="3"/>
      <c r="MJM190" s="3"/>
      <c r="MJN190" s="3"/>
      <c r="MJO190" s="3"/>
      <c r="MJP190" s="3"/>
      <c r="MJQ190" s="3"/>
      <c r="MJR190" s="3"/>
      <c r="MJS190" s="3"/>
      <c r="MJT190" s="3"/>
      <c r="MJU190" s="3"/>
      <c r="MJV190" s="3"/>
      <c r="MJW190" s="3"/>
      <c r="MJX190" s="3"/>
      <c r="MJY190" s="3"/>
      <c r="MJZ190" s="3"/>
      <c r="MKA190" s="3"/>
      <c r="MKB190" s="3"/>
      <c r="MKC190" s="3"/>
      <c r="MKD190" s="3"/>
      <c r="MKE190" s="3"/>
      <c r="MKF190" s="3"/>
      <c r="MKG190" s="3"/>
      <c r="MKH190" s="3"/>
      <c r="MKI190" s="3"/>
      <c r="MKJ190" s="3"/>
      <c r="MKK190" s="3"/>
      <c r="MKL190" s="3"/>
      <c r="MKM190" s="3"/>
      <c r="MKN190" s="3"/>
      <c r="MKO190" s="3"/>
      <c r="MKP190" s="3"/>
      <c r="MKQ190" s="3"/>
      <c r="MKR190" s="3"/>
      <c r="MKS190" s="3"/>
      <c r="MKT190" s="3"/>
      <c r="MKU190" s="3"/>
      <c r="MKV190" s="3"/>
      <c r="MKW190" s="3"/>
      <c r="MKX190" s="3"/>
      <c r="MKY190" s="3"/>
      <c r="MKZ190" s="3"/>
      <c r="MLA190" s="3"/>
      <c r="MLB190" s="3"/>
      <c r="MLC190" s="3"/>
      <c r="MLD190" s="3"/>
      <c r="MLE190" s="3"/>
      <c r="MLF190" s="3"/>
      <c r="MLG190" s="3"/>
      <c r="MLH190" s="3"/>
      <c r="MLI190" s="3"/>
      <c r="MLJ190" s="3"/>
      <c r="MLK190" s="3"/>
      <c r="MLL190" s="3"/>
      <c r="MLM190" s="3"/>
      <c r="MLN190" s="3"/>
      <c r="MLO190" s="3"/>
      <c r="MLP190" s="3"/>
      <c r="MLQ190" s="3"/>
      <c r="MLR190" s="3"/>
      <c r="MLS190" s="3"/>
      <c r="MLT190" s="3"/>
      <c r="MLU190" s="3"/>
      <c r="MLV190" s="3"/>
      <c r="MLW190" s="3"/>
      <c r="MLX190" s="3"/>
      <c r="MLY190" s="3"/>
      <c r="MLZ190" s="3"/>
      <c r="MMA190" s="3"/>
      <c r="MMB190" s="3"/>
      <c r="MMC190" s="3"/>
      <c r="MMD190" s="3"/>
      <c r="MME190" s="3"/>
      <c r="MMF190" s="3"/>
      <c r="MMG190" s="3"/>
      <c r="MMH190" s="3"/>
      <c r="MMI190" s="3"/>
      <c r="MMJ190" s="3"/>
      <c r="MMK190" s="3"/>
      <c r="MML190" s="3"/>
      <c r="MMM190" s="3"/>
      <c r="MMN190" s="3"/>
      <c r="MMO190" s="3"/>
      <c r="MMP190" s="3"/>
      <c r="MMQ190" s="3"/>
      <c r="MMR190" s="3"/>
      <c r="MMS190" s="3"/>
      <c r="MMT190" s="3"/>
      <c r="MMU190" s="3"/>
      <c r="MMV190" s="3"/>
      <c r="MMW190" s="3"/>
      <c r="MMX190" s="3"/>
      <c r="MMY190" s="3"/>
      <c r="MMZ190" s="3"/>
      <c r="MNA190" s="3"/>
      <c r="MNB190" s="3"/>
      <c r="MNC190" s="3"/>
      <c r="MND190" s="3"/>
      <c r="MNE190" s="3"/>
      <c r="MNF190" s="3"/>
      <c r="MNG190" s="3"/>
      <c r="MNH190" s="3"/>
      <c r="MNI190" s="3"/>
      <c r="MNJ190" s="3"/>
      <c r="MNK190" s="3"/>
      <c r="MNL190" s="3"/>
      <c r="MNM190" s="3"/>
      <c r="MNN190" s="3"/>
      <c r="MNO190" s="3"/>
      <c r="MNP190" s="3"/>
      <c r="MNQ190" s="3"/>
      <c r="MNR190" s="3"/>
      <c r="MNS190" s="3"/>
      <c r="MNT190" s="3"/>
      <c r="MNU190" s="3"/>
      <c r="MNV190" s="3"/>
      <c r="MNW190" s="3"/>
      <c r="MNX190" s="3"/>
      <c r="MNY190" s="3"/>
      <c r="MNZ190" s="3"/>
      <c r="MOA190" s="3"/>
      <c r="MOB190" s="3"/>
      <c r="MOC190" s="3"/>
      <c r="MOD190" s="3"/>
      <c r="MOE190" s="3"/>
      <c r="MOF190" s="3"/>
      <c r="MOG190" s="3"/>
      <c r="MOH190" s="3"/>
      <c r="MOI190" s="3"/>
      <c r="MOJ190" s="3"/>
      <c r="MOK190" s="3"/>
      <c r="MOL190" s="3"/>
      <c r="MOM190" s="3"/>
      <c r="MON190" s="3"/>
      <c r="MOO190" s="3"/>
      <c r="MOP190" s="3"/>
      <c r="MOQ190" s="3"/>
      <c r="MOR190" s="3"/>
      <c r="MOS190" s="3"/>
      <c r="MOT190" s="3"/>
      <c r="MOU190" s="3"/>
      <c r="MOV190" s="3"/>
      <c r="MOW190" s="3"/>
      <c r="MOX190" s="3"/>
      <c r="MOY190" s="3"/>
      <c r="MOZ190" s="3"/>
      <c r="MPA190" s="3"/>
      <c r="MPB190" s="3"/>
      <c r="MPC190" s="3"/>
      <c r="MPD190" s="3"/>
      <c r="MPE190" s="3"/>
      <c r="MPF190" s="3"/>
      <c r="MPG190" s="3"/>
      <c r="MPH190" s="3"/>
      <c r="MPI190" s="3"/>
      <c r="MPJ190" s="3"/>
      <c r="MPK190" s="3"/>
      <c r="MPL190" s="3"/>
      <c r="MPM190" s="3"/>
      <c r="MPN190" s="3"/>
      <c r="MPO190" s="3"/>
      <c r="MPP190" s="3"/>
      <c r="MPQ190" s="3"/>
      <c r="MPR190" s="3"/>
      <c r="MPS190" s="3"/>
      <c r="MPT190" s="3"/>
      <c r="MPU190" s="3"/>
      <c r="MPV190" s="3"/>
      <c r="MPW190" s="3"/>
      <c r="MPX190" s="3"/>
      <c r="MPY190" s="3"/>
      <c r="MPZ190" s="3"/>
      <c r="MQA190" s="3"/>
      <c r="MQB190" s="3"/>
      <c r="MQC190" s="3"/>
      <c r="MQD190" s="3"/>
      <c r="MQE190" s="3"/>
      <c r="MQF190" s="3"/>
      <c r="MQG190" s="3"/>
      <c r="MQH190" s="3"/>
      <c r="MQI190" s="3"/>
      <c r="MQJ190" s="3"/>
      <c r="MQK190" s="3"/>
      <c r="MQL190" s="3"/>
      <c r="MQM190" s="3"/>
      <c r="MQN190" s="3"/>
      <c r="MQO190" s="3"/>
      <c r="MQP190" s="3"/>
      <c r="MQQ190" s="3"/>
      <c r="MQR190" s="3"/>
      <c r="MQS190" s="3"/>
      <c r="MQT190" s="3"/>
      <c r="MQU190" s="3"/>
      <c r="MQV190" s="3"/>
      <c r="MQW190" s="3"/>
      <c r="MQX190" s="3"/>
      <c r="MQY190" s="3"/>
      <c r="MQZ190" s="3"/>
      <c r="MRA190" s="3"/>
      <c r="MRB190" s="3"/>
      <c r="MRC190" s="3"/>
      <c r="MRD190" s="3"/>
      <c r="MRE190" s="3"/>
      <c r="MRF190" s="3"/>
      <c r="MRG190" s="3"/>
      <c r="MRH190" s="3"/>
      <c r="MRI190" s="3"/>
      <c r="MRJ190" s="3"/>
      <c r="MRK190" s="3"/>
      <c r="MRL190" s="3"/>
      <c r="MRM190" s="3"/>
      <c r="MRN190" s="3"/>
      <c r="MRO190" s="3"/>
      <c r="MRP190" s="3"/>
      <c r="MRQ190" s="3"/>
      <c r="MRR190" s="3"/>
      <c r="MRS190" s="3"/>
      <c r="MRT190" s="3"/>
      <c r="MRU190" s="3"/>
      <c r="MRV190" s="3"/>
      <c r="MRW190" s="3"/>
      <c r="MRX190" s="3"/>
      <c r="MRY190" s="3"/>
      <c r="MRZ190" s="3"/>
      <c r="MSA190" s="3"/>
      <c r="MSB190" s="3"/>
      <c r="MSC190" s="3"/>
      <c r="MSD190" s="3"/>
      <c r="MSE190" s="3"/>
      <c r="MSF190" s="3"/>
      <c r="MSG190" s="3"/>
      <c r="MSH190" s="3"/>
      <c r="MSI190" s="3"/>
      <c r="MSJ190" s="3"/>
      <c r="MSK190" s="3"/>
      <c r="MSL190" s="3"/>
      <c r="MSM190" s="3"/>
      <c r="MSN190" s="3"/>
      <c r="MSO190" s="3"/>
      <c r="MSP190" s="3"/>
      <c r="MSQ190" s="3"/>
      <c r="MSR190" s="3"/>
      <c r="MSS190" s="3"/>
      <c r="MST190" s="3"/>
      <c r="MSU190" s="3"/>
      <c r="MSV190" s="3"/>
      <c r="MSW190" s="3"/>
      <c r="MSX190" s="3"/>
      <c r="MSY190" s="3"/>
      <c r="MSZ190" s="3"/>
      <c r="MTA190" s="3"/>
      <c r="MTB190" s="3"/>
      <c r="MTC190" s="3"/>
      <c r="MTD190" s="3"/>
      <c r="MTE190" s="3"/>
      <c r="MTF190" s="3"/>
      <c r="MTG190" s="3"/>
      <c r="MTH190" s="3"/>
      <c r="MTI190" s="3"/>
      <c r="MTJ190" s="3"/>
      <c r="MTK190" s="3"/>
      <c r="MTL190" s="3"/>
      <c r="MTM190" s="3"/>
      <c r="MTN190" s="3"/>
      <c r="MTO190" s="3"/>
      <c r="MTP190" s="3"/>
      <c r="MTQ190" s="3"/>
      <c r="MTR190" s="3"/>
      <c r="MTS190" s="3"/>
      <c r="MTT190" s="3"/>
      <c r="MTU190" s="3"/>
      <c r="MTV190" s="3"/>
      <c r="MTW190" s="3"/>
      <c r="MTX190" s="3"/>
      <c r="MTY190" s="3"/>
      <c r="MTZ190" s="3"/>
      <c r="MUA190" s="3"/>
      <c r="MUB190" s="3"/>
      <c r="MUC190" s="3"/>
      <c r="MUD190" s="3"/>
      <c r="MUE190" s="3"/>
      <c r="MUF190" s="3"/>
      <c r="MUG190" s="3"/>
      <c r="MUH190" s="3"/>
      <c r="MUI190" s="3"/>
      <c r="MUJ190" s="3"/>
      <c r="MUK190" s="3"/>
      <c r="MUL190" s="3"/>
      <c r="MUM190" s="3"/>
      <c r="MUN190" s="3"/>
      <c r="MUO190" s="3"/>
      <c r="MUP190" s="3"/>
      <c r="MUQ190" s="3"/>
      <c r="MUR190" s="3"/>
      <c r="MUS190" s="3"/>
      <c r="MUT190" s="3"/>
      <c r="MUU190" s="3"/>
      <c r="MUV190" s="3"/>
      <c r="MUW190" s="3"/>
      <c r="MUX190" s="3"/>
      <c r="MUY190" s="3"/>
      <c r="MUZ190" s="3"/>
      <c r="MVA190" s="3"/>
      <c r="MVB190" s="3"/>
      <c r="MVC190" s="3"/>
      <c r="MVD190" s="3"/>
      <c r="MVE190" s="3"/>
      <c r="MVF190" s="3"/>
      <c r="MVG190" s="3"/>
      <c r="MVH190" s="3"/>
      <c r="MVI190" s="3"/>
      <c r="MVJ190" s="3"/>
      <c r="MVK190" s="3"/>
      <c r="MVL190" s="3"/>
      <c r="MVM190" s="3"/>
      <c r="MVN190" s="3"/>
      <c r="MVO190" s="3"/>
      <c r="MVP190" s="3"/>
      <c r="MVQ190" s="3"/>
      <c r="MVR190" s="3"/>
      <c r="MVS190" s="3"/>
      <c r="MVT190" s="3"/>
      <c r="MVU190" s="3"/>
      <c r="MVV190" s="3"/>
      <c r="MVW190" s="3"/>
      <c r="MVX190" s="3"/>
      <c r="MVY190" s="3"/>
      <c r="MVZ190" s="3"/>
      <c r="MWA190" s="3"/>
      <c r="MWB190" s="3"/>
      <c r="MWC190" s="3"/>
      <c r="MWD190" s="3"/>
      <c r="MWE190" s="3"/>
      <c r="MWF190" s="3"/>
      <c r="MWG190" s="3"/>
      <c r="MWH190" s="3"/>
      <c r="MWI190" s="3"/>
      <c r="MWJ190" s="3"/>
      <c r="MWK190" s="3"/>
      <c r="MWL190" s="3"/>
      <c r="MWM190" s="3"/>
      <c r="MWN190" s="3"/>
      <c r="MWO190" s="3"/>
      <c r="MWP190" s="3"/>
      <c r="MWQ190" s="3"/>
      <c r="MWR190" s="3"/>
      <c r="MWS190" s="3"/>
      <c r="MWT190" s="3"/>
      <c r="MWU190" s="3"/>
      <c r="MWV190" s="3"/>
      <c r="MWW190" s="3"/>
      <c r="MWX190" s="3"/>
      <c r="MWY190" s="3"/>
      <c r="MWZ190" s="3"/>
      <c r="MXA190" s="3"/>
      <c r="MXB190" s="3"/>
      <c r="MXC190" s="3"/>
      <c r="MXD190" s="3"/>
      <c r="MXE190" s="3"/>
      <c r="MXF190" s="3"/>
      <c r="MXG190" s="3"/>
      <c r="MXH190" s="3"/>
      <c r="MXI190" s="3"/>
      <c r="MXJ190" s="3"/>
      <c r="MXK190" s="3"/>
      <c r="MXL190" s="3"/>
      <c r="MXM190" s="3"/>
      <c r="MXN190" s="3"/>
      <c r="MXO190" s="3"/>
      <c r="MXP190" s="3"/>
      <c r="MXQ190" s="3"/>
      <c r="MXR190" s="3"/>
      <c r="MXS190" s="3"/>
      <c r="MXT190" s="3"/>
      <c r="MXU190" s="3"/>
      <c r="MXV190" s="3"/>
      <c r="MXW190" s="3"/>
      <c r="MXX190" s="3"/>
      <c r="MXY190" s="3"/>
      <c r="MXZ190" s="3"/>
      <c r="MYA190" s="3"/>
      <c r="MYB190" s="3"/>
      <c r="MYC190" s="3"/>
      <c r="MYD190" s="3"/>
      <c r="MYE190" s="3"/>
      <c r="MYF190" s="3"/>
      <c r="MYG190" s="3"/>
      <c r="MYH190" s="3"/>
      <c r="MYI190" s="3"/>
      <c r="MYJ190" s="3"/>
      <c r="MYK190" s="3"/>
      <c r="MYL190" s="3"/>
      <c r="MYM190" s="3"/>
      <c r="MYN190" s="3"/>
      <c r="MYO190" s="3"/>
      <c r="MYP190" s="3"/>
      <c r="MYQ190" s="3"/>
      <c r="MYR190" s="3"/>
      <c r="MYS190" s="3"/>
      <c r="MYT190" s="3"/>
      <c r="MYU190" s="3"/>
      <c r="MYV190" s="3"/>
      <c r="MYW190" s="3"/>
      <c r="MYX190" s="3"/>
      <c r="MYY190" s="3"/>
      <c r="MYZ190" s="3"/>
      <c r="MZA190" s="3"/>
      <c r="MZB190" s="3"/>
      <c r="MZC190" s="3"/>
      <c r="MZD190" s="3"/>
      <c r="MZE190" s="3"/>
      <c r="MZF190" s="3"/>
      <c r="MZG190" s="3"/>
      <c r="MZH190" s="3"/>
      <c r="MZI190" s="3"/>
      <c r="MZJ190" s="3"/>
      <c r="MZK190" s="3"/>
      <c r="MZL190" s="3"/>
      <c r="MZM190" s="3"/>
      <c r="MZN190" s="3"/>
      <c r="MZO190" s="3"/>
      <c r="MZP190" s="3"/>
      <c r="MZQ190" s="3"/>
      <c r="MZR190" s="3"/>
      <c r="MZS190" s="3"/>
      <c r="MZT190" s="3"/>
      <c r="MZU190" s="3"/>
      <c r="MZV190" s="3"/>
      <c r="MZW190" s="3"/>
      <c r="MZX190" s="3"/>
      <c r="MZY190" s="3"/>
      <c r="MZZ190" s="3"/>
      <c r="NAA190" s="3"/>
      <c r="NAB190" s="3"/>
      <c r="NAC190" s="3"/>
      <c r="NAD190" s="3"/>
      <c r="NAE190" s="3"/>
      <c r="NAF190" s="3"/>
      <c r="NAG190" s="3"/>
      <c r="NAH190" s="3"/>
      <c r="NAI190" s="3"/>
      <c r="NAJ190" s="3"/>
      <c r="NAK190" s="3"/>
      <c r="NAL190" s="3"/>
      <c r="NAM190" s="3"/>
      <c r="NAN190" s="3"/>
      <c r="NAO190" s="3"/>
      <c r="NAP190" s="3"/>
      <c r="NAQ190" s="3"/>
      <c r="NAR190" s="3"/>
      <c r="NAS190" s="3"/>
      <c r="NAT190" s="3"/>
      <c r="NAU190" s="3"/>
      <c r="NAV190" s="3"/>
      <c r="NAW190" s="3"/>
      <c r="NAX190" s="3"/>
      <c r="NAY190" s="3"/>
      <c r="NAZ190" s="3"/>
      <c r="NBA190" s="3"/>
      <c r="NBB190" s="3"/>
      <c r="NBC190" s="3"/>
      <c r="NBD190" s="3"/>
      <c r="NBE190" s="3"/>
      <c r="NBF190" s="3"/>
      <c r="NBG190" s="3"/>
      <c r="NBH190" s="3"/>
      <c r="NBI190" s="3"/>
      <c r="NBJ190" s="3"/>
      <c r="NBK190" s="3"/>
      <c r="NBL190" s="3"/>
      <c r="NBM190" s="3"/>
      <c r="NBN190" s="3"/>
      <c r="NBO190" s="3"/>
      <c r="NBP190" s="3"/>
      <c r="NBQ190" s="3"/>
      <c r="NBR190" s="3"/>
      <c r="NBS190" s="3"/>
      <c r="NBT190" s="3"/>
      <c r="NBU190" s="3"/>
      <c r="NBV190" s="3"/>
      <c r="NBW190" s="3"/>
      <c r="NBX190" s="3"/>
      <c r="NBY190" s="3"/>
      <c r="NBZ190" s="3"/>
      <c r="NCA190" s="3"/>
      <c r="NCB190" s="3"/>
      <c r="NCC190" s="3"/>
      <c r="NCD190" s="3"/>
      <c r="NCE190" s="3"/>
      <c r="NCF190" s="3"/>
      <c r="NCG190" s="3"/>
      <c r="NCH190" s="3"/>
      <c r="NCI190" s="3"/>
      <c r="NCJ190" s="3"/>
      <c r="NCK190" s="3"/>
      <c r="NCL190" s="3"/>
      <c r="NCM190" s="3"/>
      <c r="NCN190" s="3"/>
      <c r="NCO190" s="3"/>
      <c r="NCP190" s="3"/>
      <c r="NCQ190" s="3"/>
      <c r="NCR190" s="3"/>
      <c r="NCS190" s="3"/>
      <c r="NCT190" s="3"/>
      <c r="NCU190" s="3"/>
      <c r="NCV190" s="3"/>
      <c r="NCW190" s="3"/>
      <c r="NCX190" s="3"/>
      <c r="NCY190" s="3"/>
      <c r="NCZ190" s="3"/>
      <c r="NDA190" s="3"/>
      <c r="NDB190" s="3"/>
      <c r="NDC190" s="3"/>
      <c r="NDD190" s="3"/>
      <c r="NDE190" s="3"/>
      <c r="NDF190" s="3"/>
      <c r="NDG190" s="3"/>
      <c r="NDH190" s="3"/>
      <c r="NDI190" s="3"/>
      <c r="NDJ190" s="3"/>
      <c r="NDK190" s="3"/>
      <c r="NDL190" s="3"/>
      <c r="NDM190" s="3"/>
      <c r="NDN190" s="3"/>
      <c r="NDO190" s="3"/>
      <c r="NDP190" s="3"/>
      <c r="NDQ190" s="3"/>
      <c r="NDR190" s="3"/>
      <c r="NDS190" s="3"/>
      <c r="NDT190" s="3"/>
      <c r="NDU190" s="3"/>
      <c r="NDV190" s="3"/>
      <c r="NDW190" s="3"/>
      <c r="NDX190" s="3"/>
      <c r="NDY190" s="3"/>
      <c r="NDZ190" s="3"/>
      <c r="NEA190" s="3"/>
      <c r="NEB190" s="3"/>
      <c r="NEC190" s="3"/>
      <c r="NED190" s="3"/>
      <c r="NEE190" s="3"/>
      <c r="NEF190" s="3"/>
      <c r="NEG190" s="3"/>
      <c r="NEH190" s="3"/>
      <c r="NEI190" s="3"/>
      <c r="NEJ190" s="3"/>
      <c r="NEK190" s="3"/>
      <c r="NEL190" s="3"/>
      <c r="NEM190" s="3"/>
      <c r="NEN190" s="3"/>
      <c r="NEO190" s="3"/>
      <c r="NEP190" s="3"/>
      <c r="NEQ190" s="3"/>
      <c r="NER190" s="3"/>
      <c r="NES190" s="3"/>
      <c r="NET190" s="3"/>
      <c r="NEU190" s="3"/>
      <c r="NEV190" s="3"/>
      <c r="NEW190" s="3"/>
      <c r="NEX190" s="3"/>
      <c r="NEY190" s="3"/>
      <c r="NEZ190" s="3"/>
      <c r="NFA190" s="3"/>
      <c r="NFB190" s="3"/>
      <c r="NFC190" s="3"/>
      <c r="NFD190" s="3"/>
      <c r="NFE190" s="3"/>
      <c r="NFF190" s="3"/>
      <c r="NFG190" s="3"/>
      <c r="NFH190" s="3"/>
      <c r="NFI190" s="3"/>
      <c r="NFJ190" s="3"/>
      <c r="NFK190" s="3"/>
      <c r="NFL190" s="3"/>
      <c r="NFM190" s="3"/>
      <c r="NFN190" s="3"/>
      <c r="NFO190" s="3"/>
      <c r="NFP190" s="3"/>
      <c r="NFQ190" s="3"/>
      <c r="NFR190" s="3"/>
      <c r="NFS190" s="3"/>
      <c r="NFT190" s="3"/>
      <c r="NFU190" s="3"/>
      <c r="NFV190" s="3"/>
      <c r="NFW190" s="3"/>
      <c r="NFX190" s="3"/>
      <c r="NFY190" s="3"/>
      <c r="NFZ190" s="3"/>
      <c r="NGA190" s="3"/>
      <c r="NGB190" s="3"/>
      <c r="NGC190" s="3"/>
      <c r="NGD190" s="3"/>
      <c r="NGE190" s="3"/>
      <c r="NGF190" s="3"/>
      <c r="NGG190" s="3"/>
      <c r="NGH190" s="3"/>
      <c r="NGI190" s="3"/>
      <c r="NGJ190" s="3"/>
      <c r="NGK190" s="3"/>
      <c r="NGL190" s="3"/>
      <c r="NGM190" s="3"/>
      <c r="NGN190" s="3"/>
      <c r="NGO190" s="3"/>
      <c r="NGP190" s="3"/>
      <c r="NGQ190" s="3"/>
      <c r="NGR190" s="3"/>
      <c r="NGS190" s="3"/>
      <c r="NGT190" s="3"/>
      <c r="NGU190" s="3"/>
      <c r="NGV190" s="3"/>
      <c r="NGW190" s="3"/>
      <c r="NGX190" s="3"/>
      <c r="NGY190" s="3"/>
      <c r="NGZ190" s="3"/>
      <c r="NHA190" s="3"/>
      <c r="NHB190" s="3"/>
      <c r="NHC190" s="3"/>
      <c r="NHD190" s="3"/>
      <c r="NHE190" s="3"/>
      <c r="NHF190" s="3"/>
      <c r="NHG190" s="3"/>
      <c r="NHH190" s="3"/>
      <c r="NHI190" s="3"/>
      <c r="NHJ190" s="3"/>
      <c r="NHK190" s="3"/>
      <c r="NHL190" s="3"/>
      <c r="NHM190" s="3"/>
      <c r="NHN190" s="3"/>
      <c r="NHO190" s="3"/>
      <c r="NHP190" s="3"/>
      <c r="NHQ190" s="3"/>
      <c r="NHR190" s="3"/>
      <c r="NHS190" s="3"/>
      <c r="NHT190" s="3"/>
      <c r="NHU190" s="3"/>
      <c r="NHV190" s="3"/>
      <c r="NHW190" s="3"/>
      <c r="NHX190" s="3"/>
      <c r="NHY190" s="3"/>
      <c r="NHZ190" s="3"/>
      <c r="NIA190" s="3"/>
      <c r="NIB190" s="3"/>
      <c r="NIC190" s="3"/>
      <c r="NID190" s="3"/>
      <c r="NIE190" s="3"/>
      <c r="NIF190" s="3"/>
      <c r="NIG190" s="3"/>
      <c r="NIH190" s="3"/>
      <c r="NII190" s="3"/>
      <c r="NIJ190" s="3"/>
      <c r="NIK190" s="3"/>
      <c r="NIL190" s="3"/>
      <c r="NIM190" s="3"/>
      <c r="NIN190" s="3"/>
      <c r="NIO190" s="3"/>
      <c r="NIP190" s="3"/>
      <c r="NIQ190" s="3"/>
      <c r="NIR190" s="3"/>
      <c r="NIS190" s="3"/>
      <c r="NIT190" s="3"/>
      <c r="NIU190" s="3"/>
      <c r="NIV190" s="3"/>
      <c r="NIW190" s="3"/>
      <c r="NIX190" s="3"/>
      <c r="NIY190" s="3"/>
      <c r="NIZ190" s="3"/>
      <c r="NJA190" s="3"/>
      <c r="NJB190" s="3"/>
      <c r="NJC190" s="3"/>
      <c r="NJD190" s="3"/>
      <c r="NJE190" s="3"/>
      <c r="NJF190" s="3"/>
      <c r="NJG190" s="3"/>
      <c r="NJH190" s="3"/>
      <c r="NJI190" s="3"/>
      <c r="NJJ190" s="3"/>
      <c r="NJK190" s="3"/>
      <c r="NJL190" s="3"/>
      <c r="NJM190" s="3"/>
      <c r="NJN190" s="3"/>
      <c r="NJO190" s="3"/>
      <c r="NJP190" s="3"/>
      <c r="NJQ190" s="3"/>
      <c r="NJR190" s="3"/>
      <c r="NJS190" s="3"/>
      <c r="NJT190" s="3"/>
      <c r="NJU190" s="3"/>
      <c r="NJV190" s="3"/>
      <c r="NJW190" s="3"/>
      <c r="NJX190" s="3"/>
      <c r="NJY190" s="3"/>
      <c r="NJZ190" s="3"/>
      <c r="NKA190" s="3"/>
      <c r="NKB190" s="3"/>
      <c r="NKC190" s="3"/>
      <c r="NKD190" s="3"/>
      <c r="NKE190" s="3"/>
      <c r="NKF190" s="3"/>
      <c r="NKG190" s="3"/>
      <c r="NKH190" s="3"/>
      <c r="NKI190" s="3"/>
      <c r="NKJ190" s="3"/>
      <c r="NKK190" s="3"/>
      <c r="NKL190" s="3"/>
      <c r="NKM190" s="3"/>
      <c r="NKN190" s="3"/>
      <c r="NKO190" s="3"/>
      <c r="NKP190" s="3"/>
      <c r="NKQ190" s="3"/>
      <c r="NKR190" s="3"/>
      <c r="NKS190" s="3"/>
      <c r="NKT190" s="3"/>
      <c r="NKU190" s="3"/>
      <c r="NKV190" s="3"/>
      <c r="NKW190" s="3"/>
      <c r="NKX190" s="3"/>
      <c r="NKY190" s="3"/>
      <c r="NKZ190" s="3"/>
      <c r="NLA190" s="3"/>
      <c r="NLB190" s="3"/>
      <c r="NLC190" s="3"/>
      <c r="NLD190" s="3"/>
      <c r="NLE190" s="3"/>
      <c r="NLF190" s="3"/>
      <c r="NLG190" s="3"/>
      <c r="NLH190" s="3"/>
      <c r="NLI190" s="3"/>
      <c r="NLJ190" s="3"/>
      <c r="NLK190" s="3"/>
      <c r="NLL190" s="3"/>
      <c r="NLM190" s="3"/>
      <c r="NLN190" s="3"/>
      <c r="NLO190" s="3"/>
      <c r="NLP190" s="3"/>
      <c r="NLQ190" s="3"/>
      <c r="NLR190" s="3"/>
      <c r="NLS190" s="3"/>
      <c r="NLT190" s="3"/>
      <c r="NLU190" s="3"/>
      <c r="NLV190" s="3"/>
      <c r="NLW190" s="3"/>
      <c r="NLX190" s="3"/>
      <c r="NLY190" s="3"/>
      <c r="NLZ190" s="3"/>
      <c r="NMA190" s="3"/>
      <c r="NMB190" s="3"/>
      <c r="NMC190" s="3"/>
      <c r="NMD190" s="3"/>
      <c r="NME190" s="3"/>
      <c r="NMF190" s="3"/>
      <c r="NMG190" s="3"/>
      <c r="NMH190" s="3"/>
      <c r="NMI190" s="3"/>
      <c r="NMJ190" s="3"/>
      <c r="NMK190" s="3"/>
      <c r="NML190" s="3"/>
      <c r="NMM190" s="3"/>
      <c r="NMN190" s="3"/>
      <c r="NMO190" s="3"/>
      <c r="NMP190" s="3"/>
      <c r="NMQ190" s="3"/>
      <c r="NMR190" s="3"/>
      <c r="NMS190" s="3"/>
      <c r="NMT190" s="3"/>
      <c r="NMU190" s="3"/>
      <c r="NMV190" s="3"/>
      <c r="NMW190" s="3"/>
      <c r="NMX190" s="3"/>
      <c r="NMY190" s="3"/>
      <c r="NMZ190" s="3"/>
      <c r="NNA190" s="3"/>
      <c r="NNB190" s="3"/>
      <c r="NNC190" s="3"/>
      <c r="NND190" s="3"/>
      <c r="NNE190" s="3"/>
      <c r="NNF190" s="3"/>
      <c r="NNG190" s="3"/>
      <c r="NNH190" s="3"/>
      <c r="NNI190" s="3"/>
      <c r="NNJ190" s="3"/>
      <c r="NNK190" s="3"/>
      <c r="NNL190" s="3"/>
      <c r="NNM190" s="3"/>
      <c r="NNN190" s="3"/>
      <c r="NNO190" s="3"/>
      <c r="NNP190" s="3"/>
      <c r="NNQ190" s="3"/>
      <c r="NNR190" s="3"/>
      <c r="NNS190" s="3"/>
      <c r="NNT190" s="3"/>
      <c r="NNU190" s="3"/>
      <c r="NNV190" s="3"/>
      <c r="NNW190" s="3"/>
      <c r="NNX190" s="3"/>
      <c r="NNY190" s="3"/>
      <c r="NNZ190" s="3"/>
      <c r="NOA190" s="3"/>
      <c r="NOB190" s="3"/>
      <c r="NOC190" s="3"/>
      <c r="NOD190" s="3"/>
      <c r="NOE190" s="3"/>
      <c r="NOF190" s="3"/>
      <c r="NOG190" s="3"/>
      <c r="NOH190" s="3"/>
      <c r="NOI190" s="3"/>
      <c r="NOJ190" s="3"/>
      <c r="NOK190" s="3"/>
      <c r="NOL190" s="3"/>
      <c r="NOM190" s="3"/>
      <c r="NON190" s="3"/>
      <c r="NOO190" s="3"/>
      <c r="NOP190" s="3"/>
      <c r="NOQ190" s="3"/>
      <c r="NOR190" s="3"/>
      <c r="NOS190" s="3"/>
      <c r="NOT190" s="3"/>
      <c r="NOU190" s="3"/>
      <c r="NOV190" s="3"/>
      <c r="NOW190" s="3"/>
      <c r="NOX190" s="3"/>
      <c r="NOY190" s="3"/>
      <c r="NOZ190" s="3"/>
      <c r="NPA190" s="3"/>
      <c r="NPB190" s="3"/>
      <c r="NPC190" s="3"/>
      <c r="NPD190" s="3"/>
      <c r="NPE190" s="3"/>
      <c r="NPF190" s="3"/>
      <c r="NPG190" s="3"/>
      <c r="NPH190" s="3"/>
      <c r="NPI190" s="3"/>
      <c r="NPJ190" s="3"/>
      <c r="NPK190" s="3"/>
      <c r="NPL190" s="3"/>
      <c r="NPM190" s="3"/>
      <c r="NPN190" s="3"/>
      <c r="NPO190" s="3"/>
      <c r="NPP190" s="3"/>
      <c r="NPQ190" s="3"/>
      <c r="NPR190" s="3"/>
      <c r="NPS190" s="3"/>
      <c r="NPT190" s="3"/>
      <c r="NPU190" s="3"/>
      <c r="NPV190" s="3"/>
      <c r="NPW190" s="3"/>
      <c r="NPX190" s="3"/>
      <c r="NPY190" s="3"/>
      <c r="NPZ190" s="3"/>
      <c r="NQA190" s="3"/>
      <c r="NQB190" s="3"/>
      <c r="NQC190" s="3"/>
      <c r="NQD190" s="3"/>
      <c r="NQE190" s="3"/>
      <c r="NQF190" s="3"/>
      <c r="NQG190" s="3"/>
      <c r="NQH190" s="3"/>
      <c r="NQI190" s="3"/>
      <c r="NQJ190" s="3"/>
      <c r="NQK190" s="3"/>
      <c r="NQL190" s="3"/>
      <c r="NQM190" s="3"/>
      <c r="NQN190" s="3"/>
      <c r="NQO190" s="3"/>
      <c r="NQP190" s="3"/>
      <c r="NQQ190" s="3"/>
      <c r="NQR190" s="3"/>
      <c r="NQS190" s="3"/>
      <c r="NQT190" s="3"/>
      <c r="NQU190" s="3"/>
      <c r="NQV190" s="3"/>
      <c r="NQW190" s="3"/>
      <c r="NQX190" s="3"/>
      <c r="NQY190" s="3"/>
      <c r="NQZ190" s="3"/>
      <c r="NRA190" s="3"/>
      <c r="NRB190" s="3"/>
      <c r="NRC190" s="3"/>
      <c r="NRD190" s="3"/>
      <c r="NRE190" s="3"/>
      <c r="NRF190" s="3"/>
      <c r="NRG190" s="3"/>
      <c r="NRH190" s="3"/>
      <c r="NRI190" s="3"/>
      <c r="NRJ190" s="3"/>
      <c r="NRK190" s="3"/>
      <c r="NRL190" s="3"/>
      <c r="NRM190" s="3"/>
      <c r="NRN190" s="3"/>
      <c r="NRO190" s="3"/>
      <c r="NRP190" s="3"/>
      <c r="NRQ190" s="3"/>
      <c r="NRR190" s="3"/>
      <c r="NRS190" s="3"/>
      <c r="NRT190" s="3"/>
      <c r="NRU190" s="3"/>
      <c r="NRV190" s="3"/>
      <c r="NRW190" s="3"/>
      <c r="NRX190" s="3"/>
      <c r="NRY190" s="3"/>
      <c r="NRZ190" s="3"/>
      <c r="NSA190" s="3"/>
      <c r="NSB190" s="3"/>
      <c r="NSC190" s="3"/>
      <c r="NSD190" s="3"/>
      <c r="NSE190" s="3"/>
      <c r="NSF190" s="3"/>
      <c r="NSG190" s="3"/>
      <c r="NSH190" s="3"/>
      <c r="NSI190" s="3"/>
      <c r="NSJ190" s="3"/>
      <c r="NSK190" s="3"/>
      <c r="NSL190" s="3"/>
      <c r="NSM190" s="3"/>
      <c r="NSN190" s="3"/>
      <c r="NSO190" s="3"/>
      <c r="NSP190" s="3"/>
      <c r="NSQ190" s="3"/>
      <c r="NSR190" s="3"/>
      <c r="NSS190" s="3"/>
      <c r="NST190" s="3"/>
      <c r="NSU190" s="3"/>
      <c r="NSV190" s="3"/>
      <c r="NSW190" s="3"/>
      <c r="NSX190" s="3"/>
      <c r="NSY190" s="3"/>
      <c r="NSZ190" s="3"/>
      <c r="NTA190" s="3"/>
      <c r="NTB190" s="3"/>
      <c r="NTC190" s="3"/>
      <c r="NTD190" s="3"/>
      <c r="NTE190" s="3"/>
      <c r="NTF190" s="3"/>
      <c r="NTG190" s="3"/>
      <c r="NTH190" s="3"/>
      <c r="NTI190" s="3"/>
      <c r="NTJ190" s="3"/>
      <c r="NTK190" s="3"/>
      <c r="NTL190" s="3"/>
      <c r="NTM190" s="3"/>
      <c r="NTN190" s="3"/>
      <c r="NTO190" s="3"/>
      <c r="NTP190" s="3"/>
      <c r="NTQ190" s="3"/>
      <c r="NTR190" s="3"/>
      <c r="NTS190" s="3"/>
      <c r="NTT190" s="3"/>
      <c r="NTU190" s="3"/>
      <c r="NTV190" s="3"/>
      <c r="NTW190" s="3"/>
      <c r="NTX190" s="3"/>
      <c r="NTY190" s="3"/>
      <c r="NTZ190" s="3"/>
      <c r="NUA190" s="3"/>
      <c r="NUB190" s="3"/>
      <c r="NUC190" s="3"/>
      <c r="NUD190" s="3"/>
      <c r="NUE190" s="3"/>
      <c r="NUF190" s="3"/>
      <c r="NUG190" s="3"/>
      <c r="NUH190" s="3"/>
      <c r="NUI190" s="3"/>
      <c r="NUJ190" s="3"/>
      <c r="NUK190" s="3"/>
      <c r="NUL190" s="3"/>
      <c r="NUM190" s="3"/>
      <c r="NUN190" s="3"/>
      <c r="NUO190" s="3"/>
      <c r="NUP190" s="3"/>
      <c r="NUQ190" s="3"/>
      <c r="NUR190" s="3"/>
      <c r="NUS190" s="3"/>
      <c r="NUT190" s="3"/>
      <c r="NUU190" s="3"/>
      <c r="NUV190" s="3"/>
      <c r="NUW190" s="3"/>
      <c r="NUX190" s="3"/>
      <c r="NUY190" s="3"/>
      <c r="NUZ190" s="3"/>
      <c r="NVA190" s="3"/>
      <c r="NVB190" s="3"/>
      <c r="NVC190" s="3"/>
      <c r="NVD190" s="3"/>
      <c r="NVE190" s="3"/>
      <c r="NVF190" s="3"/>
      <c r="NVG190" s="3"/>
      <c r="NVH190" s="3"/>
      <c r="NVI190" s="3"/>
      <c r="NVJ190" s="3"/>
      <c r="NVK190" s="3"/>
      <c r="NVL190" s="3"/>
      <c r="NVM190" s="3"/>
      <c r="NVN190" s="3"/>
      <c r="NVO190" s="3"/>
      <c r="NVP190" s="3"/>
      <c r="NVQ190" s="3"/>
      <c r="NVR190" s="3"/>
      <c r="NVS190" s="3"/>
      <c r="NVT190" s="3"/>
      <c r="NVU190" s="3"/>
      <c r="NVV190" s="3"/>
      <c r="NVW190" s="3"/>
      <c r="NVX190" s="3"/>
      <c r="NVY190" s="3"/>
      <c r="NVZ190" s="3"/>
      <c r="NWA190" s="3"/>
      <c r="NWB190" s="3"/>
      <c r="NWC190" s="3"/>
      <c r="NWD190" s="3"/>
      <c r="NWE190" s="3"/>
      <c r="NWF190" s="3"/>
      <c r="NWG190" s="3"/>
      <c r="NWH190" s="3"/>
      <c r="NWI190" s="3"/>
      <c r="NWJ190" s="3"/>
      <c r="NWK190" s="3"/>
      <c r="NWL190" s="3"/>
      <c r="NWM190" s="3"/>
      <c r="NWN190" s="3"/>
      <c r="NWO190" s="3"/>
      <c r="NWP190" s="3"/>
      <c r="NWQ190" s="3"/>
      <c r="NWR190" s="3"/>
      <c r="NWS190" s="3"/>
      <c r="NWT190" s="3"/>
      <c r="NWU190" s="3"/>
      <c r="NWV190" s="3"/>
      <c r="NWW190" s="3"/>
      <c r="NWX190" s="3"/>
      <c r="NWY190" s="3"/>
      <c r="NWZ190" s="3"/>
      <c r="NXA190" s="3"/>
      <c r="NXB190" s="3"/>
      <c r="NXC190" s="3"/>
      <c r="NXD190" s="3"/>
      <c r="NXE190" s="3"/>
      <c r="NXF190" s="3"/>
      <c r="NXG190" s="3"/>
      <c r="NXH190" s="3"/>
      <c r="NXI190" s="3"/>
      <c r="NXJ190" s="3"/>
      <c r="NXK190" s="3"/>
      <c r="NXL190" s="3"/>
      <c r="NXM190" s="3"/>
      <c r="NXN190" s="3"/>
      <c r="NXO190" s="3"/>
      <c r="NXP190" s="3"/>
      <c r="NXQ190" s="3"/>
      <c r="NXR190" s="3"/>
      <c r="NXS190" s="3"/>
      <c r="NXT190" s="3"/>
      <c r="NXU190" s="3"/>
      <c r="NXV190" s="3"/>
      <c r="NXW190" s="3"/>
      <c r="NXX190" s="3"/>
      <c r="NXY190" s="3"/>
      <c r="NXZ190" s="3"/>
      <c r="NYA190" s="3"/>
      <c r="NYB190" s="3"/>
      <c r="NYC190" s="3"/>
      <c r="NYD190" s="3"/>
      <c r="NYE190" s="3"/>
      <c r="NYF190" s="3"/>
      <c r="NYG190" s="3"/>
      <c r="NYH190" s="3"/>
      <c r="NYI190" s="3"/>
      <c r="NYJ190" s="3"/>
      <c r="NYK190" s="3"/>
      <c r="NYL190" s="3"/>
      <c r="NYM190" s="3"/>
      <c r="NYN190" s="3"/>
      <c r="NYO190" s="3"/>
      <c r="NYP190" s="3"/>
      <c r="NYQ190" s="3"/>
      <c r="NYR190" s="3"/>
      <c r="NYS190" s="3"/>
      <c r="NYT190" s="3"/>
      <c r="NYU190" s="3"/>
      <c r="NYV190" s="3"/>
      <c r="NYW190" s="3"/>
      <c r="NYX190" s="3"/>
      <c r="NYY190" s="3"/>
      <c r="NYZ190" s="3"/>
      <c r="NZA190" s="3"/>
      <c r="NZB190" s="3"/>
      <c r="NZC190" s="3"/>
      <c r="NZD190" s="3"/>
      <c r="NZE190" s="3"/>
      <c r="NZF190" s="3"/>
      <c r="NZG190" s="3"/>
      <c r="NZH190" s="3"/>
      <c r="NZI190" s="3"/>
      <c r="NZJ190" s="3"/>
      <c r="NZK190" s="3"/>
      <c r="NZL190" s="3"/>
      <c r="NZM190" s="3"/>
      <c r="NZN190" s="3"/>
      <c r="NZO190" s="3"/>
      <c r="NZP190" s="3"/>
      <c r="NZQ190" s="3"/>
      <c r="NZR190" s="3"/>
      <c r="NZS190" s="3"/>
      <c r="NZT190" s="3"/>
      <c r="NZU190" s="3"/>
      <c r="NZV190" s="3"/>
      <c r="NZW190" s="3"/>
      <c r="NZX190" s="3"/>
      <c r="NZY190" s="3"/>
      <c r="NZZ190" s="3"/>
      <c r="OAA190" s="3"/>
      <c r="OAB190" s="3"/>
      <c r="OAC190" s="3"/>
      <c r="OAD190" s="3"/>
      <c r="OAE190" s="3"/>
      <c r="OAF190" s="3"/>
      <c r="OAG190" s="3"/>
      <c r="OAH190" s="3"/>
      <c r="OAI190" s="3"/>
      <c r="OAJ190" s="3"/>
      <c r="OAK190" s="3"/>
      <c r="OAL190" s="3"/>
      <c r="OAM190" s="3"/>
      <c r="OAN190" s="3"/>
      <c r="OAO190" s="3"/>
      <c r="OAP190" s="3"/>
      <c r="OAQ190" s="3"/>
      <c r="OAR190" s="3"/>
      <c r="OAS190" s="3"/>
      <c r="OAT190" s="3"/>
      <c r="OAU190" s="3"/>
      <c r="OAV190" s="3"/>
      <c r="OAW190" s="3"/>
      <c r="OAX190" s="3"/>
      <c r="OAY190" s="3"/>
      <c r="OAZ190" s="3"/>
      <c r="OBA190" s="3"/>
      <c r="OBB190" s="3"/>
      <c r="OBC190" s="3"/>
      <c r="OBD190" s="3"/>
      <c r="OBE190" s="3"/>
      <c r="OBF190" s="3"/>
      <c r="OBG190" s="3"/>
      <c r="OBH190" s="3"/>
      <c r="OBI190" s="3"/>
      <c r="OBJ190" s="3"/>
      <c r="OBK190" s="3"/>
      <c r="OBL190" s="3"/>
      <c r="OBM190" s="3"/>
      <c r="OBN190" s="3"/>
      <c r="OBO190" s="3"/>
      <c r="OBP190" s="3"/>
      <c r="OBQ190" s="3"/>
      <c r="OBR190" s="3"/>
      <c r="OBS190" s="3"/>
      <c r="OBT190" s="3"/>
      <c r="OBU190" s="3"/>
      <c r="OBV190" s="3"/>
      <c r="OBW190" s="3"/>
      <c r="OBX190" s="3"/>
      <c r="OBY190" s="3"/>
      <c r="OBZ190" s="3"/>
      <c r="OCA190" s="3"/>
      <c r="OCB190" s="3"/>
      <c r="OCC190" s="3"/>
      <c r="OCD190" s="3"/>
      <c r="OCE190" s="3"/>
      <c r="OCF190" s="3"/>
      <c r="OCG190" s="3"/>
      <c r="OCH190" s="3"/>
      <c r="OCI190" s="3"/>
      <c r="OCJ190" s="3"/>
      <c r="OCK190" s="3"/>
      <c r="OCL190" s="3"/>
      <c r="OCM190" s="3"/>
      <c r="OCN190" s="3"/>
      <c r="OCO190" s="3"/>
      <c r="OCP190" s="3"/>
      <c r="OCQ190" s="3"/>
      <c r="OCR190" s="3"/>
      <c r="OCS190" s="3"/>
      <c r="OCT190" s="3"/>
      <c r="OCU190" s="3"/>
      <c r="OCV190" s="3"/>
      <c r="OCW190" s="3"/>
      <c r="OCX190" s="3"/>
      <c r="OCY190" s="3"/>
      <c r="OCZ190" s="3"/>
      <c r="ODA190" s="3"/>
      <c r="ODB190" s="3"/>
      <c r="ODC190" s="3"/>
      <c r="ODD190" s="3"/>
      <c r="ODE190" s="3"/>
      <c r="ODF190" s="3"/>
      <c r="ODG190" s="3"/>
      <c r="ODH190" s="3"/>
      <c r="ODI190" s="3"/>
      <c r="ODJ190" s="3"/>
      <c r="ODK190" s="3"/>
      <c r="ODL190" s="3"/>
      <c r="ODM190" s="3"/>
      <c r="ODN190" s="3"/>
      <c r="ODO190" s="3"/>
      <c r="ODP190" s="3"/>
      <c r="ODQ190" s="3"/>
      <c r="ODR190" s="3"/>
      <c r="ODS190" s="3"/>
      <c r="ODT190" s="3"/>
      <c r="ODU190" s="3"/>
      <c r="ODV190" s="3"/>
      <c r="ODW190" s="3"/>
      <c r="ODX190" s="3"/>
      <c r="ODY190" s="3"/>
      <c r="ODZ190" s="3"/>
      <c r="OEA190" s="3"/>
      <c r="OEB190" s="3"/>
      <c r="OEC190" s="3"/>
      <c r="OED190" s="3"/>
      <c r="OEE190" s="3"/>
      <c r="OEF190" s="3"/>
      <c r="OEG190" s="3"/>
      <c r="OEH190" s="3"/>
      <c r="OEI190" s="3"/>
      <c r="OEJ190" s="3"/>
      <c r="OEK190" s="3"/>
      <c r="OEL190" s="3"/>
      <c r="OEM190" s="3"/>
      <c r="OEN190" s="3"/>
      <c r="OEO190" s="3"/>
      <c r="OEP190" s="3"/>
      <c r="OEQ190" s="3"/>
      <c r="OER190" s="3"/>
      <c r="OES190" s="3"/>
      <c r="OET190" s="3"/>
      <c r="OEU190" s="3"/>
      <c r="OEV190" s="3"/>
      <c r="OEW190" s="3"/>
      <c r="OEX190" s="3"/>
      <c r="OEY190" s="3"/>
      <c r="OEZ190" s="3"/>
      <c r="OFA190" s="3"/>
      <c r="OFB190" s="3"/>
      <c r="OFC190" s="3"/>
      <c r="OFD190" s="3"/>
      <c r="OFE190" s="3"/>
      <c r="OFF190" s="3"/>
      <c r="OFG190" s="3"/>
      <c r="OFH190" s="3"/>
      <c r="OFI190" s="3"/>
      <c r="OFJ190" s="3"/>
      <c r="OFK190" s="3"/>
      <c r="OFL190" s="3"/>
      <c r="OFM190" s="3"/>
      <c r="OFN190" s="3"/>
      <c r="OFO190" s="3"/>
      <c r="OFP190" s="3"/>
      <c r="OFQ190" s="3"/>
      <c r="OFR190" s="3"/>
      <c r="OFS190" s="3"/>
      <c r="OFT190" s="3"/>
      <c r="OFU190" s="3"/>
      <c r="OFV190" s="3"/>
      <c r="OFW190" s="3"/>
      <c r="OFX190" s="3"/>
      <c r="OFY190" s="3"/>
      <c r="OFZ190" s="3"/>
      <c r="OGA190" s="3"/>
      <c r="OGB190" s="3"/>
      <c r="OGC190" s="3"/>
      <c r="OGD190" s="3"/>
      <c r="OGE190" s="3"/>
      <c r="OGF190" s="3"/>
      <c r="OGG190" s="3"/>
      <c r="OGH190" s="3"/>
      <c r="OGI190" s="3"/>
      <c r="OGJ190" s="3"/>
      <c r="OGK190" s="3"/>
      <c r="OGL190" s="3"/>
      <c r="OGM190" s="3"/>
      <c r="OGN190" s="3"/>
      <c r="OGO190" s="3"/>
      <c r="OGP190" s="3"/>
      <c r="OGQ190" s="3"/>
      <c r="OGR190" s="3"/>
      <c r="OGS190" s="3"/>
      <c r="OGT190" s="3"/>
      <c r="OGU190" s="3"/>
      <c r="OGV190" s="3"/>
      <c r="OGW190" s="3"/>
      <c r="OGX190" s="3"/>
      <c r="OGY190" s="3"/>
      <c r="OGZ190" s="3"/>
      <c r="OHA190" s="3"/>
      <c r="OHB190" s="3"/>
      <c r="OHC190" s="3"/>
      <c r="OHD190" s="3"/>
      <c r="OHE190" s="3"/>
      <c r="OHF190" s="3"/>
      <c r="OHG190" s="3"/>
      <c r="OHH190" s="3"/>
      <c r="OHI190" s="3"/>
      <c r="OHJ190" s="3"/>
      <c r="OHK190" s="3"/>
      <c r="OHL190" s="3"/>
      <c r="OHM190" s="3"/>
      <c r="OHN190" s="3"/>
      <c r="OHO190" s="3"/>
      <c r="OHP190" s="3"/>
      <c r="OHQ190" s="3"/>
      <c r="OHR190" s="3"/>
      <c r="OHS190" s="3"/>
      <c r="OHT190" s="3"/>
      <c r="OHU190" s="3"/>
      <c r="OHV190" s="3"/>
      <c r="OHW190" s="3"/>
      <c r="OHX190" s="3"/>
      <c r="OHY190" s="3"/>
      <c r="OHZ190" s="3"/>
      <c r="OIA190" s="3"/>
      <c r="OIB190" s="3"/>
      <c r="OIC190" s="3"/>
      <c r="OID190" s="3"/>
      <c r="OIE190" s="3"/>
      <c r="OIF190" s="3"/>
      <c r="OIG190" s="3"/>
      <c r="OIH190" s="3"/>
      <c r="OII190" s="3"/>
      <c r="OIJ190" s="3"/>
      <c r="OIK190" s="3"/>
      <c r="OIL190" s="3"/>
      <c r="OIM190" s="3"/>
      <c r="OIN190" s="3"/>
      <c r="OIO190" s="3"/>
      <c r="OIP190" s="3"/>
      <c r="OIQ190" s="3"/>
      <c r="OIR190" s="3"/>
      <c r="OIS190" s="3"/>
      <c r="OIT190" s="3"/>
      <c r="OIU190" s="3"/>
      <c r="OIV190" s="3"/>
      <c r="OIW190" s="3"/>
      <c r="OIX190" s="3"/>
      <c r="OIY190" s="3"/>
      <c r="OIZ190" s="3"/>
      <c r="OJA190" s="3"/>
      <c r="OJB190" s="3"/>
      <c r="OJC190" s="3"/>
      <c r="OJD190" s="3"/>
      <c r="OJE190" s="3"/>
      <c r="OJF190" s="3"/>
      <c r="OJG190" s="3"/>
      <c r="OJH190" s="3"/>
      <c r="OJI190" s="3"/>
      <c r="OJJ190" s="3"/>
      <c r="OJK190" s="3"/>
      <c r="OJL190" s="3"/>
      <c r="OJM190" s="3"/>
      <c r="OJN190" s="3"/>
      <c r="OJO190" s="3"/>
      <c r="OJP190" s="3"/>
      <c r="OJQ190" s="3"/>
      <c r="OJR190" s="3"/>
      <c r="OJS190" s="3"/>
      <c r="OJT190" s="3"/>
      <c r="OJU190" s="3"/>
      <c r="OJV190" s="3"/>
      <c r="OJW190" s="3"/>
      <c r="OJX190" s="3"/>
      <c r="OJY190" s="3"/>
      <c r="OJZ190" s="3"/>
      <c r="OKA190" s="3"/>
      <c r="OKB190" s="3"/>
      <c r="OKC190" s="3"/>
      <c r="OKD190" s="3"/>
      <c r="OKE190" s="3"/>
      <c r="OKF190" s="3"/>
      <c r="OKG190" s="3"/>
      <c r="OKH190" s="3"/>
      <c r="OKI190" s="3"/>
      <c r="OKJ190" s="3"/>
      <c r="OKK190" s="3"/>
      <c r="OKL190" s="3"/>
      <c r="OKM190" s="3"/>
      <c r="OKN190" s="3"/>
      <c r="OKO190" s="3"/>
      <c r="OKP190" s="3"/>
      <c r="OKQ190" s="3"/>
      <c r="OKR190" s="3"/>
      <c r="OKS190" s="3"/>
      <c r="OKT190" s="3"/>
      <c r="OKU190" s="3"/>
      <c r="OKV190" s="3"/>
      <c r="OKW190" s="3"/>
      <c r="OKX190" s="3"/>
      <c r="OKY190" s="3"/>
      <c r="OKZ190" s="3"/>
      <c r="OLA190" s="3"/>
      <c r="OLB190" s="3"/>
      <c r="OLC190" s="3"/>
      <c r="OLD190" s="3"/>
      <c r="OLE190" s="3"/>
      <c r="OLF190" s="3"/>
      <c r="OLG190" s="3"/>
      <c r="OLH190" s="3"/>
      <c r="OLI190" s="3"/>
      <c r="OLJ190" s="3"/>
      <c r="OLK190" s="3"/>
      <c r="OLL190" s="3"/>
      <c r="OLM190" s="3"/>
      <c r="OLN190" s="3"/>
      <c r="OLO190" s="3"/>
      <c r="OLP190" s="3"/>
      <c r="OLQ190" s="3"/>
      <c r="OLR190" s="3"/>
      <c r="OLS190" s="3"/>
      <c r="OLT190" s="3"/>
      <c r="OLU190" s="3"/>
      <c r="OLV190" s="3"/>
      <c r="OLW190" s="3"/>
      <c r="OLX190" s="3"/>
      <c r="OLY190" s="3"/>
      <c r="OLZ190" s="3"/>
      <c r="OMA190" s="3"/>
      <c r="OMB190" s="3"/>
      <c r="OMC190" s="3"/>
      <c r="OMD190" s="3"/>
      <c r="OME190" s="3"/>
      <c r="OMF190" s="3"/>
      <c r="OMG190" s="3"/>
      <c r="OMH190" s="3"/>
      <c r="OMI190" s="3"/>
      <c r="OMJ190" s="3"/>
      <c r="OMK190" s="3"/>
      <c r="OML190" s="3"/>
      <c r="OMM190" s="3"/>
      <c r="OMN190" s="3"/>
      <c r="OMO190" s="3"/>
      <c r="OMP190" s="3"/>
      <c r="OMQ190" s="3"/>
      <c r="OMR190" s="3"/>
      <c r="OMS190" s="3"/>
      <c r="OMT190" s="3"/>
      <c r="OMU190" s="3"/>
      <c r="OMV190" s="3"/>
      <c r="OMW190" s="3"/>
      <c r="OMX190" s="3"/>
      <c r="OMY190" s="3"/>
      <c r="OMZ190" s="3"/>
      <c r="ONA190" s="3"/>
      <c r="ONB190" s="3"/>
      <c r="ONC190" s="3"/>
      <c r="OND190" s="3"/>
      <c r="ONE190" s="3"/>
      <c r="ONF190" s="3"/>
      <c r="ONG190" s="3"/>
      <c r="ONH190" s="3"/>
      <c r="ONI190" s="3"/>
      <c r="ONJ190" s="3"/>
      <c r="ONK190" s="3"/>
      <c r="ONL190" s="3"/>
      <c r="ONM190" s="3"/>
      <c r="ONN190" s="3"/>
      <c r="ONO190" s="3"/>
      <c r="ONP190" s="3"/>
      <c r="ONQ190" s="3"/>
      <c r="ONR190" s="3"/>
      <c r="ONS190" s="3"/>
      <c r="ONT190" s="3"/>
      <c r="ONU190" s="3"/>
      <c r="ONV190" s="3"/>
      <c r="ONW190" s="3"/>
      <c r="ONX190" s="3"/>
      <c r="ONY190" s="3"/>
      <c r="ONZ190" s="3"/>
      <c r="OOA190" s="3"/>
      <c r="OOB190" s="3"/>
      <c r="OOC190" s="3"/>
      <c r="OOD190" s="3"/>
      <c r="OOE190" s="3"/>
      <c r="OOF190" s="3"/>
      <c r="OOG190" s="3"/>
      <c r="OOH190" s="3"/>
      <c r="OOI190" s="3"/>
      <c r="OOJ190" s="3"/>
      <c r="OOK190" s="3"/>
      <c r="OOL190" s="3"/>
      <c r="OOM190" s="3"/>
      <c r="OON190" s="3"/>
      <c r="OOO190" s="3"/>
      <c r="OOP190" s="3"/>
      <c r="OOQ190" s="3"/>
      <c r="OOR190" s="3"/>
      <c r="OOS190" s="3"/>
      <c r="OOT190" s="3"/>
      <c r="OOU190" s="3"/>
      <c r="OOV190" s="3"/>
      <c r="OOW190" s="3"/>
      <c r="OOX190" s="3"/>
      <c r="OOY190" s="3"/>
      <c r="OOZ190" s="3"/>
      <c r="OPA190" s="3"/>
      <c r="OPB190" s="3"/>
      <c r="OPC190" s="3"/>
      <c r="OPD190" s="3"/>
      <c r="OPE190" s="3"/>
      <c r="OPF190" s="3"/>
      <c r="OPG190" s="3"/>
      <c r="OPH190" s="3"/>
      <c r="OPI190" s="3"/>
      <c r="OPJ190" s="3"/>
      <c r="OPK190" s="3"/>
      <c r="OPL190" s="3"/>
      <c r="OPM190" s="3"/>
      <c r="OPN190" s="3"/>
      <c r="OPO190" s="3"/>
      <c r="OPP190" s="3"/>
      <c r="OPQ190" s="3"/>
      <c r="OPR190" s="3"/>
      <c r="OPS190" s="3"/>
      <c r="OPT190" s="3"/>
      <c r="OPU190" s="3"/>
      <c r="OPV190" s="3"/>
      <c r="OPW190" s="3"/>
      <c r="OPX190" s="3"/>
      <c r="OPY190" s="3"/>
      <c r="OPZ190" s="3"/>
      <c r="OQA190" s="3"/>
      <c r="OQB190" s="3"/>
      <c r="OQC190" s="3"/>
      <c r="OQD190" s="3"/>
      <c r="OQE190" s="3"/>
      <c r="OQF190" s="3"/>
      <c r="OQG190" s="3"/>
      <c r="OQH190" s="3"/>
      <c r="OQI190" s="3"/>
      <c r="OQJ190" s="3"/>
      <c r="OQK190" s="3"/>
      <c r="OQL190" s="3"/>
      <c r="OQM190" s="3"/>
      <c r="OQN190" s="3"/>
      <c r="OQO190" s="3"/>
      <c r="OQP190" s="3"/>
      <c r="OQQ190" s="3"/>
      <c r="OQR190" s="3"/>
      <c r="OQS190" s="3"/>
      <c r="OQT190" s="3"/>
      <c r="OQU190" s="3"/>
      <c r="OQV190" s="3"/>
      <c r="OQW190" s="3"/>
      <c r="OQX190" s="3"/>
      <c r="OQY190" s="3"/>
      <c r="OQZ190" s="3"/>
      <c r="ORA190" s="3"/>
      <c r="ORB190" s="3"/>
      <c r="ORC190" s="3"/>
      <c r="ORD190" s="3"/>
      <c r="ORE190" s="3"/>
      <c r="ORF190" s="3"/>
      <c r="ORG190" s="3"/>
      <c r="ORH190" s="3"/>
      <c r="ORI190" s="3"/>
      <c r="ORJ190" s="3"/>
      <c r="ORK190" s="3"/>
      <c r="ORL190" s="3"/>
      <c r="ORM190" s="3"/>
      <c r="ORN190" s="3"/>
      <c r="ORO190" s="3"/>
      <c r="ORP190" s="3"/>
      <c r="ORQ190" s="3"/>
      <c r="ORR190" s="3"/>
      <c r="ORS190" s="3"/>
      <c r="ORT190" s="3"/>
      <c r="ORU190" s="3"/>
      <c r="ORV190" s="3"/>
      <c r="ORW190" s="3"/>
      <c r="ORX190" s="3"/>
      <c r="ORY190" s="3"/>
      <c r="ORZ190" s="3"/>
      <c r="OSA190" s="3"/>
      <c r="OSB190" s="3"/>
      <c r="OSC190" s="3"/>
      <c r="OSD190" s="3"/>
      <c r="OSE190" s="3"/>
      <c r="OSF190" s="3"/>
      <c r="OSG190" s="3"/>
      <c r="OSH190" s="3"/>
      <c r="OSI190" s="3"/>
      <c r="OSJ190" s="3"/>
      <c r="OSK190" s="3"/>
      <c r="OSL190" s="3"/>
      <c r="OSM190" s="3"/>
      <c r="OSN190" s="3"/>
      <c r="OSO190" s="3"/>
      <c r="OSP190" s="3"/>
      <c r="OSQ190" s="3"/>
      <c r="OSR190" s="3"/>
      <c r="OSS190" s="3"/>
      <c r="OST190" s="3"/>
      <c r="OSU190" s="3"/>
      <c r="OSV190" s="3"/>
      <c r="OSW190" s="3"/>
      <c r="OSX190" s="3"/>
      <c r="OSY190" s="3"/>
      <c r="OSZ190" s="3"/>
      <c r="OTA190" s="3"/>
      <c r="OTB190" s="3"/>
      <c r="OTC190" s="3"/>
      <c r="OTD190" s="3"/>
      <c r="OTE190" s="3"/>
      <c r="OTF190" s="3"/>
      <c r="OTG190" s="3"/>
      <c r="OTH190" s="3"/>
      <c r="OTI190" s="3"/>
      <c r="OTJ190" s="3"/>
      <c r="OTK190" s="3"/>
      <c r="OTL190" s="3"/>
      <c r="OTM190" s="3"/>
      <c r="OTN190" s="3"/>
      <c r="OTO190" s="3"/>
      <c r="OTP190" s="3"/>
      <c r="OTQ190" s="3"/>
      <c r="OTR190" s="3"/>
      <c r="OTS190" s="3"/>
      <c r="OTT190" s="3"/>
      <c r="OTU190" s="3"/>
      <c r="OTV190" s="3"/>
      <c r="OTW190" s="3"/>
      <c r="OTX190" s="3"/>
      <c r="OTY190" s="3"/>
      <c r="OTZ190" s="3"/>
      <c r="OUA190" s="3"/>
      <c r="OUB190" s="3"/>
      <c r="OUC190" s="3"/>
      <c r="OUD190" s="3"/>
      <c r="OUE190" s="3"/>
      <c r="OUF190" s="3"/>
      <c r="OUG190" s="3"/>
      <c r="OUH190" s="3"/>
      <c r="OUI190" s="3"/>
      <c r="OUJ190" s="3"/>
      <c r="OUK190" s="3"/>
      <c r="OUL190" s="3"/>
      <c r="OUM190" s="3"/>
      <c r="OUN190" s="3"/>
      <c r="OUO190" s="3"/>
      <c r="OUP190" s="3"/>
      <c r="OUQ190" s="3"/>
      <c r="OUR190" s="3"/>
      <c r="OUS190" s="3"/>
      <c r="OUT190" s="3"/>
      <c r="OUU190" s="3"/>
      <c r="OUV190" s="3"/>
      <c r="OUW190" s="3"/>
      <c r="OUX190" s="3"/>
      <c r="OUY190" s="3"/>
      <c r="OUZ190" s="3"/>
      <c r="OVA190" s="3"/>
      <c r="OVB190" s="3"/>
      <c r="OVC190" s="3"/>
      <c r="OVD190" s="3"/>
      <c r="OVE190" s="3"/>
      <c r="OVF190" s="3"/>
      <c r="OVG190" s="3"/>
      <c r="OVH190" s="3"/>
      <c r="OVI190" s="3"/>
      <c r="OVJ190" s="3"/>
      <c r="OVK190" s="3"/>
      <c r="OVL190" s="3"/>
      <c r="OVM190" s="3"/>
      <c r="OVN190" s="3"/>
      <c r="OVO190" s="3"/>
      <c r="OVP190" s="3"/>
      <c r="OVQ190" s="3"/>
      <c r="OVR190" s="3"/>
      <c r="OVS190" s="3"/>
      <c r="OVT190" s="3"/>
      <c r="OVU190" s="3"/>
      <c r="OVV190" s="3"/>
      <c r="OVW190" s="3"/>
      <c r="OVX190" s="3"/>
      <c r="OVY190" s="3"/>
      <c r="OVZ190" s="3"/>
      <c r="OWA190" s="3"/>
      <c r="OWB190" s="3"/>
      <c r="OWC190" s="3"/>
      <c r="OWD190" s="3"/>
      <c r="OWE190" s="3"/>
      <c r="OWF190" s="3"/>
      <c r="OWG190" s="3"/>
      <c r="OWH190" s="3"/>
      <c r="OWI190" s="3"/>
      <c r="OWJ190" s="3"/>
      <c r="OWK190" s="3"/>
      <c r="OWL190" s="3"/>
      <c r="OWM190" s="3"/>
      <c r="OWN190" s="3"/>
      <c r="OWO190" s="3"/>
      <c r="OWP190" s="3"/>
      <c r="OWQ190" s="3"/>
      <c r="OWR190" s="3"/>
      <c r="OWS190" s="3"/>
      <c r="OWT190" s="3"/>
      <c r="OWU190" s="3"/>
      <c r="OWV190" s="3"/>
      <c r="OWW190" s="3"/>
      <c r="OWX190" s="3"/>
      <c r="OWY190" s="3"/>
      <c r="OWZ190" s="3"/>
      <c r="OXA190" s="3"/>
      <c r="OXB190" s="3"/>
      <c r="OXC190" s="3"/>
      <c r="OXD190" s="3"/>
      <c r="OXE190" s="3"/>
      <c r="OXF190" s="3"/>
      <c r="OXG190" s="3"/>
      <c r="OXH190" s="3"/>
      <c r="OXI190" s="3"/>
      <c r="OXJ190" s="3"/>
      <c r="OXK190" s="3"/>
      <c r="OXL190" s="3"/>
      <c r="OXM190" s="3"/>
      <c r="OXN190" s="3"/>
      <c r="OXO190" s="3"/>
      <c r="OXP190" s="3"/>
      <c r="OXQ190" s="3"/>
      <c r="OXR190" s="3"/>
      <c r="OXS190" s="3"/>
      <c r="OXT190" s="3"/>
      <c r="OXU190" s="3"/>
      <c r="OXV190" s="3"/>
      <c r="OXW190" s="3"/>
      <c r="OXX190" s="3"/>
      <c r="OXY190" s="3"/>
      <c r="OXZ190" s="3"/>
      <c r="OYA190" s="3"/>
      <c r="OYB190" s="3"/>
      <c r="OYC190" s="3"/>
      <c r="OYD190" s="3"/>
      <c r="OYE190" s="3"/>
      <c r="OYF190" s="3"/>
      <c r="OYG190" s="3"/>
      <c r="OYH190" s="3"/>
      <c r="OYI190" s="3"/>
      <c r="OYJ190" s="3"/>
      <c r="OYK190" s="3"/>
      <c r="OYL190" s="3"/>
      <c r="OYM190" s="3"/>
      <c r="OYN190" s="3"/>
      <c r="OYO190" s="3"/>
      <c r="OYP190" s="3"/>
      <c r="OYQ190" s="3"/>
      <c r="OYR190" s="3"/>
      <c r="OYS190" s="3"/>
      <c r="OYT190" s="3"/>
      <c r="OYU190" s="3"/>
      <c r="OYV190" s="3"/>
      <c r="OYW190" s="3"/>
      <c r="OYX190" s="3"/>
      <c r="OYY190" s="3"/>
      <c r="OYZ190" s="3"/>
      <c r="OZA190" s="3"/>
      <c r="OZB190" s="3"/>
      <c r="OZC190" s="3"/>
      <c r="OZD190" s="3"/>
      <c r="OZE190" s="3"/>
      <c r="OZF190" s="3"/>
      <c r="OZG190" s="3"/>
      <c r="OZH190" s="3"/>
      <c r="OZI190" s="3"/>
      <c r="OZJ190" s="3"/>
      <c r="OZK190" s="3"/>
      <c r="OZL190" s="3"/>
      <c r="OZM190" s="3"/>
      <c r="OZN190" s="3"/>
      <c r="OZO190" s="3"/>
      <c r="OZP190" s="3"/>
      <c r="OZQ190" s="3"/>
      <c r="OZR190" s="3"/>
      <c r="OZS190" s="3"/>
      <c r="OZT190" s="3"/>
      <c r="OZU190" s="3"/>
      <c r="OZV190" s="3"/>
      <c r="OZW190" s="3"/>
      <c r="OZX190" s="3"/>
      <c r="OZY190" s="3"/>
      <c r="OZZ190" s="3"/>
      <c r="PAA190" s="3"/>
      <c r="PAB190" s="3"/>
      <c r="PAC190" s="3"/>
      <c r="PAD190" s="3"/>
      <c r="PAE190" s="3"/>
      <c r="PAF190" s="3"/>
      <c r="PAG190" s="3"/>
      <c r="PAH190" s="3"/>
      <c r="PAI190" s="3"/>
      <c r="PAJ190" s="3"/>
      <c r="PAK190" s="3"/>
      <c r="PAL190" s="3"/>
      <c r="PAM190" s="3"/>
      <c r="PAN190" s="3"/>
      <c r="PAO190" s="3"/>
      <c r="PAP190" s="3"/>
      <c r="PAQ190" s="3"/>
      <c r="PAR190" s="3"/>
      <c r="PAS190" s="3"/>
      <c r="PAT190" s="3"/>
      <c r="PAU190" s="3"/>
      <c r="PAV190" s="3"/>
      <c r="PAW190" s="3"/>
      <c r="PAX190" s="3"/>
      <c r="PAY190" s="3"/>
      <c r="PAZ190" s="3"/>
      <c r="PBA190" s="3"/>
      <c r="PBB190" s="3"/>
      <c r="PBC190" s="3"/>
      <c r="PBD190" s="3"/>
      <c r="PBE190" s="3"/>
      <c r="PBF190" s="3"/>
      <c r="PBG190" s="3"/>
      <c r="PBH190" s="3"/>
      <c r="PBI190" s="3"/>
      <c r="PBJ190" s="3"/>
      <c r="PBK190" s="3"/>
      <c r="PBL190" s="3"/>
      <c r="PBM190" s="3"/>
      <c r="PBN190" s="3"/>
      <c r="PBO190" s="3"/>
      <c r="PBP190" s="3"/>
      <c r="PBQ190" s="3"/>
      <c r="PBR190" s="3"/>
      <c r="PBS190" s="3"/>
      <c r="PBT190" s="3"/>
      <c r="PBU190" s="3"/>
      <c r="PBV190" s="3"/>
      <c r="PBW190" s="3"/>
      <c r="PBX190" s="3"/>
      <c r="PBY190" s="3"/>
      <c r="PBZ190" s="3"/>
      <c r="PCA190" s="3"/>
      <c r="PCB190" s="3"/>
      <c r="PCC190" s="3"/>
      <c r="PCD190" s="3"/>
      <c r="PCE190" s="3"/>
      <c r="PCF190" s="3"/>
      <c r="PCG190" s="3"/>
      <c r="PCH190" s="3"/>
      <c r="PCI190" s="3"/>
      <c r="PCJ190" s="3"/>
      <c r="PCK190" s="3"/>
      <c r="PCL190" s="3"/>
      <c r="PCM190" s="3"/>
      <c r="PCN190" s="3"/>
      <c r="PCO190" s="3"/>
      <c r="PCP190" s="3"/>
      <c r="PCQ190" s="3"/>
      <c r="PCR190" s="3"/>
      <c r="PCS190" s="3"/>
      <c r="PCT190" s="3"/>
      <c r="PCU190" s="3"/>
      <c r="PCV190" s="3"/>
      <c r="PCW190" s="3"/>
      <c r="PCX190" s="3"/>
      <c r="PCY190" s="3"/>
      <c r="PCZ190" s="3"/>
      <c r="PDA190" s="3"/>
      <c r="PDB190" s="3"/>
      <c r="PDC190" s="3"/>
      <c r="PDD190" s="3"/>
      <c r="PDE190" s="3"/>
      <c r="PDF190" s="3"/>
      <c r="PDG190" s="3"/>
      <c r="PDH190" s="3"/>
      <c r="PDI190" s="3"/>
      <c r="PDJ190" s="3"/>
      <c r="PDK190" s="3"/>
      <c r="PDL190" s="3"/>
      <c r="PDM190" s="3"/>
      <c r="PDN190" s="3"/>
      <c r="PDO190" s="3"/>
      <c r="PDP190" s="3"/>
      <c r="PDQ190" s="3"/>
      <c r="PDR190" s="3"/>
      <c r="PDS190" s="3"/>
      <c r="PDT190" s="3"/>
      <c r="PDU190" s="3"/>
      <c r="PDV190" s="3"/>
      <c r="PDW190" s="3"/>
      <c r="PDX190" s="3"/>
      <c r="PDY190" s="3"/>
      <c r="PDZ190" s="3"/>
      <c r="PEA190" s="3"/>
      <c r="PEB190" s="3"/>
      <c r="PEC190" s="3"/>
      <c r="PED190" s="3"/>
      <c r="PEE190" s="3"/>
      <c r="PEF190" s="3"/>
      <c r="PEG190" s="3"/>
      <c r="PEH190" s="3"/>
      <c r="PEI190" s="3"/>
      <c r="PEJ190" s="3"/>
      <c r="PEK190" s="3"/>
      <c r="PEL190" s="3"/>
      <c r="PEM190" s="3"/>
      <c r="PEN190" s="3"/>
      <c r="PEO190" s="3"/>
      <c r="PEP190" s="3"/>
      <c r="PEQ190" s="3"/>
      <c r="PER190" s="3"/>
      <c r="PES190" s="3"/>
      <c r="PET190" s="3"/>
      <c r="PEU190" s="3"/>
      <c r="PEV190" s="3"/>
      <c r="PEW190" s="3"/>
      <c r="PEX190" s="3"/>
      <c r="PEY190" s="3"/>
      <c r="PEZ190" s="3"/>
      <c r="PFA190" s="3"/>
      <c r="PFB190" s="3"/>
      <c r="PFC190" s="3"/>
      <c r="PFD190" s="3"/>
      <c r="PFE190" s="3"/>
      <c r="PFF190" s="3"/>
      <c r="PFG190" s="3"/>
      <c r="PFH190" s="3"/>
      <c r="PFI190" s="3"/>
      <c r="PFJ190" s="3"/>
      <c r="PFK190" s="3"/>
      <c r="PFL190" s="3"/>
      <c r="PFM190" s="3"/>
      <c r="PFN190" s="3"/>
      <c r="PFO190" s="3"/>
      <c r="PFP190" s="3"/>
      <c r="PFQ190" s="3"/>
      <c r="PFR190" s="3"/>
      <c r="PFS190" s="3"/>
      <c r="PFT190" s="3"/>
      <c r="PFU190" s="3"/>
      <c r="PFV190" s="3"/>
      <c r="PFW190" s="3"/>
      <c r="PFX190" s="3"/>
      <c r="PFY190" s="3"/>
      <c r="PFZ190" s="3"/>
      <c r="PGA190" s="3"/>
      <c r="PGB190" s="3"/>
      <c r="PGC190" s="3"/>
      <c r="PGD190" s="3"/>
      <c r="PGE190" s="3"/>
      <c r="PGF190" s="3"/>
      <c r="PGG190" s="3"/>
      <c r="PGH190" s="3"/>
      <c r="PGI190" s="3"/>
      <c r="PGJ190" s="3"/>
      <c r="PGK190" s="3"/>
      <c r="PGL190" s="3"/>
      <c r="PGM190" s="3"/>
      <c r="PGN190" s="3"/>
      <c r="PGO190" s="3"/>
      <c r="PGP190" s="3"/>
      <c r="PGQ190" s="3"/>
      <c r="PGR190" s="3"/>
      <c r="PGS190" s="3"/>
      <c r="PGT190" s="3"/>
      <c r="PGU190" s="3"/>
      <c r="PGV190" s="3"/>
      <c r="PGW190" s="3"/>
      <c r="PGX190" s="3"/>
      <c r="PGY190" s="3"/>
      <c r="PGZ190" s="3"/>
      <c r="PHA190" s="3"/>
      <c r="PHB190" s="3"/>
      <c r="PHC190" s="3"/>
      <c r="PHD190" s="3"/>
      <c r="PHE190" s="3"/>
      <c r="PHF190" s="3"/>
      <c r="PHG190" s="3"/>
      <c r="PHH190" s="3"/>
      <c r="PHI190" s="3"/>
      <c r="PHJ190" s="3"/>
      <c r="PHK190" s="3"/>
      <c r="PHL190" s="3"/>
      <c r="PHM190" s="3"/>
      <c r="PHN190" s="3"/>
      <c r="PHO190" s="3"/>
      <c r="PHP190" s="3"/>
      <c r="PHQ190" s="3"/>
      <c r="PHR190" s="3"/>
      <c r="PHS190" s="3"/>
      <c r="PHT190" s="3"/>
      <c r="PHU190" s="3"/>
      <c r="PHV190" s="3"/>
      <c r="PHW190" s="3"/>
      <c r="PHX190" s="3"/>
      <c r="PHY190" s="3"/>
      <c r="PHZ190" s="3"/>
      <c r="PIA190" s="3"/>
      <c r="PIB190" s="3"/>
      <c r="PIC190" s="3"/>
      <c r="PID190" s="3"/>
      <c r="PIE190" s="3"/>
      <c r="PIF190" s="3"/>
      <c r="PIG190" s="3"/>
      <c r="PIH190" s="3"/>
      <c r="PII190" s="3"/>
      <c r="PIJ190" s="3"/>
      <c r="PIK190" s="3"/>
      <c r="PIL190" s="3"/>
      <c r="PIM190" s="3"/>
      <c r="PIN190" s="3"/>
      <c r="PIO190" s="3"/>
      <c r="PIP190" s="3"/>
      <c r="PIQ190" s="3"/>
      <c r="PIR190" s="3"/>
      <c r="PIS190" s="3"/>
      <c r="PIT190" s="3"/>
      <c r="PIU190" s="3"/>
      <c r="PIV190" s="3"/>
      <c r="PIW190" s="3"/>
      <c r="PIX190" s="3"/>
      <c r="PIY190" s="3"/>
      <c r="PIZ190" s="3"/>
      <c r="PJA190" s="3"/>
      <c r="PJB190" s="3"/>
      <c r="PJC190" s="3"/>
      <c r="PJD190" s="3"/>
      <c r="PJE190" s="3"/>
      <c r="PJF190" s="3"/>
      <c r="PJG190" s="3"/>
      <c r="PJH190" s="3"/>
      <c r="PJI190" s="3"/>
      <c r="PJJ190" s="3"/>
      <c r="PJK190" s="3"/>
      <c r="PJL190" s="3"/>
      <c r="PJM190" s="3"/>
      <c r="PJN190" s="3"/>
      <c r="PJO190" s="3"/>
      <c r="PJP190" s="3"/>
      <c r="PJQ190" s="3"/>
      <c r="PJR190" s="3"/>
      <c r="PJS190" s="3"/>
      <c r="PJT190" s="3"/>
      <c r="PJU190" s="3"/>
      <c r="PJV190" s="3"/>
      <c r="PJW190" s="3"/>
      <c r="PJX190" s="3"/>
      <c r="PJY190" s="3"/>
      <c r="PJZ190" s="3"/>
      <c r="PKA190" s="3"/>
      <c r="PKB190" s="3"/>
      <c r="PKC190" s="3"/>
      <c r="PKD190" s="3"/>
      <c r="PKE190" s="3"/>
      <c r="PKF190" s="3"/>
      <c r="PKG190" s="3"/>
      <c r="PKH190" s="3"/>
      <c r="PKI190" s="3"/>
      <c r="PKJ190" s="3"/>
      <c r="PKK190" s="3"/>
      <c r="PKL190" s="3"/>
      <c r="PKM190" s="3"/>
      <c r="PKN190" s="3"/>
      <c r="PKO190" s="3"/>
      <c r="PKP190" s="3"/>
      <c r="PKQ190" s="3"/>
      <c r="PKR190" s="3"/>
      <c r="PKS190" s="3"/>
      <c r="PKT190" s="3"/>
      <c r="PKU190" s="3"/>
      <c r="PKV190" s="3"/>
      <c r="PKW190" s="3"/>
      <c r="PKX190" s="3"/>
      <c r="PKY190" s="3"/>
      <c r="PKZ190" s="3"/>
      <c r="PLA190" s="3"/>
      <c r="PLB190" s="3"/>
      <c r="PLC190" s="3"/>
      <c r="PLD190" s="3"/>
      <c r="PLE190" s="3"/>
      <c r="PLF190" s="3"/>
      <c r="PLG190" s="3"/>
      <c r="PLH190" s="3"/>
      <c r="PLI190" s="3"/>
      <c r="PLJ190" s="3"/>
      <c r="PLK190" s="3"/>
      <c r="PLL190" s="3"/>
      <c r="PLM190" s="3"/>
      <c r="PLN190" s="3"/>
      <c r="PLO190" s="3"/>
      <c r="PLP190" s="3"/>
      <c r="PLQ190" s="3"/>
      <c r="PLR190" s="3"/>
      <c r="PLS190" s="3"/>
      <c r="PLT190" s="3"/>
      <c r="PLU190" s="3"/>
      <c r="PLV190" s="3"/>
      <c r="PLW190" s="3"/>
      <c r="PLX190" s="3"/>
      <c r="PLY190" s="3"/>
      <c r="PLZ190" s="3"/>
      <c r="PMA190" s="3"/>
      <c r="PMB190" s="3"/>
      <c r="PMC190" s="3"/>
      <c r="PMD190" s="3"/>
      <c r="PME190" s="3"/>
      <c r="PMF190" s="3"/>
      <c r="PMG190" s="3"/>
      <c r="PMH190" s="3"/>
      <c r="PMI190" s="3"/>
      <c r="PMJ190" s="3"/>
      <c r="PMK190" s="3"/>
      <c r="PML190" s="3"/>
      <c r="PMM190" s="3"/>
      <c r="PMN190" s="3"/>
      <c r="PMO190" s="3"/>
      <c r="PMP190" s="3"/>
      <c r="PMQ190" s="3"/>
      <c r="PMR190" s="3"/>
      <c r="PMS190" s="3"/>
      <c r="PMT190" s="3"/>
      <c r="PMU190" s="3"/>
      <c r="PMV190" s="3"/>
      <c r="PMW190" s="3"/>
      <c r="PMX190" s="3"/>
      <c r="PMY190" s="3"/>
      <c r="PMZ190" s="3"/>
      <c r="PNA190" s="3"/>
      <c r="PNB190" s="3"/>
      <c r="PNC190" s="3"/>
      <c r="PND190" s="3"/>
      <c r="PNE190" s="3"/>
      <c r="PNF190" s="3"/>
      <c r="PNG190" s="3"/>
      <c r="PNH190" s="3"/>
      <c r="PNI190" s="3"/>
      <c r="PNJ190" s="3"/>
      <c r="PNK190" s="3"/>
      <c r="PNL190" s="3"/>
      <c r="PNM190" s="3"/>
      <c r="PNN190" s="3"/>
      <c r="PNO190" s="3"/>
      <c r="PNP190" s="3"/>
      <c r="PNQ190" s="3"/>
      <c r="PNR190" s="3"/>
      <c r="PNS190" s="3"/>
      <c r="PNT190" s="3"/>
      <c r="PNU190" s="3"/>
      <c r="PNV190" s="3"/>
      <c r="PNW190" s="3"/>
      <c r="PNX190" s="3"/>
      <c r="PNY190" s="3"/>
      <c r="PNZ190" s="3"/>
      <c r="POA190" s="3"/>
      <c r="POB190" s="3"/>
      <c r="POC190" s="3"/>
      <c r="POD190" s="3"/>
      <c r="POE190" s="3"/>
      <c r="POF190" s="3"/>
      <c r="POG190" s="3"/>
      <c r="POH190" s="3"/>
      <c r="POI190" s="3"/>
      <c r="POJ190" s="3"/>
      <c r="POK190" s="3"/>
      <c r="POL190" s="3"/>
      <c r="POM190" s="3"/>
      <c r="PON190" s="3"/>
      <c r="POO190" s="3"/>
      <c r="POP190" s="3"/>
      <c r="POQ190" s="3"/>
      <c r="POR190" s="3"/>
      <c r="POS190" s="3"/>
      <c r="POT190" s="3"/>
      <c r="POU190" s="3"/>
      <c r="POV190" s="3"/>
      <c r="POW190" s="3"/>
      <c r="POX190" s="3"/>
      <c r="POY190" s="3"/>
      <c r="POZ190" s="3"/>
      <c r="PPA190" s="3"/>
      <c r="PPB190" s="3"/>
      <c r="PPC190" s="3"/>
      <c r="PPD190" s="3"/>
      <c r="PPE190" s="3"/>
      <c r="PPF190" s="3"/>
      <c r="PPG190" s="3"/>
      <c r="PPH190" s="3"/>
      <c r="PPI190" s="3"/>
      <c r="PPJ190" s="3"/>
      <c r="PPK190" s="3"/>
      <c r="PPL190" s="3"/>
      <c r="PPM190" s="3"/>
      <c r="PPN190" s="3"/>
      <c r="PPO190" s="3"/>
      <c r="PPP190" s="3"/>
      <c r="PPQ190" s="3"/>
      <c r="PPR190" s="3"/>
      <c r="PPS190" s="3"/>
      <c r="PPT190" s="3"/>
      <c r="PPU190" s="3"/>
      <c r="PPV190" s="3"/>
      <c r="PPW190" s="3"/>
      <c r="PPX190" s="3"/>
      <c r="PPY190" s="3"/>
      <c r="PPZ190" s="3"/>
      <c r="PQA190" s="3"/>
      <c r="PQB190" s="3"/>
      <c r="PQC190" s="3"/>
      <c r="PQD190" s="3"/>
      <c r="PQE190" s="3"/>
      <c r="PQF190" s="3"/>
      <c r="PQG190" s="3"/>
      <c r="PQH190" s="3"/>
      <c r="PQI190" s="3"/>
      <c r="PQJ190" s="3"/>
      <c r="PQK190" s="3"/>
      <c r="PQL190" s="3"/>
      <c r="PQM190" s="3"/>
      <c r="PQN190" s="3"/>
      <c r="PQO190" s="3"/>
      <c r="PQP190" s="3"/>
      <c r="PQQ190" s="3"/>
      <c r="PQR190" s="3"/>
      <c r="PQS190" s="3"/>
      <c r="PQT190" s="3"/>
      <c r="PQU190" s="3"/>
      <c r="PQV190" s="3"/>
      <c r="PQW190" s="3"/>
      <c r="PQX190" s="3"/>
      <c r="PQY190" s="3"/>
      <c r="PQZ190" s="3"/>
      <c r="PRA190" s="3"/>
      <c r="PRB190" s="3"/>
      <c r="PRC190" s="3"/>
      <c r="PRD190" s="3"/>
      <c r="PRE190" s="3"/>
      <c r="PRF190" s="3"/>
      <c r="PRG190" s="3"/>
      <c r="PRH190" s="3"/>
      <c r="PRI190" s="3"/>
      <c r="PRJ190" s="3"/>
      <c r="PRK190" s="3"/>
      <c r="PRL190" s="3"/>
      <c r="PRM190" s="3"/>
      <c r="PRN190" s="3"/>
      <c r="PRO190" s="3"/>
      <c r="PRP190" s="3"/>
      <c r="PRQ190" s="3"/>
      <c r="PRR190" s="3"/>
      <c r="PRS190" s="3"/>
      <c r="PRT190" s="3"/>
      <c r="PRU190" s="3"/>
      <c r="PRV190" s="3"/>
      <c r="PRW190" s="3"/>
      <c r="PRX190" s="3"/>
      <c r="PRY190" s="3"/>
      <c r="PRZ190" s="3"/>
      <c r="PSA190" s="3"/>
      <c r="PSB190" s="3"/>
      <c r="PSC190" s="3"/>
      <c r="PSD190" s="3"/>
      <c r="PSE190" s="3"/>
      <c r="PSF190" s="3"/>
      <c r="PSG190" s="3"/>
      <c r="PSH190" s="3"/>
      <c r="PSI190" s="3"/>
      <c r="PSJ190" s="3"/>
      <c r="PSK190" s="3"/>
      <c r="PSL190" s="3"/>
      <c r="PSM190" s="3"/>
      <c r="PSN190" s="3"/>
      <c r="PSO190" s="3"/>
      <c r="PSP190" s="3"/>
      <c r="PSQ190" s="3"/>
      <c r="PSR190" s="3"/>
      <c r="PSS190" s="3"/>
      <c r="PST190" s="3"/>
      <c r="PSU190" s="3"/>
      <c r="PSV190" s="3"/>
      <c r="PSW190" s="3"/>
      <c r="PSX190" s="3"/>
      <c r="PSY190" s="3"/>
      <c r="PSZ190" s="3"/>
      <c r="PTA190" s="3"/>
      <c r="PTB190" s="3"/>
      <c r="PTC190" s="3"/>
      <c r="PTD190" s="3"/>
      <c r="PTE190" s="3"/>
      <c r="PTF190" s="3"/>
      <c r="PTG190" s="3"/>
      <c r="PTH190" s="3"/>
      <c r="PTI190" s="3"/>
      <c r="PTJ190" s="3"/>
      <c r="PTK190" s="3"/>
      <c r="PTL190" s="3"/>
      <c r="PTM190" s="3"/>
      <c r="PTN190" s="3"/>
      <c r="PTO190" s="3"/>
      <c r="PTP190" s="3"/>
      <c r="PTQ190" s="3"/>
      <c r="PTR190" s="3"/>
      <c r="PTS190" s="3"/>
      <c r="PTT190" s="3"/>
      <c r="PTU190" s="3"/>
      <c r="PTV190" s="3"/>
      <c r="PTW190" s="3"/>
      <c r="PTX190" s="3"/>
      <c r="PTY190" s="3"/>
      <c r="PTZ190" s="3"/>
      <c r="PUA190" s="3"/>
      <c r="PUB190" s="3"/>
      <c r="PUC190" s="3"/>
      <c r="PUD190" s="3"/>
      <c r="PUE190" s="3"/>
      <c r="PUF190" s="3"/>
      <c r="PUG190" s="3"/>
      <c r="PUH190" s="3"/>
      <c r="PUI190" s="3"/>
      <c r="PUJ190" s="3"/>
      <c r="PUK190" s="3"/>
      <c r="PUL190" s="3"/>
      <c r="PUM190" s="3"/>
      <c r="PUN190" s="3"/>
      <c r="PUO190" s="3"/>
      <c r="PUP190" s="3"/>
      <c r="PUQ190" s="3"/>
      <c r="PUR190" s="3"/>
      <c r="PUS190" s="3"/>
      <c r="PUT190" s="3"/>
      <c r="PUU190" s="3"/>
      <c r="PUV190" s="3"/>
      <c r="PUW190" s="3"/>
      <c r="PUX190" s="3"/>
      <c r="PUY190" s="3"/>
      <c r="PUZ190" s="3"/>
      <c r="PVA190" s="3"/>
      <c r="PVB190" s="3"/>
      <c r="PVC190" s="3"/>
      <c r="PVD190" s="3"/>
      <c r="PVE190" s="3"/>
      <c r="PVF190" s="3"/>
      <c r="PVG190" s="3"/>
      <c r="PVH190" s="3"/>
      <c r="PVI190" s="3"/>
      <c r="PVJ190" s="3"/>
      <c r="PVK190" s="3"/>
      <c r="PVL190" s="3"/>
      <c r="PVM190" s="3"/>
      <c r="PVN190" s="3"/>
      <c r="PVO190" s="3"/>
      <c r="PVP190" s="3"/>
      <c r="PVQ190" s="3"/>
      <c r="PVR190" s="3"/>
      <c r="PVS190" s="3"/>
      <c r="PVT190" s="3"/>
      <c r="PVU190" s="3"/>
      <c r="PVV190" s="3"/>
      <c r="PVW190" s="3"/>
      <c r="PVX190" s="3"/>
      <c r="PVY190" s="3"/>
      <c r="PVZ190" s="3"/>
      <c r="PWA190" s="3"/>
      <c r="PWB190" s="3"/>
      <c r="PWC190" s="3"/>
      <c r="PWD190" s="3"/>
      <c r="PWE190" s="3"/>
      <c r="PWF190" s="3"/>
      <c r="PWG190" s="3"/>
      <c r="PWH190" s="3"/>
      <c r="PWI190" s="3"/>
      <c r="PWJ190" s="3"/>
      <c r="PWK190" s="3"/>
      <c r="PWL190" s="3"/>
      <c r="PWM190" s="3"/>
      <c r="PWN190" s="3"/>
      <c r="PWO190" s="3"/>
      <c r="PWP190" s="3"/>
      <c r="PWQ190" s="3"/>
      <c r="PWR190" s="3"/>
      <c r="PWS190" s="3"/>
      <c r="PWT190" s="3"/>
      <c r="PWU190" s="3"/>
      <c r="PWV190" s="3"/>
      <c r="PWW190" s="3"/>
      <c r="PWX190" s="3"/>
      <c r="PWY190" s="3"/>
      <c r="PWZ190" s="3"/>
      <c r="PXA190" s="3"/>
      <c r="PXB190" s="3"/>
      <c r="PXC190" s="3"/>
      <c r="PXD190" s="3"/>
      <c r="PXE190" s="3"/>
      <c r="PXF190" s="3"/>
      <c r="PXG190" s="3"/>
      <c r="PXH190" s="3"/>
      <c r="PXI190" s="3"/>
      <c r="PXJ190" s="3"/>
      <c r="PXK190" s="3"/>
      <c r="PXL190" s="3"/>
      <c r="PXM190" s="3"/>
      <c r="PXN190" s="3"/>
      <c r="PXO190" s="3"/>
      <c r="PXP190" s="3"/>
      <c r="PXQ190" s="3"/>
      <c r="PXR190" s="3"/>
      <c r="PXS190" s="3"/>
      <c r="PXT190" s="3"/>
      <c r="PXU190" s="3"/>
      <c r="PXV190" s="3"/>
      <c r="PXW190" s="3"/>
      <c r="PXX190" s="3"/>
      <c r="PXY190" s="3"/>
      <c r="PXZ190" s="3"/>
      <c r="PYA190" s="3"/>
      <c r="PYB190" s="3"/>
      <c r="PYC190" s="3"/>
      <c r="PYD190" s="3"/>
      <c r="PYE190" s="3"/>
      <c r="PYF190" s="3"/>
      <c r="PYG190" s="3"/>
      <c r="PYH190" s="3"/>
      <c r="PYI190" s="3"/>
      <c r="PYJ190" s="3"/>
      <c r="PYK190" s="3"/>
      <c r="PYL190" s="3"/>
      <c r="PYM190" s="3"/>
      <c r="PYN190" s="3"/>
      <c r="PYO190" s="3"/>
      <c r="PYP190" s="3"/>
      <c r="PYQ190" s="3"/>
      <c r="PYR190" s="3"/>
      <c r="PYS190" s="3"/>
      <c r="PYT190" s="3"/>
      <c r="PYU190" s="3"/>
      <c r="PYV190" s="3"/>
      <c r="PYW190" s="3"/>
      <c r="PYX190" s="3"/>
      <c r="PYY190" s="3"/>
      <c r="PYZ190" s="3"/>
      <c r="PZA190" s="3"/>
      <c r="PZB190" s="3"/>
      <c r="PZC190" s="3"/>
      <c r="PZD190" s="3"/>
      <c r="PZE190" s="3"/>
      <c r="PZF190" s="3"/>
      <c r="PZG190" s="3"/>
      <c r="PZH190" s="3"/>
      <c r="PZI190" s="3"/>
      <c r="PZJ190" s="3"/>
      <c r="PZK190" s="3"/>
      <c r="PZL190" s="3"/>
      <c r="PZM190" s="3"/>
      <c r="PZN190" s="3"/>
      <c r="PZO190" s="3"/>
      <c r="PZP190" s="3"/>
      <c r="PZQ190" s="3"/>
      <c r="PZR190" s="3"/>
      <c r="PZS190" s="3"/>
      <c r="PZT190" s="3"/>
      <c r="PZU190" s="3"/>
      <c r="PZV190" s="3"/>
      <c r="PZW190" s="3"/>
      <c r="PZX190" s="3"/>
      <c r="PZY190" s="3"/>
      <c r="PZZ190" s="3"/>
      <c r="QAA190" s="3"/>
      <c r="QAB190" s="3"/>
      <c r="QAC190" s="3"/>
      <c r="QAD190" s="3"/>
      <c r="QAE190" s="3"/>
      <c r="QAF190" s="3"/>
      <c r="QAG190" s="3"/>
      <c r="QAH190" s="3"/>
      <c r="QAI190" s="3"/>
      <c r="QAJ190" s="3"/>
      <c r="QAK190" s="3"/>
      <c r="QAL190" s="3"/>
      <c r="QAM190" s="3"/>
      <c r="QAN190" s="3"/>
      <c r="QAO190" s="3"/>
      <c r="QAP190" s="3"/>
      <c r="QAQ190" s="3"/>
      <c r="QAR190" s="3"/>
      <c r="QAS190" s="3"/>
      <c r="QAT190" s="3"/>
      <c r="QAU190" s="3"/>
      <c r="QAV190" s="3"/>
      <c r="QAW190" s="3"/>
      <c r="QAX190" s="3"/>
      <c r="QAY190" s="3"/>
      <c r="QAZ190" s="3"/>
      <c r="QBA190" s="3"/>
      <c r="QBB190" s="3"/>
      <c r="QBC190" s="3"/>
      <c r="QBD190" s="3"/>
      <c r="QBE190" s="3"/>
      <c r="QBF190" s="3"/>
      <c r="QBG190" s="3"/>
      <c r="QBH190" s="3"/>
      <c r="QBI190" s="3"/>
      <c r="QBJ190" s="3"/>
      <c r="QBK190" s="3"/>
      <c r="QBL190" s="3"/>
      <c r="QBM190" s="3"/>
      <c r="QBN190" s="3"/>
      <c r="QBO190" s="3"/>
      <c r="QBP190" s="3"/>
      <c r="QBQ190" s="3"/>
      <c r="QBR190" s="3"/>
      <c r="QBS190" s="3"/>
      <c r="QBT190" s="3"/>
      <c r="QBU190" s="3"/>
      <c r="QBV190" s="3"/>
      <c r="QBW190" s="3"/>
      <c r="QBX190" s="3"/>
      <c r="QBY190" s="3"/>
      <c r="QBZ190" s="3"/>
      <c r="QCA190" s="3"/>
      <c r="QCB190" s="3"/>
      <c r="QCC190" s="3"/>
      <c r="QCD190" s="3"/>
      <c r="QCE190" s="3"/>
      <c r="QCF190" s="3"/>
      <c r="QCG190" s="3"/>
      <c r="QCH190" s="3"/>
      <c r="QCI190" s="3"/>
      <c r="QCJ190" s="3"/>
      <c r="QCK190" s="3"/>
      <c r="QCL190" s="3"/>
      <c r="QCM190" s="3"/>
      <c r="QCN190" s="3"/>
      <c r="QCO190" s="3"/>
      <c r="QCP190" s="3"/>
      <c r="QCQ190" s="3"/>
      <c r="QCR190" s="3"/>
      <c r="QCS190" s="3"/>
      <c r="QCT190" s="3"/>
      <c r="QCU190" s="3"/>
      <c r="QCV190" s="3"/>
      <c r="QCW190" s="3"/>
      <c r="QCX190" s="3"/>
      <c r="QCY190" s="3"/>
      <c r="QCZ190" s="3"/>
      <c r="QDA190" s="3"/>
      <c r="QDB190" s="3"/>
      <c r="QDC190" s="3"/>
      <c r="QDD190" s="3"/>
      <c r="QDE190" s="3"/>
      <c r="QDF190" s="3"/>
      <c r="QDG190" s="3"/>
      <c r="QDH190" s="3"/>
      <c r="QDI190" s="3"/>
      <c r="QDJ190" s="3"/>
      <c r="QDK190" s="3"/>
      <c r="QDL190" s="3"/>
      <c r="QDM190" s="3"/>
      <c r="QDN190" s="3"/>
      <c r="QDO190" s="3"/>
      <c r="QDP190" s="3"/>
      <c r="QDQ190" s="3"/>
      <c r="QDR190" s="3"/>
      <c r="QDS190" s="3"/>
      <c r="QDT190" s="3"/>
      <c r="QDU190" s="3"/>
      <c r="QDV190" s="3"/>
      <c r="QDW190" s="3"/>
      <c r="QDX190" s="3"/>
      <c r="QDY190" s="3"/>
      <c r="QDZ190" s="3"/>
      <c r="QEA190" s="3"/>
      <c r="QEB190" s="3"/>
      <c r="QEC190" s="3"/>
      <c r="QED190" s="3"/>
      <c r="QEE190" s="3"/>
      <c r="QEF190" s="3"/>
      <c r="QEG190" s="3"/>
      <c r="QEH190" s="3"/>
      <c r="QEI190" s="3"/>
      <c r="QEJ190" s="3"/>
      <c r="QEK190" s="3"/>
      <c r="QEL190" s="3"/>
      <c r="QEM190" s="3"/>
      <c r="QEN190" s="3"/>
      <c r="QEO190" s="3"/>
      <c r="QEP190" s="3"/>
      <c r="QEQ190" s="3"/>
      <c r="QER190" s="3"/>
      <c r="QES190" s="3"/>
      <c r="QET190" s="3"/>
      <c r="QEU190" s="3"/>
      <c r="QEV190" s="3"/>
      <c r="QEW190" s="3"/>
      <c r="QEX190" s="3"/>
      <c r="QEY190" s="3"/>
      <c r="QEZ190" s="3"/>
      <c r="QFA190" s="3"/>
      <c r="QFB190" s="3"/>
      <c r="QFC190" s="3"/>
      <c r="QFD190" s="3"/>
      <c r="QFE190" s="3"/>
      <c r="QFF190" s="3"/>
      <c r="QFG190" s="3"/>
      <c r="QFH190" s="3"/>
      <c r="QFI190" s="3"/>
      <c r="QFJ190" s="3"/>
      <c r="QFK190" s="3"/>
      <c r="QFL190" s="3"/>
      <c r="QFM190" s="3"/>
      <c r="QFN190" s="3"/>
      <c r="QFO190" s="3"/>
      <c r="QFP190" s="3"/>
      <c r="QFQ190" s="3"/>
      <c r="QFR190" s="3"/>
      <c r="QFS190" s="3"/>
      <c r="QFT190" s="3"/>
      <c r="QFU190" s="3"/>
      <c r="QFV190" s="3"/>
      <c r="QFW190" s="3"/>
      <c r="QFX190" s="3"/>
      <c r="QFY190" s="3"/>
      <c r="QFZ190" s="3"/>
      <c r="QGA190" s="3"/>
      <c r="QGB190" s="3"/>
      <c r="QGC190" s="3"/>
      <c r="QGD190" s="3"/>
      <c r="QGE190" s="3"/>
      <c r="QGF190" s="3"/>
      <c r="QGG190" s="3"/>
      <c r="QGH190" s="3"/>
      <c r="QGI190" s="3"/>
      <c r="QGJ190" s="3"/>
      <c r="QGK190" s="3"/>
      <c r="QGL190" s="3"/>
      <c r="QGM190" s="3"/>
      <c r="QGN190" s="3"/>
      <c r="QGO190" s="3"/>
      <c r="QGP190" s="3"/>
      <c r="QGQ190" s="3"/>
      <c r="QGR190" s="3"/>
      <c r="QGS190" s="3"/>
      <c r="QGT190" s="3"/>
      <c r="QGU190" s="3"/>
      <c r="QGV190" s="3"/>
      <c r="QGW190" s="3"/>
      <c r="QGX190" s="3"/>
      <c r="QGY190" s="3"/>
      <c r="QGZ190" s="3"/>
      <c r="QHA190" s="3"/>
      <c r="QHB190" s="3"/>
      <c r="QHC190" s="3"/>
      <c r="QHD190" s="3"/>
      <c r="QHE190" s="3"/>
      <c r="QHF190" s="3"/>
      <c r="QHG190" s="3"/>
      <c r="QHH190" s="3"/>
      <c r="QHI190" s="3"/>
      <c r="QHJ190" s="3"/>
      <c r="QHK190" s="3"/>
      <c r="QHL190" s="3"/>
      <c r="QHM190" s="3"/>
      <c r="QHN190" s="3"/>
      <c r="QHO190" s="3"/>
      <c r="QHP190" s="3"/>
      <c r="QHQ190" s="3"/>
      <c r="QHR190" s="3"/>
      <c r="QHS190" s="3"/>
      <c r="QHT190" s="3"/>
      <c r="QHU190" s="3"/>
      <c r="QHV190" s="3"/>
      <c r="QHW190" s="3"/>
      <c r="QHX190" s="3"/>
      <c r="QHY190" s="3"/>
      <c r="QHZ190" s="3"/>
      <c r="QIA190" s="3"/>
      <c r="QIB190" s="3"/>
      <c r="QIC190" s="3"/>
      <c r="QID190" s="3"/>
      <c r="QIE190" s="3"/>
      <c r="QIF190" s="3"/>
      <c r="QIG190" s="3"/>
      <c r="QIH190" s="3"/>
      <c r="QII190" s="3"/>
      <c r="QIJ190" s="3"/>
      <c r="QIK190" s="3"/>
      <c r="QIL190" s="3"/>
      <c r="QIM190" s="3"/>
      <c r="QIN190" s="3"/>
      <c r="QIO190" s="3"/>
      <c r="QIP190" s="3"/>
      <c r="QIQ190" s="3"/>
      <c r="QIR190" s="3"/>
      <c r="QIS190" s="3"/>
      <c r="QIT190" s="3"/>
      <c r="QIU190" s="3"/>
      <c r="QIV190" s="3"/>
      <c r="QIW190" s="3"/>
      <c r="QIX190" s="3"/>
      <c r="QIY190" s="3"/>
      <c r="QIZ190" s="3"/>
      <c r="QJA190" s="3"/>
      <c r="QJB190" s="3"/>
      <c r="QJC190" s="3"/>
      <c r="QJD190" s="3"/>
      <c r="QJE190" s="3"/>
      <c r="QJF190" s="3"/>
      <c r="QJG190" s="3"/>
      <c r="QJH190" s="3"/>
      <c r="QJI190" s="3"/>
      <c r="QJJ190" s="3"/>
      <c r="QJK190" s="3"/>
      <c r="QJL190" s="3"/>
      <c r="QJM190" s="3"/>
      <c r="QJN190" s="3"/>
      <c r="QJO190" s="3"/>
      <c r="QJP190" s="3"/>
      <c r="QJQ190" s="3"/>
      <c r="QJR190" s="3"/>
      <c r="QJS190" s="3"/>
      <c r="QJT190" s="3"/>
      <c r="QJU190" s="3"/>
      <c r="QJV190" s="3"/>
      <c r="QJW190" s="3"/>
      <c r="QJX190" s="3"/>
      <c r="QJY190" s="3"/>
      <c r="QJZ190" s="3"/>
      <c r="QKA190" s="3"/>
      <c r="QKB190" s="3"/>
      <c r="QKC190" s="3"/>
      <c r="QKD190" s="3"/>
      <c r="QKE190" s="3"/>
      <c r="QKF190" s="3"/>
      <c r="QKG190" s="3"/>
      <c r="QKH190" s="3"/>
      <c r="QKI190" s="3"/>
      <c r="QKJ190" s="3"/>
      <c r="QKK190" s="3"/>
      <c r="QKL190" s="3"/>
      <c r="QKM190" s="3"/>
      <c r="QKN190" s="3"/>
      <c r="QKO190" s="3"/>
      <c r="QKP190" s="3"/>
      <c r="QKQ190" s="3"/>
      <c r="QKR190" s="3"/>
      <c r="QKS190" s="3"/>
      <c r="QKT190" s="3"/>
      <c r="QKU190" s="3"/>
      <c r="QKV190" s="3"/>
      <c r="QKW190" s="3"/>
      <c r="QKX190" s="3"/>
      <c r="QKY190" s="3"/>
      <c r="QKZ190" s="3"/>
      <c r="QLA190" s="3"/>
      <c r="QLB190" s="3"/>
      <c r="QLC190" s="3"/>
      <c r="QLD190" s="3"/>
      <c r="QLE190" s="3"/>
      <c r="QLF190" s="3"/>
      <c r="QLG190" s="3"/>
      <c r="QLH190" s="3"/>
      <c r="QLI190" s="3"/>
      <c r="QLJ190" s="3"/>
      <c r="QLK190" s="3"/>
      <c r="QLL190" s="3"/>
      <c r="QLM190" s="3"/>
      <c r="QLN190" s="3"/>
      <c r="QLO190" s="3"/>
      <c r="QLP190" s="3"/>
      <c r="QLQ190" s="3"/>
      <c r="QLR190" s="3"/>
      <c r="QLS190" s="3"/>
      <c r="QLT190" s="3"/>
      <c r="QLU190" s="3"/>
      <c r="QLV190" s="3"/>
      <c r="QLW190" s="3"/>
      <c r="QLX190" s="3"/>
      <c r="QLY190" s="3"/>
      <c r="QLZ190" s="3"/>
      <c r="QMA190" s="3"/>
      <c r="QMB190" s="3"/>
      <c r="QMC190" s="3"/>
      <c r="QMD190" s="3"/>
      <c r="QME190" s="3"/>
      <c r="QMF190" s="3"/>
      <c r="QMG190" s="3"/>
      <c r="QMH190" s="3"/>
      <c r="QMI190" s="3"/>
      <c r="QMJ190" s="3"/>
      <c r="QMK190" s="3"/>
      <c r="QML190" s="3"/>
      <c r="QMM190" s="3"/>
      <c r="QMN190" s="3"/>
      <c r="QMO190" s="3"/>
      <c r="QMP190" s="3"/>
      <c r="QMQ190" s="3"/>
      <c r="QMR190" s="3"/>
      <c r="QMS190" s="3"/>
      <c r="QMT190" s="3"/>
      <c r="QMU190" s="3"/>
      <c r="QMV190" s="3"/>
      <c r="QMW190" s="3"/>
      <c r="QMX190" s="3"/>
      <c r="QMY190" s="3"/>
      <c r="QMZ190" s="3"/>
      <c r="QNA190" s="3"/>
      <c r="QNB190" s="3"/>
      <c r="QNC190" s="3"/>
      <c r="QND190" s="3"/>
      <c r="QNE190" s="3"/>
      <c r="QNF190" s="3"/>
      <c r="QNG190" s="3"/>
      <c r="QNH190" s="3"/>
      <c r="QNI190" s="3"/>
      <c r="QNJ190" s="3"/>
      <c r="QNK190" s="3"/>
      <c r="QNL190" s="3"/>
      <c r="QNM190" s="3"/>
      <c r="QNN190" s="3"/>
      <c r="QNO190" s="3"/>
      <c r="QNP190" s="3"/>
      <c r="QNQ190" s="3"/>
      <c r="QNR190" s="3"/>
      <c r="QNS190" s="3"/>
      <c r="QNT190" s="3"/>
      <c r="QNU190" s="3"/>
      <c r="QNV190" s="3"/>
      <c r="QNW190" s="3"/>
      <c r="QNX190" s="3"/>
      <c r="QNY190" s="3"/>
      <c r="QNZ190" s="3"/>
      <c r="QOA190" s="3"/>
      <c r="QOB190" s="3"/>
      <c r="QOC190" s="3"/>
      <c r="QOD190" s="3"/>
      <c r="QOE190" s="3"/>
      <c r="QOF190" s="3"/>
      <c r="QOG190" s="3"/>
      <c r="QOH190" s="3"/>
      <c r="QOI190" s="3"/>
      <c r="QOJ190" s="3"/>
      <c r="QOK190" s="3"/>
      <c r="QOL190" s="3"/>
      <c r="QOM190" s="3"/>
      <c r="QON190" s="3"/>
      <c r="QOO190" s="3"/>
      <c r="QOP190" s="3"/>
      <c r="QOQ190" s="3"/>
      <c r="QOR190" s="3"/>
      <c r="QOS190" s="3"/>
      <c r="QOT190" s="3"/>
      <c r="QOU190" s="3"/>
      <c r="QOV190" s="3"/>
      <c r="QOW190" s="3"/>
      <c r="QOX190" s="3"/>
      <c r="QOY190" s="3"/>
      <c r="QOZ190" s="3"/>
      <c r="QPA190" s="3"/>
      <c r="QPB190" s="3"/>
      <c r="QPC190" s="3"/>
      <c r="QPD190" s="3"/>
      <c r="QPE190" s="3"/>
      <c r="QPF190" s="3"/>
      <c r="QPG190" s="3"/>
      <c r="QPH190" s="3"/>
      <c r="QPI190" s="3"/>
      <c r="QPJ190" s="3"/>
      <c r="QPK190" s="3"/>
      <c r="QPL190" s="3"/>
      <c r="QPM190" s="3"/>
      <c r="QPN190" s="3"/>
      <c r="QPO190" s="3"/>
      <c r="QPP190" s="3"/>
      <c r="QPQ190" s="3"/>
      <c r="QPR190" s="3"/>
      <c r="QPS190" s="3"/>
      <c r="QPT190" s="3"/>
      <c r="QPU190" s="3"/>
      <c r="QPV190" s="3"/>
      <c r="QPW190" s="3"/>
      <c r="QPX190" s="3"/>
      <c r="QPY190" s="3"/>
      <c r="QPZ190" s="3"/>
      <c r="QQA190" s="3"/>
      <c r="QQB190" s="3"/>
      <c r="QQC190" s="3"/>
      <c r="QQD190" s="3"/>
      <c r="QQE190" s="3"/>
      <c r="QQF190" s="3"/>
      <c r="QQG190" s="3"/>
      <c r="QQH190" s="3"/>
      <c r="QQI190" s="3"/>
      <c r="QQJ190" s="3"/>
      <c r="QQK190" s="3"/>
      <c r="QQL190" s="3"/>
      <c r="QQM190" s="3"/>
      <c r="QQN190" s="3"/>
      <c r="QQO190" s="3"/>
      <c r="QQP190" s="3"/>
      <c r="QQQ190" s="3"/>
      <c r="QQR190" s="3"/>
      <c r="QQS190" s="3"/>
      <c r="QQT190" s="3"/>
      <c r="QQU190" s="3"/>
      <c r="QQV190" s="3"/>
      <c r="QQW190" s="3"/>
      <c r="QQX190" s="3"/>
      <c r="QQY190" s="3"/>
      <c r="QQZ190" s="3"/>
      <c r="QRA190" s="3"/>
      <c r="QRB190" s="3"/>
      <c r="QRC190" s="3"/>
      <c r="QRD190" s="3"/>
      <c r="QRE190" s="3"/>
      <c r="QRF190" s="3"/>
      <c r="QRG190" s="3"/>
      <c r="QRH190" s="3"/>
      <c r="QRI190" s="3"/>
      <c r="QRJ190" s="3"/>
      <c r="QRK190" s="3"/>
      <c r="QRL190" s="3"/>
      <c r="QRM190" s="3"/>
      <c r="QRN190" s="3"/>
      <c r="QRO190" s="3"/>
      <c r="QRP190" s="3"/>
      <c r="QRQ190" s="3"/>
      <c r="QRR190" s="3"/>
      <c r="QRS190" s="3"/>
      <c r="QRT190" s="3"/>
      <c r="QRU190" s="3"/>
      <c r="QRV190" s="3"/>
      <c r="QRW190" s="3"/>
      <c r="QRX190" s="3"/>
      <c r="QRY190" s="3"/>
      <c r="QRZ190" s="3"/>
      <c r="QSA190" s="3"/>
      <c r="QSB190" s="3"/>
      <c r="QSC190" s="3"/>
      <c r="QSD190" s="3"/>
      <c r="QSE190" s="3"/>
      <c r="QSF190" s="3"/>
      <c r="QSG190" s="3"/>
      <c r="QSH190" s="3"/>
      <c r="QSI190" s="3"/>
      <c r="QSJ190" s="3"/>
      <c r="QSK190" s="3"/>
      <c r="QSL190" s="3"/>
      <c r="QSM190" s="3"/>
      <c r="QSN190" s="3"/>
      <c r="QSO190" s="3"/>
      <c r="QSP190" s="3"/>
      <c r="QSQ190" s="3"/>
      <c r="QSR190" s="3"/>
      <c r="QSS190" s="3"/>
      <c r="QST190" s="3"/>
      <c r="QSU190" s="3"/>
      <c r="QSV190" s="3"/>
      <c r="QSW190" s="3"/>
      <c r="QSX190" s="3"/>
      <c r="QSY190" s="3"/>
      <c r="QSZ190" s="3"/>
      <c r="QTA190" s="3"/>
      <c r="QTB190" s="3"/>
      <c r="QTC190" s="3"/>
      <c r="QTD190" s="3"/>
      <c r="QTE190" s="3"/>
      <c r="QTF190" s="3"/>
      <c r="QTG190" s="3"/>
      <c r="QTH190" s="3"/>
      <c r="QTI190" s="3"/>
      <c r="QTJ190" s="3"/>
      <c r="QTK190" s="3"/>
      <c r="QTL190" s="3"/>
      <c r="QTM190" s="3"/>
      <c r="QTN190" s="3"/>
      <c r="QTO190" s="3"/>
      <c r="QTP190" s="3"/>
      <c r="QTQ190" s="3"/>
      <c r="QTR190" s="3"/>
      <c r="QTS190" s="3"/>
      <c r="QTT190" s="3"/>
      <c r="QTU190" s="3"/>
      <c r="QTV190" s="3"/>
      <c r="QTW190" s="3"/>
      <c r="QTX190" s="3"/>
      <c r="QTY190" s="3"/>
      <c r="QTZ190" s="3"/>
      <c r="QUA190" s="3"/>
      <c r="QUB190" s="3"/>
      <c r="QUC190" s="3"/>
      <c r="QUD190" s="3"/>
      <c r="QUE190" s="3"/>
      <c r="QUF190" s="3"/>
      <c r="QUG190" s="3"/>
      <c r="QUH190" s="3"/>
      <c r="QUI190" s="3"/>
      <c r="QUJ190" s="3"/>
      <c r="QUK190" s="3"/>
      <c r="QUL190" s="3"/>
      <c r="QUM190" s="3"/>
      <c r="QUN190" s="3"/>
      <c r="QUO190" s="3"/>
      <c r="QUP190" s="3"/>
      <c r="QUQ190" s="3"/>
      <c r="QUR190" s="3"/>
      <c r="QUS190" s="3"/>
      <c r="QUT190" s="3"/>
      <c r="QUU190" s="3"/>
      <c r="QUV190" s="3"/>
      <c r="QUW190" s="3"/>
      <c r="QUX190" s="3"/>
      <c r="QUY190" s="3"/>
      <c r="QUZ190" s="3"/>
      <c r="QVA190" s="3"/>
      <c r="QVB190" s="3"/>
      <c r="QVC190" s="3"/>
      <c r="QVD190" s="3"/>
      <c r="QVE190" s="3"/>
      <c r="QVF190" s="3"/>
      <c r="QVG190" s="3"/>
      <c r="QVH190" s="3"/>
      <c r="QVI190" s="3"/>
      <c r="QVJ190" s="3"/>
      <c r="QVK190" s="3"/>
      <c r="QVL190" s="3"/>
      <c r="QVM190" s="3"/>
      <c r="QVN190" s="3"/>
      <c r="QVO190" s="3"/>
      <c r="QVP190" s="3"/>
      <c r="QVQ190" s="3"/>
      <c r="QVR190" s="3"/>
      <c r="QVS190" s="3"/>
      <c r="QVT190" s="3"/>
      <c r="QVU190" s="3"/>
      <c r="QVV190" s="3"/>
      <c r="QVW190" s="3"/>
      <c r="QVX190" s="3"/>
      <c r="QVY190" s="3"/>
      <c r="QVZ190" s="3"/>
      <c r="QWA190" s="3"/>
      <c r="QWB190" s="3"/>
      <c r="QWC190" s="3"/>
      <c r="QWD190" s="3"/>
      <c r="QWE190" s="3"/>
      <c r="QWF190" s="3"/>
      <c r="QWG190" s="3"/>
      <c r="QWH190" s="3"/>
      <c r="QWI190" s="3"/>
      <c r="QWJ190" s="3"/>
      <c r="QWK190" s="3"/>
      <c r="QWL190" s="3"/>
      <c r="QWM190" s="3"/>
      <c r="QWN190" s="3"/>
      <c r="QWO190" s="3"/>
      <c r="QWP190" s="3"/>
      <c r="QWQ190" s="3"/>
      <c r="QWR190" s="3"/>
      <c r="QWS190" s="3"/>
      <c r="QWT190" s="3"/>
      <c r="QWU190" s="3"/>
      <c r="QWV190" s="3"/>
      <c r="QWW190" s="3"/>
      <c r="QWX190" s="3"/>
      <c r="QWY190" s="3"/>
      <c r="QWZ190" s="3"/>
      <c r="QXA190" s="3"/>
      <c r="QXB190" s="3"/>
      <c r="QXC190" s="3"/>
      <c r="QXD190" s="3"/>
      <c r="QXE190" s="3"/>
      <c r="QXF190" s="3"/>
      <c r="QXG190" s="3"/>
      <c r="QXH190" s="3"/>
      <c r="QXI190" s="3"/>
      <c r="QXJ190" s="3"/>
      <c r="QXK190" s="3"/>
      <c r="QXL190" s="3"/>
      <c r="QXM190" s="3"/>
      <c r="QXN190" s="3"/>
      <c r="QXO190" s="3"/>
      <c r="QXP190" s="3"/>
      <c r="QXQ190" s="3"/>
      <c r="QXR190" s="3"/>
      <c r="QXS190" s="3"/>
      <c r="QXT190" s="3"/>
      <c r="QXU190" s="3"/>
      <c r="QXV190" s="3"/>
      <c r="QXW190" s="3"/>
      <c r="QXX190" s="3"/>
      <c r="QXY190" s="3"/>
      <c r="QXZ190" s="3"/>
      <c r="QYA190" s="3"/>
      <c r="QYB190" s="3"/>
      <c r="QYC190" s="3"/>
      <c r="QYD190" s="3"/>
      <c r="QYE190" s="3"/>
      <c r="QYF190" s="3"/>
      <c r="QYG190" s="3"/>
      <c r="QYH190" s="3"/>
      <c r="QYI190" s="3"/>
      <c r="QYJ190" s="3"/>
      <c r="QYK190" s="3"/>
      <c r="QYL190" s="3"/>
      <c r="QYM190" s="3"/>
      <c r="QYN190" s="3"/>
      <c r="QYO190" s="3"/>
      <c r="QYP190" s="3"/>
      <c r="QYQ190" s="3"/>
      <c r="QYR190" s="3"/>
      <c r="QYS190" s="3"/>
      <c r="QYT190" s="3"/>
      <c r="QYU190" s="3"/>
      <c r="QYV190" s="3"/>
      <c r="QYW190" s="3"/>
      <c r="QYX190" s="3"/>
      <c r="QYY190" s="3"/>
      <c r="QYZ190" s="3"/>
      <c r="QZA190" s="3"/>
      <c r="QZB190" s="3"/>
      <c r="QZC190" s="3"/>
      <c r="QZD190" s="3"/>
      <c r="QZE190" s="3"/>
      <c r="QZF190" s="3"/>
      <c r="QZG190" s="3"/>
      <c r="QZH190" s="3"/>
      <c r="QZI190" s="3"/>
      <c r="QZJ190" s="3"/>
      <c r="QZK190" s="3"/>
      <c r="QZL190" s="3"/>
      <c r="QZM190" s="3"/>
      <c r="QZN190" s="3"/>
      <c r="QZO190" s="3"/>
      <c r="QZP190" s="3"/>
      <c r="QZQ190" s="3"/>
      <c r="QZR190" s="3"/>
      <c r="QZS190" s="3"/>
      <c r="QZT190" s="3"/>
      <c r="QZU190" s="3"/>
      <c r="QZV190" s="3"/>
      <c r="QZW190" s="3"/>
      <c r="QZX190" s="3"/>
      <c r="QZY190" s="3"/>
      <c r="QZZ190" s="3"/>
      <c r="RAA190" s="3"/>
      <c r="RAB190" s="3"/>
      <c r="RAC190" s="3"/>
      <c r="RAD190" s="3"/>
      <c r="RAE190" s="3"/>
      <c r="RAF190" s="3"/>
      <c r="RAG190" s="3"/>
      <c r="RAH190" s="3"/>
      <c r="RAI190" s="3"/>
      <c r="RAJ190" s="3"/>
      <c r="RAK190" s="3"/>
      <c r="RAL190" s="3"/>
      <c r="RAM190" s="3"/>
      <c r="RAN190" s="3"/>
      <c r="RAO190" s="3"/>
      <c r="RAP190" s="3"/>
      <c r="RAQ190" s="3"/>
      <c r="RAR190" s="3"/>
      <c r="RAS190" s="3"/>
      <c r="RAT190" s="3"/>
      <c r="RAU190" s="3"/>
      <c r="RAV190" s="3"/>
      <c r="RAW190" s="3"/>
      <c r="RAX190" s="3"/>
      <c r="RAY190" s="3"/>
      <c r="RAZ190" s="3"/>
      <c r="RBA190" s="3"/>
      <c r="RBB190" s="3"/>
      <c r="RBC190" s="3"/>
      <c r="RBD190" s="3"/>
      <c r="RBE190" s="3"/>
      <c r="RBF190" s="3"/>
      <c r="RBG190" s="3"/>
      <c r="RBH190" s="3"/>
      <c r="RBI190" s="3"/>
      <c r="RBJ190" s="3"/>
      <c r="RBK190" s="3"/>
      <c r="RBL190" s="3"/>
      <c r="RBM190" s="3"/>
      <c r="RBN190" s="3"/>
      <c r="RBO190" s="3"/>
      <c r="RBP190" s="3"/>
      <c r="RBQ190" s="3"/>
      <c r="RBR190" s="3"/>
      <c r="RBS190" s="3"/>
      <c r="RBT190" s="3"/>
      <c r="RBU190" s="3"/>
      <c r="RBV190" s="3"/>
      <c r="RBW190" s="3"/>
      <c r="RBX190" s="3"/>
      <c r="RBY190" s="3"/>
      <c r="RBZ190" s="3"/>
      <c r="RCA190" s="3"/>
      <c r="RCB190" s="3"/>
      <c r="RCC190" s="3"/>
      <c r="RCD190" s="3"/>
      <c r="RCE190" s="3"/>
      <c r="RCF190" s="3"/>
      <c r="RCG190" s="3"/>
      <c r="RCH190" s="3"/>
      <c r="RCI190" s="3"/>
      <c r="RCJ190" s="3"/>
      <c r="RCK190" s="3"/>
      <c r="RCL190" s="3"/>
      <c r="RCM190" s="3"/>
      <c r="RCN190" s="3"/>
      <c r="RCO190" s="3"/>
      <c r="RCP190" s="3"/>
      <c r="RCQ190" s="3"/>
      <c r="RCR190" s="3"/>
      <c r="RCS190" s="3"/>
      <c r="RCT190" s="3"/>
      <c r="RCU190" s="3"/>
      <c r="RCV190" s="3"/>
      <c r="RCW190" s="3"/>
      <c r="RCX190" s="3"/>
      <c r="RCY190" s="3"/>
      <c r="RCZ190" s="3"/>
      <c r="RDA190" s="3"/>
      <c r="RDB190" s="3"/>
      <c r="RDC190" s="3"/>
      <c r="RDD190" s="3"/>
      <c r="RDE190" s="3"/>
      <c r="RDF190" s="3"/>
      <c r="RDG190" s="3"/>
      <c r="RDH190" s="3"/>
      <c r="RDI190" s="3"/>
      <c r="RDJ190" s="3"/>
      <c r="RDK190" s="3"/>
      <c r="RDL190" s="3"/>
      <c r="RDM190" s="3"/>
      <c r="RDN190" s="3"/>
      <c r="RDO190" s="3"/>
      <c r="RDP190" s="3"/>
      <c r="RDQ190" s="3"/>
      <c r="RDR190" s="3"/>
      <c r="RDS190" s="3"/>
      <c r="RDT190" s="3"/>
      <c r="RDU190" s="3"/>
      <c r="RDV190" s="3"/>
      <c r="RDW190" s="3"/>
      <c r="RDX190" s="3"/>
      <c r="RDY190" s="3"/>
      <c r="RDZ190" s="3"/>
      <c r="REA190" s="3"/>
      <c r="REB190" s="3"/>
      <c r="REC190" s="3"/>
      <c r="RED190" s="3"/>
      <c r="REE190" s="3"/>
      <c r="REF190" s="3"/>
      <c r="REG190" s="3"/>
      <c r="REH190" s="3"/>
      <c r="REI190" s="3"/>
      <c r="REJ190" s="3"/>
      <c r="REK190" s="3"/>
      <c r="REL190" s="3"/>
      <c r="REM190" s="3"/>
      <c r="REN190" s="3"/>
      <c r="REO190" s="3"/>
      <c r="REP190" s="3"/>
      <c r="REQ190" s="3"/>
      <c r="RER190" s="3"/>
      <c r="RES190" s="3"/>
      <c r="RET190" s="3"/>
      <c r="REU190" s="3"/>
      <c r="REV190" s="3"/>
      <c r="REW190" s="3"/>
      <c r="REX190" s="3"/>
      <c r="REY190" s="3"/>
      <c r="REZ190" s="3"/>
      <c r="RFA190" s="3"/>
      <c r="RFB190" s="3"/>
      <c r="RFC190" s="3"/>
      <c r="RFD190" s="3"/>
      <c r="RFE190" s="3"/>
      <c r="RFF190" s="3"/>
      <c r="RFG190" s="3"/>
      <c r="RFH190" s="3"/>
      <c r="RFI190" s="3"/>
      <c r="RFJ190" s="3"/>
      <c r="RFK190" s="3"/>
      <c r="RFL190" s="3"/>
      <c r="RFM190" s="3"/>
      <c r="RFN190" s="3"/>
      <c r="RFO190" s="3"/>
      <c r="RFP190" s="3"/>
      <c r="RFQ190" s="3"/>
      <c r="RFR190" s="3"/>
      <c r="RFS190" s="3"/>
      <c r="RFT190" s="3"/>
      <c r="RFU190" s="3"/>
      <c r="RFV190" s="3"/>
      <c r="RFW190" s="3"/>
      <c r="RFX190" s="3"/>
      <c r="RFY190" s="3"/>
      <c r="RFZ190" s="3"/>
      <c r="RGA190" s="3"/>
      <c r="RGB190" s="3"/>
      <c r="RGC190" s="3"/>
      <c r="RGD190" s="3"/>
      <c r="RGE190" s="3"/>
      <c r="RGF190" s="3"/>
      <c r="RGG190" s="3"/>
      <c r="RGH190" s="3"/>
      <c r="RGI190" s="3"/>
      <c r="RGJ190" s="3"/>
      <c r="RGK190" s="3"/>
      <c r="RGL190" s="3"/>
      <c r="RGM190" s="3"/>
      <c r="RGN190" s="3"/>
      <c r="RGO190" s="3"/>
      <c r="RGP190" s="3"/>
      <c r="RGQ190" s="3"/>
      <c r="RGR190" s="3"/>
      <c r="RGS190" s="3"/>
      <c r="RGT190" s="3"/>
      <c r="RGU190" s="3"/>
      <c r="RGV190" s="3"/>
      <c r="RGW190" s="3"/>
      <c r="RGX190" s="3"/>
      <c r="RGY190" s="3"/>
      <c r="RGZ190" s="3"/>
      <c r="RHA190" s="3"/>
      <c r="RHB190" s="3"/>
      <c r="RHC190" s="3"/>
      <c r="RHD190" s="3"/>
      <c r="RHE190" s="3"/>
      <c r="RHF190" s="3"/>
      <c r="RHG190" s="3"/>
      <c r="RHH190" s="3"/>
      <c r="RHI190" s="3"/>
      <c r="RHJ190" s="3"/>
      <c r="RHK190" s="3"/>
      <c r="RHL190" s="3"/>
      <c r="RHM190" s="3"/>
      <c r="RHN190" s="3"/>
      <c r="RHO190" s="3"/>
      <c r="RHP190" s="3"/>
      <c r="RHQ190" s="3"/>
      <c r="RHR190" s="3"/>
      <c r="RHS190" s="3"/>
      <c r="RHT190" s="3"/>
      <c r="RHU190" s="3"/>
      <c r="RHV190" s="3"/>
      <c r="RHW190" s="3"/>
      <c r="RHX190" s="3"/>
      <c r="RHY190" s="3"/>
      <c r="RHZ190" s="3"/>
      <c r="RIA190" s="3"/>
      <c r="RIB190" s="3"/>
      <c r="RIC190" s="3"/>
      <c r="RID190" s="3"/>
      <c r="RIE190" s="3"/>
      <c r="RIF190" s="3"/>
      <c r="RIG190" s="3"/>
      <c r="RIH190" s="3"/>
      <c r="RII190" s="3"/>
      <c r="RIJ190" s="3"/>
      <c r="RIK190" s="3"/>
      <c r="RIL190" s="3"/>
      <c r="RIM190" s="3"/>
      <c r="RIN190" s="3"/>
      <c r="RIO190" s="3"/>
      <c r="RIP190" s="3"/>
      <c r="RIQ190" s="3"/>
      <c r="RIR190" s="3"/>
      <c r="RIS190" s="3"/>
      <c r="RIT190" s="3"/>
      <c r="RIU190" s="3"/>
      <c r="RIV190" s="3"/>
      <c r="RIW190" s="3"/>
      <c r="RIX190" s="3"/>
      <c r="RIY190" s="3"/>
      <c r="RIZ190" s="3"/>
      <c r="RJA190" s="3"/>
      <c r="RJB190" s="3"/>
      <c r="RJC190" s="3"/>
      <c r="RJD190" s="3"/>
      <c r="RJE190" s="3"/>
      <c r="RJF190" s="3"/>
      <c r="RJG190" s="3"/>
      <c r="RJH190" s="3"/>
      <c r="RJI190" s="3"/>
      <c r="RJJ190" s="3"/>
      <c r="RJK190" s="3"/>
      <c r="RJL190" s="3"/>
      <c r="RJM190" s="3"/>
      <c r="RJN190" s="3"/>
      <c r="RJO190" s="3"/>
      <c r="RJP190" s="3"/>
      <c r="RJQ190" s="3"/>
      <c r="RJR190" s="3"/>
      <c r="RJS190" s="3"/>
      <c r="RJT190" s="3"/>
      <c r="RJU190" s="3"/>
      <c r="RJV190" s="3"/>
      <c r="RJW190" s="3"/>
      <c r="RJX190" s="3"/>
      <c r="RJY190" s="3"/>
      <c r="RJZ190" s="3"/>
      <c r="RKA190" s="3"/>
      <c r="RKB190" s="3"/>
      <c r="RKC190" s="3"/>
      <c r="RKD190" s="3"/>
      <c r="RKE190" s="3"/>
      <c r="RKF190" s="3"/>
      <c r="RKG190" s="3"/>
      <c r="RKH190" s="3"/>
      <c r="RKI190" s="3"/>
      <c r="RKJ190" s="3"/>
      <c r="RKK190" s="3"/>
      <c r="RKL190" s="3"/>
      <c r="RKM190" s="3"/>
      <c r="RKN190" s="3"/>
      <c r="RKO190" s="3"/>
      <c r="RKP190" s="3"/>
      <c r="RKQ190" s="3"/>
      <c r="RKR190" s="3"/>
      <c r="RKS190" s="3"/>
      <c r="RKT190" s="3"/>
      <c r="RKU190" s="3"/>
      <c r="RKV190" s="3"/>
      <c r="RKW190" s="3"/>
      <c r="RKX190" s="3"/>
      <c r="RKY190" s="3"/>
      <c r="RKZ190" s="3"/>
      <c r="RLA190" s="3"/>
      <c r="RLB190" s="3"/>
      <c r="RLC190" s="3"/>
      <c r="RLD190" s="3"/>
      <c r="RLE190" s="3"/>
      <c r="RLF190" s="3"/>
      <c r="RLG190" s="3"/>
      <c r="RLH190" s="3"/>
      <c r="RLI190" s="3"/>
      <c r="RLJ190" s="3"/>
      <c r="RLK190" s="3"/>
      <c r="RLL190" s="3"/>
      <c r="RLM190" s="3"/>
      <c r="RLN190" s="3"/>
      <c r="RLO190" s="3"/>
      <c r="RLP190" s="3"/>
      <c r="RLQ190" s="3"/>
      <c r="RLR190" s="3"/>
      <c r="RLS190" s="3"/>
      <c r="RLT190" s="3"/>
      <c r="RLU190" s="3"/>
      <c r="RLV190" s="3"/>
      <c r="RLW190" s="3"/>
      <c r="RLX190" s="3"/>
      <c r="RLY190" s="3"/>
      <c r="RLZ190" s="3"/>
      <c r="RMA190" s="3"/>
      <c r="RMB190" s="3"/>
      <c r="RMC190" s="3"/>
      <c r="RMD190" s="3"/>
      <c r="RME190" s="3"/>
      <c r="RMF190" s="3"/>
      <c r="RMG190" s="3"/>
      <c r="RMH190" s="3"/>
      <c r="RMI190" s="3"/>
      <c r="RMJ190" s="3"/>
      <c r="RMK190" s="3"/>
      <c r="RML190" s="3"/>
      <c r="RMM190" s="3"/>
      <c r="RMN190" s="3"/>
      <c r="RMO190" s="3"/>
      <c r="RMP190" s="3"/>
      <c r="RMQ190" s="3"/>
      <c r="RMR190" s="3"/>
      <c r="RMS190" s="3"/>
      <c r="RMT190" s="3"/>
      <c r="RMU190" s="3"/>
      <c r="RMV190" s="3"/>
      <c r="RMW190" s="3"/>
      <c r="RMX190" s="3"/>
      <c r="RMY190" s="3"/>
      <c r="RMZ190" s="3"/>
      <c r="RNA190" s="3"/>
      <c r="RNB190" s="3"/>
      <c r="RNC190" s="3"/>
      <c r="RND190" s="3"/>
      <c r="RNE190" s="3"/>
      <c r="RNF190" s="3"/>
      <c r="RNG190" s="3"/>
      <c r="RNH190" s="3"/>
      <c r="RNI190" s="3"/>
      <c r="RNJ190" s="3"/>
      <c r="RNK190" s="3"/>
      <c r="RNL190" s="3"/>
      <c r="RNM190" s="3"/>
      <c r="RNN190" s="3"/>
      <c r="RNO190" s="3"/>
      <c r="RNP190" s="3"/>
      <c r="RNQ190" s="3"/>
      <c r="RNR190" s="3"/>
      <c r="RNS190" s="3"/>
      <c r="RNT190" s="3"/>
      <c r="RNU190" s="3"/>
      <c r="RNV190" s="3"/>
      <c r="RNW190" s="3"/>
      <c r="RNX190" s="3"/>
      <c r="RNY190" s="3"/>
      <c r="RNZ190" s="3"/>
      <c r="ROA190" s="3"/>
      <c r="ROB190" s="3"/>
      <c r="ROC190" s="3"/>
      <c r="ROD190" s="3"/>
      <c r="ROE190" s="3"/>
      <c r="ROF190" s="3"/>
      <c r="ROG190" s="3"/>
      <c r="ROH190" s="3"/>
      <c r="ROI190" s="3"/>
      <c r="ROJ190" s="3"/>
      <c r="ROK190" s="3"/>
      <c r="ROL190" s="3"/>
      <c r="ROM190" s="3"/>
      <c r="RON190" s="3"/>
      <c r="ROO190" s="3"/>
      <c r="ROP190" s="3"/>
      <c r="ROQ190" s="3"/>
      <c r="ROR190" s="3"/>
      <c r="ROS190" s="3"/>
      <c r="ROT190" s="3"/>
      <c r="ROU190" s="3"/>
      <c r="ROV190" s="3"/>
      <c r="ROW190" s="3"/>
      <c r="ROX190" s="3"/>
      <c r="ROY190" s="3"/>
      <c r="ROZ190" s="3"/>
      <c r="RPA190" s="3"/>
      <c r="RPB190" s="3"/>
      <c r="RPC190" s="3"/>
      <c r="RPD190" s="3"/>
      <c r="RPE190" s="3"/>
      <c r="RPF190" s="3"/>
      <c r="RPG190" s="3"/>
      <c r="RPH190" s="3"/>
      <c r="RPI190" s="3"/>
      <c r="RPJ190" s="3"/>
      <c r="RPK190" s="3"/>
      <c r="RPL190" s="3"/>
      <c r="RPM190" s="3"/>
      <c r="RPN190" s="3"/>
      <c r="RPO190" s="3"/>
      <c r="RPP190" s="3"/>
      <c r="RPQ190" s="3"/>
      <c r="RPR190" s="3"/>
      <c r="RPS190" s="3"/>
      <c r="RPT190" s="3"/>
      <c r="RPU190" s="3"/>
      <c r="RPV190" s="3"/>
      <c r="RPW190" s="3"/>
      <c r="RPX190" s="3"/>
      <c r="RPY190" s="3"/>
      <c r="RPZ190" s="3"/>
      <c r="RQA190" s="3"/>
      <c r="RQB190" s="3"/>
      <c r="RQC190" s="3"/>
      <c r="RQD190" s="3"/>
      <c r="RQE190" s="3"/>
      <c r="RQF190" s="3"/>
      <c r="RQG190" s="3"/>
      <c r="RQH190" s="3"/>
      <c r="RQI190" s="3"/>
      <c r="RQJ190" s="3"/>
      <c r="RQK190" s="3"/>
      <c r="RQL190" s="3"/>
      <c r="RQM190" s="3"/>
      <c r="RQN190" s="3"/>
      <c r="RQO190" s="3"/>
      <c r="RQP190" s="3"/>
      <c r="RQQ190" s="3"/>
      <c r="RQR190" s="3"/>
      <c r="RQS190" s="3"/>
      <c r="RQT190" s="3"/>
      <c r="RQU190" s="3"/>
      <c r="RQV190" s="3"/>
      <c r="RQW190" s="3"/>
      <c r="RQX190" s="3"/>
      <c r="RQY190" s="3"/>
      <c r="RQZ190" s="3"/>
      <c r="RRA190" s="3"/>
      <c r="RRB190" s="3"/>
      <c r="RRC190" s="3"/>
      <c r="RRD190" s="3"/>
      <c r="RRE190" s="3"/>
      <c r="RRF190" s="3"/>
      <c r="RRG190" s="3"/>
      <c r="RRH190" s="3"/>
      <c r="RRI190" s="3"/>
      <c r="RRJ190" s="3"/>
      <c r="RRK190" s="3"/>
      <c r="RRL190" s="3"/>
      <c r="RRM190" s="3"/>
      <c r="RRN190" s="3"/>
      <c r="RRO190" s="3"/>
      <c r="RRP190" s="3"/>
      <c r="RRQ190" s="3"/>
      <c r="RRR190" s="3"/>
      <c r="RRS190" s="3"/>
      <c r="RRT190" s="3"/>
      <c r="RRU190" s="3"/>
      <c r="RRV190" s="3"/>
      <c r="RRW190" s="3"/>
      <c r="RRX190" s="3"/>
      <c r="RRY190" s="3"/>
      <c r="RRZ190" s="3"/>
      <c r="RSA190" s="3"/>
      <c r="RSB190" s="3"/>
      <c r="RSC190" s="3"/>
      <c r="RSD190" s="3"/>
      <c r="RSE190" s="3"/>
      <c r="RSF190" s="3"/>
      <c r="RSG190" s="3"/>
      <c r="RSH190" s="3"/>
      <c r="RSI190" s="3"/>
      <c r="RSJ190" s="3"/>
      <c r="RSK190" s="3"/>
      <c r="RSL190" s="3"/>
      <c r="RSM190" s="3"/>
      <c r="RSN190" s="3"/>
      <c r="RSO190" s="3"/>
      <c r="RSP190" s="3"/>
      <c r="RSQ190" s="3"/>
      <c r="RSR190" s="3"/>
      <c r="RSS190" s="3"/>
      <c r="RST190" s="3"/>
      <c r="RSU190" s="3"/>
      <c r="RSV190" s="3"/>
      <c r="RSW190" s="3"/>
      <c r="RSX190" s="3"/>
      <c r="RSY190" s="3"/>
      <c r="RSZ190" s="3"/>
      <c r="RTA190" s="3"/>
      <c r="RTB190" s="3"/>
      <c r="RTC190" s="3"/>
      <c r="RTD190" s="3"/>
      <c r="RTE190" s="3"/>
      <c r="RTF190" s="3"/>
      <c r="RTG190" s="3"/>
      <c r="RTH190" s="3"/>
      <c r="RTI190" s="3"/>
      <c r="RTJ190" s="3"/>
      <c r="RTK190" s="3"/>
      <c r="RTL190" s="3"/>
      <c r="RTM190" s="3"/>
      <c r="RTN190" s="3"/>
      <c r="RTO190" s="3"/>
      <c r="RTP190" s="3"/>
      <c r="RTQ190" s="3"/>
      <c r="RTR190" s="3"/>
      <c r="RTS190" s="3"/>
      <c r="RTT190" s="3"/>
      <c r="RTU190" s="3"/>
      <c r="RTV190" s="3"/>
      <c r="RTW190" s="3"/>
      <c r="RTX190" s="3"/>
      <c r="RTY190" s="3"/>
      <c r="RTZ190" s="3"/>
      <c r="RUA190" s="3"/>
      <c r="RUB190" s="3"/>
      <c r="RUC190" s="3"/>
      <c r="RUD190" s="3"/>
      <c r="RUE190" s="3"/>
      <c r="RUF190" s="3"/>
      <c r="RUG190" s="3"/>
      <c r="RUH190" s="3"/>
      <c r="RUI190" s="3"/>
      <c r="RUJ190" s="3"/>
      <c r="RUK190" s="3"/>
      <c r="RUL190" s="3"/>
      <c r="RUM190" s="3"/>
      <c r="RUN190" s="3"/>
      <c r="RUO190" s="3"/>
      <c r="RUP190" s="3"/>
      <c r="RUQ190" s="3"/>
      <c r="RUR190" s="3"/>
      <c r="RUS190" s="3"/>
      <c r="RUT190" s="3"/>
      <c r="RUU190" s="3"/>
      <c r="RUV190" s="3"/>
      <c r="RUW190" s="3"/>
      <c r="RUX190" s="3"/>
      <c r="RUY190" s="3"/>
      <c r="RUZ190" s="3"/>
      <c r="RVA190" s="3"/>
      <c r="RVB190" s="3"/>
      <c r="RVC190" s="3"/>
      <c r="RVD190" s="3"/>
      <c r="RVE190" s="3"/>
      <c r="RVF190" s="3"/>
      <c r="RVG190" s="3"/>
      <c r="RVH190" s="3"/>
      <c r="RVI190" s="3"/>
      <c r="RVJ190" s="3"/>
      <c r="RVK190" s="3"/>
      <c r="RVL190" s="3"/>
      <c r="RVM190" s="3"/>
      <c r="RVN190" s="3"/>
      <c r="RVO190" s="3"/>
      <c r="RVP190" s="3"/>
      <c r="RVQ190" s="3"/>
      <c r="RVR190" s="3"/>
      <c r="RVS190" s="3"/>
      <c r="RVT190" s="3"/>
      <c r="RVU190" s="3"/>
      <c r="RVV190" s="3"/>
      <c r="RVW190" s="3"/>
      <c r="RVX190" s="3"/>
      <c r="RVY190" s="3"/>
      <c r="RVZ190" s="3"/>
      <c r="RWA190" s="3"/>
      <c r="RWB190" s="3"/>
      <c r="RWC190" s="3"/>
      <c r="RWD190" s="3"/>
      <c r="RWE190" s="3"/>
      <c r="RWF190" s="3"/>
      <c r="RWG190" s="3"/>
      <c r="RWH190" s="3"/>
      <c r="RWI190" s="3"/>
      <c r="RWJ190" s="3"/>
      <c r="RWK190" s="3"/>
      <c r="RWL190" s="3"/>
      <c r="RWM190" s="3"/>
      <c r="RWN190" s="3"/>
      <c r="RWO190" s="3"/>
      <c r="RWP190" s="3"/>
      <c r="RWQ190" s="3"/>
      <c r="RWR190" s="3"/>
      <c r="RWS190" s="3"/>
      <c r="RWT190" s="3"/>
      <c r="RWU190" s="3"/>
      <c r="RWV190" s="3"/>
      <c r="RWW190" s="3"/>
      <c r="RWX190" s="3"/>
      <c r="RWY190" s="3"/>
      <c r="RWZ190" s="3"/>
      <c r="RXA190" s="3"/>
      <c r="RXB190" s="3"/>
      <c r="RXC190" s="3"/>
      <c r="RXD190" s="3"/>
      <c r="RXE190" s="3"/>
      <c r="RXF190" s="3"/>
      <c r="RXG190" s="3"/>
      <c r="RXH190" s="3"/>
      <c r="RXI190" s="3"/>
      <c r="RXJ190" s="3"/>
      <c r="RXK190" s="3"/>
      <c r="RXL190" s="3"/>
      <c r="RXM190" s="3"/>
      <c r="RXN190" s="3"/>
      <c r="RXO190" s="3"/>
      <c r="RXP190" s="3"/>
      <c r="RXQ190" s="3"/>
      <c r="RXR190" s="3"/>
      <c r="RXS190" s="3"/>
      <c r="RXT190" s="3"/>
      <c r="RXU190" s="3"/>
      <c r="RXV190" s="3"/>
      <c r="RXW190" s="3"/>
      <c r="RXX190" s="3"/>
      <c r="RXY190" s="3"/>
      <c r="RXZ190" s="3"/>
      <c r="RYA190" s="3"/>
      <c r="RYB190" s="3"/>
      <c r="RYC190" s="3"/>
      <c r="RYD190" s="3"/>
      <c r="RYE190" s="3"/>
      <c r="RYF190" s="3"/>
      <c r="RYG190" s="3"/>
      <c r="RYH190" s="3"/>
      <c r="RYI190" s="3"/>
      <c r="RYJ190" s="3"/>
      <c r="RYK190" s="3"/>
      <c r="RYL190" s="3"/>
      <c r="RYM190" s="3"/>
      <c r="RYN190" s="3"/>
      <c r="RYO190" s="3"/>
      <c r="RYP190" s="3"/>
      <c r="RYQ190" s="3"/>
      <c r="RYR190" s="3"/>
      <c r="RYS190" s="3"/>
      <c r="RYT190" s="3"/>
      <c r="RYU190" s="3"/>
      <c r="RYV190" s="3"/>
      <c r="RYW190" s="3"/>
      <c r="RYX190" s="3"/>
      <c r="RYY190" s="3"/>
      <c r="RYZ190" s="3"/>
      <c r="RZA190" s="3"/>
      <c r="RZB190" s="3"/>
      <c r="RZC190" s="3"/>
      <c r="RZD190" s="3"/>
      <c r="RZE190" s="3"/>
      <c r="RZF190" s="3"/>
      <c r="RZG190" s="3"/>
      <c r="RZH190" s="3"/>
      <c r="RZI190" s="3"/>
      <c r="RZJ190" s="3"/>
      <c r="RZK190" s="3"/>
      <c r="RZL190" s="3"/>
      <c r="RZM190" s="3"/>
      <c r="RZN190" s="3"/>
      <c r="RZO190" s="3"/>
      <c r="RZP190" s="3"/>
      <c r="RZQ190" s="3"/>
      <c r="RZR190" s="3"/>
      <c r="RZS190" s="3"/>
      <c r="RZT190" s="3"/>
      <c r="RZU190" s="3"/>
      <c r="RZV190" s="3"/>
      <c r="RZW190" s="3"/>
      <c r="RZX190" s="3"/>
      <c r="RZY190" s="3"/>
      <c r="RZZ190" s="3"/>
      <c r="SAA190" s="3"/>
      <c r="SAB190" s="3"/>
      <c r="SAC190" s="3"/>
      <c r="SAD190" s="3"/>
      <c r="SAE190" s="3"/>
      <c r="SAF190" s="3"/>
      <c r="SAG190" s="3"/>
      <c r="SAH190" s="3"/>
      <c r="SAI190" s="3"/>
      <c r="SAJ190" s="3"/>
      <c r="SAK190" s="3"/>
      <c r="SAL190" s="3"/>
      <c r="SAM190" s="3"/>
      <c r="SAN190" s="3"/>
      <c r="SAO190" s="3"/>
      <c r="SAP190" s="3"/>
      <c r="SAQ190" s="3"/>
      <c r="SAR190" s="3"/>
      <c r="SAS190" s="3"/>
      <c r="SAT190" s="3"/>
      <c r="SAU190" s="3"/>
      <c r="SAV190" s="3"/>
      <c r="SAW190" s="3"/>
      <c r="SAX190" s="3"/>
      <c r="SAY190" s="3"/>
      <c r="SAZ190" s="3"/>
      <c r="SBA190" s="3"/>
      <c r="SBB190" s="3"/>
      <c r="SBC190" s="3"/>
      <c r="SBD190" s="3"/>
      <c r="SBE190" s="3"/>
      <c r="SBF190" s="3"/>
      <c r="SBG190" s="3"/>
      <c r="SBH190" s="3"/>
      <c r="SBI190" s="3"/>
      <c r="SBJ190" s="3"/>
      <c r="SBK190" s="3"/>
      <c r="SBL190" s="3"/>
      <c r="SBM190" s="3"/>
      <c r="SBN190" s="3"/>
      <c r="SBO190" s="3"/>
      <c r="SBP190" s="3"/>
      <c r="SBQ190" s="3"/>
      <c r="SBR190" s="3"/>
      <c r="SBS190" s="3"/>
      <c r="SBT190" s="3"/>
      <c r="SBU190" s="3"/>
      <c r="SBV190" s="3"/>
      <c r="SBW190" s="3"/>
      <c r="SBX190" s="3"/>
      <c r="SBY190" s="3"/>
      <c r="SBZ190" s="3"/>
      <c r="SCA190" s="3"/>
      <c r="SCB190" s="3"/>
      <c r="SCC190" s="3"/>
      <c r="SCD190" s="3"/>
      <c r="SCE190" s="3"/>
      <c r="SCF190" s="3"/>
      <c r="SCG190" s="3"/>
      <c r="SCH190" s="3"/>
      <c r="SCI190" s="3"/>
      <c r="SCJ190" s="3"/>
      <c r="SCK190" s="3"/>
      <c r="SCL190" s="3"/>
      <c r="SCM190" s="3"/>
      <c r="SCN190" s="3"/>
      <c r="SCO190" s="3"/>
      <c r="SCP190" s="3"/>
      <c r="SCQ190" s="3"/>
      <c r="SCR190" s="3"/>
      <c r="SCS190" s="3"/>
      <c r="SCT190" s="3"/>
      <c r="SCU190" s="3"/>
      <c r="SCV190" s="3"/>
      <c r="SCW190" s="3"/>
      <c r="SCX190" s="3"/>
      <c r="SCY190" s="3"/>
      <c r="SCZ190" s="3"/>
      <c r="SDA190" s="3"/>
      <c r="SDB190" s="3"/>
      <c r="SDC190" s="3"/>
      <c r="SDD190" s="3"/>
      <c r="SDE190" s="3"/>
      <c r="SDF190" s="3"/>
      <c r="SDG190" s="3"/>
      <c r="SDH190" s="3"/>
      <c r="SDI190" s="3"/>
      <c r="SDJ190" s="3"/>
      <c r="SDK190" s="3"/>
      <c r="SDL190" s="3"/>
      <c r="SDM190" s="3"/>
      <c r="SDN190" s="3"/>
      <c r="SDO190" s="3"/>
      <c r="SDP190" s="3"/>
      <c r="SDQ190" s="3"/>
      <c r="SDR190" s="3"/>
      <c r="SDS190" s="3"/>
      <c r="SDT190" s="3"/>
      <c r="SDU190" s="3"/>
      <c r="SDV190" s="3"/>
      <c r="SDW190" s="3"/>
      <c r="SDX190" s="3"/>
      <c r="SDY190" s="3"/>
      <c r="SDZ190" s="3"/>
      <c r="SEA190" s="3"/>
      <c r="SEB190" s="3"/>
      <c r="SEC190" s="3"/>
      <c r="SED190" s="3"/>
      <c r="SEE190" s="3"/>
      <c r="SEF190" s="3"/>
      <c r="SEG190" s="3"/>
      <c r="SEH190" s="3"/>
      <c r="SEI190" s="3"/>
      <c r="SEJ190" s="3"/>
      <c r="SEK190" s="3"/>
      <c r="SEL190" s="3"/>
      <c r="SEM190" s="3"/>
      <c r="SEN190" s="3"/>
      <c r="SEO190" s="3"/>
      <c r="SEP190" s="3"/>
      <c r="SEQ190" s="3"/>
      <c r="SER190" s="3"/>
      <c r="SES190" s="3"/>
      <c r="SET190" s="3"/>
      <c r="SEU190" s="3"/>
      <c r="SEV190" s="3"/>
      <c r="SEW190" s="3"/>
      <c r="SEX190" s="3"/>
      <c r="SEY190" s="3"/>
      <c r="SEZ190" s="3"/>
      <c r="SFA190" s="3"/>
      <c r="SFB190" s="3"/>
      <c r="SFC190" s="3"/>
      <c r="SFD190" s="3"/>
      <c r="SFE190" s="3"/>
      <c r="SFF190" s="3"/>
      <c r="SFG190" s="3"/>
      <c r="SFH190" s="3"/>
      <c r="SFI190" s="3"/>
      <c r="SFJ190" s="3"/>
      <c r="SFK190" s="3"/>
      <c r="SFL190" s="3"/>
      <c r="SFM190" s="3"/>
      <c r="SFN190" s="3"/>
      <c r="SFO190" s="3"/>
      <c r="SFP190" s="3"/>
      <c r="SFQ190" s="3"/>
      <c r="SFR190" s="3"/>
      <c r="SFS190" s="3"/>
      <c r="SFT190" s="3"/>
      <c r="SFU190" s="3"/>
      <c r="SFV190" s="3"/>
      <c r="SFW190" s="3"/>
      <c r="SFX190" s="3"/>
      <c r="SFY190" s="3"/>
      <c r="SFZ190" s="3"/>
      <c r="SGA190" s="3"/>
      <c r="SGB190" s="3"/>
      <c r="SGC190" s="3"/>
      <c r="SGD190" s="3"/>
      <c r="SGE190" s="3"/>
      <c r="SGF190" s="3"/>
      <c r="SGG190" s="3"/>
      <c r="SGH190" s="3"/>
      <c r="SGI190" s="3"/>
      <c r="SGJ190" s="3"/>
      <c r="SGK190" s="3"/>
      <c r="SGL190" s="3"/>
      <c r="SGM190" s="3"/>
      <c r="SGN190" s="3"/>
      <c r="SGO190" s="3"/>
      <c r="SGP190" s="3"/>
      <c r="SGQ190" s="3"/>
      <c r="SGR190" s="3"/>
      <c r="SGS190" s="3"/>
      <c r="SGT190" s="3"/>
      <c r="SGU190" s="3"/>
      <c r="SGV190" s="3"/>
      <c r="SGW190" s="3"/>
      <c r="SGX190" s="3"/>
      <c r="SGY190" s="3"/>
      <c r="SGZ190" s="3"/>
      <c r="SHA190" s="3"/>
      <c r="SHB190" s="3"/>
      <c r="SHC190" s="3"/>
      <c r="SHD190" s="3"/>
      <c r="SHE190" s="3"/>
      <c r="SHF190" s="3"/>
      <c r="SHG190" s="3"/>
      <c r="SHH190" s="3"/>
      <c r="SHI190" s="3"/>
      <c r="SHJ190" s="3"/>
      <c r="SHK190" s="3"/>
      <c r="SHL190" s="3"/>
      <c r="SHM190" s="3"/>
      <c r="SHN190" s="3"/>
      <c r="SHO190" s="3"/>
      <c r="SHP190" s="3"/>
      <c r="SHQ190" s="3"/>
      <c r="SHR190" s="3"/>
      <c r="SHS190" s="3"/>
      <c r="SHT190" s="3"/>
      <c r="SHU190" s="3"/>
      <c r="SHV190" s="3"/>
      <c r="SHW190" s="3"/>
      <c r="SHX190" s="3"/>
      <c r="SHY190" s="3"/>
      <c r="SHZ190" s="3"/>
      <c r="SIA190" s="3"/>
      <c r="SIB190" s="3"/>
      <c r="SIC190" s="3"/>
      <c r="SID190" s="3"/>
      <c r="SIE190" s="3"/>
      <c r="SIF190" s="3"/>
      <c r="SIG190" s="3"/>
      <c r="SIH190" s="3"/>
      <c r="SII190" s="3"/>
      <c r="SIJ190" s="3"/>
      <c r="SIK190" s="3"/>
      <c r="SIL190" s="3"/>
      <c r="SIM190" s="3"/>
      <c r="SIN190" s="3"/>
      <c r="SIO190" s="3"/>
      <c r="SIP190" s="3"/>
      <c r="SIQ190" s="3"/>
      <c r="SIR190" s="3"/>
      <c r="SIS190" s="3"/>
      <c r="SIT190" s="3"/>
      <c r="SIU190" s="3"/>
      <c r="SIV190" s="3"/>
      <c r="SIW190" s="3"/>
      <c r="SIX190" s="3"/>
      <c r="SIY190" s="3"/>
      <c r="SIZ190" s="3"/>
      <c r="SJA190" s="3"/>
      <c r="SJB190" s="3"/>
      <c r="SJC190" s="3"/>
      <c r="SJD190" s="3"/>
      <c r="SJE190" s="3"/>
      <c r="SJF190" s="3"/>
      <c r="SJG190" s="3"/>
      <c r="SJH190" s="3"/>
      <c r="SJI190" s="3"/>
      <c r="SJJ190" s="3"/>
      <c r="SJK190" s="3"/>
      <c r="SJL190" s="3"/>
      <c r="SJM190" s="3"/>
      <c r="SJN190" s="3"/>
      <c r="SJO190" s="3"/>
      <c r="SJP190" s="3"/>
      <c r="SJQ190" s="3"/>
      <c r="SJR190" s="3"/>
      <c r="SJS190" s="3"/>
      <c r="SJT190" s="3"/>
      <c r="SJU190" s="3"/>
      <c r="SJV190" s="3"/>
      <c r="SJW190" s="3"/>
      <c r="SJX190" s="3"/>
      <c r="SJY190" s="3"/>
      <c r="SJZ190" s="3"/>
      <c r="SKA190" s="3"/>
      <c r="SKB190" s="3"/>
      <c r="SKC190" s="3"/>
      <c r="SKD190" s="3"/>
      <c r="SKE190" s="3"/>
      <c r="SKF190" s="3"/>
      <c r="SKG190" s="3"/>
      <c r="SKH190" s="3"/>
      <c r="SKI190" s="3"/>
      <c r="SKJ190" s="3"/>
      <c r="SKK190" s="3"/>
      <c r="SKL190" s="3"/>
      <c r="SKM190" s="3"/>
      <c r="SKN190" s="3"/>
      <c r="SKO190" s="3"/>
      <c r="SKP190" s="3"/>
      <c r="SKQ190" s="3"/>
      <c r="SKR190" s="3"/>
      <c r="SKS190" s="3"/>
      <c r="SKT190" s="3"/>
      <c r="SKU190" s="3"/>
      <c r="SKV190" s="3"/>
      <c r="SKW190" s="3"/>
      <c r="SKX190" s="3"/>
      <c r="SKY190" s="3"/>
      <c r="SKZ190" s="3"/>
      <c r="SLA190" s="3"/>
      <c r="SLB190" s="3"/>
      <c r="SLC190" s="3"/>
      <c r="SLD190" s="3"/>
      <c r="SLE190" s="3"/>
      <c r="SLF190" s="3"/>
      <c r="SLG190" s="3"/>
      <c r="SLH190" s="3"/>
      <c r="SLI190" s="3"/>
      <c r="SLJ190" s="3"/>
      <c r="SLK190" s="3"/>
      <c r="SLL190" s="3"/>
      <c r="SLM190" s="3"/>
      <c r="SLN190" s="3"/>
      <c r="SLO190" s="3"/>
      <c r="SLP190" s="3"/>
      <c r="SLQ190" s="3"/>
      <c r="SLR190" s="3"/>
      <c r="SLS190" s="3"/>
      <c r="SLT190" s="3"/>
      <c r="SLU190" s="3"/>
      <c r="SLV190" s="3"/>
      <c r="SLW190" s="3"/>
      <c r="SLX190" s="3"/>
      <c r="SLY190" s="3"/>
      <c r="SLZ190" s="3"/>
      <c r="SMA190" s="3"/>
      <c r="SMB190" s="3"/>
      <c r="SMC190" s="3"/>
      <c r="SMD190" s="3"/>
      <c r="SME190" s="3"/>
      <c r="SMF190" s="3"/>
      <c r="SMG190" s="3"/>
      <c r="SMH190" s="3"/>
      <c r="SMI190" s="3"/>
      <c r="SMJ190" s="3"/>
      <c r="SMK190" s="3"/>
      <c r="SML190" s="3"/>
      <c r="SMM190" s="3"/>
      <c r="SMN190" s="3"/>
      <c r="SMO190" s="3"/>
      <c r="SMP190" s="3"/>
      <c r="SMQ190" s="3"/>
      <c r="SMR190" s="3"/>
      <c r="SMS190" s="3"/>
      <c r="SMT190" s="3"/>
      <c r="SMU190" s="3"/>
      <c r="SMV190" s="3"/>
      <c r="SMW190" s="3"/>
      <c r="SMX190" s="3"/>
      <c r="SMY190" s="3"/>
      <c r="SMZ190" s="3"/>
      <c r="SNA190" s="3"/>
      <c r="SNB190" s="3"/>
      <c r="SNC190" s="3"/>
      <c r="SND190" s="3"/>
      <c r="SNE190" s="3"/>
      <c r="SNF190" s="3"/>
      <c r="SNG190" s="3"/>
      <c r="SNH190" s="3"/>
      <c r="SNI190" s="3"/>
      <c r="SNJ190" s="3"/>
      <c r="SNK190" s="3"/>
      <c r="SNL190" s="3"/>
      <c r="SNM190" s="3"/>
      <c r="SNN190" s="3"/>
      <c r="SNO190" s="3"/>
      <c r="SNP190" s="3"/>
      <c r="SNQ190" s="3"/>
      <c r="SNR190" s="3"/>
      <c r="SNS190" s="3"/>
      <c r="SNT190" s="3"/>
      <c r="SNU190" s="3"/>
      <c r="SNV190" s="3"/>
      <c r="SNW190" s="3"/>
      <c r="SNX190" s="3"/>
      <c r="SNY190" s="3"/>
      <c r="SNZ190" s="3"/>
      <c r="SOA190" s="3"/>
      <c r="SOB190" s="3"/>
      <c r="SOC190" s="3"/>
      <c r="SOD190" s="3"/>
      <c r="SOE190" s="3"/>
      <c r="SOF190" s="3"/>
      <c r="SOG190" s="3"/>
      <c r="SOH190" s="3"/>
      <c r="SOI190" s="3"/>
      <c r="SOJ190" s="3"/>
      <c r="SOK190" s="3"/>
      <c r="SOL190" s="3"/>
      <c r="SOM190" s="3"/>
      <c r="SON190" s="3"/>
      <c r="SOO190" s="3"/>
      <c r="SOP190" s="3"/>
      <c r="SOQ190" s="3"/>
      <c r="SOR190" s="3"/>
      <c r="SOS190" s="3"/>
      <c r="SOT190" s="3"/>
      <c r="SOU190" s="3"/>
      <c r="SOV190" s="3"/>
      <c r="SOW190" s="3"/>
      <c r="SOX190" s="3"/>
      <c r="SOY190" s="3"/>
      <c r="SOZ190" s="3"/>
      <c r="SPA190" s="3"/>
      <c r="SPB190" s="3"/>
      <c r="SPC190" s="3"/>
      <c r="SPD190" s="3"/>
      <c r="SPE190" s="3"/>
      <c r="SPF190" s="3"/>
      <c r="SPG190" s="3"/>
      <c r="SPH190" s="3"/>
      <c r="SPI190" s="3"/>
      <c r="SPJ190" s="3"/>
      <c r="SPK190" s="3"/>
      <c r="SPL190" s="3"/>
      <c r="SPM190" s="3"/>
      <c r="SPN190" s="3"/>
      <c r="SPO190" s="3"/>
      <c r="SPP190" s="3"/>
      <c r="SPQ190" s="3"/>
      <c r="SPR190" s="3"/>
      <c r="SPS190" s="3"/>
      <c r="SPT190" s="3"/>
      <c r="SPU190" s="3"/>
      <c r="SPV190" s="3"/>
      <c r="SPW190" s="3"/>
      <c r="SPX190" s="3"/>
      <c r="SPY190" s="3"/>
      <c r="SPZ190" s="3"/>
      <c r="SQA190" s="3"/>
      <c r="SQB190" s="3"/>
      <c r="SQC190" s="3"/>
      <c r="SQD190" s="3"/>
      <c r="SQE190" s="3"/>
      <c r="SQF190" s="3"/>
      <c r="SQG190" s="3"/>
      <c r="SQH190" s="3"/>
      <c r="SQI190" s="3"/>
      <c r="SQJ190" s="3"/>
      <c r="SQK190" s="3"/>
      <c r="SQL190" s="3"/>
      <c r="SQM190" s="3"/>
      <c r="SQN190" s="3"/>
      <c r="SQO190" s="3"/>
      <c r="SQP190" s="3"/>
      <c r="SQQ190" s="3"/>
      <c r="SQR190" s="3"/>
      <c r="SQS190" s="3"/>
      <c r="SQT190" s="3"/>
      <c r="SQU190" s="3"/>
      <c r="SQV190" s="3"/>
      <c r="SQW190" s="3"/>
      <c r="SQX190" s="3"/>
      <c r="SQY190" s="3"/>
      <c r="SQZ190" s="3"/>
      <c r="SRA190" s="3"/>
      <c r="SRB190" s="3"/>
      <c r="SRC190" s="3"/>
      <c r="SRD190" s="3"/>
      <c r="SRE190" s="3"/>
      <c r="SRF190" s="3"/>
      <c r="SRG190" s="3"/>
      <c r="SRH190" s="3"/>
      <c r="SRI190" s="3"/>
      <c r="SRJ190" s="3"/>
      <c r="SRK190" s="3"/>
      <c r="SRL190" s="3"/>
      <c r="SRM190" s="3"/>
      <c r="SRN190" s="3"/>
      <c r="SRO190" s="3"/>
      <c r="SRP190" s="3"/>
      <c r="SRQ190" s="3"/>
      <c r="SRR190" s="3"/>
      <c r="SRS190" s="3"/>
      <c r="SRT190" s="3"/>
      <c r="SRU190" s="3"/>
      <c r="SRV190" s="3"/>
      <c r="SRW190" s="3"/>
      <c r="SRX190" s="3"/>
      <c r="SRY190" s="3"/>
      <c r="SRZ190" s="3"/>
      <c r="SSA190" s="3"/>
      <c r="SSB190" s="3"/>
      <c r="SSC190" s="3"/>
      <c r="SSD190" s="3"/>
      <c r="SSE190" s="3"/>
      <c r="SSF190" s="3"/>
      <c r="SSG190" s="3"/>
      <c r="SSH190" s="3"/>
      <c r="SSI190" s="3"/>
      <c r="SSJ190" s="3"/>
      <c r="SSK190" s="3"/>
      <c r="SSL190" s="3"/>
      <c r="SSM190" s="3"/>
      <c r="SSN190" s="3"/>
      <c r="SSO190" s="3"/>
      <c r="SSP190" s="3"/>
      <c r="SSQ190" s="3"/>
      <c r="SSR190" s="3"/>
      <c r="SSS190" s="3"/>
      <c r="SST190" s="3"/>
      <c r="SSU190" s="3"/>
      <c r="SSV190" s="3"/>
      <c r="SSW190" s="3"/>
      <c r="SSX190" s="3"/>
      <c r="SSY190" s="3"/>
      <c r="SSZ190" s="3"/>
      <c r="STA190" s="3"/>
      <c r="STB190" s="3"/>
      <c r="STC190" s="3"/>
      <c r="STD190" s="3"/>
      <c r="STE190" s="3"/>
      <c r="STF190" s="3"/>
      <c r="STG190" s="3"/>
      <c r="STH190" s="3"/>
      <c r="STI190" s="3"/>
      <c r="STJ190" s="3"/>
      <c r="STK190" s="3"/>
      <c r="STL190" s="3"/>
      <c r="STM190" s="3"/>
      <c r="STN190" s="3"/>
      <c r="STO190" s="3"/>
      <c r="STP190" s="3"/>
      <c r="STQ190" s="3"/>
      <c r="STR190" s="3"/>
      <c r="STS190" s="3"/>
      <c r="STT190" s="3"/>
      <c r="STU190" s="3"/>
      <c r="STV190" s="3"/>
      <c r="STW190" s="3"/>
      <c r="STX190" s="3"/>
      <c r="STY190" s="3"/>
      <c r="STZ190" s="3"/>
      <c r="SUA190" s="3"/>
      <c r="SUB190" s="3"/>
      <c r="SUC190" s="3"/>
      <c r="SUD190" s="3"/>
      <c r="SUE190" s="3"/>
      <c r="SUF190" s="3"/>
      <c r="SUG190" s="3"/>
      <c r="SUH190" s="3"/>
      <c r="SUI190" s="3"/>
      <c r="SUJ190" s="3"/>
      <c r="SUK190" s="3"/>
      <c r="SUL190" s="3"/>
      <c r="SUM190" s="3"/>
      <c r="SUN190" s="3"/>
      <c r="SUO190" s="3"/>
      <c r="SUP190" s="3"/>
      <c r="SUQ190" s="3"/>
      <c r="SUR190" s="3"/>
      <c r="SUS190" s="3"/>
      <c r="SUT190" s="3"/>
      <c r="SUU190" s="3"/>
      <c r="SUV190" s="3"/>
      <c r="SUW190" s="3"/>
      <c r="SUX190" s="3"/>
      <c r="SUY190" s="3"/>
      <c r="SUZ190" s="3"/>
      <c r="SVA190" s="3"/>
      <c r="SVB190" s="3"/>
      <c r="SVC190" s="3"/>
      <c r="SVD190" s="3"/>
      <c r="SVE190" s="3"/>
      <c r="SVF190" s="3"/>
      <c r="SVG190" s="3"/>
      <c r="SVH190" s="3"/>
      <c r="SVI190" s="3"/>
      <c r="SVJ190" s="3"/>
      <c r="SVK190" s="3"/>
      <c r="SVL190" s="3"/>
      <c r="SVM190" s="3"/>
      <c r="SVN190" s="3"/>
      <c r="SVO190" s="3"/>
      <c r="SVP190" s="3"/>
      <c r="SVQ190" s="3"/>
      <c r="SVR190" s="3"/>
      <c r="SVS190" s="3"/>
      <c r="SVT190" s="3"/>
      <c r="SVU190" s="3"/>
      <c r="SVV190" s="3"/>
      <c r="SVW190" s="3"/>
      <c r="SVX190" s="3"/>
      <c r="SVY190" s="3"/>
      <c r="SVZ190" s="3"/>
      <c r="SWA190" s="3"/>
      <c r="SWB190" s="3"/>
      <c r="SWC190" s="3"/>
      <c r="SWD190" s="3"/>
      <c r="SWE190" s="3"/>
      <c r="SWF190" s="3"/>
      <c r="SWG190" s="3"/>
      <c r="SWH190" s="3"/>
      <c r="SWI190" s="3"/>
      <c r="SWJ190" s="3"/>
      <c r="SWK190" s="3"/>
      <c r="SWL190" s="3"/>
      <c r="SWM190" s="3"/>
      <c r="SWN190" s="3"/>
      <c r="SWO190" s="3"/>
      <c r="SWP190" s="3"/>
      <c r="SWQ190" s="3"/>
      <c r="SWR190" s="3"/>
      <c r="SWS190" s="3"/>
      <c r="SWT190" s="3"/>
      <c r="SWU190" s="3"/>
      <c r="SWV190" s="3"/>
      <c r="SWW190" s="3"/>
      <c r="SWX190" s="3"/>
      <c r="SWY190" s="3"/>
      <c r="SWZ190" s="3"/>
      <c r="SXA190" s="3"/>
      <c r="SXB190" s="3"/>
      <c r="SXC190" s="3"/>
      <c r="SXD190" s="3"/>
      <c r="SXE190" s="3"/>
      <c r="SXF190" s="3"/>
      <c r="SXG190" s="3"/>
      <c r="SXH190" s="3"/>
      <c r="SXI190" s="3"/>
      <c r="SXJ190" s="3"/>
      <c r="SXK190" s="3"/>
      <c r="SXL190" s="3"/>
      <c r="SXM190" s="3"/>
      <c r="SXN190" s="3"/>
      <c r="SXO190" s="3"/>
      <c r="SXP190" s="3"/>
      <c r="SXQ190" s="3"/>
      <c r="SXR190" s="3"/>
      <c r="SXS190" s="3"/>
      <c r="SXT190" s="3"/>
      <c r="SXU190" s="3"/>
      <c r="SXV190" s="3"/>
      <c r="SXW190" s="3"/>
      <c r="SXX190" s="3"/>
      <c r="SXY190" s="3"/>
      <c r="SXZ190" s="3"/>
      <c r="SYA190" s="3"/>
      <c r="SYB190" s="3"/>
      <c r="SYC190" s="3"/>
      <c r="SYD190" s="3"/>
      <c r="SYE190" s="3"/>
      <c r="SYF190" s="3"/>
      <c r="SYG190" s="3"/>
      <c r="SYH190" s="3"/>
      <c r="SYI190" s="3"/>
      <c r="SYJ190" s="3"/>
      <c r="SYK190" s="3"/>
      <c r="SYL190" s="3"/>
      <c r="SYM190" s="3"/>
      <c r="SYN190" s="3"/>
      <c r="SYO190" s="3"/>
      <c r="SYP190" s="3"/>
      <c r="SYQ190" s="3"/>
      <c r="SYR190" s="3"/>
      <c r="SYS190" s="3"/>
      <c r="SYT190" s="3"/>
      <c r="SYU190" s="3"/>
      <c r="SYV190" s="3"/>
      <c r="SYW190" s="3"/>
      <c r="SYX190" s="3"/>
      <c r="SYY190" s="3"/>
      <c r="SYZ190" s="3"/>
      <c r="SZA190" s="3"/>
      <c r="SZB190" s="3"/>
      <c r="SZC190" s="3"/>
      <c r="SZD190" s="3"/>
      <c r="SZE190" s="3"/>
      <c r="SZF190" s="3"/>
      <c r="SZG190" s="3"/>
      <c r="SZH190" s="3"/>
      <c r="SZI190" s="3"/>
      <c r="SZJ190" s="3"/>
      <c r="SZK190" s="3"/>
      <c r="SZL190" s="3"/>
      <c r="SZM190" s="3"/>
      <c r="SZN190" s="3"/>
      <c r="SZO190" s="3"/>
      <c r="SZP190" s="3"/>
      <c r="SZQ190" s="3"/>
      <c r="SZR190" s="3"/>
      <c r="SZS190" s="3"/>
      <c r="SZT190" s="3"/>
      <c r="SZU190" s="3"/>
      <c r="SZV190" s="3"/>
      <c r="SZW190" s="3"/>
      <c r="SZX190" s="3"/>
      <c r="SZY190" s="3"/>
      <c r="SZZ190" s="3"/>
      <c r="TAA190" s="3"/>
      <c r="TAB190" s="3"/>
      <c r="TAC190" s="3"/>
      <c r="TAD190" s="3"/>
      <c r="TAE190" s="3"/>
      <c r="TAF190" s="3"/>
      <c r="TAG190" s="3"/>
      <c r="TAH190" s="3"/>
      <c r="TAI190" s="3"/>
      <c r="TAJ190" s="3"/>
      <c r="TAK190" s="3"/>
      <c r="TAL190" s="3"/>
      <c r="TAM190" s="3"/>
      <c r="TAN190" s="3"/>
      <c r="TAO190" s="3"/>
      <c r="TAP190" s="3"/>
      <c r="TAQ190" s="3"/>
      <c r="TAR190" s="3"/>
      <c r="TAS190" s="3"/>
      <c r="TAT190" s="3"/>
      <c r="TAU190" s="3"/>
      <c r="TAV190" s="3"/>
      <c r="TAW190" s="3"/>
      <c r="TAX190" s="3"/>
      <c r="TAY190" s="3"/>
      <c r="TAZ190" s="3"/>
      <c r="TBA190" s="3"/>
      <c r="TBB190" s="3"/>
      <c r="TBC190" s="3"/>
      <c r="TBD190" s="3"/>
      <c r="TBE190" s="3"/>
      <c r="TBF190" s="3"/>
      <c r="TBG190" s="3"/>
      <c r="TBH190" s="3"/>
      <c r="TBI190" s="3"/>
      <c r="TBJ190" s="3"/>
      <c r="TBK190" s="3"/>
      <c r="TBL190" s="3"/>
      <c r="TBM190" s="3"/>
      <c r="TBN190" s="3"/>
      <c r="TBO190" s="3"/>
      <c r="TBP190" s="3"/>
      <c r="TBQ190" s="3"/>
      <c r="TBR190" s="3"/>
      <c r="TBS190" s="3"/>
      <c r="TBT190" s="3"/>
      <c r="TBU190" s="3"/>
      <c r="TBV190" s="3"/>
      <c r="TBW190" s="3"/>
      <c r="TBX190" s="3"/>
      <c r="TBY190" s="3"/>
      <c r="TBZ190" s="3"/>
      <c r="TCA190" s="3"/>
      <c r="TCB190" s="3"/>
      <c r="TCC190" s="3"/>
      <c r="TCD190" s="3"/>
      <c r="TCE190" s="3"/>
      <c r="TCF190" s="3"/>
      <c r="TCG190" s="3"/>
      <c r="TCH190" s="3"/>
      <c r="TCI190" s="3"/>
      <c r="TCJ190" s="3"/>
      <c r="TCK190" s="3"/>
      <c r="TCL190" s="3"/>
      <c r="TCM190" s="3"/>
      <c r="TCN190" s="3"/>
      <c r="TCO190" s="3"/>
      <c r="TCP190" s="3"/>
      <c r="TCQ190" s="3"/>
      <c r="TCR190" s="3"/>
      <c r="TCS190" s="3"/>
      <c r="TCT190" s="3"/>
      <c r="TCU190" s="3"/>
      <c r="TCV190" s="3"/>
      <c r="TCW190" s="3"/>
      <c r="TCX190" s="3"/>
      <c r="TCY190" s="3"/>
      <c r="TCZ190" s="3"/>
      <c r="TDA190" s="3"/>
      <c r="TDB190" s="3"/>
      <c r="TDC190" s="3"/>
      <c r="TDD190" s="3"/>
      <c r="TDE190" s="3"/>
      <c r="TDF190" s="3"/>
      <c r="TDG190" s="3"/>
      <c r="TDH190" s="3"/>
      <c r="TDI190" s="3"/>
      <c r="TDJ190" s="3"/>
      <c r="TDK190" s="3"/>
      <c r="TDL190" s="3"/>
      <c r="TDM190" s="3"/>
      <c r="TDN190" s="3"/>
      <c r="TDO190" s="3"/>
      <c r="TDP190" s="3"/>
      <c r="TDQ190" s="3"/>
      <c r="TDR190" s="3"/>
      <c r="TDS190" s="3"/>
      <c r="TDT190" s="3"/>
      <c r="TDU190" s="3"/>
      <c r="TDV190" s="3"/>
      <c r="TDW190" s="3"/>
      <c r="TDX190" s="3"/>
      <c r="TDY190" s="3"/>
      <c r="TDZ190" s="3"/>
      <c r="TEA190" s="3"/>
      <c r="TEB190" s="3"/>
      <c r="TEC190" s="3"/>
      <c r="TED190" s="3"/>
      <c r="TEE190" s="3"/>
      <c r="TEF190" s="3"/>
      <c r="TEG190" s="3"/>
      <c r="TEH190" s="3"/>
      <c r="TEI190" s="3"/>
      <c r="TEJ190" s="3"/>
      <c r="TEK190" s="3"/>
      <c r="TEL190" s="3"/>
      <c r="TEM190" s="3"/>
      <c r="TEN190" s="3"/>
      <c r="TEO190" s="3"/>
      <c r="TEP190" s="3"/>
      <c r="TEQ190" s="3"/>
      <c r="TER190" s="3"/>
      <c r="TES190" s="3"/>
      <c r="TET190" s="3"/>
      <c r="TEU190" s="3"/>
      <c r="TEV190" s="3"/>
      <c r="TEW190" s="3"/>
      <c r="TEX190" s="3"/>
      <c r="TEY190" s="3"/>
      <c r="TEZ190" s="3"/>
      <c r="TFA190" s="3"/>
      <c r="TFB190" s="3"/>
      <c r="TFC190" s="3"/>
      <c r="TFD190" s="3"/>
      <c r="TFE190" s="3"/>
      <c r="TFF190" s="3"/>
      <c r="TFG190" s="3"/>
      <c r="TFH190" s="3"/>
      <c r="TFI190" s="3"/>
      <c r="TFJ190" s="3"/>
      <c r="TFK190" s="3"/>
      <c r="TFL190" s="3"/>
      <c r="TFM190" s="3"/>
      <c r="TFN190" s="3"/>
      <c r="TFO190" s="3"/>
      <c r="TFP190" s="3"/>
      <c r="TFQ190" s="3"/>
      <c r="TFR190" s="3"/>
      <c r="TFS190" s="3"/>
      <c r="TFT190" s="3"/>
      <c r="TFU190" s="3"/>
      <c r="TFV190" s="3"/>
      <c r="TFW190" s="3"/>
      <c r="TFX190" s="3"/>
      <c r="TFY190" s="3"/>
      <c r="TFZ190" s="3"/>
      <c r="TGA190" s="3"/>
      <c r="TGB190" s="3"/>
      <c r="TGC190" s="3"/>
      <c r="TGD190" s="3"/>
      <c r="TGE190" s="3"/>
      <c r="TGF190" s="3"/>
      <c r="TGG190" s="3"/>
      <c r="TGH190" s="3"/>
      <c r="TGI190" s="3"/>
      <c r="TGJ190" s="3"/>
      <c r="TGK190" s="3"/>
      <c r="TGL190" s="3"/>
      <c r="TGM190" s="3"/>
      <c r="TGN190" s="3"/>
      <c r="TGO190" s="3"/>
      <c r="TGP190" s="3"/>
      <c r="TGQ190" s="3"/>
      <c r="TGR190" s="3"/>
      <c r="TGS190" s="3"/>
      <c r="TGT190" s="3"/>
      <c r="TGU190" s="3"/>
      <c r="TGV190" s="3"/>
      <c r="TGW190" s="3"/>
      <c r="TGX190" s="3"/>
      <c r="TGY190" s="3"/>
      <c r="TGZ190" s="3"/>
      <c r="THA190" s="3"/>
      <c r="THB190" s="3"/>
      <c r="THC190" s="3"/>
      <c r="THD190" s="3"/>
      <c r="THE190" s="3"/>
      <c r="THF190" s="3"/>
      <c r="THG190" s="3"/>
      <c r="THH190" s="3"/>
      <c r="THI190" s="3"/>
      <c r="THJ190" s="3"/>
      <c r="THK190" s="3"/>
      <c r="THL190" s="3"/>
      <c r="THM190" s="3"/>
      <c r="THN190" s="3"/>
      <c r="THO190" s="3"/>
      <c r="THP190" s="3"/>
      <c r="THQ190" s="3"/>
      <c r="THR190" s="3"/>
      <c r="THS190" s="3"/>
      <c r="THT190" s="3"/>
      <c r="THU190" s="3"/>
      <c r="THV190" s="3"/>
      <c r="THW190" s="3"/>
      <c r="THX190" s="3"/>
      <c r="THY190" s="3"/>
      <c r="THZ190" s="3"/>
      <c r="TIA190" s="3"/>
      <c r="TIB190" s="3"/>
      <c r="TIC190" s="3"/>
      <c r="TID190" s="3"/>
      <c r="TIE190" s="3"/>
      <c r="TIF190" s="3"/>
      <c r="TIG190" s="3"/>
      <c r="TIH190" s="3"/>
      <c r="TII190" s="3"/>
      <c r="TIJ190" s="3"/>
      <c r="TIK190" s="3"/>
      <c r="TIL190" s="3"/>
      <c r="TIM190" s="3"/>
      <c r="TIN190" s="3"/>
      <c r="TIO190" s="3"/>
      <c r="TIP190" s="3"/>
      <c r="TIQ190" s="3"/>
      <c r="TIR190" s="3"/>
      <c r="TIS190" s="3"/>
      <c r="TIT190" s="3"/>
      <c r="TIU190" s="3"/>
      <c r="TIV190" s="3"/>
      <c r="TIW190" s="3"/>
      <c r="TIX190" s="3"/>
      <c r="TIY190" s="3"/>
      <c r="TIZ190" s="3"/>
      <c r="TJA190" s="3"/>
      <c r="TJB190" s="3"/>
      <c r="TJC190" s="3"/>
      <c r="TJD190" s="3"/>
      <c r="TJE190" s="3"/>
      <c r="TJF190" s="3"/>
      <c r="TJG190" s="3"/>
      <c r="TJH190" s="3"/>
      <c r="TJI190" s="3"/>
      <c r="TJJ190" s="3"/>
      <c r="TJK190" s="3"/>
      <c r="TJL190" s="3"/>
      <c r="TJM190" s="3"/>
      <c r="TJN190" s="3"/>
      <c r="TJO190" s="3"/>
      <c r="TJP190" s="3"/>
      <c r="TJQ190" s="3"/>
      <c r="TJR190" s="3"/>
      <c r="TJS190" s="3"/>
      <c r="TJT190" s="3"/>
      <c r="TJU190" s="3"/>
      <c r="TJV190" s="3"/>
      <c r="TJW190" s="3"/>
      <c r="TJX190" s="3"/>
      <c r="TJY190" s="3"/>
      <c r="TJZ190" s="3"/>
      <c r="TKA190" s="3"/>
      <c r="TKB190" s="3"/>
      <c r="TKC190" s="3"/>
      <c r="TKD190" s="3"/>
      <c r="TKE190" s="3"/>
      <c r="TKF190" s="3"/>
      <c r="TKG190" s="3"/>
      <c r="TKH190" s="3"/>
      <c r="TKI190" s="3"/>
      <c r="TKJ190" s="3"/>
      <c r="TKK190" s="3"/>
      <c r="TKL190" s="3"/>
      <c r="TKM190" s="3"/>
      <c r="TKN190" s="3"/>
      <c r="TKO190" s="3"/>
      <c r="TKP190" s="3"/>
      <c r="TKQ190" s="3"/>
      <c r="TKR190" s="3"/>
      <c r="TKS190" s="3"/>
      <c r="TKT190" s="3"/>
      <c r="TKU190" s="3"/>
      <c r="TKV190" s="3"/>
      <c r="TKW190" s="3"/>
      <c r="TKX190" s="3"/>
      <c r="TKY190" s="3"/>
      <c r="TKZ190" s="3"/>
      <c r="TLA190" s="3"/>
      <c r="TLB190" s="3"/>
      <c r="TLC190" s="3"/>
      <c r="TLD190" s="3"/>
      <c r="TLE190" s="3"/>
      <c r="TLF190" s="3"/>
      <c r="TLG190" s="3"/>
      <c r="TLH190" s="3"/>
      <c r="TLI190" s="3"/>
      <c r="TLJ190" s="3"/>
      <c r="TLK190" s="3"/>
      <c r="TLL190" s="3"/>
      <c r="TLM190" s="3"/>
      <c r="TLN190" s="3"/>
      <c r="TLO190" s="3"/>
      <c r="TLP190" s="3"/>
      <c r="TLQ190" s="3"/>
      <c r="TLR190" s="3"/>
      <c r="TLS190" s="3"/>
      <c r="TLT190" s="3"/>
      <c r="TLU190" s="3"/>
      <c r="TLV190" s="3"/>
      <c r="TLW190" s="3"/>
      <c r="TLX190" s="3"/>
      <c r="TLY190" s="3"/>
      <c r="TLZ190" s="3"/>
      <c r="TMA190" s="3"/>
      <c r="TMB190" s="3"/>
      <c r="TMC190" s="3"/>
      <c r="TMD190" s="3"/>
      <c r="TME190" s="3"/>
      <c r="TMF190" s="3"/>
      <c r="TMG190" s="3"/>
      <c r="TMH190" s="3"/>
      <c r="TMI190" s="3"/>
      <c r="TMJ190" s="3"/>
      <c r="TMK190" s="3"/>
      <c r="TML190" s="3"/>
      <c r="TMM190" s="3"/>
      <c r="TMN190" s="3"/>
      <c r="TMO190" s="3"/>
      <c r="TMP190" s="3"/>
      <c r="TMQ190" s="3"/>
      <c r="TMR190" s="3"/>
      <c r="TMS190" s="3"/>
      <c r="TMT190" s="3"/>
      <c r="TMU190" s="3"/>
      <c r="TMV190" s="3"/>
      <c r="TMW190" s="3"/>
      <c r="TMX190" s="3"/>
      <c r="TMY190" s="3"/>
      <c r="TMZ190" s="3"/>
      <c r="TNA190" s="3"/>
      <c r="TNB190" s="3"/>
      <c r="TNC190" s="3"/>
      <c r="TND190" s="3"/>
      <c r="TNE190" s="3"/>
      <c r="TNF190" s="3"/>
      <c r="TNG190" s="3"/>
      <c r="TNH190" s="3"/>
      <c r="TNI190" s="3"/>
      <c r="TNJ190" s="3"/>
      <c r="TNK190" s="3"/>
      <c r="TNL190" s="3"/>
      <c r="TNM190" s="3"/>
      <c r="TNN190" s="3"/>
      <c r="TNO190" s="3"/>
      <c r="TNP190" s="3"/>
      <c r="TNQ190" s="3"/>
      <c r="TNR190" s="3"/>
      <c r="TNS190" s="3"/>
      <c r="TNT190" s="3"/>
      <c r="TNU190" s="3"/>
      <c r="TNV190" s="3"/>
      <c r="TNW190" s="3"/>
      <c r="TNX190" s="3"/>
      <c r="TNY190" s="3"/>
      <c r="TNZ190" s="3"/>
      <c r="TOA190" s="3"/>
      <c r="TOB190" s="3"/>
      <c r="TOC190" s="3"/>
      <c r="TOD190" s="3"/>
      <c r="TOE190" s="3"/>
      <c r="TOF190" s="3"/>
      <c r="TOG190" s="3"/>
      <c r="TOH190" s="3"/>
      <c r="TOI190" s="3"/>
      <c r="TOJ190" s="3"/>
      <c r="TOK190" s="3"/>
      <c r="TOL190" s="3"/>
      <c r="TOM190" s="3"/>
      <c r="TON190" s="3"/>
      <c r="TOO190" s="3"/>
      <c r="TOP190" s="3"/>
      <c r="TOQ190" s="3"/>
      <c r="TOR190" s="3"/>
      <c r="TOS190" s="3"/>
      <c r="TOT190" s="3"/>
      <c r="TOU190" s="3"/>
      <c r="TOV190" s="3"/>
      <c r="TOW190" s="3"/>
      <c r="TOX190" s="3"/>
      <c r="TOY190" s="3"/>
      <c r="TOZ190" s="3"/>
      <c r="TPA190" s="3"/>
      <c r="TPB190" s="3"/>
      <c r="TPC190" s="3"/>
      <c r="TPD190" s="3"/>
      <c r="TPE190" s="3"/>
      <c r="TPF190" s="3"/>
      <c r="TPG190" s="3"/>
      <c r="TPH190" s="3"/>
      <c r="TPI190" s="3"/>
      <c r="TPJ190" s="3"/>
      <c r="TPK190" s="3"/>
      <c r="TPL190" s="3"/>
      <c r="TPM190" s="3"/>
      <c r="TPN190" s="3"/>
      <c r="TPO190" s="3"/>
      <c r="TPP190" s="3"/>
      <c r="TPQ190" s="3"/>
      <c r="TPR190" s="3"/>
      <c r="TPS190" s="3"/>
      <c r="TPT190" s="3"/>
      <c r="TPU190" s="3"/>
      <c r="TPV190" s="3"/>
      <c r="TPW190" s="3"/>
      <c r="TPX190" s="3"/>
      <c r="TPY190" s="3"/>
      <c r="TPZ190" s="3"/>
      <c r="TQA190" s="3"/>
      <c r="TQB190" s="3"/>
      <c r="TQC190" s="3"/>
      <c r="TQD190" s="3"/>
      <c r="TQE190" s="3"/>
      <c r="TQF190" s="3"/>
      <c r="TQG190" s="3"/>
      <c r="TQH190" s="3"/>
      <c r="TQI190" s="3"/>
      <c r="TQJ190" s="3"/>
      <c r="TQK190" s="3"/>
      <c r="TQL190" s="3"/>
      <c r="TQM190" s="3"/>
      <c r="TQN190" s="3"/>
      <c r="TQO190" s="3"/>
      <c r="TQP190" s="3"/>
      <c r="TQQ190" s="3"/>
      <c r="TQR190" s="3"/>
      <c r="TQS190" s="3"/>
      <c r="TQT190" s="3"/>
      <c r="TQU190" s="3"/>
      <c r="TQV190" s="3"/>
      <c r="TQW190" s="3"/>
      <c r="TQX190" s="3"/>
      <c r="TQY190" s="3"/>
      <c r="TQZ190" s="3"/>
      <c r="TRA190" s="3"/>
      <c r="TRB190" s="3"/>
      <c r="TRC190" s="3"/>
      <c r="TRD190" s="3"/>
      <c r="TRE190" s="3"/>
      <c r="TRF190" s="3"/>
      <c r="TRG190" s="3"/>
      <c r="TRH190" s="3"/>
      <c r="TRI190" s="3"/>
      <c r="TRJ190" s="3"/>
      <c r="TRK190" s="3"/>
      <c r="TRL190" s="3"/>
      <c r="TRM190" s="3"/>
      <c r="TRN190" s="3"/>
      <c r="TRO190" s="3"/>
      <c r="TRP190" s="3"/>
      <c r="TRQ190" s="3"/>
      <c r="TRR190" s="3"/>
      <c r="TRS190" s="3"/>
      <c r="TRT190" s="3"/>
      <c r="TRU190" s="3"/>
      <c r="TRV190" s="3"/>
      <c r="TRW190" s="3"/>
      <c r="TRX190" s="3"/>
      <c r="TRY190" s="3"/>
      <c r="TRZ190" s="3"/>
      <c r="TSA190" s="3"/>
      <c r="TSB190" s="3"/>
      <c r="TSC190" s="3"/>
      <c r="TSD190" s="3"/>
      <c r="TSE190" s="3"/>
      <c r="TSF190" s="3"/>
      <c r="TSG190" s="3"/>
      <c r="TSH190" s="3"/>
      <c r="TSI190" s="3"/>
      <c r="TSJ190" s="3"/>
      <c r="TSK190" s="3"/>
      <c r="TSL190" s="3"/>
      <c r="TSM190" s="3"/>
      <c r="TSN190" s="3"/>
      <c r="TSO190" s="3"/>
      <c r="TSP190" s="3"/>
      <c r="TSQ190" s="3"/>
      <c r="TSR190" s="3"/>
      <c r="TSS190" s="3"/>
      <c r="TST190" s="3"/>
      <c r="TSU190" s="3"/>
      <c r="TSV190" s="3"/>
      <c r="TSW190" s="3"/>
      <c r="TSX190" s="3"/>
      <c r="TSY190" s="3"/>
      <c r="TSZ190" s="3"/>
      <c r="TTA190" s="3"/>
      <c r="TTB190" s="3"/>
      <c r="TTC190" s="3"/>
      <c r="TTD190" s="3"/>
      <c r="TTE190" s="3"/>
      <c r="TTF190" s="3"/>
      <c r="TTG190" s="3"/>
      <c r="TTH190" s="3"/>
      <c r="TTI190" s="3"/>
      <c r="TTJ190" s="3"/>
      <c r="TTK190" s="3"/>
      <c r="TTL190" s="3"/>
      <c r="TTM190" s="3"/>
      <c r="TTN190" s="3"/>
      <c r="TTO190" s="3"/>
      <c r="TTP190" s="3"/>
      <c r="TTQ190" s="3"/>
      <c r="TTR190" s="3"/>
      <c r="TTS190" s="3"/>
      <c r="TTT190" s="3"/>
      <c r="TTU190" s="3"/>
      <c r="TTV190" s="3"/>
      <c r="TTW190" s="3"/>
      <c r="TTX190" s="3"/>
      <c r="TTY190" s="3"/>
      <c r="TTZ190" s="3"/>
      <c r="TUA190" s="3"/>
      <c r="TUB190" s="3"/>
      <c r="TUC190" s="3"/>
      <c r="TUD190" s="3"/>
      <c r="TUE190" s="3"/>
      <c r="TUF190" s="3"/>
      <c r="TUG190" s="3"/>
      <c r="TUH190" s="3"/>
      <c r="TUI190" s="3"/>
      <c r="TUJ190" s="3"/>
      <c r="TUK190" s="3"/>
      <c r="TUL190" s="3"/>
      <c r="TUM190" s="3"/>
      <c r="TUN190" s="3"/>
      <c r="TUO190" s="3"/>
      <c r="TUP190" s="3"/>
      <c r="TUQ190" s="3"/>
      <c r="TUR190" s="3"/>
      <c r="TUS190" s="3"/>
      <c r="TUT190" s="3"/>
      <c r="TUU190" s="3"/>
      <c r="TUV190" s="3"/>
      <c r="TUW190" s="3"/>
      <c r="TUX190" s="3"/>
      <c r="TUY190" s="3"/>
      <c r="TUZ190" s="3"/>
      <c r="TVA190" s="3"/>
      <c r="TVB190" s="3"/>
      <c r="TVC190" s="3"/>
      <c r="TVD190" s="3"/>
      <c r="TVE190" s="3"/>
      <c r="TVF190" s="3"/>
      <c r="TVG190" s="3"/>
      <c r="TVH190" s="3"/>
      <c r="TVI190" s="3"/>
      <c r="TVJ190" s="3"/>
      <c r="TVK190" s="3"/>
      <c r="TVL190" s="3"/>
      <c r="TVM190" s="3"/>
      <c r="TVN190" s="3"/>
      <c r="TVO190" s="3"/>
      <c r="TVP190" s="3"/>
      <c r="TVQ190" s="3"/>
      <c r="TVR190" s="3"/>
      <c r="TVS190" s="3"/>
      <c r="TVT190" s="3"/>
      <c r="TVU190" s="3"/>
      <c r="TVV190" s="3"/>
      <c r="TVW190" s="3"/>
      <c r="TVX190" s="3"/>
      <c r="TVY190" s="3"/>
      <c r="TVZ190" s="3"/>
      <c r="TWA190" s="3"/>
      <c r="TWB190" s="3"/>
      <c r="TWC190" s="3"/>
      <c r="TWD190" s="3"/>
      <c r="TWE190" s="3"/>
      <c r="TWF190" s="3"/>
      <c r="TWG190" s="3"/>
      <c r="TWH190" s="3"/>
      <c r="TWI190" s="3"/>
      <c r="TWJ190" s="3"/>
      <c r="TWK190" s="3"/>
      <c r="TWL190" s="3"/>
      <c r="TWM190" s="3"/>
      <c r="TWN190" s="3"/>
      <c r="TWO190" s="3"/>
      <c r="TWP190" s="3"/>
      <c r="TWQ190" s="3"/>
      <c r="TWR190" s="3"/>
      <c r="TWS190" s="3"/>
      <c r="TWT190" s="3"/>
      <c r="TWU190" s="3"/>
      <c r="TWV190" s="3"/>
      <c r="TWW190" s="3"/>
      <c r="TWX190" s="3"/>
      <c r="TWY190" s="3"/>
      <c r="TWZ190" s="3"/>
      <c r="TXA190" s="3"/>
      <c r="TXB190" s="3"/>
      <c r="TXC190" s="3"/>
      <c r="TXD190" s="3"/>
      <c r="TXE190" s="3"/>
      <c r="TXF190" s="3"/>
      <c r="TXG190" s="3"/>
      <c r="TXH190" s="3"/>
      <c r="TXI190" s="3"/>
      <c r="TXJ190" s="3"/>
      <c r="TXK190" s="3"/>
      <c r="TXL190" s="3"/>
      <c r="TXM190" s="3"/>
      <c r="TXN190" s="3"/>
      <c r="TXO190" s="3"/>
      <c r="TXP190" s="3"/>
      <c r="TXQ190" s="3"/>
      <c r="TXR190" s="3"/>
      <c r="TXS190" s="3"/>
      <c r="TXT190" s="3"/>
      <c r="TXU190" s="3"/>
      <c r="TXV190" s="3"/>
      <c r="TXW190" s="3"/>
      <c r="TXX190" s="3"/>
      <c r="TXY190" s="3"/>
      <c r="TXZ190" s="3"/>
      <c r="TYA190" s="3"/>
      <c r="TYB190" s="3"/>
      <c r="TYC190" s="3"/>
      <c r="TYD190" s="3"/>
      <c r="TYE190" s="3"/>
      <c r="TYF190" s="3"/>
      <c r="TYG190" s="3"/>
      <c r="TYH190" s="3"/>
      <c r="TYI190" s="3"/>
      <c r="TYJ190" s="3"/>
      <c r="TYK190" s="3"/>
      <c r="TYL190" s="3"/>
      <c r="TYM190" s="3"/>
      <c r="TYN190" s="3"/>
      <c r="TYO190" s="3"/>
      <c r="TYP190" s="3"/>
      <c r="TYQ190" s="3"/>
      <c r="TYR190" s="3"/>
      <c r="TYS190" s="3"/>
      <c r="TYT190" s="3"/>
      <c r="TYU190" s="3"/>
      <c r="TYV190" s="3"/>
      <c r="TYW190" s="3"/>
      <c r="TYX190" s="3"/>
      <c r="TYY190" s="3"/>
      <c r="TYZ190" s="3"/>
      <c r="TZA190" s="3"/>
      <c r="TZB190" s="3"/>
      <c r="TZC190" s="3"/>
      <c r="TZD190" s="3"/>
      <c r="TZE190" s="3"/>
      <c r="TZF190" s="3"/>
      <c r="TZG190" s="3"/>
      <c r="TZH190" s="3"/>
      <c r="TZI190" s="3"/>
      <c r="TZJ190" s="3"/>
      <c r="TZK190" s="3"/>
      <c r="TZL190" s="3"/>
      <c r="TZM190" s="3"/>
      <c r="TZN190" s="3"/>
      <c r="TZO190" s="3"/>
      <c r="TZP190" s="3"/>
      <c r="TZQ190" s="3"/>
      <c r="TZR190" s="3"/>
      <c r="TZS190" s="3"/>
      <c r="TZT190" s="3"/>
      <c r="TZU190" s="3"/>
      <c r="TZV190" s="3"/>
      <c r="TZW190" s="3"/>
      <c r="TZX190" s="3"/>
      <c r="TZY190" s="3"/>
      <c r="TZZ190" s="3"/>
      <c r="UAA190" s="3"/>
      <c r="UAB190" s="3"/>
      <c r="UAC190" s="3"/>
      <c r="UAD190" s="3"/>
      <c r="UAE190" s="3"/>
      <c r="UAF190" s="3"/>
      <c r="UAG190" s="3"/>
      <c r="UAH190" s="3"/>
      <c r="UAI190" s="3"/>
      <c r="UAJ190" s="3"/>
      <c r="UAK190" s="3"/>
      <c r="UAL190" s="3"/>
      <c r="UAM190" s="3"/>
      <c r="UAN190" s="3"/>
      <c r="UAO190" s="3"/>
      <c r="UAP190" s="3"/>
      <c r="UAQ190" s="3"/>
      <c r="UAR190" s="3"/>
      <c r="UAS190" s="3"/>
      <c r="UAT190" s="3"/>
      <c r="UAU190" s="3"/>
      <c r="UAV190" s="3"/>
      <c r="UAW190" s="3"/>
      <c r="UAX190" s="3"/>
      <c r="UAY190" s="3"/>
      <c r="UAZ190" s="3"/>
      <c r="UBA190" s="3"/>
      <c r="UBB190" s="3"/>
      <c r="UBC190" s="3"/>
      <c r="UBD190" s="3"/>
      <c r="UBE190" s="3"/>
      <c r="UBF190" s="3"/>
      <c r="UBG190" s="3"/>
      <c r="UBH190" s="3"/>
      <c r="UBI190" s="3"/>
      <c r="UBJ190" s="3"/>
      <c r="UBK190" s="3"/>
      <c r="UBL190" s="3"/>
      <c r="UBM190" s="3"/>
      <c r="UBN190" s="3"/>
      <c r="UBO190" s="3"/>
      <c r="UBP190" s="3"/>
      <c r="UBQ190" s="3"/>
      <c r="UBR190" s="3"/>
      <c r="UBS190" s="3"/>
      <c r="UBT190" s="3"/>
      <c r="UBU190" s="3"/>
      <c r="UBV190" s="3"/>
      <c r="UBW190" s="3"/>
      <c r="UBX190" s="3"/>
      <c r="UBY190" s="3"/>
      <c r="UBZ190" s="3"/>
      <c r="UCA190" s="3"/>
      <c r="UCB190" s="3"/>
      <c r="UCC190" s="3"/>
      <c r="UCD190" s="3"/>
      <c r="UCE190" s="3"/>
      <c r="UCF190" s="3"/>
      <c r="UCG190" s="3"/>
      <c r="UCH190" s="3"/>
      <c r="UCI190" s="3"/>
      <c r="UCJ190" s="3"/>
      <c r="UCK190" s="3"/>
      <c r="UCL190" s="3"/>
      <c r="UCM190" s="3"/>
      <c r="UCN190" s="3"/>
      <c r="UCO190" s="3"/>
      <c r="UCP190" s="3"/>
      <c r="UCQ190" s="3"/>
      <c r="UCR190" s="3"/>
      <c r="UCS190" s="3"/>
      <c r="UCT190" s="3"/>
      <c r="UCU190" s="3"/>
      <c r="UCV190" s="3"/>
      <c r="UCW190" s="3"/>
      <c r="UCX190" s="3"/>
      <c r="UCY190" s="3"/>
      <c r="UCZ190" s="3"/>
      <c r="UDA190" s="3"/>
      <c r="UDB190" s="3"/>
      <c r="UDC190" s="3"/>
      <c r="UDD190" s="3"/>
      <c r="UDE190" s="3"/>
      <c r="UDF190" s="3"/>
      <c r="UDG190" s="3"/>
      <c r="UDH190" s="3"/>
      <c r="UDI190" s="3"/>
      <c r="UDJ190" s="3"/>
      <c r="UDK190" s="3"/>
      <c r="UDL190" s="3"/>
      <c r="UDM190" s="3"/>
      <c r="UDN190" s="3"/>
      <c r="UDO190" s="3"/>
      <c r="UDP190" s="3"/>
      <c r="UDQ190" s="3"/>
      <c r="UDR190" s="3"/>
      <c r="UDS190" s="3"/>
      <c r="UDT190" s="3"/>
      <c r="UDU190" s="3"/>
      <c r="UDV190" s="3"/>
      <c r="UDW190" s="3"/>
      <c r="UDX190" s="3"/>
      <c r="UDY190" s="3"/>
      <c r="UDZ190" s="3"/>
      <c r="UEA190" s="3"/>
      <c r="UEB190" s="3"/>
      <c r="UEC190" s="3"/>
      <c r="UED190" s="3"/>
      <c r="UEE190" s="3"/>
      <c r="UEF190" s="3"/>
      <c r="UEG190" s="3"/>
      <c r="UEH190" s="3"/>
      <c r="UEI190" s="3"/>
      <c r="UEJ190" s="3"/>
      <c r="UEK190" s="3"/>
      <c r="UEL190" s="3"/>
      <c r="UEM190" s="3"/>
      <c r="UEN190" s="3"/>
      <c r="UEO190" s="3"/>
      <c r="UEP190" s="3"/>
      <c r="UEQ190" s="3"/>
      <c r="UER190" s="3"/>
      <c r="UES190" s="3"/>
      <c r="UET190" s="3"/>
      <c r="UEU190" s="3"/>
      <c r="UEV190" s="3"/>
      <c r="UEW190" s="3"/>
      <c r="UEX190" s="3"/>
      <c r="UEY190" s="3"/>
      <c r="UEZ190" s="3"/>
      <c r="UFA190" s="3"/>
      <c r="UFB190" s="3"/>
      <c r="UFC190" s="3"/>
      <c r="UFD190" s="3"/>
      <c r="UFE190" s="3"/>
      <c r="UFF190" s="3"/>
      <c r="UFG190" s="3"/>
      <c r="UFH190" s="3"/>
      <c r="UFI190" s="3"/>
      <c r="UFJ190" s="3"/>
      <c r="UFK190" s="3"/>
      <c r="UFL190" s="3"/>
      <c r="UFM190" s="3"/>
      <c r="UFN190" s="3"/>
      <c r="UFO190" s="3"/>
      <c r="UFP190" s="3"/>
      <c r="UFQ190" s="3"/>
      <c r="UFR190" s="3"/>
      <c r="UFS190" s="3"/>
      <c r="UFT190" s="3"/>
      <c r="UFU190" s="3"/>
      <c r="UFV190" s="3"/>
      <c r="UFW190" s="3"/>
      <c r="UFX190" s="3"/>
      <c r="UFY190" s="3"/>
      <c r="UFZ190" s="3"/>
      <c r="UGA190" s="3"/>
      <c r="UGB190" s="3"/>
      <c r="UGC190" s="3"/>
      <c r="UGD190" s="3"/>
      <c r="UGE190" s="3"/>
      <c r="UGF190" s="3"/>
      <c r="UGG190" s="3"/>
      <c r="UGH190" s="3"/>
      <c r="UGI190" s="3"/>
      <c r="UGJ190" s="3"/>
      <c r="UGK190" s="3"/>
      <c r="UGL190" s="3"/>
      <c r="UGM190" s="3"/>
      <c r="UGN190" s="3"/>
      <c r="UGO190" s="3"/>
      <c r="UGP190" s="3"/>
      <c r="UGQ190" s="3"/>
      <c r="UGR190" s="3"/>
      <c r="UGS190" s="3"/>
      <c r="UGT190" s="3"/>
      <c r="UGU190" s="3"/>
      <c r="UGV190" s="3"/>
      <c r="UGW190" s="3"/>
      <c r="UGX190" s="3"/>
      <c r="UGY190" s="3"/>
      <c r="UGZ190" s="3"/>
      <c r="UHA190" s="3"/>
      <c r="UHB190" s="3"/>
      <c r="UHC190" s="3"/>
      <c r="UHD190" s="3"/>
      <c r="UHE190" s="3"/>
      <c r="UHF190" s="3"/>
      <c r="UHG190" s="3"/>
      <c r="UHH190" s="3"/>
      <c r="UHI190" s="3"/>
      <c r="UHJ190" s="3"/>
      <c r="UHK190" s="3"/>
      <c r="UHL190" s="3"/>
      <c r="UHM190" s="3"/>
      <c r="UHN190" s="3"/>
      <c r="UHO190" s="3"/>
      <c r="UHP190" s="3"/>
      <c r="UHQ190" s="3"/>
      <c r="UHR190" s="3"/>
      <c r="UHS190" s="3"/>
      <c r="UHT190" s="3"/>
      <c r="UHU190" s="3"/>
      <c r="UHV190" s="3"/>
      <c r="UHW190" s="3"/>
      <c r="UHX190" s="3"/>
      <c r="UHY190" s="3"/>
      <c r="UHZ190" s="3"/>
      <c r="UIA190" s="3"/>
      <c r="UIB190" s="3"/>
      <c r="UIC190" s="3"/>
      <c r="UID190" s="3"/>
      <c r="UIE190" s="3"/>
      <c r="UIF190" s="3"/>
      <c r="UIG190" s="3"/>
      <c r="UIH190" s="3"/>
      <c r="UII190" s="3"/>
      <c r="UIJ190" s="3"/>
      <c r="UIK190" s="3"/>
      <c r="UIL190" s="3"/>
      <c r="UIM190" s="3"/>
      <c r="UIN190" s="3"/>
      <c r="UIO190" s="3"/>
      <c r="UIP190" s="3"/>
      <c r="UIQ190" s="3"/>
      <c r="UIR190" s="3"/>
      <c r="UIS190" s="3"/>
      <c r="UIT190" s="3"/>
      <c r="UIU190" s="3"/>
      <c r="UIV190" s="3"/>
      <c r="UIW190" s="3"/>
      <c r="UIX190" s="3"/>
      <c r="UIY190" s="3"/>
      <c r="UIZ190" s="3"/>
      <c r="UJA190" s="3"/>
      <c r="UJB190" s="3"/>
      <c r="UJC190" s="3"/>
      <c r="UJD190" s="3"/>
      <c r="UJE190" s="3"/>
      <c r="UJF190" s="3"/>
      <c r="UJG190" s="3"/>
      <c r="UJH190" s="3"/>
      <c r="UJI190" s="3"/>
      <c r="UJJ190" s="3"/>
      <c r="UJK190" s="3"/>
      <c r="UJL190" s="3"/>
      <c r="UJM190" s="3"/>
      <c r="UJN190" s="3"/>
      <c r="UJO190" s="3"/>
      <c r="UJP190" s="3"/>
      <c r="UJQ190" s="3"/>
      <c r="UJR190" s="3"/>
      <c r="UJS190" s="3"/>
      <c r="UJT190" s="3"/>
      <c r="UJU190" s="3"/>
      <c r="UJV190" s="3"/>
      <c r="UJW190" s="3"/>
      <c r="UJX190" s="3"/>
      <c r="UJY190" s="3"/>
      <c r="UJZ190" s="3"/>
      <c r="UKA190" s="3"/>
      <c r="UKB190" s="3"/>
      <c r="UKC190" s="3"/>
      <c r="UKD190" s="3"/>
      <c r="UKE190" s="3"/>
      <c r="UKF190" s="3"/>
      <c r="UKG190" s="3"/>
      <c r="UKH190" s="3"/>
      <c r="UKI190" s="3"/>
      <c r="UKJ190" s="3"/>
      <c r="UKK190" s="3"/>
      <c r="UKL190" s="3"/>
      <c r="UKM190" s="3"/>
      <c r="UKN190" s="3"/>
      <c r="UKO190" s="3"/>
      <c r="UKP190" s="3"/>
      <c r="UKQ190" s="3"/>
      <c r="UKR190" s="3"/>
      <c r="UKS190" s="3"/>
      <c r="UKT190" s="3"/>
      <c r="UKU190" s="3"/>
      <c r="UKV190" s="3"/>
      <c r="UKW190" s="3"/>
      <c r="UKX190" s="3"/>
      <c r="UKY190" s="3"/>
      <c r="UKZ190" s="3"/>
      <c r="ULA190" s="3"/>
      <c r="ULB190" s="3"/>
      <c r="ULC190" s="3"/>
      <c r="ULD190" s="3"/>
      <c r="ULE190" s="3"/>
      <c r="ULF190" s="3"/>
      <c r="ULG190" s="3"/>
      <c r="ULH190" s="3"/>
      <c r="ULI190" s="3"/>
      <c r="ULJ190" s="3"/>
      <c r="ULK190" s="3"/>
      <c r="ULL190" s="3"/>
      <c r="ULM190" s="3"/>
      <c r="ULN190" s="3"/>
      <c r="ULO190" s="3"/>
      <c r="ULP190" s="3"/>
      <c r="ULQ190" s="3"/>
      <c r="ULR190" s="3"/>
      <c r="ULS190" s="3"/>
      <c r="ULT190" s="3"/>
      <c r="ULU190" s="3"/>
      <c r="ULV190" s="3"/>
      <c r="ULW190" s="3"/>
      <c r="ULX190" s="3"/>
      <c r="ULY190" s="3"/>
      <c r="ULZ190" s="3"/>
      <c r="UMA190" s="3"/>
      <c r="UMB190" s="3"/>
      <c r="UMC190" s="3"/>
      <c r="UMD190" s="3"/>
      <c r="UME190" s="3"/>
      <c r="UMF190" s="3"/>
      <c r="UMG190" s="3"/>
      <c r="UMH190" s="3"/>
      <c r="UMI190" s="3"/>
      <c r="UMJ190" s="3"/>
      <c r="UMK190" s="3"/>
      <c r="UML190" s="3"/>
      <c r="UMM190" s="3"/>
      <c r="UMN190" s="3"/>
      <c r="UMO190" s="3"/>
      <c r="UMP190" s="3"/>
      <c r="UMQ190" s="3"/>
      <c r="UMR190" s="3"/>
      <c r="UMS190" s="3"/>
      <c r="UMT190" s="3"/>
      <c r="UMU190" s="3"/>
      <c r="UMV190" s="3"/>
      <c r="UMW190" s="3"/>
      <c r="UMX190" s="3"/>
      <c r="UMY190" s="3"/>
      <c r="UMZ190" s="3"/>
      <c r="UNA190" s="3"/>
      <c r="UNB190" s="3"/>
      <c r="UNC190" s="3"/>
      <c r="UND190" s="3"/>
      <c r="UNE190" s="3"/>
      <c r="UNF190" s="3"/>
      <c r="UNG190" s="3"/>
      <c r="UNH190" s="3"/>
      <c r="UNI190" s="3"/>
      <c r="UNJ190" s="3"/>
      <c r="UNK190" s="3"/>
      <c r="UNL190" s="3"/>
      <c r="UNM190" s="3"/>
      <c r="UNN190" s="3"/>
      <c r="UNO190" s="3"/>
      <c r="UNP190" s="3"/>
      <c r="UNQ190" s="3"/>
      <c r="UNR190" s="3"/>
      <c r="UNS190" s="3"/>
      <c r="UNT190" s="3"/>
      <c r="UNU190" s="3"/>
      <c r="UNV190" s="3"/>
      <c r="UNW190" s="3"/>
      <c r="UNX190" s="3"/>
      <c r="UNY190" s="3"/>
      <c r="UNZ190" s="3"/>
      <c r="UOA190" s="3"/>
      <c r="UOB190" s="3"/>
      <c r="UOC190" s="3"/>
      <c r="UOD190" s="3"/>
      <c r="UOE190" s="3"/>
      <c r="UOF190" s="3"/>
      <c r="UOG190" s="3"/>
      <c r="UOH190" s="3"/>
      <c r="UOI190" s="3"/>
      <c r="UOJ190" s="3"/>
      <c r="UOK190" s="3"/>
      <c r="UOL190" s="3"/>
      <c r="UOM190" s="3"/>
      <c r="UON190" s="3"/>
      <c r="UOO190" s="3"/>
      <c r="UOP190" s="3"/>
      <c r="UOQ190" s="3"/>
      <c r="UOR190" s="3"/>
      <c r="UOS190" s="3"/>
      <c r="UOT190" s="3"/>
      <c r="UOU190" s="3"/>
      <c r="UOV190" s="3"/>
      <c r="UOW190" s="3"/>
      <c r="UOX190" s="3"/>
      <c r="UOY190" s="3"/>
      <c r="UOZ190" s="3"/>
      <c r="UPA190" s="3"/>
      <c r="UPB190" s="3"/>
      <c r="UPC190" s="3"/>
      <c r="UPD190" s="3"/>
      <c r="UPE190" s="3"/>
      <c r="UPF190" s="3"/>
      <c r="UPG190" s="3"/>
      <c r="UPH190" s="3"/>
      <c r="UPI190" s="3"/>
      <c r="UPJ190" s="3"/>
      <c r="UPK190" s="3"/>
      <c r="UPL190" s="3"/>
      <c r="UPM190" s="3"/>
      <c r="UPN190" s="3"/>
      <c r="UPO190" s="3"/>
      <c r="UPP190" s="3"/>
      <c r="UPQ190" s="3"/>
      <c r="UPR190" s="3"/>
      <c r="UPS190" s="3"/>
      <c r="UPT190" s="3"/>
      <c r="UPU190" s="3"/>
      <c r="UPV190" s="3"/>
      <c r="UPW190" s="3"/>
      <c r="UPX190" s="3"/>
      <c r="UPY190" s="3"/>
      <c r="UPZ190" s="3"/>
      <c r="UQA190" s="3"/>
      <c r="UQB190" s="3"/>
      <c r="UQC190" s="3"/>
      <c r="UQD190" s="3"/>
      <c r="UQE190" s="3"/>
      <c r="UQF190" s="3"/>
      <c r="UQG190" s="3"/>
      <c r="UQH190" s="3"/>
      <c r="UQI190" s="3"/>
      <c r="UQJ190" s="3"/>
      <c r="UQK190" s="3"/>
      <c r="UQL190" s="3"/>
      <c r="UQM190" s="3"/>
      <c r="UQN190" s="3"/>
      <c r="UQO190" s="3"/>
      <c r="UQP190" s="3"/>
      <c r="UQQ190" s="3"/>
      <c r="UQR190" s="3"/>
      <c r="UQS190" s="3"/>
      <c r="UQT190" s="3"/>
      <c r="UQU190" s="3"/>
      <c r="UQV190" s="3"/>
      <c r="UQW190" s="3"/>
      <c r="UQX190" s="3"/>
      <c r="UQY190" s="3"/>
      <c r="UQZ190" s="3"/>
      <c r="URA190" s="3"/>
      <c r="URB190" s="3"/>
      <c r="URC190" s="3"/>
      <c r="URD190" s="3"/>
      <c r="URE190" s="3"/>
      <c r="URF190" s="3"/>
      <c r="URG190" s="3"/>
      <c r="URH190" s="3"/>
      <c r="URI190" s="3"/>
      <c r="URJ190" s="3"/>
      <c r="URK190" s="3"/>
      <c r="URL190" s="3"/>
      <c r="URM190" s="3"/>
      <c r="URN190" s="3"/>
      <c r="URO190" s="3"/>
      <c r="URP190" s="3"/>
      <c r="URQ190" s="3"/>
      <c r="URR190" s="3"/>
      <c r="URS190" s="3"/>
      <c r="URT190" s="3"/>
      <c r="URU190" s="3"/>
      <c r="URV190" s="3"/>
      <c r="URW190" s="3"/>
      <c r="URX190" s="3"/>
      <c r="URY190" s="3"/>
      <c r="URZ190" s="3"/>
      <c r="USA190" s="3"/>
      <c r="USB190" s="3"/>
      <c r="USC190" s="3"/>
      <c r="USD190" s="3"/>
      <c r="USE190" s="3"/>
      <c r="USF190" s="3"/>
      <c r="USG190" s="3"/>
      <c r="USH190" s="3"/>
      <c r="USI190" s="3"/>
      <c r="USJ190" s="3"/>
      <c r="USK190" s="3"/>
      <c r="USL190" s="3"/>
      <c r="USM190" s="3"/>
      <c r="USN190" s="3"/>
      <c r="USO190" s="3"/>
      <c r="USP190" s="3"/>
      <c r="USQ190" s="3"/>
      <c r="USR190" s="3"/>
      <c r="USS190" s="3"/>
      <c r="UST190" s="3"/>
      <c r="USU190" s="3"/>
      <c r="USV190" s="3"/>
      <c r="USW190" s="3"/>
      <c r="USX190" s="3"/>
      <c r="USY190" s="3"/>
      <c r="USZ190" s="3"/>
      <c r="UTA190" s="3"/>
      <c r="UTB190" s="3"/>
      <c r="UTC190" s="3"/>
      <c r="UTD190" s="3"/>
      <c r="UTE190" s="3"/>
      <c r="UTF190" s="3"/>
      <c r="UTG190" s="3"/>
      <c r="UTH190" s="3"/>
      <c r="UTI190" s="3"/>
      <c r="UTJ190" s="3"/>
      <c r="UTK190" s="3"/>
      <c r="UTL190" s="3"/>
      <c r="UTM190" s="3"/>
      <c r="UTN190" s="3"/>
      <c r="UTO190" s="3"/>
      <c r="UTP190" s="3"/>
      <c r="UTQ190" s="3"/>
      <c r="UTR190" s="3"/>
      <c r="UTS190" s="3"/>
      <c r="UTT190" s="3"/>
      <c r="UTU190" s="3"/>
      <c r="UTV190" s="3"/>
      <c r="UTW190" s="3"/>
      <c r="UTX190" s="3"/>
      <c r="UTY190" s="3"/>
      <c r="UTZ190" s="3"/>
      <c r="UUA190" s="3"/>
      <c r="UUB190" s="3"/>
      <c r="UUC190" s="3"/>
      <c r="UUD190" s="3"/>
      <c r="UUE190" s="3"/>
      <c r="UUF190" s="3"/>
      <c r="UUG190" s="3"/>
      <c r="UUH190" s="3"/>
      <c r="UUI190" s="3"/>
      <c r="UUJ190" s="3"/>
      <c r="UUK190" s="3"/>
      <c r="UUL190" s="3"/>
      <c r="UUM190" s="3"/>
      <c r="UUN190" s="3"/>
      <c r="UUO190" s="3"/>
      <c r="UUP190" s="3"/>
      <c r="UUQ190" s="3"/>
      <c r="UUR190" s="3"/>
      <c r="UUS190" s="3"/>
      <c r="UUT190" s="3"/>
      <c r="UUU190" s="3"/>
      <c r="UUV190" s="3"/>
      <c r="UUW190" s="3"/>
      <c r="UUX190" s="3"/>
      <c r="UUY190" s="3"/>
      <c r="UUZ190" s="3"/>
      <c r="UVA190" s="3"/>
      <c r="UVB190" s="3"/>
      <c r="UVC190" s="3"/>
      <c r="UVD190" s="3"/>
      <c r="UVE190" s="3"/>
      <c r="UVF190" s="3"/>
      <c r="UVG190" s="3"/>
      <c r="UVH190" s="3"/>
      <c r="UVI190" s="3"/>
      <c r="UVJ190" s="3"/>
      <c r="UVK190" s="3"/>
      <c r="UVL190" s="3"/>
      <c r="UVM190" s="3"/>
      <c r="UVN190" s="3"/>
      <c r="UVO190" s="3"/>
      <c r="UVP190" s="3"/>
      <c r="UVQ190" s="3"/>
      <c r="UVR190" s="3"/>
      <c r="UVS190" s="3"/>
      <c r="UVT190" s="3"/>
      <c r="UVU190" s="3"/>
      <c r="UVV190" s="3"/>
      <c r="UVW190" s="3"/>
      <c r="UVX190" s="3"/>
      <c r="UVY190" s="3"/>
      <c r="UVZ190" s="3"/>
      <c r="UWA190" s="3"/>
      <c r="UWB190" s="3"/>
      <c r="UWC190" s="3"/>
      <c r="UWD190" s="3"/>
      <c r="UWE190" s="3"/>
      <c r="UWF190" s="3"/>
      <c r="UWG190" s="3"/>
      <c r="UWH190" s="3"/>
      <c r="UWI190" s="3"/>
      <c r="UWJ190" s="3"/>
      <c r="UWK190" s="3"/>
      <c r="UWL190" s="3"/>
      <c r="UWM190" s="3"/>
      <c r="UWN190" s="3"/>
      <c r="UWO190" s="3"/>
      <c r="UWP190" s="3"/>
      <c r="UWQ190" s="3"/>
      <c r="UWR190" s="3"/>
      <c r="UWS190" s="3"/>
      <c r="UWT190" s="3"/>
      <c r="UWU190" s="3"/>
      <c r="UWV190" s="3"/>
      <c r="UWW190" s="3"/>
      <c r="UWX190" s="3"/>
      <c r="UWY190" s="3"/>
      <c r="UWZ190" s="3"/>
      <c r="UXA190" s="3"/>
      <c r="UXB190" s="3"/>
      <c r="UXC190" s="3"/>
      <c r="UXD190" s="3"/>
      <c r="UXE190" s="3"/>
      <c r="UXF190" s="3"/>
      <c r="UXG190" s="3"/>
      <c r="UXH190" s="3"/>
      <c r="UXI190" s="3"/>
      <c r="UXJ190" s="3"/>
      <c r="UXK190" s="3"/>
      <c r="UXL190" s="3"/>
      <c r="UXM190" s="3"/>
      <c r="UXN190" s="3"/>
      <c r="UXO190" s="3"/>
      <c r="UXP190" s="3"/>
      <c r="UXQ190" s="3"/>
      <c r="UXR190" s="3"/>
      <c r="UXS190" s="3"/>
      <c r="UXT190" s="3"/>
      <c r="UXU190" s="3"/>
      <c r="UXV190" s="3"/>
      <c r="UXW190" s="3"/>
      <c r="UXX190" s="3"/>
      <c r="UXY190" s="3"/>
      <c r="UXZ190" s="3"/>
      <c r="UYA190" s="3"/>
      <c r="UYB190" s="3"/>
      <c r="UYC190" s="3"/>
      <c r="UYD190" s="3"/>
      <c r="UYE190" s="3"/>
      <c r="UYF190" s="3"/>
      <c r="UYG190" s="3"/>
      <c r="UYH190" s="3"/>
      <c r="UYI190" s="3"/>
      <c r="UYJ190" s="3"/>
      <c r="UYK190" s="3"/>
      <c r="UYL190" s="3"/>
      <c r="UYM190" s="3"/>
      <c r="UYN190" s="3"/>
      <c r="UYO190" s="3"/>
      <c r="UYP190" s="3"/>
      <c r="UYQ190" s="3"/>
      <c r="UYR190" s="3"/>
      <c r="UYS190" s="3"/>
      <c r="UYT190" s="3"/>
      <c r="UYU190" s="3"/>
      <c r="UYV190" s="3"/>
      <c r="UYW190" s="3"/>
      <c r="UYX190" s="3"/>
      <c r="UYY190" s="3"/>
      <c r="UYZ190" s="3"/>
      <c r="UZA190" s="3"/>
      <c r="UZB190" s="3"/>
      <c r="UZC190" s="3"/>
      <c r="UZD190" s="3"/>
      <c r="UZE190" s="3"/>
      <c r="UZF190" s="3"/>
      <c r="UZG190" s="3"/>
      <c r="UZH190" s="3"/>
      <c r="UZI190" s="3"/>
      <c r="UZJ190" s="3"/>
      <c r="UZK190" s="3"/>
      <c r="UZL190" s="3"/>
      <c r="UZM190" s="3"/>
      <c r="UZN190" s="3"/>
      <c r="UZO190" s="3"/>
      <c r="UZP190" s="3"/>
      <c r="UZQ190" s="3"/>
      <c r="UZR190" s="3"/>
      <c r="UZS190" s="3"/>
      <c r="UZT190" s="3"/>
      <c r="UZU190" s="3"/>
      <c r="UZV190" s="3"/>
      <c r="UZW190" s="3"/>
      <c r="UZX190" s="3"/>
      <c r="UZY190" s="3"/>
      <c r="UZZ190" s="3"/>
      <c r="VAA190" s="3"/>
      <c r="VAB190" s="3"/>
      <c r="VAC190" s="3"/>
      <c r="VAD190" s="3"/>
      <c r="VAE190" s="3"/>
      <c r="VAF190" s="3"/>
      <c r="VAG190" s="3"/>
      <c r="VAH190" s="3"/>
      <c r="VAI190" s="3"/>
      <c r="VAJ190" s="3"/>
      <c r="VAK190" s="3"/>
      <c r="VAL190" s="3"/>
      <c r="VAM190" s="3"/>
      <c r="VAN190" s="3"/>
      <c r="VAO190" s="3"/>
      <c r="VAP190" s="3"/>
      <c r="VAQ190" s="3"/>
      <c r="VAR190" s="3"/>
      <c r="VAS190" s="3"/>
      <c r="VAT190" s="3"/>
      <c r="VAU190" s="3"/>
      <c r="VAV190" s="3"/>
      <c r="VAW190" s="3"/>
      <c r="VAX190" s="3"/>
      <c r="VAY190" s="3"/>
      <c r="VAZ190" s="3"/>
      <c r="VBA190" s="3"/>
      <c r="VBB190" s="3"/>
      <c r="VBC190" s="3"/>
      <c r="VBD190" s="3"/>
      <c r="VBE190" s="3"/>
      <c r="VBF190" s="3"/>
      <c r="VBG190" s="3"/>
      <c r="VBH190" s="3"/>
      <c r="VBI190" s="3"/>
      <c r="VBJ190" s="3"/>
      <c r="VBK190" s="3"/>
      <c r="VBL190" s="3"/>
      <c r="VBM190" s="3"/>
      <c r="VBN190" s="3"/>
      <c r="VBO190" s="3"/>
      <c r="VBP190" s="3"/>
      <c r="VBQ190" s="3"/>
      <c r="VBR190" s="3"/>
      <c r="VBS190" s="3"/>
      <c r="VBT190" s="3"/>
      <c r="VBU190" s="3"/>
      <c r="VBV190" s="3"/>
      <c r="VBW190" s="3"/>
      <c r="VBX190" s="3"/>
      <c r="VBY190" s="3"/>
      <c r="VBZ190" s="3"/>
      <c r="VCA190" s="3"/>
      <c r="VCB190" s="3"/>
      <c r="VCC190" s="3"/>
      <c r="VCD190" s="3"/>
      <c r="VCE190" s="3"/>
      <c r="VCF190" s="3"/>
      <c r="VCG190" s="3"/>
      <c r="VCH190" s="3"/>
      <c r="VCI190" s="3"/>
      <c r="VCJ190" s="3"/>
      <c r="VCK190" s="3"/>
      <c r="VCL190" s="3"/>
      <c r="VCM190" s="3"/>
      <c r="VCN190" s="3"/>
      <c r="VCO190" s="3"/>
      <c r="VCP190" s="3"/>
      <c r="VCQ190" s="3"/>
      <c r="VCR190" s="3"/>
      <c r="VCS190" s="3"/>
      <c r="VCT190" s="3"/>
      <c r="VCU190" s="3"/>
      <c r="VCV190" s="3"/>
      <c r="VCW190" s="3"/>
      <c r="VCX190" s="3"/>
      <c r="VCY190" s="3"/>
      <c r="VCZ190" s="3"/>
      <c r="VDA190" s="3"/>
      <c r="VDB190" s="3"/>
      <c r="VDC190" s="3"/>
      <c r="VDD190" s="3"/>
      <c r="VDE190" s="3"/>
      <c r="VDF190" s="3"/>
      <c r="VDG190" s="3"/>
      <c r="VDH190" s="3"/>
      <c r="VDI190" s="3"/>
      <c r="VDJ190" s="3"/>
      <c r="VDK190" s="3"/>
      <c r="VDL190" s="3"/>
      <c r="VDM190" s="3"/>
      <c r="VDN190" s="3"/>
      <c r="VDO190" s="3"/>
      <c r="VDP190" s="3"/>
      <c r="VDQ190" s="3"/>
      <c r="VDR190" s="3"/>
      <c r="VDS190" s="3"/>
      <c r="VDT190" s="3"/>
      <c r="VDU190" s="3"/>
      <c r="VDV190" s="3"/>
      <c r="VDW190" s="3"/>
      <c r="VDX190" s="3"/>
      <c r="VDY190" s="3"/>
      <c r="VDZ190" s="3"/>
      <c r="VEA190" s="3"/>
      <c r="VEB190" s="3"/>
      <c r="VEC190" s="3"/>
      <c r="VED190" s="3"/>
      <c r="VEE190" s="3"/>
      <c r="VEF190" s="3"/>
      <c r="VEG190" s="3"/>
      <c r="VEH190" s="3"/>
      <c r="VEI190" s="3"/>
      <c r="VEJ190" s="3"/>
      <c r="VEK190" s="3"/>
      <c r="VEL190" s="3"/>
      <c r="VEM190" s="3"/>
      <c r="VEN190" s="3"/>
      <c r="VEO190" s="3"/>
      <c r="VEP190" s="3"/>
      <c r="VEQ190" s="3"/>
      <c r="VER190" s="3"/>
      <c r="VES190" s="3"/>
      <c r="VET190" s="3"/>
      <c r="VEU190" s="3"/>
      <c r="VEV190" s="3"/>
      <c r="VEW190" s="3"/>
      <c r="VEX190" s="3"/>
      <c r="VEY190" s="3"/>
      <c r="VEZ190" s="3"/>
      <c r="VFA190" s="3"/>
      <c r="VFB190" s="3"/>
      <c r="VFC190" s="3"/>
      <c r="VFD190" s="3"/>
      <c r="VFE190" s="3"/>
      <c r="VFF190" s="3"/>
      <c r="VFG190" s="3"/>
      <c r="VFH190" s="3"/>
      <c r="VFI190" s="3"/>
      <c r="VFJ190" s="3"/>
      <c r="VFK190" s="3"/>
      <c r="VFL190" s="3"/>
      <c r="VFM190" s="3"/>
      <c r="VFN190" s="3"/>
      <c r="VFO190" s="3"/>
      <c r="VFP190" s="3"/>
      <c r="VFQ190" s="3"/>
      <c r="VFR190" s="3"/>
      <c r="VFS190" s="3"/>
      <c r="VFT190" s="3"/>
      <c r="VFU190" s="3"/>
      <c r="VFV190" s="3"/>
      <c r="VFW190" s="3"/>
      <c r="VFX190" s="3"/>
      <c r="VFY190" s="3"/>
      <c r="VFZ190" s="3"/>
      <c r="VGA190" s="3"/>
      <c r="VGB190" s="3"/>
      <c r="VGC190" s="3"/>
      <c r="VGD190" s="3"/>
      <c r="VGE190" s="3"/>
      <c r="VGF190" s="3"/>
      <c r="VGG190" s="3"/>
      <c r="VGH190" s="3"/>
      <c r="VGI190" s="3"/>
      <c r="VGJ190" s="3"/>
      <c r="VGK190" s="3"/>
      <c r="VGL190" s="3"/>
      <c r="VGM190" s="3"/>
      <c r="VGN190" s="3"/>
      <c r="VGO190" s="3"/>
      <c r="VGP190" s="3"/>
      <c r="VGQ190" s="3"/>
      <c r="VGR190" s="3"/>
      <c r="VGS190" s="3"/>
      <c r="VGT190" s="3"/>
      <c r="VGU190" s="3"/>
      <c r="VGV190" s="3"/>
      <c r="VGW190" s="3"/>
      <c r="VGX190" s="3"/>
      <c r="VGY190" s="3"/>
      <c r="VGZ190" s="3"/>
      <c r="VHA190" s="3"/>
      <c r="VHB190" s="3"/>
      <c r="VHC190" s="3"/>
      <c r="VHD190" s="3"/>
      <c r="VHE190" s="3"/>
      <c r="VHF190" s="3"/>
      <c r="VHG190" s="3"/>
      <c r="VHH190" s="3"/>
      <c r="VHI190" s="3"/>
      <c r="VHJ190" s="3"/>
      <c r="VHK190" s="3"/>
      <c r="VHL190" s="3"/>
      <c r="VHM190" s="3"/>
      <c r="VHN190" s="3"/>
      <c r="VHO190" s="3"/>
      <c r="VHP190" s="3"/>
      <c r="VHQ190" s="3"/>
      <c r="VHR190" s="3"/>
      <c r="VHS190" s="3"/>
      <c r="VHT190" s="3"/>
      <c r="VHU190" s="3"/>
      <c r="VHV190" s="3"/>
      <c r="VHW190" s="3"/>
      <c r="VHX190" s="3"/>
      <c r="VHY190" s="3"/>
      <c r="VHZ190" s="3"/>
      <c r="VIA190" s="3"/>
      <c r="VIB190" s="3"/>
      <c r="VIC190" s="3"/>
      <c r="VID190" s="3"/>
      <c r="VIE190" s="3"/>
      <c r="VIF190" s="3"/>
      <c r="VIG190" s="3"/>
      <c r="VIH190" s="3"/>
      <c r="VII190" s="3"/>
      <c r="VIJ190" s="3"/>
      <c r="VIK190" s="3"/>
      <c r="VIL190" s="3"/>
      <c r="VIM190" s="3"/>
      <c r="VIN190" s="3"/>
      <c r="VIO190" s="3"/>
      <c r="VIP190" s="3"/>
      <c r="VIQ190" s="3"/>
      <c r="VIR190" s="3"/>
      <c r="VIS190" s="3"/>
      <c r="VIT190" s="3"/>
      <c r="VIU190" s="3"/>
      <c r="VIV190" s="3"/>
      <c r="VIW190" s="3"/>
      <c r="VIX190" s="3"/>
      <c r="VIY190" s="3"/>
      <c r="VIZ190" s="3"/>
      <c r="VJA190" s="3"/>
      <c r="VJB190" s="3"/>
      <c r="VJC190" s="3"/>
      <c r="VJD190" s="3"/>
      <c r="VJE190" s="3"/>
      <c r="VJF190" s="3"/>
      <c r="VJG190" s="3"/>
      <c r="VJH190" s="3"/>
      <c r="VJI190" s="3"/>
      <c r="VJJ190" s="3"/>
      <c r="VJK190" s="3"/>
      <c r="VJL190" s="3"/>
      <c r="VJM190" s="3"/>
      <c r="VJN190" s="3"/>
      <c r="VJO190" s="3"/>
      <c r="VJP190" s="3"/>
      <c r="VJQ190" s="3"/>
      <c r="VJR190" s="3"/>
      <c r="VJS190" s="3"/>
      <c r="VJT190" s="3"/>
      <c r="VJU190" s="3"/>
      <c r="VJV190" s="3"/>
      <c r="VJW190" s="3"/>
      <c r="VJX190" s="3"/>
      <c r="VJY190" s="3"/>
      <c r="VJZ190" s="3"/>
      <c r="VKA190" s="3"/>
      <c r="VKB190" s="3"/>
      <c r="VKC190" s="3"/>
      <c r="VKD190" s="3"/>
      <c r="VKE190" s="3"/>
      <c r="VKF190" s="3"/>
      <c r="VKG190" s="3"/>
      <c r="VKH190" s="3"/>
      <c r="VKI190" s="3"/>
      <c r="VKJ190" s="3"/>
      <c r="VKK190" s="3"/>
      <c r="VKL190" s="3"/>
      <c r="VKM190" s="3"/>
      <c r="VKN190" s="3"/>
      <c r="VKO190" s="3"/>
      <c r="VKP190" s="3"/>
      <c r="VKQ190" s="3"/>
      <c r="VKR190" s="3"/>
      <c r="VKS190" s="3"/>
      <c r="VKT190" s="3"/>
      <c r="VKU190" s="3"/>
      <c r="VKV190" s="3"/>
      <c r="VKW190" s="3"/>
      <c r="VKX190" s="3"/>
      <c r="VKY190" s="3"/>
      <c r="VKZ190" s="3"/>
      <c r="VLA190" s="3"/>
      <c r="VLB190" s="3"/>
      <c r="VLC190" s="3"/>
      <c r="VLD190" s="3"/>
      <c r="VLE190" s="3"/>
      <c r="VLF190" s="3"/>
      <c r="VLG190" s="3"/>
      <c r="VLH190" s="3"/>
      <c r="VLI190" s="3"/>
      <c r="VLJ190" s="3"/>
      <c r="VLK190" s="3"/>
      <c r="VLL190" s="3"/>
      <c r="VLM190" s="3"/>
      <c r="VLN190" s="3"/>
      <c r="VLO190" s="3"/>
      <c r="VLP190" s="3"/>
      <c r="VLQ190" s="3"/>
      <c r="VLR190" s="3"/>
      <c r="VLS190" s="3"/>
      <c r="VLT190" s="3"/>
      <c r="VLU190" s="3"/>
      <c r="VLV190" s="3"/>
      <c r="VLW190" s="3"/>
      <c r="VLX190" s="3"/>
      <c r="VLY190" s="3"/>
      <c r="VLZ190" s="3"/>
      <c r="VMA190" s="3"/>
      <c r="VMB190" s="3"/>
      <c r="VMC190" s="3"/>
      <c r="VMD190" s="3"/>
      <c r="VME190" s="3"/>
      <c r="VMF190" s="3"/>
      <c r="VMG190" s="3"/>
      <c r="VMH190" s="3"/>
      <c r="VMI190" s="3"/>
      <c r="VMJ190" s="3"/>
      <c r="VMK190" s="3"/>
      <c r="VML190" s="3"/>
      <c r="VMM190" s="3"/>
      <c r="VMN190" s="3"/>
      <c r="VMO190" s="3"/>
      <c r="VMP190" s="3"/>
      <c r="VMQ190" s="3"/>
      <c r="VMR190" s="3"/>
      <c r="VMS190" s="3"/>
      <c r="VMT190" s="3"/>
      <c r="VMU190" s="3"/>
      <c r="VMV190" s="3"/>
      <c r="VMW190" s="3"/>
      <c r="VMX190" s="3"/>
      <c r="VMY190" s="3"/>
      <c r="VMZ190" s="3"/>
      <c r="VNA190" s="3"/>
      <c r="VNB190" s="3"/>
      <c r="VNC190" s="3"/>
      <c r="VND190" s="3"/>
      <c r="VNE190" s="3"/>
      <c r="VNF190" s="3"/>
      <c r="VNG190" s="3"/>
      <c r="VNH190" s="3"/>
      <c r="VNI190" s="3"/>
      <c r="VNJ190" s="3"/>
      <c r="VNK190" s="3"/>
      <c r="VNL190" s="3"/>
      <c r="VNM190" s="3"/>
      <c r="VNN190" s="3"/>
      <c r="VNO190" s="3"/>
      <c r="VNP190" s="3"/>
      <c r="VNQ190" s="3"/>
      <c r="VNR190" s="3"/>
      <c r="VNS190" s="3"/>
      <c r="VNT190" s="3"/>
      <c r="VNU190" s="3"/>
      <c r="VNV190" s="3"/>
      <c r="VNW190" s="3"/>
      <c r="VNX190" s="3"/>
      <c r="VNY190" s="3"/>
      <c r="VNZ190" s="3"/>
      <c r="VOA190" s="3"/>
      <c r="VOB190" s="3"/>
      <c r="VOC190" s="3"/>
      <c r="VOD190" s="3"/>
      <c r="VOE190" s="3"/>
      <c r="VOF190" s="3"/>
      <c r="VOG190" s="3"/>
      <c r="VOH190" s="3"/>
      <c r="VOI190" s="3"/>
      <c r="VOJ190" s="3"/>
      <c r="VOK190" s="3"/>
      <c r="VOL190" s="3"/>
      <c r="VOM190" s="3"/>
      <c r="VON190" s="3"/>
      <c r="VOO190" s="3"/>
      <c r="VOP190" s="3"/>
      <c r="VOQ190" s="3"/>
      <c r="VOR190" s="3"/>
      <c r="VOS190" s="3"/>
      <c r="VOT190" s="3"/>
      <c r="VOU190" s="3"/>
      <c r="VOV190" s="3"/>
      <c r="VOW190" s="3"/>
      <c r="VOX190" s="3"/>
      <c r="VOY190" s="3"/>
      <c r="VOZ190" s="3"/>
      <c r="VPA190" s="3"/>
      <c r="VPB190" s="3"/>
      <c r="VPC190" s="3"/>
      <c r="VPD190" s="3"/>
      <c r="VPE190" s="3"/>
      <c r="VPF190" s="3"/>
      <c r="VPG190" s="3"/>
      <c r="VPH190" s="3"/>
      <c r="VPI190" s="3"/>
      <c r="VPJ190" s="3"/>
      <c r="VPK190" s="3"/>
      <c r="VPL190" s="3"/>
      <c r="VPM190" s="3"/>
      <c r="VPN190" s="3"/>
      <c r="VPO190" s="3"/>
      <c r="VPP190" s="3"/>
      <c r="VPQ190" s="3"/>
      <c r="VPR190" s="3"/>
      <c r="VPS190" s="3"/>
      <c r="VPT190" s="3"/>
      <c r="VPU190" s="3"/>
      <c r="VPV190" s="3"/>
      <c r="VPW190" s="3"/>
      <c r="VPX190" s="3"/>
      <c r="VPY190" s="3"/>
      <c r="VPZ190" s="3"/>
      <c r="VQA190" s="3"/>
      <c r="VQB190" s="3"/>
      <c r="VQC190" s="3"/>
      <c r="VQD190" s="3"/>
      <c r="VQE190" s="3"/>
      <c r="VQF190" s="3"/>
      <c r="VQG190" s="3"/>
      <c r="VQH190" s="3"/>
      <c r="VQI190" s="3"/>
      <c r="VQJ190" s="3"/>
      <c r="VQK190" s="3"/>
      <c r="VQL190" s="3"/>
      <c r="VQM190" s="3"/>
      <c r="VQN190" s="3"/>
      <c r="VQO190" s="3"/>
      <c r="VQP190" s="3"/>
      <c r="VQQ190" s="3"/>
      <c r="VQR190" s="3"/>
      <c r="VQS190" s="3"/>
      <c r="VQT190" s="3"/>
      <c r="VQU190" s="3"/>
      <c r="VQV190" s="3"/>
      <c r="VQW190" s="3"/>
      <c r="VQX190" s="3"/>
      <c r="VQY190" s="3"/>
      <c r="VQZ190" s="3"/>
      <c r="VRA190" s="3"/>
      <c r="VRB190" s="3"/>
      <c r="VRC190" s="3"/>
      <c r="VRD190" s="3"/>
      <c r="VRE190" s="3"/>
      <c r="VRF190" s="3"/>
      <c r="VRG190" s="3"/>
      <c r="VRH190" s="3"/>
      <c r="VRI190" s="3"/>
      <c r="VRJ190" s="3"/>
      <c r="VRK190" s="3"/>
      <c r="VRL190" s="3"/>
      <c r="VRM190" s="3"/>
      <c r="VRN190" s="3"/>
      <c r="VRO190" s="3"/>
      <c r="VRP190" s="3"/>
      <c r="VRQ190" s="3"/>
      <c r="VRR190" s="3"/>
      <c r="VRS190" s="3"/>
      <c r="VRT190" s="3"/>
      <c r="VRU190" s="3"/>
      <c r="VRV190" s="3"/>
      <c r="VRW190" s="3"/>
      <c r="VRX190" s="3"/>
      <c r="VRY190" s="3"/>
      <c r="VRZ190" s="3"/>
      <c r="VSA190" s="3"/>
      <c r="VSB190" s="3"/>
      <c r="VSC190" s="3"/>
      <c r="VSD190" s="3"/>
      <c r="VSE190" s="3"/>
      <c r="VSF190" s="3"/>
      <c r="VSG190" s="3"/>
      <c r="VSH190" s="3"/>
      <c r="VSI190" s="3"/>
      <c r="VSJ190" s="3"/>
      <c r="VSK190" s="3"/>
      <c r="VSL190" s="3"/>
      <c r="VSM190" s="3"/>
      <c r="VSN190" s="3"/>
      <c r="VSO190" s="3"/>
      <c r="VSP190" s="3"/>
      <c r="VSQ190" s="3"/>
      <c r="VSR190" s="3"/>
      <c r="VSS190" s="3"/>
      <c r="VST190" s="3"/>
      <c r="VSU190" s="3"/>
      <c r="VSV190" s="3"/>
      <c r="VSW190" s="3"/>
      <c r="VSX190" s="3"/>
      <c r="VSY190" s="3"/>
      <c r="VSZ190" s="3"/>
      <c r="VTA190" s="3"/>
      <c r="VTB190" s="3"/>
      <c r="VTC190" s="3"/>
      <c r="VTD190" s="3"/>
      <c r="VTE190" s="3"/>
      <c r="VTF190" s="3"/>
      <c r="VTG190" s="3"/>
      <c r="VTH190" s="3"/>
      <c r="VTI190" s="3"/>
      <c r="VTJ190" s="3"/>
      <c r="VTK190" s="3"/>
      <c r="VTL190" s="3"/>
      <c r="VTM190" s="3"/>
      <c r="VTN190" s="3"/>
      <c r="VTO190" s="3"/>
      <c r="VTP190" s="3"/>
      <c r="VTQ190" s="3"/>
      <c r="VTR190" s="3"/>
      <c r="VTS190" s="3"/>
      <c r="VTT190" s="3"/>
      <c r="VTU190" s="3"/>
      <c r="VTV190" s="3"/>
      <c r="VTW190" s="3"/>
      <c r="VTX190" s="3"/>
      <c r="VTY190" s="3"/>
      <c r="VTZ190" s="3"/>
      <c r="VUA190" s="3"/>
      <c r="VUB190" s="3"/>
      <c r="VUC190" s="3"/>
      <c r="VUD190" s="3"/>
      <c r="VUE190" s="3"/>
      <c r="VUF190" s="3"/>
      <c r="VUG190" s="3"/>
      <c r="VUH190" s="3"/>
      <c r="VUI190" s="3"/>
      <c r="VUJ190" s="3"/>
      <c r="VUK190" s="3"/>
      <c r="VUL190" s="3"/>
      <c r="VUM190" s="3"/>
      <c r="VUN190" s="3"/>
      <c r="VUO190" s="3"/>
      <c r="VUP190" s="3"/>
      <c r="VUQ190" s="3"/>
      <c r="VUR190" s="3"/>
      <c r="VUS190" s="3"/>
      <c r="VUT190" s="3"/>
      <c r="VUU190" s="3"/>
      <c r="VUV190" s="3"/>
      <c r="VUW190" s="3"/>
      <c r="VUX190" s="3"/>
      <c r="VUY190" s="3"/>
      <c r="VUZ190" s="3"/>
      <c r="VVA190" s="3"/>
      <c r="VVB190" s="3"/>
      <c r="VVC190" s="3"/>
      <c r="VVD190" s="3"/>
      <c r="VVE190" s="3"/>
      <c r="VVF190" s="3"/>
      <c r="VVG190" s="3"/>
      <c r="VVH190" s="3"/>
      <c r="VVI190" s="3"/>
      <c r="VVJ190" s="3"/>
      <c r="VVK190" s="3"/>
      <c r="VVL190" s="3"/>
      <c r="VVM190" s="3"/>
      <c r="VVN190" s="3"/>
      <c r="VVO190" s="3"/>
      <c r="VVP190" s="3"/>
      <c r="VVQ190" s="3"/>
      <c r="VVR190" s="3"/>
      <c r="VVS190" s="3"/>
      <c r="VVT190" s="3"/>
      <c r="VVU190" s="3"/>
      <c r="VVV190" s="3"/>
      <c r="VVW190" s="3"/>
      <c r="VVX190" s="3"/>
      <c r="VVY190" s="3"/>
      <c r="VVZ190" s="3"/>
      <c r="VWA190" s="3"/>
      <c r="VWB190" s="3"/>
      <c r="VWC190" s="3"/>
      <c r="VWD190" s="3"/>
      <c r="VWE190" s="3"/>
      <c r="VWF190" s="3"/>
      <c r="VWG190" s="3"/>
      <c r="VWH190" s="3"/>
      <c r="VWI190" s="3"/>
      <c r="VWJ190" s="3"/>
      <c r="VWK190" s="3"/>
      <c r="VWL190" s="3"/>
      <c r="VWM190" s="3"/>
      <c r="VWN190" s="3"/>
      <c r="VWO190" s="3"/>
      <c r="VWP190" s="3"/>
      <c r="VWQ190" s="3"/>
      <c r="VWR190" s="3"/>
      <c r="VWS190" s="3"/>
      <c r="VWT190" s="3"/>
      <c r="VWU190" s="3"/>
      <c r="VWV190" s="3"/>
      <c r="VWW190" s="3"/>
      <c r="VWX190" s="3"/>
      <c r="VWY190" s="3"/>
      <c r="VWZ190" s="3"/>
      <c r="VXA190" s="3"/>
      <c r="VXB190" s="3"/>
      <c r="VXC190" s="3"/>
      <c r="VXD190" s="3"/>
      <c r="VXE190" s="3"/>
      <c r="VXF190" s="3"/>
      <c r="VXG190" s="3"/>
      <c r="VXH190" s="3"/>
      <c r="VXI190" s="3"/>
      <c r="VXJ190" s="3"/>
      <c r="VXK190" s="3"/>
      <c r="VXL190" s="3"/>
      <c r="VXM190" s="3"/>
      <c r="VXN190" s="3"/>
      <c r="VXO190" s="3"/>
      <c r="VXP190" s="3"/>
      <c r="VXQ190" s="3"/>
      <c r="VXR190" s="3"/>
      <c r="VXS190" s="3"/>
      <c r="VXT190" s="3"/>
      <c r="VXU190" s="3"/>
      <c r="VXV190" s="3"/>
      <c r="VXW190" s="3"/>
      <c r="VXX190" s="3"/>
      <c r="VXY190" s="3"/>
      <c r="VXZ190" s="3"/>
      <c r="VYA190" s="3"/>
      <c r="VYB190" s="3"/>
      <c r="VYC190" s="3"/>
      <c r="VYD190" s="3"/>
      <c r="VYE190" s="3"/>
      <c r="VYF190" s="3"/>
      <c r="VYG190" s="3"/>
      <c r="VYH190" s="3"/>
      <c r="VYI190" s="3"/>
      <c r="VYJ190" s="3"/>
      <c r="VYK190" s="3"/>
      <c r="VYL190" s="3"/>
      <c r="VYM190" s="3"/>
      <c r="VYN190" s="3"/>
      <c r="VYO190" s="3"/>
      <c r="VYP190" s="3"/>
      <c r="VYQ190" s="3"/>
      <c r="VYR190" s="3"/>
      <c r="VYS190" s="3"/>
      <c r="VYT190" s="3"/>
      <c r="VYU190" s="3"/>
      <c r="VYV190" s="3"/>
      <c r="VYW190" s="3"/>
      <c r="VYX190" s="3"/>
      <c r="VYY190" s="3"/>
      <c r="VYZ190" s="3"/>
      <c r="VZA190" s="3"/>
      <c r="VZB190" s="3"/>
      <c r="VZC190" s="3"/>
      <c r="VZD190" s="3"/>
      <c r="VZE190" s="3"/>
      <c r="VZF190" s="3"/>
      <c r="VZG190" s="3"/>
      <c r="VZH190" s="3"/>
      <c r="VZI190" s="3"/>
      <c r="VZJ190" s="3"/>
      <c r="VZK190" s="3"/>
      <c r="VZL190" s="3"/>
      <c r="VZM190" s="3"/>
      <c r="VZN190" s="3"/>
      <c r="VZO190" s="3"/>
      <c r="VZP190" s="3"/>
      <c r="VZQ190" s="3"/>
      <c r="VZR190" s="3"/>
      <c r="VZS190" s="3"/>
      <c r="VZT190" s="3"/>
      <c r="VZU190" s="3"/>
      <c r="VZV190" s="3"/>
      <c r="VZW190" s="3"/>
      <c r="VZX190" s="3"/>
      <c r="VZY190" s="3"/>
      <c r="VZZ190" s="3"/>
      <c r="WAA190" s="3"/>
      <c r="WAB190" s="3"/>
      <c r="WAC190" s="3"/>
      <c r="WAD190" s="3"/>
      <c r="WAE190" s="3"/>
      <c r="WAF190" s="3"/>
      <c r="WAG190" s="3"/>
      <c r="WAH190" s="3"/>
      <c r="WAI190" s="3"/>
      <c r="WAJ190" s="3"/>
      <c r="WAK190" s="3"/>
      <c r="WAL190" s="3"/>
      <c r="WAM190" s="3"/>
      <c r="WAN190" s="3"/>
      <c r="WAO190" s="3"/>
      <c r="WAP190" s="3"/>
      <c r="WAQ190" s="3"/>
      <c r="WAR190" s="3"/>
      <c r="WAS190" s="3"/>
      <c r="WAT190" s="3"/>
      <c r="WAU190" s="3"/>
      <c r="WAV190" s="3"/>
      <c r="WAW190" s="3"/>
      <c r="WAX190" s="3"/>
      <c r="WAY190" s="3"/>
      <c r="WAZ190" s="3"/>
      <c r="WBA190" s="3"/>
      <c r="WBB190" s="3"/>
      <c r="WBC190" s="3"/>
      <c r="WBD190" s="3"/>
      <c r="WBE190" s="3"/>
      <c r="WBF190" s="3"/>
      <c r="WBG190" s="3"/>
      <c r="WBH190" s="3"/>
      <c r="WBI190" s="3"/>
      <c r="WBJ190" s="3"/>
      <c r="WBK190" s="3"/>
      <c r="WBL190" s="3"/>
      <c r="WBM190" s="3"/>
      <c r="WBN190" s="3"/>
      <c r="WBO190" s="3"/>
      <c r="WBP190" s="3"/>
      <c r="WBQ190" s="3"/>
      <c r="WBR190" s="3"/>
      <c r="WBS190" s="3"/>
      <c r="WBT190" s="3"/>
      <c r="WBU190" s="3"/>
      <c r="WBV190" s="3"/>
      <c r="WBW190" s="3"/>
      <c r="WBX190" s="3"/>
      <c r="WBY190" s="3"/>
      <c r="WBZ190" s="3"/>
      <c r="WCA190" s="3"/>
      <c r="WCB190" s="3"/>
      <c r="WCC190" s="3"/>
      <c r="WCD190" s="3"/>
      <c r="WCE190" s="3"/>
      <c r="WCF190" s="3"/>
      <c r="WCG190" s="3"/>
      <c r="WCH190" s="3"/>
      <c r="WCI190" s="3"/>
      <c r="WCJ190" s="3"/>
      <c r="WCK190" s="3"/>
      <c r="WCL190" s="3"/>
      <c r="WCM190" s="3"/>
      <c r="WCN190" s="3"/>
      <c r="WCO190" s="3"/>
      <c r="WCP190" s="3"/>
      <c r="WCQ190" s="3"/>
      <c r="WCR190" s="3"/>
      <c r="WCS190" s="3"/>
      <c r="WCT190" s="3"/>
      <c r="WCU190" s="3"/>
      <c r="WCV190" s="3"/>
      <c r="WCW190" s="3"/>
      <c r="WCX190" s="3"/>
      <c r="WCY190" s="3"/>
      <c r="WCZ190" s="3"/>
      <c r="WDA190" s="3"/>
      <c r="WDB190" s="3"/>
      <c r="WDC190" s="3"/>
      <c r="WDD190" s="3"/>
      <c r="WDE190" s="3"/>
      <c r="WDF190" s="3"/>
      <c r="WDG190" s="3"/>
      <c r="WDH190" s="3"/>
      <c r="WDI190" s="3"/>
      <c r="WDJ190" s="3"/>
      <c r="WDK190" s="3"/>
      <c r="WDL190" s="3"/>
      <c r="WDM190" s="3"/>
      <c r="WDN190" s="3"/>
      <c r="WDO190" s="3"/>
      <c r="WDP190" s="3"/>
      <c r="WDQ190" s="3"/>
      <c r="WDR190" s="3"/>
      <c r="WDS190" s="3"/>
      <c r="WDT190" s="3"/>
      <c r="WDU190" s="3"/>
      <c r="WDV190" s="3"/>
      <c r="WDW190" s="3"/>
      <c r="WDX190" s="3"/>
      <c r="WDY190" s="3"/>
      <c r="WDZ190" s="3"/>
      <c r="WEA190" s="3"/>
      <c r="WEB190" s="3"/>
      <c r="WEC190" s="3"/>
      <c r="WED190" s="3"/>
      <c r="WEE190" s="3"/>
      <c r="WEF190" s="3"/>
      <c r="WEG190" s="3"/>
      <c r="WEH190" s="3"/>
      <c r="WEI190" s="3"/>
      <c r="WEJ190" s="3"/>
      <c r="WEK190" s="3"/>
      <c r="WEL190" s="3"/>
      <c r="WEM190" s="3"/>
      <c r="WEN190" s="3"/>
      <c r="WEO190" s="3"/>
      <c r="WEP190" s="3"/>
      <c r="WEQ190" s="3"/>
      <c r="WER190" s="3"/>
      <c r="WES190" s="3"/>
      <c r="WET190" s="3"/>
      <c r="WEU190" s="3"/>
      <c r="WEV190" s="3"/>
      <c r="WEW190" s="3"/>
      <c r="WEX190" s="3"/>
      <c r="WEY190" s="3"/>
      <c r="WEZ190" s="3"/>
      <c r="WFA190" s="3"/>
      <c r="WFB190" s="3"/>
      <c r="WFC190" s="3"/>
      <c r="WFD190" s="3"/>
      <c r="WFE190" s="3"/>
      <c r="WFF190" s="3"/>
      <c r="WFG190" s="3"/>
      <c r="WFH190" s="3"/>
      <c r="WFI190" s="3"/>
      <c r="WFJ190" s="3"/>
      <c r="WFK190" s="3"/>
      <c r="WFL190" s="3"/>
      <c r="WFM190" s="3"/>
      <c r="WFN190" s="3"/>
      <c r="WFO190" s="3"/>
      <c r="WFP190" s="3"/>
      <c r="WFQ190" s="3"/>
      <c r="WFR190" s="3"/>
      <c r="WFS190" s="3"/>
      <c r="WFT190" s="3"/>
      <c r="WFU190" s="3"/>
      <c r="WFV190" s="3"/>
      <c r="WFW190" s="3"/>
      <c r="WFX190" s="3"/>
      <c r="WFY190" s="3"/>
      <c r="WFZ190" s="3"/>
      <c r="WGA190" s="3"/>
      <c r="WGB190" s="3"/>
      <c r="WGC190" s="3"/>
      <c r="WGD190" s="3"/>
      <c r="WGE190" s="3"/>
      <c r="WGF190" s="3"/>
      <c r="WGG190" s="3"/>
      <c r="WGH190" s="3"/>
      <c r="WGI190" s="3"/>
      <c r="WGJ190" s="3"/>
      <c r="WGK190" s="3"/>
      <c r="WGL190" s="3"/>
      <c r="WGM190" s="3"/>
      <c r="WGN190" s="3"/>
      <c r="WGO190" s="3"/>
      <c r="WGP190" s="3"/>
      <c r="WGQ190" s="3"/>
      <c r="WGR190" s="3"/>
      <c r="WGS190" s="3"/>
      <c r="WGT190" s="3"/>
      <c r="WGU190" s="3"/>
      <c r="WGV190" s="3"/>
      <c r="WGW190" s="3"/>
      <c r="WGX190" s="3"/>
      <c r="WGY190" s="3"/>
      <c r="WGZ190" s="3"/>
      <c r="WHA190" s="3"/>
      <c r="WHB190" s="3"/>
      <c r="WHC190" s="3"/>
      <c r="WHD190" s="3"/>
      <c r="WHE190" s="3"/>
      <c r="WHF190" s="3"/>
      <c r="WHG190" s="3"/>
      <c r="WHH190" s="3"/>
      <c r="WHI190" s="3"/>
      <c r="WHJ190" s="3"/>
      <c r="WHK190" s="3"/>
      <c r="WHL190" s="3"/>
      <c r="WHM190" s="3"/>
      <c r="WHN190" s="3"/>
      <c r="WHO190" s="3"/>
      <c r="WHP190" s="3"/>
      <c r="WHQ190" s="3"/>
      <c r="WHR190" s="3"/>
      <c r="WHS190" s="3"/>
      <c r="WHT190" s="3"/>
      <c r="WHU190" s="3"/>
      <c r="WHV190" s="3"/>
      <c r="WHW190" s="3"/>
      <c r="WHX190" s="3"/>
      <c r="WHY190" s="3"/>
      <c r="WHZ190" s="3"/>
      <c r="WIA190" s="3"/>
      <c r="WIB190" s="3"/>
      <c r="WIC190" s="3"/>
      <c r="WID190" s="3"/>
      <c r="WIE190" s="3"/>
      <c r="WIF190" s="3"/>
      <c r="WIG190" s="3"/>
      <c r="WIH190" s="3"/>
      <c r="WII190" s="3"/>
      <c r="WIJ190" s="3"/>
      <c r="WIK190" s="3"/>
      <c r="WIL190" s="3"/>
      <c r="WIM190" s="3"/>
      <c r="WIN190" s="3"/>
      <c r="WIO190" s="3"/>
      <c r="WIP190" s="3"/>
      <c r="WIQ190" s="3"/>
      <c r="WIR190" s="3"/>
      <c r="WIS190" s="3"/>
      <c r="WIT190" s="3"/>
      <c r="WIU190" s="3"/>
      <c r="WIV190" s="3"/>
      <c r="WIW190" s="3"/>
      <c r="WIX190" s="3"/>
      <c r="WIY190" s="3"/>
      <c r="WIZ190" s="3"/>
      <c r="WJA190" s="3"/>
      <c r="WJB190" s="3"/>
      <c r="WJC190" s="3"/>
      <c r="WJD190" s="3"/>
      <c r="WJE190" s="3"/>
      <c r="WJF190" s="3"/>
      <c r="WJG190" s="3"/>
      <c r="WJH190" s="3"/>
      <c r="WJI190" s="3"/>
      <c r="WJJ190" s="3"/>
      <c r="WJK190" s="3"/>
      <c r="WJL190" s="3"/>
      <c r="WJM190" s="3"/>
      <c r="WJN190" s="3"/>
      <c r="WJO190" s="3"/>
      <c r="WJP190" s="3"/>
      <c r="WJQ190" s="3"/>
      <c r="WJR190" s="3"/>
      <c r="WJS190" s="3"/>
      <c r="WJT190" s="3"/>
      <c r="WJU190" s="3"/>
      <c r="WJV190" s="3"/>
      <c r="WJW190" s="3"/>
      <c r="WJX190" s="3"/>
      <c r="WJY190" s="3"/>
      <c r="WJZ190" s="3"/>
      <c r="WKA190" s="3"/>
      <c r="WKB190" s="3"/>
      <c r="WKC190" s="3"/>
      <c r="WKD190" s="3"/>
      <c r="WKE190" s="3"/>
      <c r="WKF190" s="3"/>
      <c r="WKG190" s="3"/>
      <c r="WKH190" s="3"/>
      <c r="WKI190" s="3"/>
      <c r="WKJ190" s="3"/>
      <c r="WKK190" s="3"/>
      <c r="WKL190" s="3"/>
      <c r="WKM190" s="3"/>
      <c r="WKN190" s="3"/>
      <c r="WKO190" s="3"/>
      <c r="WKP190" s="3"/>
      <c r="WKQ190" s="3"/>
      <c r="WKR190" s="3"/>
      <c r="WKS190" s="3"/>
      <c r="WKT190" s="3"/>
      <c r="WKU190" s="3"/>
      <c r="WKV190" s="3"/>
      <c r="WKW190" s="3"/>
      <c r="WKX190" s="3"/>
      <c r="WKY190" s="3"/>
      <c r="WKZ190" s="3"/>
      <c r="WLA190" s="3"/>
      <c r="WLB190" s="3"/>
      <c r="WLC190" s="3"/>
      <c r="WLD190" s="3"/>
      <c r="WLE190" s="3"/>
      <c r="WLF190" s="3"/>
      <c r="WLG190" s="3"/>
      <c r="WLH190" s="3"/>
      <c r="WLI190" s="3"/>
      <c r="WLJ190" s="3"/>
      <c r="WLK190" s="3"/>
      <c r="WLL190" s="3"/>
      <c r="WLM190" s="3"/>
      <c r="WLN190" s="3"/>
      <c r="WLO190" s="3"/>
      <c r="WLP190" s="3"/>
      <c r="WLQ190" s="3"/>
      <c r="WLR190" s="3"/>
      <c r="WLS190" s="3"/>
      <c r="WLT190" s="3"/>
      <c r="WLU190" s="3"/>
      <c r="WLV190" s="3"/>
      <c r="WLW190" s="3"/>
      <c r="WLX190" s="3"/>
      <c r="WLY190" s="3"/>
      <c r="WLZ190" s="3"/>
      <c r="WMA190" s="3"/>
      <c r="WMB190" s="3"/>
      <c r="WMC190" s="3"/>
      <c r="WMD190" s="3"/>
      <c r="WME190" s="3"/>
      <c r="WMF190" s="3"/>
      <c r="WMG190" s="3"/>
      <c r="WMH190" s="3"/>
      <c r="WMI190" s="3"/>
      <c r="WMJ190" s="3"/>
      <c r="WMK190" s="3"/>
      <c r="WML190" s="3"/>
      <c r="WMM190" s="3"/>
      <c r="WMN190" s="3"/>
      <c r="WMO190" s="3"/>
      <c r="WMP190" s="3"/>
      <c r="WMQ190" s="3"/>
      <c r="WMR190" s="3"/>
      <c r="WMS190" s="3"/>
      <c r="WMT190" s="3"/>
      <c r="WMU190" s="3"/>
      <c r="WMV190" s="3"/>
      <c r="WMW190" s="3"/>
      <c r="WMX190" s="3"/>
      <c r="WMY190" s="3"/>
      <c r="WMZ190" s="3"/>
      <c r="WNA190" s="3"/>
      <c r="WNB190" s="3"/>
      <c r="WNC190" s="3"/>
      <c r="WND190" s="3"/>
      <c r="WNE190" s="3"/>
      <c r="WNF190" s="3"/>
      <c r="WNG190" s="3"/>
      <c r="WNH190" s="3"/>
      <c r="WNI190" s="3"/>
      <c r="WNJ190" s="3"/>
      <c r="WNK190" s="3"/>
      <c r="WNL190" s="3"/>
      <c r="WNM190" s="3"/>
      <c r="WNN190" s="3"/>
      <c r="WNO190" s="3"/>
      <c r="WNP190" s="3"/>
      <c r="WNQ190" s="3"/>
      <c r="WNR190" s="3"/>
      <c r="WNS190" s="3"/>
      <c r="WNT190" s="3"/>
      <c r="WNU190" s="3"/>
      <c r="WNV190" s="3"/>
      <c r="WNW190" s="3"/>
      <c r="WNX190" s="3"/>
      <c r="WNY190" s="3"/>
      <c r="WNZ190" s="3"/>
      <c r="WOA190" s="3"/>
      <c r="WOB190" s="3"/>
      <c r="WOC190" s="3"/>
      <c r="WOD190" s="3"/>
      <c r="WOE190" s="3"/>
      <c r="WOF190" s="3"/>
      <c r="WOG190" s="3"/>
      <c r="WOH190" s="3"/>
      <c r="WOI190" s="3"/>
      <c r="WOJ190" s="3"/>
      <c r="WOK190" s="3"/>
      <c r="WOL190" s="3"/>
      <c r="WOM190" s="3"/>
      <c r="WON190" s="3"/>
      <c r="WOO190" s="3"/>
      <c r="WOP190" s="3"/>
      <c r="WOQ190" s="3"/>
      <c r="WOR190" s="3"/>
      <c r="WOS190" s="3"/>
      <c r="WOT190" s="3"/>
      <c r="WOU190" s="3"/>
      <c r="WOV190" s="3"/>
      <c r="WOW190" s="3"/>
      <c r="WOX190" s="3"/>
      <c r="WOY190" s="3"/>
      <c r="WOZ190" s="3"/>
      <c r="WPA190" s="3"/>
      <c r="WPB190" s="3"/>
      <c r="WPC190" s="3"/>
      <c r="WPD190" s="3"/>
      <c r="WPE190" s="3"/>
      <c r="WPF190" s="3"/>
      <c r="WPG190" s="3"/>
      <c r="WPH190" s="3"/>
      <c r="WPI190" s="3"/>
      <c r="WPJ190" s="3"/>
      <c r="WPK190" s="3"/>
      <c r="WPL190" s="3"/>
      <c r="WPM190" s="3"/>
      <c r="WPN190" s="3"/>
      <c r="WPO190" s="3"/>
      <c r="WPP190" s="3"/>
      <c r="WPQ190" s="3"/>
      <c r="WPR190" s="3"/>
      <c r="WPS190" s="3"/>
      <c r="WPT190" s="3"/>
      <c r="WPU190" s="3"/>
      <c r="WPV190" s="3"/>
      <c r="WPW190" s="3"/>
      <c r="WPX190" s="3"/>
      <c r="WPY190" s="3"/>
      <c r="WPZ190" s="3"/>
      <c r="WQA190" s="3"/>
      <c r="WQB190" s="3"/>
      <c r="WQC190" s="3"/>
      <c r="WQD190" s="3"/>
      <c r="WQE190" s="3"/>
      <c r="WQF190" s="3"/>
      <c r="WQG190" s="3"/>
      <c r="WQH190" s="3"/>
      <c r="WQI190" s="3"/>
      <c r="WQJ190" s="3"/>
      <c r="WQK190" s="3"/>
      <c r="WQL190" s="3"/>
      <c r="WQM190" s="3"/>
      <c r="WQN190" s="3"/>
      <c r="WQO190" s="3"/>
      <c r="WQP190" s="3"/>
      <c r="WQQ190" s="3"/>
      <c r="WQR190" s="3"/>
      <c r="WQS190" s="3"/>
      <c r="WQT190" s="3"/>
      <c r="WQU190" s="3"/>
      <c r="WQV190" s="3"/>
      <c r="WQW190" s="3"/>
      <c r="WQX190" s="3"/>
      <c r="WQY190" s="3"/>
      <c r="WQZ190" s="3"/>
      <c r="WRA190" s="3"/>
      <c r="WRB190" s="3"/>
      <c r="WRC190" s="3"/>
      <c r="WRD190" s="3"/>
      <c r="WRE190" s="3"/>
      <c r="WRF190" s="3"/>
      <c r="WRG190" s="3"/>
      <c r="WRH190" s="3"/>
      <c r="WRI190" s="3"/>
      <c r="WRJ190" s="3"/>
      <c r="WRK190" s="3"/>
      <c r="WRL190" s="3"/>
      <c r="WRM190" s="3"/>
      <c r="WRN190" s="3"/>
      <c r="WRO190" s="3"/>
      <c r="WRP190" s="3"/>
      <c r="WRQ190" s="3"/>
      <c r="WRR190" s="3"/>
      <c r="WRS190" s="3"/>
      <c r="WRT190" s="3"/>
      <c r="WRU190" s="3"/>
      <c r="WRV190" s="3"/>
      <c r="WRW190" s="3"/>
      <c r="WRX190" s="3"/>
      <c r="WRY190" s="3"/>
      <c r="WRZ190" s="3"/>
      <c r="WSA190" s="3"/>
      <c r="WSB190" s="3"/>
      <c r="WSC190" s="3"/>
      <c r="WSD190" s="3"/>
      <c r="WSE190" s="3"/>
      <c r="WSF190" s="3"/>
      <c r="WSG190" s="3"/>
      <c r="WSH190" s="3"/>
      <c r="WSI190" s="3"/>
      <c r="WSJ190" s="3"/>
      <c r="WSK190" s="3"/>
      <c r="WSL190" s="3"/>
      <c r="WSM190" s="3"/>
      <c r="WSN190" s="3"/>
      <c r="WSO190" s="3"/>
      <c r="WSP190" s="3"/>
      <c r="WSQ190" s="3"/>
      <c r="WSR190" s="3"/>
      <c r="WSS190" s="3"/>
      <c r="WST190" s="3"/>
      <c r="WSU190" s="3"/>
      <c r="WSV190" s="3"/>
      <c r="WSW190" s="3"/>
      <c r="WSX190" s="3"/>
      <c r="WSY190" s="3"/>
      <c r="WSZ190" s="3"/>
      <c r="WTA190" s="3"/>
      <c r="WTB190" s="3"/>
      <c r="WTC190" s="3"/>
      <c r="WTD190" s="3"/>
      <c r="WTE190" s="3"/>
      <c r="WTF190" s="3"/>
      <c r="WTG190" s="3"/>
      <c r="WTH190" s="3"/>
      <c r="WTI190" s="3"/>
      <c r="WTJ190" s="3"/>
      <c r="WTK190" s="3"/>
      <c r="WTL190" s="3"/>
      <c r="WTM190" s="3"/>
      <c r="WTN190" s="3"/>
      <c r="WTO190" s="3"/>
      <c r="WTP190" s="3"/>
      <c r="WTQ190" s="3"/>
      <c r="WTR190" s="3"/>
      <c r="WTS190" s="3"/>
      <c r="WTT190" s="3"/>
      <c r="WTU190" s="3"/>
      <c r="WTV190" s="3"/>
      <c r="WTW190" s="3"/>
      <c r="WTX190" s="3"/>
      <c r="WTY190" s="3"/>
      <c r="WTZ190" s="3"/>
      <c r="WUA190" s="3"/>
      <c r="WUB190" s="3"/>
      <c r="WUC190" s="3"/>
      <c r="WUD190" s="3"/>
      <c r="WUE190" s="3"/>
      <c r="WUF190" s="3"/>
      <c r="WUG190" s="3"/>
      <c r="WUH190" s="3"/>
      <c r="WUI190" s="3"/>
      <c r="WUJ190" s="3"/>
      <c r="WUK190" s="3"/>
      <c r="WUL190" s="3"/>
      <c r="WUM190" s="3"/>
      <c r="WUN190" s="3"/>
      <c r="WUO190" s="3"/>
      <c r="WUP190" s="3"/>
      <c r="WUQ190" s="3"/>
      <c r="WUR190" s="3"/>
      <c r="WUS190" s="3"/>
      <c r="WUT190" s="3"/>
      <c r="WUU190" s="3"/>
      <c r="WUV190" s="3"/>
      <c r="WUW190" s="3"/>
      <c r="WUX190" s="3"/>
      <c r="WUY190" s="3"/>
      <c r="WUZ190" s="3"/>
      <c r="WVA190" s="3"/>
      <c r="WVB190" s="3"/>
      <c r="WVC190" s="3"/>
      <c r="WVD190" s="3"/>
      <c r="WVE190" s="3"/>
      <c r="WVF190" s="3"/>
      <c r="WVG190" s="3"/>
      <c r="WVH190" s="3"/>
      <c r="WVI190" s="3"/>
      <c r="WVJ190" s="3"/>
      <c r="WVK190" s="3"/>
      <c r="WVL190" s="3"/>
      <c r="WVM190" s="3"/>
      <c r="WVN190" s="3"/>
      <c r="WVO190" s="3"/>
      <c r="WVP190" s="3"/>
      <c r="WVQ190" s="3"/>
      <c r="WVR190" s="3"/>
      <c r="WVS190" s="3"/>
      <c r="WVT190" s="3"/>
      <c r="WVU190" s="3"/>
      <c r="WVV190" s="3"/>
      <c r="WVW190" s="3"/>
      <c r="WVX190" s="3"/>
      <c r="WVY190" s="3"/>
      <c r="WVZ190" s="3"/>
      <c r="WWA190" s="3"/>
      <c r="WWB190" s="3"/>
      <c r="WWC190" s="3"/>
      <c r="WWD190" s="3"/>
      <c r="WWE190" s="3"/>
      <c r="WWF190" s="3"/>
      <c r="WWG190" s="3"/>
      <c r="WWH190" s="3"/>
      <c r="WWI190" s="3"/>
      <c r="WWJ190" s="3"/>
      <c r="WWK190" s="3"/>
      <c r="WWL190" s="3"/>
      <c r="WWM190" s="3"/>
      <c r="WWN190" s="3"/>
      <c r="WWO190" s="3"/>
      <c r="WWP190" s="3"/>
      <c r="WWQ190" s="3"/>
      <c r="WWR190" s="3"/>
      <c r="WWS190" s="3"/>
      <c r="WWT190" s="3"/>
      <c r="WWU190" s="3"/>
      <c r="WWV190" s="3"/>
      <c r="WWW190" s="3"/>
      <c r="WWX190" s="3"/>
      <c r="WWY190" s="3"/>
      <c r="WWZ190" s="3"/>
      <c r="WXA190" s="3"/>
      <c r="WXB190" s="3"/>
      <c r="WXC190" s="3"/>
      <c r="WXD190" s="3"/>
      <c r="WXE190" s="3"/>
      <c r="WXF190" s="3"/>
      <c r="WXG190" s="3"/>
      <c r="WXH190" s="3"/>
      <c r="WXI190" s="3"/>
      <c r="WXJ190" s="3"/>
      <c r="WXK190" s="3"/>
      <c r="WXL190" s="3"/>
      <c r="WXM190" s="3"/>
      <c r="WXN190" s="3"/>
      <c r="WXO190" s="3"/>
      <c r="WXP190" s="3"/>
      <c r="WXQ190" s="3"/>
      <c r="WXR190" s="3"/>
      <c r="WXS190" s="3"/>
      <c r="WXT190" s="3"/>
      <c r="WXU190" s="3"/>
      <c r="WXV190" s="3"/>
      <c r="WXW190" s="3"/>
      <c r="WXX190" s="3"/>
      <c r="WXY190" s="3"/>
      <c r="WXZ190" s="3"/>
      <c r="WYA190" s="3"/>
      <c r="WYB190" s="3"/>
      <c r="WYC190" s="3"/>
      <c r="WYD190" s="3"/>
      <c r="WYE190" s="3"/>
      <c r="WYF190" s="3"/>
      <c r="WYG190" s="3"/>
      <c r="WYH190" s="3"/>
      <c r="WYI190" s="3"/>
      <c r="WYJ190" s="3"/>
      <c r="WYK190" s="3"/>
      <c r="WYL190" s="3"/>
      <c r="WYM190" s="3"/>
      <c r="WYN190" s="3"/>
      <c r="WYO190" s="3"/>
      <c r="WYP190" s="3"/>
      <c r="WYQ190" s="3"/>
      <c r="WYR190" s="3"/>
      <c r="WYS190" s="3"/>
      <c r="WYT190" s="3"/>
      <c r="WYU190" s="3"/>
      <c r="WYV190" s="3"/>
      <c r="WYW190" s="3"/>
      <c r="WYX190" s="3"/>
      <c r="WYY190" s="3"/>
      <c r="WYZ190" s="3"/>
      <c r="WZA190" s="3"/>
      <c r="WZB190" s="3"/>
      <c r="WZC190" s="3"/>
      <c r="WZD190" s="3"/>
      <c r="WZE190" s="3"/>
      <c r="WZF190" s="3"/>
      <c r="WZG190" s="3"/>
      <c r="WZH190" s="3"/>
      <c r="WZI190" s="3"/>
      <c r="WZJ190" s="3"/>
      <c r="WZK190" s="3"/>
      <c r="WZL190" s="3"/>
      <c r="WZM190" s="3"/>
      <c r="WZN190" s="3"/>
      <c r="WZO190" s="3"/>
      <c r="WZP190" s="3"/>
      <c r="WZQ190" s="3"/>
      <c r="WZR190" s="3"/>
      <c r="WZS190" s="3"/>
      <c r="WZT190" s="3"/>
      <c r="WZU190" s="3"/>
      <c r="WZV190" s="3"/>
      <c r="WZW190" s="3"/>
      <c r="WZX190" s="3"/>
      <c r="WZY190" s="3"/>
      <c r="WZZ190" s="3"/>
      <c r="XAA190" s="3"/>
      <c r="XAB190" s="3"/>
      <c r="XAC190" s="3"/>
      <c r="XAD190" s="3"/>
      <c r="XAE190" s="3"/>
      <c r="XAF190" s="3"/>
      <c r="XAG190" s="3"/>
      <c r="XAH190" s="3"/>
      <c r="XAI190" s="3"/>
      <c r="XAJ190" s="3"/>
      <c r="XAK190" s="3"/>
      <c r="XAL190" s="3"/>
      <c r="XAM190" s="3"/>
      <c r="XAN190" s="3"/>
      <c r="XAO190" s="3"/>
      <c r="XAP190" s="3"/>
      <c r="XAQ190" s="3"/>
      <c r="XAR190" s="3"/>
      <c r="XAS190" s="3"/>
      <c r="XAT190" s="3"/>
      <c r="XAU190" s="3"/>
      <c r="XAV190" s="3"/>
      <c r="XAW190" s="3"/>
      <c r="XAX190" s="3"/>
      <c r="XAY190" s="3"/>
      <c r="XAZ190" s="3"/>
      <c r="XBA190" s="3"/>
      <c r="XBB190" s="3"/>
      <c r="XBC190" s="3"/>
      <c r="XBD190" s="3"/>
      <c r="XBE190" s="3"/>
      <c r="XBF190" s="3"/>
      <c r="XBG190" s="3"/>
      <c r="XBH190" s="3"/>
      <c r="XBI190" s="3"/>
      <c r="XBJ190" s="3"/>
      <c r="XBK190" s="3"/>
      <c r="XBL190" s="3"/>
      <c r="XBM190" s="3"/>
      <c r="XBN190" s="3"/>
      <c r="XBO190" s="3"/>
      <c r="XBP190" s="3"/>
      <c r="XBQ190" s="3"/>
      <c r="XBR190" s="3"/>
      <c r="XBS190" s="3"/>
      <c r="XBT190" s="3"/>
      <c r="XBU190" s="3"/>
      <c r="XBV190" s="3"/>
      <c r="XBW190" s="3"/>
      <c r="XBX190" s="3"/>
      <c r="XBY190" s="3"/>
      <c r="XBZ190" s="3"/>
      <c r="XCA190" s="3"/>
      <c r="XCB190" s="3"/>
      <c r="XCC190" s="3"/>
      <c r="XCD190" s="3"/>
      <c r="XCE190" s="3"/>
      <c r="XCF190" s="3"/>
      <c r="XCG190" s="3"/>
      <c r="XCH190" s="3"/>
      <c r="XCI190" s="3"/>
      <c r="XCJ190" s="3"/>
      <c r="XCK190" s="3"/>
      <c r="XCL190" s="3"/>
      <c r="XCM190" s="3"/>
      <c r="XCN190" s="3"/>
      <c r="XCO190" s="3"/>
      <c r="XCP190" s="3"/>
      <c r="XCQ190" s="3"/>
      <c r="XCR190" s="3"/>
      <c r="XCS190" s="3"/>
      <c r="XCT190" s="3"/>
      <c r="XCU190" s="3"/>
      <c r="XCV190" s="3"/>
      <c r="XCW190" s="3"/>
      <c r="XCX190" s="3"/>
      <c r="XCY190" s="3"/>
      <c r="XCZ190" s="3"/>
      <c r="XDA190" s="3"/>
      <c r="XDB190" s="3"/>
      <c r="XDC190" s="3"/>
      <c r="XDD190" s="3"/>
      <c r="XDE190" s="3"/>
      <c r="XDF190" s="3"/>
      <c r="XDG190" s="3"/>
      <c r="XDH190" s="3"/>
      <c r="XDI190" s="3"/>
      <c r="XDJ190" s="3"/>
      <c r="XDK190" s="3"/>
      <c r="XDL190" s="3"/>
      <c r="XDM190" s="3"/>
      <c r="XDN190" s="3"/>
      <c r="XDO190" s="3"/>
      <c r="XDP190" s="3"/>
      <c r="XDQ190" s="3"/>
      <c r="XDR190" s="3"/>
      <c r="XDS190" s="3"/>
      <c r="XDT190" s="3"/>
      <c r="XDU190" s="3"/>
      <c r="XDV190" s="3"/>
      <c r="XDW190" s="3"/>
      <c r="XDX190" s="3"/>
    </row>
    <row r="191" spans="1:16352" x14ac:dyDescent="0.3">
      <c r="A191" s="115"/>
      <c r="B191" s="115"/>
      <c r="C191" s="115"/>
      <c r="D191" s="72" t="s">
        <v>214</v>
      </c>
      <c r="E191" s="73">
        <f>COUNTIFS(E4:E190,"Public")</f>
        <v>0</v>
      </c>
      <c r="F191" s="73">
        <f t="shared" ref="F191:AK191" si="2">COUNTIFS(F4:F190,"Public")</f>
        <v>0</v>
      </c>
      <c r="G191" s="73">
        <f t="shared" si="2"/>
        <v>0</v>
      </c>
      <c r="H191" s="73">
        <f t="shared" si="2"/>
        <v>0</v>
      </c>
      <c r="I191" s="73">
        <f t="shared" si="2"/>
        <v>0</v>
      </c>
      <c r="J191" s="73">
        <f t="shared" si="2"/>
        <v>0</v>
      </c>
      <c r="K191" s="73">
        <f t="shared" si="2"/>
        <v>0</v>
      </c>
      <c r="L191" s="73">
        <f t="shared" si="2"/>
        <v>0</v>
      </c>
      <c r="M191" s="73">
        <f t="shared" si="2"/>
        <v>0</v>
      </c>
      <c r="N191" s="73">
        <f t="shared" si="2"/>
        <v>0</v>
      </c>
      <c r="O191" s="73">
        <f t="shared" si="2"/>
        <v>0</v>
      </c>
      <c r="P191" s="73">
        <f t="shared" si="2"/>
        <v>0</v>
      </c>
      <c r="Q191" s="73">
        <f t="shared" si="2"/>
        <v>0</v>
      </c>
      <c r="R191" s="73">
        <f t="shared" si="2"/>
        <v>0</v>
      </c>
      <c r="S191" s="73">
        <f t="shared" si="2"/>
        <v>0</v>
      </c>
      <c r="T191" s="73">
        <f t="shared" si="2"/>
        <v>0</v>
      </c>
      <c r="U191" s="73">
        <f t="shared" si="2"/>
        <v>0</v>
      </c>
      <c r="V191" s="73">
        <f t="shared" si="2"/>
        <v>0</v>
      </c>
      <c r="W191" s="73">
        <f t="shared" si="2"/>
        <v>0</v>
      </c>
      <c r="X191" s="73">
        <f t="shared" si="2"/>
        <v>0</v>
      </c>
      <c r="Y191" s="73">
        <f t="shared" si="2"/>
        <v>0</v>
      </c>
      <c r="Z191" s="73">
        <f t="shared" si="2"/>
        <v>0</v>
      </c>
      <c r="AA191" s="73">
        <f t="shared" si="2"/>
        <v>0</v>
      </c>
      <c r="AB191" s="73">
        <f t="shared" si="2"/>
        <v>0</v>
      </c>
      <c r="AC191" s="73">
        <f t="shared" si="2"/>
        <v>0</v>
      </c>
      <c r="AD191" s="73">
        <f t="shared" si="2"/>
        <v>0</v>
      </c>
      <c r="AE191" s="73">
        <f t="shared" si="2"/>
        <v>0</v>
      </c>
      <c r="AF191" s="73">
        <f t="shared" si="2"/>
        <v>0</v>
      </c>
      <c r="AG191" s="73">
        <f t="shared" si="2"/>
        <v>0</v>
      </c>
      <c r="AH191" s="73">
        <f t="shared" si="2"/>
        <v>0</v>
      </c>
      <c r="AI191" s="73">
        <f t="shared" si="2"/>
        <v>0</v>
      </c>
      <c r="AJ191" s="73">
        <f t="shared" si="2"/>
        <v>0</v>
      </c>
      <c r="AK191" s="73">
        <f t="shared" si="2"/>
        <v>0</v>
      </c>
    </row>
    <row r="192" spans="1:16352" x14ac:dyDescent="0.3">
      <c r="A192" s="115"/>
      <c r="B192" s="115"/>
      <c r="C192" s="115"/>
      <c r="D192" s="72" t="s">
        <v>215</v>
      </c>
      <c r="E192" s="73">
        <f t="shared" ref="E192:AK192" si="3">COUNTIFS(E5:E191,"Optional")</f>
        <v>0</v>
      </c>
      <c r="F192" s="73">
        <f t="shared" si="3"/>
        <v>0</v>
      </c>
      <c r="G192" s="73">
        <f t="shared" si="3"/>
        <v>0</v>
      </c>
      <c r="H192" s="73">
        <f t="shared" si="3"/>
        <v>8</v>
      </c>
      <c r="I192" s="73">
        <f t="shared" si="3"/>
        <v>0</v>
      </c>
      <c r="J192" s="73">
        <f t="shared" si="3"/>
        <v>13</v>
      </c>
      <c r="K192" s="73">
        <f t="shared" si="3"/>
        <v>0</v>
      </c>
      <c r="L192" s="73">
        <f t="shared" si="3"/>
        <v>0</v>
      </c>
      <c r="M192" s="73">
        <f t="shared" si="3"/>
        <v>0</v>
      </c>
      <c r="N192" s="73">
        <f t="shared" si="3"/>
        <v>0</v>
      </c>
      <c r="O192" s="73">
        <f t="shared" si="3"/>
        <v>0</v>
      </c>
      <c r="P192" s="73">
        <f t="shared" si="3"/>
        <v>0</v>
      </c>
      <c r="Q192" s="73">
        <f t="shared" si="3"/>
        <v>0</v>
      </c>
      <c r="R192" s="73">
        <f t="shared" si="3"/>
        <v>0</v>
      </c>
      <c r="S192" s="73">
        <f t="shared" si="3"/>
        <v>0</v>
      </c>
      <c r="T192" s="73">
        <f t="shared" si="3"/>
        <v>0</v>
      </c>
      <c r="U192" s="73">
        <f t="shared" si="3"/>
        <v>0</v>
      </c>
      <c r="V192" s="73">
        <f t="shared" si="3"/>
        <v>0</v>
      </c>
      <c r="W192" s="73">
        <f t="shared" si="3"/>
        <v>0</v>
      </c>
      <c r="X192" s="73">
        <f t="shared" si="3"/>
        <v>0</v>
      </c>
      <c r="Y192" s="73">
        <f t="shared" si="3"/>
        <v>0</v>
      </c>
      <c r="Z192" s="73">
        <f t="shared" si="3"/>
        <v>0</v>
      </c>
      <c r="AA192" s="73">
        <f t="shared" si="3"/>
        <v>1</v>
      </c>
      <c r="AB192" s="73">
        <f t="shared" si="3"/>
        <v>0</v>
      </c>
      <c r="AC192" s="73">
        <f t="shared" si="3"/>
        <v>0</v>
      </c>
      <c r="AD192" s="73">
        <f t="shared" si="3"/>
        <v>0</v>
      </c>
      <c r="AE192" s="73">
        <f t="shared" si="3"/>
        <v>0</v>
      </c>
      <c r="AF192" s="73">
        <f t="shared" si="3"/>
        <v>0</v>
      </c>
      <c r="AG192" s="73">
        <f t="shared" si="3"/>
        <v>0</v>
      </c>
      <c r="AH192" s="73">
        <f t="shared" si="3"/>
        <v>0</v>
      </c>
      <c r="AI192" s="73">
        <f t="shared" si="3"/>
        <v>1</v>
      </c>
      <c r="AJ192" s="73">
        <f t="shared" si="3"/>
        <v>24</v>
      </c>
      <c r="AK192" s="73">
        <f t="shared" si="3"/>
        <v>0</v>
      </c>
    </row>
    <row r="193" spans="1:37" x14ac:dyDescent="0.3">
      <c r="A193" s="115"/>
      <c r="B193" s="115"/>
      <c r="C193" s="115"/>
      <c r="D193" s="72" t="s">
        <v>218</v>
      </c>
      <c r="E193" s="73">
        <f t="shared" ref="E193:AK193" si="4">COUNTIFS(E6:E192,"National-WE")</f>
        <v>0</v>
      </c>
      <c r="F193" s="73">
        <f t="shared" si="4"/>
        <v>0</v>
      </c>
      <c r="G193" s="73">
        <f t="shared" si="4"/>
        <v>0</v>
      </c>
      <c r="H193" s="73">
        <f t="shared" si="4"/>
        <v>1</v>
      </c>
      <c r="I193" s="73">
        <f t="shared" si="4"/>
        <v>0</v>
      </c>
      <c r="J193" s="73">
        <f t="shared" si="4"/>
        <v>1</v>
      </c>
      <c r="K193" s="73">
        <f t="shared" si="4"/>
        <v>0</v>
      </c>
      <c r="L193" s="73">
        <f t="shared" si="4"/>
        <v>1</v>
      </c>
      <c r="M193" s="73">
        <f t="shared" si="4"/>
        <v>0</v>
      </c>
      <c r="N193" s="73">
        <f t="shared" si="4"/>
        <v>1</v>
      </c>
      <c r="O193" s="73">
        <f t="shared" si="4"/>
        <v>1</v>
      </c>
      <c r="P193" s="73">
        <f t="shared" si="4"/>
        <v>0</v>
      </c>
      <c r="Q193" s="73">
        <f t="shared" si="4"/>
        <v>1</v>
      </c>
      <c r="R193" s="73">
        <f t="shared" si="4"/>
        <v>0</v>
      </c>
      <c r="S193" s="73">
        <f t="shared" si="4"/>
        <v>0</v>
      </c>
      <c r="T193" s="73">
        <f t="shared" si="4"/>
        <v>1</v>
      </c>
      <c r="U193" s="73">
        <f t="shared" si="4"/>
        <v>0</v>
      </c>
      <c r="V193" s="73">
        <f t="shared" si="4"/>
        <v>0</v>
      </c>
      <c r="W193" s="73">
        <f t="shared" si="4"/>
        <v>0</v>
      </c>
      <c r="X193" s="73">
        <f t="shared" si="4"/>
        <v>0</v>
      </c>
      <c r="Y193" s="73">
        <f t="shared" si="4"/>
        <v>0</v>
      </c>
      <c r="Z193" s="73">
        <f t="shared" si="4"/>
        <v>0</v>
      </c>
      <c r="AA193" s="73">
        <f t="shared" si="4"/>
        <v>0</v>
      </c>
      <c r="AB193" s="73">
        <f t="shared" si="4"/>
        <v>0</v>
      </c>
      <c r="AC193" s="73">
        <f t="shared" si="4"/>
        <v>0</v>
      </c>
      <c r="AD193" s="73">
        <f t="shared" si="4"/>
        <v>1</v>
      </c>
      <c r="AE193" s="73">
        <f t="shared" si="4"/>
        <v>1</v>
      </c>
      <c r="AF193" s="73">
        <f t="shared" si="4"/>
        <v>1</v>
      </c>
      <c r="AG193" s="73">
        <f t="shared" si="4"/>
        <v>1</v>
      </c>
      <c r="AH193" s="73">
        <f t="shared" si="4"/>
        <v>0</v>
      </c>
      <c r="AI193" s="73">
        <f t="shared" si="4"/>
        <v>1</v>
      </c>
      <c r="AJ193" s="73">
        <f t="shared" si="4"/>
        <v>1</v>
      </c>
      <c r="AK193" s="73">
        <f t="shared" si="4"/>
        <v>0</v>
      </c>
    </row>
    <row r="194" spans="1:37" x14ac:dyDescent="0.3">
      <c r="A194" s="115"/>
      <c r="B194" s="115"/>
      <c r="C194" s="115"/>
      <c r="D194" s="72" t="s">
        <v>219</v>
      </c>
      <c r="E194" s="73">
        <f t="shared" ref="E194:AK194" si="5">COUNTIFS(E8:E193,"Regional-WE")</f>
        <v>0</v>
      </c>
      <c r="F194" s="73">
        <f t="shared" si="5"/>
        <v>0</v>
      </c>
      <c r="G194" s="73">
        <f t="shared" si="5"/>
        <v>0</v>
      </c>
      <c r="H194" s="73">
        <f t="shared" si="5"/>
        <v>6</v>
      </c>
      <c r="I194" s="73">
        <f t="shared" si="5"/>
        <v>0</v>
      </c>
      <c r="J194" s="73">
        <f t="shared" si="5"/>
        <v>3</v>
      </c>
      <c r="K194" s="73">
        <f t="shared" si="5"/>
        <v>0</v>
      </c>
      <c r="L194" s="73">
        <f t="shared" si="5"/>
        <v>8</v>
      </c>
      <c r="M194" s="73">
        <f t="shared" si="5"/>
        <v>0</v>
      </c>
      <c r="N194" s="73">
        <f t="shared" si="5"/>
        <v>13</v>
      </c>
      <c r="O194" s="73">
        <f t="shared" si="5"/>
        <v>5</v>
      </c>
      <c r="P194" s="73">
        <f t="shared" si="5"/>
        <v>0</v>
      </c>
      <c r="Q194" s="73">
        <f t="shared" si="5"/>
        <v>12</v>
      </c>
      <c r="R194" s="73">
        <f t="shared" si="5"/>
        <v>0</v>
      </c>
      <c r="S194" s="73">
        <f t="shared" si="5"/>
        <v>4</v>
      </c>
      <c r="T194" s="73">
        <f t="shared" si="5"/>
        <v>9</v>
      </c>
      <c r="U194" s="73">
        <f t="shared" si="5"/>
        <v>0</v>
      </c>
      <c r="V194" s="73">
        <f t="shared" si="5"/>
        <v>8</v>
      </c>
      <c r="W194" s="73">
        <f t="shared" si="5"/>
        <v>5</v>
      </c>
      <c r="X194" s="73">
        <f t="shared" si="5"/>
        <v>4</v>
      </c>
      <c r="Y194" s="73">
        <f t="shared" si="5"/>
        <v>3</v>
      </c>
      <c r="Z194" s="73">
        <f t="shared" si="5"/>
        <v>0</v>
      </c>
      <c r="AA194" s="73">
        <f t="shared" si="5"/>
        <v>2</v>
      </c>
      <c r="AB194" s="73">
        <f t="shared" si="5"/>
        <v>0</v>
      </c>
      <c r="AC194" s="73">
        <f t="shared" si="5"/>
        <v>0</v>
      </c>
      <c r="AD194" s="73">
        <f t="shared" si="5"/>
        <v>2</v>
      </c>
      <c r="AE194" s="73">
        <f t="shared" si="5"/>
        <v>6</v>
      </c>
      <c r="AF194" s="73">
        <f t="shared" si="5"/>
        <v>2</v>
      </c>
      <c r="AG194" s="73">
        <f t="shared" si="5"/>
        <v>4</v>
      </c>
      <c r="AH194" s="73">
        <f t="shared" si="5"/>
        <v>0</v>
      </c>
      <c r="AI194" s="73">
        <f t="shared" si="5"/>
        <v>4</v>
      </c>
      <c r="AJ194" s="73">
        <f t="shared" si="5"/>
        <v>5</v>
      </c>
      <c r="AK194" s="73">
        <f t="shared" si="5"/>
        <v>0</v>
      </c>
    </row>
    <row r="195" spans="1:37" x14ac:dyDescent="0.3">
      <c r="A195" s="115"/>
      <c r="B195" s="115"/>
      <c r="C195" s="115"/>
      <c r="D195" s="72" t="s">
        <v>220</v>
      </c>
      <c r="E195" s="73">
        <f t="shared" ref="E195:AK195" si="6">COUNTIFS(E9:E194,"Public-WE")</f>
        <v>0</v>
      </c>
      <c r="F195" s="73">
        <f t="shared" si="6"/>
        <v>0</v>
      </c>
      <c r="G195" s="73">
        <f t="shared" si="6"/>
        <v>0</v>
      </c>
      <c r="H195" s="73">
        <f t="shared" si="6"/>
        <v>0</v>
      </c>
      <c r="I195" s="73">
        <f t="shared" si="6"/>
        <v>0</v>
      </c>
      <c r="J195" s="73">
        <f t="shared" si="6"/>
        <v>0</v>
      </c>
      <c r="K195" s="73">
        <f t="shared" si="6"/>
        <v>0</v>
      </c>
      <c r="L195" s="73">
        <f t="shared" si="6"/>
        <v>0</v>
      </c>
      <c r="M195" s="73">
        <f t="shared" si="6"/>
        <v>0</v>
      </c>
      <c r="N195" s="73">
        <f t="shared" si="6"/>
        <v>0</v>
      </c>
      <c r="O195" s="73">
        <f t="shared" si="6"/>
        <v>0</v>
      </c>
      <c r="P195" s="73">
        <f t="shared" si="6"/>
        <v>0</v>
      </c>
      <c r="Q195" s="73">
        <f t="shared" si="6"/>
        <v>0</v>
      </c>
      <c r="R195" s="73">
        <f t="shared" si="6"/>
        <v>0</v>
      </c>
      <c r="S195" s="73">
        <f t="shared" si="6"/>
        <v>0</v>
      </c>
      <c r="T195" s="73">
        <f t="shared" si="6"/>
        <v>0</v>
      </c>
      <c r="U195" s="73">
        <f t="shared" si="6"/>
        <v>0</v>
      </c>
      <c r="V195" s="73">
        <f t="shared" si="6"/>
        <v>0</v>
      </c>
      <c r="W195" s="73">
        <f t="shared" si="6"/>
        <v>0</v>
      </c>
      <c r="X195" s="73">
        <f t="shared" si="6"/>
        <v>0</v>
      </c>
      <c r="Y195" s="73">
        <f t="shared" si="6"/>
        <v>0</v>
      </c>
      <c r="Z195" s="73">
        <f t="shared" si="6"/>
        <v>0</v>
      </c>
      <c r="AA195" s="73">
        <f t="shared" si="6"/>
        <v>0</v>
      </c>
      <c r="AB195" s="73">
        <f t="shared" si="6"/>
        <v>0</v>
      </c>
      <c r="AC195" s="73">
        <f t="shared" si="6"/>
        <v>0</v>
      </c>
      <c r="AD195" s="73">
        <f t="shared" si="6"/>
        <v>0</v>
      </c>
      <c r="AE195" s="73">
        <f t="shared" si="6"/>
        <v>0</v>
      </c>
      <c r="AF195" s="73">
        <f t="shared" si="6"/>
        <v>0</v>
      </c>
      <c r="AG195" s="73">
        <f t="shared" si="6"/>
        <v>0</v>
      </c>
      <c r="AH195" s="73">
        <f t="shared" si="6"/>
        <v>0</v>
      </c>
      <c r="AI195" s="73">
        <f t="shared" si="6"/>
        <v>0</v>
      </c>
      <c r="AJ195" s="73">
        <f t="shared" si="6"/>
        <v>0</v>
      </c>
      <c r="AK195" s="73">
        <f t="shared" si="6"/>
        <v>0</v>
      </c>
    </row>
    <row r="196" spans="1:37" x14ac:dyDescent="0.3">
      <c r="A196" s="115"/>
      <c r="B196" s="115"/>
      <c r="C196" s="115"/>
      <c r="D196" s="72" t="s">
        <v>221</v>
      </c>
      <c r="E196" s="73">
        <f t="shared" ref="E196:AK196" si="7">COUNTIFS(E10:E195,"Optional-WE")</f>
        <v>0</v>
      </c>
      <c r="F196" s="73">
        <f t="shared" si="7"/>
        <v>0</v>
      </c>
      <c r="G196" s="73">
        <f t="shared" si="7"/>
        <v>0</v>
      </c>
      <c r="H196" s="73">
        <f t="shared" si="7"/>
        <v>2</v>
      </c>
      <c r="I196" s="73">
        <f t="shared" si="7"/>
        <v>0</v>
      </c>
      <c r="J196" s="73">
        <f t="shared" si="7"/>
        <v>2</v>
      </c>
      <c r="K196" s="73">
        <f t="shared" si="7"/>
        <v>0</v>
      </c>
      <c r="L196" s="73">
        <f t="shared" si="7"/>
        <v>0</v>
      </c>
      <c r="M196" s="73">
        <f t="shared" si="7"/>
        <v>0</v>
      </c>
      <c r="N196" s="73">
        <f t="shared" si="7"/>
        <v>0</v>
      </c>
      <c r="O196" s="73">
        <f t="shared" si="7"/>
        <v>0</v>
      </c>
      <c r="P196" s="73">
        <f t="shared" si="7"/>
        <v>0</v>
      </c>
      <c r="Q196" s="73">
        <f t="shared" si="7"/>
        <v>0</v>
      </c>
      <c r="R196" s="73">
        <f t="shared" si="7"/>
        <v>0</v>
      </c>
      <c r="S196" s="73">
        <f t="shared" si="7"/>
        <v>0</v>
      </c>
      <c r="T196" s="73">
        <f t="shared" si="7"/>
        <v>0</v>
      </c>
      <c r="U196" s="73">
        <f t="shared" si="7"/>
        <v>0</v>
      </c>
      <c r="V196" s="73">
        <f t="shared" si="7"/>
        <v>0</v>
      </c>
      <c r="W196" s="73">
        <f t="shared" si="7"/>
        <v>0</v>
      </c>
      <c r="X196" s="73">
        <f t="shared" si="7"/>
        <v>0</v>
      </c>
      <c r="Y196" s="73">
        <f t="shared" si="7"/>
        <v>0</v>
      </c>
      <c r="Z196" s="73">
        <f t="shared" si="7"/>
        <v>0</v>
      </c>
      <c r="AA196" s="73">
        <f t="shared" si="7"/>
        <v>0</v>
      </c>
      <c r="AB196" s="73">
        <f t="shared" si="7"/>
        <v>0</v>
      </c>
      <c r="AC196" s="73">
        <f t="shared" si="7"/>
        <v>0</v>
      </c>
      <c r="AD196" s="73">
        <f t="shared" si="7"/>
        <v>0</v>
      </c>
      <c r="AE196" s="73">
        <f t="shared" si="7"/>
        <v>0</v>
      </c>
      <c r="AF196" s="73">
        <f t="shared" si="7"/>
        <v>0</v>
      </c>
      <c r="AG196" s="73">
        <f t="shared" si="7"/>
        <v>0</v>
      </c>
      <c r="AH196" s="73">
        <f t="shared" si="7"/>
        <v>0</v>
      </c>
      <c r="AI196" s="73">
        <f t="shared" si="7"/>
        <v>0</v>
      </c>
      <c r="AJ196" s="73">
        <f t="shared" si="7"/>
        <v>3</v>
      </c>
      <c r="AK196" s="73">
        <f t="shared" si="7"/>
        <v>0</v>
      </c>
    </row>
    <row r="197" spans="1:37" ht="14.5" x14ac:dyDescent="0.35">
      <c r="D197" s="82"/>
      <c r="H197" s="3" t="e">
        <f ca="1">countbycolor(H2:H186,H181)</f>
        <v>#NAME?</v>
      </c>
    </row>
    <row r="198" spans="1:37" ht="14.5" x14ac:dyDescent="0.35">
      <c r="A198" s="77" t="s">
        <v>321</v>
      </c>
      <c r="B198" s="61" t="s">
        <v>322</v>
      </c>
      <c r="D198"/>
    </row>
  </sheetData>
  <autoFilter ref="A1:XDX186" xr:uid="{5D5144B2-CB60-4222-AB20-391455342BA2}"/>
  <mergeCells count="2">
    <mergeCell ref="A187:XFD188"/>
    <mergeCell ref="A189:C196"/>
  </mergeCells>
  <hyperlinks>
    <hyperlink ref="B198" r:id="rId1" xr:uid="{844149B5-EFE8-4C04-B659-5928E15A652C}"/>
  </hyperlinks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6EF98B-82D6-4FD4-B2B2-15281CFDC73B}">
          <x14:formula1>
            <xm:f>Sheet2!$A$1:$A$8</xm:f>
          </x14:formula1>
          <xm:sqref>U150 E2:G186 L2:M186 O2:R186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5B7B-A2D3-4428-A277-7B7C563ED5E9}">
  <sheetPr>
    <tabColor theme="6" tint="-0.499984740745262"/>
  </sheetPr>
  <dimension ref="A1:XEA45"/>
  <sheetViews>
    <sheetView workbookViewId="0">
      <selection activeCell="C33" sqref="C33"/>
    </sheetView>
  </sheetViews>
  <sheetFormatPr defaultColWidth="9.453125" defaultRowHeight="12.5" x14ac:dyDescent="0.3"/>
  <cols>
    <col min="1" max="1" width="5.7265625" style="25" bestFit="1" customWidth="1"/>
    <col min="2" max="2" width="11.81640625" style="25" bestFit="1" customWidth="1"/>
    <col min="3" max="3" width="54.81640625" style="25" bestFit="1" customWidth="1"/>
    <col min="4" max="4" width="10.1796875" style="25" bestFit="1" customWidth="1"/>
    <col min="5" max="7" width="10.1796875" style="25" customWidth="1"/>
    <col min="8" max="8" width="9.453125" style="3"/>
    <col min="9" max="9" width="10.36328125" style="3" bestFit="1" customWidth="1"/>
    <col min="10" max="13" width="9.453125" style="3"/>
    <col min="14" max="14" width="12.26953125" style="3" bestFit="1" customWidth="1"/>
    <col min="15" max="15" width="9.453125" style="3"/>
    <col min="16" max="16" width="11.26953125" style="3" bestFit="1" customWidth="1"/>
    <col min="17" max="17" width="12.26953125" style="3" bestFit="1" customWidth="1"/>
    <col min="18" max="18" width="11.36328125" style="3" bestFit="1" customWidth="1"/>
    <col min="19" max="19" width="14.90625" style="3" bestFit="1" customWidth="1"/>
    <col min="20" max="22" width="9.453125" style="3"/>
    <col min="23" max="23" width="11.08984375" style="3" bestFit="1" customWidth="1"/>
    <col min="24" max="24" width="16.54296875" style="3" bestFit="1" customWidth="1"/>
    <col min="25" max="31" width="9.453125" style="3"/>
    <col min="32" max="32" width="14.26953125" style="3" bestFit="1" customWidth="1"/>
    <col min="33" max="39" width="9.453125" style="3"/>
    <col min="40" max="40" width="11.6328125" style="3" bestFit="1" customWidth="1"/>
    <col min="41" max="16354" width="9.453125" style="3"/>
    <col min="16355" max="16355" width="3.54296875" style="3" bestFit="1" customWidth="1"/>
    <col min="16356" max="16384" width="3.54296875" style="3" customWidth="1"/>
  </cols>
  <sheetData>
    <row r="1" spans="1:40 16355:16355" ht="13.5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28">
        <v>2026</v>
      </c>
      <c r="F1" s="129"/>
      <c r="G1" s="130"/>
      <c r="H1" s="107" t="s">
        <v>84</v>
      </c>
      <c r="I1" s="108"/>
      <c r="J1" s="108"/>
      <c r="K1" s="108"/>
      <c r="L1" s="108"/>
      <c r="M1" s="108"/>
      <c r="N1" s="108"/>
      <c r="O1" s="108"/>
      <c r="P1" s="108"/>
      <c r="Q1" s="108"/>
      <c r="R1" s="109" t="s">
        <v>87</v>
      </c>
      <c r="S1" s="109"/>
      <c r="T1" s="110" t="s">
        <v>88</v>
      </c>
      <c r="U1" s="110"/>
      <c r="V1" s="110"/>
      <c r="W1" s="110"/>
      <c r="X1" s="111" t="s">
        <v>89</v>
      </c>
      <c r="Y1" s="111"/>
      <c r="Z1" s="111"/>
      <c r="AA1" s="111"/>
      <c r="AB1" s="111"/>
      <c r="AC1" s="111"/>
      <c r="AD1" s="111"/>
      <c r="AE1" s="111"/>
      <c r="AF1" s="112" t="s">
        <v>93</v>
      </c>
      <c r="AG1" s="112"/>
      <c r="AH1" s="112"/>
      <c r="AI1" s="112"/>
      <c r="AJ1" s="112"/>
      <c r="AK1" s="112"/>
      <c r="AL1" s="105" t="s">
        <v>95</v>
      </c>
      <c r="AM1" s="105"/>
      <c r="AN1" s="105"/>
    </row>
    <row r="2" spans="1:40 16355:16355" ht="14.5" x14ac:dyDescent="0.35">
      <c r="A2" s="4" t="s">
        <v>5</v>
      </c>
      <c r="B2" s="4" t="s">
        <v>6</v>
      </c>
      <c r="C2" s="4" t="s">
        <v>7</v>
      </c>
      <c r="D2" s="4" t="s">
        <v>8</v>
      </c>
      <c r="E2" s="28" t="s">
        <v>6</v>
      </c>
      <c r="F2" s="28" t="s">
        <v>7</v>
      </c>
      <c r="G2" s="28" t="s">
        <v>8</v>
      </c>
      <c r="H2" t="s">
        <v>22</v>
      </c>
      <c r="I2" t="s">
        <v>70</v>
      </c>
      <c r="J2" t="s">
        <v>23</v>
      </c>
      <c r="K2" t="s">
        <v>69</v>
      </c>
      <c r="L2" t="s">
        <v>85</v>
      </c>
      <c r="M2" t="s">
        <v>86</v>
      </c>
      <c r="N2" t="s">
        <v>24</v>
      </c>
      <c r="O2" t="s">
        <v>67</v>
      </c>
      <c r="P2" t="s">
        <v>66</v>
      </c>
      <c r="Q2" t="s">
        <v>25</v>
      </c>
      <c r="R2" t="s">
        <v>71</v>
      </c>
      <c r="S2" t="s">
        <v>14</v>
      </c>
      <c r="T2" t="s">
        <v>72</v>
      </c>
      <c r="U2" t="s">
        <v>13</v>
      </c>
      <c r="V2" t="s">
        <v>18</v>
      </c>
      <c r="W2" t="s">
        <v>19</v>
      </c>
      <c r="X2" t="s">
        <v>80</v>
      </c>
      <c r="Y2" t="s">
        <v>17</v>
      </c>
      <c r="Z2" t="s">
        <v>79</v>
      </c>
      <c r="AA2" t="s">
        <v>16</v>
      </c>
      <c r="AB2" t="s">
        <v>90</v>
      </c>
      <c r="AC2" t="s">
        <v>91</v>
      </c>
      <c r="AD2" t="s">
        <v>92</v>
      </c>
      <c r="AE2" t="s">
        <v>15</v>
      </c>
      <c r="AF2" t="s">
        <v>73</v>
      </c>
      <c r="AG2" t="s">
        <v>11</v>
      </c>
      <c r="AH2" t="s">
        <v>10</v>
      </c>
      <c r="AI2" t="s">
        <v>94</v>
      </c>
      <c r="AJ2" t="s">
        <v>12</v>
      </c>
      <c r="AK2" t="s">
        <v>9</v>
      </c>
      <c r="AL2" t="s">
        <v>78</v>
      </c>
      <c r="AM2" t="s">
        <v>20</v>
      </c>
      <c r="AN2" t="s">
        <v>65</v>
      </c>
      <c r="XEA2" s="3" t="s">
        <v>26</v>
      </c>
    </row>
    <row r="3" spans="1:40 16355:16355" x14ac:dyDescent="0.3">
      <c r="A3" s="5">
        <v>1</v>
      </c>
      <c r="B3" s="6">
        <v>45658</v>
      </c>
      <c r="C3" s="7" t="s">
        <v>27</v>
      </c>
      <c r="D3" s="7" t="str">
        <f t="shared" ref="D3:D40" si="0">TEXT(B3,"ddddddd")</f>
        <v>Wednesday</v>
      </c>
      <c r="E3" s="36"/>
      <c r="F3" s="36"/>
      <c r="G3" s="36"/>
    </row>
    <row r="4" spans="1:40 16355:16355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36"/>
      <c r="F4" s="36"/>
      <c r="G4" s="36"/>
    </row>
    <row r="5" spans="1:40 16355:16355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36"/>
      <c r="F5" s="36"/>
      <c r="G5" s="36"/>
    </row>
    <row r="6" spans="1:40 16355:1635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35"/>
      <c r="F6" s="35"/>
      <c r="G6" s="35"/>
    </row>
    <row r="7" spans="1:40 16355:1635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36"/>
      <c r="F7" s="36"/>
      <c r="G7" s="36"/>
    </row>
    <row r="8" spans="1:40 16355:16355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36"/>
      <c r="F8" s="36"/>
      <c r="G8" s="36"/>
    </row>
    <row r="9" spans="1:40 16355:16355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35"/>
      <c r="F9" s="35"/>
      <c r="G9" s="35"/>
    </row>
    <row r="10" spans="1:40 16355:16355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35"/>
      <c r="F10" s="35"/>
      <c r="G10" s="35"/>
    </row>
    <row r="11" spans="1:40 16355:1635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36"/>
      <c r="F11" s="36"/>
      <c r="G11" s="36"/>
    </row>
    <row r="12" spans="1:40 16355:16355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36"/>
      <c r="F12" s="36"/>
      <c r="G12" s="36"/>
    </row>
    <row r="13" spans="1:40 16355:16355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36"/>
      <c r="F13" s="36"/>
      <c r="G13" s="36"/>
    </row>
    <row r="14" spans="1:40 16355:16355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E14" s="36"/>
      <c r="F14" s="36"/>
      <c r="G14" s="36"/>
    </row>
    <row r="15" spans="1:40 16355:16355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36"/>
      <c r="F15" s="36"/>
      <c r="G15" s="36"/>
    </row>
    <row r="16" spans="1:40 16355:1635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36"/>
      <c r="F16" s="36"/>
      <c r="G16" s="36"/>
    </row>
    <row r="17" spans="1:7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E17" s="36"/>
      <c r="F17" s="36"/>
      <c r="G17" s="36"/>
    </row>
    <row r="18" spans="1:7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36"/>
      <c r="F18" s="36"/>
      <c r="G18" s="36"/>
    </row>
    <row r="19" spans="1:7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36"/>
      <c r="F19" s="36"/>
      <c r="G19" s="36"/>
    </row>
    <row r="20" spans="1:7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37"/>
      <c r="F20" s="37"/>
      <c r="G20" s="37"/>
    </row>
    <row r="21" spans="1:7" x14ac:dyDescent="0.3">
      <c r="A21" s="7">
        <v>19</v>
      </c>
      <c r="B21" s="6">
        <v>45835</v>
      </c>
      <c r="C21" s="19" t="s">
        <v>43</v>
      </c>
      <c r="D21" s="20" t="str">
        <f t="shared" si="0"/>
        <v>Friday</v>
      </c>
      <c r="E21" s="37"/>
      <c r="F21" s="37"/>
      <c r="G21" s="37"/>
    </row>
    <row r="22" spans="1:7" x14ac:dyDescent="0.3">
      <c r="A22" s="5">
        <v>20</v>
      </c>
      <c r="B22" s="6">
        <v>45878</v>
      </c>
      <c r="C22" s="7" t="s">
        <v>44</v>
      </c>
      <c r="D22" s="7" t="str">
        <f t="shared" si="0"/>
        <v>Saturday</v>
      </c>
      <c r="E22" s="36"/>
      <c r="F22" s="36"/>
      <c r="G22" s="36"/>
    </row>
    <row r="23" spans="1:7" x14ac:dyDescent="0.3">
      <c r="A23" s="5">
        <v>21</v>
      </c>
      <c r="B23" s="6">
        <v>45882</v>
      </c>
      <c r="C23" s="7" t="s">
        <v>45</v>
      </c>
      <c r="D23" s="7" t="str">
        <f t="shared" si="0"/>
        <v>Wednesday</v>
      </c>
      <c r="E23" s="36"/>
      <c r="F23" s="36"/>
      <c r="G23" s="36"/>
    </row>
    <row r="24" spans="1:7" x14ac:dyDescent="0.3">
      <c r="A24" s="5">
        <v>22</v>
      </c>
      <c r="B24" s="6">
        <v>45884</v>
      </c>
      <c r="C24" s="7" t="s">
        <v>46</v>
      </c>
      <c r="D24" s="7" t="str">
        <f t="shared" si="0"/>
        <v>Friday</v>
      </c>
      <c r="E24" s="36"/>
      <c r="F24" s="36"/>
      <c r="G24" s="36"/>
    </row>
    <row r="25" spans="1:7" x14ac:dyDescent="0.3">
      <c r="A25" s="5">
        <v>23</v>
      </c>
      <c r="B25" s="6">
        <v>45896</v>
      </c>
      <c r="C25" s="7" t="s">
        <v>47</v>
      </c>
      <c r="D25" s="7" t="str">
        <f t="shared" si="0"/>
        <v>Wednesday</v>
      </c>
      <c r="E25" s="36"/>
      <c r="F25" s="36"/>
      <c r="G25" s="36"/>
    </row>
    <row r="26" spans="1:7" x14ac:dyDescent="0.3">
      <c r="A26" s="5">
        <v>24</v>
      </c>
      <c r="B26" s="6">
        <v>45897</v>
      </c>
      <c r="C26" s="7" t="s">
        <v>48</v>
      </c>
      <c r="D26" s="7" t="str">
        <f t="shared" si="0"/>
        <v>Thursday</v>
      </c>
      <c r="E26" s="36"/>
      <c r="F26" s="36"/>
      <c r="G26" s="36"/>
    </row>
    <row r="27" spans="1:7" x14ac:dyDescent="0.3">
      <c r="A27" s="5">
        <v>25</v>
      </c>
      <c r="B27" s="6">
        <v>45904</v>
      </c>
      <c r="C27" s="7" t="s">
        <v>49</v>
      </c>
      <c r="D27" s="7" t="str">
        <f t="shared" si="0"/>
        <v>Thursday</v>
      </c>
      <c r="E27" s="36"/>
      <c r="F27" s="36"/>
      <c r="G27" s="36"/>
    </row>
    <row r="28" spans="1:7" x14ac:dyDescent="0.3">
      <c r="A28" s="5">
        <v>26</v>
      </c>
      <c r="B28" s="6">
        <v>45905</v>
      </c>
      <c r="C28" s="7" t="s">
        <v>50</v>
      </c>
      <c r="D28" s="7" t="str">
        <f t="shared" si="0"/>
        <v>Friday</v>
      </c>
      <c r="E28" s="36"/>
      <c r="F28" s="36"/>
      <c r="G28" s="36"/>
    </row>
    <row r="29" spans="1:7" x14ac:dyDescent="0.3">
      <c r="A29" s="7">
        <v>27</v>
      </c>
      <c r="B29" s="6">
        <v>45930</v>
      </c>
      <c r="C29" s="21" t="s">
        <v>51</v>
      </c>
      <c r="D29" s="7" t="str">
        <f t="shared" si="0"/>
        <v>Tuesday</v>
      </c>
      <c r="E29" s="36"/>
      <c r="F29" s="36"/>
      <c r="G29" s="36"/>
    </row>
    <row r="30" spans="1:7" x14ac:dyDescent="0.3">
      <c r="A30" s="5">
        <v>28</v>
      </c>
      <c r="B30" s="6">
        <v>45931</v>
      </c>
      <c r="C30" s="7" t="s">
        <v>52</v>
      </c>
      <c r="D30" s="7" t="str">
        <f t="shared" si="0"/>
        <v>Wednesday</v>
      </c>
      <c r="E30" s="36"/>
      <c r="F30" s="36"/>
      <c r="G30" s="36"/>
    </row>
    <row r="31" spans="1:7" x14ac:dyDescent="0.3">
      <c r="A31" s="5">
        <v>29</v>
      </c>
      <c r="B31" s="6">
        <v>45932</v>
      </c>
      <c r="C31" s="7" t="s">
        <v>53</v>
      </c>
      <c r="D31" s="7" t="str">
        <f t="shared" si="0"/>
        <v>Thursday</v>
      </c>
      <c r="E31" s="36"/>
      <c r="F31" s="36"/>
      <c r="G31" s="36"/>
    </row>
    <row r="32" spans="1:7" x14ac:dyDescent="0.3">
      <c r="A32" s="5">
        <v>30</v>
      </c>
      <c r="B32" s="6">
        <v>45950</v>
      </c>
      <c r="C32" s="7" t="s">
        <v>54</v>
      </c>
      <c r="D32" s="7" t="str">
        <f t="shared" si="0"/>
        <v>Monday</v>
      </c>
      <c r="E32" s="36"/>
      <c r="F32" s="36"/>
      <c r="G32" s="36"/>
    </row>
    <row r="33" spans="1:7" x14ac:dyDescent="0.3">
      <c r="A33" s="5">
        <v>31</v>
      </c>
      <c r="B33" s="6">
        <v>45951</v>
      </c>
      <c r="C33" s="7" t="s">
        <v>54</v>
      </c>
      <c r="D33" s="7" t="str">
        <f t="shared" si="0"/>
        <v>Tuesday</v>
      </c>
      <c r="E33" s="36"/>
      <c r="F33" s="36"/>
      <c r="G33" s="36"/>
    </row>
    <row r="34" spans="1:7" x14ac:dyDescent="0.3">
      <c r="A34" s="5">
        <v>32</v>
      </c>
      <c r="B34" s="6">
        <v>45952</v>
      </c>
      <c r="C34" s="7" t="s">
        <v>55</v>
      </c>
      <c r="D34" s="7" t="str">
        <f t="shared" si="0"/>
        <v>Wednesday</v>
      </c>
      <c r="E34" s="36"/>
      <c r="F34" s="36"/>
      <c r="G34" s="36"/>
    </row>
    <row r="35" spans="1:7" x14ac:dyDescent="0.3">
      <c r="A35" s="7">
        <v>33</v>
      </c>
      <c r="B35" s="6">
        <v>45957</v>
      </c>
      <c r="C35" s="19" t="s">
        <v>56</v>
      </c>
      <c r="D35" s="7" t="str">
        <f t="shared" si="0"/>
        <v>Monday</v>
      </c>
      <c r="E35" s="36"/>
      <c r="F35" s="36"/>
      <c r="G35" s="36"/>
    </row>
    <row r="36" spans="1:7" x14ac:dyDescent="0.3">
      <c r="A36" s="5">
        <v>34</v>
      </c>
      <c r="B36" s="6">
        <v>45959</v>
      </c>
      <c r="C36" s="7" t="s">
        <v>57</v>
      </c>
      <c r="D36" s="7" t="str">
        <f t="shared" si="0"/>
        <v>Wednesday</v>
      </c>
      <c r="E36" s="36"/>
      <c r="F36" s="36"/>
      <c r="G36" s="36"/>
    </row>
    <row r="37" spans="1:7" x14ac:dyDescent="0.3">
      <c r="A37" s="5">
        <v>35</v>
      </c>
      <c r="B37" s="6">
        <v>45962</v>
      </c>
      <c r="C37" s="7" t="s">
        <v>58</v>
      </c>
      <c r="D37" s="4" t="str">
        <f t="shared" si="0"/>
        <v>Saturday</v>
      </c>
      <c r="E37" s="35"/>
      <c r="F37" s="35"/>
      <c r="G37" s="35"/>
    </row>
    <row r="38" spans="1:7" x14ac:dyDescent="0.3">
      <c r="A38" s="5">
        <v>36</v>
      </c>
      <c r="B38" s="6">
        <v>45966</v>
      </c>
      <c r="C38" s="7" t="s">
        <v>59</v>
      </c>
      <c r="D38" s="7" t="str">
        <f t="shared" si="0"/>
        <v>Wednesday</v>
      </c>
      <c r="E38" s="36"/>
      <c r="F38" s="36"/>
      <c r="G38" s="36"/>
    </row>
    <row r="39" spans="1:7" x14ac:dyDescent="0.3">
      <c r="A39" s="5">
        <v>37</v>
      </c>
      <c r="B39" s="6">
        <v>46010</v>
      </c>
      <c r="C39" s="7" t="s">
        <v>60</v>
      </c>
      <c r="D39" s="7" t="str">
        <f t="shared" si="0"/>
        <v>Friday</v>
      </c>
      <c r="E39" s="36"/>
      <c r="F39" s="36"/>
      <c r="G39" s="36"/>
    </row>
    <row r="40" spans="1:7" x14ac:dyDescent="0.3">
      <c r="A40" s="5">
        <v>38</v>
      </c>
      <c r="B40" s="6">
        <v>46016</v>
      </c>
      <c r="C40" s="7" t="s">
        <v>61</v>
      </c>
      <c r="D40" s="7" t="str">
        <f t="shared" si="0"/>
        <v>Thursday</v>
      </c>
      <c r="E40" s="36"/>
      <c r="F40" s="36"/>
      <c r="G40" s="36"/>
    </row>
    <row r="41" spans="1:7" x14ac:dyDescent="0.3">
      <c r="A41" s="5"/>
      <c r="B41" s="6"/>
      <c r="C41" s="7"/>
      <c r="D41" s="22"/>
      <c r="E41" s="35"/>
      <c r="F41" s="35"/>
      <c r="G41" s="35"/>
    </row>
    <row r="42" spans="1:7" x14ac:dyDescent="0.3">
      <c r="A42" s="23"/>
      <c r="B42" s="23"/>
      <c r="C42" s="23"/>
      <c r="D42" s="23"/>
    </row>
    <row r="43" spans="1:7" x14ac:dyDescent="0.3">
      <c r="A43" s="106" t="s">
        <v>62</v>
      </c>
      <c r="B43" s="106"/>
      <c r="C43" s="106"/>
      <c r="D43" s="106"/>
      <c r="E43" s="38"/>
      <c r="F43" s="38"/>
      <c r="G43" s="38"/>
    </row>
    <row r="44" spans="1:7" x14ac:dyDescent="0.3">
      <c r="D44" s="25" t="s">
        <v>63</v>
      </c>
    </row>
    <row r="45" spans="1:7" x14ac:dyDescent="0.3">
      <c r="D45" s="25" t="s">
        <v>64</v>
      </c>
    </row>
  </sheetData>
  <autoFilter ref="A2:XEA2" xr:uid="{81BBFDC4-8894-4E29-B14D-597F1CF11893}"/>
  <mergeCells count="8">
    <mergeCell ref="X1:AE1"/>
    <mergeCell ref="AF1:AK1"/>
    <mergeCell ref="AL1:AN1"/>
    <mergeCell ref="E1:G1"/>
    <mergeCell ref="A43:D43"/>
    <mergeCell ref="H1:Q1"/>
    <mergeCell ref="R1:S1"/>
    <mergeCell ref="T1:W1"/>
  </mergeCells>
  <hyperlinks>
    <hyperlink ref="C7" r:id="rId1" display="https://www.calendarlabs.com/holidays/india/maha-shivratri.php" xr:uid="{00000000-0004-0000-0400-000000000000}"/>
    <hyperlink ref="C40" r:id="rId2" display="https://publicholidays.in/christmas/" xr:uid="{00000000-0004-0000-0400-000001000000}"/>
    <hyperlink ref="C22" r:id="rId3" display="https://publicholidays.in/raksha-bandhan/" xr:uid="{00000000-0004-0000-0400-000002000000}"/>
    <hyperlink ref="C13" r:id="rId4" display="https://publicholidays.in/mahavir-jayanti/" xr:uid="{00000000-0004-0000-0400-000003000000}"/>
    <hyperlink ref="C36" r:id="rId5" display="https://publicholidays.in/durga-puja/" xr:uid="{00000000-0004-0000-0400-00000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E270-1FE4-4679-8D49-FFBC48B98B80}">
  <sheetPr>
    <tabColor rgb="FF002060"/>
  </sheetPr>
  <dimension ref="A1:AO43"/>
  <sheetViews>
    <sheetView workbookViewId="0">
      <pane xSplit="5" ySplit="2" topLeftCell="F14" activePane="bottomRight" state="frozen"/>
      <selection pane="topRight" activeCell="F1" sqref="F1"/>
      <selection pane="bottomLeft" activeCell="A3" sqref="A3"/>
      <selection pane="bottomRight" activeCell="A17" sqref="A17:XFD17"/>
    </sheetView>
  </sheetViews>
  <sheetFormatPr defaultRowHeight="14.5" x14ac:dyDescent="0.35"/>
  <cols>
    <col min="3" max="3" width="11.54296875" bestFit="1" customWidth="1"/>
    <col min="4" max="4" width="56.54296875" bestFit="1" customWidth="1"/>
  </cols>
  <sheetData>
    <row r="1" spans="1:41" x14ac:dyDescent="0.35">
      <c r="A1" s="1" t="s">
        <v>0</v>
      </c>
      <c r="B1" s="1"/>
      <c r="C1" s="1" t="s">
        <v>0</v>
      </c>
      <c r="D1" s="1" t="s">
        <v>0</v>
      </c>
      <c r="E1" s="1" t="s">
        <v>0</v>
      </c>
      <c r="F1" s="131" t="s">
        <v>1</v>
      </c>
      <c r="G1" s="131"/>
      <c r="H1" s="131"/>
      <c r="I1" s="131"/>
      <c r="J1" s="131"/>
      <c r="K1" s="131"/>
      <c r="L1" s="132" t="s">
        <v>2</v>
      </c>
      <c r="M1" s="132"/>
      <c r="N1" s="132"/>
      <c r="O1" s="132"/>
      <c r="P1" s="132"/>
      <c r="Q1" s="132"/>
      <c r="R1" s="132"/>
      <c r="S1" s="132"/>
      <c r="T1" s="132"/>
      <c r="U1" s="133" t="s">
        <v>3</v>
      </c>
      <c r="V1" s="133"/>
      <c r="W1" s="133"/>
      <c r="X1" s="133"/>
      <c r="Y1" s="133"/>
      <c r="Z1" s="134" t="s">
        <v>4</v>
      </c>
      <c r="AA1" s="134"/>
      <c r="AB1" s="134"/>
      <c r="AC1" s="134"/>
      <c r="AD1" s="134"/>
      <c r="AE1" s="134"/>
      <c r="AF1" s="134"/>
      <c r="AG1" s="134"/>
      <c r="AH1" s="134"/>
    </row>
    <row r="2" spans="1:41" x14ac:dyDescent="0.35">
      <c r="A2" s="4" t="s">
        <v>5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73</v>
      </c>
      <c r="H2" s="4" t="s">
        <v>10</v>
      </c>
      <c r="I2" s="4" t="s">
        <v>11</v>
      </c>
      <c r="J2" s="4" t="s">
        <v>12</v>
      </c>
      <c r="K2" s="4" t="s">
        <v>81</v>
      </c>
      <c r="L2" s="4" t="s">
        <v>13</v>
      </c>
      <c r="M2" s="4" t="s">
        <v>80</v>
      </c>
      <c r="N2" s="4" t="s">
        <v>79</v>
      </c>
      <c r="O2" s="4" t="s">
        <v>16</v>
      </c>
      <c r="P2" s="4" t="s">
        <v>17</v>
      </c>
      <c r="Q2" s="4" t="s">
        <v>72</v>
      </c>
      <c r="R2" s="4" t="s">
        <v>18</v>
      </c>
      <c r="S2" s="4" t="s">
        <v>15</v>
      </c>
      <c r="T2" s="4" t="s">
        <v>19</v>
      </c>
      <c r="U2" s="4" t="s">
        <v>71</v>
      </c>
      <c r="V2" s="4" t="s">
        <v>78</v>
      </c>
      <c r="W2" s="4" t="s">
        <v>14</v>
      </c>
      <c r="X2" s="4" t="s">
        <v>20</v>
      </c>
      <c r="Y2" s="4" t="s">
        <v>65</v>
      </c>
      <c r="Z2" s="4" t="s">
        <v>22</v>
      </c>
      <c r="AA2" s="4" t="s">
        <v>23</v>
      </c>
      <c r="AB2" s="4" t="s">
        <v>70</v>
      </c>
      <c r="AC2" s="4" t="s">
        <v>69</v>
      </c>
      <c r="AD2" s="4" t="s">
        <v>68</v>
      </c>
      <c r="AE2" s="4" t="s">
        <v>24</v>
      </c>
      <c r="AF2" s="4" t="s">
        <v>67</v>
      </c>
      <c r="AG2" s="4" t="s">
        <v>25</v>
      </c>
      <c r="AH2" s="4" t="s">
        <v>66</v>
      </c>
      <c r="AL2" s="15" t="s">
        <v>77</v>
      </c>
      <c r="AO2" t="s">
        <v>82</v>
      </c>
    </row>
    <row r="3" spans="1:41" x14ac:dyDescent="0.35">
      <c r="A3" s="5">
        <v>1</v>
      </c>
      <c r="B3" s="5">
        <v>1</v>
      </c>
      <c r="C3" s="6">
        <v>45658</v>
      </c>
      <c r="D3" s="7" t="s">
        <v>27</v>
      </c>
      <c r="E3" s="7" t="str">
        <f t="shared" ref="E3:E40" si="0">TEXT(C3,"ddddddd")</f>
        <v>Wednesday</v>
      </c>
      <c r="F3" s="9" t="s">
        <v>26</v>
      </c>
      <c r="G3" s="9" t="s">
        <v>26</v>
      </c>
      <c r="H3" s="9" t="s">
        <v>26</v>
      </c>
      <c r="I3" s="9" t="s">
        <v>26</v>
      </c>
      <c r="J3" s="9" t="s">
        <v>26</v>
      </c>
      <c r="K3" s="9" t="s">
        <v>26</v>
      </c>
      <c r="L3" s="9" t="s">
        <v>26</v>
      </c>
      <c r="M3" s="9" t="s">
        <v>26</v>
      </c>
      <c r="N3" s="9" t="s">
        <v>26</v>
      </c>
      <c r="O3" s="9" t="s">
        <v>26</v>
      </c>
      <c r="P3" s="9" t="s">
        <v>26</v>
      </c>
      <c r="Q3" s="9" t="s">
        <v>26</v>
      </c>
      <c r="R3" s="9" t="s">
        <v>26</v>
      </c>
      <c r="S3" s="9" t="s">
        <v>26</v>
      </c>
      <c r="T3" s="9" t="s">
        <v>26</v>
      </c>
      <c r="U3" s="9" t="s">
        <v>26</v>
      </c>
      <c r="V3" s="9" t="s">
        <v>26</v>
      </c>
      <c r="W3" s="9" t="s">
        <v>26</v>
      </c>
      <c r="X3" s="9" t="s">
        <v>26</v>
      </c>
      <c r="Y3" s="9" t="s">
        <v>26</v>
      </c>
      <c r="Z3" s="9" t="s">
        <v>26</v>
      </c>
      <c r="AA3" s="9" t="s">
        <v>26</v>
      </c>
      <c r="AB3" s="9" t="s">
        <v>26</v>
      </c>
      <c r="AC3" s="9" t="s">
        <v>26</v>
      </c>
      <c r="AD3" s="9" t="s">
        <v>26</v>
      </c>
      <c r="AE3" s="9" t="s">
        <v>26</v>
      </c>
      <c r="AF3" s="9" t="s">
        <v>26</v>
      </c>
      <c r="AG3" s="9" t="s">
        <v>26</v>
      </c>
      <c r="AH3" s="9" t="s">
        <v>26</v>
      </c>
      <c r="AI3">
        <f t="shared" ref="AI3:AI40" si="1">COUNTA(F3:AH3)</f>
        <v>29</v>
      </c>
      <c r="AK3" t="s">
        <v>74</v>
      </c>
      <c r="AL3" s="32" t="s">
        <v>74</v>
      </c>
      <c r="AN3" t="str">
        <f>VLOOKUP(D3,'Conneqt Business Solutions'!C3:C40,1,0)</f>
        <v>New Year's Day</v>
      </c>
      <c r="AO3" t="b">
        <f>AN3=D3</f>
        <v>1</v>
      </c>
    </row>
    <row r="4" spans="1:41" x14ac:dyDescent="0.35">
      <c r="A4" s="5">
        <v>2</v>
      </c>
      <c r="B4" s="5">
        <v>2</v>
      </c>
      <c r="C4" s="6">
        <v>45671</v>
      </c>
      <c r="D4" s="7" t="s">
        <v>28</v>
      </c>
      <c r="E4" s="7" t="str">
        <f t="shared" si="0"/>
        <v>Tuesday</v>
      </c>
      <c r="F4" s="9" t="s">
        <v>26</v>
      </c>
      <c r="G4" s="9"/>
      <c r="H4" s="9"/>
      <c r="I4" s="9" t="s">
        <v>26</v>
      </c>
      <c r="J4" s="9" t="s">
        <v>26</v>
      </c>
      <c r="K4" s="9" t="s">
        <v>26</v>
      </c>
      <c r="L4" s="9"/>
      <c r="M4" s="9" t="s">
        <v>26</v>
      </c>
      <c r="N4" s="9"/>
      <c r="O4" s="9"/>
      <c r="P4" s="9"/>
      <c r="Q4" s="10"/>
      <c r="R4" s="9" t="s">
        <v>26</v>
      </c>
      <c r="S4" s="9"/>
      <c r="T4" s="9"/>
      <c r="U4" s="9"/>
      <c r="V4" s="9"/>
      <c r="W4" s="9"/>
      <c r="X4" s="9" t="s">
        <v>26</v>
      </c>
      <c r="Y4" s="9"/>
      <c r="Z4" s="9"/>
      <c r="AA4" s="9"/>
      <c r="AB4" s="9"/>
      <c r="AC4" s="9" t="s">
        <v>26</v>
      </c>
      <c r="AD4" s="9"/>
      <c r="AE4" s="9"/>
      <c r="AF4" s="9"/>
      <c r="AG4" s="10" t="s">
        <v>26</v>
      </c>
      <c r="AH4" s="10" t="s">
        <v>26</v>
      </c>
      <c r="AI4">
        <f t="shared" si="1"/>
        <v>10</v>
      </c>
      <c r="AL4" s="15"/>
      <c r="AN4" t="str">
        <f>VLOOKUP(D4,'Conneqt Business Solutions'!C4:C41,1,0)</f>
        <v>Pongal/Makara Sankranti  Festival Uttarayana Punyakala</v>
      </c>
      <c r="AO4" t="b">
        <f t="shared" ref="AO4:AO40" si="2">AN4=D4</f>
        <v>1</v>
      </c>
    </row>
    <row r="5" spans="1:41" x14ac:dyDescent="0.35">
      <c r="A5" s="5">
        <v>3</v>
      </c>
      <c r="B5" s="5">
        <v>3</v>
      </c>
      <c r="C5" s="6">
        <v>45672</v>
      </c>
      <c r="D5" s="7" t="s">
        <v>29</v>
      </c>
      <c r="E5" s="7" t="str">
        <f t="shared" si="0"/>
        <v>Wednesday</v>
      </c>
      <c r="F5" s="11"/>
      <c r="G5" s="9" t="s">
        <v>26</v>
      </c>
      <c r="H5" s="9"/>
      <c r="I5" s="11"/>
      <c r="J5" s="11"/>
      <c r="K5" s="11"/>
      <c r="L5" s="9"/>
      <c r="M5" s="11"/>
      <c r="N5" s="9"/>
      <c r="O5" s="9"/>
      <c r="P5" s="10" t="s">
        <v>26</v>
      </c>
      <c r="Q5" s="10" t="s">
        <v>26</v>
      </c>
      <c r="R5" s="11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>
        <f t="shared" si="1"/>
        <v>3</v>
      </c>
      <c r="AL5" s="15"/>
      <c r="AN5" t="str">
        <f>VLOOKUP(D5,'Conneqt Business Solutions'!C5:C42,1,0)</f>
        <v>Pongal/Sankranti/ Thiruvalluvar Day/ Magh Bihu</v>
      </c>
      <c r="AO5" t="b">
        <f t="shared" si="2"/>
        <v>1</v>
      </c>
    </row>
    <row r="6" spans="1:41" x14ac:dyDescent="0.35">
      <c r="A6" s="5">
        <v>4</v>
      </c>
      <c r="B6" s="5">
        <v>4</v>
      </c>
      <c r="C6" s="6">
        <v>45683</v>
      </c>
      <c r="D6" s="7" t="s">
        <v>30</v>
      </c>
      <c r="E6" s="12" t="str">
        <f t="shared" si="0"/>
        <v>Sunday</v>
      </c>
      <c r="F6" s="9" t="s">
        <v>26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26</v>
      </c>
      <c r="Q6" s="9" t="s">
        <v>26</v>
      </c>
      <c r="R6" s="9" t="s">
        <v>26</v>
      </c>
      <c r="S6" s="9" t="s">
        <v>26</v>
      </c>
      <c r="T6" s="9" t="s">
        <v>26</v>
      </c>
      <c r="U6" s="9" t="s">
        <v>26</v>
      </c>
      <c r="V6" s="9" t="s">
        <v>26</v>
      </c>
      <c r="W6" s="9" t="s">
        <v>26</v>
      </c>
      <c r="X6" s="9" t="s">
        <v>26</v>
      </c>
      <c r="Y6" s="9" t="s">
        <v>26</v>
      </c>
      <c r="Z6" s="9" t="s">
        <v>26</v>
      </c>
      <c r="AA6" s="9" t="s">
        <v>26</v>
      </c>
      <c r="AB6" s="9" t="s">
        <v>26</v>
      </c>
      <c r="AC6" s="9" t="s">
        <v>26</v>
      </c>
      <c r="AD6" s="9" t="s">
        <v>26</v>
      </c>
      <c r="AE6" s="9" t="s">
        <v>26</v>
      </c>
      <c r="AF6" s="9" t="s">
        <v>26</v>
      </c>
      <c r="AG6" s="9" t="s">
        <v>26</v>
      </c>
      <c r="AH6" s="9" t="s">
        <v>26</v>
      </c>
      <c r="AI6">
        <f t="shared" si="1"/>
        <v>29</v>
      </c>
      <c r="AK6" t="s">
        <v>74</v>
      </c>
      <c r="AL6" s="15" t="s">
        <v>74</v>
      </c>
      <c r="AN6" t="str">
        <f>VLOOKUP(D6,'Conneqt Business Solutions'!C6:C43,1,0)</f>
        <v>Republic Day</v>
      </c>
      <c r="AO6" t="b">
        <f t="shared" si="2"/>
        <v>1</v>
      </c>
    </row>
    <row r="7" spans="1:41" x14ac:dyDescent="0.35">
      <c r="A7" s="5">
        <v>5</v>
      </c>
      <c r="B7" s="5">
        <v>5</v>
      </c>
      <c r="C7" s="6">
        <v>45714</v>
      </c>
      <c r="D7" s="7" t="s">
        <v>31</v>
      </c>
      <c r="E7" s="7" t="str">
        <f t="shared" si="0"/>
        <v>Wednesday</v>
      </c>
      <c r="F7" s="10"/>
      <c r="G7" s="10"/>
      <c r="H7" s="9"/>
      <c r="I7" s="10"/>
      <c r="J7" s="10"/>
      <c r="K7" s="9"/>
      <c r="L7" s="9"/>
      <c r="M7" s="9"/>
      <c r="N7" s="9"/>
      <c r="O7" s="9"/>
      <c r="P7" s="9"/>
      <c r="Q7" s="9"/>
      <c r="R7" s="9"/>
      <c r="S7" s="10"/>
      <c r="T7" s="9"/>
      <c r="U7" s="9"/>
      <c r="V7" s="9"/>
      <c r="W7" s="10" t="s">
        <v>26</v>
      </c>
      <c r="X7" s="9"/>
      <c r="Y7" s="9"/>
      <c r="Z7" s="10" t="s">
        <v>26</v>
      </c>
      <c r="AA7" s="10"/>
      <c r="AB7" s="10"/>
      <c r="AC7" s="11"/>
      <c r="AD7" s="10" t="s">
        <v>26</v>
      </c>
      <c r="AE7" s="10"/>
      <c r="AF7" s="10" t="s">
        <v>26</v>
      </c>
      <c r="AG7" s="11"/>
      <c r="AH7" s="9"/>
      <c r="AI7">
        <f t="shared" si="1"/>
        <v>4</v>
      </c>
      <c r="AL7" s="15"/>
      <c r="AN7" t="str">
        <f>VLOOKUP(D7,'Conneqt Business Solutions'!C7:C44,1,0)</f>
        <v>Maha Shivratri</v>
      </c>
      <c r="AO7" t="b">
        <f t="shared" si="2"/>
        <v>1</v>
      </c>
    </row>
    <row r="8" spans="1:41" x14ac:dyDescent="0.35">
      <c r="A8" s="5">
        <v>6</v>
      </c>
      <c r="B8" s="5">
        <v>6</v>
      </c>
      <c r="C8" s="6">
        <v>45730</v>
      </c>
      <c r="D8" s="7" t="s">
        <v>32</v>
      </c>
      <c r="E8" s="7" t="str">
        <f t="shared" si="0"/>
        <v>Friday</v>
      </c>
      <c r="F8" s="9"/>
      <c r="G8" s="9"/>
      <c r="H8" s="13"/>
      <c r="I8" s="9"/>
      <c r="J8" s="9"/>
      <c r="K8" s="9"/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  <c r="Q8" s="9" t="s">
        <v>26</v>
      </c>
      <c r="R8" s="9" t="s">
        <v>26</v>
      </c>
      <c r="S8" s="9" t="s">
        <v>26</v>
      </c>
      <c r="T8" s="9"/>
      <c r="U8" s="9" t="s">
        <v>26</v>
      </c>
      <c r="V8" s="9" t="s">
        <v>26</v>
      </c>
      <c r="W8" s="9" t="s">
        <v>26</v>
      </c>
      <c r="X8" s="9" t="s">
        <v>26</v>
      </c>
      <c r="Y8" s="9" t="s">
        <v>26</v>
      </c>
      <c r="Z8" s="9" t="s">
        <v>26</v>
      </c>
      <c r="AA8" s="9" t="s">
        <v>26</v>
      </c>
      <c r="AB8" s="9" t="s">
        <v>26</v>
      </c>
      <c r="AC8" s="9" t="s">
        <v>26</v>
      </c>
      <c r="AD8" s="9" t="s">
        <v>26</v>
      </c>
      <c r="AE8" s="9" t="s">
        <v>26</v>
      </c>
      <c r="AF8" s="9" t="s">
        <v>26</v>
      </c>
      <c r="AG8" s="9" t="s">
        <v>26</v>
      </c>
      <c r="AH8" s="9" t="s">
        <v>26</v>
      </c>
      <c r="AI8">
        <f t="shared" si="1"/>
        <v>22</v>
      </c>
      <c r="AK8" t="s">
        <v>74</v>
      </c>
      <c r="AL8" s="15" t="s">
        <v>74</v>
      </c>
      <c r="AN8" t="str">
        <f>VLOOKUP(D8,'Conneqt Business Solutions'!C8:C45,1,0)</f>
        <v>Holi/Dhulandi/Yaosang</v>
      </c>
      <c r="AO8" t="b">
        <f t="shared" si="2"/>
        <v>1</v>
      </c>
    </row>
    <row r="9" spans="1:41" x14ac:dyDescent="0.35">
      <c r="A9" s="5">
        <v>7</v>
      </c>
      <c r="B9" s="5">
        <v>7</v>
      </c>
      <c r="C9" s="6">
        <v>45731</v>
      </c>
      <c r="D9" s="7" t="s">
        <v>32</v>
      </c>
      <c r="E9" s="4" t="str">
        <f t="shared" si="0"/>
        <v>Saturday</v>
      </c>
      <c r="F9" s="9"/>
      <c r="G9" s="9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>
        <f t="shared" si="1"/>
        <v>0</v>
      </c>
      <c r="AL9" s="15"/>
      <c r="AN9" t="str">
        <f>VLOOKUP(D9,'Conneqt Business Solutions'!C9:C46,1,0)</f>
        <v>Holi/Dhulandi/Yaosang</v>
      </c>
      <c r="AO9" t="b">
        <f t="shared" si="2"/>
        <v>1</v>
      </c>
    </row>
    <row r="10" spans="1:41" x14ac:dyDescent="0.35">
      <c r="A10" s="5">
        <v>8</v>
      </c>
      <c r="B10" s="5">
        <v>8</v>
      </c>
      <c r="C10" s="6">
        <v>45746</v>
      </c>
      <c r="D10" s="7" t="s">
        <v>33</v>
      </c>
      <c r="E10" s="12" t="str">
        <f t="shared" si="0"/>
        <v>Sunday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>
        <f t="shared" si="1"/>
        <v>0</v>
      </c>
      <c r="AL10" s="15"/>
      <c r="AN10" t="str">
        <f>VLOOKUP(D10,'Conneqt Business Solutions'!C10:C47,1,0)</f>
        <v>Ugadi/ Gudi  Padava/  Telugu New Year</v>
      </c>
      <c r="AO10" t="b">
        <f t="shared" si="2"/>
        <v>1</v>
      </c>
    </row>
    <row r="11" spans="1:41" x14ac:dyDescent="0.35">
      <c r="A11" s="5">
        <v>9</v>
      </c>
      <c r="B11" s="5">
        <v>9</v>
      </c>
      <c r="C11" s="6">
        <v>45747</v>
      </c>
      <c r="D11" s="7" t="s">
        <v>34</v>
      </c>
      <c r="E11" s="7" t="str">
        <f t="shared" si="0"/>
        <v>Monday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>
        <f t="shared" si="1"/>
        <v>0</v>
      </c>
      <c r="AJ11" s="33" t="s">
        <v>76</v>
      </c>
      <c r="AL11" s="15"/>
      <c r="AN11" t="str">
        <f>VLOOKUP(D11,'Conneqt Business Solutions'!C11:C48,1,0)</f>
        <v>Ramzan Id/Eid-ul-Fitar/ Idul  Fitr</v>
      </c>
      <c r="AO11" t="b">
        <f t="shared" si="2"/>
        <v>1</v>
      </c>
    </row>
    <row r="12" spans="1:41" x14ac:dyDescent="0.35">
      <c r="A12" s="5">
        <v>10</v>
      </c>
      <c r="B12" s="5">
        <v>10</v>
      </c>
      <c r="C12" s="6">
        <v>45748</v>
      </c>
      <c r="D12" s="34" t="s">
        <v>34</v>
      </c>
      <c r="E12" s="7" t="str">
        <f t="shared" si="0"/>
        <v>Tuesday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26</v>
      </c>
      <c r="Q12" s="9" t="s">
        <v>26</v>
      </c>
      <c r="R12" s="9" t="s">
        <v>26</v>
      </c>
      <c r="S12" s="9" t="s">
        <v>26</v>
      </c>
      <c r="T12" s="9" t="s">
        <v>26</v>
      </c>
      <c r="U12" s="9" t="s">
        <v>26</v>
      </c>
      <c r="V12" s="9" t="s">
        <v>26</v>
      </c>
      <c r="W12" s="9" t="s">
        <v>26</v>
      </c>
      <c r="X12" s="9" t="s">
        <v>26</v>
      </c>
      <c r="Y12" s="9" t="s">
        <v>26</v>
      </c>
      <c r="Z12" s="9" t="s">
        <v>26</v>
      </c>
      <c r="AA12" s="9" t="s">
        <v>26</v>
      </c>
      <c r="AB12" s="9" t="s">
        <v>26</v>
      </c>
      <c r="AC12" s="9" t="s">
        <v>26</v>
      </c>
      <c r="AD12" s="9" t="s">
        <v>26</v>
      </c>
      <c r="AE12" s="9" t="s">
        <v>26</v>
      </c>
      <c r="AF12" s="9" t="s">
        <v>26</v>
      </c>
      <c r="AG12" s="9" t="s">
        <v>26</v>
      </c>
      <c r="AH12" s="9" t="s">
        <v>26</v>
      </c>
      <c r="AI12">
        <f t="shared" si="1"/>
        <v>29</v>
      </c>
      <c r="AJ12" t="s">
        <v>75</v>
      </c>
      <c r="AK12" t="s">
        <v>74</v>
      </c>
      <c r="AL12" s="15" t="s">
        <v>74</v>
      </c>
      <c r="AN12" t="str">
        <f>VLOOKUP(D12,'Conneqt Business Solutions'!C12:C49,1,0)</f>
        <v>Ramzan Id/Eid-ul-Fitar/ Idul  Fitr</v>
      </c>
      <c r="AO12" t="b">
        <f t="shared" si="2"/>
        <v>1</v>
      </c>
    </row>
    <row r="13" spans="1:41" x14ac:dyDescent="0.35">
      <c r="A13" s="5">
        <v>11</v>
      </c>
      <c r="B13" s="5">
        <v>11</v>
      </c>
      <c r="C13" s="6">
        <v>45757</v>
      </c>
      <c r="D13" s="7" t="s">
        <v>35</v>
      </c>
      <c r="E13" s="7" t="str">
        <f t="shared" si="0"/>
        <v>Thursday</v>
      </c>
      <c r="F13" s="9"/>
      <c r="G13" s="11"/>
      <c r="H13" s="13"/>
      <c r="I13" s="11"/>
      <c r="J13" s="11"/>
      <c r="K13" s="9"/>
      <c r="L13" s="11"/>
      <c r="M13" s="9"/>
      <c r="N13" s="11"/>
      <c r="O13" s="11"/>
      <c r="P13" s="11"/>
      <c r="Q13" s="11"/>
      <c r="R13" s="11"/>
      <c r="S13" s="11"/>
      <c r="T13" s="11"/>
      <c r="U13" s="10"/>
      <c r="V13" s="11"/>
      <c r="W13" s="11"/>
      <c r="X13" s="11"/>
      <c r="Y13" s="11"/>
      <c r="Z13" s="11"/>
      <c r="AA13" s="11"/>
      <c r="AB13" s="10"/>
      <c r="AC13" s="11"/>
      <c r="AD13" s="9"/>
      <c r="AE13" s="10"/>
      <c r="AF13" s="9"/>
      <c r="AG13" s="9"/>
      <c r="AH13" s="9"/>
      <c r="AI13">
        <f t="shared" si="1"/>
        <v>0</v>
      </c>
      <c r="AL13" s="15"/>
      <c r="AN13" t="str">
        <f>VLOOKUP(D13,'Conneqt Business Solutions'!C13:C50,1,0)</f>
        <v>Mahavir Jayanti</v>
      </c>
      <c r="AO13" t="b">
        <f t="shared" si="2"/>
        <v>1</v>
      </c>
    </row>
    <row r="14" spans="1:41" ht="25" x14ac:dyDescent="0.35">
      <c r="A14" s="5">
        <v>12</v>
      </c>
      <c r="B14" s="5">
        <v>12</v>
      </c>
      <c r="C14" s="6">
        <v>45761</v>
      </c>
      <c r="D14" s="14" t="s">
        <v>36</v>
      </c>
      <c r="E14" s="7" t="str">
        <f t="shared" si="0"/>
        <v>Monday</v>
      </c>
      <c r="F14" s="9" t="s">
        <v>26</v>
      </c>
      <c r="G14" s="9" t="s">
        <v>26</v>
      </c>
      <c r="H14" s="9" t="s">
        <v>26</v>
      </c>
      <c r="I14" s="9" t="s">
        <v>26</v>
      </c>
      <c r="J14" s="9" t="s">
        <v>26</v>
      </c>
      <c r="K14" s="9" t="s">
        <v>26</v>
      </c>
      <c r="L14" s="10" t="s">
        <v>26</v>
      </c>
      <c r="M14" s="9"/>
      <c r="N14" s="9" t="s">
        <v>26</v>
      </c>
      <c r="O14" s="10" t="s">
        <v>26</v>
      </c>
      <c r="P14" s="10" t="s">
        <v>26</v>
      </c>
      <c r="Q14" s="9"/>
      <c r="R14" s="9" t="s">
        <v>26</v>
      </c>
      <c r="S14" s="9" t="s">
        <v>26</v>
      </c>
      <c r="T14" s="9"/>
      <c r="U14" s="9" t="s">
        <v>26</v>
      </c>
      <c r="V14" s="9"/>
      <c r="W14" s="9"/>
      <c r="X14" s="9"/>
      <c r="Y14" s="9" t="s">
        <v>26</v>
      </c>
      <c r="Z14" s="9"/>
      <c r="AA14" s="9" t="s">
        <v>26</v>
      </c>
      <c r="AB14" s="9" t="s">
        <v>26</v>
      </c>
      <c r="AC14" s="9"/>
      <c r="AD14" s="9" t="s">
        <v>26</v>
      </c>
      <c r="AE14" s="9" t="s">
        <v>26</v>
      </c>
      <c r="AF14" s="9" t="s">
        <v>26</v>
      </c>
      <c r="AG14" s="9"/>
      <c r="AH14" s="9"/>
      <c r="AI14">
        <f t="shared" si="1"/>
        <v>19</v>
      </c>
      <c r="AK14" t="s">
        <v>74</v>
      </c>
      <c r="AL14" s="32" t="s">
        <v>74</v>
      </c>
      <c r="AN14" t="str">
        <f>VLOOKUP(D14,'Conneqt Business Solutions'!C14:C51,1,0)</f>
        <v>Dr Ambedkar Jayanti/ Tamil New Year Day/ Mahavir Jayanti/Vaisakhi/Cheiraoba/Bengali New Year/Bohag Bihu</v>
      </c>
      <c r="AO14" t="b">
        <f t="shared" si="2"/>
        <v>1</v>
      </c>
    </row>
    <row r="15" spans="1:41" x14ac:dyDescent="0.35">
      <c r="A15" s="5">
        <v>13</v>
      </c>
      <c r="B15" s="5">
        <v>13</v>
      </c>
      <c r="C15" s="6">
        <v>45762</v>
      </c>
      <c r="D15" s="14" t="s">
        <v>37</v>
      </c>
      <c r="E15" s="7" t="str">
        <f t="shared" si="0"/>
        <v>Tuesday</v>
      </c>
      <c r="F15" s="9"/>
      <c r="G15" s="9"/>
      <c r="H15" s="9"/>
      <c r="I15" s="9"/>
      <c r="J15" s="9"/>
      <c r="K15" s="9"/>
      <c r="L15" s="10"/>
      <c r="M15" s="10" t="s">
        <v>26</v>
      </c>
      <c r="N15" s="9"/>
      <c r="O15" s="9"/>
      <c r="P15" s="9"/>
      <c r="Q15" s="9"/>
      <c r="R15" s="9"/>
      <c r="S15" s="9"/>
      <c r="T15" s="10" t="s">
        <v>26</v>
      </c>
      <c r="U15" s="9"/>
      <c r="V15" s="9"/>
      <c r="W15" s="9"/>
      <c r="X15" s="9"/>
      <c r="Y15" s="9"/>
      <c r="Z15" s="9"/>
      <c r="AA15" s="9"/>
      <c r="AB15" s="9"/>
      <c r="AC15" s="10" t="s">
        <v>26</v>
      </c>
      <c r="AD15" s="9"/>
      <c r="AE15" s="9"/>
      <c r="AF15" s="9"/>
      <c r="AG15" s="9"/>
      <c r="AH15" s="9"/>
      <c r="AI15">
        <f t="shared" si="1"/>
        <v>3</v>
      </c>
      <c r="AL15" s="15"/>
      <c r="AN15" t="str">
        <f>VLOOKUP(D15,'Conneqt Business Solutions'!C15:C52,1,0)</f>
        <v>Bohag Bihu/Bengali New year/ Himachal Day</v>
      </c>
      <c r="AO15" t="b">
        <f t="shared" si="2"/>
        <v>1</v>
      </c>
    </row>
    <row r="16" spans="1:41" x14ac:dyDescent="0.35">
      <c r="A16" s="5">
        <v>14</v>
      </c>
      <c r="B16" s="5">
        <v>14</v>
      </c>
      <c r="C16" s="6">
        <v>45765</v>
      </c>
      <c r="D16" s="7" t="s">
        <v>38</v>
      </c>
      <c r="E16" s="7" t="str">
        <f t="shared" si="0"/>
        <v>Friday</v>
      </c>
      <c r="F16" s="10"/>
      <c r="G16" s="10"/>
      <c r="H16" s="9"/>
      <c r="I16" s="10"/>
      <c r="J16" s="10"/>
      <c r="K16" s="10"/>
      <c r="L16" s="10"/>
      <c r="M16" s="10"/>
      <c r="N16" s="10"/>
      <c r="O16" s="9"/>
      <c r="P16" s="9"/>
      <c r="Q16" s="10"/>
      <c r="R16" s="10"/>
      <c r="S16" s="10"/>
      <c r="T16" s="10"/>
      <c r="U16" s="10"/>
      <c r="V16" s="9" t="s">
        <v>26</v>
      </c>
      <c r="W16" s="10"/>
      <c r="X16" s="10"/>
      <c r="Y16" s="10"/>
      <c r="Z16" s="10"/>
      <c r="AA16" s="9"/>
      <c r="AB16" s="10"/>
      <c r="AC16" s="10"/>
      <c r="AD16" s="9"/>
      <c r="AE16" s="10"/>
      <c r="AF16" s="10"/>
      <c r="AG16" s="10"/>
      <c r="AH16" s="10"/>
      <c r="AI16">
        <f t="shared" si="1"/>
        <v>1</v>
      </c>
      <c r="AL16" s="15"/>
      <c r="AN16" t="str">
        <f>VLOOKUP(D16,'Conneqt Business Solutions'!C16:C53,1,0)</f>
        <v>Good Friday</v>
      </c>
      <c r="AO16" t="b">
        <f t="shared" si="2"/>
        <v>1</v>
      </c>
    </row>
    <row r="17" spans="1:41" x14ac:dyDescent="0.35">
      <c r="A17" s="5" t="s">
        <v>83</v>
      </c>
      <c r="B17" s="5">
        <v>15</v>
      </c>
      <c r="C17" s="6">
        <v>45778</v>
      </c>
      <c r="D17" s="34" t="s">
        <v>39</v>
      </c>
      <c r="E17" s="7" t="str">
        <f t="shared" si="0"/>
        <v>Thursday</v>
      </c>
      <c r="F17" s="9" t="s">
        <v>26</v>
      </c>
      <c r="G17" s="9" t="s">
        <v>26</v>
      </c>
      <c r="H17" s="9" t="s">
        <v>26</v>
      </c>
      <c r="I17" s="9" t="s">
        <v>26</v>
      </c>
      <c r="J17" s="9" t="s">
        <v>26</v>
      </c>
      <c r="K17" s="9" t="s">
        <v>26</v>
      </c>
      <c r="L17" s="9" t="s">
        <v>26</v>
      </c>
      <c r="M17" s="9" t="s">
        <v>26</v>
      </c>
      <c r="N17" s="9" t="s">
        <v>26</v>
      </c>
      <c r="O17" s="10" t="s">
        <v>26</v>
      </c>
      <c r="P17" s="9" t="s">
        <v>26</v>
      </c>
      <c r="Q17" s="9" t="s">
        <v>26</v>
      </c>
      <c r="R17" s="9" t="s">
        <v>26</v>
      </c>
      <c r="S17" s="9" t="s">
        <v>26</v>
      </c>
      <c r="T17" s="9" t="s">
        <v>26</v>
      </c>
      <c r="U17" s="9" t="s">
        <v>26</v>
      </c>
      <c r="V17" s="9" t="s">
        <v>26</v>
      </c>
      <c r="W17" s="9" t="s">
        <v>26</v>
      </c>
      <c r="X17" s="9" t="s">
        <v>26</v>
      </c>
      <c r="Y17" s="9" t="s">
        <v>26</v>
      </c>
      <c r="Z17" s="9" t="s">
        <v>26</v>
      </c>
      <c r="AA17" s="9" t="s">
        <v>26</v>
      </c>
      <c r="AB17" s="9" t="s">
        <v>26</v>
      </c>
      <c r="AC17" s="9" t="s">
        <v>26</v>
      </c>
      <c r="AD17" s="9" t="s">
        <v>26</v>
      </c>
      <c r="AE17" s="9" t="s">
        <v>26</v>
      </c>
      <c r="AF17" s="9" t="s">
        <v>26</v>
      </c>
      <c r="AG17" s="9" t="s">
        <v>26</v>
      </c>
      <c r="AH17" s="9" t="s">
        <v>26</v>
      </c>
      <c r="AI17">
        <f t="shared" si="1"/>
        <v>29</v>
      </c>
      <c r="AJ17" t="s">
        <v>75</v>
      </c>
      <c r="AK17" t="s">
        <v>74</v>
      </c>
      <c r="AL17" s="15" t="s">
        <v>74</v>
      </c>
      <c r="AN17" t="str">
        <f>VLOOKUP(D17,'Conneqt Business Solutions'!C17:C54,1,0)</f>
        <v>May Day/Gujarat/Maharastra Day</v>
      </c>
      <c r="AO17" t="b">
        <f t="shared" si="2"/>
        <v>1</v>
      </c>
    </row>
    <row r="18" spans="1:41" x14ac:dyDescent="0.35">
      <c r="A18" s="5">
        <v>16</v>
      </c>
      <c r="B18" s="5">
        <v>16</v>
      </c>
      <c r="C18" s="6">
        <v>45789</v>
      </c>
      <c r="D18" s="7" t="s">
        <v>40</v>
      </c>
      <c r="E18" s="7" t="str">
        <f t="shared" si="0"/>
        <v>Monday</v>
      </c>
      <c r="F18" s="15"/>
      <c r="G18" s="15"/>
      <c r="H18" s="16"/>
      <c r="I18" s="15"/>
      <c r="J18" s="15"/>
      <c r="K18" s="15"/>
      <c r="L18" s="9"/>
      <c r="M18" s="15"/>
      <c r="N18" s="15"/>
      <c r="O18" s="17"/>
      <c r="P18" s="15"/>
      <c r="Q18" s="9"/>
      <c r="R18" s="15"/>
      <c r="S18" s="9" t="s">
        <v>26</v>
      </c>
      <c r="T18" s="9" t="s">
        <v>26</v>
      </c>
      <c r="U18" s="9" t="s">
        <v>26</v>
      </c>
      <c r="V18" s="15"/>
      <c r="W18" s="9" t="s">
        <v>26</v>
      </c>
      <c r="X18" s="15"/>
      <c r="Y18" s="15"/>
      <c r="Z18" s="9" t="s">
        <v>26</v>
      </c>
      <c r="AA18" s="15"/>
      <c r="AB18" s="9"/>
      <c r="AC18" s="17"/>
      <c r="AD18" s="15"/>
      <c r="AE18" s="15"/>
      <c r="AF18" s="15"/>
      <c r="AG18" s="9"/>
      <c r="AH18" s="9"/>
      <c r="AI18">
        <f t="shared" si="1"/>
        <v>5</v>
      </c>
      <c r="AL18" s="15"/>
      <c r="AN18" t="str">
        <f>VLOOKUP(D18,'Conneqt Business Solutions'!C18:C55,1,0)</f>
        <v>Buddha Purnima</v>
      </c>
      <c r="AO18" t="b">
        <f t="shared" si="2"/>
        <v>1</v>
      </c>
    </row>
    <row r="19" spans="1:41" x14ac:dyDescent="0.35">
      <c r="A19" s="5">
        <v>17</v>
      </c>
      <c r="B19" s="5">
        <v>17</v>
      </c>
      <c r="C19" s="6">
        <v>45814</v>
      </c>
      <c r="D19" s="7" t="s">
        <v>41</v>
      </c>
      <c r="E19" s="7" t="str">
        <f t="shared" si="0"/>
        <v>Friday</v>
      </c>
      <c r="F19" s="11"/>
      <c r="G19" s="9"/>
      <c r="H19" s="15"/>
      <c r="I19" s="9"/>
      <c r="J19" s="11"/>
      <c r="K19" s="9"/>
      <c r="L19" s="9"/>
      <c r="M19" s="9"/>
      <c r="N19" s="9"/>
      <c r="O19" s="9"/>
      <c r="P19" s="11"/>
      <c r="Q19" s="9"/>
      <c r="R19" s="9"/>
      <c r="S19" s="9"/>
      <c r="T19" s="10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1"/>
      <c r="AG19" s="9"/>
      <c r="AH19" s="9"/>
      <c r="AI19">
        <f t="shared" si="1"/>
        <v>0</v>
      </c>
      <c r="AL19" s="15"/>
      <c r="AN19" t="str">
        <f>VLOOKUP(D19,'Conneqt Business Solutions'!C19:C56,1,0)</f>
        <v xml:space="preserve">Muharram/Ashura (Tentative Date)/d-ul-Ad’ha (Bakrid)* </v>
      </c>
      <c r="AO19" t="b">
        <f t="shared" si="2"/>
        <v>1</v>
      </c>
    </row>
    <row r="20" spans="1:41" x14ac:dyDescent="0.35">
      <c r="A20" s="5">
        <v>18</v>
      </c>
      <c r="B20" s="5">
        <v>18</v>
      </c>
      <c r="C20" s="6">
        <v>45815</v>
      </c>
      <c r="D20" s="7" t="s">
        <v>42</v>
      </c>
      <c r="E20" s="18" t="str">
        <f t="shared" si="0"/>
        <v>Saturday</v>
      </c>
      <c r="F20" s="10" t="s">
        <v>26</v>
      </c>
      <c r="G20" s="10" t="s">
        <v>26</v>
      </c>
      <c r="H20" s="10" t="s">
        <v>26</v>
      </c>
      <c r="I20" s="10"/>
      <c r="J20" s="10" t="s">
        <v>26</v>
      </c>
      <c r="K20" s="10"/>
      <c r="L20" s="9" t="s">
        <v>26</v>
      </c>
      <c r="M20" s="9" t="s">
        <v>26</v>
      </c>
      <c r="N20" s="10" t="s">
        <v>26</v>
      </c>
      <c r="O20" s="9" t="s">
        <v>26</v>
      </c>
      <c r="P20" s="9" t="s">
        <v>26</v>
      </c>
      <c r="Q20" s="10" t="s">
        <v>26</v>
      </c>
      <c r="R20" s="10" t="s">
        <v>26</v>
      </c>
      <c r="S20" s="10" t="s">
        <v>26</v>
      </c>
      <c r="T20" s="10" t="s">
        <v>26</v>
      </c>
      <c r="U20" s="10" t="s">
        <v>26</v>
      </c>
      <c r="V20" s="10" t="s">
        <v>26</v>
      </c>
      <c r="W20" s="10" t="s">
        <v>26</v>
      </c>
      <c r="X20" s="9"/>
      <c r="Y20" s="10"/>
      <c r="Z20" s="9" t="s">
        <v>26</v>
      </c>
      <c r="AA20" s="9" t="s">
        <v>26</v>
      </c>
      <c r="AB20" s="9" t="s">
        <v>26</v>
      </c>
      <c r="AC20" s="10" t="s">
        <v>26</v>
      </c>
      <c r="AD20" s="10" t="s">
        <v>26</v>
      </c>
      <c r="AE20" s="9" t="s">
        <v>26</v>
      </c>
      <c r="AF20" s="9" t="s">
        <v>26</v>
      </c>
      <c r="AG20" s="9" t="s">
        <v>26</v>
      </c>
      <c r="AH20" s="9" t="s">
        <v>26</v>
      </c>
      <c r="AI20">
        <f t="shared" si="1"/>
        <v>25</v>
      </c>
      <c r="AL20" s="32"/>
      <c r="AN20" t="str">
        <f>VLOOKUP(D20,'Conneqt Business Solutions'!C20:C57,1,0)</f>
        <v>Muharram/Ashura (Tentative Date)/d-ul-Ad’ha (Bakrid)* /Iduljuha</v>
      </c>
      <c r="AO20" t="b">
        <f t="shared" si="2"/>
        <v>1</v>
      </c>
    </row>
    <row r="21" spans="1:41" x14ac:dyDescent="0.35">
      <c r="A21" s="7"/>
      <c r="B21" s="7">
        <v>19</v>
      </c>
      <c r="C21" s="6">
        <v>45835</v>
      </c>
      <c r="D21" s="19" t="s">
        <v>43</v>
      </c>
      <c r="E21" s="20" t="str">
        <f t="shared" si="0"/>
        <v>Friday</v>
      </c>
      <c r="F21" s="10"/>
      <c r="G21" s="10"/>
      <c r="H21" s="15"/>
      <c r="I21" s="9"/>
      <c r="J21" s="10"/>
      <c r="K21" s="10"/>
      <c r="L21" s="9"/>
      <c r="M21" s="9"/>
      <c r="N21" s="10"/>
      <c r="O21" s="9"/>
      <c r="P21" s="9"/>
      <c r="Q21" s="9"/>
      <c r="R21" s="10"/>
      <c r="S21" s="9"/>
      <c r="T21" s="9"/>
      <c r="U21" s="10"/>
      <c r="V21" s="10"/>
      <c r="W21" s="10"/>
      <c r="X21" s="9"/>
      <c r="Y21" s="10"/>
      <c r="Z21" s="9"/>
      <c r="AA21" s="9"/>
      <c r="AB21" s="9"/>
      <c r="AC21" s="9"/>
      <c r="AD21" s="10"/>
      <c r="AE21" s="9"/>
      <c r="AF21" s="9"/>
      <c r="AG21" s="9"/>
      <c r="AH21" s="9"/>
      <c r="AI21">
        <f t="shared" si="1"/>
        <v>0</v>
      </c>
      <c r="AL21" s="15"/>
      <c r="AN21" t="str">
        <f>VLOOKUP(D21,'Conneqt Business Solutions'!C21:C58,1,0)</f>
        <v>Rath Yatra</v>
      </c>
      <c r="AO21" t="b">
        <f t="shared" si="2"/>
        <v>1</v>
      </c>
    </row>
    <row r="22" spans="1:41" x14ac:dyDescent="0.35">
      <c r="A22" s="5">
        <v>19</v>
      </c>
      <c r="B22" s="5">
        <v>20</v>
      </c>
      <c r="C22" s="6">
        <v>45878</v>
      </c>
      <c r="D22" s="7" t="s">
        <v>44</v>
      </c>
      <c r="E22" s="7" t="str">
        <f t="shared" si="0"/>
        <v>Saturday</v>
      </c>
      <c r="F22" s="10"/>
      <c r="G22" s="10"/>
      <c r="H22" s="15"/>
      <c r="I22" s="9"/>
      <c r="J22" s="10"/>
      <c r="K22" s="10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 t="s">
        <v>26</v>
      </c>
      <c r="Y22" s="9"/>
      <c r="Z22" s="9"/>
      <c r="AA22" s="10"/>
      <c r="AB22" s="9"/>
      <c r="AC22" s="10"/>
      <c r="AD22" s="9"/>
      <c r="AE22" s="9"/>
      <c r="AF22" s="10"/>
      <c r="AG22" s="10"/>
      <c r="AH22" s="10"/>
      <c r="AI22">
        <f t="shared" si="1"/>
        <v>1</v>
      </c>
      <c r="AL22" s="15"/>
      <c r="AN22" t="str">
        <f>VLOOKUP(D22,'Conneqt Business Solutions'!C22:C59,1,0)</f>
        <v>Raksha Bandhan</v>
      </c>
      <c r="AO22" t="b">
        <f t="shared" si="2"/>
        <v>1</v>
      </c>
    </row>
    <row r="23" spans="1:41" x14ac:dyDescent="0.35">
      <c r="A23" s="5">
        <v>20</v>
      </c>
      <c r="B23" s="5">
        <v>21</v>
      </c>
      <c r="C23" s="6">
        <v>45882</v>
      </c>
      <c r="D23" s="7" t="s">
        <v>45</v>
      </c>
      <c r="E23" s="7" t="str">
        <f t="shared" si="0"/>
        <v>Wednesday</v>
      </c>
      <c r="F23" s="9"/>
      <c r="G23" s="9"/>
      <c r="H23" s="15"/>
      <c r="I23" s="9"/>
      <c r="J23" s="9"/>
      <c r="K23" s="9"/>
      <c r="L23" s="9"/>
      <c r="M23" s="9"/>
      <c r="N23" s="15" t="s">
        <v>26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>
        <f t="shared" si="1"/>
        <v>1</v>
      </c>
      <c r="AL23" s="15" t="s">
        <v>74</v>
      </c>
      <c r="AN23" t="str">
        <f>VLOOKUP(D23,'Conneqt Business Solutions'!C23:C60,1,0)</f>
        <v>Patriots Day</v>
      </c>
      <c r="AO23" t="b">
        <f t="shared" si="2"/>
        <v>1</v>
      </c>
    </row>
    <row r="24" spans="1:41" x14ac:dyDescent="0.35">
      <c r="A24" s="5">
        <v>21</v>
      </c>
      <c r="B24" s="5">
        <v>22</v>
      </c>
      <c r="C24" s="6">
        <v>45884</v>
      </c>
      <c r="D24" s="7" t="s">
        <v>46</v>
      </c>
      <c r="E24" s="7" t="str">
        <f t="shared" si="0"/>
        <v>Friday</v>
      </c>
      <c r="F24" s="9" t="s">
        <v>26</v>
      </c>
      <c r="G24" s="9" t="s">
        <v>26</v>
      </c>
      <c r="H24" s="9" t="s">
        <v>26</v>
      </c>
      <c r="I24" s="9" t="s">
        <v>26</v>
      </c>
      <c r="J24" s="9" t="s">
        <v>26</v>
      </c>
      <c r="K24" s="9" t="s">
        <v>26</v>
      </c>
      <c r="L24" s="9" t="s">
        <v>26</v>
      </c>
      <c r="M24" s="9" t="s">
        <v>26</v>
      </c>
      <c r="N24" s="9" t="s">
        <v>26</v>
      </c>
      <c r="O24" s="9" t="s">
        <v>26</v>
      </c>
      <c r="P24" s="9" t="s">
        <v>26</v>
      </c>
      <c r="Q24" s="9" t="s">
        <v>26</v>
      </c>
      <c r="R24" s="9" t="s">
        <v>26</v>
      </c>
      <c r="S24" s="9" t="s">
        <v>26</v>
      </c>
      <c r="T24" s="9" t="s">
        <v>26</v>
      </c>
      <c r="U24" s="9" t="s">
        <v>26</v>
      </c>
      <c r="V24" s="9" t="s">
        <v>26</v>
      </c>
      <c r="W24" s="9" t="s">
        <v>26</v>
      </c>
      <c r="X24" s="9" t="s">
        <v>26</v>
      </c>
      <c r="Y24" s="9" t="s">
        <v>26</v>
      </c>
      <c r="Z24" s="9" t="s">
        <v>26</v>
      </c>
      <c r="AA24" s="9" t="s">
        <v>26</v>
      </c>
      <c r="AB24" s="9" t="s">
        <v>26</v>
      </c>
      <c r="AC24" s="9" t="s">
        <v>26</v>
      </c>
      <c r="AD24" s="9" t="s">
        <v>26</v>
      </c>
      <c r="AE24" s="9" t="s">
        <v>26</v>
      </c>
      <c r="AF24" s="9" t="s">
        <v>26</v>
      </c>
      <c r="AG24" s="9" t="s">
        <v>26</v>
      </c>
      <c r="AH24" s="9" t="s">
        <v>26</v>
      </c>
      <c r="AI24">
        <f t="shared" si="1"/>
        <v>29</v>
      </c>
      <c r="AK24" t="s">
        <v>74</v>
      </c>
      <c r="AL24" s="15" t="s">
        <v>74</v>
      </c>
      <c r="AN24" t="str">
        <f>VLOOKUP(D24,'Conneqt Business Solutions'!C24:C61,1,0)</f>
        <v>Independence Day</v>
      </c>
      <c r="AO24" t="b">
        <f t="shared" si="2"/>
        <v>1</v>
      </c>
    </row>
    <row r="25" spans="1:41" x14ac:dyDescent="0.35">
      <c r="A25" s="5">
        <v>22</v>
      </c>
      <c r="B25" s="5">
        <v>23</v>
      </c>
      <c r="C25" s="6">
        <v>45896</v>
      </c>
      <c r="D25" s="7" t="s">
        <v>47</v>
      </c>
      <c r="E25" s="7" t="str">
        <f t="shared" si="0"/>
        <v>Wednesday</v>
      </c>
      <c r="F25" s="9" t="s">
        <v>26</v>
      </c>
      <c r="G25" s="9" t="s">
        <v>26</v>
      </c>
      <c r="H25" s="9" t="s">
        <v>26</v>
      </c>
      <c r="I25" s="10" t="s">
        <v>26</v>
      </c>
      <c r="J25" s="9" t="s">
        <v>26</v>
      </c>
      <c r="K25" s="9" t="s">
        <v>26</v>
      </c>
      <c r="L25" s="10"/>
      <c r="M25" s="9"/>
      <c r="N25" s="9"/>
      <c r="O25" s="10"/>
      <c r="P25" s="9"/>
      <c r="Q25" s="10"/>
      <c r="R25" s="9"/>
      <c r="S25" s="9"/>
      <c r="T25" s="9"/>
      <c r="U25" s="9"/>
      <c r="V25" s="9"/>
      <c r="W25" s="9"/>
      <c r="X25" s="10" t="s">
        <v>26</v>
      </c>
      <c r="Y25" s="9" t="s">
        <v>26</v>
      </c>
      <c r="Z25" s="9"/>
      <c r="AA25" s="9"/>
      <c r="AB25" s="9"/>
      <c r="AC25" s="9"/>
      <c r="AD25" s="9"/>
      <c r="AE25" s="9"/>
      <c r="AF25" s="9"/>
      <c r="AG25" s="9"/>
      <c r="AH25" s="9"/>
      <c r="AI25">
        <f t="shared" si="1"/>
        <v>8</v>
      </c>
      <c r="AK25" t="s">
        <v>74</v>
      </c>
      <c r="AL25" s="15"/>
      <c r="AN25" t="str">
        <f>VLOOKUP(D25,'Conneqt Business Solutions'!C25:C62,1,0)</f>
        <v>Ganesh Chaturthi/Vinayaka Chavithi/Samvatsari (Chaturthi Paksha)</v>
      </c>
      <c r="AO25" t="b">
        <f t="shared" si="2"/>
        <v>1</v>
      </c>
    </row>
    <row r="26" spans="1:41" x14ac:dyDescent="0.35">
      <c r="A26" s="5">
        <v>23</v>
      </c>
      <c r="B26" s="5">
        <v>24</v>
      </c>
      <c r="C26" s="6">
        <v>45897</v>
      </c>
      <c r="D26" s="7" t="s">
        <v>48</v>
      </c>
      <c r="E26" s="7" t="str">
        <f t="shared" si="0"/>
        <v>Thursday</v>
      </c>
      <c r="F26" s="9"/>
      <c r="G26" s="9"/>
      <c r="H26" s="1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>
        <f t="shared" si="1"/>
        <v>0</v>
      </c>
      <c r="AL26" s="15"/>
      <c r="AN26" t="str">
        <f>VLOOKUP(D26,'Conneqt Business Solutions'!C26:C63,1,0)</f>
        <v>Ganesh Chaturthi/Ayyankali Jayanthi</v>
      </c>
      <c r="AO26" t="b">
        <f t="shared" si="2"/>
        <v>1</v>
      </c>
    </row>
    <row r="27" spans="1:41" x14ac:dyDescent="0.35">
      <c r="A27" s="5">
        <v>24</v>
      </c>
      <c r="B27" s="5">
        <v>25</v>
      </c>
      <c r="C27" s="6">
        <v>45904</v>
      </c>
      <c r="D27" s="7" t="s">
        <v>49</v>
      </c>
      <c r="E27" s="7" t="str">
        <f t="shared" si="0"/>
        <v>Thursday</v>
      </c>
      <c r="F27" s="15"/>
      <c r="G27" s="15"/>
      <c r="H27" s="15" t="s">
        <v>26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>
        <f t="shared" si="1"/>
        <v>1</v>
      </c>
      <c r="AL27" s="15"/>
      <c r="AN27" t="str">
        <f>VLOOKUP(D27,'Conneqt Business Solutions'!C27:C64,1,0)</f>
        <v>First Onam</v>
      </c>
      <c r="AO27" t="b">
        <f t="shared" si="2"/>
        <v>1</v>
      </c>
    </row>
    <row r="28" spans="1:41" x14ac:dyDescent="0.35">
      <c r="A28" s="5">
        <v>25</v>
      </c>
      <c r="B28" s="5">
        <v>26</v>
      </c>
      <c r="C28" s="6">
        <v>45905</v>
      </c>
      <c r="D28" s="7" t="s">
        <v>50</v>
      </c>
      <c r="E28" s="7" t="str">
        <f t="shared" si="0"/>
        <v>Friday</v>
      </c>
      <c r="F28" s="15"/>
      <c r="G28" s="15"/>
      <c r="H28" s="15" t="s">
        <v>26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0"/>
      <c r="T28" s="15"/>
      <c r="U28" s="15"/>
      <c r="V28" s="15"/>
      <c r="W28" s="15"/>
      <c r="X28" s="15"/>
      <c r="Y28" s="9" t="s">
        <v>26</v>
      </c>
      <c r="Z28" s="10"/>
      <c r="AA28" s="10"/>
      <c r="AB28" s="15"/>
      <c r="AC28" s="15"/>
      <c r="AD28" s="10"/>
      <c r="AE28" s="15"/>
      <c r="AF28" s="15"/>
      <c r="AG28" s="15"/>
      <c r="AH28" s="10"/>
      <c r="AI28">
        <f t="shared" si="1"/>
        <v>2</v>
      </c>
      <c r="AL28" s="15"/>
      <c r="AN28" t="str">
        <f>VLOOKUP(D28,'Conneqt Business Solutions'!C28:C65,1,0)</f>
        <v>Thiruvonam/ Milad  - i- sherif/Eid e Milad</v>
      </c>
      <c r="AO28" t="b">
        <f t="shared" si="2"/>
        <v>1</v>
      </c>
    </row>
    <row r="29" spans="1:41" x14ac:dyDescent="0.35">
      <c r="A29" s="7"/>
      <c r="B29" s="7">
        <v>27</v>
      </c>
      <c r="C29" s="6">
        <v>45930</v>
      </c>
      <c r="D29" s="21" t="s">
        <v>51</v>
      </c>
      <c r="E29" s="7" t="str">
        <f t="shared" si="0"/>
        <v>Tuesday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0"/>
      <c r="T29" s="15"/>
      <c r="U29" s="15"/>
      <c r="V29" s="15"/>
      <c r="W29" s="15"/>
      <c r="X29" s="15"/>
      <c r="Y29" s="15"/>
      <c r="Z29" s="10"/>
      <c r="AA29" s="10"/>
      <c r="AB29" s="15"/>
      <c r="AC29" s="15"/>
      <c r="AD29" s="10"/>
      <c r="AE29" s="15"/>
      <c r="AF29" s="15"/>
      <c r="AG29" s="15"/>
      <c r="AH29" s="10"/>
      <c r="AI29">
        <f t="shared" si="1"/>
        <v>0</v>
      </c>
      <c r="AL29" s="15" t="s">
        <v>74</v>
      </c>
      <c r="AN29" t="str">
        <f>VLOOKUP(D29,'Conneqt Business Solutions'!C29:C66,1,0)</f>
        <v>Maha Ashtami</v>
      </c>
      <c r="AO29" t="b">
        <f t="shared" si="2"/>
        <v>1</v>
      </c>
    </row>
    <row r="30" spans="1:41" x14ac:dyDescent="0.35">
      <c r="A30" s="5">
        <v>26</v>
      </c>
      <c r="B30" s="5">
        <v>28</v>
      </c>
      <c r="C30" s="6">
        <v>45931</v>
      </c>
      <c r="D30" s="7" t="s">
        <v>52</v>
      </c>
      <c r="E30" s="7" t="str">
        <f t="shared" si="0"/>
        <v>Wednesday</v>
      </c>
      <c r="F30" s="10"/>
      <c r="G30" s="15"/>
      <c r="H30" s="15"/>
      <c r="I30" s="15"/>
      <c r="J30" s="10"/>
      <c r="K30" s="15"/>
      <c r="L30" s="15"/>
      <c r="M30" s="15"/>
      <c r="N30" s="15"/>
      <c r="O30" s="15" t="s">
        <v>26</v>
      </c>
      <c r="P30" s="15"/>
      <c r="Q30" s="15"/>
      <c r="R30" s="15"/>
      <c r="S30" s="15"/>
      <c r="T30" s="9" t="s">
        <v>26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>
        <f t="shared" si="1"/>
        <v>2</v>
      </c>
      <c r="AL30" s="15"/>
      <c r="AN30" t="str">
        <f>VLOOKUP(D30,'Conneqt Business Solutions'!C30:C67,1,0)</f>
        <v>Mahanavami/Navaratni endsMaha Navami/Ayutha Pooja</v>
      </c>
      <c r="AO30" t="b">
        <f t="shared" si="2"/>
        <v>1</v>
      </c>
    </row>
    <row r="31" spans="1:41" x14ac:dyDescent="0.35">
      <c r="A31" s="5">
        <v>27</v>
      </c>
      <c r="B31" s="5">
        <v>29</v>
      </c>
      <c r="C31" s="6">
        <v>45932</v>
      </c>
      <c r="D31" s="7" t="s">
        <v>53</v>
      </c>
      <c r="E31" s="7" t="str">
        <f t="shared" si="0"/>
        <v>Thursday</v>
      </c>
      <c r="F31" s="9" t="s">
        <v>26</v>
      </c>
      <c r="G31" s="9" t="s">
        <v>26</v>
      </c>
      <c r="H31" s="9" t="s">
        <v>26</v>
      </c>
      <c r="I31" s="9" t="s">
        <v>26</v>
      </c>
      <c r="J31" s="9" t="s">
        <v>26</v>
      </c>
      <c r="K31" s="9" t="s">
        <v>26</v>
      </c>
      <c r="L31" s="9" t="s">
        <v>26</v>
      </c>
      <c r="M31" s="9" t="s">
        <v>26</v>
      </c>
      <c r="N31" s="9" t="s">
        <v>26</v>
      </c>
      <c r="O31" s="9" t="s">
        <v>26</v>
      </c>
      <c r="P31" s="9" t="s">
        <v>26</v>
      </c>
      <c r="Q31" s="9" t="s">
        <v>26</v>
      </c>
      <c r="R31" s="9" t="s">
        <v>26</v>
      </c>
      <c r="S31" s="9" t="s">
        <v>26</v>
      </c>
      <c r="T31" s="9" t="s">
        <v>26</v>
      </c>
      <c r="U31" s="9" t="s">
        <v>26</v>
      </c>
      <c r="V31" s="9" t="s">
        <v>26</v>
      </c>
      <c r="W31" s="9" t="s">
        <v>26</v>
      </c>
      <c r="X31" s="9" t="s">
        <v>26</v>
      </c>
      <c r="Y31" s="9" t="s">
        <v>26</v>
      </c>
      <c r="Z31" s="9" t="s">
        <v>26</v>
      </c>
      <c r="AA31" s="9" t="s">
        <v>26</v>
      </c>
      <c r="AB31" s="9" t="s">
        <v>26</v>
      </c>
      <c r="AC31" s="9" t="s">
        <v>26</v>
      </c>
      <c r="AD31" s="9" t="s">
        <v>26</v>
      </c>
      <c r="AE31" s="9" t="s">
        <v>26</v>
      </c>
      <c r="AF31" s="9" t="s">
        <v>26</v>
      </c>
      <c r="AG31" s="9" t="s">
        <v>26</v>
      </c>
      <c r="AH31" s="9" t="s">
        <v>26</v>
      </c>
      <c r="AI31">
        <f t="shared" si="1"/>
        <v>29</v>
      </c>
      <c r="AK31" t="s">
        <v>74</v>
      </c>
      <c r="AL31" s="15" t="s">
        <v>74</v>
      </c>
      <c r="AN31" t="str">
        <f>VLOOKUP(D31,'Conneqt Business Solutions'!C31:C68,1,0)</f>
        <v xml:space="preserve">Mahatma Gandhi Jayanti/Vijaya Dasami/Dussehra/Durga Puja </v>
      </c>
      <c r="AO31" t="b">
        <f t="shared" si="2"/>
        <v>1</v>
      </c>
    </row>
    <row r="32" spans="1:41" x14ac:dyDescent="0.35">
      <c r="A32" s="5">
        <v>28</v>
      </c>
      <c r="B32" s="5">
        <v>30</v>
      </c>
      <c r="C32" s="6">
        <v>45950</v>
      </c>
      <c r="D32" s="7" t="s">
        <v>54</v>
      </c>
      <c r="E32" s="7" t="str">
        <f t="shared" si="0"/>
        <v>Monday</v>
      </c>
      <c r="F32" s="15"/>
      <c r="G32" s="11"/>
      <c r="H32" s="9"/>
      <c r="I32" s="9"/>
      <c r="J32" s="9"/>
      <c r="K32" s="9"/>
      <c r="L32" s="9"/>
      <c r="M32" s="9"/>
      <c r="N32" s="9"/>
      <c r="O32" s="9"/>
      <c r="P32" s="11"/>
      <c r="Q32" s="11"/>
      <c r="R32" s="11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  <c r="AH32" s="9"/>
      <c r="AI32">
        <f t="shared" si="1"/>
        <v>0</v>
      </c>
      <c r="AJ32" t="s">
        <v>76</v>
      </c>
      <c r="AL32" s="15"/>
      <c r="AN32" t="str">
        <f>VLOOKUP(D32,'Conneqt Business Solutions'!C32:C69,1,0)</f>
        <v>Diwali/Deepavali/Kali Puja</v>
      </c>
      <c r="AO32" t="b">
        <f t="shared" si="2"/>
        <v>1</v>
      </c>
    </row>
    <row r="33" spans="1:41" x14ac:dyDescent="0.35">
      <c r="A33" s="5">
        <v>29</v>
      </c>
      <c r="B33" s="5">
        <v>31</v>
      </c>
      <c r="C33" s="6">
        <v>45951</v>
      </c>
      <c r="D33" s="34" t="s">
        <v>54</v>
      </c>
      <c r="E33" s="7" t="str">
        <f t="shared" si="0"/>
        <v>Tuesday</v>
      </c>
      <c r="F33" s="15" t="s">
        <v>26</v>
      </c>
      <c r="G33" s="9" t="s">
        <v>26</v>
      </c>
      <c r="H33" s="9" t="s">
        <v>26</v>
      </c>
      <c r="I33" s="9" t="s">
        <v>26</v>
      </c>
      <c r="J33" s="9" t="s">
        <v>26</v>
      </c>
      <c r="K33" s="9" t="s">
        <v>26</v>
      </c>
      <c r="L33" s="9" t="s">
        <v>26</v>
      </c>
      <c r="M33" s="9" t="s">
        <v>26</v>
      </c>
      <c r="N33" s="9" t="s">
        <v>26</v>
      </c>
      <c r="O33" s="9" t="s">
        <v>26</v>
      </c>
      <c r="P33" s="9" t="s">
        <v>26</v>
      </c>
      <c r="Q33" s="9" t="s">
        <v>26</v>
      </c>
      <c r="R33" s="9" t="s">
        <v>26</v>
      </c>
      <c r="S33" s="9" t="s">
        <v>26</v>
      </c>
      <c r="T33" s="9" t="s">
        <v>26</v>
      </c>
      <c r="U33" s="9" t="s">
        <v>26</v>
      </c>
      <c r="V33" s="9" t="s">
        <v>26</v>
      </c>
      <c r="W33" s="9" t="s">
        <v>26</v>
      </c>
      <c r="X33" s="9" t="s">
        <v>26</v>
      </c>
      <c r="Y33" s="9" t="s">
        <v>26</v>
      </c>
      <c r="Z33" s="9" t="s">
        <v>26</v>
      </c>
      <c r="AA33" s="9" t="s">
        <v>26</v>
      </c>
      <c r="AB33" s="9" t="s">
        <v>26</v>
      </c>
      <c r="AC33" s="9" t="s">
        <v>26</v>
      </c>
      <c r="AD33" s="9" t="s">
        <v>26</v>
      </c>
      <c r="AE33" s="9" t="s">
        <v>26</v>
      </c>
      <c r="AF33" s="9" t="s">
        <v>26</v>
      </c>
      <c r="AG33" s="9" t="s">
        <v>26</v>
      </c>
      <c r="AH33" s="9" t="s">
        <v>26</v>
      </c>
      <c r="AI33">
        <f t="shared" si="1"/>
        <v>29</v>
      </c>
      <c r="AJ33" s="33" t="s">
        <v>75</v>
      </c>
      <c r="AK33" t="s">
        <v>74</v>
      </c>
      <c r="AL33" s="15"/>
      <c r="AN33" t="str">
        <f>VLOOKUP(D33,'Conneqt Business Solutions'!C33:C70,1,0)</f>
        <v>Diwali/Deepavali/Kali Puja</v>
      </c>
      <c r="AO33" t="b">
        <f t="shared" si="2"/>
        <v>1</v>
      </c>
    </row>
    <row r="34" spans="1:41" x14ac:dyDescent="0.35">
      <c r="A34" s="5">
        <v>30</v>
      </c>
      <c r="B34" s="5">
        <v>32</v>
      </c>
      <c r="C34" s="6">
        <v>45952</v>
      </c>
      <c r="D34" s="7" t="s">
        <v>55</v>
      </c>
      <c r="E34" s="7" t="str">
        <f t="shared" si="0"/>
        <v>Wednesday</v>
      </c>
      <c r="F34" s="11"/>
      <c r="G34" s="9"/>
      <c r="H34" s="9"/>
      <c r="I34" s="15"/>
      <c r="J34" s="9"/>
      <c r="K34" s="9"/>
      <c r="L34" s="1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>
        <f t="shared" si="1"/>
        <v>0</v>
      </c>
      <c r="AL34" s="15"/>
      <c r="AN34" t="str">
        <f>VLOOKUP(D34,'Conneqt Business Solutions'!C34:C71,1,0)</f>
        <v>Diwali/Deepavali/Kali Puja/Deepavali Balipadyami/Govardhan Puja</v>
      </c>
      <c r="AO34" t="b">
        <f t="shared" si="2"/>
        <v>1</v>
      </c>
    </row>
    <row r="35" spans="1:41" x14ac:dyDescent="0.35">
      <c r="A35" s="7"/>
      <c r="B35" s="7">
        <v>33</v>
      </c>
      <c r="C35" s="6">
        <v>45957</v>
      </c>
      <c r="D35" s="19" t="s">
        <v>56</v>
      </c>
      <c r="E35" s="7" t="str">
        <f t="shared" si="0"/>
        <v>Monday</v>
      </c>
      <c r="F35" s="11"/>
      <c r="G35" s="9"/>
      <c r="H35" s="9"/>
      <c r="I35" s="15"/>
      <c r="J35" s="9"/>
      <c r="K35" s="9"/>
      <c r="L35" s="9" t="s">
        <v>26</v>
      </c>
      <c r="M35" s="9"/>
      <c r="N35" s="9"/>
      <c r="O35" s="9"/>
      <c r="P35" s="9"/>
      <c r="Q35" s="9" t="s">
        <v>26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 t="s">
        <v>26</v>
      </c>
      <c r="AH35" s="9" t="s">
        <v>26</v>
      </c>
      <c r="AI35">
        <f t="shared" si="1"/>
        <v>4</v>
      </c>
      <c r="AL35" s="32" t="s">
        <v>74</v>
      </c>
      <c r="AN35" t="str">
        <f>VLOOKUP(D35,'Conneqt Business Solutions'!C35:C72,1,0)</f>
        <v>Chhat Puja</v>
      </c>
      <c r="AO35" t="b">
        <f t="shared" si="2"/>
        <v>1</v>
      </c>
    </row>
    <row r="36" spans="1:41" x14ac:dyDescent="0.35">
      <c r="A36" s="5">
        <v>31</v>
      </c>
      <c r="B36" s="5">
        <v>34</v>
      </c>
      <c r="C36" s="6">
        <v>45959</v>
      </c>
      <c r="D36" s="7" t="s">
        <v>57</v>
      </c>
      <c r="E36" s="7" t="str">
        <f t="shared" si="0"/>
        <v>Wednesday</v>
      </c>
      <c r="F36" s="11"/>
      <c r="G36" s="9"/>
      <c r="H36" s="9"/>
      <c r="I36" s="15"/>
      <c r="J36" s="9"/>
      <c r="K36" s="9"/>
      <c r="L36" s="11"/>
      <c r="M36" s="9"/>
      <c r="N36" s="9"/>
      <c r="O36" s="9"/>
      <c r="P36" s="10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>
        <f t="shared" si="1"/>
        <v>0</v>
      </c>
      <c r="AL36" s="15"/>
      <c r="AN36" t="str">
        <f>VLOOKUP(D36,'Conneqt Business Solutions'!C36:C73,1,0)</f>
        <v>Maha Saptami</v>
      </c>
      <c r="AO36" t="b">
        <f t="shared" si="2"/>
        <v>1</v>
      </c>
    </row>
    <row r="37" spans="1:41" x14ac:dyDescent="0.35">
      <c r="A37" s="5">
        <v>32</v>
      </c>
      <c r="B37" s="5">
        <v>35</v>
      </c>
      <c r="C37" s="6">
        <v>45962</v>
      </c>
      <c r="D37" s="7" t="s">
        <v>58</v>
      </c>
      <c r="E37" s="4" t="str">
        <f t="shared" si="0"/>
        <v>Saturday</v>
      </c>
      <c r="F37" s="15"/>
      <c r="G37" s="15"/>
      <c r="H37" s="16"/>
      <c r="I37" s="15" t="s">
        <v>26</v>
      </c>
      <c r="J37" s="15"/>
      <c r="K37" s="10" t="s">
        <v>26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>
        <f t="shared" si="1"/>
        <v>2</v>
      </c>
      <c r="AL37" s="15" t="s">
        <v>74</v>
      </c>
      <c r="AN37" t="str">
        <f>VLOOKUP(D37,'Conneqt Business Solutions'!C37:C74,1,0)</f>
        <v>Karnataka Rajyothsava/Puducherry Liberation Day</v>
      </c>
      <c r="AO37" t="b">
        <f t="shared" si="2"/>
        <v>1</v>
      </c>
    </row>
    <row r="38" spans="1:41" x14ac:dyDescent="0.35">
      <c r="A38" s="5">
        <v>33</v>
      </c>
      <c r="B38" s="5">
        <v>36</v>
      </c>
      <c r="C38" s="6">
        <v>45966</v>
      </c>
      <c r="D38" s="7" t="s">
        <v>59</v>
      </c>
      <c r="E38" s="7" t="str">
        <f t="shared" si="0"/>
        <v>Wednesday</v>
      </c>
      <c r="F38" s="11"/>
      <c r="G38" s="9"/>
      <c r="H38" s="13"/>
      <c r="I38" s="9"/>
      <c r="J38" s="11"/>
      <c r="K38" s="9"/>
      <c r="L38" s="9"/>
      <c r="M38" s="9"/>
      <c r="N38" s="9"/>
      <c r="O38" s="11"/>
      <c r="P38" s="9"/>
      <c r="Q38" s="11"/>
      <c r="R38" s="10"/>
      <c r="S38" s="10"/>
      <c r="T38" s="9"/>
      <c r="U38" s="9"/>
      <c r="V38" s="9"/>
      <c r="W38" s="9"/>
      <c r="X38" s="9"/>
      <c r="Y38" s="10"/>
      <c r="Z38" s="9"/>
      <c r="AA38" s="9" t="s">
        <v>26</v>
      </c>
      <c r="AB38" s="9" t="s">
        <v>26</v>
      </c>
      <c r="AC38" s="9"/>
      <c r="AD38" s="9"/>
      <c r="AE38" s="9" t="s">
        <v>26</v>
      </c>
      <c r="AF38" s="9"/>
      <c r="AG38" s="9"/>
      <c r="AH38" s="9"/>
      <c r="AI38">
        <f t="shared" si="1"/>
        <v>3</v>
      </c>
      <c r="AK38" t="s">
        <v>74</v>
      </c>
      <c r="AN38" t="str">
        <f>VLOOKUP(D38,'Conneqt Business Solutions'!C38:C75,1,0)</f>
        <v>Guru Nanak Jayanti/ Rahas Purnima</v>
      </c>
      <c r="AO38" t="b">
        <f t="shared" si="2"/>
        <v>1</v>
      </c>
    </row>
    <row r="39" spans="1:41" x14ac:dyDescent="0.35">
      <c r="A39" s="5">
        <v>34</v>
      </c>
      <c r="B39" s="5">
        <v>37</v>
      </c>
      <c r="C39" s="6">
        <v>46010</v>
      </c>
      <c r="D39" s="7" t="s">
        <v>60</v>
      </c>
      <c r="E39" s="7" t="str">
        <f t="shared" si="0"/>
        <v>Friday</v>
      </c>
      <c r="F39" s="11"/>
      <c r="G39" s="9"/>
      <c r="H39" s="13"/>
      <c r="I39" s="9"/>
      <c r="J39" s="11"/>
      <c r="K39" s="9"/>
      <c r="L39" s="9"/>
      <c r="M39" s="9"/>
      <c r="N39" s="9"/>
      <c r="O39" s="11"/>
      <c r="P39" s="9"/>
      <c r="Q39" s="11"/>
      <c r="R39" s="10"/>
      <c r="S39" s="10"/>
      <c r="T39" s="9"/>
      <c r="U39" s="9"/>
      <c r="V39" s="10" t="s">
        <v>26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>
        <f t="shared" si="1"/>
        <v>1</v>
      </c>
      <c r="AN39" t="str">
        <f>VLOOKUP(D39,'Conneqt Business Solutions'!C39:C76,1,0)</f>
        <v>Goa Liberation Day</v>
      </c>
      <c r="AO39" t="b">
        <f t="shared" si="2"/>
        <v>1</v>
      </c>
    </row>
    <row r="40" spans="1:41" x14ac:dyDescent="0.35">
      <c r="A40" s="5">
        <v>35</v>
      </c>
      <c r="B40" s="5">
        <v>38</v>
      </c>
      <c r="C40" s="6">
        <v>46016</v>
      </c>
      <c r="D40" s="7" t="s">
        <v>61</v>
      </c>
      <c r="E40" s="7" t="str">
        <f t="shared" si="0"/>
        <v>Thursday</v>
      </c>
      <c r="F40" s="9" t="s">
        <v>26</v>
      </c>
      <c r="G40" s="9" t="s">
        <v>26</v>
      </c>
      <c r="H40" s="9" t="s">
        <v>26</v>
      </c>
      <c r="I40" s="9" t="s">
        <v>26</v>
      </c>
      <c r="J40" s="9" t="s">
        <v>26</v>
      </c>
      <c r="K40" s="9" t="s">
        <v>26</v>
      </c>
      <c r="L40" s="9" t="s">
        <v>26</v>
      </c>
      <c r="M40" s="9" t="s">
        <v>26</v>
      </c>
      <c r="N40" s="9" t="s">
        <v>26</v>
      </c>
      <c r="O40" s="9" t="s">
        <v>26</v>
      </c>
      <c r="P40" s="9" t="s">
        <v>26</v>
      </c>
      <c r="Q40" s="9" t="s">
        <v>26</v>
      </c>
      <c r="R40" s="9" t="s">
        <v>26</v>
      </c>
      <c r="S40" s="9" t="s">
        <v>26</v>
      </c>
      <c r="T40" s="9" t="s">
        <v>26</v>
      </c>
      <c r="U40" s="9" t="s">
        <v>26</v>
      </c>
      <c r="V40" s="9" t="s">
        <v>26</v>
      </c>
      <c r="W40" s="9" t="s">
        <v>26</v>
      </c>
      <c r="X40" s="9" t="s">
        <v>26</v>
      </c>
      <c r="Y40" s="9" t="s">
        <v>26</v>
      </c>
      <c r="Z40" s="9" t="s">
        <v>26</v>
      </c>
      <c r="AA40" s="9" t="s">
        <v>26</v>
      </c>
      <c r="AB40" s="9" t="s">
        <v>26</v>
      </c>
      <c r="AC40" s="9" t="s">
        <v>26</v>
      </c>
      <c r="AD40" s="9" t="s">
        <v>26</v>
      </c>
      <c r="AE40" s="9" t="s">
        <v>26</v>
      </c>
      <c r="AF40" s="9" t="s">
        <v>26</v>
      </c>
      <c r="AG40" s="9" t="s">
        <v>26</v>
      </c>
      <c r="AH40" s="9" t="s">
        <v>26</v>
      </c>
      <c r="AI40">
        <f t="shared" si="1"/>
        <v>29</v>
      </c>
      <c r="AK40" t="s">
        <v>74</v>
      </c>
      <c r="AN40" t="str">
        <f>VLOOKUP(D40,'Conneqt Business Solutions'!C40:C77,1,0)</f>
        <v>Christmas Day</v>
      </c>
      <c r="AO40" t="b">
        <f t="shared" si="2"/>
        <v>1</v>
      </c>
    </row>
    <row r="41" spans="1:41" x14ac:dyDescent="0.35">
      <c r="A41" s="106" t="s">
        <v>62</v>
      </c>
      <c r="B41" s="106"/>
      <c r="C41" s="106"/>
      <c r="D41" s="106"/>
      <c r="E41" s="24">
        <f>COUNTIFS(E4:E39,"Yes")</f>
        <v>0</v>
      </c>
      <c r="F41" s="24">
        <f t="shared" ref="F41:AH41" si="3">COUNTIFS(F3:F40,"Yes")</f>
        <v>12</v>
      </c>
      <c r="G41" s="24">
        <f t="shared" si="3"/>
        <v>12</v>
      </c>
      <c r="H41" s="24">
        <f t="shared" si="3"/>
        <v>13</v>
      </c>
      <c r="I41" s="24">
        <f t="shared" si="3"/>
        <v>12</v>
      </c>
      <c r="J41" s="24">
        <f t="shared" si="3"/>
        <v>12</v>
      </c>
      <c r="K41" s="24">
        <f t="shared" si="3"/>
        <v>12</v>
      </c>
      <c r="L41" s="24">
        <f t="shared" si="3"/>
        <v>12</v>
      </c>
      <c r="M41" s="24">
        <f t="shared" si="3"/>
        <v>12</v>
      </c>
      <c r="N41" s="24">
        <f t="shared" si="3"/>
        <v>12</v>
      </c>
      <c r="O41" s="24">
        <f t="shared" si="3"/>
        <v>12</v>
      </c>
      <c r="P41" s="24">
        <f t="shared" si="3"/>
        <v>12</v>
      </c>
      <c r="Q41" s="24">
        <f t="shared" si="3"/>
        <v>12</v>
      </c>
      <c r="R41" s="24">
        <f t="shared" si="3"/>
        <v>12</v>
      </c>
      <c r="S41" s="24">
        <f t="shared" si="3"/>
        <v>12</v>
      </c>
      <c r="T41" s="24">
        <f t="shared" si="3"/>
        <v>12</v>
      </c>
      <c r="U41" s="24">
        <f t="shared" si="3"/>
        <v>12</v>
      </c>
      <c r="V41" s="24">
        <f t="shared" si="3"/>
        <v>12</v>
      </c>
      <c r="W41" s="24">
        <f t="shared" si="3"/>
        <v>12</v>
      </c>
      <c r="X41" s="24">
        <f t="shared" si="3"/>
        <v>12</v>
      </c>
      <c r="Y41" s="24">
        <f t="shared" si="3"/>
        <v>12</v>
      </c>
      <c r="Z41" s="24">
        <f t="shared" si="3"/>
        <v>12</v>
      </c>
      <c r="AA41" s="24">
        <f t="shared" si="3"/>
        <v>12</v>
      </c>
      <c r="AB41" s="24">
        <f t="shared" si="3"/>
        <v>12</v>
      </c>
      <c r="AC41" s="24">
        <f t="shared" si="3"/>
        <v>12</v>
      </c>
      <c r="AD41" s="24">
        <f t="shared" si="3"/>
        <v>12</v>
      </c>
      <c r="AE41" s="24">
        <f t="shared" si="3"/>
        <v>12</v>
      </c>
      <c r="AF41" s="24">
        <f t="shared" si="3"/>
        <v>12</v>
      </c>
      <c r="AG41" s="24">
        <f t="shared" si="3"/>
        <v>12</v>
      </c>
      <c r="AH41" s="24">
        <f t="shared" si="3"/>
        <v>12</v>
      </c>
    </row>
    <row r="42" spans="1:41" x14ac:dyDescent="0.35">
      <c r="A42" s="25"/>
      <c r="B42" s="25"/>
      <c r="C42" s="25"/>
      <c r="D42" s="25" t="s">
        <v>63</v>
      </c>
      <c r="E42" s="25">
        <f>COUNTIFS(E3:E40,"Yes",$D$3:$D$40,$D$42)</f>
        <v>0</v>
      </c>
      <c r="F42" s="25">
        <f t="shared" ref="F42:AH42" si="4">COUNTIFS(F$3:F$40,"Yes",$E$3:$E$40,$D$42)</f>
        <v>1</v>
      </c>
      <c r="G42" s="25">
        <f t="shared" si="4"/>
        <v>1</v>
      </c>
      <c r="H42" s="25">
        <f t="shared" si="4"/>
        <v>1</v>
      </c>
      <c r="I42" s="25">
        <f t="shared" si="4"/>
        <v>1</v>
      </c>
      <c r="J42" s="25">
        <f t="shared" si="4"/>
        <v>1</v>
      </c>
      <c r="K42" s="25">
        <f t="shared" si="4"/>
        <v>1</v>
      </c>
      <c r="L42" s="25">
        <f t="shared" si="4"/>
        <v>1</v>
      </c>
      <c r="M42" s="25">
        <f t="shared" si="4"/>
        <v>1</v>
      </c>
      <c r="N42" s="25">
        <f t="shared" si="4"/>
        <v>1</v>
      </c>
      <c r="O42" s="25">
        <f t="shared" si="4"/>
        <v>1</v>
      </c>
      <c r="P42" s="25">
        <f t="shared" si="4"/>
        <v>1</v>
      </c>
      <c r="Q42" s="25">
        <f t="shared" si="4"/>
        <v>1</v>
      </c>
      <c r="R42" s="25">
        <f t="shared" si="4"/>
        <v>1</v>
      </c>
      <c r="S42" s="25">
        <f t="shared" si="4"/>
        <v>1</v>
      </c>
      <c r="T42" s="25">
        <f t="shared" si="4"/>
        <v>1</v>
      </c>
      <c r="U42" s="25">
        <f t="shared" si="4"/>
        <v>1</v>
      </c>
      <c r="V42" s="25">
        <f t="shared" si="4"/>
        <v>1</v>
      </c>
      <c r="W42" s="25">
        <f t="shared" si="4"/>
        <v>1</v>
      </c>
      <c r="X42" s="25">
        <f t="shared" si="4"/>
        <v>1</v>
      </c>
      <c r="Y42" s="25">
        <f t="shared" si="4"/>
        <v>1</v>
      </c>
      <c r="Z42" s="25">
        <f t="shared" si="4"/>
        <v>1</v>
      </c>
      <c r="AA42" s="25">
        <f t="shared" si="4"/>
        <v>1</v>
      </c>
      <c r="AB42" s="25">
        <f t="shared" si="4"/>
        <v>1</v>
      </c>
      <c r="AC42" s="25">
        <f t="shared" si="4"/>
        <v>1</v>
      </c>
      <c r="AD42" s="25">
        <f t="shared" si="4"/>
        <v>1</v>
      </c>
      <c r="AE42" s="25">
        <f t="shared" si="4"/>
        <v>1</v>
      </c>
      <c r="AF42" s="25">
        <f t="shared" si="4"/>
        <v>1</v>
      </c>
      <c r="AG42" s="25">
        <f t="shared" si="4"/>
        <v>1</v>
      </c>
      <c r="AH42" s="25">
        <f t="shared" si="4"/>
        <v>1</v>
      </c>
    </row>
    <row r="43" spans="1:41" x14ac:dyDescent="0.35">
      <c r="A43" s="25"/>
      <c r="B43" s="25"/>
      <c r="C43" s="25"/>
      <c r="D43" s="25" t="s">
        <v>64</v>
      </c>
      <c r="E43" s="25">
        <f>COUNTIFS(E4:E41,"Yes",$D$3:$D$40,$D$43)</f>
        <v>0</v>
      </c>
      <c r="F43" s="25">
        <f t="shared" ref="F43:AH43" si="5">COUNTIFS(F$3:F$40,"Yes",$E$3:$E$40,$D$43)</f>
        <v>1</v>
      </c>
      <c r="G43" s="25">
        <f t="shared" si="5"/>
        <v>1</v>
      </c>
      <c r="H43" s="25">
        <f t="shared" si="5"/>
        <v>1</v>
      </c>
      <c r="I43" s="25">
        <f t="shared" si="5"/>
        <v>1</v>
      </c>
      <c r="J43" s="25">
        <f t="shared" si="5"/>
        <v>1</v>
      </c>
      <c r="K43" s="25">
        <f t="shared" si="5"/>
        <v>1</v>
      </c>
      <c r="L43" s="25">
        <f t="shared" si="5"/>
        <v>1</v>
      </c>
      <c r="M43" s="25">
        <f t="shared" si="5"/>
        <v>1</v>
      </c>
      <c r="N43" s="25">
        <f t="shared" si="5"/>
        <v>1</v>
      </c>
      <c r="O43" s="25">
        <f t="shared" si="5"/>
        <v>1</v>
      </c>
      <c r="P43" s="25">
        <f t="shared" si="5"/>
        <v>1</v>
      </c>
      <c r="Q43" s="25">
        <f t="shared" si="5"/>
        <v>1</v>
      </c>
      <c r="R43" s="25">
        <f t="shared" si="5"/>
        <v>1</v>
      </c>
      <c r="S43" s="25">
        <f t="shared" si="5"/>
        <v>1</v>
      </c>
      <c r="T43" s="25">
        <f t="shared" si="5"/>
        <v>1</v>
      </c>
      <c r="U43" s="25">
        <f t="shared" si="5"/>
        <v>1</v>
      </c>
      <c r="V43" s="25">
        <f t="shared" si="5"/>
        <v>1</v>
      </c>
      <c r="W43" s="25">
        <f t="shared" si="5"/>
        <v>1</v>
      </c>
      <c r="X43" s="25">
        <f t="shared" si="5"/>
        <v>1</v>
      </c>
      <c r="Y43" s="25">
        <f t="shared" si="5"/>
        <v>0</v>
      </c>
      <c r="Z43" s="25">
        <f t="shared" si="5"/>
        <v>1</v>
      </c>
      <c r="AA43" s="25">
        <f t="shared" si="5"/>
        <v>1</v>
      </c>
      <c r="AB43" s="25">
        <f t="shared" si="5"/>
        <v>1</v>
      </c>
      <c r="AC43" s="25">
        <f t="shared" si="5"/>
        <v>1</v>
      </c>
      <c r="AD43" s="25">
        <f t="shared" si="5"/>
        <v>1</v>
      </c>
      <c r="AE43" s="25">
        <f t="shared" si="5"/>
        <v>1</v>
      </c>
      <c r="AF43" s="25">
        <f t="shared" si="5"/>
        <v>1</v>
      </c>
      <c r="AG43" s="25">
        <f t="shared" si="5"/>
        <v>1</v>
      </c>
      <c r="AH43" s="25">
        <f t="shared" si="5"/>
        <v>1</v>
      </c>
    </row>
  </sheetData>
  <autoFilter ref="A2:AO2" xr:uid="{61CEE270-1FE4-4679-8D49-FFBC48B98B80}"/>
  <mergeCells count="5">
    <mergeCell ref="F1:K1"/>
    <mergeCell ref="L1:T1"/>
    <mergeCell ref="U1:Y1"/>
    <mergeCell ref="Z1:AH1"/>
    <mergeCell ref="A41:D41"/>
  </mergeCells>
  <conditionalFormatting sqref="F3:F4">
    <cfRule type="cellIs" dxfId="263" priority="24" operator="equal">
      <formula>"Yes"</formula>
    </cfRule>
  </conditionalFormatting>
  <conditionalFormatting sqref="F6:F13">
    <cfRule type="cellIs" dxfId="262" priority="55" operator="equal">
      <formula>"Yes"</formula>
    </cfRule>
  </conditionalFormatting>
  <conditionalFormatting sqref="F15:F18">
    <cfRule type="cellIs" dxfId="261" priority="78" operator="equal">
      <formula>"Yes"</formula>
    </cfRule>
  </conditionalFormatting>
  <conditionalFormatting sqref="F21:F33">
    <cfRule type="cellIs" dxfId="260" priority="61" operator="equal">
      <formula>"Yes"</formula>
    </cfRule>
  </conditionalFormatting>
  <conditionalFormatting sqref="F37">
    <cfRule type="cellIs" dxfId="259" priority="364" operator="equal">
      <formula>"Yes"</formula>
    </cfRule>
  </conditionalFormatting>
  <conditionalFormatting sqref="F40">
    <cfRule type="cellIs" dxfId="258" priority="363" operator="equal">
      <formula>"Yes"</formula>
    </cfRule>
  </conditionalFormatting>
  <conditionalFormatting sqref="F14:G14">
    <cfRule type="cellIs" dxfId="257" priority="34" operator="equal">
      <formula>"Yes"</formula>
    </cfRule>
  </conditionalFormatting>
  <conditionalFormatting sqref="F20:I20">
    <cfRule type="cellIs" dxfId="256" priority="35" operator="equal">
      <formula>"Yes"</formula>
    </cfRule>
  </conditionalFormatting>
  <conditionalFormatting sqref="G3:G12">
    <cfRule type="cellIs" dxfId="255" priority="23" operator="equal">
      <formula>"Yes"</formula>
    </cfRule>
  </conditionalFormatting>
  <conditionalFormatting sqref="G15:G19">
    <cfRule type="cellIs" dxfId="254" priority="333" operator="equal">
      <formula>"Yes"</formula>
    </cfRule>
  </conditionalFormatting>
  <conditionalFormatting sqref="G21:G31">
    <cfRule type="cellIs" dxfId="253" priority="332" operator="equal">
      <formula>"Yes"</formula>
    </cfRule>
  </conditionalFormatting>
  <conditionalFormatting sqref="G33:G40">
    <cfRule type="cellIs" dxfId="252" priority="337" operator="equal">
      <formula>"Yes"</formula>
    </cfRule>
  </conditionalFormatting>
  <conditionalFormatting sqref="H3:H19">
    <cfRule type="cellIs" dxfId="251" priority="22" operator="equal">
      <formula>"Yes"</formula>
    </cfRule>
  </conditionalFormatting>
  <conditionalFormatting sqref="H21:I40">
    <cfRule type="cellIs" dxfId="250" priority="56" operator="equal">
      <formula>"Yes"</formula>
    </cfRule>
  </conditionalFormatting>
  <conditionalFormatting sqref="I14:I19">
    <cfRule type="cellIs" dxfId="249" priority="321" operator="equal">
      <formula>"Yes"</formula>
    </cfRule>
  </conditionalFormatting>
  <conditionalFormatting sqref="I6:J12">
    <cfRule type="cellIs" dxfId="248" priority="51" operator="equal">
      <formula>"Yes"</formula>
    </cfRule>
  </conditionalFormatting>
  <conditionalFormatting sqref="I3:K4">
    <cfRule type="cellIs" dxfId="247" priority="19" operator="equal">
      <formula>"Yes"</formula>
    </cfRule>
  </conditionalFormatting>
  <conditionalFormatting sqref="J14:J18">
    <cfRule type="cellIs" dxfId="246" priority="310" operator="equal">
      <formula>"Yes"</formula>
    </cfRule>
  </conditionalFormatting>
  <conditionalFormatting sqref="J20:J37">
    <cfRule type="cellIs" dxfId="245" priority="59" operator="equal">
      <formula>"Yes"</formula>
    </cfRule>
  </conditionalFormatting>
  <conditionalFormatting sqref="J40">
    <cfRule type="cellIs" dxfId="244" priority="314" operator="equal">
      <formula>"Yes"</formula>
    </cfRule>
  </conditionalFormatting>
  <conditionalFormatting sqref="K6:K16">
    <cfRule type="cellIs" dxfId="243" priority="49" operator="equal">
      <formula>"Yes"</formula>
    </cfRule>
  </conditionalFormatting>
  <conditionalFormatting sqref="K18:K40">
    <cfRule type="cellIs" dxfId="242" priority="58" operator="equal">
      <formula>"Yes"</formula>
    </cfRule>
  </conditionalFormatting>
  <conditionalFormatting sqref="K17:M17">
    <cfRule type="cellIs" dxfId="241" priority="77" operator="equal">
      <formula>"Yes"</formula>
    </cfRule>
  </conditionalFormatting>
  <conditionalFormatting sqref="L3:L9">
    <cfRule type="cellIs" dxfId="240" priority="18" operator="equal">
      <formula>"Yes"</formula>
    </cfRule>
  </conditionalFormatting>
  <conditionalFormatting sqref="L14:L16">
    <cfRule type="cellIs" dxfId="239" priority="282" operator="equal">
      <formula>"Yes"</formula>
    </cfRule>
  </conditionalFormatting>
  <conditionalFormatting sqref="L33">
    <cfRule type="cellIs" dxfId="238" priority="57" operator="equal">
      <formula>"Yes"</formula>
    </cfRule>
  </conditionalFormatting>
  <conditionalFormatting sqref="L35">
    <cfRule type="cellIs" dxfId="237" priority="39" operator="equal">
      <formula>"Yes"</formula>
    </cfRule>
  </conditionalFormatting>
  <conditionalFormatting sqref="L18:M32">
    <cfRule type="cellIs" dxfId="236" priority="33" operator="equal">
      <formula>"Yes"</formula>
    </cfRule>
  </conditionalFormatting>
  <conditionalFormatting sqref="L37:M40">
    <cfRule type="cellIs" dxfId="235" priority="284" operator="equal">
      <formula>"Yes"</formula>
    </cfRule>
  </conditionalFormatting>
  <conditionalFormatting sqref="M13:M16">
    <cfRule type="cellIs" dxfId="234" priority="279" operator="equal">
      <formula>"Yes"</formula>
    </cfRule>
  </conditionalFormatting>
  <conditionalFormatting sqref="M3:O4">
    <cfRule type="cellIs" dxfId="233" priority="15" operator="equal">
      <formula>"Yes"</formula>
    </cfRule>
  </conditionalFormatting>
  <conditionalFormatting sqref="M6:O9">
    <cfRule type="cellIs" dxfId="232" priority="254" operator="equal">
      <formula>"Yes"</formula>
    </cfRule>
  </conditionalFormatting>
  <conditionalFormatting sqref="M33:R36">
    <cfRule type="cellIs" dxfId="231" priority="45" operator="equal">
      <formula>"Yes"</formula>
    </cfRule>
  </conditionalFormatting>
  <conditionalFormatting sqref="N14:N25">
    <cfRule type="cellIs" dxfId="230" priority="62" operator="equal">
      <formula>"Yes"</formula>
    </cfRule>
  </conditionalFormatting>
  <conditionalFormatting sqref="N37:N39">
    <cfRule type="cellIs" dxfId="229" priority="257" operator="equal">
      <formula>"Yes"</formula>
    </cfRule>
  </conditionalFormatting>
  <conditionalFormatting sqref="N5:O5 O19 O20:P22 N26:O26 N28:P30 N32:O32 N40:O40">
    <cfRule type="cellIs" dxfId="228" priority="278" operator="equal">
      <formula>"Yes"</formula>
    </cfRule>
  </conditionalFormatting>
  <conditionalFormatting sqref="O17">
    <cfRule type="cellIs" dxfId="227" priority="244" operator="equal">
      <formula>"Yes"</formula>
    </cfRule>
  </conditionalFormatting>
  <conditionalFormatting sqref="O24:O25">
    <cfRule type="cellIs" dxfId="226" priority="243" operator="equal">
      <formula>"Yes"</formula>
    </cfRule>
  </conditionalFormatting>
  <conditionalFormatting sqref="O14:P16">
    <cfRule type="cellIs" dxfId="225" priority="241" operator="equal">
      <formula>"Yes"</formula>
    </cfRule>
  </conditionalFormatting>
  <conditionalFormatting sqref="P17:P18">
    <cfRule type="cellIs" dxfId="224" priority="275" operator="equal">
      <formula>"Yes"</formula>
    </cfRule>
  </conditionalFormatting>
  <conditionalFormatting sqref="P3:Q9">
    <cfRule type="cellIs" dxfId="223" priority="13" operator="equal">
      <formula>"Yes"</formula>
    </cfRule>
  </conditionalFormatting>
  <conditionalFormatting sqref="P24:Q26">
    <cfRule type="cellIs" dxfId="222" priority="236" operator="equal">
      <formula>"Yes"</formula>
    </cfRule>
  </conditionalFormatting>
  <conditionalFormatting sqref="P38:AH40">
    <cfRule type="cellIs" dxfId="221" priority="26" operator="equal">
      <formula>"Yes"</formula>
    </cfRule>
  </conditionalFormatting>
  <conditionalFormatting sqref="Q14:Q22">
    <cfRule type="cellIs" dxfId="220" priority="31" operator="equal">
      <formula>"Yes"</formula>
    </cfRule>
  </conditionalFormatting>
  <conditionalFormatting sqref="R3:R4">
    <cfRule type="cellIs" dxfId="219" priority="12" operator="equal">
      <formula>"Yes"</formula>
    </cfRule>
  </conditionalFormatting>
  <conditionalFormatting sqref="R6:R9">
    <cfRule type="cellIs" dxfId="218" priority="79" operator="equal">
      <formula>"Yes"</formula>
    </cfRule>
  </conditionalFormatting>
  <conditionalFormatting sqref="R20:R21">
    <cfRule type="cellIs" dxfId="217" priority="129" operator="equal">
      <formula>"Yes"</formula>
    </cfRule>
  </conditionalFormatting>
  <conditionalFormatting sqref="R14:S19">
    <cfRule type="cellIs" dxfId="216" priority="76" operator="equal">
      <formula>"Yes"</formula>
    </cfRule>
  </conditionalFormatting>
  <conditionalFormatting sqref="R24:T25">
    <cfRule type="cellIs" dxfId="215" priority="65" operator="equal">
      <formula>"Yes"</formula>
    </cfRule>
  </conditionalFormatting>
  <conditionalFormatting sqref="R28:U29">
    <cfRule type="cellIs" dxfId="214" priority="125" operator="equal">
      <formula>"Yes"</formula>
    </cfRule>
  </conditionalFormatting>
  <conditionalFormatting sqref="R30:AC30">
    <cfRule type="cellIs" dxfId="213" priority="220" operator="equal">
      <formula>"Yes"</formula>
    </cfRule>
  </conditionalFormatting>
  <conditionalFormatting sqref="S3:S7">
    <cfRule type="cellIs" dxfId="212" priority="11" operator="equal">
      <formula>"Yes"</formula>
    </cfRule>
  </conditionalFormatting>
  <conditionalFormatting sqref="S20">
    <cfRule type="cellIs" dxfId="211" priority="32" operator="equal">
      <formula>"Yes"</formula>
    </cfRule>
  </conditionalFormatting>
  <conditionalFormatting sqref="S32:S36">
    <cfRule type="cellIs" dxfId="210" priority="154" operator="equal">
      <formula>"Yes"</formula>
    </cfRule>
  </conditionalFormatting>
  <conditionalFormatting sqref="S8:T9 AJ11 U18:V18 U19:AE19 AG19:AH19 S21:T21 R22:W22 O23:AH23 U25:V25 Z25:AA25 R26:V26 X26:AA26 N27:AH27 AE30:AH30 V32:AF32 AH32 AJ33 O37:Y37">
    <cfRule type="cellIs" dxfId="209" priority="235" operator="equal">
      <formula>"Yes"</formula>
    </cfRule>
  </conditionalFormatting>
  <conditionalFormatting sqref="T6:T7">
    <cfRule type="cellIs" dxfId="208" priority="232" operator="equal">
      <formula>"Yes"</formula>
    </cfRule>
  </conditionalFormatting>
  <conditionalFormatting sqref="T14:T20">
    <cfRule type="cellIs" dxfId="207" priority="121" operator="equal">
      <formula>"Yes"</formula>
    </cfRule>
  </conditionalFormatting>
  <conditionalFormatting sqref="T32:U33">
    <cfRule type="cellIs" dxfId="206" priority="42" operator="equal">
      <formula>"Yes"</formula>
    </cfRule>
  </conditionalFormatting>
  <conditionalFormatting sqref="T34:W36">
    <cfRule type="cellIs" dxfId="205" priority="153" operator="equal">
      <formula>"Yes"</formula>
    </cfRule>
  </conditionalFormatting>
  <conditionalFormatting sqref="T3:AH5">
    <cfRule type="cellIs" dxfId="204" priority="2" operator="equal">
      <formula>"Yes"</formula>
    </cfRule>
  </conditionalFormatting>
  <conditionalFormatting sqref="U13:U17">
    <cfRule type="cellIs" dxfId="203" priority="75" operator="equal">
      <formula>"Yes"</formula>
    </cfRule>
  </conditionalFormatting>
  <conditionalFormatting sqref="U20:W21">
    <cfRule type="cellIs" dxfId="202" priority="114" operator="equal">
      <formula>"Yes"</formula>
    </cfRule>
  </conditionalFormatting>
  <conditionalFormatting sqref="U24:W24">
    <cfRule type="cellIs" dxfId="201" priority="183" operator="equal">
      <formula>"Yes"</formula>
    </cfRule>
  </conditionalFormatting>
  <conditionalFormatting sqref="U6:AB9 L10:AH12 W14:AA18 X24:Y25 N31:AH31 X33:Y36">
    <cfRule type="cellIs" dxfId="200" priority="36" operator="equal">
      <formula>"Yes"</formula>
    </cfRule>
  </conditionalFormatting>
  <conditionalFormatting sqref="V14:V17">
    <cfRule type="cellIs" dxfId="199" priority="67" operator="equal">
      <formula>"Yes"</formula>
    </cfRule>
  </conditionalFormatting>
  <conditionalFormatting sqref="V33:W33">
    <cfRule type="cellIs" dxfId="198" priority="44" operator="equal">
      <formula>"Yes"</formula>
    </cfRule>
  </conditionalFormatting>
  <conditionalFormatting sqref="W25:W26">
    <cfRule type="cellIs" dxfId="197" priority="177" operator="equal">
      <formula>"Yes"</formula>
    </cfRule>
  </conditionalFormatting>
  <conditionalFormatting sqref="X20:AH22">
    <cfRule type="cellIs" dxfId="196" priority="25" operator="equal">
      <formula>"Yes"</formula>
    </cfRule>
  </conditionalFormatting>
  <conditionalFormatting sqref="X28:AH29">
    <cfRule type="cellIs" dxfId="195" priority="1" operator="equal">
      <formula>"Yes"</formula>
    </cfRule>
  </conditionalFormatting>
  <conditionalFormatting sqref="Z24:AB24">
    <cfRule type="cellIs" dxfId="194" priority="214" operator="equal">
      <formula>"Yes"</formula>
    </cfRule>
  </conditionalFormatting>
  <conditionalFormatting sqref="Z33:AH37">
    <cfRule type="cellIs" dxfId="193" priority="40" operator="equal">
      <formula>"Yes"</formula>
    </cfRule>
  </conditionalFormatting>
  <conditionalFormatting sqref="AB13:AB18">
    <cfRule type="cellIs" dxfId="192" priority="70" operator="equal">
      <formula>"Yes"</formula>
    </cfRule>
  </conditionalFormatting>
  <conditionalFormatting sqref="AB25:AB26">
    <cfRule type="cellIs" dxfId="191" priority="171" operator="equal">
      <formula>"Yes"</formula>
    </cfRule>
  </conditionalFormatting>
  <conditionalFormatting sqref="AC6">
    <cfRule type="cellIs" dxfId="190" priority="195" operator="equal">
      <formula>"Yes"</formula>
    </cfRule>
  </conditionalFormatting>
  <conditionalFormatting sqref="AC8:AC9">
    <cfRule type="cellIs" dxfId="189" priority="194" operator="equal">
      <formula>"Yes"</formula>
    </cfRule>
  </conditionalFormatting>
  <conditionalFormatting sqref="AC14:AG16">
    <cfRule type="cellIs" dxfId="188" priority="84" operator="equal">
      <formula>"Yes"</formula>
    </cfRule>
  </conditionalFormatting>
  <conditionalFormatting sqref="AC17:AH17">
    <cfRule type="cellIs" dxfId="187" priority="69" operator="equal">
      <formula>"Yes"</formula>
    </cfRule>
  </conditionalFormatting>
  <conditionalFormatting sqref="AC24:AH26">
    <cfRule type="cellIs" dxfId="186" priority="156" operator="equal">
      <formula>"Yes"</formula>
    </cfRule>
  </conditionalFormatting>
  <conditionalFormatting sqref="AD6:AF9">
    <cfRule type="cellIs" dxfId="185" priority="88" operator="equal">
      <formula>"Yes"</formula>
    </cfRule>
  </conditionalFormatting>
  <conditionalFormatting sqref="AD13:AG13">
    <cfRule type="cellIs" dxfId="184" priority="90" operator="equal">
      <formula>"Yes"</formula>
    </cfRule>
  </conditionalFormatting>
  <conditionalFormatting sqref="AD18:AH18">
    <cfRule type="cellIs" dxfId="183" priority="133" operator="equal">
      <formula>"Yes"</formula>
    </cfRule>
  </conditionalFormatting>
  <conditionalFormatting sqref="AG6">
    <cfRule type="cellIs" dxfId="182" priority="189" operator="equal">
      <formula>"Yes"</formula>
    </cfRule>
  </conditionalFormatting>
  <conditionalFormatting sqref="AG8:AG9">
    <cfRule type="cellIs" dxfId="181" priority="188" operator="equal">
      <formula>"Yes"</formula>
    </cfRule>
  </conditionalFormatting>
  <conditionalFormatting sqref="AH6:AH9">
    <cfRule type="cellIs" dxfId="180" priority="158" operator="equal">
      <formula>"Yes"</formula>
    </cfRule>
  </conditionalFormatting>
  <conditionalFormatting sqref="AH13:AH16">
    <cfRule type="cellIs" dxfId="179" priority="83" operator="equal">
      <formula>"Yes"</formula>
    </cfRule>
  </conditionalFormatting>
  <dataValidations count="1">
    <dataValidation type="list" allowBlank="1" showInputMessage="1" showErrorMessage="1" sqref="F40:G40 AD7:AF7 AH7 F20:F33 AF22:AH22 AB8:AC12 AF34:AG39 S3:AA12 AB7 I3:K4 AE28:AH30 X22 R30:AC30 Y20:Y21 U20:W21 S20 T14:T20 U13 Z20:AA22 P14:S18 AH32:AH39 AF32:AF33 J40:AH40 AG33 Y24:AA27 V32:X37 T38:AE39 U14:AA18 T34:U37 Y31:AB37 Q3:R4 S32:S39 Q6:R12 T32:T33 V31 V27 R27:T27 AF24:AH26 L20:M20 R28:U29 P38:R39 O14:O17 N14:N23 O33:R37 R24:X26 O32 N3:P12 F6:F18 O20:O22 M3:M4 L17:L18 M32:N37 X28:AD29 L37 L3:L12 K17:K26 L31:T31 K38:N39 K28:P30 K32:L33 AB3:AH6 J34:K37 J14:J18 I6:K12 J20:J33 H34:I40 L24:Q27 G38:G39 AB13:AB27 G33:G36 AC32:AE37 I14:I33 AC14:AC17 F3:F4 F37:G37 K14:L16 AC19:AE26 G14:G31 AD8:AH18 M6:M18 G3:G10 L35 Q20:R22 Q5 H3:H33" xr:uid="{00000000-0002-0000-0100-000000000000}">
      <formula1>#REF!</formula1>
    </dataValidation>
  </dataValidations>
  <hyperlinks>
    <hyperlink ref="D7" r:id="rId1" display="https://www.calendarlabs.com/holidays/india/maha-shivratri.php" xr:uid="{00000000-0004-0000-0100-000000000000}"/>
    <hyperlink ref="D40" r:id="rId2" display="https://publicholidays.in/christmas/" xr:uid="{00000000-0004-0000-0100-000001000000}"/>
    <hyperlink ref="D22" r:id="rId3" display="https://publicholidays.in/raksha-bandhan/" xr:uid="{00000000-0004-0000-0100-000002000000}"/>
    <hyperlink ref="D13" r:id="rId4" display="https://publicholidays.in/mahavir-jayanti/" xr:uid="{00000000-0004-0000-0100-000003000000}"/>
    <hyperlink ref="D36" r:id="rId5" display="https://publicholidays.in/durga-puja/" xr:uid="{00000000-0004-0000-01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B68C-E421-47B5-A25E-4E0B5D959371}">
  <sheetPr>
    <tabColor theme="9"/>
  </sheetPr>
  <dimension ref="A1:XEJ47"/>
  <sheetViews>
    <sheetView workbookViewId="0">
      <selection activeCell="A17" sqref="A17:XFD17"/>
    </sheetView>
  </sheetViews>
  <sheetFormatPr defaultColWidth="9.453125" defaultRowHeight="14.5" x14ac:dyDescent="0.35"/>
  <cols>
    <col min="1" max="1" width="5.7265625" style="25" bestFit="1" customWidth="1"/>
    <col min="2" max="2" width="11.81640625" style="25" bestFit="1" customWidth="1"/>
    <col min="3" max="3" width="54.81640625" style="25" bestFit="1" customWidth="1"/>
    <col min="4" max="4" width="10.1796875" style="25" bestFit="1" customWidth="1"/>
    <col min="5" max="6" width="8.7265625" style="25" bestFit="1" customWidth="1"/>
    <col min="7" max="7" width="9.7265625" style="25" bestFit="1" customWidth="1"/>
    <col min="8" max="8" width="8.81640625" bestFit="1" customWidth="1"/>
    <col min="9" max="9" width="14" style="25" bestFit="1" customWidth="1"/>
    <col min="10" max="10" width="10" style="3" customWidth="1"/>
    <col min="11" max="11" width="13" style="25" customWidth="1"/>
    <col min="12" max="12" width="10.81640625" style="25" bestFit="1" customWidth="1"/>
    <col min="13" max="13" width="6.54296875" style="3" customWidth="1"/>
    <col min="14" max="14" width="7.26953125" style="3" bestFit="1" customWidth="1"/>
    <col min="15" max="15" width="6.26953125" style="3" bestFit="1" customWidth="1"/>
    <col min="16" max="16" width="11.81640625" style="3" bestFit="1" customWidth="1"/>
    <col min="17" max="16363" width="9.453125" style="3"/>
    <col min="16364" max="16364" width="3.54296875" style="3" bestFit="1" customWidth="1"/>
    <col min="16365" max="16384" width="3.54296875" style="3" customWidth="1"/>
  </cols>
  <sheetData>
    <row r="1" spans="1:16 16364:16364" ht="1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31" t="s">
        <v>1</v>
      </c>
      <c r="F1" s="131"/>
      <c r="G1" s="131"/>
      <c r="H1" s="132" t="s">
        <v>2</v>
      </c>
      <c r="I1" s="132"/>
      <c r="J1" s="132"/>
      <c r="K1" s="132"/>
      <c r="L1" s="2"/>
      <c r="M1" s="134" t="s">
        <v>4</v>
      </c>
      <c r="N1" s="134"/>
      <c r="O1" s="134"/>
      <c r="P1" s="134"/>
    </row>
    <row r="2" spans="1:16 16364:16364" ht="12.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18</v>
      </c>
      <c r="K2" s="4" t="s">
        <v>19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XEJ2" s="3" t="s">
        <v>26</v>
      </c>
    </row>
    <row r="3" spans="1:16 16364:16364" ht="12.5" x14ac:dyDescent="0.3">
      <c r="A3" s="5">
        <v>1</v>
      </c>
      <c r="B3" s="6">
        <v>45658</v>
      </c>
      <c r="C3" s="7" t="s">
        <v>27</v>
      </c>
      <c r="D3" s="7" t="str">
        <f t="shared" ref="D3:D41" si="0">TEXT(B3,"ddddddd")</f>
        <v>Wednesday</v>
      </c>
      <c r="E3" s="9" t="s">
        <v>26</v>
      </c>
      <c r="F3" s="9" t="s">
        <v>26</v>
      </c>
      <c r="G3" s="9" t="s">
        <v>26</v>
      </c>
      <c r="H3" s="9" t="s">
        <v>26</v>
      </c>
      <c r="I3" s="9" t="s">
        <v>26</v>
      </c>
      <c r="J3" s="9"/>
      <c r="K3" s="9" t="s">
        <v>26</v>
      </c>
      <c r="L3" s="9" t="s">
        <v>26</v>
      </c>
      <c r="M3" s="9" t="s">
        <v>26</v>
      </c>
      <c r="N3" s="9" t="s">
        <v>26</v>
      </c>
      <c r="O3" s="9" t="s">
        <v>26</v>
      </c>
      <c r="P3" s="9" t="s">
        <v>26</v>
      </c>
    </row>
    <row r="4" spans="1:16 16364:16364" ht="12.5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9" t="s">
        <v>26</v>
      </c>
      <c r="F4" s="9" t="s">
        <v>26</v>
      </c>
      <c r="G4" s="9" t="s">
        <v>26</v>
      </c>
      <c r="H4" s="9"/>
      <c r="I4" s="9"/>
      <c r="J4" s="9" t="s">
        <v>26</v>
      </c>
      <c r="K4" s="9"/>
      <c r="L4" s="9"/>
      <c r="M4" s="9"/>
      <c r="N4" s="9"/>
      <c r="O4" s="9"/>
      <c r="P4" s="9"/>
    </row>
    <row r="5" spans="1:16 16364:16364" ht="10.5" customHeight="1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11"/>
      <c r="F5" s="11"/>
      <c r="G5" s="11"/>
      <c r="H5" s="9"/>
      <c r="I5" s="9"/>
      <c r="J5" s="11"/>
      <c r="K5" s="9"/>
      <c r="L5" s="9"/>
      <c r="M5" s="9"/>
      <c r="N5" s="9"/>
      <c r="O5" s="9"/>
      <c r="P5" s="9"/>
    </row>
    <row r="6" spans="1:16 16364:16364" ht="12.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30" t="s">
        <v>26</v>
      </c>
      <c r="F6" s="30" t="s">
        <v>26</v>
      </c>
      <c r="G6" s="30" t="s">
        <v>26</v>
      </c>
      <c r="H6" s="30" t="s">
        <v>26</v>
      </c>
      <c r="I6" s="30" t="s">
        <v>26</v>
      </c>
      <c r="J6" s="30" t="s">
        <v>26</v>
      </c>
      <c r="K6" s="30" t="s">
        <v>26</v>
      </c>
      <c r="L6" s="30" t="s">
        <v>26</v>
      </c>
      <c r="M6" s="30" t="s">
        <v>26</v>
      </c>
      <c r="N6" s="30" t="s">
        <v>26</v>
      </c>
      <c r="O6" s="30" t="s">
        <v>26</v>
      </c>
      <c r="P6" s="30" t="s">
        <v>26</v>
      </c>
    </row>
    <row r="7" spans="1:16 16364:16364" ht="12.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9" t="s">
        <v>26</v>
      </c>
      <c r="F7" s="9" t="s">
        <v>26</v>
      </c>
      <c r="G7" s="9"/>
      <c r="H7" s="9" t="s">
        <v>26</v>
      </c>
      <c r="I7" s="9" t="s">
        <v>26</v>
      </c>
      <c r="J7" s="9" t="s">
        <v>26</v>
      </c>
      <c r="K7" s="9"/>
      <c r="L7" s="9"/>
      <c r="M7" s="9" t="s">
        <v>26</v>
      </c>
      <c r="N7" s="9" t="s">
        <v>26</v>
      </c>
      <c r="O7" s="9" t="s">
        <v>26</v>
      </c>
      <c r="P7" s="11"/>
    </row>
    <row r="8" spans="1:16 16364:16364" ht="12.5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9" t="s">
        <v>26</v>
      </c>
      <c r="F8" s="9"/>
      <c r="G8" s="9"/>
      <c r="H8" s="9" t="s">
        <v>26</v>
      </c>
      <c r="I8" s="9" t="s">
        <v>26</v>
      </c>
      <c r="J8" s="11"/>
      <c r="K8" s="9"/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</row>
    <row r="9" spans="1:16 16364:16364" ht="12.5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9"/>
      <c r="F9" s="9"/>
      <c r="G9" s="9"/>
      <c r="H9" s="9"/>
      <c r="I9" s="9"/>
      <c r="J9" s="9" t="s">
        <v>26</v>
      </c>
      <c r="K9" s="9"/>
      <c r="L9" s="9"/>
      <c r="M9" s="9"/>
      <c r="N9" s="9"/>
      <c r="O9" s="9"/>
      <c r="P9" s="9"/>
    </row>
    <row r="10" spans="1:16 16364:16364" ht="12.5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 16364:16364" ht="12.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26</v>
      </c>
      <c r="M11" s="9" t="s">
        <v>26</v>
      </c>
      <c r="N11" s="9" t="s">
        <v>26</v>
      </c>
      <c r="O11" s="9" t="s">
        <v>26</v>
      </c>
      <c r="P11" s="9"/>
    </row>
    <row r="12" spans="1:16 16364:16364" ht="12.5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9"/>
      <c r="F12" s="11"/>
      <c r="G12" s="11"/>
      <c r="H12" s="11"/>
      <c r="I12" s="11"/>
      <c r="J12" s="11"/>
      <c r="K12" s="11"/>
      <c r="L12" s="11"/>
      <c r="M12" s="11"/>
      <c r="N12" s="9"/>
      <c r="O12" s="9"/>
      <c r="P12" s="9" t="s">
        <v>26</v>
      </c>
    </row>
    <row r="13" spans="1:16 16364:16364" ht="12.5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9"/>
    </row>
    <row r="14" spans="1:16 16364:16364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E14" s="9"/>
      <c r="F14" s="9"/>
      <c r="G14" s="9" t="s">
        <v>26</v>
      </c>
      <c r="H14" s="9"/>
      <c r="I14" s="9"/>
      <c r="J14" s="9"/>
      <c r="K14" s="9"/>
      <c r="L14" s="9"/>
      <c r="M14" s="9"/>
      <c r="N14" s="9" t="s">
        <v>26</v>
      </c>
      <c r="O14" s="9" t="s">
        <v>26</v>
      </c>
      <c r="P14" s="9" t="s">
        <v>26</v>
      </c>
    </row>
    <row r="15" spans="1:16 16364:16364" ht="12.5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9"/>
      <c r="F15" s="9"/>
      <c r="G15" s="9"/>
      <c r="H15" s="9"/>
      <c r="I15" s="9"/>
      <c r="J15" s="9"/>
      <c r="K15" s="9" t="s">
        <v>26</v>
      </c>
      <c r="L15" s="9"/>
      <c r="M15" s="9"/>
      <c r="N15" s="9"/>
      <c r="O15" s="9"/>
      <c r="P15" s="9"/>
    </row>
    <row r="16" spans="1:16 16364:16364" ht="12.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9" t="s">
        <v>26</v>
      </c>
      <c r="F16" s="9"/>
      <c r="G16" s="9"/>
      <c r="H16" s="9" t="s">
        <v>26</v>
      </c>
      <c r="I16" s="9" t="s">
        <v>26</v>
      </c>
      <c r="J16" s="9" t="s">
        <v>26</v>
      </c>
      <c r="K16" s="9" t="s">
        <v>26</v>
      </c>
      <c r="L16" s="9" t="s">
        <v>26</v>
      </c>
      <c r="M16" s="9" t="s">
        <v>26</v>
      </c>
      <c r="N16" s="9"/>
      <c r="O16" s="9"/>
      <c r="P16" s="9"/>
    </row>
    <row r="17" spans="1:16" ht="12.5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E17" s="9"/>
      <c r="F17" s="9" t="s">
        <v>26</v>
      </c>
      <c r="G17" s="9" t="s">
        <v>26</v>
      </c>
      <c r="H17" s="9"/>
      <c r="I17" s="9"/>
      <c r="J17" s="9" t="s">
        <v>26</v>
      </c>
      <c r="K17" s="9" t="s">
        <v>26</v>
      </c>
      <c r="L17" s="9" t="s">
        <v>26</v>
      </c>
      <c r="M17" s="9"/>
      <c r="N17" s="9" t="s">
        <v>26</v>
      </c>
      <c r="O17" s="9" t="s">
        <v>26</v>
      </c>
      <c r="P17" s="9"/>
    </row>
    <row r="18" spans="1:16" ht="12.5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15"/>
      <c r="F18" s="15"/>
      <c r="G18" s="15"/>
      <c r="H18" s="9"/>
      <c r="I18" s="9" t="s">
        <v>26</v>
      </c>
      <c r="J18" s="15"/>
      <c r="K18" s="9" t="s">
        <v>26</v>
      </c>
      <c r="L18" s="15"/>
      <c r="M18" s="9" t="s">
        <v>26</v>
      </c>
      <c r="N18" s="15"/>
      <c r="O18" s="15"/>
      <c r="P18" s="9" t="s">
        <v>26</v>
      </c>
    </row>
    <row r="19" spans="1:16" ht="12.5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11"/>
      <c r="F19" s="9"/>
      <c r="G19" s="11"/>
      <c r="H19" s="9"/>
      <c r="I19" s="9"/>
      <c r="J19" s="9"/>
      <c r="K19" s="9"/>
      <c r="L19" s="9"/>
      <c r="M19" s="9"/>
      <c r="N19" s="9"/>
      <c r="O19" s="9"/>
      <c r="P19" s="9"/>
    </row>
    <row r="20" spans="1:16" ht="12.5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2.5" x14ac:dyDescent="0.3">
      <c r="A21" s="7">
        <v>19</v>
      </c>
      <c r="B21" s="6">
        <v>45835</v>
      </c>
      <c r="C21" s="19" t="s">
        <v>43</v>
      </c>
      <c r="D21" s="20" t="str">
        <f t="shared" si="0"/>
        <v>Friday</v>
      </c>
      <c r="E21" s="9"/>
      <c r="F21" s="9"/>
      <c r="G21" s="9"/>
      <c r="H21" s="9"/>
      <c r="I21" s="9"/>
      <c r="J21" s="9" t="s">
        <v>26</v>
      </c>
      <c r="K21" s="9"/>
      <c r="L21" s="9"/>
      <c r="M21" s="9"/>
      <c r="N21" s="9"/>
      <c r="O21" s="9"/>
      <c r="P21" s="9"/>
    </row>
    <row r="22" spans="1:16" ht="12.5" x14ac:dyDescent="0.3">
      <c r="A22" s="5">
        <v>20</v>
      </c>
      <c r="B22" s="6">
        <v>45878</v>
      </c>
      <c r="C22" s="7" t="s">
        <v>44</v>
      </c>
      <c r="D22" s="7" t="str">
        <f t="shared" si="0"/>
        <v>Saturday</v>
      </c>
      <c r="E22" s="9"/>
      <c r="F22" s="9"/>
      <c r="G22" s="9"/>
      <c r="H22" s="9"/>
      <c r="I22" s="9" t="s">
        <v>26</v>
      </c>
      <c r="J22" s="9"/>
      <c r="K22" s="9"/>
      <c r="L22" s="9" t="s">
        <v>26</v>
      </c>
      <c r="M22" s="9"/>
      <c r="N22" s="9"/>
      <c r="O22" s="9"/>
      <c r="P22" s="9"/>
    </row>
    <row r="23" spans="1:16" ht="12.5" x14ac:dyDescent="0.3">
      <c r="A23" s="5">
        <v>21</v>
      </c>
      <c r="B23" s="6">
        <v>45882</v>
      </c>
      <c r="C23" s="7" t="s">
        <v>45</v>
      </c>
      <c r="D23" s="7" t="str">
        <f t="shared" si="0"/>
        <v>Wednesday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2.5" x14ac:dyDescent="0.3">
      <c r="A24" s="5">
        <v>22</v>
      </c>
      <c r="B24" s="6">
        <v>45884</v>
      </c>
      <c r="C24" s="7" t="s">
        <v>46</v>
      </c>
      <c r="D24" s="7" t="str">
        <f t="shared" si="0"/>
        <v>Friday</v>
      </c>
      <c r="E24" s="9" t="s">
        <v>26</v>
      </c>
      <c r="F24" s="9" t="s">
        <v>26</v>
      </c>
      <c r="G24" s="9" t="s">
        <v>26</v>
      </c>
      <c r="H24" s="9" t="s">
        <v>26</v>
      </c>
      <c r="I24" s="9" t="s">
        <v>26</v>
      </c>
      <c r="J24" s="9" t="s">
        <v>26</v>
      </c>
      <c r="K24" s="9" t="s">
        <v>26</v>
      </c>
      <c r="L24" s="9" t="s">
        <v>26</v>
      </c>
      <c r="M24" s="9" t="s">
        <v>26</v>
      </c>
      <c r="N24" s="9" t="s">
        <v>26</v>
      </c>
      <c r="O24" s="9" t="s">
        <v>26</v>
      </c>
      <c r="P24" s="9" t="s">
        <v>26</v>
      </c>
    </row>
    <row r="25" spans="1:16" ht="12.5" x14ac:dyDescent="0.3">
      <c r="A25" s="5">
        <v>23</v>
      </c>
      <c r="B25" s="6">
        <v>45896</v>
      </c>
      <c r="C25" s="7" t="s">
        <v>47</v>
      </c>
      <c r="D25" s="7" t="str">
        <f t="shared" si="0"/>
        <v>Wednesday</v>
      </c>
      <c r="E25" s="9" t="s">
        <v>26</v>
      </c>
      <c r="F25" s="9" t="s">
        <v>26</v>
      </c>
      <c r="G25" s="9" t="s">
        <v>26</v>
      </c>
      <c r="H25" s="9"/>
      <c r="I25" s="9"/>
      <c r="J25" s="9"/>
      <c r="K25" s="9"/>
      <c r="L25" s="9" t="s">
        <v>26</v>
      </c>
      <c r="M25" s="9"/>
      <c r="N25" s="9"/>
      <c r="O25" s="9"/>
      <c r="P25" s="9"/>
    </row>
    <row r="26" spans="1:16" ht="12.5" x14ac:dyDescent="0.3">
      <c r="A26" s="5">
        <v>24</v>
      </c>
      <c r="B26" s="6">
        <v>45897</v>
      </c>
      <c r="C26" s="7" t="s">
        <v>48</v>
      </c>
      <c r="D26" s="7" t="str">
        <f t="shared" si="0"/>
        <v>Thursday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2.5" x14ac:dyDescent="0.3">
      <c r="A27" s="5">
        <v>25</v>
      </c>
      <c r="B27" s="6">
        <v>45904</v>
      </c>
      <c r="C27" s="7" t="s">
        <v>49</v>
      </c>
      <c r="D27" s="7" t="str">
        <f t="shared" si="0"/>
        <v>Thursday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ht="12.5" x14ac:dyDescent="0.3">
      <c r="A28" s="5">
        <v>26</v>
      </c>
      <c r="B28" s="6">
        <v>45905</v>
      </c>
      <c r="C28" s="7" t="s">
        <v>50</v>
      </c>
      <c r="D28" s="7" t="str">
        <f t="shared" si="0"/>
        <v>Friday</v>
      </c>
      <c r="E28" s="15"/>
      <c r="F28" s="15"/>
      <c r="G28" s="15"/>
      <c r="H28" s="15"/>
      <c r="I28" s="15"/>
      <c r="J28" s="15"/>
      <c r="K28" s="15"/>
      <c r="L28" s="15"/>
      <c r="M28" s="9"/>
      <c r="N28" s="9"/>
      <c r="O28" s="15"/>
      <c r="P28" s="15"/>
    </row>
    <row r="29" spans="1:16" ht="12.5" x14ac:dyDescent="0.3">
      <c r="A29" s="7">
        <v>27</v>
      </c>
      <c r="B29" s="6">
        <v>45930</v>
      </c>
      <c r="C29" s="21" t="s">
        <v>51</v>
      </c>
      <c r="D29" s="7" t="str">
        <f t="shared" si="0"/>
        <v>Tuesday</v>
      </c>
      <c r="E29" s="15"/>
      <c r="F29" s="15"/>
      <c r="G29" s="15"/>
      <c r="H29" s="9" t="s">
        <v>26</v>
      </c>
      <c r="I29" s="15"/>
      <c r="J29" s="15"/>
      <c r="K29" s="9" t="s">
        <v>26</v>
      </c>
      <c r="L29" s="15"/>
      <c r="M29" s="9"/>
      <c r="N29" s="9"/>
      <c r="O29" s="15"/>
      <c r="P29" s="15"/>
    </row>
    <row r="30" spans="1:16" ht="12.5" x14ac:dyDescent="0.3">
      <c r="A30" s="5">
        <v>28</v>
      </c>
      <c r="B30" s="6">
        <v>45931</v>
      </c>
      <c r="C30" s="7" t="s">
        <v>52</v>
      </c>
      <c r="D30" s="7" t="str">
        <f t="shared" si="0"/>
        <v>Wednesday</v>
      </c>
      <c r="E30" s="9"/>
      <c r="F30" s="15"/>
      <c r="G30" s="9" t="s">
        <v>26</v>
      </c>
      <c r="H30" s="15"/>
      <c r="I30" s="15"/>
      <c r="J30" s="15"/>
      <c r="K30" s="15"/>
      <c r="L30" s="15"/>
      <c r="M30" s="15"/>
      <c r="N30" s="15"/>
      <c r="O30" s="15"/>
      <c r="P30" s="15"/>
    </row>
    <row r="31" spans="1:16" ht="12.5" x14ac:dyDescent="0.3">
      <c r="A31" s="5">
        <v>29</v>
      </c>
      <c r="B31" s="6">
        <v>45932</v>
      </c>
      <c r="C31" s="7" t="s">
        <v>53</v>
      </c>
      <c r="D31" s="7" t="str">
        <f t="shared" si="0"/>
        <v>Thursday</v>
      </c>
      <c r="E31" s="9" t="s">
        <v>26</v>
      </c>
      <c r="F31" s="9" t="s">
        <v>26</v>
      </c>
      <c r="G31" s="9" t="s">
        <v>26</v>
      </c>
      <c r="H31" s="9" t="s">
        <v>26</v>
      </c>
      <c r="I31" s="9" t="s">
        <v>26</v>
      </c>
      <c r="J31" s="9" t="s">
        <v>26</v>
      </c>
      <c r="K31" s="9" t="s">
        <v>26</v>
      </c>
      <c r="L31" s="9" t="s">
        <v>26</v>
      </c>
      <c r="M31" s="9" t="s">
        <v>26</v>
      </c>
      <c r="N31" s="9" t="s">
        <v>26</v>
      </c>
      <c r="O31" s="9" t="s">
        <v>26</v>
      </c>
      <c r="P31" s="9" t="s">
        <v>26</v>
      </c>
    </row>
    <row r="32" spans="1:16" ht="12.5" x14ac:dyDescent="0.3">
      <c r="A32" s="5">
        <v>30</v>
      </c>
      <c r="B32" s="6">
        <v>45950</v>
      </c>
      <c r="C32" s="7" t="s">
        <v>54</v>
      </c>
      <c r="D32" s="7" t="str">
        <f t="shared" si="0"/>
        <v>Monday</v>
      </c>
      <c r="E32" s="15" t="s">
        <v>26</v>
      </c>
      <c r="F32" s="9"/>
      <c r="G32" s="9" t="s">
        <v>26</v>
      </c>
      <c r="H32" s="9" t="s">
        <v>26</v>
      </c>
      <c r="I32" s="9"/>
      <c r="J32" s="11"/>
      <c r="K32" s="9" t="s">
        <v>26</v>
      </c>
      <c r="L32" s="9"/>
      <c r="M32" s="9" t="s">
        <v>26</v>
      </c>
      <c r="N32" s="9"/>
      <c r="O32" s="9"/>
      <c r="P32" s="11"/>
    </row>
    <row r="33" spans="1:16" ht="12.5" x14ac:dyDescent="0.3">
      <c r="A33" s="5">
        <v>31</v>
      </c>
      <c r="B33" s="6">
        <v>45951</v>
      </c>
      <c r="C33" s="7" t="s">
        <v>54</v>
      </c>
      <c r="D33" s="7" t="str">
        <f t="shared" si="0"/>
        <v>Tuesday</v>
      </c>
      <c r="E33" s="11"/>
      <c r="F33" s="11"/>
      <c r="G33" s="11"/>
      <c r="H33" s="11"/>
      <c r="I33" s="9" t="s">
        <v>26</v>
      </c>
      <c r="J33" s="9" t="s">
        <v>26</v>
      </c>
      <c r="K33" s="9"/>
      <c r="L33" s="9" t="s">
        <v>26</v>
      </c>
      <c r="M33" s="9"/>
      <c r="N33" s="9" t="s">
        <v>26</v>
      </c>
      <c r="O33" s="9" t="s">
        <v>26</v>
      </c>
      <c r="P33" s="9" t="s">
        <v>26</v>
      </c>
    </row>
    <row r="34" spans="1:16" ht="12.5" x14ac:dyDescent="0.3">
      <c r="A34" s="5">
        <v>32</v>
      </c>
      <c r="B34" s="6">
        <v>45952</v>
      </c>
      <c r="C34" s="7" t="s">
        <v>55</v>
      </c>
      <c r="D34" s="7" t="str">
        <f t="shared" si="0"/>
        <v>Wednesday</v>
      </c>
      <c r="E34" s="11"/>
      <c r="F34" s="15" t="s">
        <v>26</v>
      </c>
      <c r="G34" s="9"/>
      <c r="H34" s="11"/>
      <c r="I34" s="9"/>
      <c r="J34" s="9"/>
      <c r="K34" s="9"/>
      <c r="L34" s="9"/>
      <c r="M34" s="9"/>
      <c r="N34" s="9"/>
      <c r="O34" s="9"/>
      <c r="P34" s="9"/>
    </row>
    <row r="35" spans="1:16" ht="12.5" x14ac:dyDescent="0.3">
      <c r="A35" s="7">
        <v>33</v>
      </c>
      <c r="B35" s="6">
        <v>45957</v>
      </c>
      <c r="C35" s="19" t="s">
        <v>56</v>
      </c>
      <c r="D35" s="7" t="str">
        <f t="shared" si="0"/>
        <v>Monday</v>
      </c>
      <c r="E35" s="11"/>
      <c r="F35" s="15"/>
      <c r="G35" s="9"/>
      <c r="H35" s="9" t="s">
        <v>26</v>
      </c>
      <c r="I35" s="9"/>
      <c r="J35" s="9"/>
      <c r="K35" s="9"/>
      <c r="L35" s="9"/>
      <c r="M35" s="9"/>
      <c r="N35" s="9"/>
      <c r="O35" s="9"/>
      <c r="P35" s="9"/>
    </row>
    <row r="36" spans="1:16" ht="12.5" x14ac:dyDescent="0.3">
      <c r="A36" s="5">
        <v>34</v>
      </c>
      <c r="B36" s="6">
        <v>45958</v>
      </c>
      <c r="C36" s="19" t="s">
        <v>56</v>
      </c>
      <c r="D36" s="7" t="str">
        <f t="shared" si="0"/>
        <v>Tuesday</v>
      </c>
      <c r="E36" s="11"/>
      <c r="F36" s="15"/>
      <c r="G36" s="9"/>
      <c r="H36" s="9"/>
      <c r="I36" s="9"/>
      <c r="J36" s="9"/>
      <c r="K36" s="9"/>
      <c r="L36" s="9"/>
      <c r="M36" s="9"/>
      <c r="N36" s="9"/>
      <c r="O36" s="9"/>
      <c r="P36" s="9" t="s">
        <v>26</v>
      </c>
    </row>
    <row r="37" spans="1:16" ht="12.5" x14ac:dyDescent="0.3">
      <c r="A37" s="7">
        <v>35</v>
      </c>
      <c r="B37" s="6">
        <v>45959</v>
      </c>
      <c r="C37" s="7" t="s">
        <v>57</v>
      </c>
      <c r="D37" s="7" t="str">
        <f t="shared" si="0"/>
        <v>Wednesday</v>
      </c>
      <c r="E37" s="11"/>
      <c r="F37" s="15"/>
      <c r="G37" s="9"/>
      <c r="H37" s="11"/>
      <c r="I37" s="9"/>
      <c r="J37" s="9"/>
      <c r="K37" s="9"/>
      <c r="L37" s="9"/>
      <c r="M37" s="9"/>
      <c r="N37" s="9"/>
      <c r="O37" s="9"/>
      <c r="P37" s="9"/>
    </row>
    <row r="38" spans="1:16" ht="12.5" x14ac:dyDescent="0.3">
      <c r="A38" s="5">
        <v>36</v>
      </c>
      <c r="B38" s="6">
        <v>45962</v>
      </c>
      <c r="C38" s="7" t="s">
        <v>58</v>
      </c>
      <c r="D38" s="4" t="str">
        <f t="shared" si="0"/>
        <v>Saturday</v>
      </c>
      <c r="E38" s="15"/>
      <c r="F38" s="15" t="s">
        <v>26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12.5" x14ac:dyDescent="0.3">
      <c r="A39" s="7">
        <v>37</v>
      </c>
      <c r="B39" s="6">
        <v>45966</v>
      </c>
      <c r="C39" s="7" t="s">
        <v>59</v>
      </c>
      <c r="D39" s="7" t="str">
        <f t="shared" si="0"/>
        <v>Wednesday</v>
      </c>
      <c r="E39" s="11"/>
      <c r="F39" s="9"/>
      <c r="G39" s="11"/>
      <c r="H39" s="9"/>
      <c r="I39" s="9"/>
      <c r="J39" s="9"/>
      <c r="K39" s="9"/>
      <c r="L39" s="9"/>
      <c r="M39" s="9" t="s">
        <v>26</v>
      </c>
      <c r="N39" s="9" t="s">
        <v>26</v>
      </c>
      <c r="O39" s="9" t="s">
        <v>26</v>
      </c>
      <c r="P39" s="9" t="s">
        <v>26</v>
      </c>
    </row>
    <row r="40" spans="1:16" ht="12.5" x14ac:dyDescent="0.3">
      <c r="A40" s="5">
        <v>38</v>
      </c>
      <c r="B40" s="6">
        <v>46010</v>
      </c>
      <c r="C40" s="7" t="s">
        <v>60</v>
      </c>
      <c r="D40" s="7" t="str">
        <f t="shared" si="0"/>
        <v>Friday</v>
      </c>
      <c r="E40" s="11"/>
      <c r="F40" s="9"/>
      <c r="G40" s="11"/>
      <c r="H40" s="9"/>
      <c r="I40" s="9"/>
      <c r="J40" s="9"/>
      <c r="K40" s="9"/>
      <c r="L40" s="9"/>
      <c r="M40" s="9"/>
      <c r="N40" s="9"/>
      <c r="O40" s="9"/>
      <c r="P40" s="9"/>
    </row>
    <row r="41" spans="1:16" ht="12.5" x14ac:dyDescent="0.3">
      <c r="A41" s="7">
        <v>39</v>
      </c>
      <c r="B41" s="6">
        <v>46016</v>
      </c>
      <c r="C41" s="7" t="s">
        <v>61</v>
      </c>
      <c r="D41" s="7" t="str">
        <f t="shared" si="0"/>
        <v>Thursday</v>
      </c>
      <c r="E41" s="9" t="s">
        <v>26</v>
      </c>
      <c r="F41" s="9" t="s">
        <v>26</v>
      </c>
      <c r="G41" s="9" t="s">
        <v>26</v>
      </c>
      <c r="H41" s="9" t="s">
        <v>26</v>
      </c>
      <c r="I41" s="9" t="s">
        <v>26</v>
      </c>
      <c r="J41" s="9" t="s">
        <v>26</v>
      </c>
      <c r="K41" s="9" t="s">
        <v>26</v>
      </c>
      <c r="L41" s="9" t="s">
        <v>26</v>
      </c>
      <c r="M41" s="9" t="s">
        <v>26</v>
      </c>
      <c r="N41" s="9" t="s">
        <v>26</v>
      </c>
      <c r="O41" s="9" t="s">
        <v>26</v>
      </c>
      <c r="P41" s="9" t="s">
        <v>26</v>
      </c>
    </row>
    <row r="42" spans="1:16" ht="12.5" x14ac:dyDescent="0.3">
      <c r="A42" s="5"/>
      <c r="B42" s="6"/>
      <c r="C42" s="7"/>
      <c r="D42" s="2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ht="12.5" x14ac:dyDescent="0.3">
      <c r="A43" s="23"/>
      <c r="B43" s="23"/>
      <c r="C43" s="23"/>
      <c r="D43" s="23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ht="12.5" x14ac:dyDescent="0.3">
      <c r="A44" s="106" t="s">
        <v>62</v>
      </c>
      <c r="B44" s="106"/>
      <c r="C44" s="106"/>
      <c r="D44" s="106"/>
      <c r="E44" s="26">
        <f t="shared" ref="E44:P44" si="1">COUNTIFS(E3:E42,"Yes")</f>
        <v>12</v>
      </c>
      <c r="F44" s="26">
        <f t="shared" si="1"/>
        <v>12</v>
      </c>
      <c r="G44" s="26">
        <f t="shared" si="1"/>
        <v>12</v>
      </c>
      <c r="H44" s="26">
        <f t="shared" si="1"/>
        <v>12</v>
      </c>
      <c r="I44" s="26">
        <f t="shared" si="1"/>
        <v>12</v>
      </c>
      <c r="J44" s="26">
        <f t="shared" si="1"/>
        <v>12</v>
      </c>
      <c r="K44" s="26">
        <f t="shared" si="1"/>
        <v>12</v>
      </c>
      <c r="L44" s="26">
        <f t="shared" si="1"/>
        <v>12</v>
      </c>
      <c r="M44" s="26">
        <f t="shared" si="1"/>
        <v>12</v>
      </c>
      <c r="N44" s="26">
        <f t="shared" si="1"/>
        <v>12</v>
      </c>
      <c r="O44" s="26">
        <f t="shared" si="1"/>
        <v>12</v>
      </c>
      <c r="P44" s="26">
        <f t="shared" si="1"/>
        <v>12</v>
      </c>
    </row>
    <row r="45" spans="1:16" ht="12.5" x14ac:dyDescent="0.3">
      <c r="D45" s="25" t="s">
        <v>63</v>
      </c>
      <c r="E45" s="25">
        <f t="shared" ref="E45:P45" si="2">COUNTIFS(E3:E42,"Yes",$D$3:$D$42,$D$45)</f>
        <v>1</v>
      </c>
      <c r="F45" s="25">
        <f t="shared" si="2"/>
        <v>1</v>
      </c>
      <c r="G45" s="25">
        <f t="shared" si="2"/>
        <v>1</v>
      </c>
      <c r="H45" s="25">
        <f t="shared" si="2"/>
        <v>1</v>
      </c>
      <c r="I45" s="25">
        <f t="shared" si="2"/>
        <v>1</v>
      </c>
      <c r="J45" s="25">
        <f t="shared" si="2"/>
        <v>1</v>
      </c>
      <c r="K45" s="25">
        <f t="shared" si="2"/>
        <v>1</v>
      </c>
      <c r="L45" s="25">
        <f t="shared" si="2"/>
        <v>1</v>
      </c>
      <c r="M45" s="25">
        <f t="shared" si="2"/>
        <v>1</v>
      </c>
      <c r="N45" s="25">
        <f t="shared" si="2"/>
        <v>1</v>
      </c>
      <c r="O45" s="25">
        <f t="shared" si="2"/>
        <v>1</v>
      </c>
      <c r="P45" s="25">
        <f t="shared" si="2"/>
        <v>1</v>
      </c>
    </row>
    <row r="46" spans="1:16" ht="12.5" x14ac:dyDescent="0.3">
      <c r="D46" s="25" t="s">
        <v>64</v>
      </c>
      <c r="E46" s="25">
        <f t="shared" ref="E46:P46" si="3">COUNTIFS(E3:E42,"Yes",$D$3:$D$42,$D$46)</f>
        <v>0</v>
      </c>
      <c r="F46" s="25">
        <f t="shared" si="3"/>
        <v>1</v>
      </c>
      <c r="G46" s="25">
        <f t="shared" si="3"/>
        <v>0</v>
      </c>
      <c r="H46" s="25">
        <f t="shared" si="3"/>
        <v>0</v>
      </c>
      <c r="I46" s="25">
        <f t="shared" si="3"/>
        <v>1</v>
      </c>
      <c r="J46" s="25">
        <f t="shared" si="3"/>
        <v>1</v>
      </c>
      <c r="K46" s="25">
        <f t="shared" si="3"/>
        <v>0</v>
      </c>
      <c r="L46" s="25">
        <f t="shared" si="3"/>
        <v>1</v>
      </c>
      <c r="M46" s="25">
        <f t="shared" si="3"/>
        <v>0</v>
      </c>
      <c r="N46" s="25">
        <f t="shared" si="3"/>
        <v>0</v>
      </c>
      <c r="O46" s="25">
        <f t="shared" si="3"/>
        <v>0</v>
      </c>
      <c r="P46" s="25">
        <f t="shared" si="3"/>
        <v>0</v>
      </c>
    </row>
    <row r="47" spans="1:16" x14ac:dyDescent="0.35">
      <c r="O47" s="25"/>
    </row>
  </sheetData>
  <mergeCells count="4">
    <mergeCell ref="M1:P1"/>
    <mergeCell ref="A44:D44"/>
    <mergeCell ref="E1:G1"/>
    <mergeCell ref="H1:K1"/>
  </mergeCells>
  <conditionalFormatting sqref="E6:E18">
    <cfRule type="cellIs" dxfId="178" priority="22" operator="equal">
      <formula>"Yes"</formula>
    </cfRule>
  </conditionalFormatting>
  <conditionalFormatting sqref="E20:E32">
    <cfRule type="cellIs" dxfId="177" priority="151" operator="equal">
      <formula>"Yes"</formula>
    </cfRule>
  </conditionalFormatting>
  <conditionalFormatting sqref="E38">
    <cfRule type="cellIs" dxfId="176" priority="159" operator="equal">
      <formula>"Yes"</formula>
    </cfRule>
  </conditionalFormatting>
  <conditionalFormatting sqref="E41:E42">
    <cfRule type="cellIs" dxfId="175" priority="158" operator="equal">
      <formula>"Yes"</formula>
    </cfRule>
  </conditionalFormatting>
  <conditionalFormatting sqref="E3:G4">
    <cfRule type="cellIs" dxfId="174" priority="6" operator="equal">
      <formula>"Yes"</formula>
    </cfRule>
  </conditionalFormatting>
  <conditionalFormatting sqref="F14:F32">
    <cfRule type="cellIs" dxfId="173" priority="138" operator="equal">
      <formula>"Yes"</formula>
    </cfRule>
  </conditionalFormatting>
  <conditionalFormatting sqref="F34:F42">
    <cfRule type="cellIs" dxfId="172" priority="146" operator="equal">
      <formula>"Yes"</formula>
    </cfRule>
  </conditionalFormatting>
  <conditionalFormatting sqref="F6:G11">
    <cfRule type="cellIs" dxfId="171" priority="127" operator="equal">
      <formula>"Yes"</formula>
    </cfRule>
  </conditionalFormatting>
  <conditionalFormatting sqref="G14:G18">
    <cfRule type="cellIs" dxfId="170" priority="128" operator="equal">
      <formula>"Yes"</formula>
    </cfRule>
  </conditionalFormatting>
  <conditionalFormatting sqref="G20:G32">
    <cfRule type="cellIs" dxfId="169" priority="126" operator="equal">
      <formula>"Yes"</formula>
    </cfRule>
  </conditionalFormatting>
  <conditionalFormatting sqref="G34:G38">
    <cfRule type="cellIs" dxfId="168" priority="131" operator="equal">
      <formula>"Yes"</formula>
    </cfRule>
  </conditionalFormatting>
  <conditionalFormatting sqref="G41:G42">
    <cfRule type="cellIs" dxfId="167" priority="132" operator="equal">
      <formula>"Yes"</formula>
    </cfRule>
  </conditionalFormatting>
  <conditionalFormatting sqref="H14:H32">
    <cfRule type="cellIs" dxfId="166" priority="29" operator="equal">
      <formula>"Yes"</formula>
    </cfRule>
  </conditionalFormatting>
  <conditionalFormatting sqref="H35:H36">
    <cfRule type="cellIs" dxfId="165" priority="30" operator="equal">
      <formula>"Yes"</formula>
    </cfRule>
  </conditionalFormatting>
  <conditionalFormatting sqref="H38:H42">
    <cfRule type="cellIs" dxfId="164" priority="123" operator="equal">
      <formula>"Yes"</formula>
    </cfRule>
  </conditionalFormatting>
  <conditionalFormatting sqref="H3:I11">
    <cfRule type="cellIs" dxfId="163" priority="9" operator="equal">
      <formula>"Yes"</formula>
    </cfRule>
  </conditionalFormatting>
  <conditionalFormatting sqref="I14:I27">
    <cfRule type="cellIs" dxfId="162" priority="5" operator="equal">
      <formula>"Yes"</formula>
    </cfRule>
  </conditionalFormatting>
  <conditionalFormatting sqref="I30:I41">
    <cfRule type="cellIs" dxfId="161" priority="107" operator="equal">
      <formula>"Yes"</formula>
    </cfRule>
  </conditionalFormatting>
  <conditionalFormatting sqref="J3:J4">
    <cfRule type="cellIs" dxfId="160" priority="98" operator="equal">
      <formula>"Yes"</formula>
    </cfRule>
  </conditionalFormatting>
  <conditionalFormatting sqref="J6:J7">
    <cfRule type="cellIs" dxfId="159" priority="101" operator="equal">
      <formula>"Yes"</formula>
    </cfRule>
  </conditionalFormatting>
  <conditionalFormatting sqref="J9:J11">
    <cfRule type="cellIs" dxfId="158" priority="97" operator="equal">
      <formula>"Yes"</formula>
    </cfRule>
  </conditionalFormatting>
  <conditionalFormatting sqref="J14:J31">
    <cfRule type="cellIs" dxfId="157" priority="25" operator="equal">
      <formula>"Yes"</formula>
    </cfRule>
  </conditionalFormatting>
  <conditionalFormatting sqref="J33:J42">
    <cfRule type="cellIs" dxfId="156" priority="93" operator="equal">
      <formula>"Yes"</formula>
    </cfRule>
  </conditionalFormatting>
  <conditionalFormatting sqref="K14:K42">
    <cfRule type="cellIs" dxfId="155" priority="11" operator="equal">
      <formula>"Yes"</formula>
    </cfRule>
  </conditionalFormatting>
  <conditionalFormatting sqref="K3:N11">
    <cfRule type="cellIs" dxfId="154" priority="4" operator="equal">
      <formula>"Yes"</formula>
    </cfRule>
  </conditionalFormatting>
  <conditionalFormatting sqref="L14:L41">
    <cfRule type="cellIs" dxfId="153" priority="1" operator="equal">
      <formula>"Yes"</formula>
    </cfRule>
  </conditionalFormatting>
  <conditionalFormatting sqref="M14:N42">
    <cfRule type="cellIs" dxfId="152" priority="2" operator="equal">
      <formula>"Yes"</formula>
    </cfRule>
  </conditionalFormatting>
  <conditionalFormatting sqref="N12">
    <cfRule type="cellIs" dxfId="151" priority="69" operator="equal">
      <formula>"Yes"</formula>
    </cfRule>
  </conditionalFormatting>
  <conditionalFormatting sqref="O3:O42">
    <cfRule type="cellIs" dxfId="150" priority="3" operator="equal">
      <formula>"Yes"</formula>
    </cfRule>
  </conditionalFormatting>
  <conditionalFormatting sqref="P3:P6">
    <cfRule type="cellIs" dxfId="149" priority="18" operator="equal">
      <formula>"Yes"</formula>
    </cfRule>
  </conditionalFormatting>
  <conditionalFormatting sqref="P8:P31">
    <cfRule type="cellIs" dxfId="148" priority="32" operator="equal">
      <formula>"Yes"</formula>
    </cfRule>
  </conditionalFormatting>
  <conditionalFormatting sqref="P33:P42">
    <cfRule type="cellIs" dxfId="147" priority="37" operator="equal">
      <formula>"Yes"</formula>
    </cfRule>
  </conditionalFormatting>
  <dataValidations count="1">
    <dataValidation type="list" allowBlank="1" showInputMessage="1" showErrorMessage="1" sqref="M24:N30 H24:H32 L24:L41 P3:P6 P22 N3:N12 P8:P18 P24:P26 O28:P30 E6:E18 O32:O42 P33:P42 M31:M32 M34:M38 N31:N38 M39:N42 K32:K42 J27:K29 O3:O26 J9:J11 J33:J42 J3:J4 J6:J7 I32:I41 H38:H40 H35:H36 F6:G11 G20:G32 F34:G38 F14:F32 E3:G4 E38 E20:E32 K14:K19 I30:K30 I24:K26 I20:J22 H3:I11 E41:H42 F39:F40 J31:K31 G14:J18 K3:M11 L14:N18 L20:N22" xr:uid="{00000000-0002-0000-0800-000000000000}">
      <formula1>#REF!</formula1>
    </dataValidation>
  </dataValidations>
  <hyperlinks>
    <hyperlink ref="C7" r:id="rId1" display="https://www.calendarlabs.com/holidays/india/maha-shivratri.php" xr:uid="{00000000-0004-0000-0800-000000000000}"/>
    <hyperlink ref="C41" r:id="rId2" display="https://publicholidays.in/christmas/" xr:uid="{00000000-0004-0000-0800-000001000000}"/>
    <hyperlink ref="C22" r:id="rId3" display="https://publicholidays.in/raksha-bandhan/" xr:uid="{00000000-0004-0000-0800-000002000000}"/>
    <hyperlink ref="C13" r:id="rId4" display="https://publicholidays.in/mahavir-jayanti/" xr:uid="{00000000-0004-0000-0800-000003000000}"/>
    <hyperlink ref="C37" r:id="rId5" display="https://publicholidays.in/durga-puja/" xr:uid="{00000000-0004-0000-0800-00000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5BA4-1FFB-4EEE-B2C7-F131048D1F16}">
  <sheetPr>
    <tabColor rgb="FF92D050"/>
  </sheetPr>
  <dimension ref="A1:XEF46"/>
  <sheetViews>
    <sheetView workbookViewId="0">
      <pane xSplit="4" ySplit="2" topLeftCell="E3" activePane="bottomRight" state="frozen"/>
      <selection activeCell="N5" sqref="N5"/>
      <selection pane="topRight" activeCell="N5" sqref="N5"/>
      <selection pane="bottomLeft" activeCell="N5" sqref="N5"/>
      <selection pane="bottomRight" activeCell="D22" sqref="D22"/>
    </sheetView>
  </sheetViews>
  <sheetFormatPr defaultColWidth="9.453125" defaultRowHeight="14.5" x14ac:dyDescent="0.35"/>
  <cols>
    <col min="1" max="1" width="5.7265625" style="25" bestFit="1" customWidth="1"/>
    <col min="2" max="2" width="11.81640625" style="25" bestFit="1" customWidth="1"/>
    <col min="3" max="3" width="54.81640625" style="25" bestFit="1" customWidth="1"/>
    <col min="4" max="4" width="10.1796875" style="25" bestFit="1" customWidth="1"/>
    <col min="5" max="6" width="8.7265625" style="25" bestFit="1" customWidth="1"/>
    <col min="7" max="7" width="9.7265625" style="25" bestFit="1" customWidth="1"/>
    <col min="8" max="8" width="8.81640625" bestFit="1" customWidth="1"/>
    <col min="9" max="9" width="13" style="25" customWidth="1"/>
    <col min="10" max="10" width="10.81640625" style="25" bestFit="1" customWidth="1"/>
    <col min="11" max="11" width="7.26953125" style="3" bestFit="1" customWidth="1"/>
    <col min="12" max="12" width="11.81640625" style="3" bestFit="1" customWidth="1"/>
    <col min="13" max="16359" width="9.453125" style="3"/>
    <col min="16360" max="16360" width="3.54296875" style="3" bestFit="1" customWidth="1"/>
    <col min="16361" max="16384" width="3.54296875" style="3" customWidth="1"/>
  </cols>
  <sheetData>
    <row r="1" spans="1:12 16360:16360" ht="1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31" t="s">
        <v>1</v>
      </c>
      <c r="F1" s="131"/>
      <c r="G1" s="131"/>
      <c r="H1" s="132" t="s">
        <v>2</v>
      </c>
      <c r="I1" s="132"/>
      <c r="J1" s="2" t="s">
        <v>3</v>
      </c>
      <c r="K1" s="134" t="s">
        <v>4</v>
      </c>
      <c r="L1" s="134"/>
    </row>
    <row r="2" spans="1:12 16360:16360" ht="12.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11</v>
      </c>
      <c r="G2" s="4" t="s">
        <v>12</v>
      </c>
      <c r="H2" s="4" t="s">
        <v>13</v>
      </c>
      <c r="I2" s="4" t="s">
        <v>19</v>
      </c>
      <c r="J2" s="4" t="s">
        <v>21</v>
      </c>
      <c r="K2" s="4" t="s">
        <v>23</v>
      </c>
      <c r="L2" s="4" t="s">
        <v>25</v>
      </c>
      <c r="XEF2" s="3" t="s">
        <v>26</v>
      </c>
    </row>
    <row r="3" spans="1:12 16360:16360" ht="12.5" x14ac:dyDescent="0.3">
      <c r="A3" s="5">
        <v>1</v>
      </c>
      <c r="B3" s="6">
        <v>45658</v>
      </c>
      <c r="C3" s="7" t="s">
        <v>27</v>
      </c>
      <c r="D3" s="7" t="str">
        <f t="shared" ref="D3:D41" si="0">TEXT(B3,"ddddddd")</f>
        <v>Wednesday</v>
      </c>
      <c r="E3" s="9" t="s">
        <v>26</v>
      </c>
      <c r="F3" s="9" t="s">
        <v>26</v>
      </c>
      <c r="G3" s="9" t="s">
        <v>26</v>
      </c>
      <c r="H3" s="9" t="s">
        <v>26</v>
      </c>
      <c r="I3" s="9" t="s">
        <v>26</v>
      </c>
      <c r="J3" s="9" t="s">
        <v>26</v>
      </c>
      <c r="K3" s="9" t="s">
        <v>26</v>
      </c>
      <c r="L3" s="9" t="s">
        <v>26</v>
      </c>
    </row>
    <row r="4" spans="1:12 16360:16360" ht="12.5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9" t="s">
        <v>26</v>
      </c>
      <c r="F4" s="9" t="s">
        <v>26</v>
      </c>
      <c r="G4" s="9" t="s">
        <v>26</v>
      </c>
      <c r="H4" s="9"/>
      <c r="I4" s="9"/>
      <c r="J4" s="9"/>
      <c r="K4" s="9"/>
      <c r="L4" s="9"/>
    </row>
    <row r="5" spans="1:12 16360:16360" ht="10.5" customHeight="1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11"/>
      <c r="F5" s="11"/>
      <c r="G5" s="11"/>
      <c r="H5" s="9"/>
      <c r="I5" s="9"/>
      <c r="J5" s="9"/>
      <c r="K5" s="9"/>
      <c r="L5" s="9"/>
    </row>
    <row r="6" spans="1:12 16360:16360" ht="12.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31" t="s">
        <v>26</v>
      </c>
      <c r="F6" s="31" t="s">
        <v>26</v>
      </c>
      <c r="G6" s="31" t="s">
        <v>26</v>
      </c>
      <c r="H6" s="31" t="s">
        <v>26</v>
      </c>
      <c r="I6" s="31" t="s">
        <v>26</v>
      </c>
      <c r="J6" s="31" t="s">
        <v>26</v>
      </c>
      <c r="K6" s="31" t="s">
        <v>26</v>
      </c>
      <c r="L6" s="31" t="s">
        <v>26</v>
      </c>
    </row>
    <row r="7" spans="1:12 16360:16360" ht="12.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9" t="s">
        <v>26</v>
      </c>
      <c r="F7" s="9" t="s">
        <v>26</v>
      </c>
      <c r="G7" s="9"/>
      <c r="H7" s="9" t="s">
        <v>26</v>
      </c>
      <c r="I7" s="9"/>
      <c r="J7" s="9"/>
      <c r="K7" s="9" t="s">
        <v>26</v>
      </c>
      <c r="L7" s="11"/>
    </row>
    <row r="8" spans="1:12 16360:16360" ht="12.5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9" t="s">
        <v>26</v>
      </c>
      <c r="F8" s="9"/>
      <c r="G8" s="9"/>
      <c r="H8" s="9" t="s">
        <v>26</v>
      </c>
      <c r="I8" s="9"/>
      <c r="J8" s="9" t="s">
        <v>26</v>
      </c>
      <c r="K8" s="9" t="s">
        <v>26</v>
      </c>
      <c r="L8" s="9" t="s">
        <v>26</v>
      </c>
    </row>
    <row r="9" spans="1:12 16360:16360" ht="12.5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9"/>
      <c r="F9" s="9"/>
      <c r="G9" s="9"/>
      <c r="H9" s="9"/>
      <c r="I9" s="9"/>
      <c r="J9" s="9"/>
      <c r="K9" s="9"/>
      <c r="L9" s="9"/>
    </row>
    <row r="10" spans="1:12 16360:16360" ht="12.5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9"/>
      <c r="F10" s="9"/>
      <c r="G10" s="9"/>
      <c r="H10" s="9"/>
      <c r="I10" s="9"/>
      <c r="J10" s="9"/>
      <c r="K10" s="9"/>
      <c r="L10" s="9"/>
    </row>
    <row r="11" spans="1:12 16360:16360" ht="12.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/>
    </row>
    <row r="12" spans="1:12 16360:16360" ht="12.5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9"/>
      <c r="F12" s="11"/>
      <c r="G12" s="11"/>
      <c r="H12" s="11"/>
      <c r="I12" s="11"/>
      <c r="J12" s="11"/>
      <c r="K12" s="9"/>
      <c r="L12" s="9" t="s">
        <v>26</v>
      </c>
    </row>
    <row r="13" spans="1:12 16360:16360" ht="12.5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9"/>
      <c r="F13" s="11"/>
      <c r="G13" s="11"/>
      <c r="H13" s="11"/>
      <c r="I13" s="11"/>
      <c r="J13" s="11"/>
      <c r="K13" s="11"/>
      <c r="L13" s="9"/>
    </row>
    <row r="14" spans="1:12 16360:16360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E14" s="9"/>
      <c r="F14" s="9"/>
      <c r="G14" s="9" t="s">
        <v>26</v>
      </c>
      <c r="H14" s="9"/>
      <c r="I14" s="9"/>
      <c r="J14" s="9"/>
      <c r="K14" s="9" t="s">
        <v>26</v>
      </c>
      <c r="L14" s="9" t="s">
        <v>26</v>
      </c>
    </row>
    <row r="15" spans="1:12 16360:16360" ht="12.5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9"/>
      <c r="F15" s="9"/>
      <c r="G15" s="9"/>
      <c r="H15" s="9"/>
      <c r="I15" s="9" t="s">
        <v>26</v>
      </c>
      <c r="J15" s="9"/>
      <c r="K15" s="9"/>
      <c r="L15" s="9"/>
    </row>
    <row r="16" spans="1:12 16360:16360" ht="12.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9" t="s">
        <v>26</v>
      </c>
      <c r="F16" s="9"/>
      <c r="G16" s="9"/>
      <c r="H16" s="9" t="s">
        <v>26</v>
      </c>
      <c r="I16" s="9" t="s">
        <v>26</v>
      </c>
      <c r="J16" s="9" t="s">
        <v>26</v>
      </c>
      <c r="K16" s="9"/>
      <c r="L16" s="9"/>
    </row>
    <row r="17" spans="1:12" ht="12.5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E17" s="9"/>
      <c r="F17" s="9" t="s">
        <v>26</v>
      </c>
      <c r="G17" s="9" t="s">
        <v>26</v>
      </c>
      <c r="H17" s="9"/>
      <c r="I17" s="9" t="s">
        <v>26</v>
      </c>
      <c r="J17" s="9" t="s">
        <v>26</v>
      </c>
      <c r="K17" s="9" t="s">
        <v>26</v>
      </c>
      <c r="L17" s="9"/>
    </row>
    <row r="18" spans="1:12" ht="12.5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15"/>
      <c r="F18" s="15"/>
      <c r="G18" s="15"/>
      <c r="H18" s="9"/>
      <c r="I18" s="9" t="s">
        <v>26</v>
      </c>
      <c r="J18" s="15"/>
      <c r="K18" s="15"/>
      <c r="L18" s="9" t="s">
        <v>26</v>
      </c>
    </row>
    <row r="19" spans="1:12" ht="12.5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11"/>
      <c r="F19" s="9"/>
      <c r="G19" s="11"/>
      <c r="H19" s="9"/>
      <c r="I19" s="9"/>
      <c r="J19" s="9"/>
      <c r="K19" s="9"/>
      <c r="L19" s="9"/>
    </row>
    <row r="20" spans="1:12" ht="12.5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9"/>
      <c r="F20" s="9"/>
      <c r="G20" s="9"/>
      <c r="H20" s="9"/>
      <c r="I20" s="9"/>
      <c r="J20" s="9"/>
      <c r="K20" s="9"/>
      <c r="L20" s="9"/>
    </row>
    <row r="21" spans="1:12" ht="12.5" x14ac:dyDescent="0.3">
      <c r="A21" s="7">
        <v>19</v>
      </c>
      <c r="B21" s="6">
        <v>45835</v>
      </c>
      <c r="C21" s="19" t="s">
        <v>43</v>
      </c>
      <c r="D21" s="20" t="str">
        <f t="shared" si="0"/>
        <v>Friday</v>
      </c>
      <c r="E21" s="9"/>
      <c r="F21" s="9"/>
      <c r="G21" s="9"/>
      <c r="H21" s="9"/>
      <c r="I21" s="9"/>
      <c r="J21" s="9"/>
      <c r="K21" s="9"/>
      <c r="L21" s="9"/>
    </row>
    <row r="22" spans="1:12" ht="12.5" x14ac:dyDescent="0.3">
      <c r="A22" s="5">
        <v>20</v>
      </c>
      <c r="B22" s="6">
        <v>45878</v>
      </c>
      <c r="C22" s="7" t="s">
        <v>44</v>
      </c>
      <c r="D22" s="7" t="str">
        <f t="shared" si="0"/>
        <v>Saturday</v>
      </c>
      <c r="E22" s="9"/>
      <c r="F22" s="9"/>
      <c r="G22" s="9"/>
      <c r="H22" s="9"/>
      <c r="I22" s="9"/>
      <c r="J22" s="9" t="s">
        <v>26</v>
      </c>
      <c r="K22" s="9"/>
      <c r="L22" s="9"/>
    </row>
    <row r="23" spans="1:12" ht="12.5" x14ac:dyDescent="0.3">
      <c r="A23" s="5">
        <v>21</v>
      </c>
      <c r="B23" s="6">
        <v>45882</v>
      </c>
      <c r="C23" s="7" t="s">
        <v>45</v>
      </c>
      <c r="D23" s="7" t="str">
        <f t="shared" si="0"/>
        <v>Wednesday</v>
      </c>
      <c r="E23" s="9"/>
      <c r="F23" s="9"/>
      <c r="G23" s="9"/>
      <c r="H23" s="9"/>
      <c r="I23" s="9"/>
      <c r="J23" s="9"/>
      <c r="K23" s="9"/>
      <c r="L23" s="9"/>
    </row>
    <row r="24" spans="1:12" ht="12.5" x14ac:dyDescent="0.3">
      <c r="A24" s="5">
        <v>22</v>
      </c>
      <c r="B24" s="6">
        <v>45884</v>
      </c>
      <c r="C24" s="7" t="s">
        <v>46</v>
      </c>
      <c r="D24" s="7" t="str">
        <f t="shared" si="0"/>
        <v>Friday</v>
      </c>
      <c r="E24" s="9" t="s">
        <v>26</v>
      </c>
      <c r="F24" s="9" t="s">
        <v>26</v>
      </c>
      <c r="G24" s="9" t="s">
        <v>26</v>
      </c>
      <c r="H24" s="9" t="s">
        <v>26</v>
      </c>
      <c r="I24" s="9" t="s">
        <v>26</v>
      </c>
      <c r="J24" s="9" t="s">
        <v>26</v>
      </c>
      <c r="K24" s="9" t="s">
        <v>26</v>
      </c>
      <c r="L24" s="9" t="s">
        <v>26</v>
      </c>
    </row>
    <row r="25" spans="1:12" ht="12.5" x14ac:dyDescent="0.3">
      <c r="A25" s="5">
        <v>23</v>
      </c>
      <c r="B25" s="6">
        <v>45896</v>
      </c>
      <c r="C25" s="7" t="s">
        <v>47</v>
      </c>
      <c r="D25" s="7" t="str">
        <f t="shared" si="0"/>
        <v>Wednesday</v>
      </c>
      <c r="E25" s="9" t="s">
        <v>26</v>
      </c>
      <c r="F25" s="9" t="s">
        <v>26</v>
      </c>
      <c r="G25" s="9" t="s">
        <v>26</v>
      </c>
      <c r="H25" s="9"/>
      <c r="I25" s="9"/>
      <c r="J25" s="9" t="s">
        <v>26</v>
      </c>
      <c r="K25" s="9"/>
      <c r="L25" s="9"/>
    </row>
    <row r="26" spans="1:12" ht="12.5" x14ac:dyDescent="0.3">
      <c r="A26" s="5">
        <v>24</v>
      </c>
      <c r="B26" s="6">
        <v>45897</v>
      </c>
      <c r="C26" s="7" t="s">
        <v>48</v>
      </c>
      <c r="D26" s="7" t="str">
        <f t="shared" si="0"/>
        <v>Thursday</v>
      </c>
      <c r="E26" s="9"/>
      <c r="F26" s="9"/>
      <c r="G26" s="9"/>
      <c r="H26" s="9"/>
      <c r="I26" s="9"/>
      <c r="J26" s="9"/>
      <c r="K26" s="9"/>
      <c r="L26" s="9"/>
    </row>
    <row r="27" spans="1:12" ht="12.5" x14ac:dyDescent="0.3">
      <c r="A27" s="5">
        <v>25</v>
      </c>
      <c r="B27" s="6">
        <v>45904</v>
      </c>
      <c r="C27" s="7" t="s">
        <v>49</v>
      </c>
      <c r="D27" s="7" t="str">
        <f t="shared" si="0"/>
        <v>Thursday</v>
      </c>
      <c r="E27" s="15"/>
      <c r="F27" s="15"/>
      <c r="G27" s="15"/>
      <c r="H27" s="15"/>
      <c r="I27" s="15"/>
      <c r="J27" s="15"/>
      <c r="K27" s="15"/>
      <c r="L27" s="15"/>
    </row>
    <row r="28" spans="1:12" ht="12.5" x14ac:dyDescent="0.3">
      <c r="A28" s="5">
        <v>26</v>
      </c>
      <c r="B28" s="6">
        <v>45905</v>
      </c>
      <c r="C28" s="7" t="s">
        <v>50</v>
      </c>
      <c r="D28" s="7" t="str">
        <f t="shared" si="0"/>
        <v>Friday</v>
      </c>
      <c r="E28" s="15"/>
      <c r="F28" s="15"/>
      <c r="G28" s="15"/>
      <c r="H28" s="15"/>
      <c r="I28" s="15"/>
      <c r="J28" s="15"/>
      <c r="K28" s="9"/>
      <c r="L28" s="15"/>
    </row>
    <row r="29" spans="1:12" ht="12.5" x14ac:dyDescent="0.3">
      <c r="A29" s="7">
        <v>27</v>
      </c>
      <c r="B29" s="6">
        <v>45930</v>
      </c>
      <c r="C29" s="21" t="s">
        <v>51</v>
      </c>
      <c r="D29" s="7" t="str">
        <f t="shared" si="0"/>
        <v>Tuesday</v>
      </c>
      <c r="E29" s="15"/>
      <c r="F29" s="15"/>
      <c r="G29" s="15"/>
      <c r="H29" s="9" t="s">
        <v>26</v>
      </c>
      <c r="I29" s="9" t="s">
        <v>26</v>
      </c>
      <c r="J29" s="15"/>
      <c r="K29" s="9"/>
      <c r="L29" s="15"/>
    </row>
    <row r="30" spans="1:12" ht="12.5" x14ac:dyDescent="0.3">
      <c r="A30" s="5">
        <v>28</v>
      </c>
      <c r="B30" s="6">
        <v>45931</v>
      </c>
      <c r="C30" s="7" t="s">
        <v>52</v>
      </c>
      <c r="D30" s="7" t="str">
        <f t="shared" si="0"/>
        <v>Wednesday</v>
      </c>
      <c r="E30" s="9"/>
      <c r="F30" s="15"/>
      <c r="G30" s="9" t="s">
        <v>26</v>
      </c>
      <c r="H30" s="15"/>
      <c r="I30" s="15"/>
      <c r="J30" s="15"/>
      <c r="K30" s="15"/>
      <c r="L30" s="15"/>
    </row>
    <row r="31" spans="1:12" ht="12.5" x14ac:dyDescent="0.3">
      <c r="A31" s="5">
        <v>29</v>
      </c>
      <c r="B31" s="6">
        <v>45932</v>
      </c>
      <c r="C31" s="7" t="s">
        <v>53</v>
      </c>
      <c r="D31" s="7" t="str">
        <f t="shared" si="0"/>
        <v>Thursday</v>
      </c>
      <c r="E31" s="9" t="s">
        <v>26</v>
      </c>
      <c r="F31" s="9" t="s">
        <v>26</v>
      </c>
      <c r="G31" s="9" t="s">
        <v>26</v>
      </c>
      <c r="H31" s="9" t="s">
        <v>26</v>
      </c>
      <c r="I31" s="9" t="s">
        <v>26</v>
      </c>
      <c r="J31" s="9" t="s">
        <v>26</v>
      </c>
      <c r="K31" s="9" t="s">
        <v>26</v>
      </c>
      <c r="L31" s="9" t="s">
        <v>26</v>
      </c>
    </row>
    <row r="32" spans="1:12" ht="12.5" x14ac:dyDescent="0.3">
      <c r="A32" s="5">
        <v>30</v>
      </c>
      <c r="B32" s="6">
        <v>45950</v>
      </c>
      <c r="C32" s="7" t="s">
        <v>54</v>
      </c>
      <c r="D32" s="7" t="str">
        <f t="shared" si="0"/>
        <v>Monday</v>
      </c>
      <c r="E32" s="15" t="s">
        <v>26</v>
      </c>
      <c r="F32" s="9"/>
      <c r="G32" s="9" t="s">
        <v>26</v>
      </c>
      <c r="H32" s="9" t="s">
        <v>26</v>
      </c>
      <c r="I32" s="9" t="s">
        <v>26</v>
      </c>
      <c r="J32" s="9"/>
      <c r="K32" s="9"/>
      <c r="L32" s="11"/>
    </row>
    <row r="33" spans="1:12" ht="12.5" x14ac:dyDescent="0.3">
      <c r="A33" s="5">
        <v>31</v>
      </c>
      <c r="B33" s="6">
        <v>45951</v>
      </c>
      <c r="C33" s="7" t="s">
        <v>54</v>
      </c>
      <c r="D33" s="7" t="str">
        <f t="shared" si="0"/>
        <v>Tuesday</v>
      </c>
      <c r="E33" s="11"/>
      <c r="F33" s="11"/>
      <c r="G33" s="11"/>
      <c r="H33" s="11"/>
      <c r="I33" s="9"/>
      <c r="J33" s="9" t="s">
        <v>26</v>
      </c>
      <c r="K33" s="9" t="s">
        <v>26</v>
      </c>
      <c r="L33" s="9" t="s">
        <v>26</v>
      </c>
    </row>
    <row r="34" spans="1:12" ht="12.5" x14ac:dyDescent="0.3">
      <c r="A34" s="5">
        <v>32</v>
      </c>
      <c r="B34" s="6">
        <v>45952</v>
      </c>
      <c r="C34" s="7" t="s">
        <v>55</v>
      </c>
      <c r="D34" s="7" t="str">
        <f t="shared" si="0"/>
        <v>Wednesday</v>
      </c>
      <c r="E34" s="11"/>
      <c r="F34" s="15" t="s">
        <v>26</v>
      </c>
      <c r="G34" s="9"/>
      <c r="H34" s="11"/>
      <c r="I34" s="9"/>
      <c r="J34" s="9"/>
      <c r="K34" s="9"/>
      <c r="L34" s="9"/>
    </row>
    <row r="35" spans="1:12" ht="12.5" x14ac:dyDescent="0.3">
      <c r="A35" s="7">
        <v>33</v>
      </c>
      <c r="B35" s="6">
        <v>45957</v>
      </c>
      <c r="C35" s="19" t="s">
        <v>56</v>
      </c>
      <c r="D35" s="7" t="str">
        <f t="shared" si="0"/>
        <v>Monday</v>
      </c>
      <c r="E35" s="11"/>
      <c r="F35" s="15"/>
      <c r="G35" s="9"/>
      <c r="H35" s="9" t="s">
        <v>26</v>
      </c>
      <c r="I35" s="9"/>
      <c r="J35" s="9"/>
      <c r="K35" s="9"/>
      <c r="L35" s="9"/>
    </row>
    <row r="36" spans="1:12" ht="12.5" x14ac:dyDescent="0.3">
      <c r="A36" s="5">
        <v>34</v>
      </c>
      <c r="B36" s="6">
        <v>45958</v>
      </c>
      <c r="C36" s="19" t="s">
        <v>56</v>
      </c>
      <c r="D36" s="7" t="str">
        <f t="shared" si="0"/>
        <v>Tuesday</v>
      </c>
      <c r="E36" s="11"/>
      <c r="F36" s="15"/>
      <c r="G36" s="9"/>
      <c r="H36" s="9"/>
      <c r="I36" s="9"/>
      <c r="J36" s="9"/>
      <c r="K36" s="9"/>
      <c r="L36" s="9" t="s">
        <v>26</v>
      </c>
    </row>
    <row r="37" spans="1:12" ht="12.5" x14ac:dyDescent="0.3">
      <c r="A37" s="7">
        <v>35</v>
      </c>
      <c r="B37" s="6">
        <v>45959</v>
      </c>
      <c r="C37" s="7" t="s">
        <v>57</v>
      </c>
      <c r="D37" s="7" t="str">
        <f t="shared" si="0"/>
        <v>Wednesday</v>
      </c>
      <c r="E37" s="11"/>
      <c r="F37" s="15"/>
      <c r="G37" s="9"/>
      <c r="H37" s="11"/>
      <c r="I37" s="9"/>
      <c r="J37" s="9"/>
      <c r="K37" s="9"/>
      <c r="L37" s="9"/>
    </row>
    <row r="38" spans="1:12" ht="12.5" x14ac:dyDescent="0.3">
      <c r="A38" s="5">
        <v>36</v>
      </c>
      <c r="B38" s="6">
        <v>45962</v>
      </c>
      <c r="C38" s="7" t="s">
        <v>58</v>
      </c>
      <c r="D38" s="4" t="str">
        <f t="shared" si="0"/>
        <v>Saturday</v>
      </c>
      <c r="E38" s="15"/>
      <c r="F38" s="15" t="s">
        <v>26</v>
      </c>
      <c r="G38" s="15"/>
      <c r="H38" s="15"/>
      <c r="I38" s="15"/>
      <c r="J38" s="15"/>
      <c r="K38" s="15"/>
      <c r="L38" s="15"/>
    </row>
    <row r="39" spans="1:12" ht="12.5" x14ac:dyDescent="0.3">
      <c r="A39" s="7">
        <v>37</v>
      </c>
      <c r="B39" s="6">
        <v>45966</v>
      </c>
      <c r="C39" s="7" t="s">
        <v>59</v>
      </c>
      <c r="D39" s="7" t="str">
        <f t="shared" si="0"/>
        <v>Wednesday</v>
      </c>
      <c r="E39" s="11"/>
      <c r="F39" s="9"/>
      <c r="G39" s="11"/>
      <c r="H39" s="9"/>
      <c r="I39" s="9"/>
      <c r="J39" s="9"/>
      <c r="K39" s="9" t="s">
        <v>26</v>
      </c>
      <c r="L39" s="9" t="s">
        <v>26</v>
      </c>
    </row>
    <row r="40" spans="1:12" ht="12.5" x14ac:dyDescent="0.3">
      <c r="A40" s="5">
        <v>38</v>
      </c>
      <c r="B40" s="6">
        <v>46010</v>
      </c>
      <c r="C40" s="7" t="s">
        <v>60</v>
      </c>
      <c r="D40" s="7" t="str">
        <f t="shared" si="0"/>
        <v>Friday</v>
      </c>
      <c r="E40" s="11"/>
      <c r="F40" s="9"/>
      <c r="G40" s="11"/>
      <c r="H40" s="9"/>
      <c r="I40" s="9"/>
      <c r="J40" s="9"/>
      <c r="K40" s="9"/>
      <c r="L40" s="9"/>
    </row>
    <row r="41" spans="1:12" ht="12.5" x14ac:dyDescent="0.3">
      <c r="A41" s="7">
        <v>39</v>
      </c>
      <c r="B41" s="6">
        <v>46016</v>
      </c>
      <c r="C41" s="7" t="s">
        <v>61</v>
      </c>
      <c r="D41" s="7" t="str">
        <f t="shared" si="0"/>
        <v>Thursday</v>
      </c>
      <c r="E41" s="9" t="s">
        <v>26</v>
      </c>
      <c r="F41" s="9" t="s">
        <v>26</v>
      </c>
      <c r="G41" s="9" t="s">
        <v>26</v>
      </c>
      <c r="H41" s="9" t="s">
        <v>26</v>
      </c>
      <c r="I41" s="9" t="s">
        <v>26</v>
      </c>
      <c r="J41" s="9" t="s">
        <v>26</v>
      </c>
      <c r="K41" s="9" t="s">
        <v>26</v>
      </c>
      <c r="L41" s="9" t="s">
        <v>26</v>
      </c>
    </row>
    <row r="42" spans="1:12" ht="12.5" x14ac:dyDescent="0.3">
      <c r="A42" s="5"/>
      <c r="B42" s="6"/>
      <c r="C42" s="7"/>
      <c r="D42" s="22"/>
      <c r="E42" s="15"/>
      <c r="F42" s="15"/>
      <c r="G42" s="15"/>
      <c r="H42" s="15"/>
      <c r="I42" s="15"/>
      <c r="J42" s="15"/>
      <c r="K42" s="15"/>
      <c r="L42" s="15"/>
    </row>
    <row r="43" spans="1:12" ht="12.5" x14ac:dyDescent="0.3">
      <c r="A43" s="23"/>
      <c r="B43" s="23"/>
      <c r="C43" s="23"/>
      <c r="D43" s="23"/>
      <c r="E43" s="15"/>
      <c r="F43" s="15"/>
      <c r="G43" s="15"/>
      <c r="H43" s="15"/>
      <c r="I43" s="15"/>
      <c r="J43" s="15"/>
      <c r="K43" s="15"/>
      <c r="L43" s="15"/>
    </row>
    <row r="44" spans="1:12" ht="12.5" x14ac:dyDescent="0.3">
      <c r="A44" s="106" t="s">
        <v>62</v>
      </c>
      <c r="B44" s="106"/>
      <c r="C44" s="106"/>
      <c r="D44" s="106"/>
      <c r="E44" s="26">
        <f t="shared" ref="E44:L44" si="1">COUNTIFS(E3:E42,"Yes")</f>
        <v>12</v>
      </c>
      <c r="F44" s="26">
        <f t="shared" si="1"/>
        <v>12</v>
      </c>
      <c r="G44" s="26">
        <f t="shared" si="1"/>
        <v>12</v>
      </c>
      <c r="H44" s="26">
        <f t="shared" si="1"/>
        <v>12</v>
      </c>
      <c r="I44" s="26">
        <f t="shared" si="1"/>
        <v>12</v>
      </c>
      <c r="J44" s="26">
        <f t="shared" si="1"/>
        <v>12</v>
      </c>
      <c r="K44" s="26">
        <f t="shared" si="1"/>
        <v>12</v>
      </c>
      <c r="L44" s="26">
        <f t="shared" si="1"/>
        <v>12</v>
      </c>
    </row>
    <row r="45" spans="1:12" ht="12.5" x14ac:dyDescent="0.3">
      <c r="D45" s="25" t="s">
        <v>63</v>
      </c>
      <c r="E45" s="25">
        <f t="shared" ref="E45:L45" si="2">COUNTIFS(E3:E42,"Yes",$D$3:$D$42,$D$45)</f>
        <v>1</v>
      </c>
      <c r="F45" s="25">
        <f t="shared" si="2"/>
        <v>1</v>
      </c>
      <c r="G45" s="25">
        <f t="shared" si="2"/>
        <v>1</v>
      </c>
      <c r="H45" s="25">
        <f t="shared" si="2"/>
        <v>1</v>
      </c>
      <c r="I45" s="25">
        <f t="shared" si="2"/>
        <v>1</v>
      </c>
      <c r="J45" s="25">
        <f t="shared" si="2"/>
        <v>1</v>
      </c>
      <c r="K45" s="25">
        <f t="shared" si="2"/>
        <v>1</v>
      </c>
      <c r="L45" s="25">
        <f t="shared" si="2"/>
        <v>1</v>
      </c>
    </row>
    <row r="46" spans="1:12" ht="12.5" x14ac:dyDescent="0.3">
      <c r="D46" s="25" t="s">
        <v>64</v>
      </c>
      <c r="E46" s="25">
        <f t="shared" ref="E46:L46" si="3">COUNTIFS(E3:E42,"Yes",$D$3:$D$42,$D$46)</f>
        <v>0</v>
      </c>
      <c r="F46" s="25">
        <f t="shared" si="3"/>
        <v>1</v>
      </c>
      <c r="G46" s="25">
        <f t="shared" si="3"/>
        <v>0</v>
      </c>
      <c r="H46" s="25">
        <f t="shared" si="3"/>
        <v>0</v>
      </c>
      <c r="I46" s="25">
        <f t="shared" si="3"/>
        <v>0</v>
      </c>
      <c r="J46" s="25">
        <f t="shared" si="3"/>
        <v>1</v>
      </c>
      <c r="K46" s="25">
        <f t="shared" si="3"/>
        <v>0</v>
      </c>
      <c r="L46" s="25">
        <f t="shared" si="3"/>
        <v>0</v>
      </c>
    </row>
  </sheetData>
  <autoFilter ref="A2:XDW40" xr:uid="{00000000-0009-0000-0000-00000C000000}"/>
  <mergeCells count="4">
    <mergeCell ref="K1:L1"/>
    <mergeCell ref="A44:D44"/>
    <mergeCell ref="E1:G1"/>
    <mergeCell ref="H1:I1"/>
  </mergeCells>
  <conditionalFormatting sqref="E6:E18">
    <cfRule type="cellIs" dxfId="146" priority="13" operator="equal">
      <formula>"Yes"</formula>
    </cfRule>
  </conditionalFormatting>
  <conditionalFormatting sqref="E20:E32">
    <cfRule type="cellIs" dxfId="145" priority="99" operator="equal">
      <formula>"Yes"</formula>
    </cfRule>
  </conditionalFormatting>
  <conditionalFormatting sqref="E38">
    <cfRule type="cellIs" dxfId="144" priority="107" operator="equal">
      <formula>"Yes"</formula>
    </cfRule>
  </conditionalFormatting>
  <conditionalFormatting sqref="E41:E42">
    <cfRule type="cellIs" dxfId="143" priority="106" operator="equal">
      <formula>"Yes"</formula>
    </cfRule>
  </conditionalFormatting>
  <conditionalFormatting sqref="E3:G4">
    <cfRule type="cellIs" dxfId="142" priority="4" operator="equal">
      <formula>"Yes"</formula>
    </cfRule>
  </conditionalFormatting>
  <conditionalFormatting sqref="F14:F32">
    <cfRule type="cellIs" dxfId="141" priority="86" operator="equal">
      <formula>"Yes"</formula>
    </cfRule>
  </conditionalFormatting>
  <conditionalFormatting sqref="F34:F42">
    <cfRule type="cellIs" dxfId="140" priority="94" operator="equal">
      <formula>"Yes"</formula>
    </cfRule>
  </conditionalFormatting>
  <conditionalFormatting sqref="F6:G11">
    <cfRule type="cellIs" dxfId="139" priority="75" operator="equal">
      <formula>"Yes"</formula>
    </cfRule>
  </conditionalFormatting>
  <conditionalFormatting sqref="G14:G18">
    <cfRule type="cellIs" dxfId="138" priority="76" operator="equal">
      <formula>"Yes"</formula>
    </cfRule>
  </conditionalFormatting>
  <conditionalFormatting sqref="G20:G32">
    <cfRule type="cellIs" dxfId="137" priority="74" operator="equal">
      <formula>"Yes"</formula>
    </cfRule>
  </conditionalFormatting>
  <conditionalFormatting sqref="G34:G38">
    <cfRule type="cellIs" dxfId="136" priority="79" operator="equal">
      <formula>"Yes"</formula>
    </cfRule>
  </conditionalFormatting>
  <conditionalFormatting sqref="G41:G42">
    <cfRule type="cellIs" dxfId="135" priority="80" operator="equal">
      <formula>"Yes"</formula>
    </cfRule>
  </conditionalFormatting>
  <conditionalFormatting sqref="H14:H32">
    <cfRule type="cellIs" dxfId="134" priority="18" operator="equal">
      <formula>"Yes"</formula>
    </cfRule>
  </conditionalFormatting>
  <conditionalFormatting sqref="H35:H36">
    <cfRule type="cellIs" dxfId="133" priority="19" operator="equal">
      <formula>"Yes"</formula>
    </cfRule>
  </conditionalFormatting>
  <conditionalFormatting sqref="H38:H42">
    <cfRule type="cellIs" dxfId="132" priority="71" operator="equal">
      <formula>"Yes"</formula>
    </cfRule>
  </conditionalFormatting>
  <conditionalFormatting sqref="H3:J11">
    <cfRule type="cellIs" dxfId="131" priority="6" operator="equal">
      <formula>"Yes"</formula>
    </cfRule>
  </conditionalFormatting>
  <conditionalFormatting sqref="I14:I42">
    <cfRule type="cellIs" dxfId="130" priority="7" operator="equal">
      <formula>"Yes"</formula>
    </cfRule>
  </conditionalFormatting>
  <conditionalFormatting sqref="J14:J41">
    <cfRule type="cellIs" dxfId="129" priority="1" operator="equal">
      <formula>"Yes"</formula>
    </cfRule>
  </conditionalFormatting>
  <conditionalFormatting sqref="K3:K12">
    <cfRule type="cellIs" dxfId="128" priority="3" operator="equal">
      <formula>"Yes"</formula>
    </cfRule>
  </conditionalFormatting>
  <conditionalFormatting sqref="K14:K42">
    <cfRule type="cellIs" dxfId="127" priority="2" operator="equal">
      <formula>"Yes"</formula>
    </cfRule>
  </conditionalFormatting>
  <conditionalFormatting sqref="L3:L6">
    <cfRule type="cellIs" dxfId="126" priority="12" operator="equal">
      <formula>"Yes"</formula>
    </cfRule>
  </conditionalFormatting>
  <conditionalFormatting sqref="L8:L31">
    <cfRule type="cellIs" dxfId="125" priority="21" operator="equal">
      <formula>"Yes"</formula>
    </cfRule>
  </conditionalFormatting>
  <conditionalFormatting sqref="L33:L42">
    <cfRule type="cellIs" dxfId="124" priority="26" operator="equal">
      <formula>"Yes"</formula>
    </cfRule>
  </conditionalFormatting>
  <dataValidations count="1">
    <dataValidation type="list" allowBlank="1" showInputMessage="1" showErrorMessage="1" sqref="H24:H32 J24:J41 L3:L6 L22 K3:K12 L8:L18 L24:L26 E6:E18 L33:L42 H38:H40 H35:H36 G14:H18 F6:G11 G20:G32 F34:G38 F14:F32 E3:G4 E38 E20:E32 I14:I19 E41:H42 F39:F40 I24:I42 K24:K42 L28:L30 J14:K18 H3:J11 J20:K22" xr:uid="{00000000-0002-0000-0C00-000000000000}">
      <formula1>#REF!</formula1>
    </dataValidation>
  </dataValidations>
  <hyperlinks>
    <hyperlink ref="C7" r:id="rId1" display="https://www.calendarlabs.com/holidays/india/maha-shivratri.php" xr:uid="{00000000-0004-0000-0C00-000000000000}"/>
    <hyperlink ref="C41" r:id="rId2" display="https://publicholidays.in/christmas/" xr:uid="{00000000-0004-0000-0C00-000001000000}"/>
    <hyperlink ref="C22" r:id="rId3" display="https://publicholidays.in/raksha-bandhan/" xr:uid="{00000000-0004-0000-0C00-000002000000}"/>
    <hyperlink ref="C13" r:id="rId4" display="https://publicholidays.in/mahavir-jayanti/" xr:uid="{00000000-0004-0000-0C00-000003000000}"/>
    <hyperlink ref="C37" r:id="rId5" display="https://publicholidays.in/durga-puja/" xr:uid="{00000000-0004-0000-0C00-000004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899C-CB15-4A0C-BBF4-255C060CCF22}">
  <sheetPr filterMode="1">
    <tabColor rgb="FFFFFF00"/>
  </sheetPr>
  <dimension ref="A1:XEJ42"/>
  <sheetViews>
    <sheetView workbookViewId="0">
      <selection activeCell="F11" sqref="F11"/>
    </sheetView>
  </sheetViews>
  <sheetFormatPr defaultColWidth="9.453125" defaultRowHeight="14.5" x14ac:dyDescent="0.35"/>
  <cols>
    <col min="1" max="1" width="5.7265625" style="25" bestFit="1" customWidth="1"/>
    <col min="2" max="2" width="11.81640625" style="25" bestFit="1" customWidth="1"/>
    <col min="3" max="3" width="54.81640625" style="25" bestFit="1" customWidth="1"/>
    <col min="4" max="4" width="9.08984375" style="25" bestFit="1" customWidth="1"/>
    <col min="5" max="5" width="12.6328125" style="25" bestFit="1" customWidth="1"/>
    <col min="6" max="6" width="9.90625" style="25" bestFit="1" customWidth="1"/>
    <col min="7" max="7" width="8.7265625" style="25" bestFit="1" customWidth="1"/>
    <col min="8" max="8" width="8.81640625" bestFit="1" customWidth="1"/>
    <col min="9" max="9" width="6.26953125" style="3" bestFit="1" customWidth="1"/>
    <col min="10" max="10" width="10.7265625" style="25" bestFit="1" customWidth="1"/>
    <col min="11" max="11" width="6.7265625" style="25" hidden="1" customWidth="1"/>
    <col min="12" max="12" width="10.81640625" style="25" bestFit="1" customWidth="1"/>
    <col min="13" max="13" width="17.26953125" style="3" hidden="1" customWidth="1"/>
    <col min="14" max="14" width="6.26953125" style="3" hidden="1" customWidth="1"/>
    <col min="15" max="15" width="8.453125" style="3" hidden="1" customWidth="1"/>
    <col min="16" max="16" width="11.81640625" style="3" hidden="1" customWidth="1"/>
    <col min="17" max="16363" width="9.453125" style="3"/>
    <col min="16364" max="16364" width="3.54296875" style="3" bestFit="1" customWidth="1"/>
    <col min="16365" max="16384" width="3.54296875" style="3" customWidth="1"/>
  </cols>
  <sheetData>
    <row r="1" spans="1:16 16364:16364" ht="1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31" t="s">
        <v>1</v>
      </c>
      <c r="F1" s="131"/>
      <c r="G1" s="131"/>
      <c r="H1" s="132" t="s">
        <v>2</v>
      </c>
      <c r="I1" s="132"/>
      <c r="J1" s="132"/>
      <c r="K1" s="133" t="s">
        <v>3</v>
      </c>
      <c r="L1" s="133"/>
      <c r="M1" s="134" t="s">
        <v>4</v>
      </c>
      <c r="N1" s="134"/>
      <c r="O1" s="134"/>
      <c r="P1" s="134"/>
    </row>
    <row r="2" spans="1:16 16364:16364" ht="12.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28" t="s">
        <v>11</v>
      </c>
      <c r="H2" s="28" t="s">
        <v>13</v>
      </c>
      <c r="I2" s="28" t="s">
        <v>18</v>
      </c>
      <c r="J2" s="28" t="s">
        <v>19</v>
      </c>
      <c r="K2" s="4" t="s">
        <v>20</v>
      </c>
      <c r="L2" s="28" t="s">
        <v>65</v>
      </c>
      <c r="M2" s="4" t="s">
        <v>68</v>
      </c>
      <c r="N2" s="4" t="s">
        <v>24</v>
      </c>
      <c r="O2" s="4" t="s">
        <v>67</v>
      </c>
      <c r="P2" s="4" t="s">
        <v>25</v>
      </c>
      <c r="XEJ2" s="3" t="s">
        <v>26</v>
      </c>
    </row>
    <row r="3" spans="1:16 16364:16364" ht="12.5" hidden="1" x14ac:dyDescent="0.3">
      <c r="A3" s="5">
        <v>1</v>
      </c>
      <c r="B3" s="6">
        <v>45658</v>
      </c>
      <c r="C3" s="7" t="s">
        <v>27</v>
      </c>
      <c r="D3" s="7" t="str">
        <f t="shared" ref="D3:D37" si="0">TEXT(B3,"ddddddd")</f>
        <v>Wednesday</v>
      </c>
      <c r="E3" s="10"/>
      <c r="F3" s="9"/>
      <c r="G3" s="9" t="s">
        <v>26</v>
      </c>
      <c r="H3" s="9" t="s">
        <v>26</v>
      </c>
      <c r="I3" s="9" t="s">
        <v>26</v>
      </c>
      <c r="J3" s="9" t="s">
        <v>26</v>
      </c>
      <c r="K3" s="9" t="s">
        <v>26</v>
      </c>
      <c r="L3" s="9" t="s">
        <v>26</v>
      </c>
      <c r="M3" s="9"/>
      <c r="N3" s="9"/>
      <c r="O3" s="9"/>
      <c r="P3" s="9"/>
    </row>
    <row r="4" spans="1:16 16364:16364" ht="12.5" hidden="1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9" t="s">
        <v>26</v>
      </c>
      <c r="F4" s="9"/>
      <c r="G4" s="9" t="s">
        <v>26</v>
      </c>
      <c r="H4" s="9"/>
      <c r="I4" s="9" t="s">
        <v>26</v>
      </c>
      <c r="J4" s="9"/>
      <c r="K4" s="9" t="s">
        <v>26</v>
      </c>
      <c r="L4" s="9"/>
      <c r="M4" s="9"/>
      <c r="N4" s="9"/>
      <c r="O4" s="9"/>
      <c r="P4" s="10" t="s">
        <v>26</v>
      </c>
    </row>
    <row r="5" spans="1:16 16364:16364" ht="12.5" hidden="1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11"/>
      <c r="F5" s="9"/>
      <c r="G5" s="11"/>
      <c r="H5" s="9"/>
      <c r="I5" s="11"/>
      <c r="J5" s="9"/>
      <c r="K5" s="9"/>
      <c r="L5" s="9"/>
      <c r="M5" s="9"/>
      <c r="N5" s="9"/>
      <c r="O5" s="9"/>
      <c r="P5" s="9"/>
    </row>
    <row r="6" spans="1:16 16364:16364" ht="12.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9" t="s">
        <v>26</v>
      </c>
      <c r="F6" s="9" t="s">
        <v>26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26</v>
      </c>
    </row>
    <row r="7" spans="1:16 16364:16364" ht="12.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10" t="s">
        <v>26</v>
      </c>
      <c r="F7" s="9" t="s">
        <v>26</v>
      </c>
      <c r="G7" s="9"/>
      <c r="H7" s="9" t="s">
        <v>26</v>
      </c>
      <c r="I7" s="9"/>
      <c r="J7" s="9"/>
      <c r="K7" s="9"/>
      <c r="L7" s="9"/>
      <c r="M7" s="10" t="s">
        <v>26</v>
      </c>
      <c r="N7" s="10" t="s">
        <v>26</v>
      </c>
      <c r="O7" s="10" t="s">
        <v>26</v>
      </c>
      <c r="P7" s="11"/>
    </row>
    <row r="8" spans="1:16 16364:16364" ht="12.5" hidden="1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9" t="s">
        <v>26</v>
      </c>
      <c r="F8" s="13"/>
      <c r="G8" s="9"/>
      <c r="H8" s="9" t="s">
        <v>26</v>
      </c>
      <c r="I8" s="11"/>
      <c r="J8" s="9"/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</row>
    <row r="9" spans="1:16 16364:16364" ht="12.5" hidden="1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9"/>
      <c r="F9" s="13"/>
      <c r="G9" s="9"/>
      <c r="H9" s="9"/>
      <c r="I9" s="9" t="s">
        <v>26</v>
      </c>
      <c r="J9" s="9"/>
      <c r="K9" s="9"/>
      <c r="L9" s="9"/>
      <c r="M9" s="9"/>
      <c r="N9" s="9"/>
      <c r="O9" s="9"/>
      <c r="P9" s="9"/>
    </row>
    <row r="10" spans="1:16 16364:16364" ht="12.5" hidden="1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 16364:16364" ht="12.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26</v>
      </c>
      <c r="M11" s="9" t="s">
        <v>26</v>
      </c>
      <c r="N11" s="9" t="s">
        <v>26</v>
      </c>
      <c r="O11" s="9" t="s">
        <v>26</v>
      </c>
      <c r="P11" s="9"/>
    </row>
    <row r="12" spans="1:16 16364:16364" ht="12.5" hidden="1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9"/>
      <c r="F12" s="13"/>
      <c r="G12" s="11"/>
      <c r="H12" s="11"/>
      <c r="I12" s="11"/>
      <c r="J12" s="11"/>
      <c r="K12" s="11"/>
      <c r="L12" s="11"/>
      <c r="M12" s="9"/>
      <c r="N12" s="9"/>
      <c r="O12" s="9"/>
      <c r="P12" s="9" t="s">
        <v>26</v>
      </c>
    </row>
    <row r="13" spans="1:16 16364:16364" ht="12.5" hidden="1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9"/>
      <c r="F13" s="13"/>
      <c r="G13" s="11"/>
      <c r="H13" s="11"/>
      <c r="I13" s="11"/>
      <c r="J13" s="11"/>
      <c r="K13" s="11"/>
      <c r="L13" s="11"/>
      <c r="M13" s="9"/>
      <c r="N13" s="10" t="s">
        <v>26</v>
      </c>
      <c r="O13" s="9"/>
      <c r="P13" s="9"/>
    </row>
    <row r="14" spans="1:16 16364:16364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E14" s="9" t="s">
        <v>26</v>
      </c>
      <c r="F14" s="9" t="s">
        <v>26</v>
      </c>
      <c r="G14" s="9" t="s">
        <v>26</v>
      </c>
      <c r="H14" s="10" t="s">
        <v>26</v>
      </c>
      <c r="I14" s="9" t="s">
        <v>26</v>
      </c>
      <c r="J14" s="9" t="s">
        <v>26</v>
      </c>
      <c r="K14" s="9" t="s">
        <v>26</v>
      </c>
      <c r="L14" s="11"/>
      <c r="M14" s="9" t="s">
        <v>26</v>
      </c>
      <c r="N14" s="9" t="s">
        <v>26</v>
      </c>
      <c r="O14" s="9" t="s">
        <v>26</v>
      </c>
      <c r="P14" s="9" t="s">
        <v>26</v>
      </c>
    </row>
    <row r="15" spans="1:16 16364:16364" ht="12.5" hidden="1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9"/>
      <c r="F15" s="9"/>
      <c r="G15" s="9"/>
      <c r="H15" s="10"/>
      <c r="I15" s="9"/>
      <c r="J15" s="9"/>
      <c r="K15" s="9"/>
      <c r="L15" s="9"/>
      <c r="M15" s="9"/>
      <c r="N15" s="9"/>
      <c r="O15" s="9"/>
      <c r="P15" s="9"/>
    </row>
    <row r="16" spans="1:16 16364:16364" ht="12.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10" t="s">
        <v>26</v>
      </c>
      <c r="F16" s="9" t="s">
        <v>26</v>
      </c>
      <c r="G16" s="9"/>
      <c r="H16" s="10"/>
      <c r="I16" s="10"/>
      <c r="J16" s="10"/>
      <c r="K16" s="10" t="s">
        <v>26</v>
      </c>
      <c r="L16" s="10" t="s">
        <v>26</v>
      </c>
      <c r="M16" s="9"/>
      <c r="N16" s="10" t="s">
        <v>26</v>
      </c>
      <c r="O16" s="10" t="s">
        <v>26</v>
      </c>
      <c r="P16" s="10" t="s">
        <v>26</v>
      </c>
    </row>
    <row r="17" spans="1:16" ht="12.5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E17" s="9"/>
      <c r="F17" s="9" t="s">
        <v>26</v>
      </c>
      <c r="G17" s="9" t="s">
        <v>26</v>
      </c>
      <c r="H17" s="9"/>
      <c r="I17" s="9"/>
      <c r="J17" s="9" t="s">
        <v>26</v>
      </c>
      <c r="K17" s="9"/>
      <c r="L17" s="9" t="s">
        <v>26</v>
      </c>
      <c r="M17" s="9"/>
      <c r="N17" s="9"/>
      <c r="O17" s="9"/>
      <c r="P17" s="9"/>
    </row>
    <row r="18" spans="1:16" ht="12.5" hidden="1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15"/>
      <c r="F18" s="16"/>
      <c r="G18" s="15"/>
      <c r="H18" s="9" t="s">
        <v>26</v>
      </c>
      <c r="I18" s="15"/>
      <c r="J18" s="9" t="s">
        <v>26</v>
      </c>
      <c r="K18" s="15"/>
      <c r="L18" s="15"/>
      <c r="M18" s="15" t="s">
        <v>26</v>
      </c>
      <c r="N18" s="15"/>
      <c r="O18" s="15"/>
      <c r="P18" s="9" t="s">
        <v>26</v>
      </c>
    </row>
    <row r="19" spans="1:16" ht="12.5" hidden="1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11"/>
      <c r="F19" s="15"/>
      <c r="G19" s="9"/>
      <c r="H19" s="9"/>
      <c r="I19" s="9"/>
      <c r="J19" s="10" t="s">
        <v>26</v>
      </c>
      <c r="K19" s="9"/>
      <c r="L19" s="9"/>
      <c r="M19" s="9"/>
      <c r="N19" s="9"/>
      <c r="O19" s="11"/>
      <c r="P19" s="9"/>
    </row>
    <row r="20" spans="1:16" ht="12.5" hidden="1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10" t="s">
        <v>26</v>
      </c>
      <c r="F20" s="15"/>
      <c r="G20" s="9"/>
      <c r="H20" s="9"/>
      <c r="I20" s="10" t="s">
        <v>26</v>
      </c>
      <c r="J20" s="9"/>
      <c r="K20" s="9"/>
      <c r="L20" s="9"/>
      <c r="M20" s="10" t="s">
        <v>26</v>
      </c>
      <c r="N20" s="9" t="s">
        <v>26</v>
      </c>
      <c r="O20" s="9" t="s">
        <v>26</v>
      </c>
      <c r="P20" s="9"/>
    </row>
    <row r="21" spans="1:16" ht="12.5" hidden="1" x14ac:dyDescent="0.3">
      <c r="A21" s="5">
        <v>19</v>
      </c>
      <c r="B21" s="6">
        <v>45878</v>
      </c>
      <c r="C21" s="7" t="s">
        <v>44</v>
      </c>
      <c r="D21" s="7" t="str">
        <f t="shared" si="0"/>
        <v>Saturday</v>
      </c>
      <c r="E21" s="10"/>
      <c r="F21" s="15"/>
      <c r="G21" s="9"/>
      <c r="H21" s="9"/>
      <c r="I21" s="9"/>
      <c r="J21" s="9"/>
      <c r="K21" s="10" t="s">
        <v>26</v>
      </c>
      <c r="L21" s="9"/>
      <c r="M21" s="9"/>
      <c r="N21" s="9"/>
      <c r="O21" s="10" t="s">
        <v>26</v>
      </c>
      <c r="P21" s="10" t="s">
        <v>26</v>
      </c>
    </row>
    <row r="22" spans="1:16" ht="12.5" hidden="1" x14ac:dyDescent="0.3">
      <c r="A22" s="5">
        <v>20</v>
      </c>
      <c r="B22" s="6">
        <v>45882</v>
      </c>
      <c r="C22" s="7" t="s">
        <v>45</v>
      </c>
      <c r="D22" s="7" t="str">
        <f t="shared" si="0"/>
        <v>Wednesday</v>
      </c>
      <c r="E22" s="9"/>
      <c r="F22" s="15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2.5" x14ac:dyDescent="0.3">
      <c r="A23" s="5">
        <v>21</v>
      </c>
      <c r="B23" s="6">
        <v>45884</v>
      </c>
      <c r="C23" s="7" t="s">
        <v>46</v>
      </c>
      <c r="D23" s="7" t="str">
        <f t="shared" si="0"/>
        <v>Friday</v>
      </c>
      <c r="E23" s="9" t="s">
        <v>26</v>
      </c>
      <c r="F23" s="9" t="s">
        <v>26</v>
      </c>
      <c r="G23" s="9" t="s">
        <v>26</v>
      </c>
      <c r="H23" s="9" t="s">
        <v>26</v>
      </c>
      <c r="I23" s="9" t="s">
        <v>26</v>
      </c>
      <c r="J23" s="9" t="s">
        <v>26</v>
      </c>
      <c r="K23" s="9" t="s">
        <v>26</v>
      </c>
      <c r="L23" s="9" t="s">
        <v>26</v>
      </c>
      <c r="M23" s="9" t="s">
        <v>26</v>
      </c>
      <c r="N23" s="9" t="s">
        <v>26</v>
      </c>
      <c r="O23" s="9" t="s">
        <v>26</v>
      </c>
      <c r="P23" s="9" t="s">
        <v>26</v>
      </c>
    </row>
    <row r="24" spans="1:16" ht="12.5" hidden="1" x14ac:dyDescent="0.3">
      <c r="A24" s="5">
        <v>22</v>
      </c>
      <c r="B24" s="6">
        <v>45896</v>
      </c>
      <c r="C24" s="7" t="s">
        <v>47</v>
      </c>
      <c r="D24" s="7" t="str">
        <f t="shared" si="0"/>
        <v>Wednesday</v>
      </c>
      <c r="E24" s="9" t="s">
        <v>26</v>
      </c>
      <c r="F24" s="9"/>
      <c r="G24" s="10" t="s">
        <v>26</v>
      </c>
      <c r="H24" s="10"/>
      <c r="I24" s="9"/>
      <c r="J24" s="9"/>
      <c r="K24" s="10" t="s">
        <v>26</v>
      </c>
      <c r="L24" s="9" t="s">
        <v>26</v>
      </c>
      <c r="M24" s="9"/>
      <c r="N24" s="9"/>
      <c r="O24" s="9"/>
      <c r="P24" s="9"/>
    </row>
    <row r="25" spans="1:16" ht="12.5" hidden="1" x14ac:dyDescent="0.3">
      <c r="A25" s="5">
        <v>23</v>
      </c>
      <c r="B25" s="6">
        <v>45897</v>
      </c>
      <c r="C25" s="7" t="s">
        <v>48</v>
      </c>
      <c r="D25" s="7" t="str">
        <f t="shared" si="0"/>
        <v>Thursday</v>
      </c>
      <c r="E25" s="9"/>
      <c r="F25" s="15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2.5" x14ac:dyDescent="0.3">
      <c r="A26" s="5">
        <v>24</v>
      </c>
      <c r="B26" s="6">
        <v>45904</v>
      </c>
      <c r="C26" s="7" t="s">
        <v>49</v>
      </c>
      <c r="D26" s="7" t="str">
        <f t="shared" si="0"/>
        <v>Thursday</v>
      </c>
      <c r="E26" s="15"/>
      <c r="F26" s="15" t="s">
        <v>26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ht="12.5" x14ac:dyDescent="0.3">
      <c r="A27" s="5">
        <v>25</v>
      </c>
      <c r="B27" s="6">
        <v>45905</v>
      </c>
      <c r="C27" s="7" t="s">
        <v>50</v>
      </c>
      <c r="D27" s="7" t="str">
        <f t="shared" si="0"/>
        <v>Friday</v>
      </c>
      <c r="E27" s="15"/>
      <c r="F27" s="15" t="s">
        <v>26</v>
      </c>
      <c r="G27" s="15"/>
      <c r="H27" s="15"/>
      <c r="I27" s="15"/>
      <c r="J27" s="15"/>
      <c r="K27" s="15"/>
      <c r="L27" s="15"/>
      <c r="M27" s="10" t="s">
        <v>26</v>
      </c>
      <c r="N27" s="15"/>
      <c r="O27" s="15"/>
      <c r="P27" s="15"/>
    </row>
    <row r="28" spans="1:16" ht="12.5" x14ac:dyDescent="0.3">
      <c r="A28" s="5">
        <v>26</v>
      </c>
      <c r="B28" s="6">
        <v>45931</v>
      </c>
      <c r="C28" s="7" t="s">
        <v>52</v>
      </c>
      <c r="D28" s="7" t="str">
        <f t="shared" si="0"/>
        <v>Wednesday</v>
      </c>
      <c r="E28" s="10"/>
      <c r="F28" s="15" t="s">
        <v>26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ht="12.5" x14ac:dyDescent="0.3">
      <c r="A29" s="5">
        <v>27</v>
      </c>
      <c r="B29" s="6">
        <v>45932</v>
      </c>
      <c r="C29" s="7" t="s">
        <v>53</v>
      </c>
      <c r="D29" s="7" t="str">
        <f t="shared" si="0"/>
        <v>Thursday</v>
      </c>
      <c r="E29" s="9" t="s">
        <v>26</v>
      </c>
      <c r="F29" s="9" t="s">
        <v>26</v>
      </c>
      <c r="G29" s="9" t="s">
        <v>26</v>
      </c>
      <c r="H29" s="9" t="s">
        <v>26</v>
      </c>
      <c r="I29" s="9" t="s">
        <v>26</v>
      </c>
      <c r="J29" s="9" t="s">
        <v>26</v>
      </c>
      <c r="K29" s="9" t="s">
        <v>26</v>
      </c>
      <c r="L29" s="9" t="s">
        <v>26</v>
      </c>
      <c r="M29" s="9" t="s">
        <v>26</v>
      </c>
      <c r="N29" s="9" t="s">
        <v>26</v>
      </c>
      <c r="O29" s="9" t="s">
        <v>26</v>
      </c>
      <c r="P29" s="9" t="s">
        <v>26</v>
      </c>
    </row>
    <row r="30" spans="1:16" ht="12.5" x14ac:dyDescent="0.3">
      <c r="A30" s="5">
        <v>28</v>
      </c>
      <c r="B30" s="6">
        <v>45950</v>
      </c>
      <c r="C30" s="7" t="s">
        <v>54</v>
      </c>
      <c r="D30" s="7" t="str">
        <f t="shared" si="0"/>
        <v>Monday</v>
      </c>
      <c r="E30" s="15" t="s">
        <v>26</v>
      </c>
      <c r="F30" s="9" t="s">
        <v>26</v>
      </c>
      <c r="G30" s="9"/>
      <c r="H30" s="9" t="s">
        <v>26</v>
      </c>
      <c r="I30" s="11"/>
      <c r="J30" s="9" t="s">
        <v>26</v>
      </c>
      <c r="K30" s="9" t="s">
        <v>26</v>
      </c>
      <c r="L30" s="9"/>
      <c r="M30" s="9"/>
      <c r="N30" s="9"/>
      <c r="O30" s="9" t="s">
        <v>26</v>
      </c>
      <c r="P30" s="11"/>
    </row>
    <row r="31" spans="1:16" ht="12.5" hidden="1" x14ac:dyDescent="0.3">
      <c r="A31" s="5">
        <v>29</v>
      </c>
      <c r="B31" s="6">
        <v>45951</v>
      </c>
      <c r="C31" s="7" t="s">
        <v>54</v>
      </c>
      <c r="D31" s="7" t="str">
        <f t="shared" si="0"/>
        <v>Tuesday</v>
      </c>
      <c r="E31" s="11"/>
      <c r="F31" s="11"/>
      <c r="G31" s="11"/>
      <c r="H31" s="11"/>
      <c r="I31" s="9" t="s">
        <v>26</v>
      </c>
      <c r="J31" s="9"/>
      <c r="K31" s="11"/>
      <c r="L31" s="9" t="s">
        <v>26</v>
      </c>
      <c r="M31" s="9" t="s">
        <v>26</v>
      </c>
      <c r="N31" s="9" t="s">
        <v>26</v>
      </c>
      <c r="O31" s="11"/>
      <c r="P31" s="9" t="s">
        <v>26</v>
      </c>
    </row>
    <row r="32" spans="1:16" ht="12.5" hidden="1" x14ac:dyDescent="0.3">
      <c r="A32" s="5">
        <v>30</v>
      </c>
      <c r="B32" s="6">
        <v>45952</v>
      </c>
      <c r="C32" s="7" t="s">
        <v>55</v>
      </c>
      <c r="D32" s="7" t="str">
        <f t="shared" si="0"/>
        <v>Wednesday</v>
      </c>
      <c r="E32" s="11"/>
      <c r="F32" s="9"/>
      <c r="G32" s="15" t="s">
        <v>26</v>
      </c>
      <c r="H32" s="11"/>
      <c r="I32" s="9"/>
      <c r="J32" s="9"/>
      <c r="K32" s="9"/>
      <c r="L32" s="9"/>
      <c r="M32" s="9"/>
      <c r="N32" s="9"/>
      <c r="O32" s="9"/>
      <c r="P32" s="9"/>
    </row>
    <row r="33" spans="1:16" ht="12.5" hidden="1" x14ac:dyDescent="0.3">
      <c r="A33" s="5">
        <v>31</v>
      </c>
      <c r="B33" s="6">
        <v>45959</v>
      </c>
      <c r="C33" s="7" t="s">
        <v>57</v>
      </c>
      <c r="D33" s="7" t="str">
        <f t="shared" si="0"/>
        <v>Wednesday</v>
      </c>
      <c r="E33" s="11"/>
      <c r="F33" s="9"/>
      <c r="G33" s="15"/>
      <c r="H33" s="11"/>
      <c r="I33" s="9"/>
      <c r="J33" s="9"/>
      <c r="K33" s="9"/>
      <c r="L33" s="9"/>
      <c r="M33" s="9"/>
      <c r="N33" s="9"/>
      <c r="O33" s="9"/>
      <c r="P33" s="9"/>
    </row>
    <row r="34" spans="1:16" ht="12.5" hidden="1" x14ac:dyDescent="0.3">
      <c r="A34" s="5">
        <v>32</v>
      </c>
      <c r="B34" s="6">
        <v>45962</v>
      </c>
      <c r="C34" s="7" t="s">
        <v>58</v>
      </c>
      <c r="D34" s="4" t="str">
        <f t="shared" si="0"/>
        <v>Saturday</v>
      </c>
      <c r="E34" s="15"/>
      <c r="F34" s="16"/>
      <c r="G34" s="15" t="s">
        <v>26</v>
      </c>
      <c r="H34" s="15"/>
      <c r="I34" s="15"/>
      <c r="J34" s="15"/>
      <c r="K34" s="15"/>
      <c r="L34" s="15"/>
      <c r="M34" s="15"/>
      <c r="N34" s="15"/>
      <c r="O34" s="15"/>
      <c r="P34" s="15"/>
    </row>
    <row r="35" spans="1:16" ht="12.5" hidden="1" x14ac:dyDescent="0.3">
      <c r="A35" s="5">
        <v>33</v>
      </c>
      <c r="B35" s="6">
        <v>45966</v>
      </c>
      <c r="C35" s="7" t="s">
        <v>59</v>
      </c>
      <c r="D35" s="7" t="str">
        <f t="shared" si="0"/>
        <v>Wednesday</v>
      </c>
      <c r="E35" s="11"/>
      <c r="F35" s="13"/>
      <c r="G35" s="9"/>
      <c r="H35" s="9" t="s">
        <v>26</v>
      </c>
      <c r="I35" s="10" t="s">
        <v>26</v>
      </c>
      <c r="J35" s="9" t="s">
        <v>26</v>
      </c>
      <c r="K35" s="9" t="s">
        <v>26</v>
      </c>
      <c r="L35" s="9" t="s">
        <v>26</v>
      </c>
      <c r="M35" s="9" t="s">
        <v>26</v>
      </c>
      <c r="N35" s="9" t="s">
        <v>26</v>
      </c>
      <c r="O35" s="9" t="s">
        <v>26</v>
      </c>
      <c r="P35" s="9" t="s">
        <v>26</v>
      </c>
    </row>
    <row r="36" spans="1:16" ht="12.5" hidden="1" x14ac:dyDescent="0.3">
      <c r="A36" s="5">
        <v>34</v>
      </c>
      <c r="B36" s="6">
        <v>46010</v>
      </c>
      <c r="C36" s="7" t="s">
        <v>60</v>
      </c>
      <c r="D36" s="7" t="str">
        <f t="shared" si="0"/>
        <v>Friday</v>
      </c>
      <c r="E36" s="11"/>
      <c r="F36" s="13"/>
      <c r="G36" s="9"/>
      <c r="H36" s="9"/>
      <c r="I36" s="10"/>
      <c r="J36" s="9"/>
      <c r="K36" s="9"/>
      <c r="L36" s="9"/>
      <c r="M36" s="9"/>
      <c r="N36" s="9"/>
      <c r="O36" s="9"/>
      <c r="P36" s="9"/>
    </row>
    <row r="37" spans="1:16" ht="12.5" x14ac:dyDescent="0.3">
      <c r="A37" s="5">
        <v>35</v>
      </c>
      <c r="B37" s="6">
        <v>46016</v>
      </c>
      <c r="C37" s="7" t="s">
        <v>61</v>
      </c>
      <c r="D37" s="7" t="str">
        <f t="shared" si="0"/>
        <v>Thursday</v>
      </c>
      <c r="E37" s="9" t="s">
        <v>26</v>
      </c>
      <c r="F37" s="9" t="s">
        <v>26</v>
      </c>
      <c r="G37" s="9" t="s">
        <v>26</v>
      </c>
      <c r="H37" s="9" t="s">
        <v>26</v>
      </c>
      <c r="I37" s="9" t="s">
        <v>26</v>
      </c>
      <c r="J37" s="9" t="s">
        <v>26</v>
      </c>
      <c r="K37" s="9" t="s">
        <v>26</v>
      </c>
      <c r="L37" s="9" t="s">
        <v>26</v>
      </c>
      <c r="M37" s="9" t="s">
        <v>26</v>
      </c>
      <c r="N37" s="9" t="s">
        <v>26</v>
      </c>
      <c r="O37" s="9" t="s">
        <v>26</v>
      </c>
      <c r="P37" s="9" t="s">
        <v>26</v>
      </c>
    </row>
    <row r="38" spans="1:16" ht="12.5" x14ac:dyDescent="0.3">
      <c r="A38" s="5"/>
      <c r="B38" s="6"/>
      <c r="C38" s="7"/>
      <c r="D38" s="22"/>
      <c r="E38" s="15"/>
      <c r="F38" s="16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12.5" x14ac:dyDescent="0.3">
      <c r="A39" s="23"/>
      <c r="B39" s="23"/>
      <c r="C39" s="23"/>
      <c r="D39" s="2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2.5" x14ac:dyDescent="0.3">
      <c r="A40" s="106" t="s">
        <v>62</v>
      </c>
      <c r="B40" s="106"/>
      <c r="C40" s="106"/>
      <c r="D40" s="106"/>
      <c r="E40" s="24">
        <f t="shared" ref="E40:P40" si="1">COUNTIFS(E3:E38,"Yes")</f>
        <v>13</v>
      </c>
      <c r="F40" s="24">
        <f t="shared" si="1"/>
        <v>13</v>
      </c>
      <c r="G40" s="24">
        <f t="shared" si="1"/>
        <v>12</v>
      </c>
      <c r="H40" s="24">
        <f t="shared" si="1"/>
        <v>12</v>
      </c>
      <c r="I40" s="24">
        <f t="shared" si="1"/>
        <v>12</v>
      </c>
      <c r="J40" s="24">
        <f t="shared" si="1"/>
        <v>12</v>
      </c>
      <c r="K40" s="24">
        <f t="shared" si="1"/>
        <v>14</v>
      </c>
      <c r="L40" s="24">
        <f t="shared" si="1"/>
        <v>12</v>
      </c>
      <c r="M40" s="24">
        <f t="shared" si="1"/>
        <v>13</v>
      </c>
      <c r="N40" s="24">
        <f t="shared" si="1"/>
        <v>13</v>
      </c>
      <c r="O40" s="24">
        <f t="shared" si="1"/>
        <v>13</v>
      </c>
      <c r="P40" s="24">
        <f t="shared" si="1"/>
        <v>13</v>
      </c>
    </row>
    <row r="41" spans="1:16" ht="12.5" x14ac:dyDescent="0.3">
      <c r="D41" s="25" t="s">
        <v>63</v>
      </c>
      <c r="E41" s="25">
        <f t="shared" ref="E41:P41" si="2">COUNTIFS(E3:E38,"Yes",$D$3:$D$38,$D$41)</f>
        <v>1</v>
      </c>
      <c r="F41" s="25">
        <f t="shared" si="2"/>
        <v>1</v>
      </c>
      <c r="G41" s="25">
        <f t="shared" si="2"/>
        <v>1</v>
      </c>
      <c r="H41" s="25">
        <f t="shared" si="2"/>
        <v>1</v>
      </c>
      <c r="I41" s="25">
        <f t="shared" si="2"/>
        <v>1</v>
      </c>
      <c r="J41" s="25">
        <f t="shared" si="2"/>
        <v>1</v>
      </c>
      <c r="K41" s="25">
        <f t="shared" si="2"/>
        <v>1</v>
      </c>
      <c r="L41" s="25">
        <f t="shared" si="2"/>
        <v>1</v>
      </c>
      <c r="M41" s="25">
        <f t="shared" si="2"/>
        <v>1</v>
      </c>
      <c r="N41" s="25">
        <f t="shared" si="2"/>
        <v>1</v>
      </c>
      <c r="O41" s="25">
        <f t="shared" si="2"/>
        <v>1</v>
      </c>
      <c r="P41" s="25">
        <f t="shared" si="2"/>
        <v>1</v>
      </c>
    </row>
    <row r="42" spans="1:16" ht="12.5" x14ac:dyDescent="0.3">
      <c r="D42" s="25" t="s">
        <v>64</v>
      </c>
      <c r="E42" s="25">
        <f t="shared" ref="E42:P42" si="3">COUNTIFS(E3:E38,"Yes",$D$3:$D$38,$D$42)</f>
        <v>1</v>
      </c>
      <c r="F42" s="25">
        <f t="shared" si="3"/>
        <v>0</v>
      </c>
      <c r="G42" s="25">
        <f t="shared" si="3"/>
        <v>1</v>
      </c>
      <c r="H42" s="25">
        <f t="shared" si="3"/>
        <v>0</v>
      </c>
      <c r="I42" s="25">
        <f t="shared" si="3"/>
        <v>2</v>
      </c>
      <c r="J42" s="25">
        <f t="shared" si="3"/>
        <v>0</v>
      </c>
      <c r="K42" s="25">
        <f t="shared" si="3"/>
        <v>1</v>
      </c>
      <c r="L42" s="25">
        <f t="shared" si="3"/>
        <v>0</v>
      </c>
      <c r="M42" s="25">
        <f t="shared" si="3"/>
        <v>1</v>
      </c>
      <c r="N42" s="25">
        <f t="shared" si="3"/>
        <v>1</v>
      </c>
      <c r="O42" s="25">
        <f t="shared" si="3"/>
        <v>2</v>
      </c>
      <c r="P42" s="25">
        <f t="shared" si="3"/>
        <v>1</v>
      </c>
    </row>
  </sheetData>
  <autoFilter ref="A2:XEJ37" xr:uid="{00000000-0009-0000-0000-000002000000}">
    <filterColumn colId="5">
      <customFilters>
        <customFilter operator="notEqual" val=" "/>
      </customFilters>
    </filterColumn>
  </autoFilter>
  <mergeCells count="5">
    <mergeCell ref="E1:G1"/>
    <mergeCell ref="H1:J1"/>
    <mergeCell ref="K1:L1"/>
    <mergeCell ref="M1:P1"/>
    <mergeCell ref="A40:D40"/>
  </mergeCells>
  <conditionalFormatting sqref="E3:E4">
    <cfRule type="cellIs" dxfId="123" priority="135" operator="equal">
      <formula>"Yes"</formula>
    </cfRule>
  </conditionalFormatting>
  <conditionalFormatting sqref="E6:E18">
    <cfRule type="cellIs" dxfId="122" priority="131" operator="equal">
      <formula>"Yes"</formula>
    </cfRule>
  </conditionalFormatting>
  <conditionalFormatting sqref="E20:E30">
    <cfRule type="cellIs" dxfId="121" priority="132" operator="equal">
      <formula>"Yes"</formula>
    </cfRule>
  </conditionalFormatting>
  <conditionalFormatting sqref="E34">
    <cfRule type="cellIs" dxfId="120" priority="142" operator="equal">
      <formula>"Yes"</formula>
    </cfRule>
  </conditionalFormatting>
  <conditionalFormatting sqref="E37:E38">
    <cfRule type="cellIs" dxfId="119" priority="141" operator="equal">
      <formula>"Yes"</formula>
    </cfRule>
  </conditionalFormatting>
  <conditionalFormatting sqref="F3:F30">
    <cfRule type="cellIs" dxfId="118" priority="119" operator="equal">
      <formula>"Yes"</formula>
    </cfRule>
  </conditionalFormatting>
  <conditionalFormatting sqref="F32:G38">
    <cfRule type="cellIs" dxfId="117" priority="115" operator="equal">
      <formula>"Yes"</formula>
    </cfRule>
  </conditionalFormatting>
  <conditionalFormatting sqref="G4">
    <cfRule type="cellIs" dxfId="116" priority="111" operator="equal">
      <formula>"Yes"</formula>
    </cfRule>
  </conditionalFormatting>
  <conditionalFormatting sqref="G6:G11">
    <cfRule type="cellIs" dxfId="115" priority="6" operator="equal">
      <formula>"Yes"</formula>
    </cfRule>
  </conditionalFormatting>
  <conditionalFormatting sqref="G14:G30">
    <cfRule type="cellIs" dxfId="114" priority="3" operator="equal">
      <formula>"Yes"</formula>
    </cfRule>
  </conditionalFormatting>
  <conditionalFormatting sqref="G3:L3">
    <cfRule type="cellIs" dxfId="113" priority="4" operator="equal">
      <formula>"Yes"</formula>
    </cfRule>
  </conditionalFormatting>
  <conditionalFormatting sqref="H4:H11">
    <cfRule type="cellIs" dxfId="112" priority="101" operator="equal">
      <formula>"Yes"</formula>
    </cfRule>
  </conditionalFormatting>
  <conditionalFormatting sqref="H17:H30">
    <cfRule type="cellIs" dxfId="111" priority="99" operator="equal">
      <formula>"Yes"</formula>
    </cfRule>
  </conditionalFormatting>
  <conditionalFormatting sqref="H34:H38">
    <cfRule type="cellIs" dxfId="110" priority="106" operator="equal">
      <formula>"Yes"</formula>
    </cfRule>
  </conditionalFormatting>
  <conditionalFormatting sqref="H14:J16">
    <cfRule type="cellIs" dxfId="109" priority="2" operator="equal">
      <formula>"Yes"</formula>
    </cfRule>
  </conditionalFormatting>
  <conditionalFormatting sqref="I4">
    <cfRule type="cellIs" dxfId="108" priority="97" operator="equal">
      <formula>"Yes"</formula>
    </cfRule>
  </conditionalFormatting>
  <conditionalFormatting sqref="I6:I7">
    <cfRule type="cellIs" dxfId="107" priority="96" operator="equal">
      <formula>"Yes"</formula>
    </cfRule>
  </conditionalFormatting>
  <conditionalFormatting sqref="I9:I11">
    <cfRule type="cellIs" dxfId="106" priority="92" operator="equal">
      <formula>"Yes"</formula>
    </cfRule>
  </conditionalFormatting>
  <conditionalFormatting sqref="I17:I29">
    <cfRule type="cellIs" dxfId="105" priority="90" operator="equal">
      <formula>"Yes"</formula>
    </cfRule>
  </conditionalFormatting>
  <conditionalFormatting sqref="I31:I38">
    <cfRule type="cellIs" dxfId="104" priority="89" operator="equal">
      <formula>"Yes"</formula>
    </cfRule>
  </conditionalFormatting>
  <conditionalFormatting sqref="J17:J38">
    <cfRule type="cellIs" dxfId="103" priority="78" operator="equal">
      <formula>"Yes"</formula>
    </cfRule>
  </conditionalFormatting>
  <conditionalFormatting sqref="J4:L11">
    <cfRule type="cellIs" dxfId="102" priority="59" operator="equal">
      <formula>"Yes"</formula>
    </cfRule>
  </conditionalFormatting>
  <conditionalFormatting sqref="K14:K30">
    <cfRule type="cellIs" dxfId="101" priority="67" operator="equal">
      <formula>"Yes"</formula>
    </cfRule>
  </conditionalFormatting>
  <conditionalFormatting sqref="K32:K38">
    <cfRule type="cellIs" dxfId="100" priority="74" operator="equal">
      <formula>"Yes"</formula>
    </cfRule>
  </conditionalFormatting>
  <conditionalFormatting sqref="L15:L37">
    <cfRule type="cellIs" dxfId="99" priority="1" operator="equal">
      <formula>"Yes"</formula>
    </cfRule>
  </conditionalFormatting>
  <conditionalFormatting sqref="M3:M27">
    <cfRule type="cellIs" dxfId="98" priority="44" operator="equal">
      <formula>"Yes"</formula>
    </cfRule>
  </conditionalFormatting>
  <conditionalFormatting sqref="M29:M38">
    <cfRule type="cellIs" dxfId="97" priority="47" operator="equal">
      <formula>"Yes"</formula>
    </cfRule>
  </conditionalFormatting>
  <conditionalFormatting sqref="N3:N38">
    <cfRule type="cellIs" dxfId="96" priority="33" operator="equal">
      <formula>"Yes"</formula>
    </cfRule>
  </conditionalFormatting>
  <conditionalFormatting sqref="O3:O18">
    <cfRule type="cellIs" dxfId="95" priority="21" operator="equal">
      <formula>"Yes"</formula>
    </cfRule>
  </conditionalFormatting>
  <conditionalFormatting sqref="O20:O30">
    <cfRule type="cellIs" dxfId="94" priority="23" operator="equal">
      <formula>"Yes"</formula>
    </cfRule>
  </conditionalFormatting>
  <conditionalFormatting sqref="O32:O38">
    <cfRule type="cellIs" dxfId="93" priority="24" operator="equal">
      <formula>"Yes"</formula>
    </cfRule>
  </conditionalFormatting>
  <conditionalFormatting sqref="P3:P6">
    <cfRule type="cellIs" dxfId="92" priority="9" operator="equal">
      <formula>"Yes"</formula>
    </cfRule>
  </conditionalFormatting>
  <conditionalFormatting sqref="P8:P29">
    <cfRule type="cellIs" dxfId="91" priority="7" operator="equal">
      <formula>"Yes"</formula>
    </cfRule>
  </conditionalFormatting>
  <conditionalFormatting sqref="P31:P38">
    <cfRule type="cellIs" dxfId="90" priority="12" operator="equal">
      <formula>"Yes"</formula>
    </cfRule>
  </conditionalFormatting>
  <dataValidations count="1">
    <dataValidation type="list" allowBlank="1" showInputMessage="1" showErrorMessage="1" sqref="E37:K38 E20:E30 E34:F34 E3:E4 E6:E18 F32:F33 F3:F30 F35:N36 P3:P6 J3:L11 H3:H11 G32:G34 H23:H30 H34 I3:I4 I23:I29 I20:I21 I31:J34 I9:I11 I6:I7 J23:J30 G6:G11 H14:I18 K27:K28 K32:K34 K30 J14:J19 K23:K25 K21 L37 L23:L34 L15:L18 M37:P38 M30:N34 M27 M3:N25 N27:P28 O23:P25 O30 O32:P36 O21:P21 O3:O18 P8:P18 P31 G14:G30 G3:G4 K14:K18" xr:uid="{00000000-0002-0000-0200-000000000000}">
      <formula1>$XFD$2:$XFD$3</formula1>
    </dataValidation>
  </dataValidations>
  <hyperlinks>
    <hyperlink ref="C7" r:id="rId1" display="https://www.calendarlabs.com/holidays/india/maha-shivratri.php" xr:uid="{00000000-0004-0000-0200-000000000000}"/>
    <hyperlink ref="C37" r:id="rId2" display="https://publicholidays.in/christmas/" xr:uid="{00000000-0004-0000-0200-000001000000}"/>
    <hyperlink ref="C21" r:id="rId3" display="https://publicholidays.in/raksha-bandhan/" xr:uid="{00000000-0004-0000-0200-000002000000}"/>
    <hyperlink ref="C13" r:id="rId4" display="https://publicholidays.in/mahavir-jayanti/" xr:uid="{00000000-0004-0000-0200-000003000000}"/>
    <hyperlink ref="C33" r:id="rId5" display="https://publicholidays.in/durga-puja/" xr:uid="{00000000-0004-0000-0200-000004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4FE1-7031-4FC6-918E-ECA9244AA098}">
  <sheetPr>
    <tabColor rgb="FFFFFF00"/>
  </sheetPr>
  <dimension ref="A1:XEU43"/>
  <sheetViews>
    <sheetView workbookViewId="0">
      <selection activeCell="A17" sqref="A17:XFD17"/>
    </sheetView>
  </sheetViews>
  <sheetFormatPr defaultColWidth="9.453125" defaultRowHeight="14.5" x14ac:dyDescent="0.35"/>
  <cols>
    <col min="1" max="1" width="5.7265625" style="25" bestFit="1" customWidth="1"/>
    <col min="2" max="2" width="11.81640625" style="25" bestFit="1" customWidth="1"/>
    <col min="3" max="3" width="63.54296875" style="25" customWidth="1"/>
    <col min="4" max="4" width="9.08984375" style="25" bestFit="1" customWidth="1"/>
    <col min="5" max="5" width="12.6328125" style="25" bestFit="1" customWidth="1"/>
    <col min="6" max="6" width="16.81640625" style="25" bestFit="1" customWidth="1"/>
    <col min="7" max="7" width="9.90625" style="25" bestFit="1" customWidth="1"/>
    <col min="8" max="8" width="8.7265625" style="25" customWidth="1"/>
    <col min="9" max="9" width="9.7265625" style="25" hidden="1" customWidth="1"/>
    <col min="10" max="10" width="8.81640625" customWidth="1"/>
    <col min="11" max="11" width="6" style="3" hidden="1" customWidth="1"/>
    <col min="12" max="12" width="5" style="3" hidden="1" customWidth="1"/>
    <col min="13" max="13" width="6.26953125" style="3" customWidth="1"/>
    <col min="14" max="14" width="10.7265625" style="25" customWidth="1"/>
    <col min="15" max="15" width="10.81640625" style="25" hidden="1" customWidth="1"/>
    <col min="16" max="16" width="14" style="25" hidden="1" customWidth="1"/>
    <col min="17" max="17" width="6.7265625" style="25" hidden="1" customWidth="1"/>
    <col min="18" max="18" width="10.81640625" style="25" bestFit="1" customWidth="1"/>
    <col min="19" max="19" width="6.54296875" style="3" customWidth="1"/>
    <col min="20" max="20" width="7.26953125" style="3" hidden="1" customWidth="1"/>
    <col min="21" max="21" width="9.7265625" style="3" hidden="1" customWidth="1"/>
    <col min="22" max="22" width="14.81640625" style="3" hidden="1" customWidth="1"/>
    <col min="23" max="23" width="17.26953125" style="3" hidden="1" customWidth="1"/>
    <col min="24" max="24" width="6.26953125" style="3" hidden="1" customWidth="1"/>
    <col min="25" max="25" width="8.453125" style="3" hidden="1" customWidth="1"/>
    <col min="26" max="26" width="11.81640625" style="3" hidden="1" customWidth="1"/>
    <col min="27" max="27" width="10.7265625" style="3" hidden="1" customWidth="1"/>
    <col min="28" max="16374" width="9.453125" style="3"/>
    <col min="16375" max="16375" width="3.54296875" style="3" bestFit="1" customWidth="1"/>
    <col min="16376" max="16384" width="3.54296875" style="3" customWidth="1"/>
  </cols>
  <sheetData>
    <row r="1" spans="1:27 16375:16375" ht="1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31" t="s">
        <v>1</v>
      </c>
      <c r="F1" s="131"/>
      <c r="G1" s="131"/>
      <c r="H1" s="131"/>
      <c r="I1" s="131"/>
      <c r="J1" s="132" t="s">
        <v>2</v>
      </c>
      <c r="K1" s="132"/>
      <c r="L1" s="132"/>
      <c r="M1" s="132"/>
      <c r="N1" s="132"/>
      <c r="O1" s="133" t="s">
        <v>3</v>
      </c>
      <c r="P1" s="133"/>
      <c r="Q1" s="133"/>
      <c r="R1" s="133"/>
      <c r="S1" s="134" t="s">
        <v>4</v>
      </c>
      <c r="T1" s="134"/>
      <c r="U1" s="134"/>
      <c r="V1" s="134"/>
      <c r="W1" s="134"/>
      <c r="X1" s="134"/>
      <c r="Y1" s="134"/>
      <c r="Z1" s="134"/>
      <c r="AA1" s="134"/>
    </row>
    <row r="2" spans="1:27 16375:16375" ht="12.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73</v>
      </c>
      <c r="G2" s="4" t="s">
        <v>10</v>
      </c>
      <c r="H2" s="28" t="s">
        <v>11</v>
      </c>
      <c r="I2" s="4" t="s">
        <v>12</v>
      </c>
      <c r="J2" s="27" t="s">
        <v>13</v>
      </c>
      <c r="K2" s="4" t="s">
        <v>17</v>
      </c>
      <c r="L2" s="4" t="s">
        <v>72</v>
      </c>
      <c r="M2" s="27" t="s">
        <v>18</v>
      </c>
      <c r="N2" s="27" t="s">
        <v>19</v>
      </c>
      <c r="O2" s="4" t="s">
        <v>71</v>
      </c>
      <c r="P2" s="4" t="s">
        <v>14</v>
      </c>
      <c r="Q2" s="4" t="s">
        <v>20</v>
      </c>
      <c r="R2" s="27" t="s">
        <v>65</v>
      </c>
      <c r="S2" s="27" t="s">
        <v>22</v>
      </c>
      <c r="T2" s="4" t="s">
        <v>23</v>
      </c>
      <c r="U2" s="4" t="s">
        <v>70</v>
      </c>
      <c r="V2" s="4" t="s">
        <v>69</v>
      </c>
      <c r="W2" s="4" t="s">
        <v>68</v>
      </c>
      <c r="X2" s="4" t="s">
        <v>24</v>
      </c>
      <c r="Y2" s="4" t="s">
        <v>67</v>
      </c>
      <c r="Z2" s="4" t="s">
        <v>25</v>
      </c>
      <c r="AA2" s="4" t="s">
        <v>66</v>
      </c>
      <c r="XEU2" s="3" t="s">
        <v>26</v>
      </c>
    </row>
    <row r="3" spans="1:27 16375:16375" ht="12.5" x14ac:dyDescent="0.3">
      <c r="A3" s="5">
        <v>1</v>
      </c>
      <c r="B3" s="6">
        <v>45658</v>
      </c>
      <c r="C3" s="7" t="s">
        <v>27</v>
      </c>
      <c r="D3" s="7" t="str">
        <f t="shared" ref="D3:D37" si="0">TEXT(B3,"ddddddd")</f>
        <v>Wednesday</v>
      </c>
      <c r="E3" s="9" t="s">
        <v>26</v>
      </c>
      <c r="F3" s="9"/>
      <c r="G3" s="9"/>
      <c r="H3" s="9" t="s">
        <v>26</v>
      </c>
      <c r="I3" s="9"/>
      <c r="J3" s="9" t="s">
        <v>26</v>
      </c>
      <c r="K3" s="9" t="s">
        <v>26</v>
      </c>
      <c r="L3" s="9" t="s">
        <v>26</v>
      </c>
      <c r="M3" s="9" t="s">
        <v>26</v>
      </c>
      <c r="N3" s="9" t="s">
        <v>26</v>
      </c>
      <c r="O3" s="9"/>
      <c r="P3" s="9"/>
      <c r="Q3" s="9"/>
      <c r="R3" s="9" t="s">
        <v>26</v>
      </c>
      <c r="S3" s="9" t="s">
        <v>26</v>
      </c>
      <c r="T3" s="9"/>
      <c r="U3" s="9"/>
      <c r="V3" s="9"/>
      <c r="W3" s="9"/>
      <c r="X3" s="9"/>
      <c r="Y3" s="9"/>
      <c r="Z3" s="9"/>
      <c r="AA3" s="9"/>
    </row>
    <row r="4" spans="1:27 16375:16375" ht="12.5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9" t="s">
        <v>26</v>
      </c>
      <c r="F4" s="9"/>
      <c r="G4" s="9"/>
      <c r="H4" s="10" t="s">
        <v>26</v>
      </c>
      <c r="I4" s="9" t="s">
        <v>26</v>
      </c>
      <c r="J4" s="3"/>
      <c r="N4" s="3"/>
      <c r="O4" s="9"/>
      <c r="P4" s="9"/>
      <c r="Q4" s="9" t="s">
        <v>26</v>
      </c>
      <c r="R4" s="3"/>
      <c r="S4" s="9"/>
      <c r="T4" s="9"/>
      <c r="U4" s="9"/>
      <c r="V4" s="9" t="s">
        <v>26</v>
      </c>
      <c r="W4" s="9"/>
      <c r="X4" s="9"/>
      <c r="Y4" s="9"/>
      <c r="Z4" s="10" t="s">
        <v>26</v>
      </c>
      <c r="AA4" s="9"/>
    </row>
    <row r="5" spans="1:27 16375:16375" ht="12.5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11"/>
      <c r="F5" s="9" t="s">
        <v>26</v>
      </c>
      <c r="G5" s="9"/>
      <c r="H5" s="11"/>
      <c r="I5" s="11"/>
      <c r="J5" s="11"/>
      <c r="K5" s="11"/>
      <c r="L5" s="11"/>
      <c r="M5" s="11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 16375:16375" ht="12.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9" t="s">
        <v>26</v>
      </c>
      <c r="F6" s="9" t="s">
        <v>26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26</v>
      </c>
      <c r="Q6" s="9" t="s">
        <v>26</v>
      </c>
      <c r="R6" s="9" t="s">
        <v>26</v>
      </c>
      <c r="S6" s="9" t="s">
        <v>26</v>
      </c>
      <c r="T6" s="9" t="s">
        <v>26</v>
      </c>
      <c r="U6" s="9" t="s">
        <v>26</v>
      </c>
      <c r="V6" s="9" t="s">
        <v>26</v>
      </c>
      <c r="W6" s="9" t="s">
        <v>26</v>
      </c>
      <c r="X6" s="9" t="s">
        <v>26</v>
      </c>
      <c r="Y6" s="9" t="s">
        <v>26</v>
      </c>
      <c r="Z6" s="9" t="s">
        <v>26</v>
      </c>
      <c r="AA6" s="9" t="s">
        <v>26</v>
      </c>
    </row>
    <row r="7" spans="1:27 16375:16375" ht="12.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10" t="s">
        <v>26</v>
      </c>
      <c r="F7" s="10" t="s">
        <v>26</v>
      </c>
      <c r="G7" s="9" t="s">
        <v>26</v>
      </c>
      <c r="H7" s="9"/>
      <c r="I7" s="10"/>
      <c r="J7" s="9"/>
      <c r="K7" s="9"/>
      <c r="L7" s="9"/>
      <c r="M7" s="9"/>
      <c r="N7" s="9"/>
      <c r="O7" s="9"/>
      <c r="P7" s="10" t="s">
        <v>26</v>
      </c>
      <c r="Q7" s="9"/>
      <c r="R7" s="9"/>
      <c r="S7" s="10" t="s">
        <v>26</v>
      </c>
      <c r="T7" s="10" t="s">
        <v>26</v>
      </c>
      <c r="U7" s="10" t="s">
        <v>26</v>
      </c>
      <c r="V7" s="11"/>
      <c r="W7" s="10" t="s">
        <v>26</v>
      </c>
      <c r="X7" s="10" t="s">
        <v>26</v>
      </c>
      <c r="Y7" s="10" t="s">
        <v>26</v>
      </c>
      <c r="Z7" s="11"/>
      <c r="AA7" s="9"/>
    </row>
    <row r="8" spans="1:27 16375:16375" ht="12.5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9" t="s">
        <v>26</v>
      </c>
      <c r="F8" s="9" t="s">
        <v>26</v>
      </c>
      <c r="G8" s="13"/>
      <c r="H8" s="9"/>
      <c r="I8" s="9"/>
      <c r="J8" s="9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  <c r="Q8" s="9" t="s">
        <v>26</v>
      </c>
      <c r="R8" s="9" t="s">
        <v>26</v>
      </c>
      <c r="S8" s="9" t="s">
        <v>26</v>
      </c>
      <c r="T8" s="9" t="s">
        <v>26</v>
      </c>
      <c r="U8" s="9" t="s">
        <v>26</v>
      </c>
      <c r="V8" s="9" t="s">
        <v>26</v>
      </c>
      <c r="W8" s="9" t="s">
        <v>26</v>
      </c>
      <c r="X8" s="9" t="s">
        <v>26</v>
      </c>
      <c r="Y8" s="9" t="s">
        <v>26</v>
      </c>
      <c r="Z8" s="9" t="s">
        <v>26</v>
      </c>
      <c r="AA8" s="9" t="s">
        <v>26</v>
      </c>
    </row>
    <row r="9" spans="1:27 16375:16375" ht="12.5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9"/>
      <c r="F9" s="9"/>
      <c r="G9" s="13"/>
      <c r="H9" s="9"/>
      <c r="I9" s="9"/>
      <c r="J9" s="3"/>
      <c r="N9" s="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 16375:16375" ht="12.5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9"/>
      <c r="F10" s="9"/>
      <c r="G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 16375:16375" ht="12.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26</v>
      </c>
      <c r="M11" s="9" t="s">
        <v>26</v>
      </c>
      <c r="N11" s="9" t="s">
        <v>26</v>
      </c>
      <c r="O11" s="9" t="s">
        <v>26</v>
      </c>
      <c r="P11" s="9" t="s">
        <v>26</v>
      </c>
      <c r="Q11" s="9" t="s">
        <v>26</v>
      </c>
      <c r="R11" s="9" t="s">
        <v>26</v>
      </c>
      <c r="S11" s="9" t="s">
        <v>26</v>
      </c>
      <c r="T11" s="9" t="s">
        <v>26</v>
      </c>
      <c r="U11" s="9" t="s">
        <v>26</v>
      </c>
      <c r="V11" s="9" t="s">
        <v>26</v>
      </c>
      <c r="W11" s="9" t="s">
        <v>26</v>
      </c>
      <c r="X11" s="9" t="s">
        <v>26</v>
      </c>
      <c r="Y11" s="9" t="s">
        <v>26</v>
      </c>
      <c r="Z11" s="9"/>
      <c r="AA11" s="9" t="s">
        <v>26</v>
      </c>
    </row>
    <row r="12" spans="1:27 16375:16375" ht="12.5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9"/>
      <c r="F12" s="11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9"/>
      <c r="U12" s="11"/>
      <c r="V12" s="11"/>
      <c r="W12" s="9"/>
      <c r="X12" s="9"/>
      <c r="Y12" s="9"/>
      <c r="Z12" s="9" t="s">
        <v>26</v>
      </c>
      <c r="AA12" s="9"/>
    </row>
    <row r="13" spans="1:27 16375:16375" ht="12.5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9"/>
      <c r="F13" s="11"/>
      <c r="G13" s="13"/>
      <c r="H13" s="11"/>
      <c r="I13" s="11"/>
      <c r="J13" s="11"/>
      <c r="K13" s="11"/>
      <c r="L13" s="11"/>
      <c r="M13" s="11"/>
      <c r="N13" s="11"/>
      <c r="O13" s="10" t="s">
        <v>26</v>
      </c>
      <c r="P13" s="11"/>
      <c r="Q13" s="11"/>
      <c r="R13" s="11"/>
      <c r="S13" s="11"/>
      <c r="T13" s="11"/>
      <c r="U13" s="10" t="s">
        <v>26</v>
      </c>
      <c r="V13" s="11"/>
      <c r="W13" s="9"/>
      <c r="X13" s="10" t="s">
        <v>26</v>
      </c>
      <c r="Y13" s="9"/>
      <c r="Z13" s="9"/>
      <c r="AA13" s="9"/>
    </row>
    <row r="14" spans="1:27 16375:16375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F14" s="9"/>
      <c r="G14" s="9" t="s">
        <v>26</v>
      </c>
      <c r="I14" s="9" t="s">
        <v>26</v>
      </c>
      <c r="J14" s="8" t="s">
        <v>26</v>
      </c>
      <c r="K14" s="8" t="s">
        <v>26</v>
      </c>
      <c r="L14" s="8" t="s">
        <v>26</v>
      </c>
      <c r="M14" s="8" t="s">
        <v>26</v>
      </c>
      <c r="N14" s="8" t="s">
        <v>26</v>
      </c>
      <c r="O14" s="9" t="s">
        <v>26</v>
      </c>
      <c r="P14" s="9" t="s">
        <v>26</v>
      </c>
      <c r="Q14" s="9" t="s">
        <v>26</v>
      </c>
      <c r="S14" s="9"/>
      <c r="T14" s="9" t="s">
        <v>26</v>
      </c>
      <c r="U14" s="9" t="s">
        <v>26</v>
      </c>
      <c r="V14" s="9" t="s">
        <v>26</v>
      </c>
      <c r="W14" s="9" t="s">
        <v>26</v>
      </c>
      <c r="X14" s="9" t="s">
        <v>26</v>
      </c>
      <c r="Y14" s="9" t="s">
        <v>26</v>
      </c>
      <c r="Z14" s="9" t="s">
        <v>26</v>
      </c>
      <c r="AA14" s="9" t="s">
        <v>26</v>
      </c>
    </row>
    <row r="15" spans="1:27 16375:16375" ht="12.5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 t="s">
        <v>26</v>
      </c>
      <c r="W15" s="9"/>
      <c r="X15" s="9"/>
      <c r="Y15" s="9"/>
      <c r="Z15" s="9"/>
      <c r="AA15" s="9"/>
    </row>
    <row r="16" spans="1:27 16375:16375" ht="12.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10" t="s">
        <v>26</v>
      </c>
      <c r="F16" s="10" t="s">
        <v>26</v>
      </c>
      <c r="G16" s="9" t="s">
        <v>26</v>
      </c>
      <c r="H16" s="10"/>
      <c r="I16" s="10" t="s">
        <v>26</v>
      </c>
      <c r="J16" s="3"/>
      <c r="N16" s="3"/>
      <c r="O16" s="10" t="s">
        <v>26</v>
      </c>
      <c r="P16" s="10" t="s">
        <v>26</v>
      </c>
      <c r="Q16" s="10" t="s">
        <v>26</v>
      </c>
      <c r="R16" s="10" t="s">
        <v>26</v>
      </c>
      <c r="S16" s="9"/>
      <c r="T16" s="9"/>
      <c r="U16" s="10" t="s">
        <v>26</v>
      </c>
      <c r="V16" s="10" t="s">
        <v>26</v>
      </c>
      <c r="W16" s="9"/>
      <c r="X16" s="10" t="s">
        <v>26</v>
      </c>
      <c r="Y16" s="10" t="s">
        <v>26</v>
      </c>
      <c r="Z16" s="10" t="s">
        <v>26</v>
      </c>
      <c r="AA16" s="10" t="s">
        <v>26</v>
      </c>
    </row>
    <row r="17" spans="1:27" ht="12.5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F17" s="9" t="s">
        <v>26</v>
      </c>
      <c r="G17" s="9" t="s">
        <v>26</v>
      </c>
      <c r="H17" s="9" t="s">
        <v>26</v>
      </c>
      <c r="I17" s="9" t="s">
        <v>26</v>
      </c>
      <c r="J17" s="9" t="s">
        <v>26</v>
      </c>
      <c r="K17" s="9" t="s">
        <v>26</v>
      </c>
      <c r="L17" s="9" t="s">
        <v>26</v>
      </c>
      <c r="M17" s="9" t="s">
        <v>26</v>
      </c>
      <c r="N17" s="9" t="s">
        <v>26</v>
      </c>
      <c r="O17" s="9"/>
      <c r="P17" s="9"/>
      <c r="Q17" s="9"/>
      <c r="R17" s="9" t="s">
        <v>26</v>
      </c>
      <c r="S17" s="9"/>
      <c r="T17" s="9"/>
      <c r="U17" s="9"/>
      <c r="V17" s="9"/>
      <c r="W17" s="9"/>
      <c r="X17" s="9"/>
      <c r="Y17" s="9"/>
      <c r="Z17" s="9"/>
      <c r="AA17" s="9"/>
    </row>
    <row r="18" spans="1:27" ht="12.5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15"/>
      <c r="F18" s="15"/>
      <c r="G18" s="16"/>
      <c r="H18" s="15"/>
      <c r="I18" s="15"/>
      <c r="J18" s="15"/>
      <c r="K18" s="15"/>
      <c r="L18" s="15"/>
      <c r="M18" s="15"/>
      <c r="N18" s="15"/>
      <c r="O18" s="9" t="s">
        <v>26</v>
      </c>
      <c r="P18" s="9" t="s">
        <v>26</v>
      </c>
      <c r="Q18" s="15"/>
      <c r="R18" s="15"/>
      <c r="S18" s="9"/>
      <c r="T18" s="15"/>
      <c r="U18" s="9" t="s">
        <v>26</v>
      </c>
      <c r="V18" s="17"/>
      <c r="W18" s="15" t="s">
        <v>26</v>
      </c>
      <c r="X18" s="15"/>
      <c r="Y18" s="15"/>
      <c r="Z18" s="9" t="s">
        <v>26</v>
      </c>
      <c r="AA18" s="9" t="s">
        <v>26</v>
      </c>
    </row>
    <row r="19" spans="1:27" ht="12.5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11"/>
      <c r="F19" s="9"/>
      <c r="G19" s="15"/>
      <c r="H19" s="9"/>
      <c r="I19" s="1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9"/>
      <c r="AA19" s="9"/>
    </row>
    <row r="20" spans="1:27" ht="12.5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10" t="s">
        <v>26</v>
      </c>
      <c r="F20" s="10" t="s">
        <v>26</v>
      </c>
      <c r="G20" s="15"/>
      <c r="H20" s="9"/>
      <c r="I20" s="10" t="s">
        <v>26</v>
      </c>
      <c r="J20" s="9"/>
      <c r="K20" s="9"/>
      <c r="L20" s="9"/>
      <c r="M20" s="9"/>
      <c r="N20" s="9"/>
      <c r="O20" s="10" t="s">
        <v>26</v>
      </c>
      <c r="P20" s="10" t="s">
        <v>26</v>
      </c>
      <c r="Q20" s="9"/>
      <c r="R20" s="10"/>
      <c r="S20" s="8" t="s">
        <v>26</v>
      </c>
      <c r="T20" s="9" t="s">
        <v>26</v>
      </c>
      <c r="U20" s="9"/>
      <c r="V20" s="9"/>
      <c r="W20" s="10" t="s">
        <v>26</v>
      </c>
      <c r="X20" s="9" t="s">
        <v>26</v>
      </c>
      <c r="Y20" s="9" t="s">
        <v>26</v>
      </c>
      <c r="Z20" s="9"/>
      <c r="AA20" s="9"/>
    </row>
    <row r="21" spans="1:27" ht="12.5" x14ac:dyDescent="0.3">
      <c r="A21" s="5">
        <v>19</v>
      </c>
      <c r="B21" s="6">
        <v>45878</v>
      </c>
      <c r="C21" s="7" t="s">
        <v>44</v>
      </c>
      <c r="D21" s="7" t="str">
        <f t="shared" si="0"/>
        <v>Saturday</v>
      </c>
      <c r="E21" s="10"/>
      <c r="F21" s="10"/>
      <c r="G21" s="15"/>
      <c r="H21" s="9"/>
      <c r="I21" s="10"/>
      <c r="J21" s="9"/>
      <c r="K21" s="9"/>
      <c r="L21" s="9"/>
      <c r="M21" s="9"/>
      <c r="N21" s="9"/>
      <c r="O21" s="9"/>
      <c r="P21" s="9"/>
      <c r="Q21" s="10" t="s">
        <v>26</v>
      </c>
      <c r="R21" s="9"/>
      <c r="S21" s="9"/>
      <c r="T21" s="10" t="s">
        <v>26</v>
      </c>
      <c r="U21" s="9"/>
      <c r="V21" s="10" t="s">
        <v>26</v>
      </c>
      <c r="W21" s="9"/>
      <c r="X21" s="9"/>
      <c r="Y21" s="10" t="s">
        <v>26</v>
      </c>
      <c r="Z21" s="10" t="s">
        <v>26</v>
      </c>
      <c r="AA21" s="10" t="s">
        <v>26</v>
      </c>
    </row>
    <row r="22" spans="1:27" ht="12.5" x14ac:dyDescent="0.3">
      <c r="A22" s="5">
        <v>20</v>
      </c>
      <c r="B22" s="6">
        <v>45882</v>
      </c>
      <c r="C22" s="7" t="s">
        <v>45</v>
      </c>
      <c r="D22" s="7" t="str">
        <f t="shared" si="0"/>
        <v>Wednesday</v>
      </c>
      <c r="E22" s="9"/>
      <c r="F22" s="9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2.5" x14ac:dyDescent="0.3">
      <c r="A23" s="5">
        <v>21</v>
      </c>
      <c r="B23" s="6">
        <v>45884</v>
      </c>
      <c r="C23" s="7" t="s">
        <v>46</v>
      </c>
      <c r="D23" s="7" t="str">
        <f t="shared" si="0"/>
        <v>Friday</v>
      </c>
      <c r="E23" s="9" t="s">
        <v>26</v>
      </c>
      <c r="F23" s="9" t="s">
        <v>26</v>
      </c>
      <c r="G23" s="9" t="s">
        <v>26</v>
      </c>
      <c r="H23" s="9" t="s">
        <v>26</v>
      </c>
      <c r="I23" s="9" t="s">
        <v>26</v>
      </c>
      <c r="J23" s="9" t="s">
        <v>26</v>
      </c>
      <c r="K23" s="9" t="s">
        <v>26</v>
      </c>
      <c r="L23" s="9" t="s">
        <v>26</v>
      </c>
      <c r="M23" s="9" t="s">
        <v>26</v>
      </c>
      <c r="N23" s="9" t="s">
        <v>26</v>
      </c>
      <c r="O23" s="9" t="s">
        <v>26</v>
      </c>
      <c r="P23" s="9" t="s">
        <v>26</v>
      </c>
      <c r="Q23" s="9" t="s">
        <v>26</v>
      </c>
      <c r="R23" s="9" t="s">
        <v>26</v>
      </c>
      <c r="S23" s="9" t="s">
        <v>26</v>
      </c>
      <c r="T23" s="9" t="s">
        <v>26</v>
      </c>
      <c r="U23" s="9" t="s">
        <v>26</v>
      </c>
      <c r="V23" s="9" t="s">
        <v>26</v>
      </c>
      <c r="W23" s="9" t="s">
        <v>26</v>
      </c>
      <c r="X23" s="9" t="s">
        <v>26</v>
      </c>
      <c r="Y23" s="9" t="s">
        <v>26</v>
      </c>
      <c r="Z23" s="9" t="s">
        <v>26</v>
      </c>
      <c r="AA23" s="9" t="s">
        <v>26</v>
      </c>
    </row>
    <row r="24" spans="1:27" ht="12.5" x14ac:dyDescent="0.3">
      <c r="A24" s="5">
        <v>22</v>
      </c>
      <c r="B24" s="6">
        <v>45896</v>
      </c>
      <c r="C24" s="7" t="s">
        <v>47</v>
      </c>
      <c r="D24" s="7" t="str">
        <f t="shared" si="0"/>
        <v>Wednesday</v>
      </c>
      <c r="E24" s="9" t="s">
        <v>26</v>
      </c>
      <c r="F24" s="9" t="s">
        <v>26</v>
      </c>
      <c r="G24" s="9"/>
      <c r="H24" s="8" t="s">
        <v>26</v>
      </c>
      <c r="I24" s="9" t="s">
        <v>26</v>
      </c>
      <c r="J24" s="10" t="s">
        <v>26</v>
      </c>
      <c r="K24" s="10" t="s">
        <v>26</v>
      </c>
      <c r="L24" s="10" t="s">
        <v>26</v>
      </c>
      <c r="M24" s="10" t="s">
        <v>26</v>
      </c>
      <c r="N24" s="10" t="s">
        <v>26</v>
      </c>
      <c r="O24" s="9"/>
      <c r="P24" s="9"/>
      <c r="Q24" s="10" t="s">
        <v>26</v>
      </c>
      <c r="R24" s="9" t="s">
        <v>26</v>
      </c>
      <c r="S24" s="9"/>
      <c r="T24" s="9"/>
      <c r="U24" s="9"/>
      <c r="V24" s="9"/>
      <c r="W24" s="9"/>
      <c r="X24" s="9"/>
      <c r="Y24" s="9"/>
      <c r="Z24" s="9"/>
      <c r="AA24" s="9"/>
    </row>
    <row r="25" spans="1:27" ht="12.5" x14ac:dyDescent="0.3">
      <c r="A25" s="5">
        <v>23</v>
      </c>
      <c r="B25" s="6">
        <v>45897</v>
      </c>
      <c r="C25" s="7" t="s">
        <v>48</v>
      </c>
      <c r="D25" s="7" t="str">
        <f t="shared" si="0"/>
        <v>Thursday</v>
      </c>
      <c r="E25" s="9"/>
      <c r="F25" s="9"/>
      <c r="G25" s="1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2.5" x14ac:dyDescent="0.3">
      <c r="A26" s="5">
        <v>24</v>
      </c>
      <c r="B26" s="6">
        <v>45904</v>
      </c>
      <c r="C26" s="7" t="s">
        <v>49</v>
      </c>
      <c r="D26" s="7" t="str">
        <f t="shared" si="0"/>
        <v>Thursday</v>
      </c>
      <c r="E26" s="15"/>
      <c r="F26" s="15"/>
      <c r="G26" s="15" t="s">
        <v>26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2.5" x14ac:dyDescent="0.3">
      <c r="A27" s="5">
        <v>25</v>
      </c>
      <c r="B27" s="6">
        <v>45905</v>
      </c>
      <c r="C27" s="7" t="s">
        <v>50</v>
      </c>
      <c r="D27" s="7" t="str">
        <f t="shared" si="0"/>
        <v>Friday</v>
      </c>
      <c r="E27" s="15"/>
      <c r="F27" s="15"/>
      <c r="G27" s="15" t="s">
        <v>26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0" t="s">
        <v>26</v>
      </c>
      <c r="T27" s="10" t="s">
        <v>26</v>
      </c>
      <c r="U27" s="15"/>
      <c r="V27" s="15"/>
      <c r="W27" s="10" t="s">
        <v>26</v>
      </c>
      <c r="X27" s="15"/>
      <c r="Y27" s="15"/>
      <c r="Z27" s="15"/>
      <c r="AA27" s="10" t="s">
        <v>26</v>
      </c>
    </row>
    <row r="28" spans="1:27" ht="12.5" x14ac:dyDescent="0.3">
      <c r="A28" s="5">
        <v>26</v>
      </c>
      <c r="B28" s="6">
        <v>45931</v>
      </c>
      <c r="C28" s="7" t="s">
        <v>52</v>
      </c>
      <c r="D28" s="7" t="str">
        <f t="shared" si="0"/>
        <v>Wednesday</v>
      </c>
      <c r="E28" s="10"/>
      <c r="F28" s="15"/>
      <c r="G28" s="15" t="s">
        <v>26</v>
      </c>
      <c r="H28" s="10" t="s">
        <v>26</v>
      </c>
      <c r="I28" s="10" t="s">
        <v>26</v>
      </c>
      <c r="J28" s="10" t="s">
        <v>26</v>
      </c>
      <c r="K28" s="10" t="s">
        <v>26</v>
      </c>
      <c r="L28" s="10" t="s">
        <v>26</v>
      </c>
      <c r="M28" s="10" t="s">
        <v>26</v>
      </c>
      <c r="N28" s="10" t="s">
        <v>26</v>
      </c>
      <c r="O28" s="15"/>
      <c r="P28" s="15"/>
      <c r="Q28" s="15"/>
      <c r="R28" s="10" t="s">
        <v>26</v>
      </c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2.5" x14ac:dyDescent="0.3">
      <c r="A29" s="5">
        <v>27</v>
      </c>
      <c r="B29" s="6">
        <v>45932</v>
      </c>
      <c r="C29" s="7" t="s">
        <v>53</v>
      </c>
      <c r="D29" s="7" t="str">
        <f t="shared" si="0"/>
        <v>Thursday</v>
      </c>
      <c r="E29" s="9" t="s">
        <v>26</v>
      </c>
      <c r="F29" s="9" t="s">
        <v>26</v>
      </c>
      <c r="G29" s="9" t="s">
        <v>26</v>
      </c>
      <c r="H29" s="9" t="s">
        <v>26</v>
      </c>
      <c r="I29" s="9" t="s">
        <v>26</v>
      </c>
      <c r="J29" s="9" t="s">
        <v>26</v>
      </c>
      <c r="K29" s="9" t="s">
        <v>26</v>
      </c>
      <c r="L29" s="9" t="s">
        <v>26</v>
      </c>
      <c r="M29" s="9" t="s">
        <v>26</v>
      </c>
      <c r="N29" s="9" t="s">
        <v>26</v>
      </c>
      <c r="O29" s="9" t="s">
        <v>26</v>
      </c>
      <c r="P29" s="9" t="s">
        <v>26</v>
      </c>
      <c r="Q29" s="9" t="s">
        <v>26</v>
      </c>
      <c r="R29" s="9" t="s">
        <v>26</v>
      </c>
      <c r="S29" s="9" t="s">
        <v>26</v>
      </c>
      <c r="T29" s="9" t="s">
        <v>26</v>
      </c>
      <c r="U29" s="9" t="s">
        <v>26</v>
      </c>
      <c r="V29" s="9" t="s">
        <v>26</v>
      </c>
      <c r="W29" s="9" t="s">
        <v>26</v>
      </c>
      <c r="X29" s="9" t="s">
        <v>26</v>
      </c>
      <c r="Y29" s="9" t="s">
        <v>26</v>
      </c>
      <c r="Z29" s="9" t="s">
        <v>26</v>
      </c>
      <c r="AA29" s="9" t="s">
        <v>26</v>
      </c>
    </row>
    <row r="30" spans="1:27" ht="12.5" x14ac:dyDescent="0.3">
      <c r="A30" s="5">
        <v>28</v>
      </c>
      <c r="B30" s="6">
        <v>45950</v>
      </c>
      <c r="C30" s="7" t="s">
        <v>54</v>
      </c>
      <c r="D30" s="7" t="str">
        <f t="shared" si="0"/>
        <v>Monday</v>
      </c>
      <c r="E30" s="15" t="s">
        <v>26</v>
      </c>
      <c r="F30" s="11"/>
      <c r="G30" s="9" t="s">
        <v>26</v>
      </c>
      <c r="H30" s="9"/>
      <c r="I30" s="9" t="s">
        <v>26</v>
      </c>
      <c r="J30" s="11"/>
      <c r="K30" s="11"/>
      <c r="L30" s="11"/>
      <c r="M30" s="11"/>
      <c r="N30" s="11"/>
      <c r="O30" s="9" t="s">
        <v>26</v>
      </c>
      <c r="P30" s="9"/>
      <c r="Q30" s="9" t="s">
        <v>26</v>
      </c>
      <c r="R30" s="9"/>
      <c r="S30" s="9" t="s">
        <v>26</v>
      </c>
      <c r="T30" s="9"/>
      <c r="U30" s="9"/>
      <c r="V30" s="9" t="s">
        <v>26</v>
      </c>
      <c r="W30" s="9"/>
      <c r="X30" s="9"/>
      <c r="Y30" s="9" t="s">
        <v>26</v>
      </c>
      <c r="Z30" s="11"/>
      <c r="AA30" s="9"/>
    </row>
    <row r="31" spans="1:27" ht="12.5" x14ac:dyDescent="0.3">
      <c r="A31" s="5">
        <v>29</v>
      </c>
      <c r="B31" s="6">
        <v>45951</v>
      </c>
      <c r="C31" s="7" t="s">
        <v>54</v>
      </c>
      <c r="D31" s="7" t="str">
        <f t="shared" si="0"/>
        <v>Tuesday</v>
      </c>
      <c r="E31" s="11"/>
      <c r="F31" s="9" t="s">
        <v>26</v>
      </c>
      <c r="G31" s="11"/>
      <c r="H31" s="11"/>
      <c r="I31" s="11"/>
      <c r="J31" s="9" t="s">
        <v>26</v>
      </c>
      <c r="K31" s="9" t="s">
        <v>26</v>
      </c>
      <c r="L31" s="9" t="s">
        <v>26</v>
      </c>
      <c r="M31" s="9" t="s">
        <v>26</v>
      </c>
      <c r="N31" s="9" t="s">
        <v>26</v>
      </c>
      <c r="O31" s="9"/>
      <c r="P31" s="9" t="s">
        <v>26</v>
      </c>
      <c r="Q31" s="11"/>
      <c r="R31" s="9" t="s">
        <v>26</v>
      </c>
      <c r="S31" s="9"/>
      <c r="T31" s="9" t="s">
        <v>26</v>
      </c>
      <c r="U31" s="9" t="s">
        <v>26</v>
      </c>
      <c r="V31" s="9"/>
      <c r="W31" s="9" t="s">
        <v>26</v>
      </c>
      <c r="X31" s="9" t="s">
        <v>26</v>
      </c>
      <c r="Y31" s="11"/>
      <c r="Z31" s="9" t="s">
        <v>26</v>
      </c>
      <c r="AA31" s="9" t="s">
        <v>26</v>
      </c>
    </row>
    <row r="32" spans="1:27" ht="12.5" x14ac:dyDescent="0.3">
      <c r="A32" s="5">
        <v>30</v>
      </c>
      <c r="B32" s="6">
        <v>45952</v>
      </c>
      <c r="C32" s="7" t="s">
        <v>55</v>
      </c>
      <c r="D32" s="7" t="str">
        <f t="shared" si="0"/>
        <v>Wednesday</v>
      </c>
      <c r="E32" s="11"/>
      <c r="F32" s="9"/>
      <c r="G32" s="9"/>
      <c r="H32" s="15" t="s">
        <v>26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2.5" x14ac:dyDescent="0.3">
      <c r="A33" s="5">
        <v>31</v>
      </c>
      <c r="B33" s="6">
        <v>45959</v>
      </c>
      <c r="C33" s="7" t="s">
        <v>57</v>
      </c>
      <c r="D33" s="7" t="str">
        <f t="shared" si="0"/>
        <v>Wednesday</v>
      </c>
      <c r="E33" s="11"/>
      <c r="F33" s="9"/>
      <c r="G33" s="9"/>
      <c r="H33" s="15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2.5" x14ac:dyDescent="0.3">
      <c r="A34" s="5">
        <v>32</v>
      </c>
      <c r="B34" s="6">
        <v>45962</v>
      </c>
      <c r="C34" s="7" t="s">
        <v>58</v>
      </c>
      <c r="D34" s="4" t="str">
        <f t="shared" si="0"/>
        <v>Saturday</v>
      </c>
      <c r="E34" s="15"/>
      <c r="F34" s="15"/>
      <c r="G34" s="16"/>
      <c r="H34" s="15" t="s">
        <v>26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2.5" x14ac:dyDescent="0.3">
      <c r="A35" s="5">
        <v>33</v>
      </c>
      <c r="B35" s="6">
        <v>45966</v>
      </c>
      <c r="C35" s="7" t="s">
        <v>59</v>
      </c>
      <c r="D35" s="7" t="str">
        <f t="shared" si="0"/>
        <v>Wednesday</v>
      </c>
      <c r="E35" s="11"/>
      <c r="F35" s="9"/>
      <c r="G35" s="13"/>
      <c r="H35" s="9"/>
      <c r="I35" s="11"/>
      <c r="J35" s="10"/>
      <c r="K35" s="10"/>
      <c r="L35" s="10"/>
      <c r="M35" s="10"/>
      <c r="N35" s="10"/>
      <c r="O35" s="9" t="s">
        <v>26</v>
      </c>
      <c r="P35" s="9" t="s">
        <v>26</v>
      </c>
      <c r="Q35" s="9" t="s">
        <v>26</v>
      </c>
      <c r="S35" s="9" t="s">
        <v>26</v>
      </c>
      <c r="T35" s="9" t="s">
        <v>26</v>
      </c>
      <c r="U35" s="9" t="s">
        <v>26</v>
      </c>
      <c r="V35" s="9" t="s">
        <v>26</v>
      </c>
      <c r="W35" s="9" t="s">
        <v>26</v>
      </c>
      <c r="X35" s="9" t="s">
        <v>26</v>
      </c>
      <c r="Y35" s="9" t="s">
        <v>26</v>
      </c>
      <c r="Z35" s="9" t="s">
        <v>26</v>
      </c>
      <c r="AA35" s="9" t="s">
        <v>26</v>
      </c>
    </row>
    <row r="36" spans="1:27" ht="12.5" x14ac:dyDescent="0.3">
      <c r="A36" s="5">
        <v>34</v>
      </c>
      <c r="B36" s="6">
        <v>46010</v>
      </c>
      <c r="C36" s="7" t="s">
        <v>60</v>
      </c>
      <c r="D36" s="7" t="str">
        <f t="shared" si="0"/>
        <v>Friday</v>
      </c>
      <c r="E36" s="11"/>
      <c r="F36" s="9"/>
      <c r="G36" s="13"/>
      <c r="H36" s="9"/>
      <c r="I36" s="11"/>
      <c r="J36" s="10"/>
      <c r="K36" s="10"/>
      <c r="L36" s="10"/>
      <c r="M36" s="10"/>
      <c r="N36" s="10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2.5" x14ac:dyDescent="0.3">
      <c r="A37" s="5">
        <v>35</v>
      </c>
      <c r="B37" s="6">
        <v>46016</v>
      </c>
      <c r="C37" s="7" t="s">
        <v>61</v>
      </c>
      <c r="D37" s="7" t="str">
        <f t="shared" si="0"/>
        <v>Thursday</v>
      </c>
      <c r="E37" s="9" t="s">
        <v>26</v>
      </c>
      <c r="F37" s="9" t="s">
        <v>26</v>
      </c>
      <c r="G37" s="9" t="s">
        <v>26</v>
      </c>
      <c r="H37" s="9" t="s">
        <v>26</v>
      </c>
      <c r="I37" s="9" t="s">
        <v>26</v>
      </c>
      <c r="J37" s="9" t="s">
        <v>26</v>
      </c>
      <c r="K37" s="9" t="s">
        <v>26</v>
      </c>
      <c r="L37" s="9" t="s">
        <v>26</v>
      </c>
      <c r="M37" s="9" t="s">
        <v>26</v>
      </c>
      <c r="N37" s="9" t="s">
        <v>26</v>
      </c>
      <c r="O37" s="9" t="s">
        <v>26</v>
      </c>
      <c r="P37" s="9" t="s">
        <v>26</v>
      </c>
      <c r="Q37" s="9" t="s">
        <v>26</v>
      </c>
      <c r="R37" s="9" t="s">
        <v>26</v>
      </c>
      <c r="S37" s="9" t="s">
        <v>26</v>
      </c>
      <c r="T37" s="9" t="s">
        <v>26</v>
      </c>
      <c r="U37" s="9" t="s">
        <v>26</v>
      </c>
      <c r="V37" s="9" t="s">
        <v>26</v>
      </c>
      <c r="W37" s="9" t="s">
        <v>26</v>
      </c>
      <c r="X37" s="9" t="s">
        <v>26</v>
      </c>
      <c r="Y37" s="9" t="s">
        <v>26</v>
      </c>
      <c r="Z37" s="9" t="s">
        <v>26</v>
      </c>
      <c r="AA37" s="9" t="s">
        <v>26</v>
      </c>
    </row>
    <row r="38" spans="1:27" ht="12.5" x14ac:dyDescent="0.3">
      <c r="A38" s="5"/>
      <c r="B38" s="6"/>
      <c r="C38" s="7"/>
      <c r="D38" s="22"/>
      <c r="E38" s="15"/>
      <c r="F38" s="15"/>
      <c r="G38" s="16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7"/>
    </row>
    <row r="39" spans="1:27" ht="12.5" x14ac:dyDescent="0.3">
      <c r="A39" s="23"/>
      <c r="B39" s="23"/>
      <c r="C39" s="23"/>
      <c r="D39" s="2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2.5" x14ac:dyDescent="0.3">
      <c r="A40" s="106" t="s">
        <v>62</v>
      </c>
      <c r="B40" s="106"/>
      <c r="C40" s="106"/>
      <c r="D40" s="106"/>
      <c r="E40" s="24">
        <f t="shared" ref="E40:AA40" si="1">COUNTIFS(E3:E38,"Yes")</f>
        <v>13</v>
      </c>
      <c r="F40" s="24">
        <f t="shared" si="1"/>
        <v>13</v>
      </c>
      <c r="G40" s="24">
        <f t="shared" si="1"/>
        <v>13</v>
      </c>
      <c r="H40" s="24">
        <f t="shared" si="1"/>
        <v>12</v>
      </c>
      <c r="I40" s="24">
        <f t="shared" si="1"/>
        <v>13</v>
      </c>
      <c r="J40" s="24">
        <f t="shared" si="1"/>
        <v>12</v>
      </c>
      <c r="K40" s="24">
        <f t="shared" si="1"/>
        <v>12</v>
      </c>
      <c r="L40" s="24">
        <f t="shared" si="1"/>
        <v>12</v>
      </c>
      <c r="M40" s="24">
        <f t="shared" si="1"/>
        <v>12</v>
      </c>
      <c r="N40" s="24">
        <f t="shared" si="1"/>
        <v>12</v>
      </c>
      <c r="O40" s="24">
        <f t="shared" si="1"/>
        <v>13</v>
      </c>
      <c r="P40" s="24">
        <f t="shared" si="1"/>
        <v>13</v>
      </c>
      <c r="Q40" s="24">
        <f t="shared" si="1"/>
        <v>13</v>
      </c>
      <c r="R40" s="24">
        <f t="shared" si="1"/>
        <v>12</v>
      </c>
      <c r="S40" s="24">
        <f t="shared" si="1"/>
        <v>12</v>
      </c>
      <c r="T40" s="24">
        <f t="shared" si="1"/>
        <v>13</v>
      </c>
      <c r="U40" s="24">
        <f t="shared" si="1"/>
        <v>13</v>
      </c>
      <c r="V40" s="24">
        <f t="shared" si="1"/>
        <v>13</v>
      </c>
      <c r="W40" s="24">
        <f t="shared" si="1"/>
        <v>13</v>
      </c>
      <c r="X40" s="24">
        <f t="shared" si="1"/>
        <v>13</v>
      </c>
      <c r="Y40" s="24">
        <f t="shared" si="1"/>
        <v>13</v>
      </c>
      <c r="Z40" s="24">
        <f t="shared" si="1"/>
        <v>13</v>
      </c>
      <c r="AA40" s="24">
        <f t="shared" si="1"/>
        <v>13</v>
      </c>
    </row>
    <row r="41" spans="1:27" ht="12.5" x14ac:dyDescent="0.3">
      <c r="D41" s="25" t="s">
        <v>63</v>
      </c>
      <c r="E41" s="25">
        <f t="shared" ref="E41:AA41" si="2">COUNTIFS(E3:E38,"Yes",$D$3:$D$38,$D$41)</f>
        <v>1</v>
      </c>
      <c r="F41" s="25">
        <f t="shared" si="2"/>
        <v>1</v>
      </c>
      <c r="G41" s="25">
        <f t="shared" si="2"/>
        <v>1</v>
      </c>
      <c r="H41" s="25">
        <f t="shared" si="2"/>
        <v>1</v>
      </c>
      <c r="I41" s="25">
        <f t="shared" si="2"/>
        <v>1</v>
      </c>
      <c r="J41" s="25">
        <f t="shared" si="2"/>
        <v>1</v>
      </c>
      <c r="K41" s="25">
        <f t="shared" si="2"/>
        <v>1</v>
      </c>
      <c r="L41" s="25">
        <f t="shared" si="2"/>
        <v>1</v>
      </c>
      <c r="M41" s="25">
        <f t="shared" si="2"/>
        <v>1</v>
      </c>
      <c r="N41" s="25">
        <f t="shared" si="2"/>
        <v>1</v>
      </c>
      <c r="O41" s="25">
        <f t="shared" si="2"/>
        <v>1</v>
      </c>
      <c r="P41" s="25">
        <f t="shared" si="2"/>
        <v>1</v>
      </c>
      <c r="Q41" s="25">
        <f t="shared" si="2"/>
        <v>1</v>
      </c>
      <c r="R41" s="25">
        <f t="shared" si="2"/>
        <v>1</v>
      </c>
      <c r="S41" s="25">
        <f t="shared" si="2"/>
        <v>1</v>
      </c>
      <c r="T41" s="25">
        <f t="shared" si="2"/>
        <v>1</v>
      </c>
      <c r="U41" s="25">
        <f t="shared" si="2"/>
        <v>1</v>
      </c>
      <c r="V41" s="25">
        <f t="shared" si="2"/>
        <v>1</v>
      </c>
      <c r="W41" s="25">
        <f t="shared" si="2"/>
        <v>1</v>
      </c>
      <c r="X41" s="25">
        <f t="shared" si="2"/>
        <v>1</v>
      </c>
      <c r="Y41" s="25">
        <f t="shared" si="2"/>
        <v>1</v>
      </c>
      <c r="Z41" s="25">
        <f t="shared" si="2"/>
        <v>1</v>
      </c>
      <c r="AA41" s="25">
        <f t="shared" si="2"/>
        <v>1</v>
      </c>
    </row>
    <row r="42" spans="1:27" ht="12.5" x14ac:dyDescent="0.3">
      <c r="D42" s="25" t="s">
        <v>64</v>
      </c>
      <c r="E42" s="25">
        <f t="shared" ref="E42:AA42" si="3">COUNTIFS(E3:E38,"Yes",$D$3:$D$38,$D$42)</f>
        <v>1</v>
      </c>
      <c r="F42" s="25">
        <f t="shared" si="3"/>
        <v>1</v>
      </c>
      <c r="G42" s="25">
        <f t="shared" si="3"/>
        <v>0</v>
      </c>
      <c r="H42" s="25">
        <f t="shared" si="3"/>
        <v>1</v>
      </c>
      <c r="I42" s="25">
        <f t="shared" si="3"/>
        <v>1</v>
      </c>
      <c r="J42" s="25">
        <f t="shared" si="3"/>
        <v>0</v>
      </c>
      <c r="K42" s="25">
        <f t="shared" si="3"/>
        <v>0</v>
      </c>
      <c r="L42" s="25">
        <f t="shared" si="3"/>
        <v>0</v>
      </c>
      <c r="M42" s="25">
        <f t="shared" si="3"/>
        <v>0</v>
      </c>
      <c r="N42" s="25">
        <f t="shared" si="3"/>
        <v>0</v>
      </c>
      <c r="O42" s="25">
        <f t="shared" si="3"/>
        <v>1</v>
      </c>
      <c r="P42" s="25">
        <f t="shared" si="3"/>
        <v>1</v>
      </c>
      <c r="Q42" s="25">
        <f t="shared" si="3"/>
        <v>1</v>
      </c>
      <c r="R42" s="25">
        <f t="shared" si="3"/>
        <v>0</v>
      </c>
      <c r="S42" s="25">
        <f t="shared" si="3"/>
        <v>1</v>
      </c>
      <c r="T42" s="25">
        <f t="shared" si="3"/>
        <v>2</v>
      </c>
      <c r="U42" s="25">
        <f t="shared" si="3"/>
        <v>0</v>
      </c>
      <c r="V42" s="25">
        <f t="shared" si="3"/>
        <v>1</v>
      </c>
      <c r="W42" s="25">
        <f t="shared" si="3"/>
        <v>1</v>
      </c>
      <c r="X42" s="25">
        <f t="shared" si="3"/>
        <v>1</v>
      </c>
      <c r="Y42" s="25">
        <f t="shared" si="3"/>
        <v>2</v>
      </c>
      <c r="Z42" s="25">
        <f t="shared" si="3"/>
        <v>1</v>
      </c>
      <c r="AA42" s="25">
        <f t="shared" si="3"/>
        <v>1</v>
      </c>
    </row>
    <row r="43" spans="1:27" x14ac:dyDescent="0.35">
      <c r="K43" s="25"/>
    </row>
  </sheetData>
  <autoFilter ref="A2:AA37" xr:uid="{00000000-0009-0000-0000-000001000000}"/>
  <mergeCells count="5">
    <mergeCell ref="E1:I1"/>
    <mergeCell ref="J1:N1"/>
    <mergeCell ref="O1:R1"/>
    <mergeCell ref="S1:AA1"/>
    <mergeCell ref="A40:D40"/>
  </mergeCells>
  <conditionalFormatting sqref="E3:E4 G8:I9 G10 I10 E11:I11 E12:E13 E18:I18 F19:H19 E30 G30:I30 F31:F33 E34:F34">
    <cfRule type="cellIs" dxfId="89" priority="236" operator="equal">
      <formula>"Yes"</formula>
    </cfRule>
  </conditionalFormatting>
  <conditionalFormatting sqref="E6:E10">
    <cfRule type="cellIs" dxfId="88" priority="194" operator="equal">
      <formula>"Yes"</formula>
    </cfRule>
  </conditionalFormatting>
  <conditionalFormatting sqref="E15:E16">
    <cfRule type="cellIs" dxfId="87" priority="196" operator="equal">
      <formula>"Yes"</formula>
    </cfRule>
  </conditionalFormatting>
  <conditionalFormatting sqref="E37:E38">
    <cfRule type="cellIs" dxfId="86" priority="215" operator="equal">
      <formula>"Yes"</formula>
    </cfRule>
  </conditionalFormatting>
  <conditionalFormatting sqref="E20:I29">
    <cfRule type="cellIs" dxfId="85" priority="187" operator="equal">
      <formula>"Yes"</formula>
    </cfRule>
  </conditionalFormatting>
  <conditionalFormatting sqref="F3:F10">
    <cfRule type="cellIs" dxfId="84" priority="189" operator="equal">
      <formula>"Yes"</formula>
    </cfRule>
  </conditionalFormatting>
  <conditionalFormatting sqref="F14:F17">
    <cfRule type="cellIs" dxfId="83" priority="188" operator="equal">
      <formula>"Yes"</formula>
    </cfRule>
  </conditionalFormatting>
  <conditionalFormatting sqref="F35:F38">
    <cfRule type="cellIs" dxfId="82" priority="217" operator="equal">
      <formula>"Yes"</formula>
    </cfRule>
  </conditionalFormatting>
  <conditionalFormatting sqref="G3:G7">
    <cfRule type="cellIs" dxfId="81" priority="200" operator="equal">
      <formula>"Yes"</formula>
    </cfRule>
  </conditionalFormatting>
  <conditionalFormatting sqref="G12:G17">
    <cfRule type="cellIs" dxfId="80" priority="206" operator="equal">
      <formula>"Yes"</formula>
    </cfRule>
  </conditionalFormatting>
  <conditionalFormatting sqref="G32:G38">
    <cfRule type="cellIs" dxfId="79" priority="227" operator="equal">
      <formula>"Yes"</formula>
    </cfRule>
  </conditionalFormatting>
  <conditionalFormatting sqref="H15:H17">
    <cfRule type="cellIs" dxfId="78" priority="193" operator="equal">
      <formula>"Yes"</formula>
    </cfRule>
  </conditionalFormatting>
  <conditionalFormatting sqref="H35:H38">
    <cfRule type="cellIs" dxfId="77" priority="224" operator="equal">
      <formula>"Yes"</formula>
    </cfRule>
  </conditionalFormatting>
  <conditionalFormatting sqref="H3:I4">
    <cfRule type="cellIs" dxfId="76" priority="198" operator="equal">
      <formula>"Yes"</formula>
    </cfRule>
  </conditionalFormatting>
  <conditionalFormatting sqref="H6:I7">
    <cfRule type="cellIs" dxfId="75" priority="1" operator="equal">
      <formula>"Yes"</formula>
    </cfRule>
  </conditionalFormatting>
  <conditionalFormatting sqref="H32:I34">
    <cfRule type="cellIs" dxfId="74" priority="211" operator="equal">
      <formula>"Yes"</formula>
    </cfRule>
  </conditionalFormatting>
  <conditionalFormatting sqref="I14:I17">
    <cfRule type="cellIs" dxfId="73" priority="199" operator="equal">
      <formula>"Yes"</formula>
    </cfRule>
  </conditionalFormatting>
  <conditionalFormatting sqref="I37:I38">
    <cfRule type="cellIs" dxfId="72" priority="231" operator="equal">
      <formula>"Yes"</formula>
    </cfRule>
  </conditionalFormatting>
  <conditionalFormatting sqref="J3:N3">
    <cfRule type="cellIs" dxfId="71" priority="14" operator="equal">
      <formula>"Yes"</formula>
    </cfRule>
  </conditionalFormatting>
  <conditionalFormatting sqref="J6:N8">
    <cfRule type="cellIs" dxfId="70" priority="10" operator="equal">
      <formula>"Yes"</formula>
    </cfRule>
  </conditionalFormatting>
  <conditionalFormatting sqref="J10:N11 J14:N15">
    <cfRule type="cellIs" dxfId="69" priority="15" operator="equal">
      <formula>"Yes"</formula>
    </cfRule>
  </conditionalFormatting>
  <conditionalFormatting sqref="J17:N29">
    <cfRule type="cellIs" dxfId="68" priority="2" operator="equal">
      <formula>"Yes"</formula>
    </cfRule>
  </conditionalFormatting>
  <conditionalFormatting sqref="J31:N38">
    <cfRule type="cellIs" dxfId="67" priority="7" operator="equal">
      <formula>"Yes"</formula>
    </cfRule>
  </conditionalFormatting>
  <conditionalFormatting sqref="O13:O38">
    <cfRule type="cellIs" dxfId="66" priority="168" operator="equal">
      <formula>"Yes"</formula>
    </cfRule>
  </conditionalFormatting>
  <conditionalFormatting sqref="O3:P11">
    <cfRule type="cellIs" dxfId="65" priority="155" operator="equal">
      <formula>"Yes"</formula>
    </cfRule>
  </conditionalFormatting>
  <conditionalFormatting sqref="P14:P26">
    <cfRule type="cellIs" dxfId="64" priority="156" operator="equal">
      <formula>"Yes"</formula>
    </cfRule>
  </conditionalFormatting>
  <conditionalFormatting sqref="P28:P37">
    <cfRule type="cellIs" dxfId="63" priority="158" operator="equal">
      <formula>"Yes"</formula>
    </cfRule>
  </conditionalFormatting>
  <conditionalFormatting sqref="Q3:Q4">
    <cfRule type="cellIs" dxfId="62" priority="89" operator="equal">
      <formula>"Yes"</formula>
    </cfRule>
  </conditionalFormatting>
  <conditionalFormatting sqref="Q14:Q17">
    <cfRule type="cellIs" dxfId="61" priority="77" operator="equal">
      <formula>"Yes"</formula>
    </cfRule>
  </conditionalFormatting>
  <conditionalFormatting sqref="Q23:Q24">
    <cfRule type="cellIs" dxfId="60" priority="75" operator="equal">
      <formula>"Yes"</formula>
    </cfRule>
  </conditionalFormatting>
  <conditionalFormatting sqref="Q35:Q38">
    <cfRule type="cellIs" dxfId="59" priority="134" operator="equal">
      <formula>"Yes"</formula>
    </cfRule>
  </conditionalFormatting>
  <conditionalFormatting sqref="Q6:U9">
    <cfRule type="cellIs" dxfId="58" priority="67" operator="equal">
      <formula>"Yes"</formula>
    </cfRule>
  </conditionalFormatting>
  <conditionalFormatting sqref="Q18:U18">
    <cfRule type="cellIs" dxfId="57" priority="84" operator="equal">
      <formula>"Yes"</formula>
    </cfRule>
  </conditionalFormatting>
  <conditionalFormatting sqref="Q5:AA5 Q10:AA11 T12 V14:Y14 S14:T15 T16 T17:U17 Q19:X19 Z19:AA19 R24:T24 Q25:T25 Q28:V28 X28:AA28 Q29:AA29 Q30:Y30 AA30 Z31:AA31 Q32:Q33 Q34:R34">
    <cfRule type="cellIs" dxfId="56" priority="154" operator="equal">
      <formula>"Yes"</formula>
    </cfRule>
  </conditionalFormatting>
  <conditionalFormatting sqref="Q20:AA22">
    <cfRule type="cellIs" dxfId="55" priority="48" operator="equal">
      <formula>"Yes"</formula>
    </cfRule>
  </conditionalFormatting>
  <conditionalFormatting sqref="Q26:AA27">
    <cfRule type="cellIs" dxfId="54" priority="47" operator="equal">
      <formula>"Yes"</formula>
    </cfRule>
  </conditionalFormatting>
  <conditionalFormatting sqref="R3">
    <cfRule type="cellIs" dxfId="53" priority="5" operator="equal">
      <formula>"Yes"</formula>
    </cfRule>
  </conditionalFormatting>
  <conditionalFormatting sqref="R15:R17">
    <cfRule type="cellIs" dxfId="52" priority="74" operator="equal">
      <formula>"Yes"</formula>
    </cfRule>
  </conditionalFormatting>
  <conditionalFormatting sqref="R31:R33">
    <cfRule type="cellIs" dxfId="51" priority="91" operator="equal">
      <formula>"Yes"</formula>
    </cfRule>
  </conditionalFormatting>
  <conditionalFormatting sqref="R36:R37">
    <cfRule type="cellIs" dxfId="50" priority="86" operator="equal">
      <formula>"Yes"</formula>
    </cfRule>
  </conditionalFormatting>
  <conditionalFormatting sqref="R23:U23">
    <cfRule type="cellIs" dxfId="49" priority="145" operator="equal">
      <formula>"Yes"</formula>
    </cfRule>
  </conditionalFormatting>
  <conditionalFormatting sqref="S16:S17">
    <cfRule type="cellIs" dxfId="48" priority="3" operator="equal">
      <formula>"Yes"</formula>
    </cfRule>
  </conditionalFormatting>
  <conditionalFormatting sqref="S31:X31">
    <cfRule type="cellIs" dxfId="47" priority="78" operator="equal">
      <formula>"Yes"</formula>
    </cfRule>
  </conditionalFormatting>
  <conditionalFormatting sqref="S3:AA4">
    <cfRule type="cellIs" dxfId="46" priority="4" operator="equal">
      <formula>"Yes"</formula>
    </cfRule>
  </conditionalFormatting>
  <conditionalFormatting sqref="S32:AA38">
    <cfRule type="cellIs" dxfId="45" priority="82" operator="equal">
      <formula>"Yes"</formula>
    </cfRule>
  </conditionalFormatting>
  <conditionalFormatting sqref="U13:U16">
    <cfRule type="cellIs" dxfId="44" priority="65" operator="equal">
      <formula>"Yes"</formula>
    </cfRule>
  </conditionalFormatting>
  <conditionalFormatting sqref="U24:U25">
    <cfRule type="cellIs" dxfId="43" priority="110" operator="equal">
      <formula>"Yes"</formula>
    </cfRule>
  </conditionalFormatting>
  <conditionalFormatting sqref="V6">
    <cfRule type="cellIs" dxfId="42" priority="129" operator="equal">
      <formula>"Yes"</formula>
    </cfRule>
  </conditionalFormatting>
  <conditionalFormatting sqref="V8:V9">
    <cfRule type="cellIs" dxfId="41" priority="128" operator="equal">
      <formula>"Yes"</formula>
    </cfRule>
  </conditionalFormatting>
  <conditionalFormatting sqref="V15:V17">
    <cfRule type="cellIs" dxfId="40" priority="62" operator="equal">
      <formula>"Yes"</formula>
    </cfRule>
  </conditionalFormatting>
  <conditionalFormatting sqref="V23:AA25">
    <cfRule type="cellIs" dxfId="39" priority="93" operator="equal">
      <formula>"Yes"</formula>
    </cfRule>
  </conditionalFormatting>
  <conditionalFormatting sqref="W6:Y9">
    <cfRule type="cellIs" dxfId="38" priority="54" operator="equal">
      <formula>"Yes"</formula>
    </cfRule>
  </conditionalFormatting>
  <conditionalFormatting sqref="W15:Y18">
    <cfRule type="cellIs" dxfId="37" priority="53" operator="equal">
      <formula>"Yes"</formula>
    </cfRule>
  </conditionalFormatting>
  <conditionalFormatting sqref="W12:Z13">
    <cfRule type="cellIs" dxfId="36" priority="56" operator="equal">
      <formula>"Yes"</formula>
    </cfRule>
  </conditionalFormatting>
  <conditionalFormatting sqref="Z6">
    <cfRule type="cellIs" dxfId="35" priority="120" operator="equal">
      <formula>"Yes"</formula>
    </cfRule>
  </conditionalFormatting>
  <conditionalFormatting sqref="Z8:Z9">
    <cfRule type="cellIs" dxfId="34" priority="119" operator="equal">
      <formula>"Yes"</formula>
    </cfRule>
  </conditionalFormatting>
  <conditionalFormatting sqref="Z14:Z18">
    <cfRule type="cellIs" dxfId="33" priority="50" operator="equal">
      <formula>"Yes"</formula>
    </cfRule>
  </conditionalFormatting>
  <conditionalFormatting sqref="AA6:AA9">
    <cfRule type="cellIs" dxfId="32" priority="95" operator="equal">
      <formula>"Yes"</formula>
    </cfRule>
  </conditionalFormatting>
  <conditionalFormatting sqref="AA12:AA18">
    <cfRule type="cellIs" dxfId="31" priority="49" operator="equal">
      <formula>"Yes"</formula>
    </cfRule>
  </conditionalFormatting>
  <dataValidations count="1">
    <dataValidation type="list" allowBlank="1" showInputMessage="1" showErrorMessage="1" sqref="I14:I18 X27:AA28 E23:G26 F31 H11:I11 F5:G5 J14:N15 E30 E34:G34 F32:G33 E27:F29 G27:I30 J10:N11 H32:I34 F35:H36 E20:E22 I20:I26 F14:F22 J21:N21 I6:I10 G11:G22 E37:O38 J17:N18 P15:T18 H15:H26 J31:O36 F10:G10 O27:O28 O13:O18 O20:P20 O23:Q25 S35:X35 P30:P37 Y23:AA25 U13 Q37:Q38 S37:AA38 W8:AA18 R37 R23:T26 R29:R34 T29:U34 V30:X34 AA30:AA36 S32:S34 S29:S30 Q30 Z31 Y30 Y32:Z36 S20:T21 R20 Q21 Q27:W27 T3:T12 U18:U26 U7 V19:X25 U14:V17 U8:V11 Y21:AA21 U3:AA6 AA7 W7:Y7 J6:N8 J23:N29 E4:I4 Q32:Q35 P28:V28 Q36:X36 S3:S4 O5:S11 E3:R3 E10:E13 E15:E16 E18 E6:H9 S14:T14 P14:Q14 O4:Q4" xr:uid="{00000000-0002-0000-0100-000000000000}">
      <formula1>$XFD$2:$XFD$3</formula1>
    </dataValidation>
  </dataValidations>
  <hyperlinks>
    <hyperlink ref="C7" r:id="rId1" display="https://www.calendarlabs.com/holidays/india/maha-shivratri.php" xr:uid="{00000000-0004-0000-0100-000000000000}"/>
    <hyperlink ref="C37" r:id="rId2" display="https://publicholidays.in/christmas/" xr:uid="{00000000-0004-0000-0100-000001000000}"/>
    <hyperlink ref="C21" r:id="rId3" display="https://publicholidays.in/raksha-bandhan/" xr:uid="{00000000-0004-0000-0100-000002000000}"/>
    <hyperlink ref="C13" r:id="rId4" display="https://publicholidays.in/mahavir-jayanti/" xr:uid="{00000000-0004-0000-0100-000003000000}"/>
    <hyperlink ref="C33" r:id="rId5" display="https://publicholidays.in/durga-puja/" xr:uid="{00000000-0004-0000-0100-000004000000}"/>
  </hyperlinks>
  <pageMargins left="0.7" right="0.7" top="0.75" bottom="0.75" header="0.3" footer="0.3"/>
  <pageSetup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905F-1A2A-428D-AC74-EA1568F204D6}">
  <sheetPr>
    <tabColor rgb="FFFFFF00"/>
  </sheetPr>
  <dimension ref="A1:XEI44"/>
  <sheetViews>
    <sheetView workbookViewId="0">
      <selection activeCell="G4" sqref="G4"/>
    </sheetView>
  </sheetViews>
  <sheetFormatPr defaultColWidth="9.453125" defaultRowHeight="14.5" x14ac:dyDescent="0.35"/>
  <cols>
    <col min="1" max="1" width="3.90625" style="25" bestFit="1" customWidth="1"/>
    <col min="2" max="2" width="10.6328125" style="25" bestFit="1" customWidth="1"/>
    <col min="3" max="3" width="48.54296875" style="25" bestFit="1" customWidth="1"/>
    <col min="4" max="4" width="9.08984375" style="25" bestFit="1" customWidth="1"/>
    <col min="5" max="5" width="8.08984375" style="25" bestFit="1" customWidth="1"/>
    <col min="6" max="6" width="8" style="25" bestFit="1" customWidth="1"/>
    <col min="7" max="7" width="8.90625" style="25" bestFit="1" customWidth="1"/>
    <col min="8" max="8" width="8.08984375" bestFit="1" customWidth="1"/>
    <col min="9" max="9" width="4.6328125" style="3" bestFit="1" customWidth="1"/>
    <col min="10" max="10" width="10.08984375" style="25" bestFit="1" customWidth="1"/>
    <col min="11" max="11" width="4.6328125" style="3" bestFit="1" customWidth="1"/>
    <col min="12" max="12" width="6.7265625" style="3" bestFit="1" customWidth="1"/>
    <col min="13" max="13" width="5.7265625" style="3" bestFit="1" customWidth="1"/>
    <col min="14" max="14" width="10.81640625" style="3" bestFit="1" customWidth="1"/>
    <col min="15" max="15" width="9.81640625" style="3" bestFit="1" customWidth="1"/>
    <col min="16" max="16362" width="9.453125" style="3"/>
    <col min="16363" max="16363" width="3.1796875" style="3" bestFit="1" customWidth="1"/>
    <col min="16364" max="16384" width="3.54296875" style="3" customWidth="1"/>
  </cols>
  <sheetData>
    <row r="1" spans="1:15 16363:16363" ht="1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31" t="s">
        <v>1</v>
      </c>
      <c r="F1" s="131"/>
      <c r="G1" s="131"/>
      <c r="H1" s="132" t="s">
        <v>2</v>
      </c>
      <c r="I1" s="132"/>
      <c r="J1" s="29" t="s">
        <v>3</v>
      </c>
      <c r="K1" s="134" t="s">
        <v>4</v>
      </c>
      <c r="L1" s="134"/>
      <c r="M1" s="134"/>
      <c r="N1" s="134"/>
      <c r="O1" s="134"/>
    </row>
    <row r="2" spans="1:15 16363:16363" ht="12.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11</v>
      </c>
      <c r="G2" s="4" t="s">
        <v>12</v>
      </c>
      <c r="H2" s="4" t="s">
        <v>13</v>
      </c>
      <c r="I2" s="4" t="s">
        <v>72</v>
      </c>
      <c r="J2" s="4" t="s">
        <v>65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66</v>
      </c>
      <c r="XEI2" s="3" t="s">
        <v>26</v>
      </c>
    </row>
    <row r="3" spans="1:15 16363:16363" ht="12.5" x14ac:dyDescent="0.3">
      <c r="A3" s="5">
        <v>1</v>
      </c>
      <c r="B3" s="6">
        <v>45658</v>
      </c>
      <c r="C3" s="7" t="s">
        <v>27</v>
      </c>
      <c r="D3" s="7" t="str">
        <f t="shared" ref="D3:D37" si="0">TEXT(B3,"ddddddd")</f>
        <v>Wednesday</v>
      </c>
      <c r="E3" s="10"/>
      <c r="F3" s="9"/>
      <c r="G3" s="9"/>
      <c r="H3" s="9"/>
      <c r="I3" s="9"/>
      <c r="J3" s="9" t="s">
        <v>26</v>
      </c>
      <c r="K3" s="9" t="s">
        <v>26</v>
      </c>
      <c r="L3" s="9"/>
      <c r="M3" s="9"/>
      <c r="N3" s="9"/>
      <c r="O3" s="9"/>
    </row>
    <row r="4" spans="1:15 16363:16363" ht="12.5" x14ac:dyDescent="0.3">
      <c r="A4" s="5">
        <v>2</v>
      </c>
      <c r="B4" s="6">
        <v>45671</v>
      </c>
      <c r="C4" s="7" t="s">
        <v>28</v>
      </c>
      <c r="D4" s="7" t="str">
        <f t="shared" si="0"/>
        <v>Tuesday</v>
      </c>
      <c r="E4" s="9" t="s">
        <v>26</v>
      </c>
      <c r="F4" s="9" t="s">
        <v>26</v>
      </c>
      <c r="G4" s="9" t="s">
        <v>26</v>
      </c>
      <c r="H4" s="9"/>
      <c r="I4" s="10" t="s">
        <v>26</v>
      </c>
      <c r="J4" s="9"/>
      <c r="K4" s="9"/>
      <c r="L4" s="9"/>
      <c r="M4" s="9"/>
      <c r="N4" s="10" t="s">
        <v>26</v>
      </c>
      <c r="O4" s="9"/>
    </row>
    <row r="5" spans="1:15 16363:16363" ht="12.5" x14ac:dyDescent="0.3">
      <c r="A5" s="5">
        <v>3</v>
      </c>
      <c r="B5" s="6">
        <v>45672</v>
      </c>
      <c r="C5" s="7" t="s">
        <v>29</v>
      </c>
      <c r="D5" s="7" t="str">
        <f t="shared" si="0"/>
        <v>Wednesday</v>
      </c>
      <c r="E5" s="11"/>
      <c r="F5" s="11"/>
      <c r="G5" s="11"/>
      <c r="H5" s="9"/>
      <c r="I5" s="11"/>
      <c r="J5" s="9"/>
      <c r="K5" s="9"/>
      <c r="L5" s="9"/>
      <c r="M5" s="9"/>
      <c r="N5" s="9"/>
      <c r="O5" s="9"/>
    </row>
    <row r="6" spans="1:15 16363:16363" ht="12.5" x14ac:dyDescent="0.3">
      <c r="A6" s="5">
        <v>4</v>
      </c>
      <c r="B6" s="6">
        <v>45683</v>
      </c>
      <c r="C6" s="7" t="s">
        <v>30</v>
      </c>
      <c r="D6" s="12" t="str">
        <f t="shared" si="0"/>
        <v>Sunday</v>
      </c>
      <c r="E6" s="9" t="s">
        <v>26</v>
      </c>
      <c r="F6" s="9" t="s">
        <v>26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</row>
    <row r="7" spans="1:15 16363:16363" ht="12.5" x14ac:dyDescent="0.3">
      <c r="A7" s="5">
        <v>5</v>
      </c>
      <c r="B7" s="6">
        <v>45714</v>
      </c>
      <c r="C7" s="7" t="s">
        <v>31</v>
      </c>
      <c r="D7" s="7" t="str">
        <f t="shared" si="0"/>
        <v>Wednesday</v>
      </c>
      <c r="E7" s="10" t="s">
        <v>26</v>
      </c>
      <c r="F7" s="10" t="s">
        <v>26</v>
      </c>
      <c r="G7" s="10"/>
      <c r="H7" s="9" t="s">
        <v>26</v>
      </c>
      <c r="I7" s="9"/>
      <c r="J7" s="9"/>
      <c r="K7" s="10" t="s">
        <v>26</v>
      </c>
      <c r="L7" s="10" t="s">
        <v>26</v>
      </c>
      <c r="M7" s="10" t="s">
        <v>26</v>
      </c>
      <c r="N7" s="11"/>
      <c r="O7" s="9"/>
    </row>
    <row r="8" spans="1:15 16363:16363" ht="12.5" x14ac:dyDescent="0.3">
      <c r="A8" s="5">
        <v>6</v>
      </c>
      <c r="B8" s="6">
        <v>45730</v>
      </c>
      <c r="C8" s="7" t="s">
        <v>32</v>
      </c>
      <c r="D8" s="7" t="str">
        <f t="shared" si="0"/>
        <v>Friday</v>
      </c>
      <c r="E8" s="9" t="s">
        <v>26</v>
      </c>
      <c r="F8" s="9"/>
      <c r="G8" s="9"/>
      <c r="H8" s="9" t="s">
        <v>26</v>
      </c>
      <c r="I8" s="9" t="s">
        <v>26</v>
      </c>
      <c r="J8" s="9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</row>
    <row r="9" spans="1:15 16363:16363" ht="12.5" x14ac:dyDescent="0.3">
      <c r="A9" s="5">
        <v>7</v>
      </c>
      <c r="B9" s="6">
        <v>45731</v>
      </c>
      <c r="C9" s="7" t="s">
        <v>32</v>
      </c>
      <c r="D9" s="4" t="str">
        <f t="shared" si="0"/>
        <v>Saturday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 16363:16363" ht="12.5" x14ac:dyDescent="0.3">
      <c r="A10" s="5">
        <v>8</v>
      </c>
      <c r="B10" s="6">
        <v>45746</v>
      </c>
      <c r="C10" s="7" t="s">
        <v>33</v>
      </c>
      <c r="D10" s="12" t="str">
        <f t="shared" si="0"/>
        <v>Sunday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 16363:16363" ht="12.5" x14ac:dyDescent="0.3">
      <c r="A11" s="5">
        <v>9</v>
      </c>
      <c r="B11" s="6">
        <v>45747</v>
      </c>
      <c r="C11" s="7" t="s">
        <v>34</v>
      </c>
      <c r="D11" s="7" t="str">
        <f t="shared" si="0"/>
        <v>Monday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26</v>
      </c>
      <c r="M11" s="9" t="s">
        <v>26</v>
      </c>
      <c r="N11" s="9"/>
      <c r="O11" s="9" t="s">
        <v>26</v>
      </c>
    </row>
    <row r="12" spans="1:15 16363:16363" ht="12.5" x14ac:dyDescent="0.3">
      <c r="A12" s="5">
        <v>10</v>
      </c>
      <c r="B12" s="6">
        <v>45748</v>
      </c>
      <c r="C12" s="7" t="s">
        <v>34</v>
      </c>
      <c r="D12" s="7" t="str">
        <f t="shared" si="0"/>
        <v>Tuesday</v>
      </c>
      <c r="E12" s="9"/>
      <c r="F12" s="11"/>
      <c r="G12" s="11"/>
      <c r="H12" s="11"/>
      <c r="I12" s="11"/>
      <c r="J12" s="11"/>
      <c r="K12" s="11"/>
      <c r="L12" s="9"/>
      <c r="M12" s="9"/>
      <c r="N12" s="9" t="s">
        <v>26</v>
      </c>
      <c r="O12" s="9"/>
    </row>
    <row r="13" spans="1:15 16363:16363" ht="12.5" x14ac:dyDescent="0.3">
      <c r="A13" s="5">
        <v>11</v>
      </c>
      <c r="B13" s="6">
        <v>45757</v>
      </c>
      <c r="C13" s="7" t="s">
        <v>35</v>
      </c>
      <c r="D13" s="7" t="str">
        <f t="shared" si="0"/>
        <v>Thursday</v>
      </c>
      <c r="E13" s="9"/>
      <c r="F13" s="11"/>
      <c r="G13" s="11"/>
      <c r="H13" s="11"/>
      <c r="I13" s="11"/>
      <c r="J13" s="11"/>
      <c r="K13" s="11"/>
      <c r="L13" s="11"/>
      <c r="M13" s="10" t="s">
        <v>26</v>
      </c>
      <c r="N13" s="9"/>
      <c r="O13" s="9"/>
    </row>
    <row r="14" spans="1:15 16363:16363" ht="25" x14ac:dyDescent="0.3">
      <c r="A14" s="5">
        <v>12</v>
      </c>
      <c r="B14" s="6">
        <v>45761</v>
      </c>
      <c r="C14" s="14" t="s">
        <v>36</v>
      </c>
      <c r="D14" s="7" t="str">
        <f t="shared" si="0"/>
        <v>Monday</v>
      </c>
      <c r="E14" s="9" t="s">
        <v>26</v>
      </c>
      <c r="F14" s="9" t="s">
        <v>26</v>
      </c>
      <c r="G14" s="9" t="s">
        <v>26</v>
      </c>
      <c r="H14" s="10" t="s">
        <v>26</v>
      </c>
      <c r="I14" s="9" t="s">
        <v>26</v>
      </c>
      <c r="J14" s="11"/>
      <c r="K14" s="9"/>
      <c r="L14" s="9" t="s">
        <v>26</v>
      </c>
      <c r="M14" s="9" t="s">
        <v>26</v>
      </c>
      <c r="N14" s="9" t="s">
        <v>26</v>
      </c>
      <c r="O14" s="9" t="s">
        <v>26</v>
      </c>
    </row>
    <row r="15" spans="1:15 16363:16363" ht="12.5" x14ac:dyDescent="0.3">
      <c r="A15" s="5">
        <v>13</v>
      </c>
      <c r="B15" s="6">
        <v>45762</v>
      </c>
      <c r="C15" s="14" t="s">
        <v>37</v>
      </c>
      <c r="D15" s="7" t="str">
        <f t="shared" si="0"/>
        <v>Tuesday</v>
      </c>
      <c r="E15" s="9"/>
      <c r="F15" s="9"/>
      <c r="G15" s="9"/>
      <c r="H15" s="10"/>
      <c r="I15" s="9"/>
      <c r="J15" s="9"/>
      <c r="K15" s="9"/>
      <c r="L15" s="9"/>
      <c r="M15" s="9"/>
      <c r="N15" s="9"/>
      <c r="O15" s="9"/>
    </row>
    <row r="16" spans="1:15 16363:16363" ht="12.5" x14ac:dyDescent="0.3">
      <c r="A16" s="5">
        <v>14</v>
      </c>
      <c r="B16" s="6">
        <v>45765</v>
      </c>
      <c r="C16" s="7" t="s">
        <v>38</v>
      </c>
      <c r="D16" s="7" t="str">
        <f t="shared" si="0"/>
        <v>Friday</v>
      </c>
      <c r="E16" s="10" t="s">
        <v>26</v>
      </c>
      <c r="F16" s="10" t="s">
        <v>26</v>
      </c>
      <c r="G16" s="10" t="s">
        <v>26</v>
      </c>
      <c r="H16" s="10" t="s">
        <v>26</v>
      </c>
      <c r="I16" s="10" t="s">
        <v>26</v>
      </c>
      <c r="J16" s="10" t="s">
        <v>26</v>
      </c>
      <c r="K16" s="9"/>
      <c r="L16" s="9"/>
      <c r="M16" s="10" t="s">
        <v>26</v>
      </c>
      <c r="N16" s="10" t="s">
        <v>26</v>
      </c>
      <c r="O16" s="10" t="s">
        <v>26</v>
      </c>
    </row>
    <row r="17" spans="1:15" ht="12.5" x14ac:dyDescent="0.3">
      <c r="A17" s="5">
        <v>15</v>
      </c>
      <c r="B17" s="6">
        <v>45778</v>
      </c>
      <c r="C17" s="7" t="s">
        <v>39</v>
      </c>
      <c r="D17" s="7" t="str">
        <f t="shared" si="0"/>
        <v>Thursday</v>
      </c>
      <c r="E17" s="9"/>
      <c r="F17" s="9" t="s">
        <v>26</v>
      </c>
      <c r="G17" s="9" t="s">
        <v>26</v>
      </c>
      <c r="H17" s="9"/>
      <c r="I17" s="9" t="s">
        <v>26</v>
      </c>
      <c r="J17" s="9" t="s">
        <v>26</v>
      </c>
      <c r="K17" s="9"/>
      <c r="L17" s="9"/>
      <c r="M17" s="9"/>
      <c r="N17" s="9"/>
      <c r="O17" s="9"/>
    </row>
    <row r="18" spans="1:15" ht="12.5" x14ac:dyDescent="0.3">
      <c r="A18" s="5">
        <v>16</v>
      </c>
      <c r="B18" s="6">
        <v>45789</v>
      </c>
      <c r="C18" s="7" t="s">
        <v>40</v>
      </c>
      <c r="D18" s="7" t="str">
        <f t="shared" si="0"/>
        <v>Monday</v>
      </c>
      <c r="E18" s="15"/>
      <c r="F18" s="15"/>
      <c r="G18" s="15"/>
      <c r="H18" s="9" t="s">
        <v>26</v>
      </c>
      <c r="I18" s="9" t="s">
        <v>26</v>
      </c>
      <c r="J18" s="15"/>
      <c r="K18" s="9"/>
      <c r="L18" s="15"/>
      <c r="M18" s="15"/>
      <c r="N18" s="9" t="s">
        <v>26</v>
      </c>
      <c r="O18" s="9" t="s">
        <v>26</v>
      </c>
    </row>
    <row r="19" spans="1:15" ht="12.5" x14ac:dyDescent="0.3">
      <c r="A19" s="5">
        <v>17</v>
      </c>
      <c r="B19" s="6">
        <v>45814</v>
      </c>
      <c r="C19" s="7" t="s">
        <v>41</v>
      </c>
      <c r="D19" s="7" t="str">
        <f t="shared" si="0"/>
        <v>Friday</v>
      </c>
      <c r="E19" s="11"/>
      <c r="F19" s="9"/>
      <c r="G19" s="11"/>
      <c r="H19" s="9"/>
      <c r="I19" s="9"/>
      <c r="J19" s="9"/>
      <c r="K19" s="9"/>
      <c r="L19" s="9"/>
      <c r="M19" s="9"/>
      <c r="N19" s="9"/>
      <c r="O19" s="9"/>
    </row>
    <row r="20" spans="1:15" ht="12.5" x14ac:dyDescent="0.3">
      <c r="A20" s="5">
        <v>18</v>
      </c>
      <c r="B20" s="6">
        <v>45815</v>
      </c>
      <c r="C20" s="7" t="s">
        <v>42</v>
      </c>
      <c r="D20" s="18" t="str">
        <f t="shared" si="0"/>
        <v>Saturday</v>
      </c>
      <c r="E20" s="10" t="s">
        <v>26</v>
      </c>
      <c r="F20" s="9"/>
      <c r="G20" s="10" t="s">
        <v>26</v>
      </c>
      <c r="H20" s="9"/>
      <c r="I20" s="9"/>
      <c r="J20" s="9"/>
      <c r="K20" s="9" t="s">
        <v>26</v>
      </c>
      <c r="L20" s="9" t="s">
        <v>26</v>
      </c>
      <c r="M20" s="9" t="s">
        <v>26</v>
      </c>
      <c r="N20" s="9"/>
      <c r="O20" s="9"/>
    </row>
    <row r="21" spans="1:15" ht="12.5" x14ac:dyDescent="0.3">
      <c r="A21" s="5">
        <v>19</v>
      </c>
      <c r="B21" s="6">
        <v>45878</v>
      </c>
      <c r="C21" s="7" t="s">
        <v>44</v>
      </c>
      <c r="D21" s="7" t="str">
        <f t="shared" si="0"/>
        <v>Saturday</v>
      </c>
      <c r="E21" s="10"/>
      <c r="F21" s="9"/>
      <c r="G21" s="10"/>
      <c r="H21" s="9"/>
      <c r="I21" s="9"/>
      <c r="J21" s="9"/>
      <c r="K21" s="9"/>
      <c r="L21" s="10" t="s">
        <v>26</v>
      </c>
      <c r="M21" s="9"/>
      <c r="N21" s="10" t="s">
        <v>26</v>
      </c>
      <c r="O21" s="10" t="s">
        <v>26</v>
      </c>
    </row>
    <row r="22" spans="1:15" ht="12.5" x14ac:dyDescent="0.3">
      <c r="A22" s="5">
        <v>20</v>
      </c>
      <c r="B22" s="6">
        <v>45882</v>
      </c>
      <c r="C22" s="7" t="s">
        <v>45</v>
      </c>
      <c r="D22" s="7" t="str">
        <f t="shared" si="0"/>
        <v>Wednesday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12.5" x14ac:dyDescent="0.3">
      <c r="A23" s="5">
        <v>21</v>
      </c>
      <c r="B23" s="6">
        <v>45884</v>
      </c>
      <c r="C23" s="7" t="s">
        <v>46</v>
      </c>
      <c r="D23" s="7" t="str">
        <f t="shared" si="0"/>
        <v>Friday</v>
      </c>
      <c r="E23" s="9" t="s">
        <v>26</v>
      </c>
      <c r="F23" s="9" t="s">
        <v>26</v>
      </c>
      <c r="G23" s="9" t="s">
        <v>26</v>
      </c>
      <c r="H23" s="9" t="s">
        <v>26</v>
      </c>
      <c r="I23" s="9" t="s">
        <v>26</v>
      </c>
      <c r="J23" s="9" t="s">
        <v>26</v>
      </c>
      <c r="K23" s="9" t="s">
        <v>26</v>
      </c>
      <c r="L23" s="9" t="s">
        <v>26</v>
      </c>
      <c r="M23" s="9" t="s">
        <v>26</v>
      </c>
      <c r="N23" s="9" t="s">
        <v>26</v>
      </c>
      <c r="O23" s="9" t="s">
        <v>26</v>
      </c>
    </row>
    <row r="24" spans="1:15" ht="12.5" x14ac:dyDescent="0.3">
      <c r="A24" s="5">
        <v>22</v>
      </c>
      <c r="B24" s="6">
        <v>45896</v>
      </c>
      <c r="C24" s="7" t="s">
        <v>47</v>
      </c>
      <c r="D24" s="7" t="str">
        <f t="shared" si="0"/>
        <v>Wednesday</v>
      </c>
      <c r="E24" s="9" t="s">
        <v>26</v>
      </c>
      <c r="F24" s="10" t="s">
        <v>26</v>
      </c>
      <c r="G24" s="9" t="s">
        <v>26</v>
      </c>
      <c r="H24" s="10" t="s">
        <v>26</v>
      </c>
      <c r="I24" s="10" t="s">
        <v>26</v>
      </c>
      <c r="J24" s="9" t="s">
        <v>26</v>
      </c>
      <c r="K24" s="9"/>
      <c r="L24" s="9"/>
      <c r="M24" s="9"/>
      <c r="N24" s="9"/>
      <c r="O24" s="9"/>
    </row>
    <row r="25" spans="1:15" ht="12.5" x14ac:dyDescent="0.3">
      <c r="A25" s="5">
        <v>23</v>
      </c>
      <c r="B25" s="6">
        <v>45897</v>
      </c>
      <c r="C25" s="7" t="s">
        <v>48</v>
      </c>
      <c r="D25" s="7" t="str">
        <f t="shared" si="0"/>
        <v>Thursday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12.5" x14ac:dyDescent="0.3">
      <c r="A26" s="5">
        <v>24</v>
      </c>
      <c r="B26" s="6">
        <v>45904</v>
      </c>
      <c r="C26" s="7" t="s">
        <v>49</v>
      </c>
      <c r="D26" s="7" t="str">
        <f t="shared" si="0"/>
        <v>Thursday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 x14ac:dyDescent="0.3">
      <c r="A27" s="5">
        <v>25</v>
      </c>
      <c r="B27" s="6">
        <v>45905</v>
      </c>
      <c r="C27" s="7" t="s">
        <v>50</v>
      </c>
      <c r="D27" s="7" t="str">
        <f t="shared" si="0"/>
        <v>Friday</v>
      </c>
      <c r="E27" s="15"/>
      <c r="F27" s="15"/>
      <c r="G27" s="15"/>
      <c r="H27" s="15"/>
      <c r="I27" s="15"/>
      <c r="J27" s="15"/>
      <c r="K27" s="10" t="s">
        <v>26</v>
      </c>
      <c r="L27" s="10" t="s">
        <v>26</v>
      </c>
      <c r="M27" s="15"/>
      <c r="N27" s="15"/>
      <c r="O27" s="10" t="s">
        <v>26</v>
      </c>
    </row>
    <row r="28" spans="1:15" ht="12.5" x14ac:dyDescent="0.3">
      <c r="A28" s="5">
        <v>26</v>
      </c>
      <c r="B28" s="6">
        <v>45931</v>
      </c>
      <c r="C28" s="7" t="s">
        <v>52</v>
      </c>
      <c r="D28" s="7" t="str">
        <f t="shared" si="0"/>
        <v>Wednesday</v>
      </c>
      <c r="E28" s="10"/>
      <c r="F28" s="15"/>
      <c r="G28" s="10" t="s">
        <v>26</v>
      </c>
      <c r="H28" s="15"/>
      <c r="I28" s="15"/>
      <c r="J28" s="15"/>
      <c r="K28" s="15"/>
      <c r="L28" s="15"/>
      <c r="M28" s="15"/>
      <c r="N28" s="15"/>
      <c r="O28" s="15"/>
    </row>
    <row r="29" spans="1:15" ht="12.5" x14ac:dyDescent="0.3">
      <c r="A29" s="5">
        <v>27</v>
      </c>
      <c r="B29" s="6">
        <v>45932</v>
      </c>
      <c r="C29" s="7" t="s">
        <v>53</v>
      </c>
      <c r="D29" s="7" t="str">
        <f t="shared" si="0"/>
        <v>Thursday</v>
      </c>
      <c r="E29" s="9" t="s">
        <v>26</v>
      </c>
      <c r="F29" s="9" t="s">
        <v>26</v>
      </c>
      <c r="G29" s="9" t="s">
        <v>26</v>
      </c>
      <c r="H29" s="9" t="s">
        <v>26</v>
      </c>
      <c r="I29" s="9" t="s">
        <v>26</v>
      </c>
      <c r="J29" s="9" t="s">
        <v>26</v>
      </c>
      <c r="K29" s="9" t="s">
        <v>26</v>
      </c>
      <c r="L29" s="9" t="s">
        <v>26</v>
      </c>
      <c r="M29" s="9" t="s">
        <v>26</v>
      </c>
      <c r="N29" s="9" t="s">
        <v>26</v>
      </c>
      <c r="O29" s="9" t="s">
        <v>26</v>
      </c>
    </row>
    <row r="30" spans="1:15" ht="12.5" x14ac:dyDescent="0.3">
      <c r="A30" s="5">
        <v>28</v>
      </c>
      <c r="B30" s="6">
        <v>45950</v>
      </c>
      <c r="C30" s="7" t="s">
        <v>54</v>
      </c>
      <c r="D30" s="7" t="str">
        <f t="shared" si="0"/>
        <v>Monday</v>
      </c>
      <c r="E30" s="15" t="s">
        <v>26</v>
      </c>
      <c r="F30" s="9"/>
      <c r="G30" s="9" t="s">
        <v>26</v>
      </c>
      <c r="H30" s="9" t="s">
        <v>26</v>
      </c>
      <c r="I30" s="11"/>
      <c r="J30" s="9"/>
      <c r="K30" s="9" t="s">
        <v>26</v>
      </c>
      <c r="L30" s="9"/>
      <c r="M30" s="9"/>
      <c r="N30" s="11"/>
      <c r="O30" s="9"/>
    </row>
    <row r="31" spans="1:15" ht="12.5" x14ac:dyDescent="0.3">
      <c r="A31" s="5">
        <v>29</v>
      </c>
      <c r="B31" s="6">
        <v>45951</v>
      </c>
      <c r="C31" s="7" t="s">
        <v>54</v>
      </c>
      <c r="D31" s="7" t="str">
        <f t="shared" si="0"/>
        <v>Tuesday</v>
      </c>
      <c r="E31" s="11"/>
      <c r="F31" s="11"/>
      <c r="G31" s="11"/>
      <c r="H31" s="11"/>
      <c r="I31" s="9"/>
      <c r="J31" s="9" t="s">
        <v>26</v>
      </c>
      <c r="K31" s="9"/>
      <c r="L31" s="9" t="s">
        <v>26</v>
      </c>
      <c r="M31" s="9" t="s">
        <v>26</v>
      </c>
      <c r="N31" s="9" t="s">
        <v>26</v>
      </c>
      <c r="O31" s="9" t="s">
        <v>26</v>
      </c>
    </row>
    <row r="32" spans="1:15" ht="12.5" x14ac:dyDescent="0.3">
      <c r="A32" s="5">
        <v>30</v>
      </c>
      <c r="B32" s="6">
        <v>45952</v>
      </c>
      <c r="C32" s="7" t="s">
        <v>55</v>
      </c>
      <c r="D32" s="7" t="str">
        <f t="shared" si="0"/>
        <v>Wednesday</v>
      </c>
      <c r="E32" s="11"/>
      <c r="F32" s="15" t="s">
        <v>26</v>
      </c>
      <c r="G32" s="9"/>
      <c r="H32" s="11"/>
      <c r="I32" s="9" t="s">
        <v>26</v>
      </c>
      <c r="J32" s="9"/>
      <c r="K32" s="9"/>
      <c r="L32" s="9"/>
      <c r="M32" s="9"/>
      <c r="N32" s="9"/>
      <c r="O32" s="9"/>
    </row>
    <row r="33" spans="1:15" ht="12.5" x14ac:dyDescent="0.3">
      <c r="A33" s="5">
        <v>31</v>
      </c>
      <c r="B33" s="6">
        <v>45959</v>
      </c>
      <c r="C33" s="7" t="s">
        <v>57</v>
      </c>
      <c r="D33" s="7" t="str">
        <f t="shared" si="0"/>
        <v>Wednesday</v>
      </c>
      <c r="E33" s="11"/>
      <c r="F33" s="15"/>
      <c r="G33" s="9"/>
      <c r="H33" s="11"/>
      <c r="I33" s="9"/>
      <c r="J33" s="9"/>
      <c r="K33" s="9"/>
      <c r="L33" s="9"/>
      <c r="M33" s="9"/>
      <c r="N33" s="9"/>
      <c r="O33" s="9"/>
    </row>
    <row r="34" spans="1:15" ht="12.5" x14ac:dyDescent="0.3">
      <c r="A34" s="5">
        <v>32</v>
      </c>
      <c r="B34" s="6">
        <v>45962</v>
      </c>
      <c r="C34" s="7" t="s">
        <v>58</v>
      </c>
      <c r="D34" s="4" t="str">
        <f t="shared" si="0"/>
        <v>Saturday</v>
      </c>
      <c r="E34" s="15"/>
      <c r="F34" s="15" t="s">
        <v>26</v>
      </c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 x14ac:dyDescent="0.3">
      <c r="A35" s="5">
        <v>33</v>
      </c>
      <c r="B35" s="6">
        <v>45966</v>
      </c>
      <c r="C35" s="7" t="s">
        <v>59</v>
      </c>
      <c r="D35" s="7" t="str">
        <f t="shared" si="0"/>
        <v>Wednesday</v>
      </c>
      <c r="E35" s="11"/>
      <c r="F35" s="9"/>
      <c r="G35" s="11"/>
      <c r="H35" s="9" t="s">
        <v>26</v>
      </c>
      <c r="I35" s="11"/>
      <c r="J35" s="9" t="s">
        <v>26</v>
      </c>
      <c r="K35" s="9" t="s">
        <v>26</v>
      </c>
      <c r="L35" s="9" t="s">
        <v>26</v>
      </c>
      <c r="M35" s="9" t="s">
        <v>26</v>
      </c>
      <c r="N35" s="9" t="s">
        <v>26</v>
      </c>
      <c r="O35" s="9" t="s">
        <v>26</v>
      </c>
    </row>
    <row r="36" spans="1:15" ht="12.5" x14ac:dyDescent="0.3">
      <c r="A36" s="5">
        <v>34</v>
      </c>
      <c r="B36" s="6">
        <v>46010</v>
      </c>
      <c r="C36" s="7" t="s">
        <v>60</v>
      </c>
      <c r="D36" s="7" t="str">
        <f t="shared" si="0"/>
        <v>Friday</v>
      </c>
      <c r="E36" s="11"/>
      <c r="F36" s="9"/>
      <c r="G36" s="11"/>
      <c r="H36" s="9"/>
      <c r="I36" s="11"/>
      <c r="J36" s="9"/>
      <c r="K36" s="9"/>
      <c r="L36" s="9"/>
      <c r="M36" s="9"/>
      <c r="N36" s="9"/>
      <c r="O36" s="9"/>
    </row>
    <row r="37" spans="1:15" ht="12.5" x14ac:dyDescent="0.3">
      <c r="A37" s="5">
        <v>35</v>
      </c>
      <c r="B37" s="6">
        <v>46016</v>
      </c>
      <c r="C37" s="7" t="s">
        <v>61</v>
      </c>
      <c r="D37" s="7" t="str">
        <f t="shared" si="0"/>
        <v>Thursday</v>
      </c>
      <c r="E37" s="9" t="s">
        <v>26</v>
      </c>
      <c r="F37" s="9" t="s">
        <v>26</v>
      </c>
      <c r="G37" s="9" t="s">
        <v>26</v>
      </c>
      <c r="H37" s="9" t="s">
        <v>26</v>
      </c>
      <c r="I37" s="9" t="s">
        <v>26</v>
      </c>
      <c r="J37" s="9" t="s">
        <v>26</v>
      </c>
      <c r="K37" s="9" t="s">
        <v>26</v>
      </c>
      <c r="L37" s="9" t="s">
        <v>26</v>
      </c>
      <c r="M37" s="9" t="s">
        <v>26</v>
      </c>
      <c r="N37" s="9" t="s">
        <v>26</v>
      </c>
      <c r="O37" s="9" t="s">
        <v>26</v>
      </c>
    </row>
    <row r="38" spans="1:15" ht="12.5" x14ac:dyDescent="0.3">
      <c r="A38" s="5"/>
      <c r="B38" s="6"/>
      <c r="C38" s="7"/>
      <c r="D38" s="22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7"/>
    </row>
    <row r="39" spans="1:15" ht="12.5" x14ac:dyDescent="0.3">
      <c r="A39" s="23"/>
      <c r="B39" s="23"/>
      <c r="C39" s="23"/>
      <c r="D39" s="2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 x14ac:dyDescent="0.3">
      <c r="A40" s="106" t="s">
        <v>62</v>
      </c>
      <c r="B40" s="106"/>
      <c r="C40" s="106"/>
      <c r="D40" s="106"/>
      <c r="E40" s="24">
        <f t="shared" ref="E40:O40" si="1">COUNTIFS(E3:E38,"Yes")</f>
        <v>13</v>
      </c>
      <c r="F40" s="24">
        <f t="shared" si="1"/>
        <v>13</v>
      </c>
      <c r="G40" s="24">
        <f t="shared" si="1"/>
        <v>13</v>
      </c>
      <c r="H40" s="24">
        <f t="shared" si="1"/>
        <v>13</v>
      </c>
      <c r="I40" s="24">
        <f t="shared" si="1"/>
        <v>13</v>
      </c>
      <c r="J40" s="24">
        <f t="shared" si="1"/>
        <v>12</v>
      </c>
      <c r="K40" s="24">
        <f t="shared" si="1"/>
        <v>12</v>
      </c>
      <c r="L40" s="24">
        <f t="shared" si="1"/>
        <v>13</v>
      </c>
      <c r="M40" s="24">
        <f t="shared" si="1"/>
        <v>13</v>
      </c>
      <c r="N40" s="24">
        <f t="shared" si="1"/>
        <v>13</v>
      </c>
      <c r="O40" s="24">
        <f t="shared" si="1"/>
        <v>13</v>
      </c>
    </row>
    <row r="41" spans="1:15" ht="12.5" x14ac:dyDescent="0.3">
      <c r="D41" s="25" t="s">
        <v>63</v>
      </c>
      <c r="E41" s="25">
        <f t="shared" ref="E41:O41" si="2">COUNTIFS(E3:E38,"Yes",$D$3:$D$38,$D$41)</f>
        <v>1</v>
      </c>
      <c r="F41" s="25">
        <f t="shared" si="2"/>
        <v>1</v>
      </c>
      <c r="G41" s="25">
        <f t="shared" si="2"/>
        <v>1</v>
      </c>
      <c r="H41" s="25">
        <f t="shared" si="2"/>
        <v>1</v>
      </c>
      <c r="I41" s="25">
        <f t="shared" si="2"/>
        <v>1</v>
      </c>
      <c r="J41" s="25">
        <f t="shared" si="2"/>
        <v>1</v>
      </c>
      <c r="K41" s="25">
        <f t="shared" si="2"/>
        <v>1</v>
      </c>
      <c r="L41" s="25">
        <f t="shared" si="2"/>
        <v>1</v>
      </c>
      <c r="M41" s="25">
        <f t="shared" si="2"/>
        <v>1</v>
      </c>
      <c r="N41" s="25">
        <f t="shared" si="2"/>
        <v>1</v>
      </c>
      <c r="O41" s="25">
        <f t="shared" si="2"/>
        <v>1</v>
      </c>
    </row>
    <row r="42" spans="1:15" ht="12.5" x14ac:dyDescent="0.3">
      <c r="D42" s="25" t="s">
        <v>64</v>
      </c>
      <c r="E42" s="25">
        <f t="shared" ref="E42:O42" si="3">COUNTIFS(E3:E38,"Yes",$D$3:$D$38,$D$42)</f>
        <v>1</v>
      </c>
      <c r="F42" s="25">
        <f t="shared" si="3"/>
        <v>1</v>
      </c>
      <c r="G42" s="25">
        <f t="shared" si="3"/>
        <v>1</v>
      </c>
      <c r="H42" s="25">
        <f t="shared" si="3"/>
        <v>0</v>
      </c>
      <c r="I42" s="25">
        <f t="shared" si="3"/>
        <v>0</v>
      </c>
      <c r="J42" s="25">
        <f t="shared" si="3"/>
        <v>0</v>
      </c>
      <c r="K42" s="25">
        <f t="shared" si="3"/>
        <v>1</v>
      </c>
      <c r="L42" s="25">
        <f t="shared" si="3"/>
        <v>2</v>
      </c>
      <c r="M42" s="25">
        <f t="shared" si="3"/>
        <v>1</v>
      </c>
      <c r="N42" s="25">
        <f t="shared" si="3"/>
        <v>1</v>
      </c>
      <c r="O42" s="25">
        <f t="shared" si="3"/>
        <v>1</v>
      </c>
    </row>
    <row r="43" spans="1:15" x14ac:dyDescent="0.35">
      <c r="K43" s="25"/>
      <c r="L43" s="25"/>
    </row>
    <row r="44" spans="1:15" x14ac:dyDescent="0.35">
      <c r="K44" s="25"/>
    </row>
  </sheetData>
  <mergeCells count="4">
    <mergeCell ref="E1:G1"/>
    <mergeCell ref="H1:I1"/>
    <mergeCell ref="K1:O1"/>
    <mergeCell ref="A40:D40"/>
  </mergeCells>
  <conditionalFormatting sqref="E6:E18">
    <cfRule type="cellIs" dxfId="30" priority="121" operator="equal">
      <formula>"Yes"</formula>
    </cfRule>
  </conditionalFormatting>
  <conditionalFormatting sqref="E20:E30">
    <cfRule type="cellIs" dxfId="29" priority="122" operator="equal">
      <formula>"Yes"</formula>
    </cfRule>
  </conditionalFormatting>
  <conditionalFormatting sqref="E34">
    <cfRule type="cellIs" dxfId="28" priority="132" operator="equal">
      <formula>"Yes"</formula>
    </cfRule>
  </conditionalFormatting>
  <conditionalFormatting sqref="E37:E38">
    <cfRule type="cellIs" dxfId="27" priority="131" operator="equal">
      <formula>"Yes"</formula>
    </cfRule>
  </conditionalFormatting>
  <conditionalFormatting sqref="E3:G4">
    <cfRule type="cellIs" dxfId="26" priority="97" operator="equal">
      <formula>"Yes"</formula>
    </cfRule>
  </conditionalFormatting>
  <conditionalFormatting sqref="F14:F30">
    <cfRule type="cellIs" dxfId="25" priority="108" operator="equal">
      <formula>"Yes"</formula>
    </cfRule>
  </conditionalFormatting>
  <conditionalFormatting sqref="F32:F38">
    <cfRule type="cellIs" dxfId="24" priority="116" operator="equal">
      <formula>"Yes"</formula>
    </cfRule>
  </conditionalFormatting>
  <conditionalFormatting sqref="F6:G11">
    <cfRule type="cellIs" dxfId="23" priority="96" operator="equal">
      <formula>"Yes"</formula>
    </cfRule>
  </conditionalFormatting>
  <conditionalFormatting sqref="G14:G18">
    <cfRule type="cellIs" dxfId="22" priority="98" operator="equal">
      <formula>"Yes"</formula>
    </cfRule>
  </conditionalFormatting>
  <conditionalFormatting sqref="G20:G30">
    <cfRule type="cellIs" dxfId="21" priority="95" operator="equal">
      <formula>"Yes"</formula>
    </cfRule>
  </conditionalFormatting>
  <conditionalFormatting sqref="G32:G34">
    <cfRule type="cellIs" dxfId="20" priority="101" operator="equal">
      <formula>"Yes"</formula>
    </cfRule>
  </conditionalFormatting>
  <conditionalFormatting sqref="G37:G38">
    <cfRule type="cellIs" dxfId="19" priority="102" operator="equal">
      <formula>"Yes"</formula>
    </cfRule>
  </conditionalFormatting>
  <conditionalFormatting sqref="H3:H11">
    <cfRule type="cellIs" dxfId="18" priority="87" operator="equal">
      <formula>"Yes"</formula>
    </cfRule>
  </conditionalFormatting>
  <conditionalFormatting sqref="H14:H30">
    <cfRule type="cellIs" dxfId="17" priority="84" operator="equal">
      <formula>"Yes"</formula>
    </cfRule>
  </conditionalFormatting>
  <conditionalFormatting sqref="H34:H38">
    <cfRule type="cellIs" dxfId="16" priority="92" operator="equal">
      <formula>"Yes"</formula>
    </cfRule>
  </conditionalFormatting>
  <conditionalFormatting sqref="I3:I4">
    <cfRule type="cellIs" dxfId="15" priority="73" operator="equal">
      <formula>"Yes"</formula>
    </cfRule>
  </conditionalFormatting>
  <conditionalFormatting sqref="I6:I11 I29">
    <cfRule type="cellIs" dxfId="14" priority="83" operator="equal">
      <formula>"Yes"</formula>
    </cfRule>
  </conditionalFormatting>
  <conditionalFormatting sqref="I14:I26">
    <cfRule type="cellIs" dxfId="13" priority="71" operator="equal">
      <formula>"Yes"</formula>
    </cfRule>
  </conditionalFormatting>
  <conditionalFormatting sqref="I31:I38">
    <cfRule type="cellIs" dxfId="12" priority="75" operator="equal">
      <formula>"Yes"</formula>
    </cfRule>
  </conditionalFormatting>
  <conditionalFormatting sqref="J15:J37">
    <cfRule type="cellIs" dxfId="11" priority="2" operator="equal">
      <formula>"Yes"</formula>
    </cfRule>
  </conditionalFormatting>
  <conditionalFormatting sqref="J3:K11">
    <cfRule type="cellIs" dxfId="10" priority="3" operator="equal">
      <formula>"Yes"</formula>
    </cfRule>
  </conditionalFormatting>
  <conditionalFormatting sqref="K14:L38">
    <cfRule type="cellIs" dxfId="9" priority="1" operator="equal">
      <formula>"Yes"</formula>
    </cfRule>
  </conditionalFormatting>
  <conditionalFormatting sqref="L3:L12">
    <cfRule type="cellIs" dxfId="8" priority="43" operator="equal">
      <formula>"Yes"</formula>
    </cfRule>
  </conditionalFormatting>
  <conditionalFormatting sqref="M3:M38">
    <cfRule type="cellIs" dxfId="7" priority="30" operator="equal">
      <formula>"Yes"</formula>
    </cfRule>
  </conditionalFormatting>
  <conditionalFormatting sqref="N6">
    <cfRule type="cellIs" dxfId="6" priority="26" operator="equal">
      <formula>"Yes"</formula>
    </cfRule>
  </conditionalFormatting>
  <conditionalFormatting sqref="N8:N9">
    <cfRule type="cellIs" dxfId="5" priority="25" operator="equal">
      <formula>"Yes"</formula>
    </cfRule>
  </conditionalFormatting>
  <conditionalFormatting sqref="N3:O5">
    <cfRule type="cellIs" dxfId="4" priority="11" operator="equal">
      <formula>"Yes"</formula>
    </cfRule>
  </conditionalFormatting>
  <conditionalFormatting sqref="N10:O29">
    <cfRule type="cellIs" dxfId="3" priority="6" operator="equal">
      <formula>"Yes"</formula>
    </cfRule>
  </conditionalFormatting>
  <conditionalFormatting sqref="N31:O38">
    <cfRule type="cellIs" dxfId="2" priority="15" operator="equal">
      <formula>"Yes"</formula>
    </cfRule>
  </conditionalFormatting>
  <conditionalFormatting sqref="O6:O9">
    <cfRule type="cellIs" dxfId="1" priority="19" operator="equal">
      <formula>"Yes"</formula>
    </cfRule>
  </conditionalFormatting>
  <conditionalFormatting sqref="O30">
    <cfRule type="cellIs" dxfId="0" priority="29" operator="equal">
      <formula>"Yes"</formula>
    </cfRule>
  </conditionalFormatting>
  <dataValidations count="1">
    <dataValidation type="list" allowBlank="1" showInputMessage="1" showErrorMessage="1" sqref="E37:I38 E20:E30 E34 E6:E18 F14:F30 F32:F36 G20:G30 F6:G11 E3:G4 O7 G32:G34 H23:H30 H34:H36 H3:H11 I29 I23:L26 I20:I21 I3:I4 I31:I36 I6:I11 J27:J37 J3:K11 J15:J18 K27:K30 K32:K38 K20:L21 L27:L38 L3:L12 M30:M38 M3:M25 M27:O28 N23:O25 N37:O38 N8:O18 O30:O36 N31:N36 N21:O21 N3:O6 G14:I18 K14:L18" xr:uid="{8994281E-0080-4B3B-A66A-44FDCF8FE4BB}">
      <formula1>$XFD$2:$XFD$3</formula1>
    </dataValidation>
  </dataValidations>
  <hyperlinks>
    <hyperlink ref="C7" r:id="rId1" display="https://www.calendarlabs.com/holidays/india/maha-shivratri.php" xr:uid="{A5266C11-9F39-45F4-AC36-FC9401EB954C}"/>
    <hyperlink ref="C37" r:id="rId2" display="https://publicholidays.in/christmas/" xr:uid="{7265CAB2-2EE3-4563-97A5-2701225344D9}"/>
    <hyperlink ref="C21" r:id="rId3" display="https://publicholidays.in/raksha-bandhan/" xr:uid="{AC1AC82E-1050-492D-9399-E85B1004E78D}"/>
    <hyperlink ref="C13" r:id="rId4" display="https://publicholidays.in/mahavir-jayanti/" xr:uid="{BE1E4583-6AC4-4CA3-B4B7-5F2577588079}"/>
    <hyperlink ref="C33" r:id="rId5" display="https://publicholidays.in/durga-puja/" xr:uid="{C1D67C6D-E410-45E4-9BD1-96D6E1A87F1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Draft</vt:lpstr>
      <vt:lpstr>New Sheet</vt:lpstr>
      <vt:lpstr>Sheet2</vt:lpstr>
      <vt:lpstr>For Senior grades- 13 days</vt:lpstr>
      <vt:lpstr>For A grades - 11 days</vt:lpstr>
      <vt:lpstr>All ecxept A grades - 13 days</vt:lpstr>
      <vt:lpstr>A Grades - 11 days</vt:lpstr>
      <vt:lpstr>For Senior grades- 13 days (2)</vt:lpstr>
      <vt:lpstr>Conneqt Business Solutions</vt:lpstr>
      <vt:lpstr>Conneqt Digital</vt:lpstr>
      <vt:lpstr>Brainhunter</vt:lpstr>
      <vt:lpstr>Alldigi</vt:lpstr>
      <vt:lpstr>GTS Common</vt:lpstr>
      <vt:lpstr>MFX</vt:lpstr>
      <vt:lpstr>Qtek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Rao Thanam</dc:creator>
  <cp:lastModifiedBy>Sanghamitra Ghosh</cp:lastModifiedBy>
  <dcterms:created xsi:type="dcterms:W3CDTF">2024-12-27T04:33:43Z</dcterms:created>
  <dcterms:modified xsi:type="dcterms:W3CDTF">2026-01-07T11:22:38Z</dcterms:modified>
</cp:coreProperties>
</file>